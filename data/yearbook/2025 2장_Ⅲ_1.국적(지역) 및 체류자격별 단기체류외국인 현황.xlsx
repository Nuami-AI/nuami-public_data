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6330A1D9-8C95-4DBD-96F2-5DC72A609E3B}" xr6:coauthVersionLast="47" xr6:coauthVersionMax="47" xr10:uidLastSave="{00000000-0000-0000-0000-000000000000}"/>
  <bookViews>
    <workbookView xWindow="-120" yWindow="-120" windowWidth="29040" windowHeight="15720"/>
  </bookViews>
  <sheets>
    <sheet name="2025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3" i="1" l="1"/>
  <c r="AB3" i="1"/>
  <c r="AM3" i="1"/>
  <c r="AN3" i="1"/>
  <c r="O4" i="1"/>
  <c r="P4" i="1"/>
  <c r="Z4" i="1"/>
  <c r="AB4" i="1"/>
  <c r="AM4" i="1"/>
  <c r="AN4" i="1"/>
  <c r="P5" i="1"/>
  <c r="AB5" i="1"/>
  <c r="AN5" i="1"/>
  <c r="D5" i="1"/>
  <c r="D4" i="1"/>
  <c r="D3" i="1"/>
  <c r="E456" i="1"/>
  <c r="F456" i="1"/>
  <c r="G456" i="1"/>
  <c r="H456" i="1"/>
  <c r="I456" i="1"/>
  <c r="J456" i="1"/>
  <c r="K456" i="1"/>
  <c r="L456" i="1"/>
  <c r="M456" i="1"/>
  <c r="N456" i="1"/>
  <c r="O456" i="1"/>
  <c r="P456" i="1"/>
  <c r="Q456" i="1"/>
  <c r="R456" i="1"/>
  <c r="S456" i="1"/>
  <c r="T456" i="1"/>
  <c r="U456" i="1"/>
  <c r="V456" i="1"/>
  <c r="W456" i="1"/>
  <c r="X456" i="1"/>
  <c r="Y456" i="1"/>
  <c r="Z456" i="1"/>
  <c r="AA456" i="1"/>
  <c r="AB456" i="1"/>
  <c r="AC456" i="1"/>
  <c r="AD456" i="1"/>
  <c r="AE456" i="1"/>
  <c r="AF456" i="1"/>
  <c r="AG456" i="1"/>
  <c r="AH456" i="1"/>
  <c r="AI456" i="1"/>
  <c r="AJ456" i="1"/>
  <c r="AK456" i="1"/>
  <c r="AK3" i="1" s="1"/>
  <c r="AL456" i="1"/>
  <c r="AM456" i="1"/>
  <c r="AN456" i="1"/>
  <c r="E457" i="1"/>
  <c r="F457" i="1"/>
  <c r="G457" i="1"/>
  <c r="H457" i="1"/>
  <c r="I457" i="1"/>
  <c r="J457" i="1"/>
  <c r="K457" i="1"/>
  <c r="L457" i="1"/>
  <c r="M457" i="1"/>
  <c r="M4" i="1" s="1"/>
  <c r="N457" i="1"/>
  <c r="O457" i="1"/>
  <c r="P457" i="1"/>
  <c r="Q457" i="1"/>
  <c r="R457" i="1"/>
  <c r="S457" i="1"/>
  <c r="T457" i="1"/>
  <c r="U457" i="1"/>
  <c r="V457" i="1"/>
  <c r="W457" i="1"/>
  <c r="X457" i="1"/>
  <c r="Y457" i="1"/>
  <c r="Z457" i="1"/>
  <c r="AA457" i="1"/>
  <c r="AB457" i="1"/>
  <c r="AC457" i="1"/>
  <c r="AD457" i="1"/>
  <c r="AE457" i="1"/>
  <c r="AF457" i="1"/>
  <c r="AG457" i="1"/>
  <c r="AH457" i="1"/>
  <c r="AI457" i="1"/>
  <c r="AJ457" i="1"/>
  <c r="AK457" i="1"/>
  <c r="AL457" i="1"/>
  <c r="AM457" i="1"/>
  <c r="AN457" i="1"/>
  <c r="D457" i="1"/>
  <c r="D456" i="1"/>
  <c r="E416" i="1"/>
  <c r="F416" i="1"/>
  <c r="G416" i="1"/>
  <c r="H416" i="1"/>
  <c r="I416" i="1"/>
  <c r="J416" i="1"/>
  <c r="K416" i="1"/>
  <c r="L416" i="1"/>
  <c r="M416" i="1"/>
  <c r="N416" i="1"/>
  <c r="O416" i="1"/>
  <c r="P416" i="1"/>
  <c r="Q416" i="1"/>
  <c r="R416" i="1"/>
  <c r="S416" i="1"/>
  <c r="T416" i="1"/>
  <c r="U416" i="1"/>
  <c r="V416" i="1"/>
  <c r="W416" i="1"/>
  <c r="X416" i="1"/>
  <c r="Y416" i="1"/>
  <c r="Z416" i="1"/>
  <c r="AA416" i="1"/>
  <c r="AB416" i="1"/>
  <c r="AC416" i="1"/>
  <c r="AD416" i="1"/>
  <c r="AE416" i="1"/>
  <c r="AF416" i="1"/>
  <c r="AG416" i="1"/>
  <c r="AH416" i="1"/>
  <c r="AI416" i="1"/>
  <c r="AJ416" i="1"/>
  <c r="AK416" i="1"/>
  <c r="AL416" i="1"/>
  <c r="AM416" i="1"/>
  <c r="AN416" i="1"/>
  <c r="E417" i="1"/>
  <c r="F417" i="1"/>
  <c r="G417" i="1"/>
  <c r="H417" i="1"/>
  <c r="I417" i="1"/>
  <c r="J417" i="1"/>
  <c r="K417" i="1"/>
  <c r="L417" i="1"/>
  <c r="M417" i="1"/>
  <c r="N417" i="1"/>
  <c r="O417" i="1"/>
  <c r="P417" i="1"/>
  <c r="Q417" i="1"/>
  <c r="R417" i="1"/>
  <c r="S417" i="1"/>
  <c r="T417" i="1"/>
  <c r="U417" i="1"/>
  <c r="V417" i="1"/>
  <c r="W417" i="1"/>
  <c r="X417" i="1"/>
  <c r="Y417" i="1"/>
  <c r="Z417" i="1"/>
  <c r="AA417" i="1"/>
  <c r="AB417" i="1"/>
  <c r="AC417" i="1"/>
  <c r="AD417" i="1"/>
  <c r="AE417" i="1"/>
  <c r="AF417" i="1"/>
  <c r="AG417" i="1"/>
  <c r="AH417" i="1"/>
  <c r="AI417" i="1"/>
  <c r="AJ417" i="1"/>
  <c r="AK417" i="1"/>
  <c r="AL417" i="1"/>
  <c r="AM417" i="1"/>
  <c r="AN417" i="1"/>
  <c r="E418" i="1"/>
  <c r="F418" i="1"/>
  <c r="G418" i="1"/>
  <c r="H418" i="1"/>
  <c r="I418" i="1"/>
  <c r="J418" i="1"/>
  <c r="K418" i="1"/>
  <c r="K5" i="1" s="1"/>
  <c r="L418" i="1"/>
  <c r="M418" i="1"/>
  <c r="N418" i="1"/>
  <c r="O418" i="1"/>
  <c r="P418" i="1"/>
  <c r="Q418" i="1"/>
  <c r="R418" i="1"/>
  <c r="S418" i="1"/>
  <c r="T418" i="1"/>
  <c r="U418" i="1"/>
  <c r="V418" i="1"/>
  <c r="W418" i="1"/>
  <c r="W5" i="1" s="1"/>
  <c r="X418" i="1"/>
  <c r="Y418" i="1"/>
  <c r="Z418" i="1"/>
  <c r="AA418" i="1"/>
  <c r="AB418" i="1"/>
  <c r="AC418" i="1"/>
  <c r="AD418" i="1"/>
  <c r="AE418" i="1"/>
  <c r="AF418" i="1"/>
  <c r="AG418" i="1"/>
  <c r="AH418" i="1"/>
  <c r="AI418" i="1"/>
  <c r="AI5" i="1" s="1"/>
  <c r="AJ418" i="1"/>
  <c r="AK418" i="1"/>
  <c r="AL418" i="1"/>
  <c r="AM418" i="1"/>
  <c r="AN418" i="1"/>
  <c r="D418" i="1"/>
  <c r="D417" i="1"/>
  <c r="D416" i="1"/>
  <c r="E260" i="1"/>
  <c r="F260" i="1"/>
  <c r="G260" i="1"/>
  <c r="H260" i="1"/>
  <c r="H3" i="1" s="1"/>
  <c r="I260" i="1"/>
  <c r="J260" i="1"/>
  <c r="K260" i="1"/>
  <c r="L260" i="1"/>
  <c r="M260" i="1"/>
  <c r="N260" i="1"/>
  <c r="O260" i="1"/>
  <c r="P260" i="1"/>
  <c r="Q260" i="1"/>
  <c r="R260" i="1"/>
  <c r="S260" i="1"/>
  <c r="T260" i="1"/>
  <c r="T3" i="1" s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F3" i="1" s="1"/>
  <c r="AG260" i="1"/>
  <c r="AH260" i="1"/>
  <c r="AI260" i="1"/>
  <c r="AJ260" i="1"/>
  <c r="AK260" i="1"/>
  <c r="AL260" i="1"/>
  <c r="AM260" i="1"/>
  <c r="AN260" i="1"/>
  <c r="E261" i="1"/>
  <c r="F261" i="1"/>
  <c r="G261" i="1"/>
  <c r="H261" i="1"/>
  <c r="H4" i="1" s="1"/>
  <c r="I261" i="1"/>
  <c r="J261" i="1"/>
  <c r="K261" i="1"/>
  <c r="L261" i="1"/>
  <c r="M261" i="1"/>
  <c r="N261" i="1"/>
  <c r="O261" i="1"/>
  <c r="P261" i="1"/>
  <c r="Q261" i="1"/>
  <c r="R261" i="1"/>
  <c r="S261" i="1"/>
  <c r="T261" i="1"/>
  <c r="T4" i="1" s="1"/>
  <c r="U261" i="1"/>
  <c r="V261" i="1"/>
  <c r="W261" i="1"/>
  <c r="X261" i="1"/>
  <c r="Y261" i="1"/>
  <c r="Z261" i="1"/>
  <c r="AA261" i="1"/>
  <c r="AB261" i="1"/>
  <c r="AC261" i="1"/>
  <c r="AD261" i="1"/>
  <c r="AE261" i="1"/>
  <c r="AF261" i="1"/>
  <c r="AF4" i="1" s="1"/>
  <c r="AG261" i="1"/>
  <c r="AH261" i="1"/>
  <c r="AI261" i="1"/>
  <c r="AJ261" i="1"/>
  <c r="AK261" i="1"/>
  <c r="AL261" i="1"/>
  <c r="AM261" i="1"/>
  <c r="AN261" i="1"/>
  <c r="E262" i="1"/>
  <c r="F262" i="1"/>
  <c r="G262" i="1"/>
  <c r="H262" i="1"/>
  <c r="H5" i="1" s="1"/>
  <c r="I262" i="1"/>
  <c r="J262" i="1"/>
  <c r="K262" i="1"/>
  <c r="L262" i="1"/>
  <c r="M262" i="1"/>
  <c r="N262" i="1"/>
  <c r="O262" i="1"/>
  <c r="P262" i="1"/>
  <c r="Q262" i="1"/>
  <c r="R262" i="1"/>
  <c r="S262" i="1"/>
  <c r="T262" i="1"/>
  <c r="T5" i="1" s="1"/>
  <c r="U262" i="1"/>
  <c r="V262" i="1"/>
  <c r="W262" i="1"/>
  <c r="X262" i="1"/>
  <c r="Y262" i="1"/>
  <c r="Z262" i="1"/>
  <c r="AA262" i="1"/>
  <c r="AB262" i="1"/>
  <c r="AC262" i="1"/>
  <c r="AD262" i="1"/>
  <c r="AE262" i="1"/>
  <c r="AF262" i="1"/>
  <c r="AF5" i="1" s="1"/>
  <c r="AG262" i="1"/>
  <c r="AG5" i="1" s="1"/>
  <c r="AH262" i="1"/>
  <c r="AI262" i="1"/>
  <c r="AJ262" i="1"/>
  <c r="AK262" i="1"/>
  <c r="AL262" i="1"/>
  <c r="AM262" i="1"/>
  <c r="AN262" i="1"/>
  <c r="D262" i="1"/>
  <c r="D261" i="1"/>
  <c r="D260" i="1"/>
  <c r="E162" i="1"/>
  <c r="F162" i="1"/>
  <c r="G162" i="1"/>
  <c r="H162" i="1"/>
  <c r="I162" i="1"/>
  <c r="J162" i="1"/>
  <c r="K162" i="1"/>
  <c r="L162" i="1"/>
  <c r="M162" i="1"/>
  <c r="N162" i="1"/>
  <c r="O162" i="1"/>
  <c r="P162" i="1"/>
  <c r="Q162" i="1"/>
  <c r="R162" i="1"/>
  <c r="S162" i="1"/>
  <c r="T162" i="1"/>
  <c r="U162" i="1"/>
  <c r="V162" i="1"/>
  <c r="W162" i="1"/>
  <c r="X162" i="1"/>
  <c r="Y162" i="1"/>
  <c r="Z162" i="1"/>
  <c r="Z3" i="1" s="1"/>
  <c r="AA162" i="1"/>
  <c r="AB162" i="1"/>
  <c r="AC162" i="1"/>
  <c r="AD162" i="1"/>
  <c r="AE162" i="1"/>
  <c r="AF162" i="1"/>
  <c r="AG162" i="1"/>
  <c r="AH162" i="1"/>
  <c r="AI162" i="1"/>
  <c r="AJ162" i="1"/>
  <c r="AK162" i="1"/>
  <c r="AL162" i="1"/>
  <c r="AM162" i="1"/>
  <c r="AN162" i="1"/>
  <c r="E163" i="1"/>
  <c r="F163" i="1"/>
  <c r="G163" i="1"/>
  <c r="H163" i="1"/>
  <c r="I163" i="1"/>
  <c r="J163" i="1"/>
  <c r="K163" i="1"/>
  <c r="L163" i="1"/>
  <c r="M163" i="1"/>
  <c r="N163" i="1"/>
  <c r="O163" i="1"/>
  <c r="P163" i="1"/>
  <c r="Q163" i="1"/>
  <c r="R163" i="1"/>
  <c r="S163" i="1"/>
  <c r="T163" i="1"/>
  <c r="U163" i="1"/>
  <c r="V163" i="1"/>
  <c r="W163" i="1"/>
  <c r="X163" i="1"/>
  <c r="Y163" i="1"/>
  <c r="Z163" i="1"/>
  <c r="AA163" i="1"/>
  <c r="AB163" i="1"/>
  <c r="AC163" i="1"/>
  <c r="AD163" i="1"/>
  <c r="AE163" i="1"/>
  <c r="AF163" i="1"/>
  <c r="AG163" i="1"/>
  <c r="AH163" i="1"/>
  <c r="AI163" i="1"/>
  <c r="AJ163" i="1"/>
  <c r="AK163" i="1"/>
  <c r="AL163" i="1"/>
  <c r="AM163" i="1"/>
  <c r="AN163" i="1"/>
  <c r="D163" i="1"/>
  <c r="D162" i="1"/>
  <c r="E151" i="1"/>
  <c r="F151" i="1"/>
  <c r="G151" i="1"/>
  <c r="H151" i="1"/>
  <c r="I151" i="1"/>
  <c r="J151" i="1"/>
  <c r="K151" i="1"/>
  <c r="L151" i="1"/>
  <c r="M151" i="1"/>
  <c r="M3" i="1" s="1"/>
  <c r="N151" i="1"/>
  <c r="N3" i="1" s="1"/>
  <c r="O151" i="1"/>
  <c r="O3" i="1" s="1"/>
  <c r="P151" i="1"/>
  <c r="Q151" i="1"/>
  <c r="R151" i="1"/>
  <c r="S151" i="1"/>
  <c r="T151" i="1"/>
  <c r="U151" i="1"/>
  <c r="V151" i="1"/>
  <c r="W151" i="1"/>
  <c r="X151" i="1"/>
  <c r="Y151" i="1"/>
  <c r="Y3" i="1" s="1"/>
  <c r="Z151" i="1"/>
  <c r="AA151" i="1"/>
  <c r="AA3" i="1" s="1"/>
  <c r="AB151" i="1"/>
  <c r="AC151" i="1"/>
  <c r="AD151" i="1"/>
  <c r="AE151" i="1"/>
  <c r="AF151" i="1"/>
  <c r="AG151" i="1"/>
  <c r="AH151" i="1"/>
  <c r="AI151" i="1"/>
  <c r="AJ151" i="1"/>
  <c r="AK151" i="1"/>
  <c r="AL151" i="1"/>
  <c r="AL3" i="1" s="1"/>
  <c r="AM151" i="1"/>
  <c r="AN151" i="1"/>
  <c r="E152" i="1"/>
  <c r="F152" i="1"/>
  <c r="G152" i="1"/>
  <c r="H152" i="1"/>
  <c r="I152" i="1"/>
  <c r="J152" i="1"/>
  <c r="K152" i="1"/>
  <c r="L152" i="1"/>
  <c r="M152" i="1"/>
  <c r="N152" i="1"/>
  <c r="N4" i="1" s="1"/>
  <c r="O152" i="1"/>
  <c r="P152" i="1"/>
  <c r="Q152" i="1"/>
  <c r="R152" i="1"/>
  <c r="S152" i="1"/>
  <c r="T152" i="1"/>
  <c r="U152" i="1"/>
  <c r="V152" i="1"/>
  <c r="W152" i="1"/>
  <c r="X152" i="1"/>
  <c r="Y152" i="1"/>
  <c r="Y4" i="1" s="1"/>
  <c r="Z152" i="1"/>
  <c r="AA152" i="1"/>
  <c r="AA4" i="1" s="1"/>
  <c r="AB152" i="1"/>
  <c r="AC152" i="1"/>
  <c r="AD152" i="1"/>
  <c r="AE152" i="1"/>
  <c r="AF152" i="1"/>
  <c r="AG152" i="1"/>
  <c r="AH152" i="1"/>
  <c r="AI152" i="1"/>
  <c r="AJ152" i="1"/>
  <c r="AK152" i="1"/>
  <c r="AK4" i="1" s="1"/>
  <c r="AL152" i="1"/>
  <c r="AL4" i="1" s="1"/>
  <c r="AM152" i="1"/>
  <c r="AN152" i="1"/>
  <c r="E153" i="1"/>
  <c r="E5" i="1" s="1"/>
  <c r="F153" i="1"/>
  <c r="F5" i="1" s="1"/>
  <c r="G153" i="1"/>
  <c r="G5" i="1" s="1"/>
  <c r="H153" i="1"/>
  <c r="I153" i="1"/>
  <c r="I5" i="1" s="1"/>
  <c r="J153" i="1"/>
  <c r="J5" i="1" s="1"/>
  <c r="K153" i="1"/>
  <c r="L153" i="1"/>
  <c r="L5" i="1" s="1"/>
  <c r="M153" i="1"/>
  <c r="M5" i="1" s="1"/>
  <c r="N153" i="1"/>
  <c r="N5" i="1" s="1"/>
  <c r="O153" i="1"/>
  <c r="O5" i="1" s="1"/>
  <c r="P153" i="1"/>
  <c r="Q153" i="1"/>
  <c r="Q5" i="1" s="1"/>
  <c r="R153" i="1"/>
  <c r="R5" i="1" s="1"/>
  <c r="S153" i="1"/>
  <c r="S5" i="1" s="1"/>
  <c r="T153" i="1"/>
  <c r="U153" i="1"/>
  <c r="U5" i="1" s="1"/>
  <c r="V153" i="1"/>
  <c r="V5" i="1" s="1"/>
  <c r="W153" i="1"/>
  <c r="X153" i="1"/>
  <c r="X5" i="1" s="1"/>
  <c r="Y153" i="1"/>
  <c r="Y5" i="1" s="1"/>
  <c r="Z153" i="1"/>
  <c r="Z5" i="1" s="1"/>
  <c r="AA153" i="1"/>
  <c r="AA5" i="1" s="1"/>
  <c r="AB153" i="1"/>
  <c r="AC153" i="1"/>
  <c r="AC5" i="1" s="1"/>
  <c r="AD153" i="1"/>
  <c r="AD5" i="1" s="1"/>
  <c r="AE153" i="1"/>
  <c r="AE5" i="1" s="1"/>
  <c r="AF153" i="1"/>
  <c r="AG153" i="1"/>
  <c r="AH153" i="1"/>
  <c r="AH5" i="1" s="1"/>
  <c r="AI153" i="1"/>
  <c r="AJ153" i="1"/>
  <c r="AJ5" i="1" s="1"/>
  <c r="AK153" i="1"/>
  <c r="AK5" i="1" s="1"/>
  <c r="AL153" i="1"/>
  <c r="AL5" i="1" s="1"/>
  <c r="AM153" i="1"/>
  <c r="AM5" i="1" s="1"/>
  <c r="AN153" i="1"/>
  <c r="D151" i="1"/>
  <c r="D153" i="1"/>
  <c r="D152" i="1"/>
  <c r="E7" i="1"/>
  <c r="E3" i="1" s="1"/>
  <c r="F7" i="1"/>
  <c r="F3" i="1" s="1"/>
  <c r="G7" i="1"/>
  <c r="G3" i="1" s="1"/>
  <c r="H7" i="1"/>
  <c r="I7" i="1"/>
  <c r="I3" i="1" s="1"/>
  <c r="J7" i="1"/>
  <c r="J3" i="1" s="1"/>
  <c r="K7" i="1"/>
  <c r="K3" i="1" s="1"/>
  <c r="L7" i="1"/>
  <c r="L3" i="1" s="1"/>
  <c r="M7" i="1"/>
  <c r="N7" i="1"/>
  <c r="O7" i="1"/>
  <c r="P7" i="1"/>
  <c r="Q7" i="1"/>
  <c r="Q3" i="1" s="1"/>
  <c r="R7" i="1"/>
  <c r="R3" i="1" s="1"/>
  <c r="S7" i="1"/>
  <c r="S3" i="1" s="1"/>
  <c r="T7" i="1"/>
  <c r="U7" i="1"/>
  <c r="U3" i="1" s="1"/>
  <c r="V7" i="1"/>
  <c r="V3" i="1" s="1"/>
  <c r="W7" i="1"/>
  <c r="W3" i="1" s="1"/>
  <c r="X7" i="1"/>
  <c r="X3" i="1" s="1"/>
  <c r="Y7" i="1"/>
  <c r="Z7" i="1"/>
  <c r="AA7" i="1"/>
  <c r="AB7" i="1"/>
  <c r="AC7" i="1"/>
  <c r="AC3" i="1" s="1"/>
  <c r="AD7" i="1"/>
  <c r="AD3" i="1" s="1"/>
  <c r="AE7" i="1"/>
  <c r="AE3" i="1" s="1"/>
  <c r="AF7" i="1"/>
  <c r="AG7" i="1"/>
  <c r="AG3" i="1" s="1"/>
  <c r="AH7" i="1"/>
  <c r="AH3" i="1" s="1"/>
  <c r="AI7" i="1"/>
  <c r="AI3" i="1" s="1"/>
  <c r="AJ7" i="1"/>
  <c r="AJ3" i="1" s="1"/>
  <c r="AK7" i="1"/>
  <c r="AL7" i="1"/>
  <c r="AM7" i="1"/>
  <c r="AN7" i="1"/>
  <c r="E8" i="1"/>
  <c r="E4" i="1" s="1"/>
  <c r="F8" i="1"/>
  <c r="F4" i="1" s="1"/>
  <c r="G8" i="1"/>
  <c r="G4" i="1" s="1"/>
  <c r="H8" i="1"/>
  <c r="I8" i="1"/>
  <c r="I4" i="1" s="1"/>
  <c r="J8" i="1"/>
  <c r="J4" i="1" s="1"/>
  <c r="K8" i="1"/>
  <c r="K4" i="1" s="1"/>
  <c r="L8" i="1"/>
  <c r="L4" i="1" s="1"/>
  <c r="M8" i="1"/>
  <c r="N8" i="1"/>
  <c r="O8" i="1"/>
  <c r="P8" i="1"/>
  <c r="Q8" i="1"/>
  <c r="Q4" i="1" s="1"/>
  <c r="R8" i="1"/>
  <c r="R4" i="1" s="1"/>
  <c r="S8" i="1"/>
  <c r="S4" i="1" s="1"/>
  <c r="T8" i="1"/>
  <c r="U8" i="1"/>
  <c r="U4" i="1" s="1"/>
  <c r="V8" i="1"/>
  <c r="V4" i="1" s="1"/>
  <c r="W8" i="1"/>
  <c r="W4" i="1" s="1"/>
  <c r="X8" i="1"/>
  <c r="X4" i="1" s="1"/>
  <c r="Y8" i="1"/>
  <c r="Z8" i="1"/>
  <c r="AA8" i="1"/>
  <c r="AB8" i="1"/>
  <c r="AC8" i="1"/>
  <c r="AC4" i="1" s="1"/>
  <c r="AD8" i="1"/>
  <c r="AD4" i="1" s="1"/>
  <c r="AE8" i="1"/>
  <c r="AE4" i="1" s="1"/>
  <c r="AF8" i="1"/>
  <c r="AG8" i="1"/>
  <c r="AG4" i="1" s="1"/>
  <c r="AH8" i="1"/>
  <c r="AH4" i="1" s="1"/>
  <c r="AI8" i="1"/>
  <c r="AI4" i="1" s="1"/>
  <c r="AJ8" i="1"/>
  <c r="AJ4" i="1" s="1"/>
  <c r="AK8" i="1"/>
  <c r="AL8" i="1"/>
  <c r="AM8" i="1"/>
  <c r="AN8" i="1"/>
  <c r="D8" i="1"/>
  <c r="D7" i="1"/>
</calcChain>
</file>

<file path=xl/sharedStrings.xml><?xml version="1.0" encoding="utf-8"?>
<sst xmlns="http://schemas.openxmlformats.org/spreadsheetml/2006/main" count="1834" uniqueCount="250">
  <si>
    <t>대륙별</t>
  </si>
  <si>
    <t>국적</t>
  </si>
  <si>
    <t>성별</t>
  </si>
  <si>
    <t>총합계</t>
  </si>
  <si>
    <t>A-1(외교)</t>
  </si>
  <si>
    <t>A-2(공무)</t>
  </si>
  <si>
    <t>B-1(사증면제)</t>
  </si>
  <si>
    <t>B-2(관광통과)</t>
  </si>
  <si>
    <t>C-1(일시취재)</t>
  </si>
  <si>
    <t>C-3(단기방문)</t>
  </si>
  <si>
    <t>C-4(단기취업)</t>
  </si>
  <si>
    <t>D-1(문화예술)</t>
  </si>
  <si>
    <t>D-2(유학)</t>
  </si>
  <si>
    <t>D-3(기술연수)</t>
  </si>
  <si>
    <t>D-4(일반연수)</t>
  </si>
  <si>
    <t>D-5(취재)</t>
  </si>
  <si>
    <t>D-6(종교)</t>
  </si>
  <si>
    <t>D-7(주재)</t>
  </si>
  <si>
    <t>D-8(기업투자)</t>
  </si>
  <si>
    <t>D-9(무역경영)</t>
  </si>
  <si>
    <t>D-10(구직)</t>
  </si>
  <si>
    <t>E-1(교수)</t>
  </si>
  <si>
    <t>E-2(회화강사)</t>
  </si>
  <si>
    <t>E-3(연구)</t>
  </si>
  <si>
    <t>E-6(예술흥행)</t>
  </si>
  <si>
    <t>E-7(특정활동)</t>
  </si>
  <si>
    <t>E-9(비전문취업)</t>
  </si>
  <si>
    <t>E-10(선원취업)</t>
  </si>
  <si>
    <t>F-1(방문동거)</t>
  </si>
  <si>
    <t>F-2(거주)</t>
  </si>
  <si>
    <t>F-3(동반)</t>
  </si>
  <si>
    <t>F-4(재외동포)</t>
  </si>
  <si>
    <t>F-5(영주)</t>
  </si>
  <si>
    <t>F-6(결혼이민)</t>
  </si>
  <si>
    <t>G-1(기타)</t>
  </si>
  <si>
    <t>H-1(관광취업)</t>
  </si>
  <si>
    <t>H-2(방문취업)</t>
  </si>
  <si>
    <t>T-1(관광상륙)</t>
  </si>
  <si>
    <t>기타(other)</t>
  </si>
  <si>
    <t>총계</t>
  </si>
  <si>
    <t>아시아주</t>
  </si>
  <si>
    <t>타이</t>
  </si>
  <si>
    <t>남성</t>
  </si>
  <si>
    <t>여성</t>
  </si>
  <si>
    <t>중국</t>
  </si>
  <si>
    <t>베트남</t>
  </si>
  <si>
    <t>일본</t>
  </si>
  <si>
    <t>타이완</t>
  </si>
  <si>
    <t>필리핀</t>
  </si>
  <si>
    <t>몽골</t>
  </si>
  <si>
    <t>인도네시아</t>
  </si>
  <si>
    <t>말레이시아</t>
  </si>
  <si>
    <t>싱가포르</t>
  </si>
  <si>
    <t>홍콩</t>
  </si>
  <si>
    <t>카자흐스탄</t>
  </si>
  <si>
    <t>한국계중국인</t>
  </si>
  <si>
    <t>우즈베키스탄</t>
  </si>
  <si>
    <t>방글라데시</t>
  </si>
  <si>
    <t>인도</t>
  </si>
  <si>
    <t>캄보디아</t>
  </si>
  <si>
    <t>파키스탄</t>
  </si>
  <si>
    <t>네팔</t>
  </si>
  <si>
    <t>미얀마</t>
  </si>
  <si>
    <t>라오스</t>
  </si>
  <si>
    <t>스리랑카</t>
  </si>
  <si>
    <t>튀르키예</t>
  </si>
  <si>
    <t>키르기즈</t>
  </si>
  <si>
    <t>타지키스탄</t>
  </si>
  <si>
    <t>이란</t>
  </si>
  <si>
    <t>마카오</t>
  </si>
  <si>
    <t>아랍에미리트연합</t>
  </si>
  <si>
    <t>사우디아라비아</t>
  </si>
  <si>
    <t>티모르민주공화국</t>
  </si>
  <si>
    <t>브루나이</t>
  </si>
  <si>
    <t>이스라엘</t>
  </si>
  <si>
    <t>투르크메니스탄</t>
  </si>
  <si>
    <t>이라크</t>
  </si>
  <si>
    <t>요르단</t>
  </si>
  <si>
    <t>쿠웨이트</t>
  </si>
  <si>
    <t>카타르</t>
  </si>
  <si>
    <t>시리아</t>
  </si>
  <si>
    <t>아프가니스탄</t>
  </si>
  <si>
    <t>오만</t>
  </si>
  <si>
    <t>예멘공화국</t>
  </si>
  <si>
    <t>키프로스</t>
  </si>
  <si>
    <t>바레인</t>
  </si>
  <si>
    <t>레바논</t>
  </si>
  <si>
    <t>팔레스타인</t>
  </si>
  <si>
    <t>홍콩거주난민</t>
  </si>
  <si>
    <t>몰디브</t>
  </si>
  <si>
    <t>북아메리카주</t>
  </si>
  <si>
    <t>미국</t>
  </si>
  <si>
    <t>제3의성</t>
  </si>
  <si>
    <t>캐나다</t>
  </si>
  <si>
    <t>남아메리카주</t>
  </si>
  <si>
    <t>브라질</t>
  </si>
  <si>
    <t>멕시코</t>
  </si>
  <si>
    <t>페루</t>
  </si>
  <si>
    <t>아르헨티나</t>
  </si>
  <si>
    <t>콜롬비아</t>
  </si>
  <si>
    <t>칠레</t>
  </si>
  <si>
    <t>파라과이</t>
  </si>
  <si>
    <t>코스타리카</t>
  </si>
  <si>
    <t>에콰도르</t>
  </si>
  <si>
    <t>베네수엘라</t>
  </si>
  <si>
    <t>과테말라</t>
  </si>
  <si>
    <t>도미니카공화국</t>
  </si>
  <si>
    <t>파나마</t>
  </si>
  <si>
    <t>온두라스</t>
  </si>
  <si>
    <t>볼리비아</t>
  </si>
  <si>
    <t>자메이카</t>
  </si>
  <si>
    <t>우루과이</t>
  </si>
  <si>
    <t>트리니다드토바고</t>
  </si>
  <si>
    <t>세인트크리스토퍼네비스</t>
  </si>
  <si>
    <t>도미니카연방</t>
  </si>
  <si>
    <t>엘살바도르</t>
  </si>
  <si>
    <t>니카라과</t>
  </si>
  <si>
    <t>쿠바</t>
  </si>
  <si>
    <t>아이티</t>
  </si>
  <si>
    <t>그레나다</t>
  </si>
  <si>
    <t>세인트루시아</t>
  </si>
  <si>
    <t>벨리즈</t>
  </si>
  <si>
    <t>앤티카바부다</t>
  </si>
  <si>
    <t>수리남</t>
  </si>
  <si>
    <t>바하마</t>
  </si>
  <si>
    <t>바베이도스</t>
  </si>
  <si>
    <t>미국인근섬</t>
  </si>
  <si>
    <t>가이아나</t>
  </si>
  <si>
    <t>유럽주</t>
  </si>
  <si>
    <t>러시아(연방)</t>
  </si>
  <si>
    <t>프랑스</t>
  </si>
  <si>
    <t>독일</t>
  </si>
  <si>
    <t>영국</t>
  </si>
  <si>
    <t>이탈리아</t>
  </si>
  <si>
    <t>스페인</t>
  </si>
  <si>
    <t>네덜란드</t>
  </si>
  <si>
    <t>스웨덴</t>
  </si>
  <si>
    <t>스위스</t>
  </si>
  <si>
    <t>폴란드</t>
  </si>
  <si>
    <t>핀란드</t>
  </si>
  <si>
    <t>벨기에</t>
  </si>
  <si>
    <t>오스트리아</t>
  </si>
  <si>
    <t>한국계러시아인</t>
  </si>
  <si>
    <t>노르웨이</t>
  </si>
  <si>
    <t>루마니아</t>
  </si>
  <si>
    <t>우크라이나</t>
  </si>
  <si>
    <t>아일랜드</t>
  </si>
  <si>
    <t>그리스</t>
  </si>
  <si>
    <t>포르투갈</t>
  </si>
  <si>
    <t>덴마크</t>
  </si>
  <si>
    <t>체코</t>
  </si>
  <si>
    <t>헝가리</t>
  </si>
  <si>
    <t>영국외지민</t>
  </si>
  <si>
    <t>크로아티아</t>
  </si>
  <si>
    <t>불가리아</t>
  </si>
  <si>
    <t>리투아니아</t>
  </si>
  <si>
    <t>슬로바크</t>
  </si>
  <si>
    <t>라트비아</t>
  </si>
  <si>
    <t>세르비아</t>
  </si>
  <si>
    <t>벨라루스</t>
  </si>
  <si>
    <t>룩셈부르크</t>
  </si>
  <si>
    <t>아제르바이잔</t>
  </si>
  <si>
    <t>에스토니아</t>
  </si>
  <si>
    <t>조지아</t>
  </si>
  <si>
    <t>알바니아</t>
  </si>
  <si>
    <t>슬로베니아</t>
  </si>
  <si>
    <t>보스니아-헤르체고비나</t>
  </si>
  <si>
    <t>몰타</t>
  </si>
  <si>
    <t>아이슬란드</t>
  </si>
  <si>
    <t>몬테네그로</t>
  </si>
  <si>
    <t>몰도바</t>
  </si>
  <si>
    <t>리히텐슈타인</t>
  </si>
  <si>
    <t>안도라</t>
  </si>
  <si>
    <t>아르메니아</t>
  </si>
  <si>
    <t>코소보</t>
  </si>
  <si>
    <t>모나코</t>
  </si>
  <si>
    <t>산마리노</t>
  </si>
  <si>
    <t>유고슬라비아</t>
  </si>
  <si>
    <t>스발바르</t>
  </si>
  <si>
    <t>세르비아몬테네그로</t>
  </si>
  <si>
    <t>북마케도니아</t>
  </si>
  <si>
    <t>오세아니아주</t>
  </si>
  <si>
    <t>오스트레일리아</t>
  </si>
  <si>
    <t>뉴질랜드</t>
  </si>
  <si>
    <t>피지</t>
  </si>
  <si>
    <t>미이크로네시아</t>
  </si>
  <si>
    <t>파푸아뉴기니</t>
  </si>
  <si>
    <t>마샬군도</t>
  </si>
  <si>
    <t>바누아투</t>
  </si>
  <si>
    <t>통가</t>
  </si>
  <si>
    <t>사모아</t>
  </si>
  <si>
    <t>팔라우</t>
  </si>
  <si>
    <t>나우루</t>
  </si>
  <si>
    <t>투발루</t>
  </si>
  <si>
    <t>아프리카주</t>
  </si>
  <si>
    <t>남아프리카공화국</t>
  </si>
  <si>
    <t>이집트</t>
  </si>
  <si>
    <t>나이지리아</t>
  </si>
  <si>
    <t>가나</t>
  </si>
  <si>
    <t>리비아</t>
  </si>
  <si>
    <t>모로코</t>
  </si>
  <si>
    <t>튀니지</t>
  </si>
  <si>
    <t>에티오피아</t>
  </si>
  <si>
    <t>라이베리아</t>
  </si>
  <si>
    <t>우간다</t>
  </si>
  <si>
    <t>케냐</t>
  </si>
  <si>
    <t>콩고민주공화국</t>
  </si>
  <si>
    <t>모리셔스</t>
  </si>
  <si>
    <t>카메룬</t>
  </si>
  <si>
    <t>알제리</t>
  </si>
  <si>
    <t>수단</t>
  </si>
  <si>
    <t>르완다</t>
  </si>
  <si>
    <t>코트디부아르</t>
  </si>
  <si>
    <t>탄자니아</t>
  </si>
  <si>
    <t>잠비아</t>
  </si>
  <si>
    <t>짐바브웨</t>
  </si>
  <si>
    <t>세네갈</t>
  </si>
  <si>
    <t>말리</t>
  </si>
  <si>
    <t>부룬디</t>
  </si>
  <si>
    <t>가봉</t>
  </si>
  <si>
    <t>모잠비크</t>
  </si>
  <si>
    <t>부르키나파소</t>
  </si>
  <si>
    <t>콩고</t>
  </si>
  <si>
    <t>앙골라</t>
  </si>
  <si>
    <t>에스와티니</t>
  </si>
  <si>
    <t>시에라리온</t>
  </si>
  <si>
    <t>베냉</t>
  </si>
  <si>
    <t>마다가스카르</t>
  </si>
  <si>
    <t>기니</t>
  </si>
  <si>
    <t>토고</t>
  </si>
  <si>
    <t>자이르</t>
  </si>
  <si>
    <t>감비아</t>
  </si>
  <si>
    <t>중앙아프리카공화국</t>
  </si>
  <si>
    <t>보츠와나</t>
  </si>
  <si>
    <t>말라위</t>
  </si>
  <si>
    <t>기니비사우</t>
  </si>
  <si>
    <t>세이셸</t>
  </si>
  <si>
    <t>니제르</t>
  </si>
  <si>
    <t>지부티</t>
  </si>
  <si>
    <t>소말리아</t>
  </si>
  <si>
    <t>모리타니</t>
  </si>
  <si>
    <t>레소토</t>
  </si>
  <si>
    <t>에리트레아</t>
  </si>
  <si>
    <t>상투메프린시페</t>
  </si>
  <si>
    <t>적도기니</t>
  </si>
  <si>
    <t>기타</t>
  </si>
  <si>
    <t>E-8(계절근로)</t>
    <phoneticPr fontId="18" type="noConversion"/>
  </si>
  <si>
    <t>남성</t>
    <phoneticPr fontId="18" type="noConversion"/>
  </si>
  <si>
    <t>여성</t>
    <phoneticPr fontId="18" type="noConversion"/>
  </si>
  <si>
    <t>제3의성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</si>
</sst>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603"/>
  <sheetViews>
    <sheetView tabSelected="1" workbookViewId="0"/>
  </sheetViews>
  <sheetFormatPr defaultRowHeight="16.5" x14ac:dyDescent="0.3"/>
  <cols>
    <col min="3" max="3" width="9" style="3"/>
    <col min="4" max="40" width="11.625" customWidth="1"/>
  </cols>
  <sheetData>
    <row r="1" spans="1:40" s="4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246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</row>
    <row r="2" spans="1:40" x14ac:dyDescent="0.3">
      <c r="A2" s="2" t="s">
        <v>3</v>
      </c>
      <c r="B2" s="2"/>
      <c r="C2" s="3" t="s">
        <v>39</v>
      </c>
      <c r="D2" s="1">
        <v>624195</v>
      </c>
      <c r="E2">
        <v>508</v>
      </c>
      <c r="F2" s="1">
        <v>1201</v>
      </c>
      <c r="G2" s="1">
        <v>192126</v>
      </c>
      <c r="H2" s="1">
        <v>174726</v>
      </c>
      <c r="I2">
        <v>14</v>
      </c>
      <c r="J2" s="1">
        <v>173498</v>
      </c>
      <c r="K2" s="1">
        <v>2469</v>
      </c>
      <c r="L2">
        <v>2</v>
      </c>
      <c r="M2">
        <v>444</v>
      </c>
      <c r="N2">
        <v>646</v>
      </c>
      <c r="O2" s="1">
        <v>7419</v>
      </c>
      <c r="P2">
        <v>2</v>
      </c>
      <c r="Q2">
        <v>71</v>
      </c>
      <c r="R2">
        <v>19</v>
      </c>
      <c r="S2">
        <v>40</v>
      </c>
      <c r="T2">
        <v>30</v>
      </c>
      <c r="U2">
        <v>18</v>
      </c>
      <c r="V2">
        <v>5</v>
      </c>
      <c r="W2">
        <v>83</v>
      </c>
      <c r="X2">
        <v>33</v>
      </c>
      <c r="Y2">
        <v>206</v>
      </c>
      <c r="Z2">
        <v>503</v>
      </c>
      <c r="AA2" s="1">
        <v>6721</v>
      </c>
      <c r="AB2" s="1">
        <v>7690</v>
      </c>
      <c r="AC2">
        <v>342</v>
      </c>
      <c r="AD2" s="1">
        <v>2170</v>
      </c>
      <c r="AE2">
        <v>254</v>
      </c>
      <c r="AF2" s="1">
        <v>1423</v>
      </c>
      <c r="AG2" s="1">
        <v>2350</v>
      </c>
      <c r="AH2">
        <v>233</v>
      </c>
      <c r="AI2" s="1">
        <v>1690</v>
      </c>
      <c r="AJ2">
        <v>66</v>
      </c>
      <c r="AK2">
        <v>198</v>
      </c>
      <c r="AL2" s="1">
        <v>1336</v>
      </c>
      <c r="AM2">
        <v>262</v>
      </c>
      <c r="AN2" s="1">
        <v>45397</v>
      </c>
    </row>
    <row r="3" spans="1:40" x14ac:dyDescent="0.3">
      <c r="A3" s="2"/>
      <c r="B3" s="2"/>
      <c r="C3" s="3" t="s">
        <v>247</v>
      </c>
      <c r="D3" s="1">
        <f>D7+D151+D162+D260+D416+D456+D642+D602</f>
        <v>313051</v>
      </c>
      <c r="E3" s="1">
        <f t="shared" ref="E3:AN3" si="0">E7+E151+E162+E260+E416+E456+E642+E602</f>
        <v>280</v>
      </c>
      <c r="F3" s="1">
        <f t="shared" si="0"/>
        <v>839</v>
      </c>
      <c r="G3" s="1">
        <f t="shared" si="0"/>
        <v>89781</v>
      </c>
      <c r="H3" s="1">
        <f t="shared" si="0"/>
        <v>80548</v>
      </c>
      <c r="I3" s="1">
        <f t="shared" si="0"/>
        <v>11</v>
      </c>
      <c r="J3" s="1">
        <f t="shared" si="0"/>
        <v>85188</v>
      </c>
      <c r="K3" s="1">
        <f t="shared" si="0"/>
        <v>1995</v>
      </c>
      <c r="L3" s="1">
        <f t="shared" si="0"/>
        <v>1</v>
      </c>
      <c r="M3" s="1">
        <f t="shared" si="0"/>
        <v>216</v>
      </c>
      <c r="N3" s="1">
        <f t="shared" si="0"/>
        <v>529</v>
      </c>
      <c r="O3" s="1">
        <f t="shared" si="0"/>
        <v>3839</v>
      </c>
      <c r="P3" s="1">
        <f t="shared" si="0"/>
        <v>1</v>
      </c>
      <c r="Q3" s="1">
        <f t="shared" si="0"/>
        <v>55</v>
      </c>
      <c r="R3" s="1">
        <f t="shared" si="0"/>
        <v>14</v>
      </c>
      <c r="S3" s="1">
        <f t="shared" si="0"/>
        <v>31</v>
      </c>
      <c r="T3" s="1">
        <f t="shared" si="0"/>
        <v>30</v>
      </c>
      <c r="U3" s="1">
        <f t="shared" si="0"/>
        <v>4</v>
      </c>
      <c r="V3" s="1">
        <f t="shared" si="0"/>
        <v>4</v>
      </c>
      <c r="W3" s="1">
        <f t="shared" si="0"/>
        <v>21</v>
      </c>
      <c r="X3" s="1">
        <f t="shared" si="0"/>
        <v>25</v>
      </c>
      <c r="Y3" s="1">
        <f t="shared" si="0"/>
        <v>56</v>
      </c>
      <c r="Z3" s="1">
        <f t="shared" si="0"/>
        <v>423</v>
      </c>
      <c r="AA3" s="1">
        <f t="shared" si="0"/>
        <v>3719</v>
      </c>
      <c r="AB3" s="1">
        <f t="shared" si="0"/>
        <v>6937</v>
      </c>
      <c r="AC3" s="1">
        <f t="shared" si="0"/>
        <v>341</v>
      </c>
      <c r="AD3" s="1">
        <f t="shared" si="0"/>
        <v>758</v>
      </c>
      <c r="AE3" s="1">
        <f t="shared" si="0"/>
        <v>119</v>
      </c>
      <c r="AF3" s="1">
        <f t="shared" si="0"/>
        <v>361</v>
      </c>
      <c r="AG3" s="1">
        <f t="shared" si="0"/>
        <v>1045</v>
      </c>
      <c r="AH3" s="1">
        <f t="shared" si="0"/>
        <v>69</v>
      </c>
      <c r="AI3" s="1">
        <f t="shared" si="0"/>
        <v>149</v>
      </c>
      <c r="AJ3" s="1">
        <f t="shared" si="0"/>
        <v>56</v>
      </c>
      <c r="AK3" s="1">
        <f t="shared" si="0"/>
        <v>48</v>
      </c>
      <c r="AL3" s="1">
        <f t="shared" si="0"/>
        <v>737</v>
      </c>
      <c r="AM3" s="1">
        <f t="shared" si="0"/>
        <v>137</v>
      </c>
      <c r="AN3" s="1">
        <f t="shared" si="0"/>
        <v>34684</v>
      </c>
    </row>
    <row r="4" spans="1:40" x14ac:dyDescent="0.3">
      <c r="A4" s="2"/>
      <c r="B4" s="2"/>
      <c r="C4" s="3" t="s">
        <v>248</v>
      </c>
      <c r="D4" s="1">
        <f>D8+D152+D163+D261+D417+D457+D643+D603</f>
        <v>311130</v>
      </c>
      <c r="E4" s="1">
        <f t="shared" ref="E4:AN4" si="1">E8+E152+E163+E261+E417+E457+E643+E603</f>
        <v>228</v>
      </c>
      <c r="F4" s="1">
        <f t="shared" si="1"/>
        <v>362</v>
      </c>
      <c r="G4" s="1">
        <f t="shared" si="1"/>
        <v>102344</v>
      </c>
      <c r="H4" s="1">
        <f t="shared" si="1"/>
        <v>94167</v>
      </c>
      <c r="I4" s="1">
        <f t="shared" si="1"/>
        <v>3</v>
      </c>
      <c r="J4" s="1">
        <f t="shared" si="1"/>
        <v>88310</v>
      </c>
      <c r="K4" s="1">
        <f t="shared" si="1"/>
        <v>474</v>
      </c>
      <c r="L4" s="1">
        <f t="shared" si="1"/>
        <v>1</v>
      </c>
      <c r="M4" s="1">
        <f t="shared" si="1"/>
        <v>228</v>
      </c>
      <c r="N4" s="1">
        <f t="shared" si="1"/>
        <v>117</v>
      </c>
      <c r="O4" s="1">
        <f t="shared" si="1"/>
        <v>3580</v>
      </c>
      <c r="P4" s="1">
        <f t="shared" si="1"/>
        <v>1</v>
      </c>
      <c r="Q4" s="1">
        <f t="shared" si="1"/>
        <v>16</v>
      </c>
      <c r="R4" s="1">
        <f t="shared" si="1"/>
        <v>5</v>
      </c>
      <c r="S4" s="1">
        <f t="shared" si="1"/>
        <v>9</v>
      </c>
      <c r="T4" s="1">
        <f t="shared" si="1"/>
        <v>0</v>
      </c>
      <c r="U4" s="1">
        <f t="shared" si="1"/>
        <v>14</v>
      </c>
      <c r="V4" s="1">
        <f t="shared" si="1"/>
        <v>1</v>
      </c>
      <c r="W4" s="1">
        <f t="shared" si="1"/>
        <v>62</v>
      </c>
      <c r="X4" s="1">
        <f t="shared" si="1"/>
        <v>8</v>
      </c>
      <c r="Y4" s="1">
        <f t="shared" si="1"/>
        <v>150</v>
      </c>
      <c r="Z4" s="1">
        <f t="shared" si="1"/>
        <v>80</v>
      </c>
      <c r="AA4" s="1">
        <f t="shared" si="1"/>
        <v>3002</v>
      </c>
      <c r="AB4" s="1">
        <f t="shared" si="1"/>
        <v>753</v>
      </c>
      <c r="AC4" s="1">
        <f t="shared" si="1"/>
        <v>1</v>
      </c>
      <c r="AD4" s="1">
        <f t="shared" si="1"/>
        <v>1412</v>
      </c>
      <c r="AE4" s="1">
        <f t="shared" si="1"/>
        <v>135</v>
      </c>
      <c r="AF4" s="1">
        <f t="shared" si="1"/>
        <v>1062</v>
      </c>
      <c r="AG4" s="1">
        <f t="shared" si="1"/>
        <v>1304</v>
      </c>
      <c r="AH4" s="1">
        <f t="shared" si="1"/>
        <v>164</v>
      </c>
      <c r="AI4" s="1">
        <f t="shared" si="1"/>
        <v>1541</v>
      </c>
      <c r="AJ4" s="1">
        <f t="shared" si="1"/>
        <v>10</v>
      </c>
      <c r="AK4" s="1">
        <f t="shared" si="1"/>
        <v>150</v>
      </c>
      <c r="AL4" s="1">
        <f t="shared" si="1"/>
        <v>599</v>
      </c>
      <c r="AM4" s="1">
        <f t="shared" si="1"/>
        <v>125</v>
      </c>
      <c r="AN4" s="1">
        <f t="shared" si="1"/>
        <v>10712</v>
      </c>
    </row>
    <row r="5" spans="1:40" x14ac:dyDescent="0.3">
      <c r="A5" s="2"/>
      <c r="B5" s="2"/>
      <c r="C5" s="3" t="s">
        <v>249</v>
      </c>
      <c r="D5" s="1">
        <f>D153+D262+D418</f>
        <v>14</v>
      </c>
      <c r="E5" s="1">
        <f t="shared" ref="E5:AN5" si="2">E153+E262+E418</f>
        <v>0</v>
      </c>
      <c r="F5" s="1">
        <f t="shared" si="2"/>
        <v>0</v>
      </c>
      <c r="G5" s="1">
        <f t="shared" si="2"/>
        <v>1</v>
      </c>
      <c r="H5" s="1">
        <f t="shared" si="2"/>
        <v>11</v>
      </c>
      <c r="I5" s="1">
        <f t="shared" si="2"/>
        <v>0</v>
      </c>
      <c r="J5" s="1">
        <f t="shared" si="2"/>
        <v>0</v>
      </c>
      <c r="K5" s="1">
        <f t="shared" si="2"/>
        <v>0</v>
      </c>
      <c r="L5" s="1">
        <f t="shared" si="2"/>
        <v>0</v>
      </c>
      <c r="M5" s="1">
        <f t="shared" si="2"/>
        <v>0</v>
      </c>
      <c r="N5" s="1">
        <f t="shared" si="2"/>
        <v>0</v>
      </c>
      <c r="O5" s="1">
        <f t="shared" si="2"/>
        <v>0</v>
      </c>
      <c r="P5" s="1">
        <f t="shared" si="2"/>
        <v>0</v>
      </c>
      <c r="Q5" s="1">
        <f t="shared" si="2"/>
        <v>0</v>
      </c>
      <c r="R5" s="1">
        <f t="shared" si="2"/>
        <v>0</v>
      </c>
      <c r="S5" s="1">
        <f t="shared" si="2"/>
        <v>0</v>
      </c>
      <c r="T5" s="1">
        <f t="shared" si="2"/>
        <v>0</v>
      </c>
      <c r="U5" s="1">
        <f t="shared" si="2"/>
        <v>0</v>
      </c>
      <c r="V5" s="1">
        <f t="shared" si="2"/>
        <v>0</v>
      </c>
      <c r="W5" s="1">
        <f t="shared" si="2"/>
        <v>0</v>
      </c>
      <c r="X5" s="1">
        <f t="shared" si="2"/>
        <v>0</v>
      </c>
      <c r="Y5" s="1">
        <f t="shared" si="2"/>
        <v>0</v>
      </c>
      <c r="Z5" s="1">
        <f t="shared" si="2"/>
        <v>0</v>
      </c>
      <c r="AA5" s="1">
        <f t="shared" si="2"/>
        <v>0</v>
      </c>
      <c r="AB5" s="1">
        <f t="shared" si="2"/>
        <v>0</v>
      </c>
      <c r="AC5" s="1">
        <f t="shared" si="2"/>
        <v>0</v>
      </c>
      <c r="AD5" s="1">
        <f t="shared" si="2"/>
        <v>0</v>
      </c>
      <c r="AE5" s="1">
        <f t="shared" si="2"/>
        <v>0</v>
      </c>
      <c r="AF5" s="1">
        <f t="shared" si="2"/>
        <v>0</v>
      </c>
      <c r="AG5" s="1">
        <f t="shared" si="2"/>
        <v>1</v>
      </c>
      <c r="AH5" s="1">
        <f t="shared" si="2"/>
        <v>0</v>
      </c>
      <c r="AI5" s="1">
        <f t="shared" si="2"/>
        <v>0</v>
      </c>
      <c r="AJ5" s="1">
        <f t="shared" si="2"/>
        <v>0</v>
      </c>
      <c r="AK5" s="1">
        <f t="shared" si="2"/>
        <v>0</v>
      </c>
      <c r="AL5" s="1">
        <f t="shared" si="2"/>
        <v>0</v>
      </c>
      <c r="AM5" s="1">
        <f t="shared" si="2"/>
        <v>0</v>
      </c>
      <c r="AN5" s="1">
        <f t="shared" si="2"/>
        <v>1</v>
      </c>
    </row>
    <row r="6" spans="1:40" x14ac:dyDescent="0.3">
      <c r="A6" s="2" t="s">
        <v>40</v>
      </c>
      <c r="B6" s="2"/>
      <c r="C6" s="3" t="s">
        <v>39</v>
      </c>
      <c r="D6" s="1">
        <v>475685</v>
      </c>
      <c r="E6">
        <v>206</v>
      </c>
      <c r="F6">
        <v>557</v>
      </c>
      <c r="G6" s="1">
        <v>160184</v>
      </c>
      <c r="H6" s="1">
        <v>107920</v>
      </c>
      <c r="I6">
        <v>12</v>
      </c>
      <c r="J6" s="1">
        <v>170571</v>
      </c>
      <c r="K6" s="1">
        <v>2021</v>
      </c>
      <c r="L6">
        <v>1</v>
      </c>
      <c r="M6">
        <v>392</v>
      </c>
      <c r="N6">
        <v>645</v>
      </c>
      <c r="O6" s="1">
        <v>7215</v>
      </c>
      <c r="P6">
        <v>1</v>
      </c>
      <c r="Q6">
        <v>22</v>
      </c>
      <c r="R6">
        <v>18</v>
      </c>
      <c r="S6">
        <v>27</v>
      </c>
      <c r="T6">
        <v>19</v>
      </c>
      <c r="U6">
        <v>17</v>
      </c>
      <c r="V6">
        <v>3</v>
      </c>
      <c r="W6">
        <v>5</v>
      </c>
      <c r="X6">
        <v>28</v>
      </c>
      <c r="Y6">
        <v>148</v>
      </c>
      <c r="Z6">
        <v>479</v>
      </c>
      <c r="AA6" s="1">
        <v>6721</v>
      </c>
      <c r="AB6" s="1">
        <v>7689</v>
      </c>
      <c r="AC6">
        <v>342</v>
      </c>
      <c r="AD6" s="1">
        <v>1872</v>
      </c>
      <c r="AE6">
        <v>217</v>
      </c>
      <c r="AF6" s="1">
        <v>1304</v>
      </c>
      <c r="AG6" s="1">
        <v>1385</v>
      </c>
      <c r="AH6">
        <v>200</v>
      </c>
      <c r="AI6" s="1">
        <v>1585</v>
      </c>
      <c r="AJ6">
        <v>53</v>
      </c>
      <c r="AK6">
        <v>91</v>
      </c>
      <c r="AL6" s="1">
        <v>1330</v>
      </c>
      <c r="AM6">
        <v>221</v>
      </c>
      <c r="AN6" s="1">
        <v>2184</v>
      </c>
    </row>
    <row r="7" spans="1:40" x14ac:dyDescent="0.3">
      <c r="A7" s="2"/>
      <c r="B7" s="2"/>
      <c r="C7" s="3" t="s">
        <v>247</v>
      </c>
      <c r="D7" s="1">
        <f>D10+D13+D16+D19+D22+D25+D28+D31+D34+D37+D40+D43+D46+D49+D52+D55+D58+D61+D64+D67+D70+D73+D76+D79+D82+D85+D88+D91+D94+D97+D100+D103+D106+D109+D112+D115+D118+D121+D124+D127+D130+D133+D136+D139+D142+D145+D148</f>
        <v>225116</v>
      </c>
      <c r="E7" s="1">
        <f t="shared" ref="E7:AN7" si="3">E10+E13+E16+E19+E22+E25+E28+E31+E34+E37+E40+E43+E46+E49+E52+E55+E58+E61+E64+E67+E70+E73+E76+E79+E82+E85+E88+E91+E94+E97+E100+E103+E106+E109+E112+E115+E118+E121+E124+E127+E130+E133+E136+E139+E142+E145+E148</f>
        <v>102</v>
      </c>
      <c r="F7" s="1">
        <f t="shared" si="3"/>
        <v>381</v>
      </c>
      <c r="G7" s="1">
        <f t="shared" si="3"/>
        <v>73351</v>
      </c>
      <c r="H7" s="1">
        <f t="shared" si="3"/>
        <v>46723</v>
      </c>
      <c r="I7" s="1">
        <f t="shared" si="3"/>
        <v>9</v>
      </c>
      <c r="J7" s="1">
        <f t="shared" si="3"/>
        <v>83145</v>
      </c>
      <c r="K7" s="1">
        <f t="shared" si="3"/>
        <v>1764</v>
      </c>
      <c r="L7" s="1">
        <f t="shared" si="3"/>
        <v>0</v>
      </c>
      <c r="M7" s="1">
        <f t="shared" si="3"/>
        <v>200</v>
      </c>
      <c r="N7" s="1">
        <f t="shared" si="3"/>
        <v>528</v>
      </c>
      <c r="O7" s="1">
        <f t="shared" si="3"/>
        <v>3782</v>
      </c>
      <c r="P7" s="1">
        <f t="shared" si="3"/>
        <v>1</v>
      </c>
      <c r="Q7" s="1">
        <f t="shared" si="3"/>
        <v>17</v>
      </c>
      <c r="R7" s="1">
        <f t="shared" si="3"/>
        <v>13</v>
      </c>
      <c r="S7" s="1">
        <f t="shared" si="3"/>
        <v>20</v>
      </c>
      <c r="T7" s="1">
        <f t="shared" si="3"/>
        <v>19</v>
      </c>
      <c r="U7" s="1">
        <f t="shared" si="3"/>
        <v>4</v>
      </c>
      <c r="V7" s="1">
        <f t="shared" si="3"/>
        <v>2</v>
      </c>
      <c r="W7" s="1">
        <f t="shared" si="3"/>
        <v>1</v>
      </c>
      <c r="X7" s="1">
        <f t="shared" si="3"/>
        <v>21</v>
      </c>
      <c r="Y7" s="1">
        <f t="shared" si="3"/>
        <v>30</v>
      </c>
      <c r="Z7" s="1">
        <f t="shared" si="3"/>
        <v>409</v>
      </c>
      <c r="AA7" s="1">
        <f t="shared" si="3"/>
        <v>3719</v>
      </c>
      <c r="AB7" s="1">
        <f t="shared" si="3"/>
        <v>6936</v>
      </c>
      <c r="AC7" s="1">
        <f t="shared" si="3"/>
        <v>341</v>
      </c>
      <c r="AD7" s="1">
        <f t="shared" si="3"/>
        <v>615</v>
      </c>
      <c r="AE7" s="1">
        <f t="shared" si="3"/>
        <v>101</v>
      </c>
      <c r="AF7" s="1">
        <f t="shared" si="3"/>
        <v>315</v>
      </c>
      <c r="AG7" s="1">
        <f t="shared" si="3"/>
        <v>563</v>
      </c>
      <c r="AH7" s="1">
        <f t="shared" si="3"/>
        <v>53</v>
      </c>
      <c r="AI7" s="1">
        <f t="shared" si="3"/>
        <v>108</v>
      </c>
      <c r="AJ7" s="1">
        <f t="shared" si="3"/>
        <v>46</v>
      </c>
      <c r="AK7" s="1">
        <f t="shared" si="3"/>
        <v>17</v>
      </c>
      <c r="AL7" s="1">
        <f t="shared" si="3"/>
        <v>732</v>
      </c>
      <c r="AM7" s="1">
        <f t="shared" si="3"/>
        <v>119</v>
      </c>
      <c r="AN7" s="1">
        <f t="shared" si="3"/>
        <v>929</v>
      </c>
    </row>
    <row r="8" spans="1:40" x14ac:dyDescent="0.3">
      <c r="A8" s="2"/>
      <c r="B8" s="2"/>
      <c r="C8" s="3" t="s">
        <v>248</v>
      </c>
      <c r="D8" s="1">
        <f>D11+D14+D17+D20+D23+D26+D29+D32+D35+D38+D41+D44+D47+D50+D53+D56+D59+D62+D65+D68+D71+D74+D77+D80+D83+D86+D89+D92+D95+D98+D101+D104+D107+D110+D113+D116+D119+D122+D125+D128+D131+D134+D137+D140+D143+D146+D149</f>
        <v>250569</v>
      </c>
      <c r="E8" s="1">
        <f t="shared" ref="E8:AN8" si="4">E11+E14+E17+E20+E23+E26+E29+E32+E35+E38+E41+E44+E47+E50+E53+E56+E59+E62+E65+E68+E71+E74+E77+E80+E83+E86+E89+E92+E95+E98+E101+E104+E107+E110+E113+E116+E119+E122+E125+E128+E131+E134+E137+E140+E143+E146+E149</f>
        <v>104</v>
      </c>
      <c r="F8" s="1">
        <f t="shared" si="4"/>
        <v>176</v>
      </c>
      <c r="G8" s="1">
        <f t="shared" si="4"/>
        <v>86833</v>
      </c>
      <c r="H8" s="1">
        <f t="shared" si="4"/>
        <v>61197</v>
      </c>
      <c r="I8" s="1">
        <f t="shared" si="4"/>
        <v>3</v>
      </c>
      <c r="J8" s="1">
        <f t="shared" si="4"/>
        <v>87426</v>
      </c>
      <c r="K8" s="1">
        <f t="shared" si="4"/>
        <v>257</v>
      </c>
      <c r="L8" s="1">
        <f t="shared" si="4"/>
        <v>1</v>
      </c>
      <c r="M8" s="1">
        <f t="shared" si="4"/>
        <v>192</v>
      </c>
      <c r="N8" s="1">
        <f t="shared" si="4"/>
        <v>117</v>
      </c>
      <c r="O8" s="1">
        <f t="shared" si="4"/>
        <v>3433</v>
      </c>
      <c r="P8" s="1">
        <f t="shared" si="4"/>
        <v>0</v>
      </c>
      <c r="Q8" s="1">
        <f t="shared" si="4"/>
        <v>5</v>
      </c>
      <c r="R8" s="1">
        <f t="shared" si="4"/>
        <v>5</v>
      </c>
      <c r="S8" s="1">
        <f t="shared" si="4"/>
        <v>7</v>
      </c>
      <c r="T8" s="1">
        <f t="shared" si="4"/>
        <v>0</v>
      </c>
      <c r="U8" s="1">
        <f t="shared" si="4"/>
        <v>13</v>
      </c>
      <c r="V8" s="1">
        <f t="shared" si="4"/>
        <v>1</v>
      </c>
      <c r="W8" s="1">
        <f t="shared" si="4"/>
        <v>4</v>
      </c>
      <c r="X8" s="1">
        <f t="shared" si="4"/>
        <v>7</v>
      </c>
      <c r="Y8" s="1">
        <f t="shared" si="4"/>
        <v>118</v>
      </c>
      <c r="Z8" s="1">
        <f t="shared" si="4"/>
        <v>70</v>
      </c>
      <c r="AA8" s="1">
        <f t="shared" si="4"/>
        <v>3002</v>
      </c>
      <c r="AB8" s="1">
        <f t="shared" si="4"/>
        <v>753</v>
      </c>
      <c r="AC8" s="1">
        <f t="shared" si="4"/>
        <v>1</v>
      </c>
      <c r="AD8" s="1">
        <f t="shared" si="4"/>
        <v>1257</v>
      </c>
      <c r="AE8" s="1">
        <f t="shared" si="4"/>
        <v>116</v>
      </c>
      <c r="AF8" s="1">
        <f t="shared" si="4"/>
        <v>989</v>
      </c>
      <c r="AG8" s="1">
        <f t="shared" si="4"/>
        <v>822</v>
      </c>
      <c r="AH8" s="1">
        <f t="shared" si="4"/>
        <v>147</v>
      </c>
      <c r="AI8" s="1">
        <f t="shared" si="4"/>
        <v>1477</v>
      </c>
      <c r="AJ8" s="1">
        <f t="shared" si="4"/>
        <v>7</v>
      </c>
      <c r="AK8" s="1">
        <f t="shared" si="4"/>
        <v>74</v>
      </c>
      <c r="AL8" s="1">
        <f t="shared" si="4"/>
        <v>598</v>
      </c>
      <c r="AM8" s="1">
        <f t="shared" si="4"/>
        <v>102</v>
      </c>
      <c r="AN8" s="1">
        <f t="shared" si="4"/>
        <v>1255</v>
      </c>
    </row>
    <row r="9" spans="1:40" x14ac:dyDescent="0.3">
      <c r="A9" t="s">
        <v>40</v>
      </c>
      <c r="B9" t="s">
        <v>41</v>
      </c>
      <c r="C9" s="3" t="s">
        <v>39</v>
      </c>
      <c r="D9" s="1">
        <v>123949</v>
      </c>
      <c r="E9">
        <v>10</v>
      </c>
      <c r="F9">
        <v>23</v>
      </c>
      <c r="G9" s="1">
        <v>121875</v>
      </c>
      <c r="H9">
        <v>43</v>
      </c>
      <c r="I9">
        <v>0</v>
      </c>
      <c r="J9">
        <v>818</v>
      </c>
      <c r="K9">
        <v>7</v>
      </c>
      <c r="L9">
        <v>0</v>
      </c>
      <c r="M9">
        <v>2</v>
      </c>
      <c r="N9">
        <v>15</v>
      </c>
      <c r="O9">
        <v>28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10</v>
      </c>
      <c r="AA9">
        <v>127</v>
      </c>
      <c r="AB9">
        <v>785</v>
      </c>
      <c r="AC9">
        <v>0</v>
      </c>
      <c r="AD9">
        <v>30</v>
      </c>
      <c r="AE9">
        <v>1</v>
      </c>
      <c r="AF9">
        <v>13</v>
      </c>
      <c r="AG9">
        <v>0</v>
      </c>
      <c r="AH9">
        <v>7</v>
      </c>
      <c r="AI9">
        <v>59</v>
      </c>
      <c r="AJ9">
        <v>2</v>
      </c>
      <c r="AK9">
        <v>0</v>
      </c>
      <c r="AL9">
        <v>0</v>
      </c>
      <c r="AM9">
        <v>14</v>
      </c>
      <c r="AN9" s="1">
        <v>80</v>
      </c>
    </row>
    <row r="10" spans="1:40" x14ac:dyDescent="0.3">
      <c r="A10" t="s">
        <v>40</v>
      </c>
      <c r="B10" t="s">
        <v>41</v>
      </c>
      <c r="C10" s="3" t="s">
        <v>42</v>
      </c>
      <c r="D10" s="1">
        <v>52816</v>
      </c>
      <c r="E10">
        <v>5</v>
      </c>
      <c r="F10">
        <v>15</v>
      </c>
      <c r="G10" s="1">
        <v>51762</v>
      </c>
      <c r="H10">
        <v>24</v>
      </c>
      <c r="I10">
        <v>0</v>
      </c>
      <c r="J10">
        <v>244</v>
      </c>
      <c r="K10">
        <v>5</v>
      </c>
      <c r="L10">
        <v>0</v>
      </c>
      <c r="M10">
        <v>0</v>
      </c>
      <c r="N10">
        <v>15</v>
      </c>
      <c r="O10">
        <v>6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9</v>
      </c>
      <c r="AA10">
        <v>64</v>
      </c>
      <c r="AB10">
        <v>637</v>
      </c>
      <c r="AC10">
        <v>0</v>
      </c>
      <c r="AD10">
        <v>3</v>
      </c>
      <c r="AE10">
        <v>1</v>
      </c>
      <c r="AF10">
        <v>1</v>
      </c>
      <c r="AG10">
        <v>0</v>
      </c>
      <c r="AH10">
        <v>1</v>
      </c>
      <c r="AI10">
        <v>1</v>
      </c>
      <c r="AJ10">
        <v>1</v>
      </c>
      <c r="AK10">
        <v>0</v>
      </c>
      <c r="AL10">
        <v>0</v>
      </c>
      <c r="AM10">
        <v>7</v>
      </c>
      <c r="AN10" s="1">
        <v>15</v>
      </c>
    </row>
    <row r="11" spans="1:40" x14ac:dyDescent="0.3">
      <c r="A11" t="s">
        <v>40</v>
      </c>
      <c r="B11" t="s">
        <v>41</v>
      </c>
      <c r="C11" s="3" t="s">
        <v>43</v>
      </c>
      <c r="D11" s="1">
        <v>71133</v>
      </c>
      <c r="E11">
        <v>5</v>
      </c>
      <c r="F11">
        <v>8</v>
      </c>
      <c r="G11" s="1">
        <v>70113</v>
      </c>
      <c r="H11">
        <v>19</v>
      </c>
      <c r="I11">
        <v>0</v>
      </c>
      <c r="J11">
        <v>574</v>
      </c>
      <c r="K11">
        <v>2</v>
      </c>
      <c r="L11">
        <v>0</v>
      </c>
      <c r="M11">
        <v>2</v>
      </c>
      <c r="N11">
        <v>0</v>
      </c>
      <c r="O11">
        <v>22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  <c r="AA11">
        <v>63</v>
      </c>
      <c r="AB11">
        <v>148</v>
      </c>
      <c r="AC11">
        <v>0</v>
      </c>
      <c r="AD11">
        <v>27</v>
      </c>
      <c r="AE11">
        <v>0</v>
      </c>
      <c r="AF11">
        <v>12</v>
      </c>
      <c r="AG11" s="1">
        <v>0</v>
      </c>
      <c r="AH11">
        <v>6</v>
      </c>
      <c r="AI11">
        <v>58</v>
      </c>
      <c r="AJ11">
        <v>1</v>
      </c>
      <c r="AK11">
        <v>0</v>
      </c>
      <c r="AL11" s="1">
        <v>0</v>
      </c>
      <c r="AM11">
        <v>7</v>
      </c>
      <c r="AN11" s="1">
        <v>65</v>
      </c>
    </row>
    <row r="12" spans="1:40" x14ac:dyDescent="0.3">
      <c r="A12" t="s">
        <v>40</v>
      </c>
      <c r="B12" t="s">
        <v>44</v>
      </c>
      <c r="C12" s="3" t="s">
        <v>39</v>
      </c>
      <c r="D12" s="1">
        <v>110639</v>
      </c>
      <c r="E12">
        <v>16</v>
      </c>
      <c r="F12">
        <v>22</v>
      </c>
      <c r="G12" s="1">
        <v>0</v>
      </c>
      <c r="H12" s="1">
        <v>24245</v>
      </c>
      <c r="I12" s="1">
        <v>0</v>
      </c>
      <c r="J12" s="1">
        <v>82913</v>
      </c>
      <c r="K12" s="1">
        <v>1087</v>
      </c>
      <c r="L12" s="1">
        <v>0</v>
      </c>
      <c r="M12">
        <v>188</v>
      </c>
      <c r="N12">
        <v>106</v>
      </c>
      <c r="O12">
        <v>314</v>
      </c>
      <c r="P12">
        <v>0</v>
      </c>
      <c r="Q12">
        <v>0</v>
      </c>
      <c r="R12">
        <v>7</v>
      </c>
      <c r="S12">
        <v>8</v>
      </c>
      <c r="T12">
        <v>6</v>
      </c>
      <c r="U12">
        <v>8</v>
      </c>
      <c r="V12">
        <v>1</v>
      </c>
      <c r="W12">
        <v>2</v>
      </c>
      <c r="X12">
        <v>7</v>
      </c>
      <c r="Y12">
        <v>15</v>
      </c>
      <c r="Z12">
        <v>318</v>
      </c>
      <c r="AA12">
        <v>11</v>
      </c>
      <c r="AB12">
        <v>36</v>
      </c>
      <c r="AC12">
        <v>100</v>
      </c>
      <c r="AD12">
        <v>413</v>
      </c>
      <c r="AE12">
        <v>51</v>
      </c>
      <c r="AF12">
        <v>107</v>
      </c>
      <c r="AG12" s="1">
        <v>0</v>
      </c>
      <c r="AH12">
        <v>29</v>
      </c>
      <c r="AI12">
        <v>127</v>
      </c>
      <c r="AJ12">
        <v>5</v>
      </c>
      <c r="AK12">
        <v>0</v>
      </c>
      <c r="AL12" s="1">
        <v>0</v>
      </c>
      <c r="AM12">
        <v>151</v>
      </c>
      <c r="AN12" s="1">
        <v>346</v>
      </c>
    </row>
    <row r="13" spans="1:40" x14ac:dyDescent="0.3">
      <c r="A13" t="s">
        <v>40</v>
      </c>
      <c r="B13" t="s">
        <v>44</v>
      </c>
      <c r="C13" s="3" t="s">
        <v>42</v>
      </c>
      <c r="D13" s="1">
        <v>51053</v>
      </c>
      <c r="E13">
        <v>7</v>
      </c>
      <c r="F13">
        <v>16</v>
      </c>
      <c r="G13" s="1">
        <v>0</v>
      </c>
      <c r="H13" s="1">
        <v>12634</v>
      </c>
      <c r="I13" s="1">
        <v>0</v>
      </c>
      <c r="J13" s="1">
        <v>36123</v>
      </c>
      <c r="K13" s="1">
        <v>1005</v>
      </c>
      <c r="L13" s="1">
        <v>0</v>
      </c>
      <c r="M13">
        <v>79</v>
      </c>
      <c r="N13">
        <v>76</v>
      </c>
      <c r="O13">
        <v>177</v>
      </c>
      <c r="P13">
        <v>0</v>
      </c>
      <c r="Q13">
        <v>0</v>
      </c>
      <c r="R13">
        <v>4</v>
      </c>
      <c r="S13">
        <v>6</v>
      </c>
      <c r="T13">
        <v>6</v>
      </c>
      <c r="U13">
        <v>1</v>
      </c>
      <c r="V13">
        <v>1</v>
      </c>
      <c r="W13">
        <v>0</v>
      </c>
      <c r="X13">
        <v>4</v>
      </c>
      <c r="Y13">
        <v>8</v>
      </c>
      <c r="Z13">
        <v>257</v>
      </c>
      <c r="AA13">
        <v>5</v>
      </c>
      <c r="AB13">
        <v>32</v>
      </c>
      <c r="AC13">
        <v>100</v>
      </c>
      <c r="AD13">
        <v>166</v>
      </c>
      <c r="AE13">
        <v>16</v>
      </c>
      <c r="AF13">
        <v>28</v>
      </c>
      <c r="AG13" s="1">
        <v>0</v>
      </c>
      <c r="AH13">
        <v>13</v>
      </c>
      <c r="AI13">
        <v>25</v>
      </c>
      <c r="AJ13">
        <v>5</v>
      </c>
      <c r="AK13">
        <v>0</v>
      </c>
      <c r="AL13" s="1">
        <v>0</v>
      </c>
      <c r="AM13">
        <v>84</v>
      </c>
      <c r="AN13" s="1">
        <v>175</v>
      </c>
    </row>
    <row r="14" spans="1:40" x14ac:dyDescent="0.3">
      <c r="A14" t="s">
        <v>40</v>
      </c>
      <c r="B14" t="s">
        <v>44</v>
      </c>
      <c r="C14" s="3" t="s">
        <v>43</v>
      </c>
      <c r="D14" s="1">
        <v>59586</v>
      </c>
      <c r="E14">
        <v>9</v>
      </c>
      <c r="F14">
        <v>6</v>
      </c>
      <c r="G14" s="1">
        <v>0</v>
      </c>
      <c r="H14" s="1">
        <v>11611</v>
      </c>
      <c r="I14" s="1">
        <v>0</v>
      </c>
      <c r="J14" s="1">
        <v>46790</v>
      </c>
      <c r="K14">
        <v>82</v>
      </c>
      <c r="L14" s="1">
        <v>0</v>
      </c>
      <c r="M14">
        <v>109</v>
      </c>
      <c r="N14">
        <v>30</v>
      </c>
      <c r="O14">
        <v>137</v>
      </c>
      <c r="P14">
        <v>0</v>
      </c>
      <c r="Q14">
        <v>0</v>
      </c>
      <c r="R14">
        <v>3</v>
      </c>
      <c r="S14">
        <v>2</v>
      </c>
      <c r="T14">
        <v>0</v>
      </c>
      <c r="U14">
        <v>7</v>
      </c>
      <c r="V14">
        <v>0</v>
      </c>
      <c r="W14">
        <v>2</v>
      </c>
      <c r="X14">
        <v>3</v>
      </c>
      <c r="Y14">
        <v>7</v>
      </c>
      <c r="Z14">
        <v>61</v>
      </c>
      <c r="AA14">
        <v>6</v>
      </c>
      <c r="AB14">
        <v>4</v>
      </c>
      <c r="AC14">
        <v>0</v>
      </c>
      <c r="AD14">
        <v>247</v>
      </c>
      <c r="AE14">
        <v>35</v>
      </c>
      <c r="AF14">
        <v>79</v>
      </c>
      <c r="AG14" s="1">
        <v>0</v>
      </c>
      <c r="AH14">
        <v>16</v>
      </c>
      <c r="AI14">
        <v>102</v>
      </c>
      <c r="AJ14">
        <v>0</v>
      </c>
      <c r="AK14">
        <v>0</v>
      </c>
      <c r="AL14" s="1">
        <v>0</v>
      </c>
      <c r="AM14">
        <v>67</v>
      </c>
      <c r="AN14" s="1">
        <v>171</v>
      </c>
    </row>
    <row r="15" spans="1:40" x14ac:dyDescent="0.3">
      <c r="A15" t="s">
        <v>40</v>
      </c>
      <c r="B15" t="s">
        <v>45</v>
      </c>
      <c r="C15" s="3" t="s">
        <v>39</v>
      </c>
      <c r="D15" s="1">
        <v>43275</v>
      </c>
      <c r="E15">
        <v>6</v>
      </c>
      <c r="F15">
        <v>16</v>
      </c>
      <c r="G15">
        <v>66</v>
      </c>
      <c r="H15" s="1">
        <v>1331</v>
      </c>
      <c r="I15" s="1">
        <v>0</v>
      </c>
      <c r="J15" s="1">
        <v>29525</v>
      </c>
      <c r="K15">
        <v>143</v>
      </c>
      <c r="L15" s="1">
        <v>0</v>
      </c>
      <c r="M15">
        <v>73</v>
      </c>
      <c r="N15">
        <v>58</v>
      </c>
      <c r="O15" s="1">
        <v>4983</v>
      </c>
      <c r="P15">
        <v>0</v>
      </c>
      <c r="Q15">
        <v>1</v>
      </c>
      <c r="R15">
        <v>0</v>
      </c>
      <c r="S15">
        <v>2</v>
      </c>
      <c r="T15">
        <v>4</v>
      </c>
      <c r="U15">
        <v>2</v>
      </c>
      <c r="V15">
        <v>0</v>
      </c>
      <c r="W15">
        <v>0</v>
      </c>
      <c r="X15">
        <v>1</v>
      </c>
      <c r="Y15">
        <v>1</v>
      </c>
      <c r="Z15">
        <v>100</v>
      </c>
      <c r="AA15" s="1">
        <v>3958</v>
      </c>
      <c r="AB15" s="1">
        <v>1116</v>
      </c>
      <c r="AC15">
        <v>124</v>
      </c>
      <c r="AD15">
        <v>704</v>
      </c>
      <c r="AE15">
        <v>17</v>
      </c>
      <c r="AF15">
        <v>60</v>
      </c>
      <c r="AG15" s="1">
        <v>0</v>
      </c>
      <c r="AH15">
        <v>10</v>
      </c>
      <c r="AI15">
        <v>772</v>
      </c>
      <c r="AJ15">
        <v>1</v>
      </c>
      <c r="AK15">
        <v>0</v>
      </c>
      <c r="AL15" s="1">
        <v>0</v>
      </c>
      <c r="AM15">
        <v>1</v>
      </c>
      <c r="AN15" s="1">
        <v>200</v>
      </c>
    </row>
    <row r="16" spans="1:40" x14ac:dyDescent="0.3">
      <c r="A16" t="s">
        <v>40</v>
      </c>
      <c r="B16" t="s">
        <v>45</v>
      </c>
      <c r="C16" s="3" t="s">
        <v>42</v>
      </c>
      <c r="D16" s="1">
        <v>25164</v>
      </c>
      <c r="E16">
        <v>5</v>
      </c>
      <c r="F16">
        <v>10</v>
      </c>
      <c r="G16">
        <v>42</v>
      </c>
      <c r="H16">
        <v>876</v>
      </c>
      <c r="I16" s="1">
        <v>0</v>
      </c>
      <c r="J16" s="1">
        <v>17662</v>
      </c>
      <c r="K16">
        <v>102</v>
      </c>
      <c r="L16" s="1">
        <v>0</v>
      </c>
      <c r="M16">
        <v>34</v>
      </c>
      <c r="N16">
        <v>32</v>
      </c>
      <c r="O16" s="1">
        <v>2505</v>
      </c>
      <c r="P16">
        <v>0</v>
      </c>
      <c r="Q16">
        <v>0</v>
      </c>
      <c r="R16">
        <v>0</v>
      </c>
      <c r="S16">
        <v>1</v>
      </c>
      <c r="T16">
        <v>4</v>
      </c>
      <c r="U16">
        <v>0</v>
      </c>
      <c r="V16">
        <v>0</v>
      </c>
      <c r="W16">
        <v>0</v>
      </c>
      <c r="X16">
        <v>1</v>
      </c>
      <c r="Y16">
        <v>0</v>
      </c>
      <c r="Z16">
        <v>95</v>
      </c>
      <c r="AA16" s="1">
        <v>2275</v>
      </c>
      <c r="AB16" s="1">
        <v>1010</v>
      </c>
      <c r="AC16">
        <v>124</v>
      </c>
      <c r="AD16">
        <v>240</v>
      </c>
      <c r="AE16">
        <v>6</v>
      </c>
      <c r="AF16">
        <v>7</v>
      </c>
      <c r="AG16" s="1">
        <v>0</v>
      </c>
      <c r="AH16">
        <v>0</v>
      </c>
      <c r="AI16">
        <v>37</v>
      </c>
      <c r="AJ16">
        <v>1</v>
      </c>
      <c r="AK16">
        <v>0</v>
      </c>
      <c r="AL16" s="1">
        <v>0</v>
      </c>
      <c r="AM16">
        <v>1</v>
      </c>
      <c r="AN16" s="1">
        <v>94</v>
      </c>
    </row>
    <row r="17" spans="1:40" x14ac:dyDescent="0.3">
      <c r="A17" t="s">
        <v>40</v>
      </c>
      <c r="B17" t="s">
        <v>45</v>
      </c>
      <c r="C17" s="3" t="s">
        <v>43</v>
      </c>
      <c r="D17" s="1">
        <v>18111</v>
      </c>
      <c r="E17">
        <v>1</v>
      </c>
      <c r="F17">
        <v>6</v>
      </c>
      <c r="G17">
        <v>24</v>
      </c>
      <c r="H17">
        <v>455</v>
      </c>
      <c r="I17" s="1">
        <v>0</v>
      </c>
      <c r="J17" s="1">
        <v>11863</v>
      </c>
      <c r="K17">
        <v>41</v>
      </c>
      <c r="L17" s="1">
        <v>0</v>
      </c>
      <c r="M17">
        <v>39</v>
      </c>
      <c r="N17">
        <v>26</v>
      </c>
      <c r="O17" s="1">
        <v>2478</v>
      </c>
      <c r="P17">
        <v>0</v>
      </c>
      <c r="Q17">
        <v>1</v>
      </c>
      <c r="R17">
        <v>0</v>
      </c>
      <c r="S17">
        <v>1</v>
      </c>
      <c r="T17">
        <v>0</v>
      </c>
      <c r="U17">
        <v>2</v>
      </c>
      <c r="V17">
        <v>0</v>
      </c>
      <c r="W17">
        <v>0</v>
      </c>
      <c r="X17">
        <v>0</v>
      </c>
      <c r="Y17">
        <v>1</v>
      </c>
      <c r="Z17">
        <v>5</v>
      </c>
      <c r="AA17" s="1">
        <v>1683</v>
      </c>
      <c r="AB17">
        <v>106</v>
      </c>
      <c r="AC17">
        <v>0</v>
      </c>
      <c r="AD17">
        <v>464</v>
      </c>
      <c r="AE17">
        <v>11</v>
      </c>
      <c r="AF17">
        <v>53</v>
      </c>
      <c r="AG17" s="1">
        <v>0</v>
      </c>
      <c r="AH17">
        <v>10</v>
      </c>
      <c r="AI17">
        <v>735</v>
      </c>
      <c r="AJ17">
        <v>0</v>
      </c>
      <c r="AK17">
        <v>0</v>
      </c>
      <c r="AL17" s="1">
        <v>0</v>
      </c>
      <c r="AM17">
        <v>0</v>
      </c>
      <c r="AN17" s="1">
        <v>106</v>
      </c>
    </row>
    <row r="18" spans="1:40" x14ac:dyDescent="0.3">
      <c r="A18" t="s">
        <v>40</v>
      </c>
      <c r="B18" t="s">
        <v>46</v>
      </c>
      <c r="C18" s="3" t="s">
        <v>39</v>
      </c>
      <c r="D18" s="1">
        <v>40131</v>
      </c>
      <c r="E18">
        <v>19</v>
      </c>
      <c r="F18">
        <v>20</v>
      </c>
      <c r="G18">
        <v>24</v>
      </c>
      <c r="H18" s="1">
        <v>39518</v>
      </c>
      <c r="I18">
        <v>1</v>
      </c>
      <c r="J18">
        <v>10</v>
      </c>
      <c r="K18">
        <v>308</v>
      </c>
      <c r="L18" s="1">
        <v>0</v>
      </c>
      <c r="M18">
        <v>4</v>
      </c>
      <c r="N18">
        <v>0</v>
      </c>
      <c r="O18">
        <v>20</v>
      </c>
      <c r="P18">
        <v>1</v>
      </c>
      <c r="Q18">
        <v>0</v>
      </c>
      <c r="R18">
        <v>0</v>
      </c>
      <c r="S18">
        <v>5</v>
      </c>
      <c r="T18">
        <v>0</v>
      </c>
      <c r="U18">
        <v>2</v>
      </c>
      <c r="V18">
        <v>0</v>
      </c>
      <c r="W18">
        <v>2</v>
      </c>
      <c r="X18">
        <v>1</v>
      </c>
      <c r="Y18">
        <v>7</v>
      </c>
      <c r="Z18">
        <v>0</v>
      </c>
      <c r="AA18" s="1">
        <v>0</v>
      </c>
      <c r="AB18">
        <v>0</v>
      </c>
      <c r="AC18">
        <v>0</v>
      </c>
      <c r="AD18">
        <v>17</v>
      </c>
      <c r="AE18">
        <v>3</v>
      </c>
      <c r="AF18">
        <v>10</v>
      </c>
      <c r="AG18">
        <v>9</v>
      </c>
      <c r="AH18">
        <v>2</v>
      </c>
      <c r="AI18">
        <v>39</v>
      </c>
      <c r="AJ18">
        <v>0</v>
      </c>
      <c r="AK18">
        <v>42</v>
      </c>
      <c r="AL18" s="1">
        <v>0</v>
      </c>
      <c r="AM18">
        <v>9</v>
      </c>
      <c r="AN18" s="1">
        <v>58</v>
      </c>
    </row>
    <row r="19" spans="1:40" x14ac:dyDescent="0.3">
      <c r="A19" t="s">
        <v>40</v>
      </c>
      <c r="B19" t="s">
        <v>46</v>
      </c>
      <c r="C19" s="3" t="s">
        <v>42</v>
      </c>
      <c r="D19" s="1">
        <v>16140</v>
      </c>
      <c r="E19">
        <v>6</v>
      </c>
      <c r="F19">
        <v>11</v>
      </c>
      <c r="G19">
        <v>16</v>
      </c>
      <c r="H19" s="1">
        <v>15801</v>
      </c>
      <c r="I19">
        <v>1</v>
      </c>
      <c r="J19">
        <v>4</v>
      </c>
      <c r="K19">
        <v>252</v>
      </c>
      <c r="L19" s="1">
        <v>0</v>
      </c>
      <c r="M19">
        <v>0</v>
      </c>
      <c r="N19">
        <v>0</v>
      </c>
      <c r="O19">
        <v>3</v>
      </c>
      <c r="P19">
        <v>1</v>
      </c>
      <c r="Q19">
        <v>0</v>
      </c>
      <c r="R19">
        <v>0</v>
      </c>
      <c r="S19">
        <v>5</v>
      </c>
      <c r="T19">
        <v>0</v>
      </c>
      <c r="U19">
        <v>0</v>
      </c>
      <c r="V19">
        <v>0</v>
      </c>
      <c r="W19">
        <v>0</v>
      </c>
      <c r="X19">
        <v>1</v>
      </c>
      <c r="Y19">
        <v>4</v>
      </c>
      <c r="Z19">
        <v>0</v>
      </c>
      <c r="AA19" s="1">
        <v>0</v>
      </c>
      <c r="AB19">
        <v>0</v>
      </c>
      <c r="AC19">
        <v>0</v>
      </c>
      <c r="AD19">
        <v>7</v>
      </c>
      <c r="AE19">
        <v>1</v>
      </c>
      <c r="AF19">
        <v>2</v>
      </c>
      <c r="AG19">
        <v>1</v>
      </c>
      <c r="AH19">
        <v>0</v>
      </c>
      <c r="AI19">
        <v>2</v>
      </c>
      <c r="AJ19">
        <v>0</v>
      </c>
      <c r="AK19">
        <v>6</v>
      </c>
      <c r="AL19" s="1">
        <v>0</v>
      </c>
      <c r="AM19">
        <v>2</v>
      </c>
      <c r="AN19" s="1">
        <v>14</v>
      </c>
    </row>
    <row r="20" spans="1:40" x14ac:dyDescent="0.3">
      <c r="A20" t="s">
        <v>40</v>
      </c>
      <c r="B20" t="s">
        <v>46</v>
      </c>
      <c r="C20" s="3" t="s">
        <v>43</v>
      </c>
      <c r="D20" s="1">
        <v>23991</v>
      </c>
      <c r="E20">
        <v>13</v>
      </c>
      <c r="F20">
        <v>9</v>
      </c>
      <c r="G20">
        <v>8</v>
      </c>
      <c r="H20" s="1">
        <v>23717</v>
      </c>
      <c r="I20" s="1">
        <v>0</v>
      </c>
      <c r="J20">
        <v>6</v>
      </c>
      <c r="K20">
        <v>56</v>
      </c>
      <c r="L20" s="1">
        <v>0</v>
      </c>
      <c r="M20">
        <v>4</v>
      </c>
      <c r="N20">
        <v>0</v>
      </c>
      <c r="O20">
        <v>17</v>
      </c>
      <c r="P20">
        <v>0</v>
      </c>
      <c r="Q20">
        <v>0</v>
      </c>
      <c r="R20">
        <v>0</v>
      </c>
      <c r="S20">
        <v>0</v>
      </c>
      <c r="T20">
        <v>0</v>
      </c>
      <c r="U20">
        <v>2</v>
      </c>
      <c r="V20">
        <v>0</v>
      </c>
      <c r="W20">
        <v>2</v>
      </c>
      <c r="X20">
        <v>0</v>
      </c>
      <c r="Y20">
        <v>3</v>
      </c>
      <c r="Z20">
        <v>0</v>
      </c>
      <c r="AA20" s="1">
        <v>0</v>
      </c>
      <c r="AB20">
        <v>0</v>
      </c>
      <c r="AC20">
        <v>0</v>
      </c>
      <c r="AD20">
        <v>10</v>
      </c>
      <c r="AE20">
        <v>2</v>
      </c>
      <c r="AF20">
        <v>8</v>
      </c>
      <c r="AG20">
        <v>8</v>
      </c>
      <c r="AH20">
        <v>2</v>
      </c>
      <c r="AI20">
        <v>37</v>
      </c>
      <c r="AJ20">
        <v>0</v>
      </c>
      <c r="AK20">
        <v>36</v>
      </c>
      <c r="AL20" s="1">
        <v>0</v>
      </c>
      <c r="AM20">
        <v>7</v>
      </c>
      <c r="AN20" s="1">
        <v>44</v>
      </c>
    </row>
    <row r="21" spans="1:40" x14ac:dyDescent="0.3">
      <c r="A21" t="s">
        <v>40</v>
      </c>
      <c r="B21" t="s">
        <v>47</v>
      </c>
      <c r="C21" s="3" t="s">
        <v>39</v>
      </c>
      <c r="D21" s="1">
        <v>24381</v>
      </c>
      <c r="E21">
        <v>3</v>
      </c>
      <c r="F21">
        <v>0</v>
      </c>
      <c r="G21">
        <v>4</v>
      </c>
      <c r="H21" s="1">
        <v>24149</v>
      </c>
      <c r="I21" s="1">
        <v>0</v>
      </c>
      <c r="J21">
        <v>7</v>
      </c>
      <c r="K21">
        <v>46</v>
      </c>
      <c r="L21" s="1">
        <v>0</v>
      </c>
      <c r="M21" s="1">
        <v>0</v>
      </c>
      <c r="N21" s="1">
        <v>0</v>
      </c>
      <c r="O21">
        <v>12</v>
      </c>
      <c r="P21" s="1">
        <v>0</v>
      </c>
      <c r="Q21">
        <v>1</v>
      </c>
      <c r="R21" s="1">
        <v>0</v>
      </c>
      <c r="S21">
        <v>2</v>
      </c>
      <c r="T21">
        <v>2</v>
      </c>
      <c r="U21">
        <v>0</v>
      </c>
      <c r="V21">
        <v>0</v>
      </c>
      <c r="W21">
        <v>0</v>
      </c>
      <c r="X21">
        <v>1</v>
      </c>
      <c r="Y21">
        <v>0</v>
      </c>
      <c r="Z21">
        <v>3</v>
      </c>
      <c r="AA21" s="1">
        <v>0</v>
      </c>
      <c r="AB21">
        <v>0</v>
      </c>
      <c r="AC21">
        <v>0</v>
      </c>
      <c r="AD21">
        <v>1</v>
      </c>
      <c r="AE21">
        <v>14</v>
      </c>
      <c r="AF21">
        <v>1</v>
      </c>
      <c r="AG21">
        <v>1</v>
      </c>
      <c r="AH21">
        <v>43</v>
      </c>
      <c r="AI21">
        <v>13</v>
      </c>
      <c r="AJ21">
        <v>0</v>
      </c>
      <c r="AK21">
        <v>45</v>
      </c>
      <c r="AL21" s="1">
        <v>0</v>
      </c>
      <c r="AM21">
        <v>4</v>
      </c>
      <c r="AN21" s="1">
        <v>29</v>
      </c>
    </row>
    <row r="22" spans="1:40" x14ac:dyDescent="0.3">
      <c r="A22" t="s">
        <v>40</v>
      </c>
      <c r="B22" t="s">
        <v>47</v>
      </c>
      <c r="C22" s="3" t="s">
        <v>42</v>
      </c>
      <c r="D22" s="1">
        <v>8914</v>
      </c>
      <c r="E22">
        <v>2</v>
      </c>
      <c r="F22">
        <v>0</v>
      </c>
      <c r="G22">
        <v>2</v>
      </c>
      <c r="H22" s="1">
        <v>8805</v>
      </c>
      <c r="I22" s="1">
        <v>0</v>
      </c>
      <c r="J22">
        <v>3</v>
      </c>
      <c r="K22">
        <v>36</v>
      </c>
      <c r="L22" s="1">
        <v>0</v>
      </c>
      <c r="M22" s="1">
        <v>0</v>
      </c>
      <c r="N22" s="1">
        <v>0</v>
      </c>
      <c r="O22">
        <v>5</v>
      </c>
      <c r="P22" s="1">
        <v>0</v>
      </c>
      <c r="Q22" s="1">
        <v>0</v>
      </c>
      <c r="R22" s="1">
        <v>0</v>
      </c>
      <c r="S22" s="1">
        <v>0</v>
      </c>
      <c r="T22">
        <v>2</v>
      </c>
      <c r="U22" s="1">
        <v>0</v>
      </c>
      <c r="V22" s="1">
        <v>0</v>
      </c>
      <c r="W22" s="1">
        <v>0</v>
      </c>
      <c r="X22">
        <v>1</v>
      </c>
      <c r="Y22" s="1">
        <v>0</v>
      </c>
      <c r="Z22">
        <v>1</v>
      </c>
      <c r="AA22" s="1">
        <v>0</v>
      </c>
      <c r="AB22">
        <v>0</v>
      </c>
      <c r="AC22" s="1">
        <v>0</v>
      </c>
      <c r="AD22">
        <v>0</v>
      </c>
      <c r="AE22">
        <v>6</v>
      </c>
      <c r="AF22">
        <v>0</v>
      </c>
      <c r="AG22">
        <v>0</v>
      </c>
      <c r="AH22">
        <v>22</v>
      </c>
      <c r="AI22">
        <v>4</v>
      </c>
      <c r="AJ22">
        <v>0</v>
      </c>
      <c r="AK22">
        <v>9</v>
      </c>
      <c r="AL22" s="1">
        <v>0</v>
      </c>
      <c r="AM22">
        <v>2</v>
      </c>
      <c r="AN22" s="1">
        <v>14</v>
      </c>
    </row>
    <row r="23" spans="1:40" x14ac:dyDescent="0.3">
      <c r="A23" t="s">
        <v>40</v>
      </c>
      <c r="B23" t="s">
        <v>47</v>
      </c>
      <c r="C23" s="3" t="s">
        <v>43</v>
      </c>
      <c r="D23" s="1">
        <v>15467</v>
      </c>
      <c r="E23">
        <v>1</v>
      </c>
      <c r="F23">
        <v>0</v>
      </c>
      <c r="G23">
        <v>2</v>
      </c>
      <c r="H23" s="1">
        <v>15344</v>
      </c>
      <c r="I23" s="1">
        <v>0</v>
      </c>
      <c r="J23">
        <v>4</v>
      </c>
      <c r="K23">
        <v>10</v>
      </c>
      <c r="L23" s="1">
        <v>0</v>
      </c>
      <c r="M23" s="1">
        <v>0</v>
      </c>
      <c r="N23" s="1">
        <v>0</v>
      </c>
      <c r="O23">
        <v>7</v>
      </c>
      <c r="P23" s="1">
        <v>0</v>
      </c>
      <c r="Q23">
        <v>1</v>
      </c>
      <c r="R23" s="1">
        <v>0</v>
      </c>
      <c r="S23">
        <v>2</v>
      </c>
      <c r="T23" s="1">
        <v>0</v>
      </c>
      <c r="U23">
        <v>0</v>
      </c>
      <c r="V23" s="1">
        <v>0</v>
      </c>
      <c r="W23">
        <v>0</v>
      </c>
      <c r="X23" s="1">
        <v>0</v>
      </c>
      <c r="Y23">
        <v>0</v>
      </c>
      <c r="Z23">
        <v>2</v>
      </c>
      <c r="AA23" s="1">
        <v>0</v>
      </c>
      <c r="AB23">
        <v>0</v>
      </c>
      <c r="AC23">
        <v>0</v>
      </c>
      <c r="AD23">
        <v>1</v>
      </c>
      <c r="AE23">
        <v>8</v>
      </c>
      <c r="AF23">
        <v>1</v>
      </c>
      <c r="AG23">
        <v>1</v>
      </c>
      <c r="AH23">
        <v>21</v>
      </c>
      <c r="AI23">
        <v>9</v>
      </c>
      <c r="AJ23">
        <v>0</v>
      </c>
      <c r="AK23">
        <v>36</v>
      </c>
      <c r="AL23" s="1">
        <v>0</v>
      </c>
      <c r="AM23">
        <v>2</v>
      </c>
      <c r="AN23" s="1">
        <v>15</v>
      </c>
    </row>
    <row r="24" spans="1:40" x14ac:dyDescent="0.3">
      <c r="A24" t="s">
        <v>40</v>
      </c>
      <c r="B24" t="s">
        <v>48</v>
      </c>
      <c r="C24" s="3" t="s">
        <v>39</v>
      </c>
      <c r="D24" s="1">
        <v>19245</v>
      </c>
      <c r="E24">
        <v>12</v>
      </c>
      <c r="F24">
        <v>10</v>
      </c>
      <c r="G24">
        <v>4</v>
      </c>
      <c r="H24" s="1">
        <v>1825</v>
      </c>
      <c r="I24" s="1">
        <v>0</v>
      </c>
      <c r="J24" s="1">
        <v>14414</v>
      </c>
      <c r="K24">
        <v>108</v>
      </c>
      <c r="L24" s="1">
        <v>0</v>
      </c>
      <c r="M24">
        <v>5</v>
      </c>
      <c r="N24">
        <v>68</v>
      </c>
      <c r="O24">
        <v>26</v>
      </c>
      <c r="P24" s="1">
        <v>0</v>
      </c>
      <c r="Q24">
        <v>3</v>
      </c>
      <c r="R24" s="1">
        <v>0</v>
      </c>
      <c r="S24">
        <v>0</v>
      </c>
      <c r="T24" s="1">
        <v>0</v>
      </c>
      <c r="U24">
        <v>0</v>
      </c>
      <c r="V24" s="1">
        <v>0</v>
      </c>
      <c r="W24">
        <v>0</v>
      </c>
      <c r="X24" s="1">
        <v>0</v>
      </c>
      <c r="Y24">
        <v>118</v>
      </c>
      <c r="Z24">
        <v>1</v>
      </c>
      <c r="AA24" s="1">
        <v>1139</v>
      </c>
      <c r="AB24">
        <v>458</v>
      </c>
      <c r="AC24">
        <v>0</v>
      </c>
      <c r="AD24">
        <v>181</v>
      </c>
      <c r="AE24">
        <v>39</v>
      </c>
      <c r="AF24">
        <v>19</v>
      </c>
      <c r="AG24">
        <v>0</v>
      </c>
      <c r="AH24">
        <v>35</v>
      </c>
      <c r="AI24">
        <v>281</v>
      </c>
      <c r="AJ24">
        <v>2</v>
      </c>
      <c r="AK24">
        <v>0</v>
      </c>
      <c r="AL24" s="1">
        <v>0</v>
      </c>
      <c r="AM24">
        <v>3</v>
      </c>
      <c r="AN24" s="1">
        <v>494</v>
      </c>
    </row>
    <row r="25" spans="1:40" x14ac:dyDescent="0.3">
      <c r="A25" t="s">
        <v>40</v>
      </c>
      <c r="B25" t="s">
        <v>48</v>
      </c>
      <c r="C25" s="3" t="s">
        <v>42</v>
      </c>
      <c r="D25" s="1">
        <v>8728</v>
      </c>
      <c r="E25">
        <v>4</v>
      </c>
      <c r="F25">
        <v>6</v>
      </c>
      <c r="G25">
        <v>3</v>
      </c>
      <c r="H25">
        <v>986</v>
      </c>
      <c r="I25" s="1">
        <v>0</v>
      </c>
      <c r="J25" s="1">
        <v>6392</v>
      </c>
      <c r="K25">
        <v>93</v>
      </c>
      <c r="L25" s="1">
        <v>0</v>
      </c>
      <c r="M25">
        <v>1</v>
      </c>
      <c r="N25">
        <v>54</v>
      </c>
      <c r="O25">
        <v>13</v>
      </c>
      <c r="P25" s="1">
        <v>0</v>
      </c>
      <c r="Q25">
        <v>2</v>
      </c>
      <c r="R25" s="1">
        <v>0</v>
      </c>
      <c r="S25">
        <v>0</v>
      </c>
      <c r="T25" s="1">
        <v>0</v>
      </c>
      <c r="U25">
        <v>0</v>
      </c>
      <c r="V25" s="1">
        <v>0</v>
      </c>
      <c r="W25">
        <v>0</v>
      </c>
      <c r="X25" s="1">
        <v>0</v>
      </c>
      <c r="Y25">
        <v>14</v>
      </c>
      <c r="Z25">
        <v>1</v>
      </c>
      <c r="AA25">
        <v>623</v>
      </c>
      <c r="AB25">
        <v>409</v>
      </c>
      <c r="AC25">
        <v>0</v>
      </c>
      <c r="AD25">
        <v>25</v>
      </c>
      <c r="AE25">
        <v>19</v>
      </c>
      <c r="AF25">
        <v>5</v>
      </c>
      <c r="AG25">
        <v>0</v>
      </c>
      <c r="AH25">
        <v>0</v>
      </c>
      <c r="AI25">
        <v>4</v>
      </c>
      <c r="AJ25">
        <v>1</v>
      </c>
      <c r="AK25">
        <v>0</v>
      </c>
      <c r="AL25" s="1">
        <v>0</v>
      </c>
      <c r="AM25">
        <v>2</v>
      </c>
      <c r="AN25" s="1">
        <v>71</v>
      </c>
    </row>
    <row r="26" spans="1:40" x14ac:dyDescent="0.3">
      <c r="A26" t="s">
        <v>40</v>
      </c>
      <c r="B26" t="s">
        <v>48</v>
      </c>
      <c r="C26" s="3" t="s">
        <v>43</v>
      </c>
      <c r="D26" s="1">
        <v>10517</v>
      </c>
      <c r="E26">
        <v>8</v>
      </c>
      <c r="F26">
        <v>4</v>
      </c>
      <c r="G26">
        <v>1</v>
      </c>
      <c r="H26">
        <v>839</v>
      </c>
      <c r="I26" s="1">
        <v>0</v>
      </c>
      <c r="J26" s="1">
        <v>8022</v>
      </c>
      <c r="K26">
        <v>15</v>
      </c>
      <c r="L26" s="1">
        <v>0</v>
      </c>
      <c r="M26">
        <v>4</v>
      </c>
      <c r="N26">
        <v>14</v>
      </c>
      <c r="O26">
        <v>13</v>
      </c>
      <c r="P26" s="1">
        <v>0</v>
      </c>
      <c r="Q26">
        <v>1</v>
      </c>
      <c r="R26" s="1">
        <v>0</v>
      </c>
      <c r="S26">
        <v>0</v>
      </c>
      <c r="T26" s="1">
        <v>0</v>
      </c>
      <c r="U26">
        <v>0</v>
      </c>
      <c r="V26" s="1">
        <v>0</v>
      </c>
      <c r="W26">
        <v>0</v>
      </c>
      <c r="X26" s="1">
        <v>0</v>
      </c>
      <c r="Y26">
        <v>104</v>
      </c>
      <c r="Z26" s="1">
        <v>0</v>
      </c>
      <c r="AA26">
        <v>516</v>
      </c>
      <c r="AB26">
        <v>49</v>
      </c>
      <c r="AC26">
        <v>0</v>
      </c>
      <c r="AD26">
        <v>156</v>
      </c>
      <c r="AE26">
        <v>20</v>
      </c>
      <c r="AF26">
        <v>14</v>
      </c>
      <c r="AG26">
        <v>0</v>
      </c>
      <c r="AH26">
        <v>35</v>
      </c>
      <c r="AI26">
        <v>277</v>
      </c>
      <c r="AJ26">
        <v>1</v>
      </c>
      <c r="AK26">
        <v>0</v>
      </c>
      <c r="AL26" s="1">
        <v>0</v>
      </c>
      <c r="AM26">
        <v>1</v>
      </c>
      <c r="AN26" s="1">
        <v>423</v>
      </c>
    </row>
    <row r="27" spans="1:40" x14ac:dyDescent="0.3">
      <c r="A27" t="s">
        <v>40</v>
      </c>
      <c r="B27" t="s">
        <v>49</v>
      </c>
      <c r="C27" s="3" t="s">
        <v>39</v>
      </c>
      <c r="D27" s="1">
        <v>17958</v>
      </c>
      <c r="E27">
        <v>40</v>
      </c>
      <c r="F27">
        <v>117</v>
      </c>
      <c r="G27">
        <v>250</v>
      </c>
      <c r="H27">
        <v>689</v>
      </c>
      <c r="I27">
        <v>5</v>
      </c>
      <c r="J27" s="1">
        <v>15912</v>
      </c>
      <c r="K27">
        <v>31</v>
      </c>
      <c r="L27" s="1">
        <v>0</v>
      </c>
      <c r="M27">
        <v>14</v>
      </c>
      <c r="N27">
        <v>20</v>
      </c>
      <c r="O27">
        <v>341</v>
      </c>
      <c r="P27" s="1">
        <v>0</v>
      </c>
      <c r="Q27">
        <v>1</v>
      </c>
      <c r="R27">
        <v>1</v>
      </c>
      <c r="S27">
        <v>0</v>
      </c>
      <c r="T27" s="1">
        <v>0</v>
      </c>
      <c r="U27">
        <v>0</v>
      </c>
      <c r="V27">
        <v>1</v>
      </c>
      <c r="W27">
        <v>0</v>
      </c>
      <c r="X27" s="1">
        <v>0</v>
      </c>
      <c r="Y27">
        <v>2</v>
      </c>
      <c r="Z27">
        <v>3</v>
      </c>
      <c r="AA27">
        <v>74</v>
      </c>
      <c r="AB27">
        <v>62</v>
      </c>
      <c r="AC27">
        <v>0</v>
      </c>
      <c r="AD27">
        <v>31</v>
      </c>
      <c r="AE27">
        <v>1</v>
      </c>
      <c r="AF27">
        <v>20</v>
      </c>
      <c r="AG27">
        <v>0</v>
      </c>
      <c r="AH27">
        <v>1</v>
      </c>
      <c r="AI27">
        <v>36</v>
      </c>
      <c r="AJ27">
        <v>0</v>
      </c>
      <c r="AK27">
        <v>0</v>
      </c>
      <c r="AL27" s="1">
        <v>0</v>
      </c>
      <c r="AM27">
        <v>0</v>
      </c>
      <c r="AN27" s="1">
        <v>306</v>
      </c>
    </row>
    <row r="28" spans="1:40" x14ac:dyDescent="0.3">
      <c r="A28" t="s">
        <v>40</v>
      </c>
      <c r="B28" t="s">
        <v>49</v>
      </c>
      <c r="C28" s="3" t="s">
        <v>42</v>
      </c>
      <c r="D28" s="1">
        <v>8310</v>
      </c>
      <c r="E28">
        <v>18</v>
      </c>
      <c r="F28">
        <v>59</v>
      </c>
      <c r="G28">
        <v>145</v>
      </c>
      <c r="H28">
        <v>328</v>
      </c>
      <c r="I28">
        <v>3</v>
      </c>
      <c r="J28" s="1">
        <v>7292</v>
      </c>
      <c r="K28">
        <v>21</v>
      </c>
      <c r="L28" s="1">
        <v>0</v>
      </c>
      <c r="M28">
        <v>5</v>
      </c>
      <c r="N28">
        <v>16</v>
      </c>
      <c r="O28">
        <v>191</v>
      </c>
      <c r="P28" s="1">
        <v>0</v>
      </c>
      <c r="Q28">
        <v>1</v>
      </c>
      <c r="R28" s="1">
        <v>0</v>
      </c>
      <c r="S28">
        <v>0</v>
      </c>
      <c r="T28" s="1">
        <v>0</v>
      </c>
      <c r="U28">
        <v>0</v>
      </c>
      <c r="V28" s="1">
        <v>0</v>
      </c>
      <c r="W28">
        <v>0</v>
      </c>
      <c r="X28" s="1">
        <v>0</v>
      </c>
      <c r="Y28">
        <v>2</v>
      </c>
      <c r="Z28">
        <v>3</v>
      </c>
      <c r="AA28">
        <v>27</v>
      </c>
      <c r="AB28">
        <v>42</v>
      </c>
      <c r="AC28">
        <v>0</v>
      </c>
      <c r="AD28">
        <v>8</v>
      </c>
      <c r="AE28">
        <v>1</v>
      </c>
      <c r="AF28">
        <v>9</v>
      </c>
      <c r="AG28">
        <v>0</v>
      </c>
      <c r="AH28">
        <v>0</v>
      </c>
      <c r="AI28">
        <v>1</v>
      </c>
      <c r="AJ28">
        <v>0</v>
      </c>
      <c r="AK28">
        <v>0</v>
      </c>
      <c r="AL28" s="1">
        <v>0</v>
      </c>
      <c r="AM28">
        <v>0</v>
      </c>
      <c r="AN28" s="1">
        <v>138</v>
      </c>
    </row>
    <row r="29" spans="1:40" x14ac:dyDescent="0.3">
      <c r="A29" t="s">
        <v>40</v>
      </c>
      <c r="B29" t="s">
        <v>49</v>
      </c>
      <c r="C29" s="3" t="s">
        <v>43</v>
      </c>
      <c r="D29" s="1">
        <v>9648</v>
      </c>
      <c r="E29">
        <v>22</v>
      </c>
      <c r="F29">
        <v>58</v>
      </c>
      <c r="G29">
        <v>105</v>
      </c>
      <c r="H29">
        <v>361</v>
      </c>
      <c r="I29">
        <v>2</v>
      </c>
      <c r="J29" s="1">
        <v>8620</v>
      </c>
      <c r="K29">
        <v>10</v>
      </c>
      <c r="L29" s="1">
        <v>0</v>
      </c>
      <c r="M29">
        <v>9</v>
      </c>
      <c r="N29">
        <v>4</v>
      </c>
      <c r="O29">
        <v>150</v>
      </c>
      <c r="P29" s="1">
        <v>0</v>
      </c>
      <c r="Q29">
        <v>0</v>
      </c>
      <c r="R29">
        <v>1</v>
      </c>
      <c r="S29">
        <v>0</v>
      </c>
      <c r="T29" s="1">
        <v>0</v>
      </c>
      <c r="U29">
        <v>0</v>
      </c>
      <c r="V29">
        <v>1</v>
      </c>
      <c r="W29">
        <v>0</v>
      </c>
      <c r="X29" s="1">
        <v>0</v>
      </c>
      <c r="Y29">
        <v>0</v>
      </c>
      <c r="Z29">
        <v>0</v>
      </c>
      <c r="AA29">
        <v>47</v>
      </c>
      <c r="AB29">
        <v>20</v>
      </c>
      <c r="AC29">
        <v>0</v>
      </c>
      <c r="AD29">
        <v>23</v>
      </c>
      <c r="AE29">
        <v>0</v>
      </c>
      <c r="AF29">
        <v>11</v>
      </c>
      <c r="AG29">
        <v>0</v>
      </c>
      <c r="AH29">
        <v>1</v>
      </c>
      <c r="AI29">
        <v>35</v>
      </c>
      <c r="AJ29">
        <v>0</v>
      </c>
      <c r="AK29">
        <v>0</v>
      </c>
      <c r="AL29" s="1">
        <v>0</v>
      </c>
      <c r="AM29">
        <v>0</v>
      </c>
      <c r="AN29" s="1">
        <v>168</v>
      </c>
    </row>
    <row r="30" spans="1:40" x14ac:dyDescent="0.3">
      <c r="A30" t="s">
        <v>40</v>
      </c>
      <c r="B30" t="s">
        <v>50</v>
      </c>
      <c r="C30" s="3" t="s">
        <v>39</v>
      </c>
      <c r="D30" s="1">
        <v>14744</v>
      </c>
      <c r="E30">
        <v>4</v>
      </c>
      <c r="F30">
        <v>16</v>
      </c>
      <c r="G30">
        <v>0</v>
      </c>
      <c r="H30" s="1">
        <v>1076</v>
      </c>
      <c r="I30">
        <v>0</v>
      </c>
      <c r="J30" s="1">
        <v>11031</v>
      </c>
      <c r="K30">
        <v>18</v>
      </c>
      <c r="L30" s="1">
        <v>0</v>
      </c>
      <c r="M30">
        <v>4</v>
      </c>
      <c r="N30">
        <v>45</v>
      </c>
      <c r="O30">
        <v>14</v>
      </c>
      <c r="P30" s="1">
        <v>0</v>
      </c>
      <c r="Q30">
        <v>0</v>
      </c>
      <c r="R30">
        <v>1</v>
      </c>
      <c r="S30">
        <v>0</v>
      </c>
      <c r="T30" s="1">
        <v>0</v>
      </c>
      <c r="U30">
        <v>0</v>
      </c>
      <c r="V30" s="1">
        <v>0</v>
      </c>
      <c r="W30">
        <v>0</v>
      </c>
      <c r="X30" s="1">
        <v>0</v>
      </c>
      <c r="Y30">
        <v>0</v>
      </c>
      <c r="Z30">
        <v>6</v>
      </c>
      <c r="AA30">
        <v>7</v>
      </c>
      <c r="AB30" s="1">
        <v>2296</v>
      </c>
      <c r="AC30">
        <v>108</v>
      </c>
      <c r="AD30">
        <v>11</v>
      </c>
      <c r="AE30">
        <v>1</v>
      </c>
      <c r="AF30">
        <v>35</v>
      </c>
      <c r="AG30">
        <v>17</v>
      </c>
      <c r="AH30">
        <v>1</v>
      </c>
      <c r="AI30">
        <v>19</v>
      </c>
      <c r="AJ30">
        <v>1</v>
      </c>
      <c r="AK30">
        <v>0</v>
      </c>
      <c r="AL30" s="1">
        <v>0</v>
      </c>
      <c r="AM30">
        <v>14</v>
      </c>
      <c r="AN30" s="1">
        <v>19</v>
      </c>
    </row>
    <row r="31" spans="1:40" x14ac:dyDescent="0.3">
      <c r="A31" t="s">
        <v>40</v>
      </c>
      <c r="B31" t="s">
        <v>50</v>
      </c>
      <c r="C31" s="3" t="s">
        <v>42</v>
      </c>
      <c r="D31" s="1">
        <v>8103</v>
      </c>
      <c r="E31">
        <v>1</v>
      </c>
      <c r="F31">
        <v>9</v>
      </c>
      <c r="G31">
        <v>0</v>
      </c>
      <c r="H31">
        <v>739</v>
      </c>
      <c r="I31">
        <v>0</v>
      </c>
      <c r="J31" s="1">
        <v>4858</v>
      </c>
      <c r="K31">
        <v>16</v>
      </c>
      <c r="L31" s="1">
        <v>0</v>
      </c>
      <c r="M31">
        <v>1</v>
      </c>
      <c r="N31">
        <v>34</v>
      </c>
      <c r="O31">
        <v>3</v>
      </c>
      <c r="P31" s="1">
        <v>0</v>
      </c>
      <c r="Q31">
        <v>0</v>
      </c>
      <c r="R31">
        <v>0</v>
      </c>
      <c r="S31">
        <v>0</v>
      </c>
      <c r="T31" s="1">
        <v>0</v>
      </c>
      <c r="U31">
        <v>0</v>
      </c>
      <c r="V31">
        <v>0</v>
      </c>
      <c r="W31">
        <v>0</v>
      </c>
      <c r="X31" s="1">
        <v>0</v>
      </c>
      <c r="Y31">
        <v>0</v>
      </c>
      <c r="Z31">
        <v>6</v>
      </c>
      <c r="AA31">
        <v>5</v>
      </c>
      <c r="AB31" s="1">
        <v>2284</v>
      </c>
      <c r="AC31">
        <v>107</v>
      </c>
      <c r="AD31">
        <v>6</v>
      </c>
      <c r="AE31">
        <v>1</v>
      </c>
      <c r="AF31">
        <v>7</v>
      </c>
      <c r="AG31">
        <v>13</v>
      </c>
      <c r="AH31">
        <v>0</v>
      </c>
      <c r="AI31">
        <v>0</v>
      </c>
      <c r="AJ31">
        <v>0</v>
      </c>
      <c r="AK31">
        <v>0</v>
      </c>
      <c r="AL31" s="1">
        <v>0</v>
      </c>
      <c r="AM31">
        <v>5</v>
      </c>
      <c r="AN31" s="1">
        <v>8</v>
      </c>
    </row>
    <row r="32" spans="1:40" x14ac:dyDescent="0.3">
      <c r="A32" t="s">
        <v>40</v>
      </c>
      <c r="B32" t="s">
        <v>50</v>
      </c>
      <c r="C32" s="3" t="s">
        <v>43</v>
      </c>
      <c r="D32" s="1">
        <v>6641</v>
      </c>
      <c r="E32">
        <v>3</v>
      </c>
      <c r="F32">
        <v>7</v>
      </c>
      <c r="G32">
        <v>0</v>
      </c>
      <c r="H32">
        <v>337</v>
      </c>
      <c r="I32">
        <v>0</v>
      </c>
      <c r="J32" s="1">
        <v>6173</v>
      </c>
      <c r="K32">
        <v>2</v>
      </c>
      <c r="L32" s="1">
        <v>0</v>
      </c>
      <c r="M32">
        <v>3</v>
      </c>
      <c r="N32">
        <v>11</v>
      </c>
      <c r="O32">
        <v>11</v>
      </c>
      <c r="P32" s="1">
        <v>0</v>
      </c>
      <c r="Q32">
        <v>0</v>
      </c>
      <c r="R32">
        <v>1</v>
      </c>
      <c r="S32">
        <v>0</v>
      </c>
      <c r="T32" s="1">
        <v>0</v>
      </c>
      <c r="U32">
        <v>0</v>
      </c>
      <c r="V32" s="1">
        <v>0</v>
      </c>
      <c r="W32">
        <v>0</v>
      </c>
      <c r="X32" s="1">
        <v>0</v>
      </c>
      <c r="Y32">
        <v>0</v>
      </c>
      <c r="Z32" s="1">
        <v>0</v>
      </c>
      <c r="AA32">
        <v>2</v>
      </c>
      <c r="AB32">
        <v>12</v>
      </c>
      <c r="AC32">
        <v>1</v>
      </c>
      <c r="AD32">
        <v>5</v>
      </c>
      <c r="AE32">
        <v>0</v>
      </c>
      <c r="AF32">
        <v>28</v>
      </c>
      <c r="AG32">
        <v>4</v>
      </c>
      <c r="AH32">
        <v>1</v>
      </c>
      <c r="AI32">
        <v>19</v>
      </c>
      <c r="AJ32">
        <v>1</v>
      </c>
      <c r="AK32">
        <v>0</v>
      </c>
      <c r="AL32" s="1">
        <v>0</v>
      </c>
      <c r="AM32">
        <v>9</v>
      </c>
      <c r="AN32" s="1">
        <v>11</v>
      </c>
    </row>
    <row r="33" spans="1:40" x14ac:dyDescent="0.3">
      <c r="A33" t="s">
        <v>40</v>
      </c>
      <c r="B33" t="s">
        <v>51</v>
      </c>
      <c r="C33" s="3" t="s">
        <v>39</v>
      </c>
      <c r="D33" s="1">
        <v>12815</v>
      </c>
      <c r="E33">
        <v>14</v>
      </c>
      <c r="F33">
        <v>4</v>
      </c>
      <c r="G33" s="1">
        <v>12743</v>
      </c>
      <c r="H33">
        <v>9</v>
      </c>
      <c r="I33">
        <v>0</v>
      </c>
      <c r="J33">
        <v>19</v>
      </c>
      <c r="K33">
        <v>10</v>
      </c>
      <c r="L33" s="1">
        <v>0</v>
      </c>
      <c r="M33">
        <v>0</v>
      </c>
      <c r="N33">
        <v>0</v>
      </c>
      <c r="O33">
        <v>6</v>
      </c>
      <c r="P33" s="1">
        <v>0</v>
      </c>
      <c r="Q33">
        <v>0</v>
      </c>
      <c r="R33">
        <v>0</v>
      </c>
      <c r="S33">
        <v>0</v>
      </c>
      <c r="T33">
        <v>1</v>
      </c>
      <c r="U33">
        <v>0</v>
      </c>
      <c r="V33">
        <v>0</v>
      </c>
      <c r="W33">
        <v>0</v>
      </c>
      <c r="X33" s="1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2</v>
      </c>
      <c r="AE33">
        <v>2</v>
      </c>
      <c r="AF33">
        <v>1</v>
      </c>
      <c r="AG33">
        <v>0</v>
      </c>
      <c r="AH33">
        <v>1</v>
      </c>
      <c r="AI33">
        <v>0</v>
      </c>
      <c r="AJ33">
        <v>1</v>
      </c>
      <c r="AK33">
        <v>0</v>
      </c>
      <c r="AL33" s="1">
        <v>0</v>
      </c>
      <c r="AM33">
        <v>0</v>
      </c>
      <c r="AN33" s="1">
        <v>2</v>
      </c>
    </row>
    <row r="34" spans="1:40" x14ac:dyDescent="0.3">
      <c r="A34" t="s">
        <v>40</v>
      </c>
      <c r="B34" t="s">
        <v>51</v>
      </c>
      <c r="C34" s="3" t="s">
        <v>42</v>
      </c>
      <c r="D34" s="1">
        <v>6184</v>
      </c>
      <c r="E34">
        <v>8</v>
      </c>
      <c r="F34">
        <v>4</v>
      </c>
      <c r="G34" s="1">
        <v>6139</v>
      </c>
      <c r="H34">
        <v>9</v>
      </c>
      <c r="I34">
        <v>0</v>
      </c>
      <c r="J34">
        <v>10</v>
      </c>
      <c r="K34">
        <v>8</v>
      </c>
      <c r="L34" s="1">
        <v>0</v>
      </c>
      <c r="M34">
        <v>0</v>
      </c>
      <c r="N34">
        <v>0</v>
      </c>
      <c r="O34">
        <v>1</v>
      </c>
      <c r="P34" s="1">
        <v>0</v>
      </c>
      <c r="Q34">
        <v>0</v>
      </c>
      <c r="R34">
        <v>0</v>
      </c>
      <c r="S34">
        <v>0</v>
      </c>
      <c r="T34">
        <v>1</v>
      </c>
      <c r="U34">
        <v>0</v>
      </c>
      <c r="V34" s="1">
        <v>0</v>
      </c>
      <c r="W34">
        <v>0</v>
      </c>
      <c r="X34" s="1">
        <v>0</v>
      </c>
      <c r="Y34">
        <v>0</v>
      </c>
      <c r="Z34" s="1">
        <v>0</v>
      </c>
      <c r="AA34">
        <v>0</v>
      </c>
      <c r="AB34" s="1">
        <v>0</v>
      </c>
      <c r="AC34">
        <v>0</v>
      </c>
      <c r="AD34" s="1">
        <v>0</v>
      </c>
      <c r="AE34">
        <v>1</v>
      </c>
      <c r="AF34">
        <v>1</v>
      </c>
      <c r="AG34">
        <v>0</v>
      </c>
      <c r="AH34">
        <v>0</v>
      </c>
      <c r="AI34">
        <v>0</v>
      </c>
      <c r="AJ34">
        <v>1</v>
      </c>
      <c r="AK34">
        <v>0</v>
      </c>
      <c r="AL34" s="1">
        <v>0</v>
      </c>
      <c r="AM34">
        <v>0</v>
      </c>
      <c r="AN34" s="1">
        <v>1</v>
      </c>
    </row>
    <row r="35" spans="1:40" x14ac:dyDescent="0.3">
      <c r="A35" t="s">
        <v>40</v>
      </c>
      <c r="B35" t="s">
        <v>51</v>
      </c>
      <c r="C35" s="3" t="s">
        <v>43</v>
      </c>
      <c r="D35" s="1">
        <v>6631</v>
      </c>
      <c r="E35">
        <v>6</v>
      </c>
      <c r="F35">
        <v>0</v>
      </c>
      <c r="G35" s="1">
        <v>6604</v>
      </c>
      <c r="H35">
        <v>0</v>
      </c>
      <c r="I35">
        <v>0</v>
      </c>
      <c r="J35">
        <v>9</v>
      </c>
      <c r="K35">
        <v>2</v>
      </c>
      <c r="L35" s="1">
        <v>0</v>
      </c>
      <c r="M35">
        <v>0</v>
      </c>
      <c r="N35">
        <v>0</v>
      </c>
      <c r="O35">
        <v>5</v>
      </c>
      <c r="P35" s="1">
        <v>0</v>
      </c>
      <c r="Q35">
        <v>0</v>
      </c>
      <c r="R35">
        <v>0</v>
      </c>
      <c r="S35">
        <v>0</v>
      </c>
      <c r="T35" s="1">
        <v>0</v>
      </c>
      <c r="U35">
        <v>0</v>
      </c>
      <c r="V35">
        <v>0</v>
      </c>
      <c r="W35">
        <v>0</v>
      </c>
      <c r="X35" s="1">
        <v>0</v>
      </c>
      <c r="Y35">
        <v>0</v>
      </c>
      <c r="Z35">
        <v>0</v>
      </c>
      <c r="AA35">
        <v>0</v>
      </c>
      <c r="AB35" s="1">
        <v>0</v>
      </c>
      <c r="AC35">
        <v>0</v>
      </c>
      <c r="AD35">
        <v>2</v>
      </c>
      <c r="AE35">
        <v>1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 s="1">
        <v>0</v>
      </c>
      <c r="AM35">
        <v>0</v>
      </c>
      <c r="AN35" s="1">
        <v>1</v>
      </c>
    </row>
    <row r="36" spans="1:40" x14ac:dyDescent="0.3">
      <c r="A36" t="s">
        <v>40</v>
      </c>
      <c r="B36" t="s">
        <v>52</v>
      </c>
      <c r="C36" s="3" t="s">
        <v>39</v>
      </c>
      <c r="D36" s="1">
        <v>12408</v>
      </c>
      <c r="E36">
        <v>1</v>
      </c>
      <c r="F36">
        <v>4</v>
      </c>
      <c r="G36" s="1">
        <v>12374</v>
      </c>
      <c r="H36">
        <v>1</v>
      </c>
      <c r="I36">
        <v>0</v>
      </c>
      <c r="J36">
        <v>10</v>
      </c>
      <c r="K36">
        <v>5</v>
      </c>
      <c r="L36" s="1">
        <v>0</v>
      </c>
      <c r="M36">
        <v>0</v>
      </c>
      <c r="N36">
        <v>0</v>
      </c>
      <c r="O36">
        <v>1</v>
      </c>
      <c r="P36" s="1">
        <v>0</v>
      </c>
      <c r="Q36">
        <v>0</v>
      </c>
      <c r="R36">
        <v>0</v>
      </c>
      <c r="S36">
        <v>0</v>
      </c>
      <c r="T36" s="1">
        <v>0</v>
      </c>
      <c r="U36">
        <v>1</v>
      </c>
      <c r="V36" s="1">
        <v>0</v>
      </c>
      <c r="W36">
        <v>0</v>
      </c>
      <c r="X36" s="1">
        <v>0</v>
      </c>
      <c r="Y36">
        <v>0</v>
      </c>
      <c r="Z36" s="1">
        <v>0</v>
      </c>
      <c r="AA36">
        <v>0</v>
      </c>
      <c r="AB36" s="1">
        <v>0</v>
      </c>
      <c r="AC36">
        <v>0</v>
      </c>
      <c r="AD36" s="1">
        <v>0</v>
      </c>
      <c r="AE36">
        <v>0</v>
      </c>
      <c r="AF36">
        <v>3</v>
      </c>
      <c r="AG36">
        <v>4</v>
      </c>
      <c r="AH36">
        <v>0</v>
      </c>
      <c r="AI36">
        <v>0</v>
      </c>
      <c r="AJ36">
        <v>0</v>
      </c>
      <c r="AK36">
        <v>0</v>
      </c>
      <c r="AL36" s="1">
        <v>0</v>
      </c>
      <c r="AM36">
        <v>1</v>
      </c>
      <c r="AN36" s="1">
        <v>3</v>
      </c>
    </row>
    <row r="37" spans="1:40" x14ac:dyDescent="0.3">
      <c r="A37" t="s">
        <v>40</v>
      </c>
      <c r="B37" t="s">
        <v>52</v>
      </c>
      <c r="C37" s="3" t="s">
        <v>42</v>
      </c>
      <c r="D37" s="1">
        <v>5564</v>
      </c>
      <c r="E37">
        <v>0</v>
      </c>
      <c r="F37">
        <v>3</v>
      </c>
      <c r="G37" s="1">
        <v>5544</v>
      </c>
      <c r="H37">
        <v>1</v>
      </c>
      <c r="I37">
        <v>0</v>
      </c>
      <c r="J37">
        <v>6</v>
      </c>
      <c r="K37">
        <v>3</v>
      </c>
      <c r="L37" s="1">
        <v>0</v>
      </c>
      <c r="M37">
        <v>0</v>
      </c>
      <c r="N37">
        <v>0</v>
      </c>
      <c r="O37">
        <v>1</v>
      </c>
      <c r="P37" s="1">
        <v>0</v>
      </c>
      <c r="Q37">
        <v>0</v>
      </c>
      <c r="R37">
        <v>0</v>
      </c>
      <c r="S37">
        <v>0</v>
      </c>
      <c r="T37" s="1">
        <v>0</v>
      </c>
      <c r="U37">
        <v>1</v>
      </c>
      <c r="V37">
        <v>0</v>
      </c>
      <c r="W37">
        <v>0</v>
      </c>
      <c r="X37" s="1">
        <v>0</v>
      </c>
      <c r="Y37">
        <v>0</v>
      </c>
      <c r="Z37">
        <v>0</v>
      </c>
      <c r="AA37">
        <v>0</v>
      </c>
      <c r="AB37" s="1">
        <v>0</v>
      </c>
      <c r="AC37">
        <v>0</v>
      </c>
      <c r="AD37">
        <v>0</v>
      </c>
      <c r="AE37">
        <v>0</v>
      </c>
      <c r="AF37">
        <v>1</v>
      </c>
      <c r="AG37">
        <v>2</v>
      </c>
      <c r="AH37">
        <v>0</v>
      </c>
      <c r="AI37">
        <v>0</v>
      </c>
      <c r="AJ37">
        <v>0</v>
      </c>
      <c r="AK37">
        <v>0</v>
      </c>
      <c r="AL37" s="1">
        <v>0</v>
      </c>
      <c r="AM37">
        <v>0</v>
      </c>
      <c r="AN37" s="1">
        <v>2</v>
      </c>
    </row>
    <row r="38" spans="1:40" x14ac:dyDescent="0.3">
      <c r="A38" t="s">
        <v>40</v>
      </c>
      <c r="B38" t="s">
        <v>52</v>
      </c>
      <c r="C38" s="3" t="s">
        <v>43</v>
      </c>
      <c r="D38" s="1">
        <v>6844</v>
      </c>
      <c r="E38">
        <v>1</v>
      </c>
      <c r="F38">
        <v>1</v>
      </c>
      <c r="G38" s="1">
        <v>6830</v>
      </c>
      <c r="H38">
        <v>0</v>
      </c>
      <c r="I38">
        <v>0</v>
      </c>
      <c r="J38">
        <v>4</v>
      </c>
      <c r="K38">
        <v>2</v>
      </c>
      <c r="L38" s="1">
        <v>0</v>
      </c>
      <c r="M38">
        <v>0</v>
      </c>
      <c r="N38">
        <v>0</v>
      </c>
      <c r="O38">
        <v>0</v>
      </c>
      <c r="P38" s="1">
        <v>0</v>
      </c>
      <c r="Q38">
        <v>0</v>
      </c>
      <c r="R38">
        <v>0</v>
      </c>
      <c r="S38">
        <v>0</v>
      </c>
      <c r="T38" s="1">
        <v>0</v>
      </c>
      <c r="U38">
        <v>0</v>
      </c>
      <c r="V38" s="1">
        <v>0</v>
      </c>
      <c r="W38">
        <v>0</v>
      </c>
      <c r="X38" s="1">
        <v>0</v>
      </c>
      <c r="Y38">
        <v>0</v>
      </c>
      <c r="Z38" s="1">
        <v>0</v>
      </c>
      <c r="AA38">
        <v>0</v>
      </c>
      <c r="AB38" s="1">
        <v>0</v>
      </c>
      <c r="AC38">
        <v>0</v>
      </c>
      <c r="AD38" s="1">
        <v>0</v>
      </c>
      <c r="AE38">
        <v>0</v>
      </c>
      <c r="AF38">
        <v>2</v>
      </c>
      <c r="AG38">
        <v>2</v>
      </c>
      <c r="AH38">
        <v>0</v>
      </c>
      <c r="AI38">
        <v>0</v>
      </c>
      <c r="AJ38">
        <v>0</v>
      </c>
      <c r="AK38">
        <v>0</v>
      </c>
      <c r="AL38" s="1">
        <v>0</v>
      </c>
      <c r="AM38">
        <v>1</v>
      </c>
      <c r="AN38" s="1">
        <v>1</v>
      </c>
    </row>
    <row r="39" spans="1:40" x14ac:dyDescent="0.3">
      <c r="A39" t="s">
        <v>40</v>
      </c>
      <c r="B39" t="s">
        <v>53</v>
      </c>
      <c r="C39" s="3" t="s">
        <v>39</v>
      </c>
      <c r="D39" s="1">
        <v>12259</v>
      </c>
      <c r="E39">
        <v>1</v>
      </c>
      <c r="F39">
        <v>0</v>
      </c>
      <c r="G39">
        <v>8</v>
      </c>
      <c r="H39" s="1">
        <v>12212</v>
      </c>
      <c r="I39">
        <v>0</v>
      </c>
      <c r="J39">
        <v>5</v>
      </c>
      <c r="K39">
        <v>3</v>
      </c>
      <c r="L39" s="1">
        <v>0</v>
      </c>
      <c r="M39">
        <v>5</v>
      </c>
      <c r="N39">
        <v>0</v>
      </c>
      <c r="O39">
        <v>2</v>
      </c>
      <c r="P39" s="1">
        <v>0</v>
      </c>
      <c r="Q39">
        <v>0</v>
      </c>
      <c r="R39">
        <v>0</v>
      </c>
      <c r="S39">
        <v>0</v>
      </c>
      <c r="T39" s="1">
        <v>0</v>
      </c>
      <c r="U39">
        <v>0</v>
      </c>
      <c r="V39">
        <v>0</v>
      </c>
      <c r="W39">
        <v>0</v>
      </c>
      <c r="X39" s="1">
        <v>0</v>
      </c>
      <c r="Y39">
        <v>0</v>
      </c>
      <c r="Z39">
        <v>0</v>
      </c>
      <c r="AA39">
        <v>0</v>
      </c>
      <c r="AB39" s="1">
        <v>0</v>
      </c>
      <c r="AC39">
        <v>0</v>
      </c>
      <c r="AD39">
        <v>0</v>
      </c>
      <c r="AE39">
        <v>0</v>
      </c>
      <c r="AF39">
        <v>0</v>
      </c>
      <c r="AG39">
        <v>1</v>
      </c>
      <c r="AH39">
        <v>0</v>
      </c>
      <c r="AI39">
        <v>1</v>
      </c>
      <c r="AJ39">
        <v>0</v>
      </c>
      <c r="AK39">
        <v>0</v>
      </c>
      <c r="AL39" s="1">
        <v>0</v>
      </c>
      <c r="AM39">
        <v>20</v>
      </c>
      <c r="AN39" s="1">
        <v>1</v>
      </c>
    </row>
    <row r="40" spans="1:40" x14ac:dyDescent="0.3">
      <c r="A40" t="s">
        <v>40</v>
      </c>
      <c r="B40" t="s">
        <v>53</v>
      </c>
      <c r="C40" s="3" t="s">
        <v>42</v>
      </c>
      <c r="D40" s="1">
        <v>4660</v>
      </c>
      <c r="E40">
        <v>1</v>
      </c>
      <c r="F40">
        <v>0</v>
      </c>
      <c r="G40">
        <v>3</v>
      </c>
      <c r="H40" s="1">
        <v>4633</v>
      </c>
      <c r="I40">
        <v>0</v>
      </c>
      <c r="J40">
        <v>3</v>
      </c>
      <c r="K40">
        <v>2</v>
      </c>
      <c r="L40" s="1">
        <v>0</v>
      </c>
      <c r="M40">
        <v>2</v>
      </c>
      <c r="N40">
        <v>0</v>
      </c>
      <c r="O40">
        <v>0</v>
      </c>
      <c r="P40" s="1">
        <v>0</v>
      </c>
      <c r="Q40">
        <v>0</v>
      </c>
      <c r="R40">
        <v>0</v>
      </c>
      <c r="S40">
        <v>0</v>
      </c>
      <c r="T40" s="1">
        <v>0</v>
      </c>
      <c r="U40">
        <v>0</v>
      </c>
      <c r="V40" s="1">
        <v>0</v>
      </c>
      <c r="W40">
        <v>0</v>
      </c>
      <c r="X40" s="1">
        <v>0</v>
      </c>
      <c r="Y40">
        <v>0</v>
      </c>
      <c r="Z40" s="1">
        <v>0</v>
      </c>
      <c r="AA40">
        <v>0</v>
      </c>
      <c r="AB40" s="1">
        <v>0</v>
      </c>
      <c r="AC40">
        <v>0</v>
      </c>
      <c r="AD40" s="1">
        <v>0</v>
      </c>
      <c r="AE40">
        <v>0</v>
      </c>
      <c r="AF40" s="1">
        <v>0</v>
      </c>
      <c r="AG40">
        <v>0</v>
      </c>
      <c r="AH40" s="1">
        <v>0</v>
      </c>
      <c r="AI40">
        <v>0</v>
      </c>
      <c r="AJ40" s="1">
        <v>0</v>
      </c>
      <c r="AK40">
        <v>0</v>
      </c>
      <c r="AL40" s="1">
        <v>0</v>
      </c>
      <c r="AM40">
        <v>15</v>
      </c>
      <c r="AN40" s="1">
        <v>1</v>
      </c>
    </row>
    <row r="41" spans="1:40" x14ac:dyDescent="0.3">
      <c r="A41" t="s">
        <v>40</v>
      </c>
      <c r="B41" t="s">
        <v>53</v>
      </c>
      <c r="C41" s="3" t="s">
        <v>43</v>
      </c>
      <c r="D41" s="1">
        <v>7599</v>
      </c>
      <c r="E41">
        <v>0</v>
      </c>
      <c r="F41">
        <v>0</v>
      </c>
      <c r="G41">
        <v>5</v>
      </c>
      <c r="H41" s="1">
        <v>7579</v>
      </c>
      <c r="I41">
        <v>0</v>
      </c>
      <c r="J41">
        <v>2</v>
      </c>
      <c r="K41">
        <v>1</v>
      </c>
      <c r="L41" s="1">
        <v>0</v>
      </c>
      <c r="M41">
        <v>3</v>
      </c>
      <c r="N41">
        <v>0</v>
      </c>
      <c r="O41">
        <v>2</v>
      </c>
      <c r="P41" s="1">
        <v>0</v>
      </c>
      <c r="Q41">
        <v>0</v>
      </c>
      <c r="R41">
        <v>0</v>
      </c>
      <c r="S41">
        <v>0</v>
      </c>
      <c r="T41" s="1">
        <v>0</v>
      </c>
      <c r="U41">
        <v>0</v>
      </c>
      <c r="V41">
        <v>0</v>
      </c>
      <c r="W41">
        <v>0</v>
      </c>
      <c r="X41" s="1">
        <v>0</v>
      </c>
      <c r="Y41">
        <v>0</v>
      </c>
      <c r="Z41">
        <v>0</v>
      </c>
      <c r="AA41">
        <v>0</v>
      </c>
      <c r="AB41" s="1">
        <v>0</v>
      </c>
      <c r="AC41">
        <v>0</v>
      </c>
      <c r="AD41">
        <v>0</v>
      </c>
      <c r="AE41">
        <v>0</v>
      </c>
      <c r="AF41">
        <v>0</v>
      </c>
      <c r="AG41">
        <v>1</v>
      </c>
      <c r="AH41">
        <v>0</v>
      </c>
      <c r="AI41">
        <v>1</v>
      </c>
      <c r="AJ41">
        <v>0</v>
      </c>
      <c r="AK41">
        <v>0</v>
      </c>
      <c r="AL41" s="1">
        <v>0</v>
      </c>
      <c r="AM41">
        <v>5</v>
      </c>
      <c r="AN41" s="1">
        <v>0</v>
      </c>
    </row>
    <row r="42" spans="1:40" x14ac:dyDescent="0.3">
      <c r="A42" t="s">
        <v>40</v>
      </c>
      <c r="B42" t="s">
        <v>54</v>
      </c>
      <c r="C42" s="3" t="s">
        <v>39</v>
      </c>
      <c r="D42" s="1">
        <v>7697</v>
      </c>
      <c r="E42">
        <v>3</v>
      </c>
      <c r="F42">
        <v>1</v>
      </c>
      <c r="G42" s="1">
        <v>7177</v>
      </c>
      <c r="H42">
        <v>2</v>
      </c>
      <c r="I42">
        <v>0</v>
      </c>
      <c r="J42">
        <v>212</v>
      </c>
      <c r="K42">
        <v>9</v>
      </c>
      <c r="L42" s="1">
        <v>0</v>
      </c>
      <c r="M42">
        <v>0</v>
      </c>
      <c r="N42">
        <v>6</v>
      </c>
      <c r="O42">
        <v>34</v>
      </c>
      <c r="P42" s="1">
        <v>0</v>
      </c>
      <c r="Q42">
        <v>0</v>
      </c>
      <c r="R42">
        <v>0</v>
      </c>
      <c r="S42">
        <v>0</v>
      </c>
      <c r="T42" s="1">
        <v>0</v>
      </c>
      <c r="U42">
        <v>0</v>
      </c>
      <c r="V42" s="1">
        <v>0</v>
      </c>
      <c r="W42">
        <v>0</v>
      </c>
      <c r="X42" s="1">
        <v>0</v>
      </c>
      <c r="Y42">
        <v>1</v>
      </c>
      <c r="Z42" s="1">
        <v>0</v>
      </c>
      <c r="AA42">
        <v>0</v>
      </c>
      <c r="AB42" s="1">
        <v>0</v>
      </c>
      <c r="AC42">
        <v>0</v>
      </c>
      <c r="AD42">
        <v>16</v>
      </c>
      <c r="AE42">
        <v>1</v>
      </c>
      <c r="AF42">
        <v>64</v>
      </c>
      <c r="AG42">
        <v>41</v>
      </c>
      <c r="AH42">
        <v>0</v>
      </c>
      <c r="AI42">
        <v>1</v>
      </c>
      <c r="AJ42">
        <v>2</v>
      </c>
      <c r="AK42">
        <v>0</v>
      </c>
      <c r="AL42">
        <v>75</v>
      </c>
      <c r="AM42">
        <v>0</v>
      </c>
      <c r="AN42" s="1">
        <v>52</v>
      </c>
    </row>
    <row r="43" spans="1:40" x14ac:dyDescent="0.3">
      <c r="A43" t="s">
        <v>40</v>
      </c>
      <c r="B43" t="s">
        <v>54</v>
      </c>
      <c r="C43" s="3" t="s">
        <v>42</v>
      </c>
      <c r="D43" s="1">
        <v>5172</v>
      </c>
      <c r="E43">
        <v>1</v>
      </c>
      <c r="F43">
        <v>1</v>
      </c>
      <c r="G43" s="1">
        <v>4894</v>
      </c>
      <c r="H43">
        <v>1</v>
      </c>
      <c r="I43">
        <v>0</v>
      </c>
      <c r="J43">
        <v>116</v>
      </c>
      <c r="K43">
        <v>5</v>
      </c>
      <c r="L43" s="1">
        <v>0</v>
      </c>
      <c r="M43">
        <v>0</v>
      </c>
      <c r="N43">
        <v>6</v>
      </c>
      <c r="O43">
        <v>9</v>
      </c>
      <c r="P43" s="1">
        <v>0</v>
      </c>
      <c r="Q43">
        <v>0</v>
      </c>
      <c r="R43">
        <v>0</v>
      </c>
      <c r="S43">
        <v>0</v>
      </c>
      <c r="T43" s="1">
        <v>0</v>
      </c>
      <c r="U43">
        <v>0</v>
      </c>
      <c r="V43">
        <v>0</v>
      </c>
      <c r="W43">
        <v>0</v>
      </c>
      <c r="X43" s="1">
        <v>0</v>
      </c>
      <c r="Y43">
        <v>0</v>
      </c>
      <c r="Z43">
        <v>0</v>
      </c>
      <c r="AA43">
        <v>0</v>
      </c>
      <c r="AB43" s="1">
        <v>0</v>
      </c>
      <c r="AC43">
        <v>0</v>
      </c>
      <c r="AD43">
        <v>9</v>
      </c>
      <c r="AE43">
        <v>0</v>
      </c>
      <c r="AF43">
        <v>37</v>
      </c>
      <c r="AG43">
        <v>17</v>
      </c>
      <c r="AH43">
        <v>0</v>
      </c>
      <c r="AI43">
        <v>0</v>
      </c>
      <c r="AJ43">
        <v>1</v>
      </c>
      <c r="AK43">
        <v>0</v>
      </c>
      <c r="AL43">
        <v>42</v>
      </c>
      <c r="AM43">
        <v>0</v>
      </c>
      <c r="AN43" s="1">
        <v>33</v>
      </c>
    </row>
    <row r="44" spans="1:40" x14ac:dyDescent="0.3">
      <c r="A44" t="s">
        <v>40</v>
      </c>
      <c r="B44" t="s">
        <v>54</v>
      </c>
      <c r="C44" s="3" t="s">
        <v>43</v>
      </c>
      <c r="D44" s="1">
        <v>2525</v>
      </c>
      <c r="E44">
        <v>2</v>
      </c>
      <c r="F44">
        <v>0</v>
      </c>
      <c r="G44" s="1">
        <v>2283</v>
      </c>
      <c r="H44">
        <v>1</v>
      </c>
      <c r="I44">
        <v>0</v>
      </c>
      <c r="J44">
        <v>96</v>
      </c>
      <c r="K44">
        <v>4</v>
      </c>
      <c r="L44" s="1">
        <v>0</v>
      </c>
      <c r="M44">
        <v>0</v>
      </c>
      <c r="N44">
        <v>0</v>
      </c>
      <c r="O44">
        <v>25</v>
      </c>
      <c r="P44" s="1">
        <v>0</v>
      </c>
      <c r="Q44">
        <v>0</v>
      </c>
      <c r="R44">
        <v>0</v>
      </c>
      <c r="S44">
        <v>0</v>
      </c>
      <c r="T44" s="1">
        <v>0</v>
      </c>
      <c r="U44">
        <v>0</v>
      </c>
      <c r="V44" s="1">
        <v>0</v>
      </c>
      <c r="W44">
        <v>0</v>
      </c>
      <c r="X44" s="1">
        <v>0</v>
      </c>
      <c r="Y44">
        <v>1</v>
      </c>
      <c r="Z44" s="1">
        <v>0</v>
      </c>
      <c r="AA44">
        <v>0</v>
      </c>
      <c r="AB44" s="1">
        <v>0</v>
      </c>
      <c r="AC44">
        <v>0</v>
      </c>
      <c r="AD44">
        <v>7</v>
      </c>
      <c r="AE44">
        <v>1</v>
      </c>
      <c r="AF44">
        <v>27</v>
      </c>
      <c r="AG44">
        <v>24</v>
      </c>
      <c r="AH44">
        <v>0</v>
      </c>
      <c r="AI44">
        <v>1</v>
      </c>
      <c r="AJ44">
        <v>1</v>
      </c>
      <c r="AK44">
        <v>0</v>
      </c>
      <c r="AL44">
        <v>33</v>
      </c>
      <c r="AM44">
        <v>0</v>
      </c>
      <c r="AN44" s="1">
        <v>19</v>
      </c>
    </row>
    <row r="45" spans="1:40" x14ac:dyDescent="0.3">
      <c r="A45" t="s">
        <v>40</v>
      </c>
      <c r="B45" t="s">
        <v>55</v>
      </c>
      <c r="C45" s="3" t="s">
        <v>39</v>
      </c>
      <c r="D45" s="1">
        <v>6217</v>
      </c>
      <c r="E45">
        <v>0</v>
      </c>
      <c r="F45">
        <v>0</v>
      </c>
      <c r="G45" s="1">
        <v>0</v>
      </c>
      <c r="H45">
        <v>35</v>
      </c>
      <c r="I45">
        <v>1</v>
      </c>
      <c r="J45" s="1">
        <v>3258</v>
      </c>
      <c r="K45">
        <v>0</v>
      </c>
      <c r="L45">
        <v>1</v>
      </c>
      <c r="M45">
        <v>0</v>
      </c>
      <c r="N45">
        <v>84</v>
      </c>
      <c r="O45">
        <v>0</v>
      </c>
      <c r="P45" s="1">
        <v>0</v>
      </c>
      <c r="Q45">
        <v>0</v>
      </c>
      <c r="R45">
        <v>2</v>
      </c>
      <c r="S45">
        <v>2</v>
      </c>
      <c r="T45" s="1">
        <v>0</v>
      </c>
      <c r="U45">
        <v>0</v>
      </c>
      <c r="V45">
        <v>0</v>
      </c>
      <c r="W45">
        <v>0</v>
      </c>
      <c r="X45" s="1">
        <v>0</v>
      </c>
      <c r="Y45">
        <v>0</v>
      </c>
      <c r="Z45">
        <v>0</v>
      </c>
      <c r="AA45">
        <v>0</v>
      </c>
      <c r="AB45">
        <v>2</v>
      </c>
      <c r="AC45">
        <v>0</v>
      </c>
      <c r="AD45">
        <v>288</v>
      </c>
      <c r="AE45">
        <v>2</v>
      </c>
      <c r="AF45">
        <v>5</v>
      </c>
      <c r="AG45" s="1">
        <v>1184</v>
      </c>
      <c r="AH45">
        <v>25</v>
      </c>
      <c r="AI45">
        <v>22</v>
      </c>
      <c r="AJ45">
        <v>2</v>
      </c>
      <c r="AK45">
        <v>0</v>
      </c>
      <c r="AL45" s="1">
        <v>1068</v>
      </c>
      <c r="AM45">
        <v>0</v>
      </c>
      <c r="AN45" s="1">
        <v>236</v>
      </c>
    </row>
    <row r="46" spans="1:40" x14ac:dyDescent="0.3">
      <c r="A46" t="s">
        <v>40</v>
      </c>
      <c r="B46" t="s">
        <v>55</v>
      </c>
      <c r="C46" s="3" t="s">
        <v>42</v>
      </c>
      <c r="D46" s="1">
        <v>3216</v>
      </c>
      <c r="E46">
        <v>0</v>
      </c>
      <c r="F46">
        <v>0</v>
      </c>
      <c r="G46" s="1">
        <v>0</v>
      </c>
      <c r="H46">
        <v>18</v>
      </c>
      <c r="I46">
        <v>0</v>
      </c>
      <c r="J46" s="1">
        <v>1802</v>
      </c>
      <c r="K46">
        <v>0</v>
      </c>
      <c r="L46" s="1">
        <v>0</v>
      </c>
      <c r="M46">
        <v>0</v>
      </c>
      <c r="N46">
        <v>59</v>
      </c>
      <c r="O46">
        <v>0</v>
      </c>
      <c r="P46" s="1">
        <v>0</v>
      </c>
      <c r="Q46">
        <v>0</v>
      </c>
      <c r="R46">
        <v>2</v>
      </c>
      <c r="S46">
        <v>0</v>
      </c>
      <c r="T46" s="1">
        <v>0</v>
      </c>
      <c r="U46">
        <v>0</v>
      </c>
      <c r="V46" s="1">
        <v>0</v>
      </c>
      <c r="W46">
        <v>0</v>
      </c>
      <c r="X46" s="1">
        <v>0</v>
      </c>
      <c r="Y46">
        <v>0</v>
      </c>
      <c r="Z46" s="1">
        <v>0</v>
      </c>
      <c r="AA46">
        <v>0</v>
      </c>
      <c r="AB46">
        <v>1</v>
      </c>
      <c r="AC46">
        <v>0</v>
      </c>
      <c r="AD46">
        <v>85</v>
      </c>
      <c r="AE46">
        <v>2</v>
      </c>
      <c r="AF46">
        <v>2</v>
      </c>
      <c r="AG46">
        <v>478</v>
      </c>
      <c r="AH46">
        <v>12</v>
      </c>
      <c r="AI46">
        <v>0</v>
      </c>
      <c r="AJ46">
        <v>2</v>
      </c>
      <c r="AK46">
        <v>0</v>
      </c>
      <c r="AL46">
        <v>589</v>
      </c>
      <c r="AM46">
        <v>0</v>
      </c>
      <c r="AN46" s="1">
        <v>164</v>
      </c>
    </row>
    <row r="47" spans="1:40" x14ac:dyDescent="0.3">
      <c r="A47" t="s">
        <v>40</v>
      </c>
      <c r="B47" t="s">
        <v>55</v>
      </c>
      <c r="C47" s="3" t="s">
        <v>43</v>
      </c>
      <c r="D47" s="1">
        <v>3001</v>
      </c>
      <c r="E47">
        <v>0</v>
      </c>
      <c r="F47">
        <v>0</v>
      </c>
      <c r="G47" s="1">
        <v>0</v>
      </c>
      <c r="H47">
        <v>17</v>
      </c>
      <c r="I47">
        <v>1</v>
      </c>
      <c r="J47" s="1">
        <v>1456</v>
      </c>
      <c r="K47">
        <v>0</v>
      </c>
      <c r="L47">
        <v>1</v>
      </c>
      <c r="M47">
        <v>0</v>
      </c>
      <c r="N47">
        <v>25</v>
      </c>
      <c r="O47">
        <v>0</v>
      </c>
      <c r="P47" s="1">
        <v>0</v>
      </c>
      <c r="Q47">
        <v>0</v>
      </c>
      <c r="R47">
        <v>0</v>
      </c>
      <c r="S47">
        <v>2</v>
      </c>
      <c r="T47" s="1">
        <v>0</v>
      </c>
      <c r="U47">
        <v>0</v>
      </c>
      <c r="V47">
        <v>0</v>
      </c>
      <c r="W47">
        <v>0</v>
      </c>
      <c r="X47" s="1">
        <v>0</v>
      </c>
      <c r="Y47">
        <v>0</v>
      </c>
      <c r="Z47">
        <v>0</v>
      </c>
      <c r="AA47">
        <v>0</v>
      </c>
      <c r="AB47">
        <v>1</v>
      </c>
      <c r="AC47">
        <v>0</v>
      </c>
      <c r="AD47">
        <v>203</v>
      </c>
      <c r="AE47">
        <v>0</v>
      </c>
      <c r="AF47">
        <v>3</v>
      </c>
      <c r="AG47">
        <v>706</v>
      </c>
      <c r="AH47">
        <v>13</v>
      </c>
      <c r="AI47">
        <v>22</v>
      </c>
      <c r="AJ47">
        <v>0</v>
      </c>
      <c r="AK47">
        <v>0</v>
      </c>
      <c r="AL47">
        <v>479</v>
      </c>
      <c r="AM47">
        <v>0</v>
      </c>
      <c r="AN47" s="1">
        <v>72</v>
      </c>
    </row>
    <row r="48" spans="1:40" x14ac:dyDescent="0.3">
      <c r="A48" t="s">
        <v>40</v>
      </c>
      <c r="B48" t="s">
        <v>56</v>
      </c>
      <c r="C48" s="3" t="s">
        <v>39</v>
      </c>
      <c r="D48" s="1">
        <v>3870</v>
      </c>
      <c r="E48">
        <v>0</v>
      </c>
      <c r="F48">
        <v>1</v>
      </c>
      <c r="G48">
        <v>1</v>
      </c>
      <c r="H48">
        <v>61</v>
      </c>
      <c r="I48">
        <v>0</v>
      </c>
      <c r="J48" s="1">
        <v>2439</v>
      </c>
      <c r="K48">
        <v>16</v>
      </c>
      <c r="L48" s="1">
        <v>0</v>
      </c>
      <c r="M48">
        <v>60</v>
      </c>
      <c r="N48">
        <v>24</v>
      </c>
      <c r="O48">
        <v>288</v>
      </c>
      <c r="P48" s="1">
        <v>0</v>
      </c>
      <c r="Q48">
        <v>0</v>
      </c>
      <c r="R48">
        <v>0</v>
      </c>
      <c r="S48">
        <v>0</v>
      </c>
      <c r="T48">
        <v>2</v>
      </c>
      <c r="U48">
        <v>3</v>
      </c>
      <c r="V48" s="1">
        <v>0</v>
      </c>
      <c r="W48">
        <v>0</v>
      </c>
      <c r="X48" s="1">
        <v>0</v>
      </c>
      <c r="Y48">
        <v>2</v>
      </c>
      <c r="Z48">
        <v>3</v>
      </c>
      <c r="AA48">
        <v>32</v>
      </c>
      <c r="AB48">
        <v>211</v>
      </c>
      <c r="AC48">
        <v>0</v>
      </c>
      <c r="AD48">
        <v>62</v>
      </c>
      <c r="AE48">
        <v>22</v>
      </c>
      <c r="AF48">
        <v>186</v>
      </c>
      <c r="AG48">
        <v>99</v>
      </c>
      <c r="AH48">
        <v>37</v>
      </c>
      <c r="AI48">
        <v>58</v>
      </c>
      <c r="AJ48">
        <v>3</v>
      </c>
      <c r="AK48">
        <v>0</v>
      </c>
      <c r="AL48">
        <v>163</v>
      </c>
      <c r="AM48">
        <v>0</v>
      </c>
      <c r="AN48" s="1">
        <v>97</v>
      </c>
    </row>
    <row r="49" spans="1:40" x14ac:dyDescent="0.3">
      <c r="A49" t="s">
        <v>40</v>
      </c>
      <c r="B49" t="s">
        <v>56</v>
      </c>
      <c r="C49" s="3" t="s">
        <v>42</v>
      </c>
      <c r="D49" s="1">
        <v>2815</v>
      </c>
      <c r="E49">
        <v>0</v>
      </c>
      <c r="F49">
        <v>0</v>
      </c>
      <c r="G49">
        <v>1</v>
      </c>
      <c r="H49">
        <v>56</v>
      </c>
      <c r="I49">
        <v>0</v>
      </c>
      <c r="J49" s="1">
        <v>1859</v>
      </c>
      <c r="K49">
        <v>13</v>
      </c>
      <c r="L49">
        <v>0</v>
      </c>
      <c r="M49">
        <v>53</v>
      </c>
      <c r="N49">
        <v>22</v>
      </c>
      <c r="O49">
        <v>266</v>
      </c>
      <c r="P49" s="1">
        <v>0</v>
      </c>
      <c r="Q49">
        <v>0</v>
      </c>
      <c r="R49">
        <v>0</v>
      </c>
      <c r="S49">
        <v>0</v>
      </c>
      <c r="T49">
        <v>2</v>
      </c>
      <c r="U49">
        <v>2</v>
      </c>
      <c r="V49">
        <v>0</v>
      </c>
      <c r="W49">
        <v>0</v>
      </c>
      <c r="X49" s="1">
        <v>0</v>
      </c>
      <c r="Y49">
        <v>1</v>
      </c>
      <c r="Z49">
        <v>3</v>
      </c>
      <c r="AA49">
        <v>32</v>
      </c>
      <c r="AB49">
        <v>206</v>
      </c>
      <c r="AC49">
        <v>0</v>
      </c>
      <c r="AD49">
        <v>29</v>
      </c>
      <c r="AE49">
        <v>12</v>
      </c>
      <c r="AF49">
        <v>62</v>
      </c>
      <c r="AG49">
        <v>42</v>
      </c>
      <c r="AH49">
        <v>1</v>
      </c>
      <c r="AI49">
        <v>5</v>
      </c>
      <c r="AJ49">
        <v>3</v>
      </c>
      <c r="AK49">
        <v>0</v>
      </c>
      <c r="AL49">
        <v>91</v>
      </c>
      <c r="AM49">
        <v>0</v>
      </c>
      <c r="AN49" s="1">
        <v>54</v>
      </c>
    </row>
    <row r="50" spans="1:40" x14ac:dyDescent="0.3">
      <c r="A50" t="s">
        <v>40</v>
      </c>
      <c r="B50" t="s">
        <v>56</v>
      </c>
      <c r="C50" s="3" t="s">
        <v>43</v>
      </c>
      <c r="D50" s="1">
        <v>1055</v>
      </c>
      <c r="E50">
        <v>0</v>
      </c>
      <c r="F50">
        <v>1</v>
      </c>
      <c r="G50" s="1">
        <v>0</v>
      </c>
      <c r="H50">
        <v>5</v>
      </c>
      <c r="I50">
        <v>0</v>
      </c>
      <c r="J50">
        <v>580</v>
      </c>
      <c r="K50">
        <v>3</v>
      </c>
      <c r="L50" s="1">
        <v>0</v>
      </c>
      <c r="M50">
        <v>7</v>
      </c>
      <c r="N50">
        <v>2</v>
      </c>
      <c r="O50">
        <v>22</v>
      </c>
      <c r="P50" s="1">
        <v>0</v>
      </c>
      <c r="Q50">
        <v>0</v>
      </c>
      <c r="R50">
        <v>0</v>
      </c>
      <c r="S50">
        <v>0</v>
      </c>
      <c r="T50" s="1">
        <v>0</v>
      </c>
      <c r="U50">
        <v>1</v>
      </c>
      <c r="V50" s="1">
        <v>0</v>
      </c>
      <c r="W50">
        <v>0</v>
      </c>
      <c r="X50" s="1">
        <v>0</v>
      </c>
      <c r="Y50">
        <v>1</v>
      </c>
      <c r="Z50" s="1">
        <v>0</v>
      </c>
      <c r="AA50">
        <v>0</v>
      </c>
      <c r="AB50">
        <v>5</v>
      </c>
      <c r="AC50">
        <v>0</v>
      </c>
      <c r="AD50">
        <v>33</v>
      </c>
      <c r="AE50">
        <v>10</v>
      </c>
      <c r="AF50">
        <v>124</v>
      </c>
      <c r="AG50">
        <v>57</v>
      </c>
      <c r="AH50">
        <v>36</v>
      </c>
      <c r="AI50">
        <v>53</v>
      </c>
      <c r="AJ50">
        <v>0</v>
      </c>
      <c r="AK50">
        <v>0</v>
      </c>
      <c r="AL50">
        <v>72</v>
      </c>
      <c r="AM50">
        <v>0</v>
      </c>
      <c r="AN50" s="1">
        <v>43</v>
      </c>
    </row>
    <row r="51" spans="1:40" x14ac:dyDescent="0.3">
      <c r="A51" t="s">
        <v>40</v>
      </c>
      <c r="B51" t="s">
        <v>57</v>
      </c>
      <c r="C51" s="3" t="s">
        <v>39</v>
      </c>
      <c r="D51" s="1">
        <v>3506</v>
      </c>
      <c r="E51">
        <v>1</v>
      </c>
      <c r="F51">
        <v>17</v>
      </c>
      <c r="G51" s="1">
        <v>2449</v>
      </c>
      <c r="H51">
        <v>23</v>
      </c>
      <c r="I51">
        <v>0</v>
      </c>
      <c r="J51">
        <v>500</v>
      </c>
      <c r="K51">
        <v>1</v>
      </c>
      <c r="L51">
        <v>0</v>
      </c>
      <c r="M51">
        <v>4</v>
      </c>
      <c r="N51">
        <v>99</v>
      </c>
      <c r="O51">
        <v>118</v>
      </c>
      <c r="P51" s="1">
        <v>0</v>
      </c>
      <c r="Q51">
        <v>1</v>
      </c>
      <c r="R51">
        <v>4</v>
      </c>
      <c r="S51">
        <v>1</v>
      </c>
      <c r="T51" s="1">
        <v>0</v>
      </c>
      <c r="U51">
        <v>0</v>
      </c>
      <c r="V51">
        <v>0</v>
      </c>
      <c r="W51">
        <v>0</v>
      </c>
      <c r="X51" s="1">
        <v>0</v>
      </c>
      <c r="Y51">
        <v>0</v>
      </c>
      <c r="Z51">
        <v>0</v>
      </c>
      <c r="AA51">
        <v>3</v>
      </c>
      <c r="AB51">
        <v>107</v>
      </c>
      <c r="AC51">
        <v>0</v>
      </c>
      <c r="AD51">
        <v>9</v>
      </c>
      <c r="AE51">
        <v>14</v>
      </c>
      <c r="AF51">
        <v>124</v>
      </c>
      <c r="AG51">
        <v>0</v>
      </c>
      <c r="AH51">
        <v>1</v>
      </c>
      <c r="AI51">
        <v>5</v>
      </c>
      <c r="AJ51">
        <v>0</v>
      </c>
      <c r="AK51">
        <v>0</v>
      </c>
      <c r="AL51">
        <v>0</v>
      </c>
      <c r="AM51">
        <v>0</v>
      </c>
      <c r="AN51" s="1">
        <v>25</v>
      </c>
    </row>
    <row r="52" spans="1:40" x14ac:dyDescent="0.3">
      <c r="A52" t="s">
        <v>40</v>
      </c>
      <c r="B52" t="s">
        <v>57</v>
      </c>
      <c r="C52" s="3" t="s">
        <v>42</v>
      </c>
      <c r="D52" s="1">
        <v>3166</v>
      </c>
      <c r="E52">
        <v>0</v>
      </c>
      <c r="F52">
        <v>14</v>
      </c>
      <c r="G52" s="1">
        <v>2428</v>
      </c>
      <c r="H52">
        <v>22</v>
      </c>
      <c r="I52">
        <v>0</v>
      </c>
      <c r="J52">
        <v>320</v>
      </c>
      <c r="K52">
        <v>1</v>
      </c>
      <c r="L52" s="1">
        <v>0</v>
      </c>
      <c r="M52">
        <v>3</v>
      </c>
      <c r="N52">
        <v>98</v>
      </c>
      <c r="O52">
        <v>104</v>
      </c>
      <c r="P52" s="1">
        <v>0</v>
      </c>
      <c r="Q52">
        <v>1</v>
      </c>
      <c r="R52">
        <v>4</v>
      </c>
      <c r="S52">
        <v>1</v>
      </c>
      <c r="T52" s="1">
        <v>0</v>
      </c>
      <c r="U52">
        <v>0</v>
      </c>
      <c r="V52" s="1">
        <v>0</v>
      </c>
      <c r="W52">
        <v>0</v>
      </c>
      <c r="X52" s="1">
        <v>0</v>
      </c>
      <c r="Y52">
        <v>0</v>
      </c>
      <c r="Z52" s="1">
        <v>0</v>
      </c>
      <c r="AA52">
        <v>3</v>
      </c>
      <c r="AB52">
        <v>104</v>
      </c>
      <c r="AC52">
        <v>0</v>
      </c>
      <c r="AD52">
        <v>7</v>
      </c>
      <c r="AE52">
        <v>10</v>
      </c>
      <c r="AF52">
        <v>24</v>
      </c>
      <c r="AG52">
        <v>0</v>
      </c>
      <c r="AH52">
        <v>1</v>
      </c>
      <c r="AI52">
        <v>5</v>
      </c>
      <c r="AJ52">
        <v>0</v>
      </c>
      <c r="AK52">
        <v>0</v>
      </c>
      <c r="AL52">
        <v>0</v>
      </c>
      <c r="AM52">
        <v>0</v>
      </c>
      <c r="AN52" s="1">
        <v>16</v>
      </c>
    </row>
    <row r="53" spans="1:40" x14ac:dyDescent="0.3">
      <c r="A53" t="s">
        <v>40</v>
      </c>
      <c r="B53" t="s">
        <v>57</v>
      </c>
      <c r="C53" s="3" t="s">
        <v>43</v>
      </c>
      <c r="D53">
        <v>340</v>
      </c>
      <c r="E53">
        <v>1</v>
      </c>
      <c r="F53">
        <v>3</v>
      </c>
      <c r="G53">
        <v>21</v>
      </c>
      <c r="H53">
        <v>1</v>
      </c>
      <c r="I53">
        <v>0</v>
      </c>
      <c r="J53">
        <v>180</v>
      </c>
      <c r="K53">
        <v>0</v>
      </c>
      <c r="L53">
        <v>0</v>
      </c>
      <c r="M53">
        <v>1</v>
      </c>
      <c r="N53">
        <v>1</v>
      </c>
      <c r="O53">
        <v>14</v>
      </c>
      <c r="P53" s="1">
        <v>0</v>
      </c>
      <c r="Q53">
        <v>0</v>
      </c>
      <c r="R53">
        <v>0</v>
      </c>
      <c r="S53">
        <v>0</v>
      </c>
      <c r="T53" s="1">
        <v>0</v>
      </c>
      <c r="U53">
        <v>0</v>
      </c>
      <c r="V53">
        <v>0</v>
      </c>
      <c r="W53">
        <v>0</v>
      </c>
      <c r="X53" s="1">
        <v>0</v>
      </c>
      <c r="Y53">
        <v>0</v>
      </c>
      <c r="Z53">
        <v>0</v>
      </c>
      <c r="AA53">
        <v>0</v>
      </c>
      <c r="AB53">
        <v>3</v>
      </c>
      <c r="AC53">
        <v>0</v>
      </c>
      <c r="AD53">
        <v>2</v>
      </c>
      <c r="AE53">
        <v>4</v>
      </c>
      <c r="AF53">
        <v>100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 s="1">
        <v>9</v>
      </c>
    </row>
    <row r="54" spans="1:40" x14ac:dyDescent="0.3">
      <c r="A54" t="s">
        <v>40</v>
      </c>
      <c r="B54" t="s">
        <v>58</v>
      </c>
      <c r="C54" s="3" t="s">
        <v>39</v>
      </c>
      <c r="D54" s="1">
        <v>2755</v>
      </c>
      <c r="E54">
        <v>7</v>
      </c>
      <c r="F54">
        <v>9</v>
      </c>
      <c r="G54">
        <v>1</v>
      </c>
      <c r="H54">
        <v>361</v>
      </c>
      <c r="I54">
        <v>1</v>
      </c>
      <c r="J54" s="1">
        <v>2151</v>
      </c>
      <c r="K54">
        <v>76</v>
      </c>
      <c r="L54" s="1">
        <v>0</v>
      </c>
      <c r="M54">
        <v>16</v>
      </c>
      <c r="N54" s="1">
        <v>0</v>
      </c>
      <c r="O54">
        <v>26</v>
      </c>
      <c r="P54" s="1">
        <v>0</v>
      </c>
      <c r="Q54">
        <v>1</v>
      </c>
      <c r="R54">
        <v>2</v>
      </c>
      <c r="S54">
        <v>1</v>
      </c>
      <c r="T54" s="1">
        <v>0</v>
      </c>
      <c r="U54">
        <v>0</v>
      </c>
      <c r="V54">
        <v>1</v>
      </c>
      <c r="W54">
        <v>0</v>
      </c>
      <c r="X54">
        <v>14</v>
      </c>
      <c r="Y54">
        <v>1</v>
      </c>
      <c r="Z54">
        <v>16</v>
      </c>
      <c r="AA54">
        <v>0</v>
      </c>
      <c r="AB54">
        <v>0</v>
      </c>
      <c r="AC54">
        <v>0</v>
      </c>
      <c r="AD54">
        <v>2</v>
      </c>
      <c r="AE54">
        <v>4</v>
      </c>
      <c r="AF54">
        <v>42</v>
      </c>
      <c r="AG54">
        <v>0</v>
      </c>
      <c r="AH54">
        <v>0</v>
      </c>
      <c r="AI54">
        <v>1</v>
      </c>
      <c r="AJ54">
        <v>6</v>
      </c>
      <c r="AK54">
        <v>0</v>
      </c>
      <c r="AL54">
        <v>0</v>
      </c>
      <c r="AM54">
        <v>0</v>
      </c>
      <c r="AN54" s="1">
        <v>16</v>
      </c>
    </row>
    <row r="55" spans="1:40" x14ac:dyDescent="0.3">
      <c r="A55" t="s">
        <v>40</v>
      </c>
      <c r="B55" t="s">
        <v>58</v>
      </c>
      <c r="C55" s="3" t="s">
        <v>42</v>
      </c>
      <c r="D55" s="1">
        <v>1935</v>
      </c>
      <c r="E55">
        <v>5</v>
      </c>
      <c r="F55">
        <v>7</v>
      </c>
      <c r="G55">
        <v>1</v>
      </c>
      <c r="H55">
        <v>300</v>
      </c>
      <c r="I55">
        <v>1</v>
      </c>
      <c r="J55" s="1">
        <v>1464</v>
      </c>
      <c r="K55">
        <v>70</v>
      </c>
      <c r="L55">
        <v>0</v>
      </c>
      <c r="M55">
        <v>9</v>
      </c>
      <c r="N55">
        <v>0</v>
      </c>
      <c r="O55">
        <v>18</v>
      </c>
      <c r="P55" s="1">
        <v>0</v>
      </c>
      <c r="Q55">
        <v>1</v>
      </c>
      <c r="R55">
        <v>2</v>
      </c>
      <c r="S55">
        <v>1</v>
      </c>
      <c r="T55" s="1">
        <v>0</v>
      </c>
      <c r="U55">
        <v>0</v>
      </c>
      <c r="V55">
        <v>1</v>
      </c>
      <c r="W55">
        <v>0</v>
      </c>
      <c r="X55">
        <v>10</v>
      </c>
      <c r="Y55">
        <v>1</v>
      </c>
      <c r="Z55">
        <v>16</v>
      </c>
      <c r="AA55">
        <v>0</v>
      </c>
      <c r="AB55">
        <v>0</v>
      </c>
      <c r="AC55">
        <v>0</v>
      </c>
      <c r="AD55">
        <v>0</v>
      </c>
      <c r="AE55">
        <v>3</v>
      </c>
      <c r="AF55">
        <v>6</v>
      </c>
      <c r="AG55">
        <v>0</v>
      </c>
      <c r="AH55">
        <v>0</v>
      </c>
      <c r="AI55">
        <v>1</v>
      </c>
      <c r="AJ55">
        <v>6</v>
      </c>
      <c r="AK55">
        <v>0</v>
      </c>
      <c r="AL55">
        <v>0</v>
      </c>
      <c r="AM55">
        <v>0</v>
      </c>
      <c r="AN55" s="1">
        <v>12</v>
      </c>
    </row>
    <row r="56" spans="1:40" x14ac:dyDescent="0.3">
      <c r="A56" t="s">
        <v>40</v>
      </c>
      <c r="B56" t="s">
        <v>58</v>
      </c>
      <c r="C56" s="3" t="s">
        <v>43</v>
      </c>
      <c r="D56">
        <v>820</v>
      </c>
      <c r="E56">
        <v>2</v>
      </c>
      <c r="F56">
        <v>2</v>
      </c>
      <c r="G56">
        <v>0</v>
      </c>
      <c r="H56">
        <v>61</v>
      </c>
      <c r="I56">
        <v>0</v>
      </c>
      <c r="J56">
        <v>687</v>
      </c>
      <c r="K56">
        <v>6</v>
      </c>
      <c r="L56" s="1">
        <v>0</v>
      </c>
      <c r="M56">
        <v>7</v>
      </c>
      <c r="N56">
        <v>0</v>
      </c>
      <c r="O56">
        <v>8</v>
      </c>
      <c r="P56" s="1">
        <v>0</v>
      </c>
      <c r="Q56">
        <v>0</v>
      </c>
      <c r="R56">
        <v>0</v>
      </c>
      <c r="S56">
        <v>0</v>
      </c>
      <c r="T56" s="1">
        <v>0</v>
      </c>
      <c r="U56">
        <v>0</v>
      </c>
      <c r="V56">
        <v>0</v>
      </c>
      <c r="W56">
        <v>0</v>
      </c>
      <c r="X56">
        <v>4</v>
      </c>
      <c r="Y56">
        <v>0</v>
      </c>
      <c r="Z56">
        <v>0</v>
      </c>
      <c r="AA56">
        <v>0</v>
      </c>
      <c r="AB56">
        <v>0</v>
      </c>
      <c r="AC56">
        <v>0</v>
      </c>
      <c r="AD56">
        <v>2</v>
      </c>
      <c r="AE56">
        <v>1</v>
      </c>
      <c r="AF56">
        <v>36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 s="1">
        <v>4</v>
      </c>
    </row>
    <row r="57" spans="1:40" x14ac:dyDescent="0.3">
      <c r="A57" t="s">
        <v>40</v>
      </c>
      <c r="B57" t="s">
        <v>59</v>
      </c>
      <c r="C57" s="3" t="s">
        <v>39</v>
      </c>
      <c r="D57" s="1">
        <v>2753</v>
      </c>
      <c r="E57">
        <v>7</v>
      </c>
      <c r="F57">
        <v>252</v>
      </c>
      <c r="G57">
        <v>40</v>
      </c>
      <c r="H57">
        <v>70</v>
      </c>
      <c r="I57">
        <v>0</v>
      </c>
      <c r="J57" s="1">
        <v>1016</v>
      </c>
      <c r="K57">
        <v>20</v>
      </c>
      <c r="L57">
        <v>0</v>
      </c>
      <c r="M57">
        <v>0</v>
      </c>
      <c r="N57">
        <v>0</v>
      </c>
      <c r="O57">
        <v>10</v>
      </c>
      <c r="P57" s="1">
        <v>0</v>
      </c>
      <c r="Q57">
        <v>0</v>
      </c>
      <c r="R57">
        <v>0</v>
      </c>
      <c r="S57">
        <v>0</v>
      </c>
      <c r="T57" s="1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307</v>
      </c>
      <c r="AB57">
        <v>785</v>
      </c>
      <c r="AC57">
        <v>0</v>
      </c>
      <c r="AD57">
        <v>50</v>
      </c>
      <c r="AE57">
        <v>19</v>
      </c>
      <c r="AF57">
        <v>62</v>
      </c>
      <c r="AG57">
        <v>0</v>
      </c>
      <c r="AH57">
        <v>2</v>
      </c>
      <c r="AI57">
        <v>95</v>
      </c>
      <c r="AJ57">
        <v>0</v>
      </c>
      <c r="AK57">
        <v>0</v>
      </c>
      <c r="AL57">
        <v>0</v>
      </c>
      <c r="AM57">
        <v>0</v>
      </c>
      <c r="AN57" s="1">
        <v>18</v>
      </c>
    </row>
    <row r="58" spans="1:40" x14ac:dyDescent="0.3">
      <c r="A58" t="s">
        <v>40</v>
      </c>
      <c r="B58" t="s">
        <v>59</v>
      </c>
      <c r="C58" s="3" t="s">
        <v>42</v>
      </c>
      <c r="D58" s="1">
        <v>1451</v>
      </c>
      <c r="E58">
        <v>3</v>
      </c>
      <c r="F58">
        <v>192</v>
      </c>
      <c r="G58">
        <v>30</v>
      </c>
      <c r="H58">
        <v>50</v>
      </c>
      <c r="I58">
        <v>0</v>
      </c>
      <c r="J58">
        <v>442</v>
      </c>
      <c r="K58">
        <v>16</v>
      </c>
      <c r="L58" s="1">
        <v>0</v>
      </c>
      <c r="M58">
        <v>0</v>
      </c>
      <c r="N58">
        <v>0</v>
      </c>
      <c r="O58">
        <v>3</v>
      </c>
      <c r="P58" s="1">
        <v>0</v>
      </c>
      <c r="Q58">
        <v>0</v>
      </c>
      <c r="R58">
        <v>0</v>
      </c>
      <c r="S58">
        <v>0</v>
      </c>
      <c r="T58" s="1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175</v>
      </c>
      <c r="AB58">
        <v>494</v>
      </c>
      <c r="AC58">
        <v>0</v>
      </c>
      <c r="AD58">
        <v>10</v>
      </c>
      <c r="AE58">
        <v>11</v>
      </c>
      <c r="AF58">
        <v>13</v>
      </c>
      <c r="AG58">
        <v>0</v>
      </c>
      <c r="AH58">
        <v>0</v>
      </c>
      <c r="AI58">
        <v>4</v>
      </c>
      <c r="AJ58">
        <v>0</v>
      </c>
      <c r="AK58">
        <v>0</v>
      </c>
      <c r="AL58">
        <v>0</v>
      </c>
      <c r="AM58">
        <v>0</v>
      </c>
      <c r="AN58" s="1">
        <v>8</v>
      </c>
    </row>
    <row r="59" spans="1:40" x14ac:dyDescent="0.3">
      <c r="A59" t="s">
        <v>40</v>
      </c>
      <c r="B59" t="s">
        <v>59</v>
      </c>
      <c r="C59" s="3" t="s">
        <v>43</v>
      </c>
      <c r="D59" s="1">
        <v>1302</v>
      </c>
      <c r="E59">
        <v>4</v>
      </c>
      <c r="F59">
        <v>60</v>
      </c>
      <c r="G59">
        <v>10</v>
      </c>
      <c r="H59">
        <v>20</v>
      </c>
      <c r="I59">
        <v>0</v>
      </c>
      <c r="J59">
        <v>574</v>
      </c>
      <c r="K59">
        <v>4</v>
      </c>
      <c r="L59">
        <v>0</v>
      </c>
      <c r="M59">
        <v>0</v>
      </c>
      <c r="N59">
        <v>0</v>
      </c>
      <c r="O59">
        <v>7</v>
      </c>
      <c r="P59" s="1">
        <v>0</v>
      </c>
      <c r="Q59">
        <v>0</v>
      </c>
      <c r="R59">
        <v>0</v>
      </c>
      <c r="S59">
        <v>0</v>
      </c>
      <c r="T59" s="1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132</v>
      </c>
      <c r="AB59">
        <v>291</v>
      </c>
      <c r="AC59">
        <v>0</v>
      </c>
      <c r="AD59">
        <v>40</v>
      </c>
      <c r="AE59">
        <v>8</v>
      </c>
      <c r="AF59">
        <v>49</v>
      </c>
      <c r="AG59">
        <v>0</v>
      </c>
      <c r="AH59">
        <v>2</v>
      </c>
      <c r="AI59">
        <v>91</v>
      </c>
      <c r="AJ59">
        <v>0</v>
      </c>
      <c r="AK59">
        <v>0</v>
      </c>
      <c r="AL59">
        <v>0</v>
      </c>
      <c r="AM59">
        <v>0</v>
      </c>
      <c r="AN59" s="1">
        <v>10</v>
      </c>
    </row>
    <row r="60" spans="1:40" x14ac:dyDescent="0.3">
      <c r="A60" t="s">
        <v>40</v>
      </c>
      <c r="B60" t="s">
        <v>60</v>
      </c>
      <c r="C60" s="3" t="s">
        <v>39</v>
      </c>
      <c r="D60" s="1">
        <v>2446</v>
      </c>
      <c r="E60">
        <v>1</v>
      </c>
      <c r="F60">
        <v>10</v>
      </c>
      <c r="G60" s="1">
        <v>1462</v>
      </c>
      <c r="H60">
        <v>14</v>
      </c>
      <c r="I60">
        <v>4</v>
      </c>
      <c r="J60">
        <v>678</v>
      </c>
      <c r="K60">
        <v>34</v>
      </c>
      <c r="L60" s="1">
        <v>0</v>
      </c>
      <c r="M60">
        <v>4</v>
      </c>
      <c r="N60">
        <v>59</v>
      </c>
      <c r="O60">
        <v>19</v>
      </c>
      <c r="P60" s="1">
        <v>0</v>
      </c>
      <c r="Q60">
        <v>0</v>
      </c>
      <c r="R60">
        <v>1</v>
      </c>
      <c r="S60">
        <v>2</v>
      </c>
      <c r="T60">
        <v>2</v>
      </c>
      <c r="U60">
        <v>0</v>
      </c>
      <c r="V60">
        <v>0</v>
      </c>
      <c r="W60">
        <v>1</v>
      </c>
      <c r="X60">
        <v>2</v>
      </c>
      <c r="Y60">
        <v>0</v>
      </c>
      <c r="Z60">
        <v>1</v>
      </c>
      <c r="AA60">
        <v>0</v>
      </c>
      <c r="AB60">
        <v>40</v>
      </c>
      <c r="AC60">
        <v>0</v>
      </c>
      <c r="AD60">
        <v>12</v>
      </c>
      <c r="AE60">
        <v>5</v>
      </c>
      <c r="AF60">
        <v>38</v>
      </c>
      <c r="AG60">
        <v>0</v>
      </c>
      <c r="AH60">
        <v>2</v>
      </c>
      <c r="AI60">
        <v>9</v>
      </c>
      <c r="AJ60">
        <v>5</v>
      </c>
      <c r="AK60">
        <v>0</v>
      </c>
      <c r="AL60">
        <v>0</v>
      </c>
      <c r="AM60">
        <v>0</v>
      </c>
      <c r="AN60" s="1">
        <v>41</v>
      </c>
    </row>
    <row r="61" spans="1:40" x14ac:dyDescent="0.3">
      <c r="A61" t="s">
        <v>40</v>
      </c>
      <c r="B61" t="s">
        <v>60</v>
      </c>
      <c r="C61" s="3" t="s">
        <v>42</v>
      </c>
      <c r="D61" s="1">
        <v>2217</v>
      </c>
      <c r="E61">
        <v>1</v>
      </c>
      <c r="F61">
        <v>8</v>
      </c>
      <c r="G61" s="1">
        <v>1436</v>
      </c>
      <c r="H61">
        <v>14</v>
      </c>
      <c r="I61">
        <v>4</v>
      </c>
      <c r="J61">
        <v>529</v>
      </c>
      <c r="K61">
        <v>34</v>
      </c>
      <c r="L61">
        <v>0</v>
      </c>
      <c r="M61">
        <v>3</v>
      </c>
      <c r="N61">
        <v>59</v>
      </c>
      <c r="O61">
        <v>19</v>
      </c>
      <c r="P61" s="1">
        <v>0</v>
      </c>
      <c r="Q61">
        <v>0</v>
      </c>
      <c r="R61">
        <v>1</v>
      </c>
      <c r="S61">
        <v>2</v>
      </c>
      <c r="T61">
        <v>2</v>
      </c>
      <c r="U61">
        <v>0</v>
      </c>
      <c r="V61">
        <v>0</v>
      </c>
      <c r="W61">
        <v>1</v>
      </c>
      <c r="X61">
        <v>2</v>
      </c>
      <c r="Y61">
        <v>0</v>
      </c>
      <c r="Z61">
        <v>1</v>
      </c>
      <c r="AA61">
        <v>0</v>
      </c>
      <c r="AB61">
        <v>40</v>
      </c>
      <c r="AC61">
        <v>0</v>
      </c>
      <c r="AD61">
        <v>8</v>
      </c>
      <c r="AE61">
        <v>3</v>
      </c>
      <c r="AF61">
        <v>16</v>
      </c>
      <c r="AG61">
        <v>0</v>
      </c>
      <c r="AH61">
        <v>2</v>
      </c>
      <c r="AI61">
        <v>9</v>
      </c>
      <c r="AJ61">
        <v>5</v>
      </c>
      <c r="AK61">
        <v>0</v>
      </c>
      <c r="AL61">
        <v>0</v>
      </c>
      <c r="AM61">
        <v>0</v>
      </c>
      <c r="AN61" s="1">
        <v>18</v>
      </c>
    </row>
    <row r="62" spans="1:40" x14ac:dyDescent="0.3">
      <c r="A62" t="s">
        <v>40</v>
      </c>
      <c r="B62" t="s">
        <v>60</v>
      </c>
      <c r="C62" s="3" t="s">
        <v>43</v>
      </c>
      <c r="D62">
        <v>229</v>
      </c>
      <c r="E62">
        <v>0</v>
      </c>
      <c r="F62">
        <v>2</v>
      </c>
      <c r="G62">
        <v>26</v>
      </c>
      <c r="H62">
        <v>0</v>
      </c>
      <c r="I62">
        <v>0</v>
      </c>
      <c r="J62">
        <v>149</v>
      </c>
      <c r="K62">
        <v>0</v>
      </c>
      <c r="L62" s="1">
        <v>0</v>
      </c>
      <c r="M62">
        <v>1</v>
      </c>
      <c r="N62">
        <v>0</v>
      </c>
      <c r="O62">
        <v>0</v>
      </c>
      <c r="P62" s="1">
        <v>0</v>
      </c>
      <c r="Q62">
        <v>0</v>
      </c>
      <c r="R62">
        <v>0</v>
      </c>
      <c r="S62">
        <v>0</v>
      </c>
      <c r="T62" s="1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4</v>
      </c>
      <c r="AE62">
        <v>2</v>
      </c>
      <c r="AF62">
        <v>22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 s="1">
        <v>23</v>
      </c>
    </row>
    <row r="63" spans="1:40" x14ac:dyDescent="0.3">
      <c r="A63" t="s">
        <v>40</v>
      </c>
      <c r="B63" t="s">
        <v>61</v>
      </c>
      <c r="C63" s="3" t="s">
        <v>39</v>
      </c>
      <c r="D63" s="1">
        <v>2374</v>
      </c>
      <c r="E63">
        <v>0</v>
      </c>
      <c r="F63">
        <v>1</v>
      </c>
      <c r="G63">
        <v>0</v>
      </c>
      <c r="H63">
        <v>284</v>
      </c>
      <c r="I63">
        <v>0</v>
      </c>
      <c r="J63">
        <v>782</v>
      </c>
      <c r="K63">
        <v>25</v>
      </c>
      <c r="L63">
        <v>0</v>
      </c>
      <c r="M63">
        <v>7</v>
      </c>
      <c r="N63">
        <v>16</v>
      </c>
      <c r="O63">
        <v>149</v>
      </c>
      <c r="P63" s="1">
        <v>0</v>
      </c>
      <c r="Q63">
        <v>8</v>
      </c>
      <c r="R63">
        <v>0</v>
      </c>
      <c r="S63">
        <v>2</v>
      </c>
      <c r="T63" s="1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15</v>
      </c>
      <c r="AA63">
        <v>186</v>
      </c>
      <c r="AB63">
        <v>589</v>
      </c>
      <c r="AC63">
        <v>0</v>
      </c>
      <c r="AD63">
        <v>11</v>
      </c>
      <c r="AE63">
        <v>0</v>
      </c>
      <c r="AF63">
        <v>236</v>
      </c>
      <c r="AG63">
        <v>0</v>
      </c>
      <c r="AH63">
        <v>1</v>
      </c>
      <c r="AI63">
        <v>18</v>
      </c>
      <c r="AJ63">
        <v>1</v>
      </c>
      <c r="AK63">
        <v>0</v>
      </c>
      <c r="AL63">
        <v>0</v>
      </c>
      <c r="AM63">
        <v>0</v>
      </c>
      <c r="AN63" s="1">
        <v>43</v>
      </c>
    </row>
    <row r="64" spans="1:40" x14ac:dyDescent="0.3">
      <c r="A64" t="s">
        <v>40</v>
      </c>
      <c r="B64" t="s">
        <v>61</v>
      </c>
      <c r="C64" s="3" t="s">
        <v>42</v>
      </c>
      <c r="D64" s="1">
        <v>1745</v>
      </c>
      <c r="E64">
        <v>0</v>
      </c>
      <c r="F64">
        <v>1</v>
      </c>
      <c r="G64">
        <v>0</v>
      </c>
      <c r="H64">
        <v>270</v>
      </c>
      <c r="I64">
        <v>0</v>
      </c>
      <c r="J64">
        <v>606</v>
      </c>
      <c r="K64">
        <v>21</v>
      </c>
      <c r="L64" s="1">
        <v>0</v>
      </c>
      <c r="M64">
        <v>6</v>
      </c>
      <c r="N64">
        <v>14</v>
      </c>
      <c r="O64">
        <v>86</v>
      </c>
      <c r="P64" s="1">
        <v>0</v>
      </c>
      <c r="Q64">
        <v>6</v>
      </c>
      <c r="R64">
        <v>0</v>
      </c>
      <c r="S64">
        <v>2</v>
      </c>
      <c r="T64" s="1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15</v>
      </c>
      <c r="AA64">
        <v>143</v>
      </c>
      <c r="AB64">
        <v>513</v>
      </c>
      <c r="AC64">
        <v>0</v>
      </c>
      <c r="AD64">
        <v>2</v>
      </c>
      <c r="AE64">
        <v>0</v>
      </c>
      <c r="AF64">
        <v>32</v>
      </c>
      <c r="AG64">
        <v>0</v>
      </c>
      <c r="AH64">
        <v>0</v>
      </c>
      <c r="AI64">
        <v>3</v>
      </c>
      <c r="AJ64">
        <v>1</v>
      </c>
      <c r="AK64">
        <v>0</v>
      </c>
      <c r="AL64">
        <v>0</v>
      </c>
      <c r="AM64">
        <v>0</v>
      </c>
      <c r="AN64" s="1">
        <v>24</v>
      </c>
    </row>
    <row r="65" spans="1:40" x14ac:dyDescent="0.3">
      <c r="A65" t="s">
        <v>40</v>
      </c>
      <c r="B65" t="s">
        <v>61</v>
      </c>
      <c r="C65" s="3" t="s">
        <v>43</v>
      </c>
      <c r="D65">
        <v>629</v>
      </c>
      <c r="E65">
        <v>0</v>
      </c>
      <c r="F65">
        <v>0</v>
      </c>
      <c r="G65">
        <v>0</v>
      </c>
      <c r="H65">
        <v>14</v>
      </c>
      <c r="I65">
        <v>0</v>
      </c>
      <c r="J65">
        <v>176</v>
      </c>
      <c r="K65">
        <v>4</v>
      </c>
      <c r="L65">
        <v>0</v>
      </c>
      <c r="M65">
        <v>1</v>
      </c>
      <c r="N65">
        <v>2</v>
      </c>
      <c r="O65">
        <v>63</v>
      </c>
      <c r="P65" s="1">
        <v>0</v>
      </c>
      <c r="Q65">
        <v>2</v>
      </c>
      <c r="R65">
        <v>0</v>
      </c>
      <c r="S65">
        <v>0</v>
      </c>
      <c r="T65" s="1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43</v>
      </c>
      <c r="AB65">
        <v>76</v>
      </c>
      <c r="AC65">
        <v>0</v>
      </c>
      <c r="AD65">
        <v>9</v>
      </c>
      <c r="AE65">
        <v>0</v>
      </c>
      <c r="AF65">
        <v>204</v>
      </c>
      <c r="AG65">
        <v>0</v>
      </c>
      <c r="AH65">
        <v>1</v>
      </c>
      <c r="AI65">
        <v>15</v>
      </c>
      <c r="AJ65">
        <v>0</v>
      </c>
      <c r="AK65">
        <v>0</v>
      </c>
      <c r="AL65">
        <v>0</v>
      </c>
      <c r="AM65">
        <v>0</v>
      </c>
      <c r="AN65" s="1">
        <v>19</v>
      </c>
    </row>
    <row r="66" spans="1:40" x14ac:dyDescent="0.3">
      <c r="A66" t="s">
        <v>40</v>
      </c>
      <c r="B66" t="s">
        <v>62</v>
      </c>
      <c r="C66" s="3" t="s">
        <v>39</v>
      </c>
      <c r="D66" s="1">
        <v>1983</v>
      </c>
      <c r="E66">
        <v>4</v>
      </c>
      <c r="F66">
        <v>6</v>
      </c>
      <c r="G66">
        <v>0</v>
      </c>
      <c r="H66">
        <v>159</v>
      </c>
      <c r="I66">
        <v>0</v>
      </c>
      <c r="J66">
        <v>808</v>
      </c>
      <c r="K66">
        <v>1</v>
      </c>
      <c r="L66" s="1">
        <v>0</v>
      </c>
      <c r="M66">
        <v>2</v>
      </c>
      <c r="N66">
        <v>30</v>
      </c>
      <c r="O66">
        <v>496</v>
      </c>
      <c r="P66" s="1">
        <v>0</v>
      </c>
      <c r="Q66">
        <v>1</v>
      </c>
      <c r="R66">
        <v>0</v>
      </c>
      <c r="S66">
        <v>0</v>
      </c>
      <c r="T66" s="1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  <c r="AA66">
        <v>0</v>
      </c>
      <c r="AB66">
        <v>313</v>
      </c>
      <c r="AC66">
        <v>6</v>
      </c>
      <c r="AD66">
        <v>8</v>
      </c>
      <c r="AE66">
        <v>6</v>
      </c>
      <c r="AF66">
        <v>114</v>
      </c>
      <c r="AG66">
        <v>0</v>
      </c>
      <c r="AH66">
        <v>0</v>
      </c>
      <c r="AI66">
        <v>5</v>
      </c>
      <c r="AJ66">
        <v>2</v>
      </c>
      <c r="AK66">
        <v>0</v>
      </c>
      <c r="AL66">
        <v>0</v>
      </c>
      <c r="AM66">
        <v>0</v>
      </c>
      <c r="AN66" s="1">
        <v>21</v>
      </c>
    </row>
    <row r="67" spans="1:40" x14ac:dyDescent="0.3">
      <c r="A67" t="s">
        <v>40</v>
      </c>
      <c r="B67" t="s">
        <v>62</v>
      </c>
      <c r="C67" s="3" t="s">
        <v>42</v>
      </c>
      <c r="D67" s="1">
        <v>1205</v>
      </c>
      <c r="E67">
        <v>3</v>
      </c>
      <c r="F67">
        <v>4</v>
      </c>
      <c r="G67">
        <v>0</v>
      </c>
      <c r="H67">
        <v>158</v>
      </c>
      <c r="I67">
        <v>0</v>
      </c>
      <c r="J67">
        <v>462</v>
      </c>
      <c r="K67">
        <v>1</v>
      </c>
      <c r="L67">
        <v>0</v>
      </c>
      <c r="M67">
        <v>1</v>
      </c>
      <c r="N67">
        <v>30</v>
      </c>
      <c r="O67">
        <v>196</v>
      </c>
      <c r="P67" s="1">
        <v>0</v>
      </c>
      <c r="Q67">
        <v>1</v>
      </c>
      <c r="R67">
        <v>0</v>
      </c>
      <c r="S67">
        <v>0</v>
      </c>
      <c r="T67" s="1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  <c r="AA67">
        <v>0</v>
      </c>
      <c r="AB67">
        <v>313</v>
      </c>
      <c r="AC67">
        <v>6</v>
      </c>
      <c r="AD67">
        <v>3</v>
      </c>
      <c r="AE67">
        <v>3</v>
      </c>
      <c r="AF67">
        <v>11</v>
      </c>
      <c r="AG67">
        <v>0</v>
      </c>
      <c r="AH67">
        <v>0</v>
      </c>
      <c r="AI67">
        <v>1</v>
      </c>
      <c r="AJ67">
        <v>1</v>
      </c>
      <c r="AK67">
        <v>0</v>
      </c>
      <c r="AL67">
        <v>0</v>
      </c>
      <c r="AM67">
        <v>0</v>
      </c>
      <c r="AN67" s="1">
        <v>10</v>
      </c>
    </row>
    <row r="68" spans="1:40" x14ac:dyDescent="0.3">
      <c r="A68" t="s">
        <v>40</v>
      </c>
      <c r="B68" t="s">
        <v>62</v>
      </c>
      <c r="C68" s="3" t="s">
        <v>43</v>
      </c>
      <c r="D68">
        <v>778</v>
      </c>
      <c r="E68">
        <v>1</v>
      </c>
      <c r="F68">
        <v>2</v>
      </c>
      <c r="G68">
        <v>0</v>
      </c>
      <c r="H68">
        <v>1</v>
      </c>
      <c r="I68">
        <v>0</v>
      </c>
      <c r="J68">
        <v>346</v>
      </c>
      <c r="K68">
        <v>0</v>
      </c>
      <c r="L68" s="1">
        <v>0</v>
      </c>
      <c r="M68">
        <v>1</v>
      </c>
      <c r="N68">
        <v>0</v>
      </c>
      <c r="O68">
        <v>300</v>
      </c>
      <c r="P68" s="1">
        <v>0</v>
      </c>
      <c r="Q68">
        <v>0</v>
      </c>
      <c r="R68">
        <v>0</v>
      </c>
      <c r="S68">
        <v>0</v>
      </c>
      <c r="T68" s="1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5</v>
      </c>
      <c r="AE68">
        <v>3</v>
      </c>
      <c r="AF68">
        <v>103</v>
      </c>
      <c r="AG68">
        <v>0</v>
      </c>
      <c r="AH68">
        <v>0</v>
      </c>
      <c r="AI68">
        <v>4</v>
      </c>
      <c r="AJ68">
        <v>1</v>
      </c>
      <c r="AK68">
        <v>0</v>
      </c>
      <c r="AL68">
        <v>0</v>
      </c>
      <c r="AM68">
        <v>0</v>
      </c>
      <c r="AN68" s="1">
        <v>11</v>
      </c>
    </row>
    <row r="69" spans="1:40" x14ac:dyDescent="0.3">
      <c r="A69" t="s">
        <v>40</v>
      </c>
      <c r="B69" t="s">
        <v>63</v>
      </c>
      <c r="C69" s="3" t="s">
        <v>39</v>
      </c>
      <c r="D69" s="1">
        <v>1884</v>
      </c>
      <c r="E69">
        <v>3</v>
      </c>
      <c r="F69">
        <v>3</v>
      </c>
      <c r="G69">
        <v>0</v>
      </c>
      <c r="H69">
        <v>21</v>
      </c>
      <c r="I69">
        <v>0</v>
      </c>
      <c r="J69">
        <v>793</v>
      </c>
      <c r="K69">
        <v>16</v>
      </c>
      <c r="L69">
        <v>0</v>
      </c>
      <c r="M69">
        <v>0</v>
      </c>
      <c r="N69">
        <v>0</v>
      </c>
      <c r="O69">
        <v>3</v>
      </c>
      <c r="P69" s="1">
        <v>0</v>
      </c>
      <c r="Q69">
        <v>0</v>
      </c>
      <c r="R69">
        <v>0</v>
      </c>
      <c r="S69">
        <v>0</v>
      </c>
      <c r="T69" s="1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853</v>
      </c>
      <c r="AB69">
        <v>175</v>
      </c>
      <c r="AC69">
        <v>0</v>
      </c>
      <c r="AD69">
        <v>8</v>
      </c>
      <c r="AE69">
        <v>2</v>
      </c>
      <c r="AF69">
        <v>0</v>
      </c>
      <c r="AG69">
        <v>0</v>
      </c>
      <c r="AH69">
        <v>0</v>
      </c>
      <c r="AI69">
        <v>5</v>
      </c>
      <c r="AJ69">
        <v>0</v>
      </c>
      <c r="AK69">
        <v>0</v>
      </c>
      <c r="AL69">
        <v>0</v>
      </c>
      <c r="AM69">
        <v>0</v>
      </c>
      <c r="AN69" s="1">
        <v>2</v>
      </c>
    </row>
    <row r="70" spans="1:40" x14ac:dyDescent="0.3">
      <c r="A70" t="s">
        <v>40</v>
      </c>
      <c r="B70" t="s">
        <v>63</v>
      </c>
      <c r="C70" s="3" t="s">
        <v>42</v>
      </c>
      <c r="D70">
        <v>806</v>
      </c>
      <c r="E70">
        <v>1</v>
      </c>
      <c r="F70">
        <v>2</v>
      </c>
      <c r="G70">
        <v>0</v>
      </c>
      <c r="H70">
        <v>12</v>
      </c>
      <c r="I70">
        <v>0</v>
      </c>
      <c r="J70">
        <v>280</v>
      </c>
      <c r="K70">
        <v>12</v>
      </c>
      <c r="L70" s="1">
        <v>0</v>
      </c>
      <c r="M70">
        <v>0</v>
      </c>
      <c r="N70">
        <v>0</v>
      </c>
      <c r="O70">
        <v>0</v>
      </c>
      <c r="P70" s="1">
        <v>0</v>
      </c>
      <c r="Q70">
        <v>0</v>
      </c>
      <c r="R70">
        <v>0</v>
      </c>
      <c r="S70">
        <v>0</v>
      </c>
      <c r="T70" s="1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344</v>
      </c>
      <c r="AB70">
        <v>155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 s="1">
        <v>0</v>
      </c>
    </row>
    <row r="71" spans="1:40" x14ac:dyDescent="0.3">
      <c r="A71" t="s">
        <v>40</v>
      </c>
      <c r="B71" t="s">
        <v>63</v>
      </c>
      <c r="C71" s="3" t="s">
        <v>43</v>
      </c>
      <c r="D71" s="1">
        <v>1078</v>
      </c>
      <c r="E71">
        <v>2</v>
      </c>
      <c r="F71">
        <v>1</v>
      </c>
      <c r="G71">
        <v>0</v>
      </c>
      <c r="H71">
        <v>9</v>
      </c>
      <c r="I71">
        <v>0</v>
      </c>
      <c r="J71">
        <v>513</v>
      </c>
      <c r="K71">
        <v>4</v>
      </c>
      <c r="L71">
        <v>0</v>
      </c>
      <c r="M71">
        <v>0</v>
      </c>
      <c r="N71">
        <v>0</v>
      </c>
      <c r="O71">
        <v>3</v>
      </c>
      <c r="P71" s="1">
        <v>0</v>
      </c>
      <c r="Q71">
        <v>0</v>
      </c>
      <c r="R71">
        <v>0</v>
      </c>
      <c r="S71">
        <v>0</v>
      </c>
      <c r="T71" s="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509</v>
      </c>
      <c r="AB71">
        <v>20</v>
      </c>
      <c r="AC71">
        <v>0</v>
      </c>
      <c r="AD71">
        <v>8</v>
      </c>
      <c r="AE71">
        <v>2</v>
      </c>
      <c r="AF71">
        <v>0</v>
      </c>
      <c r="AG71">
        <v>0</v>
      </c>
      <c r="AH71">
        <v>0</v>
      </c>
      <c r="AI71">
        <v>5</v>
      </c>
      <c r="AJ71">
        <v>0</v>
      </c>
      <c r="AK71">
        <v>0</v>
      </c>
      <c r="AL71">
        <v>0</v>
      </c>
      <c r="AM71">
        <v>0</v>
      </c>
      <c r="AN71" s="1">
        <v>2</v>
      </c>
    </row>
    <row r="72" spans="1:40" x14ac:dyDescent="0.3">
      <c r="A72" t="s">
        <v>40</v>
      </c>
      <c r="B72" t="s">
        <v>64</v>
      </c>
      <c r="C72" s="3" t="s">
        <v>39</v>
      </c>
      <c r="D72" s="1">
        <v>1746</v>
      </c>
      <c r="E72">
        <v>1</v>
      </c>
      <c r="F72">
        <v>2</v>
      </c>
      <c r="G72">
        <v>0</v>
      </c>
      <c r="H72">
        <v>219</v>
      </c>
      <c r="I72">
        <v>0</v>
      </c>
      <c r="J72">
        <v>852</v>
      </c>
      <c r="K72">
        <v>36</v>
      </c>
      <c r="L72" s="1">
        <v>0</v>
      </c>
      <c r="M72">
        <v>0</v>
      </c>
      <c r="N72">
        <v>15</v>
      </c>
      <c r="O72">
        <v>77</v>
      </c>
      <c r="P72" s="1">
        <v>0</v>
      </c>
      <c r="Q72">
        <v>4</v>
      </c>
      <c r="R72">
        <v>0</v>
      </c>
      <c r="S72">
        <v>0</v>
      </c>
      <c r="T72" s="1">
        <v>0</v>
      </c>
      <c r="U72">
        <v>0</v>
      </c>
      <c r="V72">
        <v>0</v>
      </c>
      <c r="W72">
        <v>0</v>
      </c>
      <c r="X72">
        <v>1</v>
      </c>
      <c r="Y72">
        <v>0</v>
      </c>
      <c r="Z72">
        <v>2</v>
      </c>
      <c r="AA72">
        <v>2</v>
      </c>
      <c r="AB72">
        <v>404</v>
      </c>
      <c r="AC72">
        <v>4</v>
      </c>
      <c r="AD72">
        <v>2</v>
      </c>
      <c r="AE72">
        <v>0</v>
      </c>
      <c r="AF72">
        <v>82</v>
      </c>
      <c r="AG72">
        <v>0</v>
      </c>
      <c r="AH72">
        <v>0</v>
      </c>
      <c r="AI72">
        <v>3</v>
      </c>
      <c r="AJ72">
        <v>14</v>
      </c>
      <c r="AK72">
        <v>0</v>
      </c>
      <c r="AL72">
        <v>0</v>
      </c>
      <c r="AM72">
        <v>0</v>
      </c>
      <c r="AN72" s="1">
        <v>26</v>
      </c>
    </row>
    <row r="73" spans="1:40" x14ac:dyDescent="0.3">
      <c r="A73" t="s">
        <v>40</v>
      </c>
      <c r="B73" t="s">
        <v>64</v>
      </c>
      <c r="C73" s="3" t="s">
        <v>42</v>
      </c>
      <c r="D73" s="1">
        <v>1399</v>
      </c>
      <c r="E73">
        <v>1</v>
      </c>
      <c r="F73">
        <v>1</v>
      </c>
      <c r="G73">
        <v>0</v>
      </c>
      <c r="H73">
        <v>217</v>
      </c>
      <c r="I73">
        <v>0</v>
      </c>
      <c r="J73">
        <v>644</v>
      </c>
      <c r="K73">
        <v>36</v>
      </c>
      <c r="L73">
        <v>0</v>
      </c>
      <c r="M73">
        <v>0</v>
      </c>
      <c r="N73">
        <v>13</v>
      </c>
      <c r="O73">
        <v>34</v>
      </c>
      <c r="P73" s="1">
        <v>0</v>
      </c>
      <c r="Q73">
        <v>4</v>
      </c>
      <c r="R73">
        <v>0</v>
      </c>
      <c r="S73">
        <v>0</v>
      </c>
      <c r="T73" s="1">
        <v>0</v>
      </c>
      <c r="U73">
        <v>0</v>
      </c>
      <c r="V73">
        <v>0</v>
      </c>
      <c r="W73">
        <v>0</v>
      </c>
      <c r="X73">
        <v>1</v>
      </c>
      <c r="Y73">
        <v>0</v>
      </c>
      <c r="Z73">
        <v>1</v>
      </c>
      <c r="AA73">
        <v>1</v>
      </c>
      <c r="AB73">
        <v>397</v>
      </c>
      <c r="AC73">
        <v>4</v>
      </c>
      <c r="AD73">
        <v>2</v>
      </c>
      <c r="AE73">
        <v>0</v>
      </c>
      <c r="AF73">
        <v>13</v>
      </c>
      <c r="AG73">
        <v>0</v>
      </c>
      <c r="AH73">
        <v>0</v>
      </c>
      <c r="AI73">
        <v>1</v>
      </c>
      <c r="AJ73">
        <v>14</v>
      </c>
      <c r="AK73">
        <v>0</v>
      </c>
      <c r="AL73">
        <v>0</v>
      </c>
      <c r="AM73">
        <v>0</v>
      </c>
      <c r="AN73" s="1">
        <v>15</v>
      </c>
    </row>
    <row r="74" spans="1:40" x14ac:dyDescent="0.3">
      <c r="A74" t="s">
        <v>40</v>
      </c>
      <c r="B74" t="s">
        <v>64</v>
      </c>
      <c r="C74" s="3" t="s">
        <v>43</v>
      </c>
      <c r="D74">
        <v>347</v>
      </c>
      <c r="E74">
        <v>0</v>
      </c>
      <c r="F74">
        <v>1</v>
      </c>
      <c r="G74">
        <v>0</v>
      </c>
      <c r="H74">
        <v>2</v>
      </c>
      <c r="I74">
        <v>0</v>
      </c>
      <c r="J74">
        <v>208</v>
      </c>
      <c r="K74">
        <v>0</v>
      </c>
      <c r="L74" s="1">
        <v>0</v>
      </c>
      <c r="M74">
        <v>0</v>
      </c>
      <c r="N74">
        <v>2</v>
      </c>
      <c r="O74">
        <v>43</v>
      </c>
      <c r="P74" s="1">
        <v>0</v>
      </c>
      <c r="Q74">
        <v>0</v>
      </c>
      <c r="R74">
        <v>0</v>
      </c>
      <c r="S74">
        <v>0</v>
      </c>
      <c r="T74" s="1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  <c r="AA74">
        <v>1</v>
      </c>
      <c r="AB74">
        <v>7</v>
      </c>
      <c r="AC74">
        <v>0</v>
      </c>
      <c r="AD74">
        <v>0</v>
      </c>
      <c r="AE74">
        <v>0</v>
      </c>
      <c r="AF74">
        <v>69</v>
      </c>
      <c r="AG74">
        <v>0</v>
      </c>
      <c r="AH74">
        <v>0</v>
      </c>
      <c r="AI74">
        <v>2</v>
      </c>
      <c r="AJ74">
        <v>0</v>
      </c>
      <c r="AK74">
        <v>0</v>
      </c>
      <c r="AL74">
        <v>0</v>
      </c>
      <c r="AM74">
        <v>0</v>
      </c>
      <c r="AN74" s="1">
        <v>11</v>
      </c>
    </row>
    <row r="75" spans="1:40" x14ac:dyDescent="0.3">
      <c r="A75" t="s">
        <v>40</v>
      </c>
      <c r="B75" t="s">
        <v>65</v>
      </c>
      <c r="C75" s="3" t="s">
        <v>39</v>
      </c>
      <c r="D75" s="1">
        <v>1018</v>
      </c>
      <c r="E75">
        <v>7</v>
      </c>
      <c r="F75">
        <v>3</v>
      </c>
      <c r="G75">
        <v>954</v>
      </c>
      <c r="H75">
        <v>7</v>
      </c>
      <c r="I75">
        <v>0</v>
      </c>
      <c r="J75">
        <v>3</v>
      </c>
      <c r="K75">
        <v>5</v>
      </c>
      <c r="L75">
        <v>0</v>
      </c>
      <c r="M75">
        <v>1</v>
      </c>
      <c r="N75">
        <v>0</v>
      </c>
      <c r="O75">
        <v>25</v>
      </c>
      <c r="P75" s="1">
        <v>0</v>
      </c>
      <c r="Q75">
        <v>0</v>
      </c>
      <c r="R75">
        <v>0</v>
      </c>
      <c r="S75">
        <v>0</v>
      </c>
      <c r="T75" s="1">
        <v>0</v>
      </c>
      <c r="U75">
        <v>1</v>
      </c>
      <c r="V75">
        <v>0</v>
      </c>
      <c r="W75">
        <v>0</v>
      </c>
      <c r="X75">
        <v>1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2</v>
      </c>
      <c r="AG75">
        <v>0</v>
      </c>
      <c r="AH75">
        <v>1</v>
      </c>
      <c r="AI75">
        <v>6</v>
      </c>
      <c r="AJ75">
        <v>0</v>
      </c>
      <c r="AK75">
        <v>0</v>
      </c>
      <c r="AL75">
        <v>0</v>
      </c>
      <c r="AM75">
        <v>0</v>
      </c>
      <c r="AN75" s="1">
        <v>2</v>
      </c>
    </row>
    <row r="76" spans="1:40" x14ac:dyDescent="0.3">
      <c r="A76" t="s">
        <v>40</v>
      </c>
      <c r="B76" t="s">
        <v>65</v>
      </c>
      <c r="C76" s="3" t="s">
        <v>42</v>
      </c>
      <c r="D76">
        <v>605</v>
      </c>
      <c r="E76">
        <v>4</v>
      </c>
      <c r="F76">
        <v>1</v>
      </c>
      <c r="G76">
        <v>578</v>
      </c>
      <c r="H76">
        <v>6</v>
      </c>
      <c r="I76">
        <v>0</v>
      </c>
      <c r="J76">
        <v>1</v>
      </c>
      <c r="K76">
        <v>2</v>
      </c>
      <c r="L76" s="1">
        <v>0</v>
      </c>
      <c r="M76">
        <v>1</v>
      </c>
      <c r="N76">
        <v>0</v>
      </c>
      <c r="O76">
        <v>7</v>
      </c>
      <c r="P76" s="1">
        <v>0</v>
      </c>
      <c r="Q76">
        <v>0</v>
      </c>
      <c r="R76">
        <v>0</v>
      </c>
      <c r="S76">
        <v>0</v>
      </c>
      <c r="T76" s="1">
        <v>0</v>
      </c>
      <c r="U76">
        <v>0</v>
      </c>
      <c r="V76">
        <v>0</v>
      </c>
      <c r="W76">
        <v>0</v>
      </c>
      <c r="X76">
        <v>1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1</v>
      </c>
      <c r="AG76">
        <v>0</v>
      </c>
      <c r="AH76">
        <v>1</v>
      </c>
      <c r="AI76">
        <v>1</v>
      </c>
      <c r="AJ76">
        <v>0</v>
      </c>
      <c r="AK76">
        <v>0</v>
      </c>
      <c r="AL76">
        <v>0</v>
      </c>
      <c r="AM76">
        <v>0</v>
      </c>
      <c r="AN76" s="1">
        <v>1</v>
      </c>
    </row>
    <row r="77" spans="1:40" x14ac:dyDescent="0.3">
      <c r="A77" t="s">
        <v>40</v>
      </c>
      <c r="B77" t="s">
        <v>65</v>
      </c>
      <c r="C77" s="3" t="s">
        <v>43</v>
      </c>
      <c r="D77">
        <v>413</v>
      </c>
      <c r="E77">
        <v>3</v>
      </c>
      <c r="F77">
        <v>2</v>
      </c>
      <c r="G77">
        <v>376</v>
      </c>
      <c r="H77">
        <v>1</v>
      </c>
      <c r="I77">
        <v>0</v>
      </c>
      <c r="J77">
        <v>2</v>
      </c>
      <c r="K77">
        <v>3</v>
      </c>
      <c r="L77">
        <v>0</v>
      </c>
      <c r="M77">
        <v>0</v>
      </c>
      <c r="N77">
        <v>0</v>
      </c>
      <c r="O77">
        <v>18</v>
      </c>
      <c r="P77" s="1">
        <v>0</v>
      </c>
      <c r="Q77">
        <v>0</v>
      </c>
      <c r="R77">
        <v>0</v>
      </c>
      <c r="S77">
        <v>0</v>
      </c>
      <c r="T77" s="1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1</v>
      </c>
      <c r="AG77">
        <v>0</v>
      </c>
      <c r="AH77">
        <v>0</v>
      </c>
      <c r="AI77">
        <v>5</v>
      </c>
      <c r="AJ77">
        <v>0</v>
      </c>
      <c r="AK77">
        <v>0</v>
      </c>
      <c r="AL77">
        <v>0</v>
      </c>
      <c r="AM77">
        <v>0</v>
      </c>
      <c r="AN77" s="1">
        <v>1</v>
      </c>
    </row>
    <row r="78" spans="1:40" x14ac:dyDescent="0.3">
      <c r="A78" t="s">
        <v>40</v>
      </c>
      <c r="B78" t="s">
        <v>66</v>
      </c>
      <c r="C78" s="3" t="s">
        <v>39</v>
      </c>
      <c r="D78">
        <v>886</v>
      </c>
      <c r="E78">
        <v>1</v>
      </c>
      <c r="F78">
        <v>1</v>
      </c>
      <c r="G78">
        <v>0</v>
      </c>
      <c r="H78">
        <v>1</v>
      </c>
      <c r="I78">
        <v>0</v>
      </c>
      <c r="J78">
        <v>549</v>
      </c>
      <c r="K78">
        <v>2</v>
      </c>
      <c r="L78" s="1">
        <v>0</v>
      </c>
      <c r="M78">
        <v>0</v>
      </c>
      <c r="N78">
        <v>0</v>
      </c>
      <c r="O78">
        <v>186</v>
      </c>
      <c r="P78" s="1">
        <v>0</v>
      </c>
      <c r="Q78">
        <v>0</v>
      </c>
      <c r="R78">
        <v>0</v>
      </c>
      <c r="S78">
        <v>0</v>
      </c>
      <c r="T78" s="1">
        <v>0</v>
      </c>
      <c r="U78">
        <v>0</v>
      </c>
      <c r="V78">
        <v>0</v>
      </c>
      <c r="W78">
        <v>0</v>
      </c>
      <c r="X78">
        <v>0</v>
      </c>
      <c r="Y78">
        <v>1</v>
      </c>
      <c r="Z78">
        <v>0</v>
      </c>
      <c r="AA78">
        <v>5</v>
      </c>
      <c r="AB78">
        <v>9</v>
      </c>
      <c r="AC78">
        <v>0</v>
      </c>
      <c r="AD78">
        <v>9</v>
      </c>
      <c r="AE78">
        <v>11</v>
      </c>
      <c r="AF78">
        <v>45</v>
      </c>
      <c r="AG78">
        <v>17</v>
      </c>
      <c r="AH78">
        <v>1</v>
      </c>
      <c r="AI78">
        <v>4</v>
      </c>
      <c r="AJ78">
        <v>0</v>
      </c>
      <c r="AK78">
        <v>0</v>
      </c>
      <c r="AL78">
        <v>19</v>
      </c>
      <c r="AM78">
        <v>0</v>
      </c>
      <c r="AN78" s="1">
        <v>25</v>
      </c>
    </row>
    <row r="79" spans="1:40" x14ac:dyDescent="0.3">
      <c r="A79" t="s">
        <v>40</v>
      </c>
      <c r="B79" t="s">
        <v>66</v>
      </c>
      <c r="C79" s="3" t="s">
        <v>42</v>
      </c>
      <c r="D79">
        <v>565</v>
      </c>
      <c r="E79">
        <v>1</v>
      </c>
      <c r="F79">
        <v>1</v>
      </c>
      <c r="G79">
        <v>0</v>
      </c>
      <c r="H79">
        <v>1</v>
      </c>
      <c r="I79">
        <v>0</v>
      </c>
      <c r="J79">
        <v>375</v>
      </c>
      <c r="K79">
        <v>1</v>
      </c>
      <c r="L79">
        <v>0</v>
      </c>
      <c r="M79">
        <v>0</v>
      </c>
      <c r="N79">
        <v>0</v>
      </c>
      <c r="O79">
        <v>118</v>
      </c>
      <c r="P79" s="1">
        <v>0</v>
      </c>
      <c r="Q79">
        <v>0</v>
      </c>
      <c r="R79">
        <v>0</v>
      </c>
      <c r="S79">
        <v>0</v>
      </c>
      <c r="T79" s="1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5</v>
      </c>
      <c r="AB79">
        <v>8</v>
      </c>
      <c r="AC79">
        <v>0</v>
      </c>
      <c r="AD79">
        <v>2</v>
      </c>
      <c r="AE79">
        <v>5</v>
      </c>
      <c r="AF79">
        <v>22</v>
      </c>
      <c r="AG79">
        <v>4</v>
      </c>
      <c r="AH79">
        <v>0</v>
      </c>
      <c r="AI79">
        <v>0</v>
      </c>
      <c r="AJ79">
        <v>0</v>
      </c>
      <c r="AK79">
        <v>0</v>
      </c>
      <c r="AL79">
        <v>8</v>
      </c>
      <c r="AM79">
        <v>0</v>
      </c>
      <c r="AN79" s="1">
        <v>14</v>
      </c>
    </row>
    <row r="80" spans="1:40" x14ac:dyDescent="0.3">
      <c r="A80" t="s">
        <v>40</v>
      </c>
      <c r="B80" t="s">
        <v>66</v>
      </c>
      <c r="C80" s="3" t="s">
        <v>43</v>
      </c>
      <c r="D80">
        <v>321</v>
      </c>
      <c r="E80">
        <v>0</v>
      </c>
      <c r="F80">
        <v>0</v>
      </c>
      <c r="G80">
        <v>0</v>
      </c>
      <c r="H80">
        <v>0</v>
      </c>
      <c r="I80">
        <v>0</v>
      </c>
      <c r="J80">
        <v>174</v>
      </c>
      <c r="K80">
        <v>1</v>
      </c>
      <c r="L80" s="1">
        <v>0</v>
      </c>
      <c r="M80">
        <v>0</v>
      </c>
      <c r="N80">
        <v>0</v>
      </c>
      <c r="O80">
        <v>68</v>
      </c>
      <c r="P80" s="1">
        <v>0</v>
      </c>
      <c r="Q80">
        <v>0</v>
      </c>
      <c r="R80">
        <v>0</v>
      </c>
      <c r="S80">
        <v>0</v>
      </c>
      <c r="T80" s="1">
        <v>0</v>
      </c>
      <c r="U80">
        <v>0</v>
      </c>
      <c r="V80">
        <v>0</v>
      </c>
      <c r="W80">
        <v>0</v>
      </c>
      <c r="X80">
        <v>0</v>
      </c>
      <c r="Y80">
        <v>1</v>
      </c>
      <c r="Z80">
        <v>0</v>
      </c>
      <c r="AA80">
        <v>0</v>
      </c>
      <c r="AB80">
        <v>1</v>
      </c>
      <c r="AC80">
        <v>0</v>
      </c>
      <c r="AD80">
        <v>7</v>
      </c>
      <c r="AE80">
        <v>6</v>
      </c>
      <c r="AF80">
        <v>23</v>
      </c>
      <c r="AG80">
        <v>13</v>
      </c>
      <c r="AH80">
        <v>1</v>
      </c>
      <c r="AI80">
        <v>4</v>
      </c>
      <c r="AJ80">
        <v>0</v>
      </c>
      <c r="AK80">
        <v>0</v>
      </c>
      <c r="AL80">
        <v>11</v>
      </c>
      <c r="AM80">
        <v>0</v>
      </c>
      <c r="AN80" s="1">
        <v>11</v>
      </c>
    </row>
    <row r="81" spans="1:40" x14ac:dyDescent="0.3">
      <c r="A81" t="s">
        <v>40</v>
      </c>
      <c r="B81" t="s">
        <v>67</v>
      </c>
      <c r="C81" s="3" t="s">
        <v>39</v>
      </c>
      <c r="D81">
        <v>716</v>
      </c>
      <c r="E81">
        <v>1</v>
      </c>
      <c r="F81">
        <v>0</v>
      </c>
      <c r="G81">
        <v>0</v>
      </c>
      <c r="H81">
        <v>1</v>
      </c>
      <c r="I81">
        <v>0</v>
      </c>
      <c r="J81">
        <v>638</v>
      </c>
      <c r="K81">
        <v>1</v>
      </c>
      <c r="L81">
        <v>0</v>
      </c>
      <c r="M81">
        <v>0</v>
      </c>
      <c r="N81">
        <v>0</v>
      </c>
      <c r="O81">
        <v>13</v>
      </c>
      <c r="P81" s="1">
        <v>0</v>
      </c>
      <c r="Q81">
        <v>0</v>
      </c>
      <c r="R81">
        <v>0</v>
      </c>
      <c r="S81">
        <v>0</v>
      </c>
      <c r="T81" s="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17</v>
      </c>
      <c r="AB81">
        <v>7</v>
      </c>
      <c r="AC81">
        <v>0</v>
      </c>
      <c r="AD81">
        <v>0</v>
      </c>
      <c r="AE81">
        <v>0</v>
      </c>
      <c r="AF81">
        <v>18</v>
      </c>
      <c r="AG81">
        <v>6</v>
      </c>
      <c r="AH81">
        <v>0</v>
      </c>
      <c r="AI81">
        <v>1</v>
      </c>
      <c r="AJ81">
        <v>1</v>
      </c>
      <c r="AK81">
        <v>0</v>
      </c>
      <c r="AL81">
        <v>5</v>
      </c>
      <c r="AM81">
        <v>0</v>
      </c>
      <c r="AN81" s="1">
        <v>7</v>
      </c>
    </row>
    <row r="82" spans="1:40" x14ac:dyDescent="0.3">
      <c r="A82" t="s">
        <v>40</v>
      </c>
      <c r="B82" t="s">
        <v>67</v>
      </c>
      <c r="C82" s="3" t="s">
        <v>42</v>
      </c>
      <c r="D82">
        <v>654</v>
      </c>
      <c r="E82">
        <v>1</v>
      </c>
      <c r="F82">
        <v>0</v>
      </c>
      <c r="G82">
        <v>0</v>
      </c>
      <c r="H82">
        <v>1</v>
      </c>
      <c r="I82">
        <v>0</v>
      </c>
      <c r="J82">
        <v>601</v>
      </c>
      <c r="K82">
        <v>1</v>
      </c>
      <c r="L82" s="1">
        <v>0</v>
      </c>
      <c r="M82">
        <v>0</v>
      </c>
      <c r="N82">
        <v>0</v>
      </c>
      <c r="O82">
        <v>9</v>
      </c>
      <c r="P82" s="1">
        <v>0</v>
      </c>
      <c r="Q82">
        <v>0</v>
      </c>
      <c r="R82">
        <v>0</v>
      </c>
      <c r="S82">
        <v>0</v>
      </c>
      <c r="T82" s="1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17</v>
      </c>
      <c r="AB82">
        <v>5</v>
      </c>
      <c r="AC82">
        <v>0</v>
      </c>
      <c r="AD82">
        <v>0</v>
      </c>
      <c r="AE82">
        <v>0</v>
      </c>
      <c r="AF82">
        <v>6</v>
      </c>
      <c r="AG82">
        <v>4</v>
      </c>
      <c r="AH82">
        <v>0</v>
      </c>
      <c r="AI82">
        <v>0</v>
      </c>
      <c r="AJ82">
        <v>1</v>
      </c>
      <c r="AK82">
        <v>0</v>
      </c>
      <c r="AL82">
        <v>2</v>
      </c>
      <c r="AM82">
        <v>0</v>
      </c>
      <c r="AN82" s="1">
        <v>6</v>
      </c>
    </row>
    <row r="83" spans="1:40" x14ac:dyDescent="0.3">
      <c r="A83" t="s">
        <v>40</v>
      </c>
      <c r="B83" t="s">
        <v>67</v>
      </c>
      <c r="C83" s="3" t="s">
        <v>43</v>
      </c>
      <c r="D83">
        <v>62</v>
      </c>
      <c r="E83">
        <v>0</v>
      </c>
      <c r="F83">
        <v>0</v>
      </c>
      <c r="G83">
        <v>0</v>
      </c>
      <c r="H83">
        <v>0</v>
      </c>
      <c r="I83">
        <v>0</v>
      </c>
      <c r="J83">
        <v>37</v>
      </c>
      <c r="K83">
        <v>0</v>
      </c>
      <c r="L83">
        <v>0</v>
      </c>
      <c r="M83">
        <v>0</v>
      </c>
      <c r="N83">
        <v>0</v>
      </c>
      <c r="O83">
        <v>4</v>
      </c>
      <c r="P83" s="1">
        <v>0</v>
      </c>
      <c r="Q83">
        <v>0</v>
      </c>
      <c r="R83">
        <v>0</v>
      </c>
      <c r="S83">
        <v>0</v>
      </c>
      <c r="T83" s="1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2</v>
      </c>
      <c r="AC83">
        <v>0</v>
      </c>
      <c r="AD83">
        <v>0</v>
      </c>
      <c r="AE83">
        <v>0</v>
      </c>
      <c r="AF83">
        <v>12</v>
      </c>
      <c r="AG83">
        <v>2</v>
      </c>
      <c r="AH83">
        <v>0</v>
      </c>
      <c r="AI83">
        <v>1</v>
      </c>
      <c r="AJ83">
        <v>0</v>
      </c>
      <c r="AK83">
        <v>0</v>
      </c>
      <c r="AL83">
        <v>3</v>
      </c>
      <c r="AM83">
        <v>0</v>
      </c>
      <c r="AN83" s="1">
        <v>1</v>
      </c>
    </row>
    <row r="84" spans="1:40" x14ac:dyDescent="0.3">
      <c r="A84" t="s">
        <v>40</v>
      </c>
      <c r="B84" t="s">
        <v>68</v>
      </c>
      <c r="C84" s="3" t="s">
        <v>39</v>
      </c>
      <c r="D84">
        <v>693</v>
      </c>
      <c r="E84">
        <v>4</v>
      </c>
      <c r="F84">
        <v>1</v>
      </c>
      <c r="G84">
        <v>4</v>
      </c>
      <c r="H84">
        <v>103</v>
      </c>
      <c r="I84">
        <v>0</v>
      </c>
      <c r="J84">
        <v>560</v>
      </c>
      <c r="K84">
        <v>1</v>
      </c>
      <c r="L84" s="1">
        <v>0</v>
      </c>
      <c r="M84">
        <v>0</v>
      </c>
      <c r="N84">
        <v>0</v>
      </c>
      <c r="O84">
        <v>8</v>
      </c>
      <c r="P84" s="1">
        <v>0</v>
      </c>
      <c r="Q84">
        <v>0</v>
      </c>
      <c r="R84">
        <v>0</v>
      </c>
      <c r="S84">
        <v>0</v>
      </c>
      <c r="T84" s="1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4</v>
      </c>
      <c r="AE84">
        <v>0</v>
      </c>
      <c r="AF84">
        <v>1</v>
      </c>
      <c r="AG84">
        <v>3</v>
      </c>
      <c r="AH84">
        <v>1</v>
      </c>
      <c r="AI84">
        <v>2</v>
      </c>
      <c r="AJ84">
        <v>0</v>
      </c>
      <c r="AK84">
        <v>0</v>
      </c>
      <c r="AL84">
        <v>0</v>
      </c>
      <c r="AM84">
        <v>0</v>
      </c>
      <c r="AN84" s="1">
        <v>1</v>
      </c>
    </row>
    <row r="85" spans="1:40" x14ac:dyDescent="0.3">
      <c r="A85" t="s">
        <v>40</v>
      </c>
      <c r="B85" t="s">
        <v>68</v>
      </c>
      <c r="C85" s="3" t="s">
        <v>42</v>
      </c>
      <c r="D85">
        <v>630</v>
      </c>
      <c r="E85">
        <v>4</v>
      </c>
      <c r="F85">
        <v>1</v>
      </c>
      <c r="G85">
        <v>3</v>
      </c>
      <c r="H85">
        <v>101</v>
      </c>
      <c r="I85">
        <v>0</v>
      </c>
      <c r="J85">
        <v>516</v>
      </c>
      <c r="K85">
        <v>1</v>
      </c>
      <c r="L85">
        <v>0</v>
      </c>
      <c r="M85">
        <v>0</v>
      </c>
      <c r="N85">
        <v>0</v>
      </c>
      <c r="O85">
        <v>0</v>
      </c>
      <c r="P85" s="1">
        <v>0</v>
      </c>
      <c r="Q85">
        <v>0</v>
      </c>
      <c r="R85">
        <v>0</v>
      </c>
      <c r="S85">
        <v>0</v>
      </c>
      <c r="T85" s="1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2</v>
      </c>
      <c r="AE85">
        <v>0</v>
      </c>
      <c r="AF85">
        <v>0</v>
      </c>
      <c r="AG85">
        <v>0</v>
      </c>
      <c r="AH85">
        <v>0</v>
      </c>
      <c r="AI85">
        <v>2</v>
      </c>
      <c r="AJ85">
        <v>0</v>
      </c>
      <c r="AK85">
        <v>0</v>
      </c>
      <c r="AL85">
        <v>0</v>
      </c>
      <c r="AM85">
        <v>0</v>
      </c>
      <c r="AN85" s="1">
        <v>0</v>
      </c>
    </row>
    <row r="86" spans="1:40" x14ac:dyDescent="0.3">
      <c r="A86" t="s">
        <v>40</v>
      </c>
      <c r="B86" t="s">
        <v>68</v>
      </c>
      <c r="C86" s="3" t="s">
        <v>43</v>
      </c>
      <c r="D86">
        <v>63</v>
      </c>
      <c r="E86">
        <v>0</v>
      </c>
      <c r="F86">
        <v>0</v>
      </c>
      <c r="G86">
        <v>1</v>
      </c>
      <c r="H86">
        <v>2</v>
      </c>
      <c r="I86">
        <v>0</v>
      </c>
      <c r="J86">
        <v>44</v>
      </c>
      <c r="K86">
        <v>0</v>
      </c>
      <c r="L86" s="1">
        <v>0</v>
      </c>
      <c r="M86">
        <v>0</v>
      </c>
      <c r="N86">
        <v>0</v>
      </c>
      <c r="O86">
        <v>8</v>
      </c>
      <c r="P86" s="1">
        <v>0</v>
      </c>
      <c r="Q86">
        <v>0</v>
      </c>
      <c r="R86">
        <v>0</v>
      </c>
      <c r="S86">
        <v>0</v>
      </c>
      <c r="T86" s="1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2</v>
      </c>
      <c r="AE86">
        <v>0</v>
      </c>
      <c r="AF86">
        <v>1</v>
      </c>
      <c r="AG86">
        <v>3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 s="1">
        <v>1</v>
      </c>
    </row>
    <row r="87" spans="1:40" x14ac:dyDescent="0.3">
      <c r="A87" t="s">
        <v>40</v>
      </c>
      <c r="B87" t="s">
        <v>69</v>
      </c>
      <c r="C87" s="3" t="s">
        <v>39</v>
      </c>
      <c r="D87">
        <v>635</v>
      </c>
      <c r="E87">
        <v>0</v>
      </c>
      <c r="F87">
        <v>0</v>
      </c>
      <c r="G87">
        <v>1</v>
      </c>
      <c r="H87">
        <v>627</v>
      </c>
      <c r="I87">
        <v>0</v>
      </c>
      <c r="J87">
        <v>6</v>
      </c>
      <c r="K87">
        <v>0</v>
      </c>
      <c r="L87">
        <v>0</v>
      </c>
      <c r="M87">
        <v>0</v>
      </c>
      <c r="N87">
        <v>0</v>
      </c>
      <c r="O87">
        <v>0</v>
      </c>
      <c r="P87" s="1">
        <v>0</v>
      </c>
      <c r="Q87">
        <v>0</v>
      </c>
      <c r="R87">
        <v>0</v>
      </c>
      <c r="S87">
        <v>1</v>
      </c>
      <c r="T87" s="1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 s="1">
        <v>0</v>
      </c>
    </row>
    <row r="88" spans="1:40" x14ac:dyDescent="0.3">
      <c r="A88" t="s">
        <v>40</v>
      </c>
      <c r="B88" t="s">
        <v>69</v>
      </c>
      <c r="C88" s="3" t="s">
        <v>42</v>
      </c>
      <c r="D88">
        <v>240</v>
      </c>
      <c r="E88">
        <v>0</v>
      </c>
      <c r="F88">
        <v>0</v>
      </c>
      <c r="G88">
        <v>1</v>
      </c>
      <c r="H88">
        <v>238</v>
      </c>
      <c r="I88">
        <v>0</v>
      </c>
      <c r="J88">
        <v>0</v>
      </c>
      <c r="K88">
        <v>0</v>
      </c>
      <c r="L88" s="1">
        <v>0</v>
      </c>
      <c r="M88">
        <v>0</v>
      </c>
      <c r="N88">
        <v>0</v>
      </c>
      <c r="O88">
        <v>0</v>
      </c>
      <c r="P88" s="1">
        <v>0</v>
      </c>
      <c r="Q88">
        <v>0</v>
      </c>
      <c r="R88">
        <v>0</v>
      </c>
      <c r="S88">
        <v>1</v>
      </c>
      <c r="T88" s="1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 s="1">
        <v>0</v>
      </c>
    </row>
    <row r="89" spans="1:40" x14ac:dyDescent="0.3">
      <c r="A89" t="s">
        <v>40</v>
      </c>
      <c r="B89" t="s">
        <v>69</v>
      </c>
      <c r="C89" s="3" t="s">
        <v>43</v>
      </c>
      <c r="D89">
        <v>395</v>
      </c>
      <c r="E89">
        <v>0</v>
      </c>
      <c r="F89">
        <v>0</v>
      </c>
      <c r="G89">
        <v>0</v>
      </c>
      <c r="H89">
        <v>389</v>
      </c>
      <c r="I89">
        <v>0</v>
      </c>
      <c r="J89">
        <v>6</v>
      </c>
      <c r="K89">
        <v>0</v>
      </c>
      <c r="L89">
        <v>0</v>
      </c>
      <c r="M89">
        <v>0</v>
      </c>
      <c r="N89">
        <v>0</v>
      </c>
      <c r="O89">
        <v>0</v>
      </c>
      <c r="P89" s="1">
        <v>0</v>
      </c>
      <c r="Q89">
        <v>0</v>
      </c>
      <c r="R89">
        <v>0</v>
      </c>
      <c r="S89">
        <v>0</v>
      </c>
      <c r="T89" s="1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 s="1">
        <v>0</v>
      </c>
    </row>
    <row r="90" spans="1:40" x14ac:dyDescent="0.3">
      <c r="A90" t="s">
        <v>40</v>
      </c>
      <c r="B90" t="s">
        <v>70</v>
      </c>
      <c r="C90" s="3" t="s">
        <v>39</v>
      </c>
      <c r="D90">
        <v>492</v>
      </c>
      <c r="E90">
        <v>12</v>
      </c>
      <c r="F90">
        <v>0</v>
      </c>
      <c r="G90">
        <v>467</v>
      </c>
      <c r="H90">
        <v>6</v>
      </c>
      <c r="I90">
        <v>0</v>
      </c>
      <c r="J90">
        <v>1</v>
      </c>
      <c r="K90">
        <v>0</v>
      </c>
      <c r="L90" s="1">
        <v>0</v>
      </c>
      <c r="M90">
        <v>1</v>
      </c>
      <c r="N90">
        <v>0</v>
      </c>
      <c r="O90">
        <v>4</v>
      </c>
      <c r="P90" s="1">
        <v>0</v>
      </c>
      <c r="Q90">
        <v>0</v>
      </c>
      <c r="R90">
        <v>0</v>
      </c>
      <c r="S90">
        <v>0</v>
      </c>
      <c r="T90" s="1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 s="1">
        <v>1</v>
      </c>
    </row>
    <row r="91" spans="1:40" x14ac:dyDescent="0.3">
      <c r="A91" t="s">
        <v>40</v>
      </c>
      <c r="B91" t="s">
        <v>70</v>
      </c>
      <c r="C91" s="3" t="s">
        <v>42</v>
      </c>
      <c r="D91">
        <v>199</v>
      </c>
      <c r="E91">
        <v>6</v>
      </c>
      <c r="F91">
        <v>0</v>
      </c>
      <c r="G91">
        <v>185</v>
      </c>
      <c r="H91">
        <v>4</v>
      </c>
      <c r="I91">
        <v>0</v>
      </c>
      <c r="J91">
        <v>0</v>
      </c>
      <c r="K91">
        <v>0</v>
      </c>
      <c r="L91">
        <v>0</v>
      </c>
      <c r="M91">
        <v>1</v>
      </c>
      <c r="N91">
        <v>0</v>
      </c>
      <c r="O91">
        <v>2</v>
      </c>
      <c r="P91" s="1">
        <v>0</v>
      </c>
      <c r="Q91">
        <v>0</v>
      </c>
      <c r="R91">
        <v>0</v>
      </c>
      <c r="S91">
        <v>0</v>
      </c>
      <c r="T91" s="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 s="1">
        <v>1</v>
      </c>
    </row>
    <row r="92" spans="1:40" x14ac:dyDescent="0.3">
      <c r="A92" t="s">
        <v>40</v>
      </c>
      <c r="B92" t="s">
        <v>70</v>
      </c>
      <c r="C92" s="3" t="s">
        <v>43</v>
      </c>
      <c r="D92">
        <v>293</v>
      </c>
      <c r="E92">
        <v>6</v>
      </c>
      <c r="F92">
        <v>0</v>
      </c>
      <c r="G92">
        <v>282</v>
      </c>
      <c r="H92">
        <v>2</v>
      </c>
      <c r="I92">
        <v>0</v>
      </c>
      <c r="J92">
        <v>1</v>
      </c>
      <c r="K92">
        <v>0</v>
      </c>
      <c r="L92" s="1">
        <v>0</v>
      </c>
      <c r="M92">
        <v>0</v>
      </c>
      <c r="N92">
        <v>0</v>
      </c>
      <c r="O92">
        <v>2</v>
      </c>
      <c r="P92" s="1">
        <v>0</v>
      </c>
      <c r="Q92">
        <v>0</v>
      </c>
      <c r="R92">
        <v>0</v>
      </c>
      <c r="S92">
        <v>0</v>
      </c>
      <c r="T92" s="1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 s="1">
        <v>0</v>
      </c>
    </row>
    <row r="93" spans="1:40" x14ac:dyDescent="0.3">
      <c r="A93" t="s">
        <v>40</v>
      </c>
      <c r="B93" t="s">
        <v>71</v>
      </c>
      <c r="C93" s="3" t="s">
        <v>39</v>
      </c>
      <c r="D93">
        <v>333</v>
      </c>
      <c r="E93">
        <v>5</v>
      </c>
      <c r="F93">
        <v>2</v>
      </c>
      <c r="G93">
        <v>0</v>
      </c>
      <c r="H93">
        <v>310</v>
      </c>
      <c r="I93">
        <v>0</v>
      </c>
      <c r="J93">
        <v>6</v>
      </c>
      <c r="K93">
        <v>0</v>
      </c>
      <c r="L93">
        <v>0</v>
      </c>
      <c r="M93">
        <v>1</v>
      </c>
      <c r="N93">
        <v>0</v>
      </c>
      <c r="O93">
        <v>1</v>
      </c>
      <c r="P93" s="1">
        <v>0</v>
      </c>
      <c r="Q93">
        <v>0</v>
      </c>
      <c r="R93">
        <v>0</v>
      </c>
      <c r="S93">
        <v>0</v>
      </c>
      <c r="T93" s="1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8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 s="1">
        <v>0</v>
      </c>
    </row>
    <row r="94" spans="1:40" x14ac:dyDescent="0.3">
      <c r="A94" t="s">
        <v>40</v>
      </c>
      <c r="B94" t="s">
        <v>71</v>
      </c>
      <c r="C94" s="3" t="s">
        <v>42</v>
      </c>
      <c r="D94">
        <v>163</v>
      </c>
      <c r="E94">
        <v>3</v>
      </c>
      <c r="F94">
        <v>2</v>
      </c>
      <c r="G94">
        <v>0</v>
      </c>
      <c r="H94">
        <v>149</v>
      </c>
      <c r="I94">
        <v>0</v>
      </c>
      <c r="J94">
        <v>4</v>
      </c>
      <c r="K94">
        <v>0</v>
      </c>
      <c r="L94" s="1">
        <v>0</v>
      </c>
      <c r="M94">
        <v>0</v>
      </c>
      <c r="N94">
        <v>0</v>
      </c>
      <c r="O94">
        <v>1</v>
      </c>
      <c r="P94" s="1">
        <v>0</v>
      </c>
      <c r="Q94">
        <v>0</v>
      </c>
      <c r="R94">
        <v>0</v>
      </c>
      <c r="S94">
        <v>0</v>
      </c>
      <c r="T94" s="1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4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 s="1">
        <v>0</v>
      </c>
    </row>
    <row r="95" spans="1:40" x14ac:dyDescent="0.3">
      <c r="A95" t="s">
        <v>40</v>
      </c>
      <c r="B95" t="s">
        <v>71</v>
      </c>
      <c r="C95" s="3" t="s">
        <v>43</v>
      </c>
      <c r="D95">
        <v>170</v>
      </c>
      <c r="E95">
        <v>2</v>
      </c>
      <c r="F95">
        <v>0</v>
      </c>
      <c r="G95">
        <v>0</v>
      </c>
      <c r="H95">
        <v>161</v>
      </c>
      <c r="I95">
        <v>0</v>
      </c>
      <c r="J95">
        <v>2</v>
      </c>
      <c r="K95">
        <v>0</v>
      </c>
      <c r="L95">
        <v>0</v>
      </c>
      <c r="M95">
        <v>1</v>
      </c>
      <c r="N95">
        <v>0</v>
      </c>
      <c r="O95">
        <v>0</v>
      </c>
      <c r="P95" s="1">
        <v>0</v>
      </c>
      <c r="Q95">
        <v>0</v>
      </c>
      <c r="R95">
        <v>0</v>
      </c>
      <c r="S95">
        <v>0</v>
      </c>
      <c r="T95" s="1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4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 s="1">
        <v>0</v>
      </c>
    </row>
    <row r="96" spans="1:40" x14ac:dyDescent="0.3">
      <c r="A96" t="s">
        <v>40</v>
      </c>
      <c r="B96" t="s">
        <v>72</v>
      </c>
      <c r="C96" s="3" t="s">
        <v>39</v>
      </c>
      <c r="D96">
        <v>325</v>
      </c>
      <c r="E96">
        <v>1</v>
      </c>
      <c r="F96">
        <v>2</v>
      </c>
      <c r="G96">
        <v>0</v>
      </c>
      <c r="H96">
        <v>0</v>
      </c>
      <c r="I96">
        <v>0</v>
      </c>
      <c r="J96">
        <v>28</v>
      </c>
      <c r="K96">
        <v>0</v>
      </c>
      <c r="L96" s="1">
        <v>0</v>
      </c>
      <c r="M96">
        <v>0</v>
      </c>
      <c r="N96">
        <v>0</v>
      </c>
      <c r="O96">
        <v>0</v>
      </c>
      <c r="P96" s="1">
        <v>0</v>
      </c>
      <c r="Q96">
        <v>0</v>
      </c>
      <c r="R96">
        <v>0</v>
      </c>
      <c r="S96">
        <v>0</v>
      </c>
      <c r="T96" s="1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294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 s="1">
        <v>0</v>
      </c>
    </row>
    <row r="97" spans="1:40" x14ac:dyDescent="0.3">
      <c r="A97" t="s">
        <v>40</v>
      </c>
      <c r="B97" t="s">
        <v>72</v>
      </c>
      <c r="C97" s="3" t="s">
        <v>42</v>
      </c>
      <c r="D97">
        <v>296</v>
      </c>
      <c r="E97">
        <v>1</v>
      </c>
      <c r="F97">
        <v>1</v>
      </c>
      <c r="G97">
        <v>0</v>
      </c>
      <c r="H97">
        <v>0</v>
      </c>
      <c r="I97">
        <v>0</v>
      </c>
      <c r="J97">
        <v>8</v>
      </c>
      <c r="K97">
        <v>0</v>
      </c>
      <c r="L97">
        <v>0</v>
      </c>
      <c r="M97">
        <v>0</v>
      </c>
      <c r="N97">
        <v>0</v>
      </c>
      <c r="O97">
        <v>0</v>
      </c>
      <c r="P97" s="1">
        <v>0</v>
      </c>
      <c r="Q97">
        <v>0</v>
      </c>
      <c r="R97">
        <v>0</v>
      </c>
      <c r="S97">
        <v>0</v>
      </c>
      <c r="T97" s="1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286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 s="1">
        <v>0</v>
      </c>
    </row>
    <row r="98" spans="1:40" x14ac:dyDescent="0.3">
      <c r="A98" t="s">
        <v>40</v>
      </c>
      <c r="B98" t="s">
        <v>72</v>
      </c>
      <c r="C98" s="3" t="s">
        <v>43</v>
      </c>
      <c r="D98">
        <v>29</v>
      </c>
      <c r="E98">
        <v>0</v>
      </c>
      <c r="F98">
        <v>1</v>
      </c>
      <c r="G98">
        <v>0</v>
      </c>
      <c r="H98">
        <v>0</v>
      </c>
      <c r="I98">
        <v>0</v>
      </c>
      <c r="J98">
        <v>20</v>
      </c>
      <c r="K98">
        <v>0</v>
      </c>
      <c r="L98" s="1">
        <v>0</v>
      </c>
      <c r="M98">
        <v>0</v>
      </c>
      <c r="N98">
        <v>0</v>
      </c>
      <c r="O98">
        <v>0</v>
      </c>
      <c r="P98" s="1">
        <v>0</v>
      </c>
      <c r="Q98">
        <v>0</v>
      </c>
      <c r="R98">
        <v>0</v>
      </c>
      <c r="S98">
        <v>0</v>
      </c>
      <c r="T98" s="1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8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 s="1">
        <v>0</v>
      </c>
    </row>
    <row r="99" spans="1:40" x14ac:dyDescent="0.3">
      <c r="A99" t="s">
        <v>40</v>
      </c>
      <c r="B99" t="s">
        <v>73</v>
      </c>
      <c r="C99" s="3" t="s">
        <v>39</v>
      </c>
      <c r="D99">
        <v>284</v>
      </c>
      <c r="E99">
        <v>5</v>
      </c>
      <c r="F99">
        <v>3</v>
      </c>
      <c r="G99">
        <v>0</v>
      </c>
      <c r="H99">
        <v>257</v>
      </c>
      <c r="I99">
        <v>0</v>
      </c>
      <c r="J99">
        <v>19</v>
      </c>
      <c r="K99">
        <v>0</v>
      </c>
      <c r="L99">
        <v>0</v>
      </c>
      <c r="M99">
        <v>0</v>
      </c>
      <c r="N99">
        <v>0</v>
      </c>
      <c r="O99">
        <v>0</v>
      </c>
      <c r="P99" s="1">
        <v>0</v>
      </c>
      <c r="Q99">
        <v>0</v>
      </c>
      <c r="R99">
        <v>0</v>
      </c>
      <c r="S99">
        <v>0</v>
      </c>
      <c r="T99" s="1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 s="1">
        <v>0</v>
      </c>
    </row>
    <row r="100" spans="1:40" x14ac:dyDescent="0.3">
      <c r="A100" t="s">
        <v>40</v>
      </c>
      <c r="B100" t="s">
        <v>73</v>
      </c>
      <c r="C100" s="3" t="s">
        <v>42</v>
      </c>
      <c r="D100">
        <v>116</v>
      </c>
      <c r="E100">
        <v>1</v>
      </c>
      <c r="F100">
        <v>2</v>
      </c>
      <c r="G100">
        <v>0</v>
      </c>
      <c r="H100">
        <v>105</v>
      </c>
      <c r="I100">
        <v>0</v>
      </c>
      <c r="J100">
        <v>8</v>
      </c>
      <c r="K100">
        <v>0</v>
      </c>
      <c r="L100" s="1">
        <v>0</v>
      </c>
      <c r="M100">
        <v>0</v>
      </c>
      <c r="N100">
        <v>0</v>
      </c>
      <c r="O100">
        <v>0</v>
      </c>
      <c r="P100" s="1">
        <v>0</v>
      </c>
      <c r="Q100">
        <v>0</v>
      </c>
      <c r="R100">
        <v>0</v>
      </c>
      <c r="S100">
        <v>0</v>
      </c>
      <c r="T100" s="1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 s="1">
        <v>0</v>
      </c>
    </row>
    <row r="101" spans="1:40" x14ac:dyDescent="0.3">
      <c r="A101" t="s">
        <v>40</v>
      </c>
      <c r="B101" t="s">
        <v>73</v>
      </c>
      <c r="C101" s="3" t="s">
        <v>43</v>
      </c>
      <c r="D101">
        <v>168</v>
      </c>
      <c r="E101">
        <v>4</v>
      </c>
      <c r="F101">
        <v>1</v>
      </c>
      <c r="G101">
        <v>0</v>
      </c>
      <c r="H101">
        <v>152</v>
      </c>
      <c r="I101">
        <v>0</v>
      </c>
      <c r="J101">
        <v>11</v>
      </c>
      <c r="K101">
        <v>0</v>
      </c>
      <c r="L101">
        <v>0</v>
      </c>
      <c r="M101">
        <v>0</v>
      </c>
      <c r="N101">
        <v>0</v>
      </c>
      <c r="O101">
        <v>0</v>
      </c>
      <c r="P101" s="1">
        <v>0</v>
      </c>
      <c r="Q101">
        <v>0</v>
      </c>
      <c r="R101">
        <v>0</v>
      </c>
      <c r="S101">
        <v>0</v>
      </c>
      <c r="T101" s="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 s="1">
        <v>0</v>
      </c>
    </row>
    <row r="102" spans="1:40" x14ac:dyDescent="0.3">
      <c r="A102" t="s">
        <v>40</v>
      </c>
      <c r="B102" t="s">
        <v>74</v>
      </c>
      <c r="C102" s="3" t="s">
        <v>39</v>
      </c>
      <c r="D102">
        <v>226</v>
      </c>
      <c r="E102">
        <v>3</v>
      </c>
      <c r="F102">
        <v>0</v>
      </c>
      <c r="G102">
        <v>197</v>
      </c>
      <c r="H102">
        <v>0</v>
      </c>
      <c r="I102">
        <v>0</v>
      </c>
      <c r="J102">
        <v>0</v>
      </c>
      <c r="K102">
        <v>12</v>
      </c>
      <c r="L102" s="1">
        <v>0</v>
      </c>
      <c r="M102">
        <v>0</v>
      </c>
      <c r="N102">
        <v>0</v>
      </c>
      <c r="O102">
        <v>5</v>
      </c>
      <c r="P102" s="1">
        <v>0</v>
      </c>
      <c r="Q102">
        <v>1</v>
      </c>
      <c r="R102">
        <v>0</v>
      </c>
      <c r="S102">
        <v>0</v>
      </c>
      <c r="T102" s="1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1</v>
      </c>
      <c r="AJ102">
        <v>0</v>
      </c>
      <c r="AK102">
        <v>4</v>
      </c>
      <c r="AL102">
        <v>0</v>
      </c>
      <c r="AM102">
        <v>3</v>
      </c>
      <c r="AN102" s="1">
        <v>0</v>
      </c>
    </row>
    <row r="103" spans="1:40" x14ac:dyDescent="0.3">
      <c r="A103" t="s">
        <v>40</v>
      </c>
      <c r="B103" t="s">
        <v>74</v>
      </c>
      <c r="C103" s="3" t="s">
        <v>42</v>
      </c>
      <c r="D103">
        <v>111</v>
      </c>
      <c r="E103">
        <v>2</v>
      </c>
      <c r="F103">
        <v>0</v>
      </c>
      <c r="G103">
        <v>98</v>
      </c>
      <c r="H103">
        <v>0</v>
      </c>
      <c r="I103">
        <v>0</v>
      </c>
      <c r="J103">
        <v>0</v>
      </c>
      <c r="K103">
        <v>7</v>
      </c>
      <c r="L103">
        <v>0</v>
      </c>
      <c r="M103">
        <v>0</v>
      </c>
      <c r="N103">
        <v>0</v>
      </c>
      <c r="O103">
        <v>0</v>
      </c>
      <c r="P103" s="1">
        <v>0</v>
      </c>
      <c r="Q103">
        <v>1</v>
      </c>
      <c r="R103">
        <v>0</v>
      </c>
      <c r="S103">
        <v>0</v>
      </c>
      <c r="T103" s="1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1</v>
      </c>
      <c r="AJ103">
        <v>0</v>
      </c>
      <c r="AK103">
        <v>2</v>
      </c>
      <c r="AL103">
        <v>0</v>
      </c>
      <c r="AM103">
        <v>0</v>
      </c>
      <c r="AN103" s="1">
        <v>0</v>
      </c>
    </row>
    <row r="104" spans="1:40" x14ac:dyDescent="0.3">
      <c r="A104" t="s">
        <v>40</v>
      </c>
      <c r="B104" t="s">
        <v>74</v>
      </c>
      <c r="C104" s="3" t="s">
        <v>43</v>
      </c>
      <c r="D104">
        <v>115</v>
      </c>
      <c r="E104">
        <v>1</v>
      </c>
      <c r="F104">
        <v>0</v>
      </c>
      <c r="G104">
        <v>99</v>
      </c>
      <c r="H104">
        <v>0</v>
      </c>
      <c r="I104">
        <v>0</v>
      </c>
      <c r="J104">
        <v>0</v>
      </c>
      <c r="K104">
        <v>5</v>
      </c>
      <c r="L104" s="1">
        <v>0</v>
      </c>
      <c r="M104">
        <v>0</v>
      </c>
      <c r="N104">
        <v>0</v>
      </c>
      <c r="O104">
        <v>5</v>
      </c>
      <c r="P104" s="1">
        <v>0</v>
      </c>
      <c r="Q104">
        <v>0</v>
      </c>
      <c r="R104">
        <v>0</v>
      </c>
      <c r="S104">
        <v>0</v>
      </c>
      <c r="T104" s="1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2</v>
      </c>
      <c r="AL104">
        <v>0</v>
      </c>
      <c r="AM104">
        <v>3</v>
      </c>
      <c r="AN104" s="1">
        <v>0</v>
      </c>
    </row>
    <row r="105" spans="1:40" x14ac:dyDescent="0.3">
      <c r="A105" t="s">
        <v>40</v>
      </c>
      <c r="B105" t="s">
        <v>75</v>
      </c>
      <c r="C105" s="3" t="s">
        <v>39</v>
      </c>
      <c r="D105">
        <v>192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183</v>
      </c>
      <c r="K105">
        <v>0</v>
      </c>
      <c r="L105">
        <v>0</v>
      </c>
      <c r="M105">
        <v>0</v>
      </c>
      <c r="N105">
        <v>0</v>
      </c>
      <c r="O105">
        <v>1</v>
      </c>
      <c r="P105" s="1">
        <v>0</v>
      </c>
      <c r="Q105">
        <v>0</v>
      </c>
      <c r="R105">
        <v>0</v>
      </c>
      <c r="S105">
        <v>0</v>
      </c>
      <c r="T105" s="1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  <c r="AE105">
        <v>1</v>
      </c>
      <c r="AF105">
        <v>2</v>
      </c>
      <c r="AG105">
        <v>3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 s="1">
        <v>1</v>
      </c>
    </row>
    <row r="106" spans="1:40" x14ac:dyDescent="0.3">
      <c r="A106" t="s">
        <v>40</v>
      </c>
      <c r="B106" t="s">
        <v>75</v>
      </c>
      <c r="C106" s="3" t="s">
        <v>42</v>
      </c>
      <c r="D106">
        <v>143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136</v>
      </c>
      <c r="K106">
        <v>0</v>
      </c>
      <c r="L106" s="1">
        <v>0</v>
      </c>
      <c r="M106">
        <v>0</v>
      </c>
      <c r="N106">
        <v>0</v>
      </c>
      <c r="O106">
        <v>1</v>
      </c>
      <c r="P106" s="1">
        <v>0</v>
      </c>
      <c r="Q106">
        <v>0</v>
      </c>
      <c r="R106">
        <v>0</v>
      </c>
      <c r="S106">
        <v>0</v>
      </c>
      <c r="T106" s="1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  <c r="AE106">
        <v>0</v>
      </c>
      <c r="AF106">
        <v>2</v>
      </c>
      <c r="AG106">
        <v>2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 s="1">
        <v>1</v>
      </c>
    </row>
    <row r="107" spans="1:40" x14ac:dyDescent="0.3">
      <c r="A107" t="s">
        <v>40</v>
      </c>
      <c r="B107" t="s">
        <v>75</v>
      </c>
      <c r="C107" s="3" t="s">
        <v>43</v>
      </c>
      <c r="D107">
        <v>49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47</v>
      </c>
      <c r="K107">
        <v>0</v>
      </c>
      <c r="L107">
        <v>0</v>
      </c>
      <c r="M107">
        <v>0</v>
      </c>
      <c r="N107">
        <v>0</v>
      </c>
      <c r="O107">
        <v>0</v>
      </c>
      <c r="P107" s="1">
        <v>0</v>
      </c>
      <c r="Q107">
        <v>0</v>
      </c>
      <c r="R107">
        <v>0</v>
      </c>
      <c r="S107">
        <v>0</v>
      </c>
      <c r="T107" s="1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1</v>
      </c>
      <c r="AF107">
        <v>0</v>
      </c>
      <c r="AG107">
        <v>1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 s="1">
        <v>0</v>
      </c>
    </row>
    <row r="108" spans="1:40" x14ac:dyDescent="0.3">
      <c r="A108" t="s">
        <v>40</v>
      </c>
      <c r="B108" t="s">
        <v>76</v>
      </c>
      <c r="C108" s="3" t="s">
        <v>39</v>
      </c>
      <c r="D108">
        <v>188</v>
      </c>
      <c r="E108">
        <v>2</v>
      </c>
      <c r="F108">
        <v>1</v>
      </c>
      <c r="G108">
        <v>0</v>
      </c>
      <c r="H108">
        <v>3</v>
      </c>
      <c r="I108">
        <v>0</v>
      </c>
      <c r="J108">
        <v>173</v>
      </c>
      <c r="K108">
        <v>0</v>
      </c>
      <c r="L108" s="1">
        <v>0</v>
      </c>
      <c r="M108">
        <v>0</v>
      </c>
      <c r="N108">
        <v>0</v>
      </c>
      <c r="O108">
        <v>0</v>
      </c>
      <c r="P108" s="1">
        <v>0</v>
      </c>
      <c r="Q108">
        <v>0</v>
      </c>
      <c r="R108">
        <v>0</v>
      </c>
      <c r="S108">
        <v>1</v>
      </c>
      <c r="T108" s="1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1</v>
      </c>
      <c r="AG108">
        <v>0</v>
      </c>
      <c r="AH108">
        <v>0</v>
      </c>
      <c r="AI108">
        <v>1</v>
      </c>
      <c r="AJ108">
        <v>0</v>
      </c>
      <c r="AK108">
        <v>0</v>
      </c>
      <c r="AL108">
        <v>0</v>
      </c>
      <c r="AM108">
        <v>0</v>
      </c>
      <c r="AN108" s="1">
        <v>6</v>
      </c>
    </row>
    <row r="109" spans="1:40" x14ac:dyDescent="0.3">
      <c r="A109" t="s">
        <v>40</v>
      </c>
      <c r="B109" t="s">
        <v>76</v>
      </c>
      <c r="C109" s="3" t="s">
        <v>42</v>
      </c>
      <c r="D109">
        <v>170</v>
      </c>
      <c r="E109">
        <v>0</v>
      </c>
      <c r="F109">
        <v>1</v>
      </c>
      <c r="G109">
        <v>0</v>
      </c>
      <c r="H109">
        <v>3</v>
      </c>
      <c r="I109">
        <v>0</v>
      </c>
      <c r="J109">
        <v>160</v>
      </c>
      <c r="K109">
        <v>0</v>
      </c>
      <c r="L109">
        <v>0</v>
      </c>
      <c r="M109">
        <v>0</v>
      </c>
      <c r="N109">
        <v>0</v>
      </c>
      <c r="O109">
        <v>0</v>
      </c>
      <c r="P109" s="1">
        <v>0</v>
      </c>
      <c r="Q109">
        <v>0</v>
      </c>
      <c r="R109">
        <v>0</v>
      </c>
      <c r="S109">
        <v>1</v>
      </c>
      <c r="T109" s="1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 s="1">
        <v>5</v>
      </c>
    </row>
    <row r="110" spans="1:40" x14ac:dyDescent="0.3">
      <c r="A110" t="s">
        <v>40</v>
      </c>
      <c r="B110" t="s">
        <v>76</v>
      </c>
      <c r="C110" s="3" t="s">
        <v>43</v>
      </c>
      <c r="D110">
        <v>18</v>
      </c>
      <c r="E110">
        <v>2</v>
      </c>
      <c r="F110">
        <v>0</v>
      </c>
      <c r="G110">
        <v>0</v>
      </c>
      <c r="H110">
        <v>0</v>
      </c>
      <c r="I110">
        <v>0</v>
      </c>
      <c r="J110">
        <v>13</v>
      </c>
      <c r="K110">
        <v>0</v>
      </c>
      <c r="L110" s="1">
        <v>0</v>
      </c>
      <c r="M110">
        <v>0</v>
      </c>
      <c r="N110">
        <v>0</v>
      </c>
      <c r="O110">
        <v>0</v>
      </c>
      <c r="P110" s="1">
        <v>0</v>
      </c>
      <c r="Q110">
        <v>0</v>
      </c>
      <c r="R110">
        <v>0</v>
      </c>
      <c r="S110">
        <v>0</v>
      </c>
      <c r="T110" s="1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1</v>
      </c>
      <c r="AG110">
        <v>0</v>
      </c>
      <c r="AH110">
        <v>0</v>
      </c>
      <c r="AI110">
        <v>1</v>
      </c>
      <c r="AJ110">
        <v>0</v>
      </c>
      <c r="AK110">
        <v>0</v>
      </c>
      <c r="AL110">
        <v>0</v>
      </c>
      <c r="AM110">
        <v>0</v>
      </c>
      <c r="AN110" s="1">
        <v>1</v>
      </c>
    </row>
    <row r="111" spans="1:40" x14ac:dyDescent="0.3">
      <c r="A111" t="s">
        <v>40</v>
      </c>
      <c r="B111" t="s">
        <v>77</v>
      </c>
      <c r="C111" s="3" t="s">
        <v>39</v>
      </c>
      <c r="D111">
        <v>147</v>
      </c>
      <c r="E111">
        <v>1</v>
      </c>
      <c r="F111">
        <v>6</v>
      </c>
      <c r="G111">
        <v>0</v>
      </c>
      <c r="H111">
        <v>2</v>
      </c>
      <c r="I111">
        <v>0</v>
      </c>
      <c r="J111">
        <v>121</v>
      </c>
      <c r="K111">
        <v>0</v>
      </c>
      <c r="L111">
        <v>0</v>
      </c>
      <c r="M111">
        <v>0</v>
      </c>
      <c r="N111">
        <v>0</v>
      </c>
      <c r="O111">
        <v>4</v>
      </c>
      <c r="P111" s="1">
        <v>0</v>
      </c>
      <c r="Q111">
        <v>0</v>
      </c>
      <c r="R111">
        <v>0</v>
      </c>
      <c r="S111">
        <v>0</v>
      </c>
      <c r="T111" s="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1</v>
      </c>
      <c r="AJ111">
        <v>0</v>
      </c>
      <c r="AK111">
        <v>0</v>
      </c>
      <c r="AL111">
        <v>0</v>
      </c>
      <c r="AM111">
        <v>0</v>
      </c>
      <c r="AN111" s="1">
        <v>12</v>
      </c>
    </row>
    <row r="112" spans="1:40" x14ac:dyDescent="0.3">
      <c r="A112" t="s">
        <v>40</v>
      </c>
      <c r="B112" t="s">
        <v>77</v>
      </c>
      <c r="C112" s="3" t="s">
        <v>42</v>
      </c>
      <c r="D112">
        <v>128</v>
      </c>
      <c r="E112">
        <v>1</v>
      </c>
      <c r="F112">
        <v>5</v>
      </c>
      <c r="G112">
        <v>0</v>
      </c>
      <c r="H112">
        <v>2</v>
      </c>
      <c r="I112">
        <v>0</v>
      </c>
      <c r="J112">
        <v>110</v>
      </c>
      <c r="K112">
        <v>0</v>
      </c>
      <c r="L112" s="1">
        <v>0</v>
      </c>
      <c r="M112">
        <v>0</v>
      </c>
      <c r="N112">
        <v>0</v>
      </c>
      <c r="O112">
        <v>4</v>
      </c>
      <c r="P112" s="1">
        <v>0</v>
      </c>
      <c r="Q112">
        <v>0</v>
      </c>
      <c r="R112">
        <v>0</v>
      </c>
      <c r="S112">
        <v>0</v>
      </c>
      <c r="T112" s="1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1</v>
      </c>
      <c r="AJ112">
        <v>0</v>
      </c>
      <c r="AK112">
        <v>0</v>
      </c>
      <c r="AL112">
        <v>0</v>
      </c>
      <c r="AM112">
        <v>0</v>
      </c>
      <c r="AN112" s="1">
        <v>5</v>
      </c>
    </row>
    <row r="113" spans="1:40" x14ac:dyDescent="0.3">
      <c r="A113" t="s">
        <v>40</v>
      </c>
      <c r="B113" t="s">
        <v>77</v>
      </c>
      <c r="C113" s="3" t="s">
        <v>43</v>
      </c>
      <c r="D113">
        <v>19</v>
      </c>
      <c r="E113">
        <v>0</v>
      </c>
      <c r="F113">
        <v>1</v>
      </c>
      <c r="G113">
        <v>0</v>
      </c>
      <c r="H113">
        <v>0</v>
      </c>
      <c r="I113">
        <v>0</v>
      </c>
      <c r="J113">
        <v>11</v>
      </c>
      <c r="K113">
        <v>0</v>
      </c>
      <c r="L113">
        <v>0</v>
      </c>
      <c r="M113">
        <v>0</v>
      </c>
      <c r="N113">
        <v>0</v>
      </c>
      <c r="O113">
        <v>0</v>
      </c>
      <c r="P113" s="1">
        <v>0</v>
      </c>
      <c r="Q113">
        <v>0</v>
      </c>
      <c r="R113">
        <v>0</v>
      </c>
      <c r="S113">
        <v>0</v>
      </c>
      <c r="T113" s="1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 s="1">
        <v>7</v>
      </c>
    </row>
    <row r="114" spans="1:40" x14ac:dyDescent="0.3">
      <c r="A114" t="s">
        <v>40</v>
      </c>
      <c r="B114" t="s">
        <v>78</v>
      </c>
      <c r="C114" s="3" t="s">
        <v>39</v>
      </c>
      <c r="D114">
        <v>124</v>
      </c>
      <c r="E114">
        <v>2</v>
      </c>
      <c r="F114">
        <v>0</v>
      </c>
      <c r="G114">
        <v>0</v>
      </c>
      <c r="H114">
        <v>120</v>
      </c>
      <c r="I114">
        <v>0</v>
      </c>
      <c r="J114">
        <v>1</v>
      </c>
      <c r="K114">
        <v>0</v>
      </c>
      <c r="L114" s="1">
        <v>0</v>
      </c>
      <c r="M114">
        <v>1</v>
      </c>
      <c r="N114">
        <v>0</v>
      </c>
      <c r="O114">
        <v>0</v>
      </c>
      <c r="P114" s="1">
        <v>0</v>
      </c>
      <c r="Q114">
        <v>0</v>
      </c>
      <c r="R114">
        <v>0</v>
      </c>
      <c r="S114">
        <v>0</v>
      </c>
      <c r="T114" s="1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 s="1">
        <v>0</v>
      </c>
    </row>
    <row r="115" spans="1:40" x14ac:dyDescent="0.3">
      <c r="A115" t="s">
        <v>40</v>
      </c>
      <c r="B115" t="s">
        <v>78</v>
      </c>
      <c r="C115" s="3" t="s">
        <v>42</v>
      </c>
      <c r="D115">
        <v>65</v>
      </c>
      <c r="E115">
        <v>1</v>
      </c>
      <c r="F115">
        <v>0</v>
      </c>
      <c r="G115">
        <v>0</v>
      </c>
      <c r="H115">
        <v>63</v>
      </c>
      <c r="I115">
        <v>0</v>
      </c>
      <c r="J115">
        <v>0</v>
      </c>
      <c r="K115">
        <v>0</v>
      </c>
      <c r="L115">
        <v>0</v>
      </c>
      <c r="M115">
        <v>1</v>
      </c>
      <c r="N115">
        <v>0</v>
      </c>
      <c r="O115">
        <v>0</v>
      </c>
      <c r="P115" s="1">
        <v>0</v>
      </c>
      <c r="Q115">
        <v>0</v>
      </c>
      <c r="R115">
        <v>0</v>
      </c>
      <c r="S115">
        <v>0</v>
      </c>
      <c r="T115" s="1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 s="1">
        <v>0</v>
      </c>
    </row>
    <row r="116" spans="1:40" x14ac:dyDescent="0.3">
      <c r="A116" t="s">
        <v>40</v>
      </c>
      <c r="B116" t="s">
        <v>78</v>
      </c>
      <c r="C116" s="3" t="s">
        <v>43</v>
      </c>
      <c r="D116">
        <v>59</v>
      </c>
      <c r="E116">
        <v>1</v>
      </c>
      <c r="F116">
        <v>0</v>
      </c>
      <c r="G116">
        <v>0</v>
      </c>
      <c r="H116">
        <v>57</v>
      </c>
      <c r="I116">
        <v>0</v>
      </c>
      <c r="J116">
        <v>1</v>
      </c>
      <c r="K116">
        <v>0</v>
      </c>
      <c r="L116" s="1">
        <v>0</v>
      </c>
      <c r="M116">
        <v>0</v>
      </c>
      <c r="N116">
        <v>0</v>
      </c>
      <c r="O116">
        <v>0</v>
      </c>
      <c r="P116" s="1">
        <v>0</v>
      </c>
      <c r="Q116">
        <v>0</v>
      </c>
      <c r="R116">
        <v>0</v>
      </c>
      <c r="S116">
        <v>0</v>
      </c>
      <c r="T116" s="1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 s="1">
        <v>0</v>
      </c>
    </row>
    <row r="117" spans="1:40" x14ac:dyDescent="0.3">
      <c r="A117" t="s">
        <v>40</v>
      </c>
      <c r="B117" t="s">
        <v>79</v>
      </c>
      <c r="C117" s="3" t="s">
        <v>39</v>
      </c>
      <c r="D117">
        <v>88</v>
      </c>
      <c r="E117">
        <v>2</v>
      </c>
      <c r="F117">
        <v>0</v>
      </c>
      <c r="G117">
        <v>83</v>
      </c>
      <c r="H117">
        <v>3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 s="1">
        <v>0</v>
      </c>
      <c r="Q117">
        <v>0</v>
      </c>
      <c r="R117">
        <v>0</v>
      </c>
      <c r="S117">
        <v>0</v>
      </c>
      <c r="T117" s="1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 s="1">
        <v>0</v>
      </c>
    </row>
    <row r="118" spans="1:40" x14ac:dyDescent="0.3">
      <c r="A118" t="s">
        <v>40</v>
      </c>
      <c r="B118" t="s">
        <v>79</v>
      </c>
      <c r="C118" s="3" t="s">
        <v>42</v>
      </c>
      <c r="D118">
        <v>43</v>
      </c>
      <c r="E118">
        <v>1</v>
      </c>
      <c r="F118">
        <v>0</v>
      </c>
      <c r="G118">
        <v>40</v>
      </c>
      <c r="H118">
        <v>2</v>
      </c>
      <c r="I118">
        <v>0</v>
      </c>
      <c r="J118">
        <v>0</v>
      </c>
      <c r="K118">
        <v>0</v>
      </c>
      <c r="L118" s="1">
        <v>0</v>
      </c>
      <c r="M118">
        <v>0</v>
      </c>
      <c r="N118">
        <v>0</v>
      </c>
      <c r="O118">
        <v>0</v>
      </c>
      <c r="P118" s="1">
        <v>0</v>
      </c>
      <c r="Q118">
        <v>0</v>
      </c>
      <c r="R118">
        <v>0</v>
      </c>
      <c r="S118">
        <v>0</v>
      </c>
      <c r="T118" s="1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 s="1">
        <v>0</v>
      </c>
    </row>
    <row r="119" spans="1:40" x14ac:dyDescent="0.3">
      <c r="A119" t="s">
        <v>40</v>
      </c>
      <c r="B119" t="s">
        <v>79</v>
      </c>
      <c r="C119" s="3" t="s">
        <v>43</v>
      </c>
      <c r="D119">
        <v>45</v>
      </c>
      <c r="E119">
        <v>1</v>
      </c>
      <c r="F119">
        <v>0</v>
      </c>
      <c r="G119">
        <v>43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 s="1">
        <v>0</v>
      </c>
      <c r="Q119">
        <v>0</v>
      </c>
      <c r="R119">
        <v>0</v>
      </c>
      <c r="S119">
        <v>0</v>
      </c>
      <c r="T119" s="1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 s="1">
        <v>0</v>
      </c>
    </row>
    <row r="120" spans="1:40" x14ac:dyDescent="0.3">
      <c r="A120" t="s">
        <v>40</v>
      </c>
      <c r="B120" t="s">
        <v>80</v>
      </c>
      <c r="C120" s="3" t="s">
        <v>39</v>
      </c>
      <c r="D120">
        <v>77</v>
      </c>
      <c r="E120">
        <v>0</v>
      </c>
      <c r="F120">
        <v>0</v>
      </c>
      <c r="G120">
        <v>0</v>
      </c>
      <c r="H120">
        <v>27</v>
      </c>
      <c r="I120">
        <v>0</v>
      </c>
      <c r="J120">
        <v>38</v>
      </c>
      <c r="K120">
        <v>0</v>
      </c>
      <c r="L120" s="1">
        <v>0</v>
      </c>
      <c r="M120">
        <v>0</v>
      </c>
      <c r="N120">
        <v>0</v>
      </c>
      <c r="O120">
        <v>1</v>
      </c>
      <c r="P120" s="1">
        <v>0</v>
      </c>
      <c r="Q120">
        <v>0</v>
      </c>
      <c r="R120">
        <v>0</v>
      </c>
      <c r="S120">
        <v>0</v>
      </c>
      <c r="T120" s="1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2</v>
      </c>
      <c r="AG120">
        <v>0</v>
      </c>
      <c r="AH120">
        <v>0</v>
      </c>
      <c r="AI120">
        <v>0</v>
      </c>
      <c r="AJ120">
        <v>3</v>
      </c>
      <c r="AK120">
        <v>0</v>
      </c>
      <c r="AL120">
        <v>0</v>
      </c>
      <c r="AM120">
        <v>0</v>
      </c>
      <c r="AN120" s="1">
        <v>6</v>
      </c>
    </row>
    <row r="121" spans="1:40" x14ac:dyDescent="0.3">
      <c r="A121" t="s">
        <v>40</v>
      </c>
      <c r="B121" t="s">
        <v>80</v>
      </c>
      <c r="C121" s="3" t="s">
        <v>42</v>
      </c>
      <c r="D121">
        <v>70</v>
      </c>
      <c r="E121">
        <v>0</v>
      </c>
      <c r="F121">
        <v>0</v>
      </c>
      <c r="G121">
        <v>0</v>
      </c>
      <c r="H121">
        <v>27</v>
      </c>
      <c r="I121">
        <v>0</v>
      </c>
      <c r="J121">
        <v>35</v>
      </c>
      <c r="K121">
        <v>0</v>
      </c>
      <c r="L121">
        <v>0</v>
      </c>
      <c r="M121">
        <v>0</v>
      </c>
      <c r="N121">
        <v>0</v>
      </c>
      <c r="O121">
        <v>0</v>
      </c>
      <c r="P121" s="1">
        <v>0</v>
      </c>
      <c r="Q121">
        <v>0</v>
      </c>
      <c r="R121">
        <v>0</v>
      </c>
      <c r="S121">
        <v>0</v>
      </c>
      <c r="T121" s="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2</v>
      </c>
      <c r="AG121">
        <v>0</v>
      </c>
      <c r="AH121">
        <v>0</v>
      </c>
      <c r="AI121">
        <v>0</v>
      </c>
      <c r="AJ121">
        <v>2</v>
      </c>
      <c r="AK121">
        <v>0</v>
      </c>
      <c r="AL121">
        <v>0</v>
      </c>
      <c r="AM121">
        <v>0</v>
      </c>
      <c r="AN121" s="1">
        <v>4</v>
      </c>
    </row>
    <row r="122" spans="1:40" x14ac:dyDescent="0.3">
      <c r="A122" t="s">
        <v>40</v>
      </c>
      <c r="B122" t="s">
        <v>80</v>
      </c>
      <c r="C122" s="3" t="s">
        <v>43</v>
      </c>
      <c r="D122">
        <v>7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3</v>
      </c>
      <c r="K122">
        <v>0</v>
      </c>
      <c r="L122" s="1">
        <v>0</v>
      </c>
      <c r="M122">
        <v>0</v>
      </c>
      <c r="N122">
        <v>0</v>
      </c>
      <c r="O122">
        <v>1</v>
      </c>
      <c r="P122" s="1">
        <v>0</v>
      </c>
      <c r="Q122">
        <v>0</v>
      </c>
      <c r="R122">
        <v>0</v>
      </c>
      <c r="S122">
        <v>0</v>
      </c>
      <c r="T122" s="1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1</v>
      </c>
      <c r="AK122">
        <v>0</v>
      </c>
      <c r="AL122">
        <v>0</v>
      </c>
      <c r="AM122">
        <v>0</v>
      </c>
      <c r="AN122" s="1">
        <v>2</v>
      </c>
    </row>
    <row r="123" spans="1:40" x14ac:dyDescent="0.3">
      <c r="A123" t="s">
        <v>40</v>
      </c>
      <c r="B123" t="s">
        <v>81</v>
      </c>
      <c r="C123" s="3" t="s">
        <v>39</v>
      </c>
      <c r="D123">
        <v>54</v>
      </c>
      <c r="E123">
        <v>0</v>
      </c>
      <c r="F123">
        <v>0</v>
      </c>
      <c r="G123">
        <v>0</v>
      </c>
      <c r="H123">
        <v>8</v>
      </c>
      <c r="I123">
        <v>0</v>
      </c>
      <c r="J123">
        <v>43</v>
      </c>
      <c r="K123">
        <v>0</v>
      </c>
      <c r="L123">
        <v>0</v>
      </c>
      <c r="M123">
        <v>0</v>
      </c>
      <c r="N123">
        <v>0</v>
      </c>
      <c r="O123">
        <v>0</v>
      </c>
      <c r="P123" s="1">
        <v>0</v>
      </c>
      <c r="Q123">
        <v>0</v>
      </c>
      <c r="R123">
        <v>0</v>
      </c>
      <c r="S123">
        <v>0</v>
      </c>
      <c r="T123" s="1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 s="1">
        <v>2</v>
      </c>
    </row>
    <row r="124" spans="1:40" x14ac:dyDescent="0.3">
      <c r="A124" t="s">
        <v>40</v>
      </c>
      <c r="B124" t="s">
        <v>81</v>
      </c>
      <c r="C124" s="3" t="s">
        <v>42</v>
      </c>
      <c r="D124">
        <v>48</v>
      </c>
      <c r="E124">
        <v>0</v>
      </c>
      <c r="F124">
        <v>0</v>
      </c>
      <c r="G124">
        <v>0</v>
      </c>
      <c r="H124">
        <v>7</v>
      </c>
      <c r="I124">
        <v>0</v>
      </c>
      <c r="J124">
        <v>39</v>
      </c>
      <c r="K124">
        <v>0</v>
      </c>
      <c r="L124" s="1">
        <v>0</v>
      </c>
      <c r="M124">
        <v>0</v>
      </c>
      <c r="N124">
        <v>0</v>
      </c>
      <c r="O124">
        <v>0</v>
      </c>
      <c r="P124" s="1">
        <v>0</v>
      </c>
      <c r="Q124">
        <v>0</v>
      </c>
      <c r="R124">
        <v>0</v>
      </c>
      <c r="S124">
        <v>0</v>
      </c>
      <c r="T124" s="1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 s="1">
        <v>2</v>
      </c>
    </row>
    <row r="125" spans="1:40" x14ac:dyDescent="0.3">
      <c r="A125" t="s">
        <v>40</v>
      </c>
      <c r="B125" t="s">
        <v>81</v>
      </c>
      <c r="C125" s="3" t="s">
        <v>43</v>
      </c>
      <c r="D125">
        <v>6</v>
      </c>
      <c r="E125">
        <v>0</v>
      </c>
      <c r="F125">
        <v>0</v>
      </c>
      <c r="G125">
        <v>0</v>
      </c>
      <c r="H125">
        <v>1</v>
      </c>
      <c r="I125">
        <v>0</v>
      </c>
      <c r="J125">
        <v>4</v>
      </c>
      <c r="K125">
        <v>0</v>
      </c>
      <c r="L125">
        <v>0</v>
      </c>
      <c r="M125">
        <v>0</v>
      </c>
      <c r="N125">
        <v>0</v>
      </c>
      <c r="O125">
        <v>0</v>
      </c>
      <c r="P125" s="1">
        <v>0</v>
      </c>
      <c r="Q125">
        <v>0</v>
      </c>
      <c r="R125">
        <v>0</v>
      </c>
      <c r="S125">
        <v>0</v>
      </c>
      <c r="T125" s="1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 s="1">
        <v>0</v>
      </c>
    </row>
    <row r="126" spans="1:40" x14ac:dyDescent="0.3">
      <c r="A126" t="s">
        <v>40</v>
      </c>
      <c r="B126" t="s">
        <v>82</v>
      </c>
      <c r="C126" s="3" t="s">
        <v>39</v>
      </c>
      <c r="D126">
        <v>35</v>
      </c>
      <c r="E126">
        <v>0</v>
      </c>
      <c r="F126">
        <v>1</v>
      </c>
      <c r="G126">
        <v>0</v>
      </c>
      <c r="H126">
        <v>31</v>
      </c>
      <c r="I126">
        <v>0</v>
      </c>
      <c r="J126">
        <v>3</v>
      </c>
      <c r="K126">
        <v>0</v>
      </c>
      <c r="L126" s="1">
        <v>0</v>
      </c>
      <c r="M126">
        <v>0</v>
      </c>
      <c r="N126">
        <v>0</v>
      </c>
      <c r="O126">
        <v>0</v>
      </c>
      <c r="P126" s="1">
        <v>0</v>
      </c>
      <c r="Q126">
        <v>0</v>
      </c>
      <c r="R126">
        <v>0</v>
      </c>
      <c r="S126">
        <v>0</v>
      </c>
      <c r="T126" s="1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 s="1">
        <v>0</v>
      </c>
    </row>
    <row r="127" spans="1:40" x14ac:dyDescent="0.3">
      <c r="A127" t="s">
        <v>40</v>
      </c>
      <c r="B127" t="s">
        <v>82</v>
      </c>
      <c r="C127" s="3" t="s">
        <v>42</v>
      </c>
      <c r="D127">
        <v>19</v>
      </c>
      <c r="E127">
        <v>0</v>
      </c>
      <c r="F127">
        <v>1</v>
      </c>
      <c r="G127">
        <v>0</v>
      </c>
      <c r="H127">
        <v>17</v>
      </c>
      <c r="I127">
        <v>0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0</v>
      </c>
      <c r="P127" s="1">
        <v>0</v>
      </c>
      <c r="Q127">
        <v>0</v>
      </c>
      <c r="R127">
        <v>0</v>
      </c>
      <c r="S127">
        <v>0</v>
      </c>
      <c r="T127" s="1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 s="1">
        <v>0</v>
      </c>
    </row>
    <row r="128" spans="1:40" x14ac:dyDescent="0.3">
      <c r="A128" t="s">
        <v>40</v>
      </c>
      <c r="B128" t="s">
        <v>82</v>
      </c>
      <c r="C128" s="3" t="s">
        <v>43</v>
      </c>
      <c r="D128">
        <v>16</v>
      </c>
      <c r="E128">
        <v>0</v>
      </c>
      <c r="F128">
        <v>0</v>
      </c>
      <c r="G128">
        <v>0</v>
      </c>
      <c r="H128">
        <v>14</v>
      </c>
      <c r="I128">
        <v>0</v>
      </c>
      <c r="J128">
        <v>2</v>
      </c>
      <c r="K128">
        <v>0</v>
      </c>
      <c r="L128" s="1">
        <v>0</v>
      </c>
      <c r="M128">
        <v>0</v>
      </c>
      <c r="N128">
        <v>0</v>
      </c>
      <c r="O128">
        <v>0</v>
      </c>
      <c r="P128" s="1">
        <v>0</v>
      </c>
      <c r="Q128">
        <v>0</v>
      </c>
      <c r="R128">
        <v>0</v>
      </c>
      <c r="S128">
        <v>0</v>
      </c>
      <c r="T128" s="1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 s="1">
        <v>0</v>
      </c>
    </row>
    <row r="129" spans="1:40" x14ac:dyDescent="0.3">
      <c r="A129" t="s">
        <v>40</v>
      </c>
      <c r="B129" t="s">
        <v>83</v>
      </c>
      <c r="C129" s="3" t="s">
        <v>39</v>
      </c>
      <c r="D129">
        <v>34</v>
      </c>
      <c r="E129">
        <v>4</v>
      </c>
      <c r="F129">
        <v>1</v>
      </c>
      <c r="G129">
        <v>0</v>
      </c>
      <c r="H129">
        <v>7</v>
      </c>
      <c r="I129">
        <v>0</v>
      </c>
      <c r="J129">
        <v>14</v>
      </c>
      <c r="K129">
        <v>0</v>
      </c>
      <c r="L129">
        <v>0</v>
      </c>
      <c r="M129">
        <v>0</v>
      </c>
      <c r="N129">
        <v>0</v>
      </c>
      <c r="O129">
        <v>0</v>
      </c>
      <c r="P129" s="1">
        <v>0</v>
      </c>
      <c r="Q129">
        <v>0</v>
      </c>
      <c r="R129">
        <v>0</v>
      </c>
      <c r="S129">
        <v>0</v>
      </c>
      <c r="T129">
        <v>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2</v>
      </c>
      <c r="AG129">
        <v>0</v>
      </c>
      <c r="AH129">
        <v>0</v>
      </c>
      <c r="AI129">
        <v>0</v>
      </c>
      <c r="AJ129">
        <v>2</v>
      </c>
      <c r="AK129">
        <v>0</v>
      </c>
      <c r="AL129">
        <v>0</v>
      </c>
      <c r="AM129">
        <v>0</v>
      </c>
      <c r="AN129" s="1">
        <v>3</v>
      </c>
    </row>
    <row r="130" spans="1:40" x14ac:dyDescent="0.3">
      <c r="A130" t="s">
        <v>40</v>
      </c>
      <c r="B130" t="s">
        <v>83</v>
      </c>
      <c r="C130" s="3" t="s">
        <v>42</v>
      </c>
      <c r="D130">
        <v>26</v>
      </c>
      <c r="E130">
        <v>3</v>
      </c>
      <c r="F130">
        <v>1</v>
      </c>
      <c r="G130">
        <v>0</v>
      </c>
      <c r="H130">
        <v>6</v>
      </c>
      <c r="I130">
        <v>0</v>
      </c>
      <c r="J130">
        <v>11</v>
      </c>
      <c r="K130">
        <v>0</v>
      </c>
      <c r="L130" s="1">
        <v>0</v>
      </c>
      <c r="M130">
        <v>0</v>
      </c>
      <c r="N130">
        <v>0</v>
      </c>
      <c r="O130">
        <v>0</v>
      </c>
      <c r="P130" s="1">
        <v>0</v>
      </c>
      <c r="Q130">
        <v>0</v>
      </c>
      <c r="R130">
        <v>0</v>
      </c>
      <c r="S130">
        <v>0</v>
      </c>
      <c r="T130">
        <v>1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1</v>
      </c>
      <c r="AG130">
        <v>0</v>
      </c>
      <c r="AH130">
        <v>0</v>
      </c>
      <c r="AI130">
        <v>0</v>
      </c>
      <c r="AJ130">
        <v>1</v>
      </c>
      <c r="AK130">
        <v>0</v>
      </c>
      <c r="AL130">
        <v>0</v>
      </c>
      <c r="AM130">
        <v>0</v>
      </c>
      <c r="AN130" s="1">
        <v>2</v>
      </c>
    </row>
    <row r="131" spans="1:40" x14ac:dyDescent="0.3">
      <c r="A131" t="s">
        <v>40</v>
      </c>
      <c r="B131" t="s">
        <v>83</v>
      </c>
      <c r="C131" s="3" t="s">
        <v>43</v>
      </c>
      <c r="D131">
        <v>8</v>
      </c>
      <c r="E131">
        <v>1</v>
      </c>
      <c r="F131">
        <v>0</v>
      </c>
      <c r="G131">
        <v>0</v>
      </c>
      <c r="H131">
        <v>1</v>
      </c>
      <c r="I131">
        <v>0</v>
      </c>
      <c r="J131">
        <v>3</v>
      </c>
      <c r="K131">
        <v>0</v>
      </c>
      <c r="L131">
        <v>0</v>
      </c>
      <c r="M131">
        <v>0</v>
      </c>
      <c r="N131">
        <v>0</v>
      </c>
      <c r="O131">
        <v>0</v>
      </c>
      <c r="P131" s="1">
        <v>0</v>
      </c>
      <c r="Q131">
        <v>0</v>
      </c>
      <c r="R131">
        <v>0</v>
      </c>
      <c r="S131">
        <v>0</v>
      </c>
      <c r="T131" s="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1</v>
      </c>
      <c r="AG131">
        <v>0</v>
      </c>
      <c r="AH131">
        <v>0</v>
      </c>
      <c r="AI131">
        <v>0</v>
      </c>
      <c r="AJ131">
        <v>1</v>
      </c>
      <c r="AK131">
        <v>0</v>
      </c>
      <c r="AL131">
        <v>0</v>
      </c>
      <c r="AM131">
        <v>0</v>
      </c>
      <c r="AN131" s="1">
        <v>1</v>
      </c>
    </row>
    <row r="132" spans="1:40" x14ac:dyDescent="0.3">
      <c r="A132" t="s">
        <v>40</v>
      </c>
      <c r="B132" t="s">
        <v>84</v>
      </c>
      <c r="C132" s="3" t="s">
        <v>39</v>
      </c>
      <c r="D132">
        <v>26</v>
      </c>
      <c r="E132">
        <v>0</v>
      </c>
      <c r="F132">
        <v>0</v>
      </c>
      <c r="G132">
        <v>0</v>
      </c>
      <c r="H132">
        <v>26</v>
      </c>
      <c r="I132">
        <v>0</v>
      </c>
      <c r="J132">
        <v>0</v>
      </c>
      <c r="K132">
        <v>0</v>
      </c>
      <c r="L132" s="1">
        <v>0</v>
      </c>
      <c r="M132">
        <v>0</v>
      </c>
      <c r="N132">
        <v>0</v>
      </c>
      <c r="O132">
        <v>0</v>
      </c>
      <c r="P132" s="1">
        <v>0</v>
      </c>
      <c r="Q132">
        <v>0</v>
      </c>
      <c r="R132">
        <v>0</v>
      </c>
      <c r="S132">
        <v>0</v>
      </c>
      <c r="T132" s="1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 s="1">
        <v>0</v>
      </c>
    </row>
    <row r="133" spans="1:40" x14ac:dyDescent="0.3">
      <c r="A133" t="s">
        <v>40</v>
      </c>
      <c r="B133" t="s">
        <v>84</v>
      </c>
      <c r="C133" s="3" t="s">
        <v>42</v>
      </c>
      <c r="D133">
        <v>21</v>
      </c>
      <c r="E133">
        <v>0</v>
      </c>
      <c r="F133">
        <v>0</v>
      </c>
      <c r="G133">
        <v>0</v>
      </c>
      <c r="H133">
        <v>21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 s="1">
        <v>0</v>
      </c>
      <c r="Q133">
        <v>0</v>
      </c>
      <c r="R133">
        <v>0</v>
      </c>
      <c r="S133">
        <v>0</v>
      </c>
      <c r="T133" s="1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 s="1">
        <v>0</v>
      </c>
    </row>
    <row r="134" spans="1:40" x14ac:dyDescent="0.3">
      <c r="A134" t="s">
        <v>40</v>
      </c>
      <c r="B134" t="s">
        <v>84</v>
      </c>
      <c r="C134" s="3" t="s">
        <v>43</v>
      </c>
      <c r="D134">
        <v>5</v>
      </c>
      <c r="E134">
        <v>0</v>
      </c>
      <c r="F134">
        <v>0</v>
      </c>
      <c r="G134">
        <v>0</v>
      </c>
      <c r="H134">
        <v>5</v>
      </c>
      <c r="I134">
        <v>0</v>
      </c>
      <c r="J134">
        <v>0</v>
      </c>
      <c r="K134">
        <v>0</v>
      </c>
      <c r="L134" s="1">
        <v>0</v>
      </c>
      <c r="M134">
        <v>0</v>
      </c>
      <c r="N134">
        <v>0</v>
      </c>
      <c r="O134">
        <v>0</v>
      </c>
      <c r="P134" s="1">
        <v>0</v>
      </c>
      <c r="Q134">
        <v>0</v>
      </c>
      <c r="R134">
        <v>0</v>
      </c>
      <c r="S134">
        <v>0</v>
      </c>
      <c r="T134" s="1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 s="1">
        <v>0</v>
      </c>
    </row>
    <row r="135" spans="1:40" x14ac:dyDescent="0.3">
      <c r="A135" t="s">
        <v>40</v>
      </c>
      <c r="B135" t="s">
        <v>85</v>
      </c>
      <c r="C135" s="3" t="s">
        <v>39</v>
      </c>
      <c r="D135">
        <v>26</v>
      </c>
      <c r="E135">
        <v>0</v>
      </c>
      <c r="F135">
        <v>0</v>
      </c>
      <c r="G135">
        <v>0</v>
      </c>
      <c r="H135">
        <v>24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 s="1">
        <v>0</v>
      </c>
      <c r="Q135">
        <v>0</v>
      </c>
      <c r="R135">
        <v>0</v>
      </c>
      <c r="S135">
        <v>0</v>
      </c>
      <c r="T135" s="1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1</v>
      </c>
      <c r="AN135" s="1">
        <v>0</v>
      </c>
    </row>
    <row r="136" spans="1:40" x14ac:dyDescent="0.3">
      <c r="A136" t="s">
        <v>40</v>
      </c>
      <c r="B136" t="s">
        <v>85</v>
      </c>
      <c r="C136" s="3" t="s">
        <v>42</v>
      </c>
      <c r="D136">
        <v>12</v>
      </c>
      <c r="E136">
        <v>0</v>
      </c>
      <c r="F136">
        <v>0</v>
      </c>
      <c r="G136">
        <v>0</v>
      </c>
      <c r="H136">
        <v>11</v>
      </c>
      <c r="I136">
        <v>0</v>
      </c>
      <c r="J136">
        <v>0</v>
      </c>
      <c r="K136">
        <v>0</v>
      </c>
      <c r="L136" s="1">
        <v>0</v>
      </c>
      <c r="M136">
        <v>0</v>
      </c>
      <c r="N136">
        <v>0</v>
      </c>
      <c r="O136">
        <v>0</v>
      </c>
      <c r="P136" s="1">
        <v>0</v>
      </c>
      <c r="Q136">
        <v>0</v>
      </c>
      <c r="R136">
        <v>0</v>
      </c>
      <c r="S136">
        <v>0</v>
      </c>
      <c r="T136" s="1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1</v>
      </c>
      <c r="AN136" s="1">
        <v>0</v>
      </c>
    </row>
    <row r="137" spans="1:40" x14ac:dyDescent="0.3">
      <c r="A137" t="s">
        <v>40</v>
      </c>
      <c r="B137" t="s">
        <v>85</v>
      </c>
      <c r="C137" s="3" t="s">
        <v>43</v>
      </c>
      <c r="D137">
        <v>14</v>
      </c>
      <c r="E137">
        <v>0</v>
      </c>
      <c r="F137">
        <v>0</v>
      </c>
      <c r="G137">
        <v>0</v>
      </c>
      <c r="H137">
        <v>13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 s="1">
        <v>0</v>
      </c>
      <c r="Q137">
        <v>0</v>
      </c>
      <c r="R137">
        <v>0</v>
      </c>
      <c r="S137">
        <v>0</v>
      </c>
      <c r="T137" s="1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 s="1">
        <v>0</v>
      </c>
    </row>
    <row r="138" spans="1:40" x14ac:dyDescent="0.3">
      <c r="A138" t="s">
        <v>40</v>
      </c>
      <c r="B138" t="s">
        <v>86</v>
      </c>
      <c r="C138" s="3" t="s">
        <v>39</v>
      </c>
      <c r="D138">
        <v>17</v>
      </c>
      <c r="E138">
        <v>3</v>
      </c>
      <c r="F138">
        <v>2</v>
      </c>
      <c r="G138">
        <v>0</v>
      </c>
      <c r="H138">
        <v>0</v>
      </c>
      <c r="I138">
        <v>0</v>
      </c>
      <c r="J138">
        <v>9</v>
      </c>
      <c r="K138">
        <v>0</v>
      </c>
      <c r="L138" s="1">
        <v>0</v>
      </c>
      <c r="M138">
        <v>0</v>
      </c>
      <c r="N138">
        <v>0</v>
      </c>
      <c r="O138">
        <v>0</v>
      </c>
      <c r="P138" s="1">
        <v>0</v>
      </c>
      <c r="Q138">
        <v>0</v>
      </c>
      <c r="R138">
        <v>0</v>
      </c>
      <c r="S138">
        <v>0</v>
      </c>
      <c r="T138">
        <v>1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1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 s="1">
        <v>1</v>
      </c>
    </row>
    <row r="139" spans="1:40" x14ac:dyDescent="0.3">
      <c r="A139" t="s">
        <v>40</v>
      </c>
      <c r="B139" t="s">
        <v>86</v>
      </c>
      <c r="C139" s="3" t="s">
        <v>42</v>
      </c>
      <c r="D139">
        <v>12</v>
      </c>
      <c r="E139">
        <v>1</v>
      </c>
      <c r="F139">
        <v>2</v>
      </c>
      <c r="G139">
        <v>0</v>
      </c>
      <c r="H139">
        <v>0</v>
      </c>
      <c r="I139">
        <v>0</v>
      </c>
      <c r="J139">
        <v>8</v>
      </c>
      <c r="K139">
        <v>0</v>
      </c>
      <c r="L139">
        <v>0</v>
      </c>
      <c r="M139">
        <v>0</v>
      </c>
      <c r="N139">
        <v>0</v>
      </c>
      <c r="O139">
        <v>0</v>
      </c>
      <c r="P139" s="1">
        <v>0</v>
      </c>
      <c r="Q139">
        <v>0</v>
      </c>
      <c r="R139">
        <v>0</v>
      </c>
      <c r="S139">
        <v>0</v>
      </c>
      <c r="T139">
        <v>1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 s="1">
        <v>0</v>
      </c>
    </row>
    <row r="140" spans="1:40" x14ac:dyDescent="0.3">
      <c r="A140" t="s">
        <v>40</v>
      </c>
      <c r="B140" t="s">
        <v>86</v>
      </c>
      <c r="C140" s="3" t="s">
        <v>43</v>
      </c>
      <c r="D140">
        <v>5</v>
      </c>
      <c r="E140">
        <v>2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0</v>
      </c>
      <c r="L140" s="1">
        <v>0</v>
      </c>
      <c r="M140">
        <v>0</v>
      </c>
      <c r="N140">
        <v>0</v>
      </c>
      <c r="O140">
        <v>0</v>
      </c>
      <c r="P140" s="1">
        <v>0</v>
      </c>
      <c r="Q140">
        <v>0</v>
      </c>
      <c r="R140">
        <v>0</v>
      </c>
      <c r="S140">
        <v>0</v>
      </c>
      <c r="T140" s="1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1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 s="1">
        <v>1</v>
      </c>
    </row>
    <row r="141" spans="1:40" x14ac:dyDescent="0.3">
      <c r="A141" t="s">
        <v>40</v>
      </c>
      <c r="B141" t="s">
        <v>87</v>
      </c>
      <c r="C141" s="3" t="s">
        <v>39</v>
      </c>
      <c r="D141">
        <v>15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13</v>
      </c>
      <c r="K141">
        <v>0</v>
      </c>
      <c r="L141">
        <v>0</v>
      </c>
      <c r="M141">
        <v>0</v>
      </c>
      <c r="N141">
        <v>0</v>
      </c>
      <c r="O141">
        <v>0</v>
      </c>
      <c r="P141" s="1">
        <v>0</v>
      </c>
      <c r="Q141">
        <v>0</v>
      </c>
      <c r="R141">
        <v>0</v>
      </c>
      <c r="S141">
        <v>0</v>
      </c>
      <c r="T141" s="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 s="1">
        <v>2</v>
      </c>
    </row>
    <row r="142" spans="1:40" x14ac:dyDescent="0.3">
      <c r="A142" t="s">
        <v>40</v>
      </c>
      <c r="B142" t="s">
        <v>87</v>
      </c>
      <c r="C142" s="3" t="s">
        <v>42</v>
      </c>
      <c r="D142">
        <v>8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7</v>
      </c>
      <c r="K142">
        <v>0</v>
      </c>
      <c r="L142" s="1">
        <v>0</v>
      </c>
      <c r="M142">
        <v>0</v>
      </c>
      <c r="N142">
        <v>0</v>
      </c>
      <c r="O142">
        <v>0</v>
      </c>
      <c r="P142" s="1">
        <v>0</v>
      </c>
      <c r="Q142">
        <v>0</v>
      </c>
      <c r="R142">
        <v>0</v>
      </c>
      <c r="S142">
        <v>0</v>
      </c>
      <c r="T142" s="1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 s="1">
        <v>1</v>
      </c>
    </row>
    <row r="143" spans="1:40" x14ac:dyDescent="0.3">
      <c r="A143" t="s">
        <v>40</v>
      </c>
      <c r="B143" t="s">
        <v>87</v>
      </c>
      <c r="C143" s="3" t="s">
        <v>43</v>
      </c>
      <c r="D143">
        <v>7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6</v>
      </c>
      <c r="K143">
        <v>0</v>
      </c>
      <c r="L143">
        <v>0</v>
      </c>
      <c r="M143">
        <v>0</v>
      </c>
      <c r="N143">
        <v>0</v>
      </c>
      <c r="O143">
        <v>0</v>
      </c>
      <c r="P143" s="1">
        <v>0</v>
      </c>
      <c r="Q143">
        <v>0</v>
      </c>
      <c r="R143">
        <v>0</v>
      </c>
      <c r="S143">
        <v>0</v>
      </c>
      <c r="T143" s="1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 s="1">
        <v>1</v>
      </c>
    </row>
    <row r="144" spans="1:40" x14ac:dyDescent="0.3">
      <c r="A144" t="s">
        <v>40</v>
      </c>
      <c r="B144" t="s">
        <v>88</v>
      </c>
      <c r="C144" s="3" t="s">
        <v>39</v>
      </c>
      <c r="D144">
        <v>13</v>
      </c>
      <c r="E144">
        <v>0</v>
      </c>
      <c r="F144">
        <v>0</v>
      </c>
      <c r="G144">
        <v>0</v>
      </c>
      <c r="H144">
        <v>10</v>
      </c>
      <c r="I144">
        <v>0</v>
      </c>
      <c r="J144">
        <v>3</v>
      </c>
      <c r="K144">
        <v>0</v>
      </c>
      <c r="L144" s="1">
        <v>0</v>
      </c>
      <c r="M144">
        <v>0</v>
      </c>
      <c r="N144">
        <v>0</v>
      </c>
      <c r="O144">
        <v>0</v>
      </c>
      <c r="P144" s="1">
        <v>0</v>
      </c>
      <c r="Q144">
        <v>0</v>
      </c>
      <c r="R144">
        <v>0</v>
      </c>
      <c r="S144">
        <v>0</v>
      </c>
      <c r="T144" s="1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 s="1">
        <v>0</v>
      </c>
    </row>
    <row r="145" spans="1:40" x14ac:dyDescent="0.3">
      <c r="A145" t="s">
        <v>40</v>
      </c>
      <c r="B145" t="s">
        <v>88</v>
      </c>
      <c r="C145" s="3" t="s">
        <v>42</v>
      </c>
      <c r="D145">
        <v>7</v>
      </c>
      <c r="E145">
        <v>0</v>
      </c>
      <c r="F145">
        <v>0</v>
      </c>
      <c r="G145">
        <v>0</v>
      </c>
      <c r="H145">
        <v>5</v>
      </c>
      <c r="I145">
        <v>0</v>
      </c>
      <c r="J145">
        <v>2</v>
      </c>
      <c r="K145">
        <v>0</v>
      </c>
      <c r="L145">
        <v>0</v>
      </c>
      <c r="M145">
        <v>0</v>
      </c>
      <c r="N145">
        <v>0</v>
      </c>
      <c r="O145">
        <v>0</v>
      </c>
      <c r="P145" s="1">
        <v>0</v>
      </c>
      <c r="Q145">
        <v>0</v>
      </c>
      <c r="R145">
        <v>0</v>
      </c>
      <c r="S145">
        <v>0</v>
      </c>
      <c r="T145" s="1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 s="1">
        <v>0</v>
      </c>
    </row>
    <row r="146" spans="1:40" x14ac:dyDescent="0.3">
      <c r="A146" t="s">
        <v>40</v>
      </c>
      <c r="B146" t="s">
        <v>88</v>
      </c>
      <c r="C146" s="3" t="s">
        <v>43</v>
      </c>
      <c r="D146">
        <v>6</v>
      </c>
      <c r="E146">
        <v>0</v>
      </c>
      <c r="F146">
        <v>0</v>
      </c>
      <c r="G146">
        <v>0</v>
      </c>
      <c r="H146">
        <v>5</v>
      </c>
      <c r="I146">
        <v>0</v>
      </c>
      <c r="J146">
        <v>1</v>
      </c>
      <c r="K146">
        <v>0</v>
      </c>
      <c r="L146" s="1">
        <v>0</v>
      </c>
      <c r="M146">
        <v>0</v>
      </c>
      <c r="N146">
        <v>0</v>
      </c>
      <c r="O146">
        <v>0</v>
      </c>
      <c r="P146" s="1">
        <v>0</v>
      </c>
      <c r="Q146">
        <v>0</v>
      </c>
      <c r="R146">
        <v>0</v>
      </c>
      <c r="S146">
        <v>0</v>
      </c>
      <c r="T146" s="1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 s="1">
        <v>0</v>
      </c>
    </row>
    <row r="147" spans="1:40" x14ac:dyDescent="0.3">
      <c r="A147" t="s">
        <v>40</v>
      </c>
      <c r="B147" t="s">
        <v>89</v>
      </c>
      <c r="C147" s="3" t="s">
        <v>39</v>
      </c>
      <c r="D147">
        <v>6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6</v>
      </c>
      <c r="K147">
        <v>0</v>
      </c>
      <c r="L147">
        <v>0</v>
      </c>
      <c r="M147">
        <v>0</v>
      </c>
      <c r="N147">
        <v>0</v>
      </c>
      <c r="O147">
        <v>0</v>
      </c>
      <c r="P147" s="1">
        <v>0</v>
      </c>
      <c r="Q147">
        <v>0</v>
      </c>
      <c r="R147">
        <v>0</v>
      </c>
      <c r="S147">
        <v>0</v>
      </c>
      <c r="T147" s="1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 s="1">
        <v>0</v>
      </c>
    </row>
    <row r="148" spans="1:40" x14ac:dyDescent="0.3">
      <c r="A148" t="s">
        <v>40</v>
      </c>
      <c r="B148" t="s">
        <v>89</v>
      </c>
      <c r="C148" s="3" t="s">
        <v>42</v>
      </c>
      <c r="D148">
        <v>2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2</v>
      </c>
      <c r="K148">
        <v>0</v>
      </c>
      <c r="L148" s="1">
        <v>0</v>
      </c>
      <c r="M148">
        <v>0</v>
      </c>
      <c r="N148">
        <v>0</v>
      </c>
      <c r="O148">
        <v>0</v>
      </c>
      <c r="P148" s="1">
        <v>0</v>
      </c>
      <c r="Q148">
        <v>0</v>
      </c>
      <c r="R148">
        <v>0</v>
      </c>
      <c r="S148">
        <v>0</v>
      </c>
      <c r="T148" s="1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 s="1">
        <v>0</v>
      </c>
    </row>
    <row r="149" spans="1:40" x14ac:dyDescent="0.3">
      <c r="A149" t="s">
        <v>40</v>
      </c>
      <c r="B149" t="s">
        <v>89</v>
      </c>
      <c r="C149" s="3" t="s">
        <v>43</v>
      </c>
      <c r="D149">
        <v>4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4</v>
      </c>
      <c r="K149">
        <v>0</v>
      </c>
      <c r="L149">
        <v>0</v>
      </c>
      <c r="M149">
        <v>0</v>
      </c>
      <c r="N149">
        <v>0</v>
      </c>
      <c r="O149">
        <v>0</v>
      </c>
      <c r="P149" s="1">
        <v>0</v>
      </c>
      <c r="Q149">
        <v>0</v>
      </c>
      <c r="R149">
        <v>0</v>
      </c>
      <c r="S149">
        <v>0</v>
      </c>
      <c r="T149" s="1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 s="1">
        <v>0</v>
      </c>
    </row>
    <row r="150" spans="1:40" x14ac:dyDescent="0.3">
      <c r="A150" t="s">
        <v>90</v>
      </c>
      <c r="B150" t="s">
        <v>39</v>
      </c>
      <c r="C150" s="3" t="s">
        <v>39</v>
      </c>
      <c r="D150" s="1">
        <v>97427</v>
      </c>
      <c r="E150">
        <v>113</v>
      </c>
      <c r="F150">
        <v>514</v>
      </c>
      <c r="G150">
        <v>418</v>
      </c>
      <c r="H150" s="1">
        <v>52444</v>
      </c>
      <c r="I150">
        <v>1</v>
      </c>
      <c r="J150">
        <v>220</v>
      </c>
      <c r="K150">
        <v>56</v>
      </c>
      <c r="L150" s="1">
        <v>0</v>
      </c>
      <c r="M150">
        <v>21</v>
      </c>
      <c r="N150">
        <v>0</v>
      </c>
      <c r="O150">
        <v>16</v>
      </c>
      <c r="P150">
        <v>1</v>
      </c>
      <c r="Q150">
        <v>48</v>
      </c>
      <c r="R150">
        <v>0</v>
      </c>
      <c r="S150">
        <v>2</v>
      </c>
      <c r="T150">
        <v>2</v>
      </c>
      <c r="U150">
        <v>0</v>
      </c>
      <c r="V150">
        <v>1</v>
      </c>
      <c r="W150">
        <v>43</v>
      </c>
      <c r="X150">
        <v>0</v>
      </c>
      <c r="Y150">
        <v>2</v>
      </c>
      <c r="Z150">
        <v>9</v>
      </c>
      <c r="AA150">
        <v>0</v>
      </c>
      <c r="AB150">
        <v>0</v>
      </c>
      <c r="AC150">
        <v>0</v>
      </c>
      <c r="AD150">
        <v>198</v>
      </c>
      <c r="AE150">
        <v>3</v>
      </c>
      <c r="AF150">
        <v>19</v>
      </c>
      <c r="AG150">
        <v>541</v>
      </c>
      <c r="AH150">
        <v>11</v>
      </c>
      <c r="AI150">
        <v>22</v>
      </c>
      <c r="AJ150">
        <v>0</v>
      </c>
      <c r="AK150">
        <v>8</v>
      </c>
      <c r="AL150">
        <v>0</v>
      </c>
      <c r="AM150">
        <v>6</v>
      </c>
      <c r="AN150" s="1">
        <v>42708</v>
      </c>
    </row>
    <row r="151" spans="1:40" x14ac:dyDescent="0.3">
      <c r="A151" t="s">
        <v>90</v>
      </c>
      <c r="B151" t="s">
        <v>39</v>
      </c>
      <c r="C151" s="3" t="s">
        <v>42</v>
      </c>
      <c r="D151" s="1">
        <f>D155+D159</f>
        <v>61363</v>
      </c>
      <c r="E151" s="1">
        <f t="shared" ref="E151:AN151" si="5">E155+E159</f>
        <v>78</v>
      </c>
      <c r="F151" s="1">
        <f t="shared" si="5"/>
        <v>358</v>
      </c>
      <c r="G151" s="1">
        <f t="shared" si="5"/>
        <v>209</v>
      </c>
      <c r="H151" s="1">
        <f t="shared" si="5"/>
        <v>26492</v>
      </c>
      <c r="I151" s="1">
        <f t="shared" si="5"/>
        <v>1</v>
      </c>
      <c r="J151" s="1">
        <f t="shared" si="5"/>
        <v>132</v>
      </c>
      <c r="K151" s="1">
        <f t="shared" si="5"/>
        <v>45</v>
      </c>
      <c r="L151" s="1">
        <f t="shared" si="5"/>
        <v>0</v>
      </c>
      <c r="M151" s="1">
        <f t="shared" si="5"/>
        <v>8</v>
      </c>
      <c r="N151" s="1">
        <f t="shared" si="5"/>
        <v>0</v>
      </c>
      <c r="O151" s="1">
        <f t="shared" si="5"/>
        <v>4</v>
      </c>
      <c r="P151" s="1">
        <f t="shared" si="5"/>
        <v>0</v>
      </c>
      <c r="Q151" s="1">
        <f t="shared" si="5"/>
        <v>37</v>
      </c>
      <c r="R151" s="1">
        <f t="shared" si="5"/>
        <v>0</v>
      </c>
      <c r="S151" s="1">
        <f t="shared" si="5"/>
        <v>1</v>
      </c>
      <c r="T151" s="1">
        <f t="shared" si="5"/>
        <v>2</v>
      </c>
      <c r="U151" s="1">
        <f t="shared" si="5"/>
        <v>0</v>
      </c>
      <c r="V151" s="1">
        <f t="shared" si="5"/>
        <v>1</v>
      </c>
      <c r="W151" s="1">
        <f t="shared" si="5"/>
        <v>13</v>
      </c>
      <c r="X151" s="1">
        <f t="shared" si="5"/>
        <v>0</v>
      </c>
      <c r="Y151" s="1">
        <f t="shared" si="5"/>
        <v>1</v>
      </c>
      <c r="Z151" s="1">
        <f t="shared" si="5"/>
        <v>5</v>
      </c>
      <c r="AA151" s="1">
        <f t="shared" si="5"/>
        <v>0</v>
      </c>
      <c r="AB151" s="1">
        <f t="shared" si="5"/>
        <v>0</v>
      </c>
      <c r="AC151" s="1">
        <f t="shared" si="5"/>
        <v>0</v>
      </c>
      <c r="AD151" s="1">
        <f t="shared" si="5"/>
        <v>101</v>
      </c>
      <c r="AE151" s="1">
        <f t="shared" si="5"/>
        <v>2</v>
      </c>
      <c r="AF151" s="1">
        <f t="shared" si="5"/>
        <v>12</v>
      </c>
      <c r="AG151" s="1">
        <f t="shared" si="5"/>
        <v>277</v>
      </c>
      <c r="AH151" s="1">
        <f t="shared" si="5"/>
        <v>6</v>
      </c>
      <c r="AI151" s="1">
        <f t="shared" si="5"/>
        <v>17</v>
      </c>
      <c r="AJ151" s="1">
        <f t="shared" si="5"/>
        <v>0</v>
      </c>
      <c r="AK151" s="1">
        <f t="shared" si="5"/>
        <v>4</v>
      </c>
      <c r="AL151" s="1">
        <f t="shared" si="5"/>
        <v>0</v>
      </c>
      <c r="AM151" s="1">
        <f t="shared" si="5"/>
        <v>2</v>
      </c>
      <c r="AN151" s="1">
        <f t="shared" si="5"/>
        <v>33555</v>
      </c>
    </row>
    <row r="152" spans="1:40" x14ac:dyDescent="0.3">
      <c r="A152" t="s">
        <v>90</v>
      </c>
      <c r="B152" t="s">
        <v>39</v>
      </c>
      <c r="C152" s="3" t="s">
        <v>43</v>
      </c>
      <c r="D152" s="1">
        <f>D156+D160</f>
        <v>36052</v>
      </c>
      <c r="E152" s="1">
        <f t="shared" ref="E152:AN152" si="6">E156+E160</f>
        <v>35</v>
      </c>
      <c r="F152" s="1">
        <f t="shared" si="6"/>
        <v>156</v>
      </c>
      <c r="G152" s="1">
        <f t="shared" si="6"/>
        <v>209</v>
      </c>
      <c r="H152" s="1">
        <f t="shared" si="6"/>
        <v>25942</v>
      </c>
      <c r="I152" s="1">
        <f t="shared" si="6"/>
        <v>0</v>
      </c>
      <c r="J152" s="1">
        <f t="shared" si="6"/>
        <v>88</v>
      </c>
      <c r="K152" s="1">
        <f t="shared" si="6"/>
        <v>11</v>
      </c>
      <c r="L152" s="1">
        <f t="shared" si="6"/>
        <v>0</v>
      </c>
      <c r="M152" s="1">
        <f t="shared" si="6"/>
        <v>13</v>
      </c>
      <c r="N152" s="1">
        <f t="shared" si="6"/>
        <v>0</v>
      </c>
      <c r="O152" s="1">
        <f t="shared" si="6"/>
        <v>12</v>
      </c>
      <c r="P152" s="1">
        <f t="shared" si="6"/>
        <v>1</v>
      </c>
      <c r="Q152" s="1">
        <f t="shared" si="6"/>
        <v>11</v>
      </c>
      <c r="R152" s="1">
        <f t="shared" si="6"/>
        <v>0</v>
      </c>
      <c r="S152" s="1">
        <f t="shared" si="6"/>
        <v>1</v>
      </c>
      <c r="T152" s="1">
        <f t="shared" si="6"/>
        <v>0</v>
      </c>
      <c r="U152" s="1">
        <f t="shared" si="6"/>
        <v>0</v>
      </c>
      <c r="V152" s="1">
        <f t="shared" si="6"/>
        <v>0</v>
      </c>
      <c r="W152" s="1">
        <f t="shared" si="6"/>
        <v>30</v>
      </c>
      <c r="X152" s="1">
        <f t="shared" si="6"/>
        <v>0</v>
      </c>
      <c r="Y152" s="1">
        <f t="shared" si="6"/>
        <v>1</v>
      </c>
      <c r="Z152" s="1">
        <f t="shared" si="6"/>
        <v>4</v>
      </c>
      <c r="AA152" s="1">
        <f t="shared" si="6"/>
        <v>0</v>
      </c>
      <c r="AB152" s="1">
        <f t="shared" si="6"/>
        <v>0</v>
      </c>
      <c r="AC152" s="1">
        <f t="shared" si="6"/>
        <v>0</v>
      </c>
      <c r="AD152" s="1">
        <f t="shared" si="6"/>
        <v>97</v>
      </c>
      <c r="AE152" s="1">
        <f t="shared" si="6"/>
        <v>1</v>
      </c>
      <c r="AF152" s="1">
        <f t="shared" si="6"/>
        <v>7</v>
      </c>
      <c r="AG152" s="1">
        <f t="shared" si="6"/>
        <v>263</v>
      </c>
      <c r="AH152" s="1">
        <f t="shared" si="6"/>
        <v>5</v>
      </c>
      <c r="AI152" s="1">
        <f t="shared" si="6"/>
        <v>5</v>
      </c>
      <c r="AJ152" s="1">
        <f t="shared" si="6"/>
        <v>0</v>
      </c>
      <c r="AK152" s="1">
        <f t="shared" si="6"/>
        <v>4</v>
      </c>
      <c r="AL152" s="1">
        <f t="shared" si="6"/>
        <v>0</v>
      </c>
      <c r="AM152" s="1">
        <f t="shared" si="6"/>
        <v>4</v>
      </c>
      <c r="AN152" s="1">
        <f t="shared" si="6"/>
        <v>9152</v>
      </c>
    </row>
    <row r="153" spans="1:40" x14ac:dyDescent="0.3">
      <c r="A153" t="s">
        <v>90</v>
      </c>
      <c r="B153" t="s">
        <v>39</v>
      </c>
      <c r="C153" s="3" t="s">
        <v>92</v>
      </c>
      <c r="D153" s="1">
        <f>D157</f>
        <v>12</v>
      </c>
      <c r="E153" s="1">
        <f t="shared" ref="E153:AN153" si="7">E157</f>
        <v>0</v>
      </c>
      <c r="F153" s="1">
        <f t="shared" si="7"/>
        <v>0</v>
      </c>
      <c r="G153" s="1">
        <f t="shared" si="7"/>
        <v>0</v>
      </c>
      <c r="H153" s="1">
        <f t="shared" si="7"/>
        <v>10</v>
      </c>
      <c r="I153" s="1">
        <f t="shared" si="7"/>
        <v>0</v>
      </c>
      <c r="J153" s="1">
        <f t="shared" si="7"/>
        <v>0</v>
      </c>
      <c r="K153" s="1">
        <f t="shared" si="7"/>
        <v>0</v>
      </c>
      <c r="L153" s="1">
        <f t="shared" si="7"/>
        <v>0</v>
      </c>
      <c r="M153" s="1">
        <f t="shared" si="7"/>
        <v>0</v>
      </c>
      <c r="N153" s="1">
        <f t="shared" si="7"/>
        <v>0</v>
      </c>
      <c r="O153" s="1">
        <f t="shared" si="7"/>
        <v>0</v>
      </c>
      <c r="P153" s="1">
        <f t="shared" si="7"/>
        <v>0</v>
      </c>
      <c r="Q153" s="1">
        <f t="shared" si="7"/>
        <v>0</v>
      </c>
      <c r="R153" s="1">
        <f t="shared" si="7"/>
        <v>0</v>
      </c>
      <c r="S153" s="1">
        <f t="shared" si="7"/>
        <v>0</v>
      </c>
      <c r="T153" s="1">
        <f t="shared" si="7"/>
        <v>0</v>
      </c>
      <c r="U153" s="1">
        <f t="shared" si="7"/>
        <v>0</v>
      </c>
      <c r="V153" s="1">
        <f t="shared" si="7"/>
        <v>0</v>
      </c>
      <c r="W153" s="1">
        <f t="shared" si="7"/>
        <v>0</v>
      </c>
      <c r="X153" s="1">
        <f t="shared" si="7"/>
        <v>0</v>
      </c>
      <c r="Y153" s="1">
        <f t="shared" si="7"/>
        <v>0</v>
      </c>
      <c r="Z153" s="1">
        <f t="shared" si="7"/>
        <v>0</v>
      </c>
      <c r="AA153" s="1">
        <f t="shared" si="7"/>
        <v>0</v>
      </c>
      <c r="AB153" s="1">
        <f t="shared" si="7"/>
        <v>0</v>
      </c>
      <c r="AC153" s="1">
        <f t="shared" si="7"/>
        <v>0</v>
      </c>
      <c r="AD153" s="1">
        <f t="shared" si="7"/>
        <v>0</v>
      </c>
      <c r="AE153" s="1">
        <f t="shared" si="7"/>
        <v>0</v>
      </c>
      <c r="AF153" s="1">
        <f t="shared" si="7"/>
        <v>0</v>
      </c>
      <c r="AG153" s="1">
        <f t="shared" si="7"/>
        <v>1</v>
      </c>
      <c r="AH153" s="1">
        <f t="shared" si="7"/>
        <v>0</v>
      </c>
      <c r="AI153" s="1">
        <f t="shared" si="7"/>
        <v>0</v>
      </c>
      <c r="AJ153" s="1">
        <f t="shared" si="7"/>
        <v>0</v>
      </c>
      <c r="AK153" s="1">
        <f t="shared" si="7"/>
        <v>0</v>
      </c>
      <c r="AL153" s="1">
        <f t="shared" si="7"/>
        <v>0</v>
      </c>
      <c r="AM153" s="1">
        <f t="shared" si="7"/>
        <v>0</v>
      </c>
      <c r="AN153" s="1">
        <f t="shared" si="7"/>
        <v>1</v>
      </c>
    </row>
    <row r="154" spans="1:40" x14ac:dyDescent="0.3">
      <c r="A154" t="s">
        <v>90</v>
      </c>
      <c r="B154" t="s">
        <v>91</v>
      </c>
      <c r="C154" s="3" t="s">
        <v>39</v>
      </c>
      <c r="D154" s="1">
        <v>90355</v>
      </c>
      <c r="E154">
        <v>97</v>
      </c>
      <c r="F154">
        <v>509</v>
      </c>
      <c r="G154">
        <v>359</v>
      </c>
      <c r="H154" s="1">
        <v>45616</v>
      </c>
      <c r="I154">
        <v>1</v>
      </c>
      <c r="J154">
        <v>207</v>
      </c>
      <c r="K154">
        <v>38</v>
      </c>
      <c r="L154">
        <v>0</v>
      </c>
      <c r="M154">
        <v>20</v>
      </c>
      <c r="N154">
        <v>0</v>
      </c>
      <c r="O154">
        <v>14</v>
      </c>
      <c r="P154">
        <v>1</v>
      </c>
      <c r="Q154">
        <v>47</v>
      </c>
      <c r="R154">
        <v>0</v>
      </c>
      <c r="S154">
        <v>2</v>
      </c>
      <c r="T154">
        <v>1</v>
      </c>
      <c r="U154">
        <v>0</v>
      </c>
      <c r="V154">
        <v>1</v>
      </c>
      <c r="W154">
        <v>35</v>
      </c>
      <c r="X154">
        <v>0</v>
      </c>
      <c r="Y154">
        <v>2</v>
      </c>
      <c r="Z154">
        <v>7</v>
      </c>
      <c r="AA154">
        <v>0</v>
      </c>
      <c r="AB154">
        <v>0</v>
      </c>
      <c r="AC154">
        <v>0</v>
      </c>
      <c r="AD154">
        <v>196</v>
      </c>
      <c r="AE154">
        <v>3</v>
      </c>
      <c r="AF154">
        <v>18</v>
      </c>
      <c r="AG154">
        <v>464</v>
      </c>
      <c r="AH154">
        <v>9</v>
      </c>
      <c r="AI154">
        <v>17</v>
      </c>
      <c r="AJ154">
        <v>0</v>
      </c>
      <c r="AK154">
        <v>6</v>
      </c>
      <c r="AL154">
        <v>0</v>
      </c>
      <c r="AM154">
        <v>4</v>
      </c>
      <c r="AN154" s="1">
        <v>42681</v>
      </c>
    </row>
    <row r="155" spans="1:40" x14ac:dyDescent="0.3">
      <c r="A155" t="s">
        <v>90</v>
      </c>
      <c r="B155" t="s">
        <v>91</v>
      </c>
      <c r="C155" s="3" t="s">
        <v>42</v>
      </c>
      <c r="D155" s="1">
        <v>57771</v>
      </c>
      <c r="E155">
        <v>69</v>
      </c>
      <c r="F155">
        <v>354</v>
      </c>
      <c r="G155">
        <v>178</v>
      </c>
      <c r="H155" s="1">
        <v>23041</v>
      </c>
      <c r="I155">
        <v>1</v>
      </c>
      <c r="J155">
        <v>126</v>
      </c>
      <c r="K155">
        <v>31</v>
      </c>
      <c r="L155">
        <v>0</v>
      </c>
      <c r="M155">
        <v>8</v>
      </c>
      <c r="N155">
        <v>0</v>
      </c>
      <c r="O155">
        <v>4</v>
      </c>
      <c r="P155">
        <v>0</v>
      </c>
      <c r="Q155">
        <v>36</v>
      </c>
      <c r="R155">
        <v>0</v>
      </c>
      <c r="S155">
        <v>1</v>
      </c>
      <c r="T155">
        <v>1</v>
      </c>
      <c r="U155">
        <v>0</v>
      </c>
      <c r="V155">
        <v>1</v>
      </c>
      <c r="W155">
        <v>9</v>
      </c>
      <c r="X155">
        <v>0</v>
      </c>
      <c r="Y155">
        <v>1</v>
      </c>
      <c r="Z155">
        <v>4</v>
      </c>
      <c r="AA155">
        <v>0</v>
      </c>
      <c r="AB155">
        <v>0</v>
      </c>
      <c r="AC155">
        <v>0</v>
      </c>
      <c r="AD155">
        <v>99</v>
      </c>
      <c r="AE155">
        <v>2</v>
      </c>
      <c r="AF155">
        <v>11</v>
      </c>
      <c r="AG155">
        <v>234</v>
      </c>
      <c r="AH155">
        <v>5</v>
      </c>
      <c r="AI155">
        <v>13</v>
      </c>
      <c r="AJ155">
        <v>0</v>
      </c>
      <c r="AK155">
        <v>2</v>
      </c>
      <c r="AL155">
        <v>0</v>
      </c>
      <c r="AM155">
        <v>1</v>
      </c>
      <c r="AN155" s="1">
        <v>33539</v>
      </c>
    </row>
    <row r="156" spans="1:40" x14ac:dyDescent="0.3">
      <c r="A156" t="s">
        <v>90</v>
      </c>
      <c r="B156" t="s">
        <v>91</v>
      </c>
      <c r="C156" s="3" t="s">
        <v>43</v>
      </c>
      <c r="D156" s="1">
        <v>32572</v>
      </c>
      <c r="E156">
        <v>28</v>
      </c>
      <c r="F156">
        <v>155</v>
      </c>
      <c r="G156">
        <v>181</v>
      </c>
      <c r="H156" s="1">
        <v>22565</v>
      </c>
      <c r="I156">
        <v>0</v>
      </c>
      <c r="J156">
        <v>81</v>
      </c>
      <c r="K156">
        <v>7</v>
      </c>
      <c r="L156">
        <v>0</v>
      </c>
      <c r="M156">
        <v>12</v>
      </c>
      <c r="N156">
        <v>0</v>
      </c>
      <c r="O156">
        <v>10</v>
      </c>
      <c r="P156">
        <v>1</v>
      </c>
      <c r="Q156">
        <v>11</v>
      </c>
      <c r="R156">
        <v>0</v>
      </c>
      <c r="S156">
        <v>1</v>
      </c>
      <c r="T156">
        <v>0</v>
      </c>
      <c r="U156">
        <v>0</v>
      </c>
      <c r="V156">
        <v>0</v>
      </c>
      <c r="W156">
        <v>26</v>
      </c>
      <c r="X156">
        <v>0</v>
      </c>
      <c r="Y156">
        <v>1</v>
      </c>
      <c r="Z156">
        <v>3</v>
      </c>
      <c r="AA156">
        <v>0</v>
      </c>
      <c r="AB156">
        <v>0</v>
      </c>
      <c r="AC156">
        <v>0</v>
      </c>
      <c r="AD156">
        <v>97</v>
      </c>
      <c r="AE156">
        <v>1</v>
      </c>
      <c r="AF156">
        <v>7</v>
      </c>
      <c r="AG156">
        <v>229</v>
      </c>
      <c r="AH156">
        <v>4</v>
      </c>
      <c r="AI156">
        <v>4</v>
      </c>
      <c r="AJ156">
        <v>0</v>
      </c>
      <c r="AK156">
        <v>4</v>
      </c>
      <c r="AL156">
        <v>0</v>
      </c>
      <c r="AM156">
        <v>3</v>
      </c>
      <c r="AN156" s="1">
        <v>9141</v>
      </c>
    </row>
    <row r="157" spans="1:40" x14ac:dyDescent="0.3">
      <c r="A157" t="s">
        <v>90</v>
      </c>
      <c r="B157" t="s">
        <v>91</v>
      </c>
      <c r="C157" s="3" t="s">
        <v>92</v>
      </c>
      <c r="D157">
        <v>12</v>
      </c>
      <c r="E157">
        <v>0</v>
      </c>
      <c r="F157">
        <v>0</v>
      </c>
      <c r="G157">
        <v>0</v>
      </c>
      <c r="H157">
        <v>10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1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 s="1">
        <v>1</v>
      </c>
    </row>
    <row r="158" spans="1:40" x14ac:dyDescent="0.3">
      <c r="A158" t="s">
        <v>90</v>
      </c>
      <c r="B158" t="s">
        <v>93</v>
      </c>
      <c r="C158" s="3" t="s">
        <v>39</v>
      </c>
      <c r="D158" s="1">
        <v>7072</v>
      </c>
      <c r="E158">
        <v>16</v>
      </c>
      <c r="F158">
        <v>5</v>
      </c>
      <c r="G158">
        <v>59</v>
      </c>
      <c r="H158" s="1">
        <v>6828</v>
      </c>
      <c r="I158">
        <v>0</v>
      </c>
      <c r="J158">
        <v>13</v>
      </c>
      <c r="K158">
        <v>18</v>
      </c>
      <c r="L158">
        <v>0</v>
      </c>
      <c r="M158">
        <v>1</v>
      </c>
      <c r="N158">
        <v>0</v>
      </c>
      <c r="O158">
        <v>2</v>
      </c>
      <c r="P158">
        <v>0</v>
      </c>
      <c r="Q158">
        <v>1</v>
      </c>
      <c r="R158">
        <v>0</v>
      </c>
      <c r="S158">
        <v>0</v>
      </c>
      <c r="T158">
        <v>1</v>
      </c>
      <c r="U158">
        <v>0</v>
      </c>
      <c r="V158">
        <v>0</v>
      </c>
      <c r="W158">
        <v>8</v>
      </c>
      <c r="X158">
        <v>0</v>
      </c>
      <c r="Y158">
        <v>0</v>
      </c>
      <c r="Z158">
        <v>2</v>
      </c>
      <c r="AA158">
        <v>0</v>
      </c>
      <c r="AB158">
        <v>0</v>
      </c>
      <c r="AC158">
        <v>0</v>
      </c>
      <c r="AD158">
        <v>2</v>
      </c>
      <c r="AE158">
        <v>0</v>
      </c>
      <c r="AF158">
        <v>1</v>
      </c>
      <c r="AG158">
        <v>77</v>
      </c>
      <c r="AH158">
        <v>2</v>
      </c>
      <c r="AI158">
        <v>5</v>
      </c>
      <c r="AJ158">
        <v>0</v>
      </c>
      <c r="AK158">
        <v>2</v>
      </c>
      <c r="AL158">
        <v>0</v>
      </c>
      <c r="AM158">
        <v>2</v>
      </c>
      <c r="AN158" s="1">
        <v>27</v>
      </c>
    </row>
    <row r="159" spans="1:40" x14ac:dyDescent="0.3">
      <c r="A159" t="s">
        <v>90</v>
      </c>
      <c r="B159" t="s">
        <v>93</v>
      </c>
      <c r="C159" s="3" t="s">
        <v>42</v>
      </c>
      <c r="D159" s="1">
        <v>3592</v>
      </c>
      <c r="E159">
        <v>9</v>
      </c>
      <c r="F159">
        <v>4</v>
      </c>
      <c r="G159">
        <v>31</v>
      </c>
      <c r="H159" s="1">
        <v>3451</v>
      </c>
      <c r="I159">
        <v>0</v>
      </c>
      <c r="J159">
        <v>6</v>
      </c>
      <c r="K159">
        <v>14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1</v>
      </c>
      <c r="R159">
        <v>0</v>
      </c>
      <c r="S159">
        <v>0</v>
      </c>
      <c r="T159">
        <v>1</v>
      </c>
      <c r="U159">
        <v>0</v>
      </c>
      <c r="V159">
        <v>0</v>
      </c>
      <c r="W159">
        <v>4</v>
      </c>
      <c r="X159">
        <v>0</v>
      </c>
      <c r="Y159">
        <v>0</v>
      </c>
      <c r="Z159">
        <v>1</v>
      </c>
      <c r="AA159">
        <v>0</v>
      </c>
      <c r="AB159">
        <v>0</v>
      </c>
      <c r="AC159">
        <v>0</v>
      </c>
      <c r="AD159">
        <v>2</v>
      </c>
      <c r="AE159">
        <v>0</v>
      </c>
      <c r="AF159">
        <v>1</v>
      </c>
      <c r="AG159">
        <v>43</v>
      </c>
      <c r="AH159">
        <v>1</v>
      </c>
      <c r="AI159">
        <v>4</v>
      </c>
      <c r="AJ159">
        <v>0</v>
      </c>
      <c r="AK159">
        <v>2</v>
      </c>
      <c r="AL159">
        <v>0</v>
      </c>
      <c r="AM159">
        <v>1</v>
      </c>
      <c r="AN159" s="1">
        <v>16</v>
      </c>
    </row>
    <row r="160" spans="1:40" x14ac:dyDescent="0.3">
      <c r="A160" t="s">
        <v>90</v>
      </c>
      <c r="B160" t="s">
        <v>93</v>
      </c>
      <c r="C160" s="3" t="s">
        <v>43</v>
      </c>
      <c r="D160" s="1">
        <v>3480</v>
      </c>
      <c r="E160">
        <v>7</v>
      </c>
      <c r="F160">
        <v>1</v>
      </c>
      <c r="G160">
        <v>28</v>
      </c>
      <c r="H160" s="1">
        <v>3377</v>
      </c>
      <c r="I160">
        <v>0</v>
      </c>
      <c r="J160">
        <v>7</v>
      </c>
      <c r="K160">
        <v>4</v>
      </c>
      <c r="L160">
        <v>0</v>
      </c>
      <c r="M160">
        <v>1</v>
      </c>
      <c r="N160">
        <v>0</v>
      </c>
      <c r="O160">
        <v>2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4</v>
      </c>
      <c r="X160">
        <v>0</v>
      </c>
      <c r="Y160">
        <v>0</v>
      </c>
      <c r="Z160">
        <v>1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34</v>
      </c>
      <c r="AH160">
        <v>1</v>
      </c>
      <c r="AI160">
        <v>1</v>
      </c>
      <c r="AJ160">
        <v>0</v>
      </c>
      <c r="AK160">
        <v>0</v>
      </c>
      <c r="AL160">
        <v>0</v>
      </c>
      <c r="AM160">
        <v>1</v>
      </c>
      <c r="AN160" s="1">
        <v>11</v>
      </c>
    </row>
    <row r="161" spans="1:40" x14ac:dyDescent="0.3">
      <c r="A161" t="s">
        <v>94</v>
      </c>
      <c r="B161" t="s">
        <v>39</v>
      </c>
      <c r="C161" s="3" t="s">
        <v>39</v>
      </c>
      <c r="D161" s="1">
        <v>4790</v>
      </c>
      <c r="E161">
        <v>28</v>
      </c>
      <c r="F161">
        <v>11</v>
      </c>
      <c r="G161" s="1">
        <v>3582</v>
      </c>
      <c r="H161">
        <v>503</v>
      </c>
      <c r="I161">
        <v>0</v>
      </c>
      <c r="J161">
        <v>339</v>
      </c>
      <c r="K161">
        <v>66</v>
      </c>
      <c r="L161">
        <v>0</v>
      </c>
      <c r="M161">
        <v>2</v>
      </c>
      <c r="N161">
        <v>0</v>
      </c>
      <c r="O161">
        <v>22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1</v>
      </c>
      <c r="Y161">
        <v>15</v>
      </c>
      <c r="Z161">
        <v>2</v>
      </c>
      <c r="AA161">
        <v>0</v>
      </c>
      <c r="AB161">
        <v>0</v>
      </c>
      <c r="AC161">
        <v>0</v>
      </c>
      <c r="AD161">
        <v>55</v>
      </c>
      <c r="AE161">
        <v>7</v>
      </c>
      <c r="AF161">
        <v>3</v>
      </c>
      <c r="AG161">
        <v>21</v>
      </c>
      <c r="AH161">
        <v>0</v>
      </c>
      <c r="AI161">
        <v>9</v>
      </c>
      <c r="AJ161">
        <v>1</v>
      </c>
      <c r="AK161">
        <v>11</v>
      </c>
      <c r="AL161">
        <v>0</v>
      </c>
      <c r="AM161">
        <v>5</v>
      </c>
      <c r="AN161" s="1">
        <v>107</v>
      </c>
    </row>
    <row r="162" spans="1:40" x14ac:dyDescent="0.3">
      <c r="A162" t="s">
        <v>94</v>
      </c>
      <c r="B162" t="s">
        <v>39</v>
      </c>
      <c r="C162" s="3" t="s">
        <v>42</v>
      </c>
      <c r="D162" s="1">
        <f>D165+D168+D171+D174+D177+D180+D183+D186+D189+D192+D195+D198+D201+D204+D207+D210+D213+D216+D219+D222+D225+D228+D231+D234+D237+D240+D242+D245+D248+D251+D254+D256</f>
        <v>2103</v>
      </c>
      <c r="E162" s="1">
        <f t="shared" ref="E162:AN162" si="8">E165+E168+E171+E174+E177+E180+E183+E186+E189+E192+E195+E198+E201+E204+E207+E210+E213+E216+E219+E222+E225+E228+E231+E234+E237+E240+E242+E245+E248+E251+E254+E256</f>
        <v>13</v>
      </c>
      <c r="F162" s="1">
        <f t="shared" si="8"/>
        <v>10</v>
      </c>
      <c r="G162" s="1">
        <f t="shared" si="8"/>
        <v>1541</v>
      </c>
      <c r="H162" s="1">
        <f t="shared" si="8"/>
        <v>242</v>
      </c>
      <c r="I162" s="1">
        <f t="shared" si="8"/>
        <v>0</v>
      </c>
      <c r="J162" s="1">
        <f t="shared" si="8"/>
        <v>172</v>
      </c>
      <c r="K162" s="1">
        <f t="shared" si="8"/>
        <v>32</v>
      </c>
      <c r="L162" s="1">
        <f t="shared" si="8"/>
        <v>0</v>
      </c>
      <c r="M162" s="1">
        <f t="shared" si="8"/>
        <v>0</v>
      </c>
      <c r="N162" s="1">
        <f t="shared" si="8"/>
        <v>0</v>
      </c>
      <c r="O162" s="1">
        <f t="shared" si="8"/>
        <v>5</v>
      </c>
      <c r="P162" s="1">
        <f t="shared" si="8"/>
        <v>0</v>
      </c>
      <c r="Q162" s="1">
        <f t="shared" si="8"/>
        <v>0</v>
      </c>
      <c r="R162" s="1">
        <f t="shared" si="8"/>
        <v>0</v>
      </c>
      <c r="S162" s="1">
        <f t="shared" si="8"/>
        <v>0</v>
      </c>
      <c r="T162" s="1">
        <f t="shared" si="8"/>
        <v>0</v>
      </c>
      <c r="U162" s="1">
        <f t="shared" si="8"/>
        <v>0</v>
      </c>
      <c r="V162" s="1">
        <f t="shared" si="8"/>
        <v>0</v>
      </c>
      <c r="W162" s="1">
        <f t="shared" si="8"/>
        <v>0</v>
      </c>
      <c r="X162" s="1">
        <f t="shared" si="8"/>
        <v>1</v>
      </c>
      <c r="Y162" s="1">
        <f t="shared" si="8"/>
        <v>10</v>
      </c>
      <c r="Z162" s="1">
        <f t="shared" si="8"/>
        <v>1</v>
      </c>
      <c r="AA162" s="1">
        <f t="shared" si="8"/>
        <v>0</v>
      </c>
      <c r="AB162" s="1">
        <f t="shared" si="8"/>
        <v>0</v>
      </c>
      <c r="AC162" s="1">
        <f t="shared" si="8"/>
        <v>0</v>
      </c>
      <c r="AD162" s="1">
        <f t="shared" si="8"/>
        <v>25</v>
      </c>
      <c r="AE162" s="1">
        <f t="shared" si="8"/>
        <v>3</v>
      </c>
      <c r="AF162" s="1">
        <f t="shared" si="8"/>
        <v>1</v>
      </c>
      <c r="AG162" s="1">
        <f t="shared" si="8"/>
        <v>16</v>
      </c>
      <c r="AH162" s="1">
        <f t="shared" si="8"/>
        <v>0</v>
      </c>
      <c r="AI162" s="1">
        <f t="shared" si="8"/>
        <v>1</v>
      </c>
      <c r="AJ162" s="1">
        <f t="shared" si="8"/>
        <v>1</v>
      </c>
      <c r="AK162" s="1">
        <f t="shared" si="8"/>
        <v>2</v>
      </c>
      <c r="AL162" s="1">
        <f t="shared" si="8"/>
        <v>0</v>
      </c>
      <c r="AM162" s="1">
        <f t="shared" si="8"/>
        <v>1</v>
      </c>
      <c r="AN162" s="1">
        <f t="shared" si="8"/>
        <v>26</v>
      </c>
    </row>
    <row r="163" spans="1:40" x14ac:dyDescent="0.3">
      <c r="A163" t="s">
        <v>94</v>
      </c>
      <c r="B163" t="s">
        <v>39</v>
      </c>
      <c r="C163" s="3" t="s">
        <v>43</v>
      </c>
      <c r="D163" s="1">
        <f>D166+D169+D172+D175+D178+D181+D184+D187+D190+D193+D196+D199+D202+D205+D208+D211+D214+D217+D220+D223+D226+D229+D232+D235+D238+D243+D246+D249+D252+D258</f>
        <v>2687</v>
      </c>
      <c r="E163" s="1">
        <f t="shared" ref="E163:AN163" si="9">E166+E169+E172+E175+E178+E181+E184+E187+E190+E193+E196+E199+E202+E205+E208+E211+E214+E217+E220+E223+E226+E229+E232+E235+E238+E243+E246+E249+E252+E258</f>
        <v>15</v>
      </c>
      <c r="F163" s="1">
        <f t="shared" si="9"/>
        <v>1</v>
      </c>
      <c r="G163" s="1">
        <f t="shared" si="9"/>
        <v>2041</v>
      </c>
      <c r="H163" s="1">
        <f t="shared" si="9"/>
        <v>261</v>
      </c>
      <c r="I163" s="1">
        <f t="shared" si="9"/>
        <v>0</v>
      </c>
      <c r="J163" s="1">
        <f t="shared" si="9"/>
        <v>167</v>
      </c>
      <c r="K163" s="1">
        <f t="shared" si="9"/>
        <v>34</v>
      </c>
      <c r="L163" s="1">
        <f t="shared" si="9"/>
        <v>0</v>
      </c>
      <c r="M163" s="1">
        <f t="shared" si="9"/>
        <v>2</v>
      </c>
      <c r="N163" s="1">
        <f t="shared" si="9"/>
        <v>0</v>
      </c>
      <c r="O163" s="1">
        <f t="shared" si="9"/>
        <v>17</v>
      </c>
      <c r="P163" s="1">
        <f t="shared" si="9"/>
        <v>0</v>
      </c>
      <c r="Q163" s="1">
        <f t="shared" si="9"/>
        <v>0</v>
      </c>
      <c r="R163" s="1">
        <f t="shared" si="9"/>
        <v>0</v>
      </c>
      <c r="S163" s="1">
        <f t="shared" si="9"/>
        <v>0</v>
      </c>
      <c r="T163" s="1">
        <f t="shared" si="9"/>
        <v>0</v>
      </c>
      <c r="U163" s="1">
        <f t="shared" si="9"/>
        <v>0</v>
      </c>
      <c r="V163" s="1">
        <f t="shared" si="9"/>
        <v>0</v>
      </c>
      <c r="W163" s="1">
        <f t="shared" si="9"/>
        <v>0</v>
      </c>
      <c r="X163" s="1">
        <f t="shared" si="9"/>
        <v>0</v>
      </c>
      <c r="Y163" s="1">
        <f t="shared" si="9"/>
        <v>5</v>
      </c>
      <c r="Z163" s="1">
        <f t="shared" si="9"/>
        <v>1</v>
      </c>
      <c r="AA163" s="1">
        <f t="shared" si="9"/>
        <v>0</v>
      </c>
      <c r="AB163" s="1">
        <f t="shared" si="9"/>
        <v>0</v>
      </c>
      <c r="AC163" s="1">
        <f t="shared" si="9"/>
        <v>0</v>
      </c>
      <c r="AD163" s="1">
        <f t="shared" si="9"/>
        <v>30</v>
      </c>
      <c r="AE163" s="1">
        <f t="shared" si="9"/>
        <v>4</v>
      </c>
      <c r="AF163" s="1">
        <f t="shared" si="9"/>
        <v>2</v>
      </c>
      <c r="AG163" s="1">
        <f t="shared" si="9"/>
        <v>5</v>
      </c>
      <c r="AH163" s="1">
        <f t="shared" si="9"/>
        <v>0</v>
      </c>
      <c r="AI163" s="1">
        <f t="shared" si="9"/>
        <v>8</v>
      </c>
      <c r="AJ163" s="1">
        <f t="shared" si="9"/>
        <v>0</v>
      </c>
      <c r="AK163" s="1">
        <f t="shared" si="9"/>
        <v>9</v>
      </c>
      <c r="AL163" s="1">
        <f t="shared" si="9"/>
        <v>0</v>
      </c>
      <c r="AM163" s="1">
        <f t="shared" si="9"/>
        <v>4</v>
      </c>
      <c r="AN163" s="1">
        <f t="shared" si="9"/>
        <v>81</v>
      </c>
    </row>
    <row r="164" spans="1:40" x14ac:dyDescent="0.3">
      <c r="A164" t="s">
        <v>94</v>
      </c>
      <c r="B164" t="s">
        <v>95</v>
      </c>
      <c r="C164" s="3" t="s">
        <v>39</v>
      </c>
      <c r="D164" s="1">
        <v>1538</v>
      </c>
      <c r="E164">
        <v>4</v>
      </c>
      <c r="F164">
        <v>1</v>
      </c>
      <c r="G164" s="1">
        <v>1309</v>
      </c>
      <c r="H164">
        <v>44</v>
      </c>
      <c r="I164">
        <v>0</v>
      </c>
      <c r="J164">
        <v>91</v>
      </c>
      <c r="K164">
        <v>22</v>
      </c>
      <c r="L164">
        <v>0</v>
      </c>
      <c r="M164">
        <v>0</v>
      </c>
      <c r="N164">
        <v>0</v>
      </c>
      <c r="O164">
        <v>9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3</v>
      </c>
      <c r="Z164">
        <v>1</v>
      </c>
      <c r="AA164">
        <v>0</v>
      </c>
      <c r="AB164">
        <v>0</v>
      </c>
      <c r="AC164">
        <v>0</v>
      </c>
      <c r="AD164">
        <v>30</v>
      </c>
      <c r="AE164">
        <v>0</v>
      </c>
      <c r="AF164">
        <v>0</v>
      </c>
      <c r="AG164">
        <v>7</v>
      </c>
      <c r="AH164">
        <v>0</v>
      </c>
      <c r="AI164">
        <v>1</v>
      </c>
      <c r="AJ164">
        <v>0</v>
      </c>
      <c r="AK164">
        <v>5</v>
      </c>
      <c r="AL164">
        <v>0</v>
      </c>
      <c r="AM164">
        <v>0</v>
      </c>
      <c r="AN164" s="1">
        <v>11</v>
      </c>
    </row>
    <row r="165" spans="1:40" x14ac:dyDescent="0.3">
      <c r="A165" t="s">
        <v>94</v>
      </c>
      <c r="B165" t="s">
        <v>95</v>
      </c>
      <c r="C165" s="3" t="s">
        <v>42</v>
      </c>
      <c r="D165">
        <v>618</v>
      </c>
      <c r="E165">
        <v>3</v>
      </c>
      <c r="F165">
        <v>1</v>
      </c>
      <c r="G165">
        <v>527</v>
      </c>
      <c r="H165">
        <v>22</v>
      </c>
      <c r="I165">
        <v>0</v>
      </c>
      <c r="J165">
        <v>41</v>
      </c>
      <c r="K165">
        <v>3</v>
      </c>
      <c r="L165">
        <v>0</v>
      </c>
      <c r="M165">
        <v>0</v>
      </c>
      <c r="N165">
        <v>0</v>
      </c>
      <c r="O165">
        <v>1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1</v>
      </c>
      <c r="Z165">
        <v>1</v>
      </c>
      <c r="AA165">
        <v>0</v>
      </c>
      <c r="AB165">
        <v>0</v>
      </c>
      <c r="AC165">
        <v>0</v>
      </c>
      <c r="AD165">
        <v>10</v>
      </c>
      <c r="AE165">
        <v>0</v>
      </c>
      <c r="AF165">
        <v>0</v>
      </c>
      <c r="AG165">
        <v>5</v>
      </c>
      <c r="AH165">
        <v>0</v>
      </c>
      <c r="AI165">
        <v>0</v>
      </c>
      <c r="AJ165">
        <v>0</v>
      </c>
      <c r="AK165">
        <v>2</v>
      </c>
      <c r="AL165">
        <v>0</v>
      </c>
      <c r="AM165">
        <v>0</v>
      </c>
      <c r="AN165" s="1">
        <v>1</v>
      </c>
    </row>
    <row r="166" spans="1:40" x14ac:dyDescent="0.3">
      <c r="A166" t="s">
        <v>94</v>
      </c>
      <c r="B166" t="s">
        <v>95</v>
      </c>
      <c r="C166" s="3" t="s">
        <v>43</v>
      </c>
      <c r="D166">
        <v>920</v>
      </c>
      <c r="E166">
        <v>1</v>
      </c>
      <c r="F166">
        <v>0</v>
      </c>
      <c r="G166">
        <v>782</v>
      </c>
      <c r="H166">
        <v>22</v>
      </c>
      <c r="I166">
        <v>0</v>
      </c>
      <c r="J166">
        <v>50</v>
      </c>
      <c r="K166">
        <v>19</v>
      </c>
      <c r="L166">
        <v>0</v>
      </c>
      <c r="M166">
        <v>0</v>
      </c>
      <c r="N166">
        <v>0</v>
      </c>
      <c r="O166">
        <v>8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2</v>
      </c>
      <c r="Z166">
        <v>0</v>
      </c>
      <c r="AA166">
        <v>0</v>
      </c>
      <c r="AB166">
        <v>0</v>
      </c>
      <c r="AC166">
        <v>0</v>
      </c>
      <c r="AD166">
        <v>20</v>
      </c>
      <c r="AE166">
        <v>0</v>
      </c>
      <c r="AF166">
        <v>0</v>
      </c>
      <c r="AG166">
        <v>2</v>
      </c>
      <c r="AH166">
        <v>0</v>
      </c>
      <c r="AI166">
        <v>1</v>
      </c>
      <c r="AJ166">
        <v>0</v>
      </c>
      <c r="AK166">
        <v>3</v>
      </c>
      <c r="AL166">
        <v>0</v>
      </c>
      <c r="AM166">
        <v>0</v>
      </c>
      <c r="AN166" s="1">
        <v>10</v>
      </c>
    </row>
    <row r="167" spans="1:40" x14ac:dyDescent="0.3">
      <c r="A167" t="s">
        <v>94</v>
      </c>
      <c r="B167" t="s">
        <v>96</v>
      </c>
      <c r="C167" s="3" t="s">
        <v>39</v>
      </c>
      <c r="D167" s="1">
        <v>1035</v>
      </c>
      <c r="E167">
        <v>8</v>
      </c>
      <c r="F167">
        <v>2</v>
      </c>
      <c r="G167">
        <v>981</v>
      </c>
      <c r="H167">
        <v>1</v>
      </c>
      <c r="I167">
        <v>0</v>
      </c>
      <c r="J167">
        <v>1</v>
      </c>
      <c r="K167">
        <v>0</v>
      </c>
      <c r="L167">
        <v>0</v>
      </c>
      <c r="M167">
        <v>0</v>
      </c>
      <c r="N167">
        <v>0</v>
      </c>
      <c r="O167">
        <v>4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2</v>
      </c>
      <c r="Z167">
        <v>0</v>
      </c>
      <c r="AA167">
        <v>0</v>
      </c>
      <c r="AB167">
        <v>0</v>
      </c>
      <c r="AC167">
        <v>0</v>
      </c>
      <c r="AD167">
        <v>2</v>
      </c>
      <c r="AE167">
        <v>1</v>
      </c>
      <c r="AF167">
        <v>0</v>
      </c>
      <c r="AG167">
        <v>2</v>
      </c>
      <c r="AH167">
        <v>0</v>
      </c>
      <c r="AI167">
        <v>2</v>
      </c>
      <c r="AJ167">
        <v>0</v>
      </c>
      <c r="AK167">
        <v>0</v>
      </c>
      <c r="AL167">
        <v>0</v>
      </c>
      <c r="AM167">
        <v>4</v>
      </c>
      <c r="AN167" s="1">
        <v>25</v>
      </c>
    </row>
    <row r="168" spans="1:40" x14ac:dyDescent="0.3">
      <c r="A168" t="s">
        <v>94</v>
      </c>
      <c r="B168" t="s">
        <v>96</v>
      </c>
      <c r="C168" s="3" t="s">
        <v>42</v>
      </c>
      <c r="D168">
        <v>406</v>
      </c>
      <c r="E168">
        <v>5</v>
      </c>
      <c r="F168">
        <v>2</v>
      </c>
      <c r="G168">
        <v>386</v>
      </c>
      <c r="H168">
        <v>1</v>
      </c>
      <c r="I168">
        <v>0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2</v>
      </c>
      <c r="Z168">
        <v>0</v>
      </c>
      <c r="AA168">
        <v>0</v>
      </c>
      <c r="AB168">
        <v>0</v>
      </c>
      <c r="AC168">
        <v>0</v>
      </c>
      <c r="AD168">
        <v>1</v>
      </c>
      <c r="AE168">
        <v>1</v>
      </c>
      <c r="AF168">
        <v>0</v>
      </c>
      <c r="AG168">
        <v>1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1</v>
      </c>
      <c r="AN168" s="1">
        <v>5</v>
      </c>
    </row>
    <row r="169" spans="1:40" x14ac:dyDescent="0.3">
      <c r="A169" t="s">
        <v>94</v>
      </c>
      <c r="B169" t="s">
        <v>96</v>
      </c>
      <c r="C169" s="3" t="s">
        <v>43</v>
      </c>
      <c r="D169">
        <v>629</v>
      </c>
      <c r="E169">
        <v>3</v>
      </c>
      <c r="F169">
        <v>0</v>
      </c>
      <c r="G169">
        <v>595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4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  <c r="AE169">
        <v>0</v>
      </c>
      <c r="AF169">
        <v>0</v>
      </c>
      <c r="AG169">
        <v>1</v>
      </c>
      <c r="AH169">
        <v>0</v>
      </c>
      <c r="AI169">
        <v>2</v>
      </c>
      <c r="AJ169">
        <v>0</v>
      </c>
      <c r="AK169">
        <v>0</v>
      </c>
      <c r="AL169">
        <v>0</v>
      </c>
      <c r="AM169">
        <v>3</v>
      </c>
      <c r="AN169" s="1">
        <v>20</v>
      </c>
    </row>
    <row r="170" spans="1:40" x14ac:dyDescent="0.3">
      <c r="A170" t="s">
        <v>94</v>
      </c>
      <c r="B170" t="s">
        <v>97</v>
      </c>
      <c r="C170" s="3" t="s">
        <v>39</v>
      </c>
      <c r="D170">
        <v>482</v>
      </c>
      <c r="E170">
        <v>5</v>
      </c>
      <c r="F170">
        <v>0</v>
      </c>
      <c r="G170">
        <v>438</v>
      </c>
      <c r="H170">
        <v>2</v>
      </c>
      <c r="I170">
        <v>0</v>
      </c>
      <c r="J170">
        <v>17</v>
      </c>
      <c r="K170">
        <v>1</v>
      </c>
      <c r="L170">
        <v>0</v>
      </c>
      <c r="M170">
        <v>0</v>
      </c>
      <c r="N170">
        <v>0</v>
      </c>
      <c r="O170">
        <v>1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1</v>
      </c>
      <c r="Z170">
        <v>0</v>
      </c>
      <c r="AA170">
        <v>0</v>
      </c>
      <c r="AB170">
        <v>0</v>
      </c>
      <c r="AC170">
        <v>0</v>
      </c>
      <c r="AD170">
        <v>2</v>
      </c>
      <c r="AE170">
        <v>2</v>
      </c>
      <c r="AF170">
        <v>0</v>
      </c>
      <c r="AG170">
        <v>0</v>
      </c>
      <c r="AH170">
        <v>0</v>
      </c>
      <c r="AI170">
        <v>2</v>
      </c>
      <c r="AJ170">
        <v>1</v>
      </c>
      <c r="AK170">
        <v>0</v>
      </c>
      <c r="AL170">
        <v>0</v>
      </c>
      <c r="AM170">
        <v>0</v>
      </c>
      <c r="AN170" s="1">
        <v>10</v>
      </c>
    </row>
    <row r="171" spans="1:40" x14ac:dyDescent="0.3">
      <c r="A171" t="s">
        <v>94</v>
      </c>
      <c r="B171" t="s">
        <v>97</v>
      </c>
      <c r="C171" s="3" t="s">
        <v>42</v>
      </c>
      <c r="D171">
        <v>273</v>
      </c>
      <c r="E171">
        <v>1</v>
      </c>
      <c r="F171">
        <v>0</v>
      </c>
      <c r="G171">
        <v>250</v>
      </c>
      <c r="H171">
        <v>0</v>
      </c>
      <c r="I171">
        <v>0</v>
      </c>
      <c r="J171">
        <v>13</v>
      </c>
      <c r="K171">
        <v>0</v>
      </c>
      <c r="L171">
        <v>0</v>
      </c>
      <c r="M171">
        <v>0</v>
      </c>
      <c r="N171">
        <v>0</v>
      </c>
      <c r="O171">
        <v>1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1</v>
      </c>
      <c r="Z171">
        <v>0</v>
      </c>
      <c r="AA171">
        <v>0</v>
      </c>
      <c r="AB171">
        <v>0</v>
      </c>
      <c r="AC171">
        <v>0</v>
      </c>
      <c r="AD171">
        <v>2</v>
      </c>
      <c r="AE171">
        <v>0</v>
      </c>
      <c r="AF171">
        <v>0</v>
      </c>
      <c r="AG171">
        <v>0</v>
      </c>
      <c r="AH171">
        <v>0</v>
      </c>
      <c r="AI171">
        <v>1</v>
      </c>
      <c r="AJ171">
        <v>1</v>
      </c>
      <c r="AK171">
        <v>0</v>
      </c>
      <c r="AL171">
        <v>0</v>
      </c>
      <c r="AM171">
        <v>0</v>
      </c>
      <c r="AN171" s="1">
        <v>3</v>
      </c>
    </row>
    <row r="172" spans="1:40" x14ac:dyDescent="0.3">
      <c r="A172" t="s">
        <v>94</v>
      </c>
      <c r="B172" t="s">
        <v>97</v>
      </c>
      <c r="C172" s="3" t="s">
        <v>43</v>
      </c>
      <c r="D172">
        <v>209</v>
      </c>
      <c r="E172">
        <v>4</v>
      </c>
      <c r="F172">
        <v>0</v>
      </c>
      <c r="G172">
        <v>188</v>
      </c>
      <c r="H172">
        <v>2</v>
      </c>
      <c r="I172">
        <v>0</v>
      </c>
      <c r="J172">
        <v>4</v>
      </c>
      <c r="K172">
        <v>1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2</v>
      </c>
      <c r="AF172">
        <v>0</v>
      </c>
      <c r="AG172">
        <v>0</v>
      </c>
      <c r="AH172">
        <v>0</v>
      </c>
      <c r="AI172">
        <v>1</v>
      </c>
      <c r="AJ172">
        <v>0</v>
      </c>
      <c r="AK172">
        <v>0</v>
      </c>
      <c r="AL172">
        <v>0</v>
      </c>
      <c r="AM172">
        <v>0</v>
      </c>
      <c r="AN172" s="1">
        <v>7</v>
      </c>
    </row>
    <row r="173" spans="1:40" x14ac:dyDescent="0.3">
      <c r="A173" t="s">
        <v>94</v>
      </c>
      <c r="B173" t="s">
        <v>98</v>
      </c>
      <c r="C173" s="3" t="s">
        <v>39</v>
      </c>
      <c r="D173">
        <v>423</v>
      </c>
      <c r="E173">
        <v>1</v>
      </c>
      <c r="F173">
        <v>0</v>
      </c>
      <c r="G173">
        <v>10</v>
      </c>
      <c r="H173">
        <v>298</v>
      </c>
      <c r="I173">
        <v>0</v>
      </c>
      <c r="J173">
        <v>72</v>
      </c>
      <c r="K173">
        <v>16</v>
      </c>
      <c r="L173">
        <v>0</v>
      </c>
      <c r="M173">
        <v>0</v>
      </c>
      <c r="N173">
        <v>0</v>
      </c>
      <c r="O173">
        <v>2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14</v>
      </c>
      <c r="AE173">
        <v>0</v>
      </c>
      <c r="AF173">
        <v>0</v>
      </c>
      <c r="AG173">
        <v>7</v>
      </c>
      <c r="AH173">
        <v>0</v>
      </c>
      <c r="AI173">
        <v>1</v>
      </c>
      <c r="AJ173">
        <v>0</v>
      </c>
      <c r="AK173">
        <v>0</v>
      </c>
      <c r="AL173">
        <v>0</v>
      </c>
      <c r="AM173">
        <v>0</v>
      </c>
      <c r="AN173" s="1">
        <v>1</v>
      </c>
    </row>
    <row r="174" spans="1:40" x14ac:dyDescent="0.3">
      <c r="A174" t="s">
        <v>94</v>
      </c>
      <c r="B174" t="s">
        <v>98</v>
      </c>
      <c r="C174" s="3" t="s">
        <v>42</v>
      </c>
      <c r="D174">
        <v>211</v>
      </c>
      <c r="E174">
        <v>0</v>
      </c>
      <c r="F174">
        <v>0</v>
      </c>
      <c r="G174">
        <v>5</v>
      </c>
      <c r="H174">
        <v>147</v>
      </c>
      <c r="I174">
        <v>0</v>
      </c>
      <c r="J174">
        <v>34</v>
      </c>
      <c r="K174">
        <v>11</v>
      </c>
      <c r="L174">
        <v>0</v>
      </c>
      <c r="M174">
        <v>0</v>
      </c>
      <c r="N174">
        <v>0</v>
      </c>
      <c r="O174">
        <v>1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7</v>
      </c>
      <c r="AE174">
        <v>0</v>
      </c>
      <c r="AF174">
        <v>0</v>
      </c>
      <c r="AG174">
        <v>5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 s="1">
        <v>1</v>
      </c>
    </row>
    <row r="175" spans="1:40" x14ac:dyDescent="0.3">
      <c r="A175" t="s">
        <v>94</v>
      </c>
      <c r="B175" t="s">
        <v>98</v>
      </c>
      <c r="C175" s="3" t="s">
        <v>43</v>
      </c>
      <c r="D175">
        <v>212</v>
      </c>
      <c r="E175">
        <v>1</v>
      </c>
      <c r="F175">
        <v>0</v>
      </c>
      <c r="G175">
        <v>5</v>
      </c>
      <c r="H175">
        <v>151</v>
      </c>
      <c r="I175">
        <v>0</v>
      </c>
      <c r="J175">
        <v>38</v>
      </c>
      <c r="K175">
        <v>5</v>
      </c>
      <c r="L175">
        <v>0</v>
      </c>
      <c r="M175">
        <v>0</v>
      </c>
      <c r="N175">
        <v>0</v>
      </c>
      <c r="O175">
        <v>1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0</v>
      </c>
      <c r="AD175">
        <v>7</v>
      </c>
      <c r="AE175">
        <v>0</v>
      </c>
      <c r="AF175">
        <v>0</v>
      </c>
      <c r="AG175">
        <v>2</v>
      </c>
      <c r="AH175">
        <v>0</v>
      </c>
      <c r="AI175">
        <v>1</v>
      </c>
      <c r="AJ175">
        <v>0</v>
      </c>
      <c r="AK175">
        <v>0</v>
      </c>
      <c r="AL175">
        <v>0</v>
      </c>
      <c r="AM175">
        <v>0</v>
      </c>
      <c r="AN175" s="1">
        <v>0</v>
      </c>
    </row>
    <row r="176" spans="1:40" x14ac:dyDescent="0.3">
      <c r="A176" t="s">
        <v>94</v>
      </c>
      <c r="B176" t="s">
        <v>99</v>
      </c>
      <c r="C176" s="3" t="s">
        <v>39</v>
      </c>
      <c r="D176">
        <v>329</v>
      </c>
      <c r="E176">
        <v>2</v>
      </c>
      <c r="F176">
        <v>7</v>
      </c>
      <c r="G176">
        <v>294</v>
      </c>
      <c r="H176">
        <v>0</v>
      </c>
      <c r="I176">
        <v>0</v>
      </c>
      <c r="J176">
        <v>1</v>
      </c>
      <c r="K176">
        <v>4</v>
      </c>
      <c r="L176">
        <v>0</v>
      </c>
      <c r="M176">
        <v>0</v>
      </c>
      <c r="N176">
        <v>0</v>
      </c>
      <c r="O176">
        <v>4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1</v>
      </c>
      <c r="Y176">
        <v>4</v>
      </c>
      <c r="Z176">
        <v>1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2</v>
      </c>
      <c r="AJ176">
        <v>0</v>
      </c>
      <c r="AK176">
        <v>0</v>
      </c>
      <c r="AL176">
        <v>0</v>
      </c>
      <c r="AM176">
        <v>0</v>
      </c>
      <c r="AN176" s="1">
        <v>9</v>
      </c>
    </row>
    <row r="177" spans="1:40" x14ac:dyDescent="0.3">
      <c r="A177" t="s">
        <v>94</v>
      </c>
      <c r="B177" t="s">
        <v>99</v>
      </c>
      <c r="C177" s="3" t="s">
        <v>42</v>
      </c>
      <c r="D177">
        <v>124</v>
      </c>
      <c r="E177">
        <v>0</v>
      </c>
      <c r="F177">
        <v>6</v>
      </c>
      <c r="G177">
        <v>105</v>
      </c>
      <c r="H177">
        <v>0</v>
      </c>
      <c r="I177">
        <v>0</v>
      </c>
      <c r="J177">
        <v>1</v>
      </c>
      <c r="K177">
        <v>4</v>
      </c>
      <c r="L177">
        <v>0</v>
      </c>
      <c r="M177">
        <v>0</v>
      </c>
      <c r="N177">
        <v>0</v>
      </c>
      <c r="O177">
        <v>2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1</v>
      </c>
      <c r="Y177">
        <v>3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 s="1">
        <v>2</v>
      </c>
    </row>
    <row r="178" spans="1:40" x14ac:dyDescent="0.3">
      <c r="A178" t="s">
        <v>94</v>
      </c>
      <c r="B178" t="s">
        <v>99</v>
      </c>
      <c r="C178" s="3" t="s">
        <v>43</v>
      </c>
      <c r="D178">
        <v>205</v>
      </c>
      <c r="E178">
        <v>2</v>
      </c>
      <c r="F178">
        <v>1</v>
      </c>
      <c r="G178">
        <v>189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2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1</v>
      </c>
      <c r="Z178">
        <v>1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2</v>
      </c>
      <c r="AJ178">
        <v>0</v>
      </c>
      <c r="AK178">
        <v>0</v>
      </c>
      <c r="AL178">
        <v>0</v>
      </c>
      <c r="AM178">
        <v>0</v>
      </c>
      <c r="AN178" s="1">
        <v>7</v>
      </c>
    </row>
    <row r="179" spans="1:40" x14ac:dyDescent="0.3">
      <c r="A179" t="s">
        <v>94</v>
      </c>
      <c r="B179" t="s">
        <v>100</v>
      </c>
      <c r="C179" s="3" t="s">
        <v>39</v>
      </c>
      <c r="D179">
        <v>205</v>
      </c>
      <c r="E179">
        <v>2</v>
      </c>
      <c r="F179">
        <v>0</v>
      </c>
      <c r="G179">
        <v>159</v>
      </c>
      <c r="H179">
        <v>9</v>
      </c>
      <c r="I179">
        <v>0</v>
      </c>
      <c r="J179">
        <v>7</v>
      </c>
      <c r="K179">
        <v>16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1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2</v>
      </c>
      <c r="AG179">
        <v>0</v>
      </c>
      <c r="AH179">
        <v>0</v>
      </c>
      <c r="AI179">
        <v>1</v>
      </c>
      <c r="AJ179">
        <v>0</v>
      </c>
      <c r="AK179">
        <v>6</v>
      </c>
      <c r="AL179">
        <v>0</v>
      </c>
      <c r="AM179">
        <v>0</v>
      </c>
      <c r="AN179" s="1">
        <v>2</v>
      </c>
    </row>
    <row r="180" spans="1:40" x14ac:dyDescent="0.3">
      <c r="A180" t="s">
        <v>94</v>
      </c>
      <c r="B180" t="s">
        <v>100</v>
      </c>
      <c r="C180" s="3" t="s">
        <v>42</v>
      </c>
      <c r="D180">
        <v>90</v>
      </c>
      <c r="E180">
        <v>1</v>
      </c>
      <c r="F180">
        <v>0</v>
      </c>
      <c r="G180">
        <v>66</v>
      </c>
      <c r="H180">
        <v>8</v>
      </c>
      <c r="I180">
        <v>0</v>
      </c>
      <c r="J180">
        <v>4</v>
      </c>
      <c r="K180">
        <v>11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 s="1">
        <v>0</v>
      </c>
    </row>
    <row r="181" spans="1:40" x14ac:dyDescent="0.3">
      <c r="A181" t="s">
        <v>94</v>
      </c>
      <c r="B181" t="s">
        <v>100</v>
      </c>
      <c r="C181" s="3" t="s">
        <v>43</v>
      </c>
      <c r="D181">
        <v>115</v>
      </c>
      <c r="E181">
        <v>1</v>
      </c>
      <c r="F181">
        <v>0</v>
      </c>
      <c r="G181">
        <v>93</v>
      </c>
      <c r="H181">
        <v>1</v>
      </c>
      <c r="I181">
        <v>0</v>
      </c>
      <c r="J181">
        <v>3</v>
      </c>
      <c r="K181">
        <v>5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1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2</v>
      </c>
      <c r="AG181">
        <v>0</v>
      </c>
      <c r="AH181">
        <v>0</v>
      </c>
      <c r="AI181">
        <v>1</v>
      </c>
      <c r="AJ181">
        <v>0</v>
      </c>
      <c r="AK181">
        <v>6</v>
      </c>
      <c r="AL181">
        <v>0</v>
      </c>
      <c r="AM181">
        <v>0</v>
      </c>
      <c r="AN181" s="1">
        <v>2</v>
      </c>
    </row>
    <row r="182" spans="1:40" x14ac:dyDescent="0.3">
      <c r="A182" t="s">
        <v>94</v>
      </c>
      <c r="B182" t="s">
        <v>101</v>
      </c>
      <c r="C182" s="3" t="s">
        <v>39</v>
      </c>
      <c r="D182">
        <v>140</v>
      </c>
      <c r="E182">
        <v>0</v>
      </c>
      <c r="F182">
        <v>0</v>
      </c>
      <c r="G182">
        <v>0</v>
      </c>
      <c r="H182">
        <v>60</v>
      </c>
      <c r="I182">
        <v>0</v>
      </c>
      <c r="J182">
        <v>73</v>
      </c>
      <c r="K182">
        <v>0</v>
      </c>
      <c r="L182">
        <v>0</v>
      </c>
      <c r="M182">
        <v>1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2</v>
      </c>
      <c r="AE182">
        <v>0</v>
      </c>
      <c r="AF182">
        <v>0</v>
      </c>
      <c r="AG182">
        <v>4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 s="1">
        <v>0</v>
      </c>
    </row>
    <row r="183" spans="1:40" x14ac:dyDescent="0.3">
      <c r="A183" t="s">
        <v>94</v>
      </c>
      <c r="B183" t="s">
        <v>101</v>
      </c>
      <c r="C183" s="3" t="s">
        <v>42</v>
      </c>
      <c r="D183">
        <v>68</v>
      </c>
      <c r="E183">
        <v>0</v>
      </c>
      <c r="F183">
        <v>0</v>
      </c>
      <c r="G183">
        <v>0</v>
      </c>
      <c r="H183">
        <v>25</v>
      </c>
      <c r="I183">
        <v>0</v>
      </c>
      <c r="J183">
        <v>37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2</v>
      </c>
      <c r="AE183">
        <v>0</v>
      </c>
      <c r="AF183">
        <v>0</v>
      </c>
      <c r="AG183">
        <v>4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 s="1">
        <v>0</v>
      </c>
    </row>
    <row r="184" spans="1:40" x14ac:dyDescent="0.3">
      <c r="A184" t="s">
        <v>94</v>
      </c>
      <c r="B184" t="s">
        <v>101</v>
      </c>
      <c r="C184" s="3" t="s">
        <v>43</v>
      </c>
      <c r="D184">
        <v>72</v>
      </c>
      <c r="E184">
        <v>0</v>
      </c>
      <c r="F184">
        <v>0</v>
      </c>
      <c r="G184">
        <v>0</v>
      </c>
      <c r="H184">
        <v>35</v>
      </c>
      <c r="I184">
        <v>0</v>
      </c>
      <c r="J184">
        <v>36</v>
      </c>
      <c r="K184">
        <v>0</v>
      </c>
      <c r="L184">
        <v>0</v>
      </c>
      <c r="M184">
        <v>1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 s="1">
        <v>0</v>
      </c>
    </row>
    <row r="185" spans="1:40" x14ac:dyDescent="0.3">
      <c r="A185" t="s">
        <v>94</v>
      </c>
      <c r="B185" t="s">
        <v>102</v>
      </c>
      <c r="C185" s="3" t="s">
        <v>39</v>
      </c>
      <c r="D185">
        <v>97</v>
      </c>
      <c r="E185">
        <v>0</v>
      </c>
      <c r="F185">
        <v>0</v>
      </c>
      <c r="G185">
        <v>90</v>
      </c>
      <c r="H185">
        <v>0</v>
      </c>
      <c r="I185">
        <v>0</v>
      </c>
      <c r="J185">
        <v>1</v>
      </c>
      <c r="K185">
        <v>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1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 s="1">
        <v>4</v>
      </c>
    </row>
    <row r="186" spans="1:40" x14ac:dyDescent="0.3">
      <c r="A186" t="s">
        <v>94</v>
      </c>
      <c r="B186" t="s">
        <v>102</v>
      </c>
      <c r="C186" s="3" t="s">
        <v>42</v>
      </c>
      <c r="D186">
        <v>46</v>
      </c>
      <c r="E186">
        <v>0</v>
      </c>
      <c r="F186">
        <v>0</v>
      </c>
      <c r="G186">
        <v>43</v>
      </c>
      <c r="H186">
        <v>0</v>
      </c>
      <c r="I186">
        <v>0</v>
      </c>
      <c r="J186">
        <v>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1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 s="1">
        <v>1</v>
      </c>
    </row>
    <row r="187" spans="1:40" x14ac:dyDescent="0.3">
      <c r="A187" t="s">
        <v>94</v>
      </c>
      <c r="B187" t="s">
        <v>102</v>
      </c>
      <c r="C187" s="3" t="s">
        <v>43</v>
      </c>
      <c r="D187">
        <v>51</v>
      </c>
      <c r="E187">
        <v>0</v>
      </c>
      <c r="F187">
        <v>0</v>
      </c>
      <c r="G187">
        <v>47</v>
      </c>
      <c r="H187">
        <v>0</v>
      </c>
      <c r="I187">
        <v>0</v>
      </c>
      <c r="J187">
        <v>0</v>
      </c>
      <c r="K187">
        <v>1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 s="1">
        <v>3</v>
      </c>
    </row>
    <row r="188" spans="1:40" x14ac:dyDescent="0.3">
      <c r="A188" t="s">
        <v>94</v>
      </c>
      <c r="B188" t="s">
        <v>103</v>
      </c>
      <c r="C188" s="3" t="s">
        <v>39</v>
      </c>
      <c r="D188">
        <v>83</v>
      </c>
      <c r="E188">
        <v>1</v>
      </c>
      <c r="F188">
        <v>0</v>
      </c>
      <c r="G188">
        <v>2</v>
      </c>
      <c r="H188">
        <v>53</v>
      </c>
      <c r="I188">
        <v>0</v>
      </c>
      <c r="J188">
        <v>22</v>
      </c>
      <c r="K188">
        <v>1</v>
      </c>
      <c r="L188">
        <v>0</v>
      </c>
      <c r="M188">
        <v>1</v>
      </c>
      <c r="N188">
        <v>0</v>
      </c>
      <c r="O188">
        <v>1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 s="1">
        <v>2</v>
      </c>
    </row>
    <row r="189" spans="1:40" x14ac:dyDescent="0.3">
      <c r="A189" t="s">
        <v>94</v>
      </c>
      <c r="B189" t="s">
        <v>103</v>
      </c>
      <c r="C189" s="3" t="s">
        <v>42</v>
      </c>
      <c r="D189">
        <v>34</v>
      </c>
      <c r="E189">
        <v>1</v>
      </c>
      <c r="F189">
        <v>0</v>
      </c>
      <c r="G189">
        <v>1</v>
      </c>
      <c r="H189">
        <v>19</v>
      </c>
      <c r="I189">
        <v>0</v>
      </c>
      <c r="J189">
        <v>11</v>
      </c>
      <c r="K189">
        <v>1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 s="1">
        <v>1</v>
      </c>
    </row>
    <row r="190" spans="1:40" x14ac:dyDescent="0.3">
      <c r="A190" t="s">
        <v>94</v>
      </c>
      <c r="B190" t="s">
        <v>103</v>
      </c>
      <c r="C190" s="3" t="s">
        <v>43</v>
      </c>
      <c r="D190">
        <v>49</v>
      </c>
      <c r="E190">
        <v>0</v>
      </c>
      <c r="F190">
        <v>0</v>
      </c>
      <c r="G190">
        <v>1</v>
      </c>
      <c r="H190">
        <v>34</v>
      </c>
      <c r="I190">
        <v>0</v>
      </c>
      <c r="J190">
        <v>11</v>
      </c>
      <c r="K190">
        <v>0</v>
      </c>
      <c r="L190">
        <v>0</v>
      </c>
      <c r="M190">
        <v>1</v>
      </c>
      <c r="N190">
        <v>0</v>
      </c>
      <c r="O190">
        <v>1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 s="1">
        <v>1</v>
      </c>
    </row>
    <row r="191" spans="1:40" x14ac:dyDescent="0.3">
      <c r="A191" t="s">
        <v>94</v>
      </c>
      <c r="B191" t="s">
        <v>104</v>
      </c>
      <c r="C191" s="3" t="s">
        <v>39</v>
      </c>
      <c r="D191">
        <v>77</v>
      </c>
      <c r="E191">
        <v>0</v>
      </c>
      <c r="F191">
        <v>0</v>
      </c>
      <c r="G191">
        <v>67</v>
      </c>
      <c r="H191">
        <v>1</v>
      </c>
      <c r="I191">
        <v>0</v>
      </c>
      <c r="J191">
        <v>1</v>
      </c>
      <c r="K191">
        <v>1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1</v>
      </c>
      <c r="Z191">
        <v>0</v>
      </c>
      <c r="AA191">
        <v>0</v>
      </c>
      <c r="AB191">
        <v>0</v>
      </c>
      <c r="AC191">
        <v>0</v>
      </c>
      <c r="AD191">
        <v>1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 s="1">
        <v>5</v>
      </c>
    </row>
    <row r="192" spans="1:40" x14ac:dyDescent="0.3">
      <c r="A192" t="s">
        <v>94</v>
      </c>
      <c r="B192" t="s">
        <v>104</v>
      </c>
      <c r="C192" s="3" t="s">
        <v>42</v>
      </c>
      <c r="D192">
        <v>29</v>
      </c>
      <c r="E192">
        <v>0</v>
      </c>
      <c r="F192">
        <v>0</v>
      </c>
      <c r="G192">
        <v>23</v>
      </c>
      <c r="H192">
        <v>1</v>
      </c>
      <c r="I192">
        <v>0</v>
      </c>
      <c r="J192">
        <v>1</v>
      </c>
      <c r="K192">
        <v>1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1</v>
      </c>
      <c r="Z192">
        <v>0</v>
      </c>
      <c r="AA192">
        <v>0</v>
      </c>
      <c r="AB192">
        <v>0</v>
      </c>
      <c r="AC192">
        <v>0</v>
      </c>
      <c r="AD192">
        <v>1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 s="1">
        <v>1</v>
      </c>
    </row>
    <row r="193" spans="1:40" x14ac:dyDescent="0.3">
      <c r="A193" t="s">
        <v>94</v>
      </c>
      <c r="B193" t="s">
        <v>104</v>
      </c>
      <c r="C193" s="3" t="s">
        <v>43</v>
      </c>
      <c r="D193">
        <v>48</v>
      </c>
      <c r="E193">
        <v>0</v>
      </c>
      <c r="F193">
        <v>0</v>
      </c>
      <c r="G193">
        <v>44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 s="1">
        <v>4</v>
      </c>
    </row>
    <row r="194" spans="1:40" x14ac:dyDescent="0.3">
      <c r="A194" t="s">
        <v>94</v>
      </c>
      <c r="B194" t="s">
        <v>105</v>
      </c>
      <c r="C194" s="3" t="s">
        <v>39</v>
      </c>
      <c r="D194">
        <v>70</v>
      </c>
      <c r="E194">
        <v>1</v>
      </c>
      <c r="F194">
        <v>0</v>
      </c>
      <c r="G194">
        <v>42</v>
      </c>
      <c r="H194">
        <v>8</v>
      </c>
      <c r="I194">
        <v>0</v>
      </c>
      <c r="J194">
        <v>14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2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1</v>
      </c>
      <c r="AN194" s="1">
        <v>2</v>
      </c>
    </row>
    <row r="195" spans="1:40" x14ac:dyDescent="0.3">
      <c r="A195" t="s">
        <v>94</v>
      </c>
      <c r="B195" t="s">
        <v>105</v>
      </c>
      <c r="C195" s="3" t="s">
        <v>42</v>
      </c>
      <c r="D195">
        <v>41</v>
      </c>
      <c r="E195">
        <v>1</v>
      </c>
      <c r="F195">
        <v>0</v>
      </c>
      <c r="G195">
        <v>29</v>
      </c>
      <c r="H195">
        <v>3</v>
      </c>
      <c r="I195">
        <v>0</v>
      </c>
      <c r="J195">
        <v>7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 s="1">
        <v>0</v>
      </c>
    </row>
    <row r="196" spans="1:40" x14ac:dyDescent="0.3">
      <c r="A196" t="s">
        <v>94</v>
      </c>
      <c r="B196" t="s">
        <v>105</v>
      </c>
      <c r="C196" s="3" t="s">
        <v>43</v>
      </c>
      <c r="D196">
        <v>29</v>
      </c>
      <c r="E196">
        <v>0</v>
      </c>
      <c r="F196">
        <v>0</v>
      </c>
      <c r="G196">
        <v>13</v>
      </c>
      <c r="H196">
        <v>5</v>
      </c>
      <c r="I196">
        <v>0</v>
      </c>
      <c r="J196">
        <v>7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1</v>
      </c>
      <c r="AN196" s="1">
        <v>2</v>
      </c>
    </row>
    <row r="197" spans="1:40" x14ac:dyDescent="0.3">
      <c r="A197" t="s">
        <v>94</v>
      </c>
      <c r="B197" t="s">
        <v>106</v>
      </c>
      <c r="C197" s="3" t="s">
        <v>39</v>
      </c>
      <c r="D197">
        <v>59</v>
      </c>
      <c r="E197">
        <v>0</v>
      </c>
      <c r="F197">
        <v>0</v>
      </c>
      <c r="G197">
        <v>54</v>
      </c>
      <c r="H197">
        <v>0</v>
      </c>
      <c r="I197">
        <v>0</v>
      </c>
      <c r="J197">
        <v>0</v>
      </c>
      <c r="K197">
        <v>2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 s="1">
        <v>3</v>
      </c>
    </row>
    <row r="198" spans="1:40" x14ac:dyDescent="0.3">
      <c r="A198" t="s">
        <v>94</v>
      </c>
      <c r="B198" t="s">
        <v>106</v>
      </c>
      <c r="C198" s="3" t="s">
        <v>42</v>
      </c>
      <c r="D198">
        <v>31</v>
      </c>
      <c r="E198">
        <v>0</v>
      </c>
      <c r="F198">
        <v>0</v>
      </c>
      <c r="G198">
        <v>30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 s="1">
        <v>1</v>
      </c>
    </row>
    <row r="199" spans="1:40" x14ac:dyDescent="0.3">
      <c r="A199" t="s">
        <v>94</v>
      </c>
      <c r="B199" t="s">
        <v>106</v>
      </c>
      <c r="C199" s="3" t="s">
        <v>43</v>
      </c>
      <c r="D199">
        <v>28</v>
      </c>
      <c r="E199">
        <v>0</v>
      </c>
      <c r="F199">
        <v>0</v>
      </c>
      <c r="G199">
        <v>24</v>
      </c>
      <c r="H199">
        <v>0</v>
      </c>
      <c r="I199">
        <v>0</v>
      </c>
      <c r="J199">
        <v>0</v>
      </c>
      <c r="K199">
        <v>2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 s="1">
        <v>2</v>
      </c>
    </row>
    <row r="200" spans="1:40" x14ac:dyDescent="0.3">
      <c r="A200" t="s">
        <v>94</v>
      </c>
      <c r="B200" t="s">
        <v>107</v>
      </c>
      <c r="C200" s="3" t="s">
        <v>39</v>
      </c>
      <c r="D200">
        <v>31</v>
      </c>
      <c r="E200">
        <v>0</v>
      </c>
      <c r="F200">
        <v>0</v>
      </c>
      <c r="G200">
        <v>24</v>
      </c>
      <c r="H200">
        <v>2</v>
      </c>
      <c r="I200">
        <v>0</v>
      </c>
      <c r="J200">
        <v>2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 s="1">
        <v>2</v>
      </c>
    </row>
    <row r="201" spans="1:40" x14ac:dyDescent="0.3">
      <c r="A201" t="s">
        <v>94</v>
      </c>
      <c r="B201" t="s">
        <v>107</v>
      </c>
      <c r="C201" s="3" t="s">
        <v>42</v>
      </c>
      <c r="D201">
        <v>12</v>
      </c>
      <c r="E201">
        <v>0</v>
      </c>
      <c r="F201">
        <v>0</v>
      </c>
      <c r="G201">
        <v>11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 s="1">
        <v>0</v>
      </c>
    </row>
    <row r="202" spans="1:40" x14ac:dyDescent="0.3">
      <c r="A202" t="s">
        <v>94</v>
      </c>
      <c r="B202" t="s">
        <v>107</v>
      </c>
      <c r="C202" s="3" t="s">
        <v>43</v>
      </c>
      <c r="D202">
        <v>19</v>
      </c>
      <c r="E202">
        <v>0</v>
      </c>
      <c r="F202">
        <v>0</v>
      </c>
      <c r="G202">
        <v>13</v>
      </c>
      <c r="H202">
        <v>1</v>
      </c>
      <c r="I202">
        <v>0</v>
      </c>
      <c r="J202">
        <v>2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 s="1">
        <v>2</v>
      </c>
    </row>
    <row r="203" spans="1:40" x14ac:dyDescent="0.3">
      <c r="A203" t="s">
        <v>94</v>
      </c>
      <c r="B203" t="s">
        <v>108</v>
      </c>
      <c r="C203" s="3" t="s">
        <v>39</v>
      </c>
      <c r="D203">
        <v>29</v>
      </c>
      <c r="E203">
        <v>1</v>
      </c>
      <c r="F203">
        <v>0</v>
      </c>
      <c r="G203">
        <v>0</v>
      </c>
      <c r="H203">
        <v>18</v>
      </c>
      <c r="I203">
        <v>0</v>
      </c>
      <c r="J203">
        <v>2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</v>
      </c>
      <c r="AE203">
        <v>0</v>
      </c>
      <c r="AF203">
        <v>1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 s="1">
        <v>6</v>
      </c>
    </row>
    <row r="204" spans="1:40" x14ac:dyDescent="0.3">
      <c r="A204" t="s">
        <v>94</v>
      </c>
      <c r="B204" t="s">
        <v>108</v>
      </c>
      <c r="C204" s="3" t="s">
        <v>42</v>
      </c>
      <c r="D204">
        <v>14</v>
      </c>
      <c r="E204">
        <v>0</v>
      </c>
      <c r="F204">
        <v>0</v>
      </c>
      <c r="G204">
        <v>0</v>
      </c>
      <c r="H204">
        <v>12</v>
      </c>
      <c r="I204">
        <v>0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1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 s="1">
        <v>0</v>
      </c>
    </row>
    <row r="205" spans="1:40" x14ac:dyDescent="0.3">
      <c r="A205" t="s">
        <v>94</v>
      </c>
      <c r="B205" t="s">
        <v>108</v>
      </c>
      <c r="C205" s="3" t="s">
        <v>43</v>
      </c>
      <c r="D205">
        <v>15</v>
      </c>
      <c r="E205">
        <v>1</v>
      </c>
      <c r="F205">
        <v>0</v>
      </c>
      <c r="G205">
        <v>0</v>
      </c>
      <c r="H205">
        <v>6</v>
      </c>
      <c r="I205">
        <v>0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 s="1">
        <v>6</v>
      </c>
    </row>
    <row r="206" spans="1:40" x14ac:dyDescent="0.3">
      <c r="A206" t="s">
        <v>94</v>
      </c>
      <c r="B206" t="s">
        <v>109</v>
      </c>
      <c r="C206" s="3" t="s">
        <v>39</v>
      </c>
      <c r="D206">
        <v>29</v>
      </c>
      <c r="E206">
        <v>2</v>
      </c>
      <c r="F206">
        <v>0</v>
      </c>
      <c r="G206">
        <v>0</v>
      </c>
      <c r="H206">
        <v>4</v>
      </c>
      <c r="I206">
        <v>0</v>
      </c>
      <c r="J206">
        <v>19</v>
      </c>
      <c r="K206">
        <v>0</v>
      </c>
      <c r="L206">
        <v>0</v>
      </c>
      <c r="M206">
        <v>0</v>
      </c>
      <c r="N206">
        <v>0</v>
      </c>
      <c r="O206">
        <v>1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 s="1">
        <v>2</v>
      </c>
    </row>
    <row r="207" spans="1:40" x14ac:dyDescent="0.3">
      <c r="A207" t="s">
        <v>94</v>
      </c>
      <c r="B207" t="s">
        <v>109</v>
      </c>
      <c r="C207" s="3" t="s">
        <v>42</v>
      </c>
      <c r="D207">
        <v>17</v>
      </c>
      <c r="E207">
        <v>0</v>
      </c>
      <c r="F207">
        <v>0</v>
      </c>
      <c r="G207">
        <v>0</v>
      </c>
      <c r="H207">
        <v>2</v>
      </c>
      <c r="I207">
        <v>0</v>
      </c>
      <c r="J207">
        <v>14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 s="1">
        <v>0</v>
      </c>
    </row>
    <row r="208" spans="1:40" x14ac:dyDescent="0.3">
      <c r="A208" t="s">
        <v>94</v>
      </c>
      <c r="B208" t="s">
        <v>109</v>
      </c>
      <c r="C208" s="3" t="s">
        <v>43</v>
      </c>
      <c r="D208">
        <v>12</v>
      </c>
      <c r="E208">
        <v>2</v>
      </c>
      <c r="F208">
        <v>0</v>
      </c>
      <c r="G208">
        <v>0</v>
      </c>
      <c r="H208">
        <v>2</v>
      </c>
      <c r="I208">
        <v>0</v>
      </c>
      <c r="J208">
        <v>5</v>
      </c>
      <c r="K208">
        <v>0</v>
      </c>
      <c r="L208">
        <v>0</v>
      </c>
      <c r="M208">
        <v>0</v>
      </c>
      <c r="N208">
        <v>0</v>
      </c>
      <c r="O208">
        <v>1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 s="1">
        <v>2</v>
      </c>
    </row>
    <row r="209" spans="1:40" x14ac:dyDescent="0.3">
      <c r="A209" t="s">
        <v>94</v>
      </c>
      <c r="B209" t="s">
        <v>110</v>
      </c>
      <c r="C209" s="3" t="s">
        <v>39</v>
      </c>
      <c r="D209">
        <v>24</v>
      </c>
      <c r="E209">
        <v>0</v>
      </c>
      <c r="F209">
        <v>0</v>
      </c>
      <c r="G209">
        <v>17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 s="1">
        <v>7</v>
      </c>
    </row>
    <row r="210" spans="1:40" x14ac:dyDescent="0.3">
      <c r="A210" t="s">
        <v>94</v>
      </c>
      <c r="B210" t="s">
        <v>110</v>
      </c>
      <c r="C210" s="3" t="s">
        <v>42</v>
      </c>
      <c r="D210">
        <v>11</v>
      </c>
      <c r="E210">
        <v>0</v>
      </c>
      <c r="F210">
        <v>0</v>
      </c>
      <c r="G210">
        <v>9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 s="1">
        <v>2</v>
      </c>
    </row>
    <row r="211" spans="1:40" x14ac:dyDescent="0.3">
      <c r="A211" t="s">
        <v>94</v>
      </c>
      <c r="B211" t="s">
        <v>110</v>
      </c>
      <c r="C211" s="3" t="s">
        <v>43</v>
      </c>
      <c r="D211">
        <v>13</v>
      </c>
      <c r="E211">
        <v>0</v>
      </c>
      <c r="F211">
        <v>0</v>
      </c>
      <c r="G211">
        <v>8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 s="1">
        <v>5</v>
      </c>
    </row>
    <row r="212" spans="1:40" x14ac:dyDescent="0.3">
      <c r="A212" t="s">
        <v>94</v>
      </c>
      <c r="B212" t="s">
        <v>111</v>
      </c>
      <c r="C212" s="3" t="s">
        <v>39</v>
      </c>
      <c r="D212">
        <v>20</v>
      </c>
      <c r="E212">
        <v>0</v>
      </c>
      <c r="F212">
        <v>1</v>
      </c>
      <c r="G212">
        <v>14</v>
      </c>
      <c r="H212">
        <v>2</v>
      </c>
      <c r="I212">
        <v>0</v>
      </c>
      <c r="J212">
        <v>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 s="1">
        <v>1</v>
      </c>
    </row>
    <row r="213" spans="1:40" x14ac:dyDescent="0.3">
      <c r="A213" t="s">
        <v>94</v>
      </c>
      <c r="B213" t="s">
        <v>111</v>
      </c>
      <c r="C213" s="3" t="s">
        <v>42</v>
      </c>
      <c r="D213">
        <v>9</v>
      </c>
      <c r="E213">
        <v>0</v>
      </c>
      <c r="F213">
        <v>1</v>
      </c>
      <c r="G213">
        <v>5</v>
      </c>
      <c r="H213">
        <v>1</v>
      </c>
      <c r="I213">
        <v>0</v>
      </c>
      <c r="J213">
        <v>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 s="1">
        <v>1</v>
      </c>
    </row>
    <row r="214" spans="1:40" x14ac:dyDescent="0.3">
      <c r="A214" t="s">
        <v>94</v>
      </c>
      <c r="B214" t="s">
        <v>111</v>
      </c>
      <c r="C214" s="3" t="s">
        <v>43</v>
      </c>
      <c r="D214">
        <v>11</v>
      </c>
      <c r="E214">
        <v>0</v>
      </c>
      <c r="F214">
        <v>0</v>
      </c>
      <c r="G214">
        <v>9</v>
      </c>
      <c r="H214">
        <v>1</v>
      </c>
      <c r="I214">
        <v>0</v>
      </c>
      <c r="J214">
        <v>1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 s="1">
        <v>0</v>
      </c>
    </row>
    <row r="215" spans="1:40" x14ac:dyDescent="0.3">
      <c r="A215" t="s">
        <v>94</v>
      </c>
      <c r="B215" t="s">
        <v>112</v>
      </c>
      <c r="C215" s="3" t="s">
        <v>39</v>
      </c>
      <c r="D215">
        <v>14</v>
      </c>
      <c r="E215">
        <v>0</v>
      </c>
      <c r="F215">
        <v>0</v>
      </c>
      <c r="G215">
        <v>9</v>
      </c>
      <c r="H215">
        <v>0</v>
      </c>
      <c r="I215">
        <v>0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 s="1">
        <v>4</v>
      </c>
    </row>
    <row r="216" spans="1:40" x14ac:dyDescent="0.3">
      <c r="A216" t="s">
        <v>94</v>
      </c>
      <c r="B216" t="s">
        <v>112</v>
      </c>
      <c r="C216" s="3" t="s">
        <v>42</v>
      </c>
      <c r="D216">
        <v>4</v>
      </c>
      <c r="E216">
        <v>0</v>
      </c>
      <c r="F216">
        <v>0</v>
      </c>
      <c r="G216">
        <v>3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 s="1">
        <v>1</v>
      </c>
    </row>
    <row r="217" spans="1:40" x14ac:dyDescent="0.3">
      <c r="A217" t="s">
        <v>94</v>
      </c>
      <c r="B217" t="s">
        <v>112</v>
      </c>
      <c r="C217" s="3" t="s">
        <v>43</v>
      </c>
      <c r="D217">
        <v>10</v>
      </c>
      <c r="E217">
        <v>0</v>
      </c>
      <c r="F217">
        <v>0</v>
      </c>
      <c r="G217">
        <v>6</v>
      </c>
      <c r="H217">
        <v>0</v>
      </c>
      <c r="I217">
        <v>0</v>
      </c>
      <c r="J217">
        <v>1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 s="1">
        <v>3</v>
      </c>
    </row>
    <row r="218" spans="1:40" x14ac:dyDescent="0.3">
      <c r="A218" t="s">
        <v>94</v>
      </c>
      <c r="B218" t="s">
        <v>113</v>
      </c>
      <c r="C218" s="3" t="s">
        <v>39</v>
      </c>
      <c r="D218">
        <v>14</v>
      </c>
      <c r="E218">
        <v>0</v>
      </c>
      <c r="F218">
        <v>0</v>
      </c>
      <c r="G218">
        <v>13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 s="1">
        <v>1</v>
      </c>
    </row>
    <row r="219" spans="1:40" x14ac:dyDescent="0.3">
      <c r="A219" t="s">
        <v>94</v>
      </c>
      <c r="B219" t="s">
        <v>113</v>
      </c>
      <c r="C219" s="3" t="s">
        <v>42</v>
      </c>
      <c r="D219">
        <v>8</v>
      </c>
      <c r="E219">
        <v>0</v>
      </c>
      <c r="F219">
        <v>0</v>
      </c>
      <c r="G219">
        <v>8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 s="1">
        <v>0</v>
      </c>
    </row>
    <row r="220" spans="1:40" x14ac:dyDescent="0.3">
      <c r="A220" t="s">
        <v>94</v>
      </c>
      <c r="B220" t="s">
        <v>113</v>
      </c>
      <c r="C220" s="3" t="s">
        <v>43</v>
      </c>
      <c r="D220">
        <v>6</v>
      </c>
      <c r="E220">
        <v>0</v>
      </c>
      <c r="F220">
        <v>0</v>
      </c>
      <c r="G220">
        <v>5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 s="1">
        <v>1</v>
      </c>
    </row>
    <row r="221" spans="1:40" x14ac:dyDescent="0.3">
      <c r="A221" t="s">
        <v>94</v>
      </c>
      <c r="B221" t="s">
        <v>114</v>
      </c>
      <c r="C221" s="3" t="s">
        <v>39</v>
      </c>
      <c r="D221">
        <v>14</v>
      </c>
      <c r="E221">
        <v>0</v>
      </c>
      <c r="F221">
        <v>0</v>
      </c>
      <c r="G221">
        <v>12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2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 s="1">
        <v>0</v>
      </c>
    </row>
    <row r="222" spans="1:40" x14ac:dyDescent="0.3">
      <c r="A222" t="s">
        <v>94</v>
      </c>
      <c r="B222" t="s">
        <v>114</v>
      </c>
      <c r="C222" s="3" t="s">
        <v>42</v>
      </c>
      <c r="D222">
        <v>12</v>
      </c>
      <c r="E222">
        <v>0</v>
      </c>
      <c r="F222">
        <v>0</v>
      </c>
      <c r="G222">
        <v>11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 s="1">
        <v>0</v>
      </c>
    </row>
    <row r="223" spans="1:40" x14ac:dyDescent="0.3">
      <c r="A223" t="s">
        <v>94</v>
      </c>
      <c r="B223" t="s">
        <v>114</v>
      </c>
      <c r="C223" s="3" t="s">
        <v>43</v>
      </c>
      <c r="D223">
        <v>2</v>
      </c>
      <c r="E223">
        <v>0</v>
      </c>
      <c r="F223">
        <v>0</v>
      </c>
      <c r="G223">
        <v>1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 s="1">
        <v>0</v>
      </c>
    </row>
    <row r="224" spans="1:40" x14ac:dyDescent="0.3">
      <c r="A224" t="s">
        <v>94</v>
      </c>
      <c r="B224" t="s">
        <v>115</v>
      </c>
      <c r="C224" s="3" t="s">
        <v>39</v>
      </c>
      <c r="D224">
        <v>12</v>
      </c>
      <c r="E224">
        <v>1</v>
      </c>
      <c r="F224">
        <v>0</v>
      </c>
      <c r="G224">
        <v>8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 s="1">
        <v>3</v>
      </c>
    </row>
    <row r="225" spans="1:40" x14ac:dyDescent="0.3">
      <c r="A225" t="s">
        <v>94</v>
      </c>
      <c r="B225" t="s">
        <v>115</v>
      </c>
      <c r="C225" s="3" t="s">
        <v>42</v>
      </c>
      <c r="D225">
        <v>7</v>
      </c>
      <c r="E225">
        <v>1</v>
      </c>
      <c r="F225">
        <v>0</v>
      </c>
      <c r="G225">
        <v>5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 s="1">
        <v>1</v>
      </c>
    </row>
    <row r="226" spans="1:40" x14ac:dyDescent="0.3">
      <c r="A226" t="s">
        <v>94</v>
      </c>
      <c r="B226" t="s">
        <v>115</v>
      </c>
      <c r="C226" s="3" t="s">
        <v>43</v>
      </c>
      <c r="D226">
        <v>5</v>
      </c>
      <c r="E226">
        <v>0</v>
      </c>
      <c r="F226">
        <v>0</v>
      </c>
      <c r="G226">
        <v>3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 s="1">
        <v>2</v>
      </c>
    </row>
    <row r="227" spans="1:40" x14ac:dyDescent="0.3">
      <c r="A227" t="s">
        <v>94</v>
      </c>
      <c r="B227" t="s">
        <v>116</v>
      </c>
      <c r="C227" s="3" t="s">
        <v>39</v>
      </c>
      <c r="D227">
        <v>12</v>
      </c>
      <c r="E227">
        <v>0</v>
      </c>
      <c r="F227">
        <v>0</v>
      </c>
      <c r="G227">
        <v>10</v>
      </c>
      <c r="H227">
        <v>0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 s="1">
        <v>1</v>
      </c>
    </row>
    <row r="228" spans="1:40" x14ac:dyDescent="0.3">
      <c r="A228" t="s">
        <v>94</v>
      </c>
      <c r="B228" t="s">
        <v>116</v>
      </c>
      <c r="C228" s="3" t="s">
        <v>42</v>
      </c>
      <c r="D228">
        <v>5</v>
      </c>
      <c r="E228">
        <v>0</v>
      </c>
      <c r="F228">
        <v>0</v>
      </c>
      <c r="G228">
        <v>5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 s="1">
        <v>0</v>
      </c>
    </row>
    <row r="229" spans="1:40" x14ac:dyDescent="0.3">
      <c r="A229" t="s">
        <v>94</v>
      </c>
      <c r="B229" t="s">
        <v>116</v>
      </c>
      <c r="C229" s="3" t="s">
        <v>43</v>
      </c>
      <c r="D229">
        <v>7</v>
      </c>
      <c r="E229">
        <v>0</v>
      </c>
      <c r="F229">
        <v>0</v>
      </c>
      <c r="G229">
        <v>5</v>
      </c>
      <c r="H229">
        <v>0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 s="1">
        <v>1</v>
      </c>
    </row>
    <row r="230" spans="1:40" x14ac:dyDescent="0.3">
      <c r="A230" t="s">
        <v>94</v>
      </c>
      <c r="B230" t="s">
        <v>117</v>
      </c>
      <c r="C230" s="3" t="s">
        <v>39</v>
      </c>
      <c r="D230">
        <v>11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5</v>
      </c>
      <c r="K230">
        <v>2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2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 s="1">
        <v>2</v>
      </c>
    </row>
    <row r="231" spans="1:40" x14ac:dyDescent="0.3">
      <c r="A231" t="s">
        <v>94</v>
      </c>
      <c r="B231" t="s">
        <v>117</v>
      </c>
      <c r="C231" s="3" t="s">
        <v>42</v>
      </c>
      <c r="D231">
        <v>8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3</v>
      </c>
      <c r="K231">
        <v>1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2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 s="1">
        <v>2</v>
      </c>
    </row>
    <row r="232" spans="1:40" x14ac:dyDescent="0.3">
      <c r="A232" t="s">
        <v>94</v>
      </c>
      <c r="B232" t="s">
        <v>117</v>
      </c>
      <c r="C232" s="3" t="s">
        <v>43</v>
      </c>
      <c r="D232">
        <v>3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2</v>
      </c>
      <c r="K232">
        <v>1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 s="1">
        <v>0</v>
      </c>
    </row>
    <row r="233" spans="1:40" x14ac:dyDescent="0.3">
      <c r="A233" t="s">
        <v>94</v>
      </c>
      <c r="B233" t="s">
        <v>118</v>
      </c>
      <c r="C233" s="3" t="s">
        <v>39</v>
      </c>
      <c r="D233">
        <v>8</v>
      </c>
      <c r="E233">
        <v>0</v>
      </c>
      <c r="F233">
        <v>0</v>
      </c>
      <c r="G233">
        <v>4</v>
      </c>
      <c r="H233">
        <v>0</v>
      </c>
      <c r="I233">
        <v>0</v>
      </c>
      <c r="J233">
        <v>2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 s="1">
        <v>2</v>
      </c>
    </row>
    <row r="234" spans="1:40" x14ac:dyDescent="0.3">
      <c r="A234" t="s">
        <v>94</v>
      </c>
      <c r="B234" t="s">
        <v>118</v>
      </c>
      <c r="C234" s="3" t="s">
        <v>42</v>
      </c>
      <c r="D234">
        <v>4</v>
      </c>
      <c r="E234">
        <v>0</v>
      </c>
      <c r="F234">
        <v>0</v>
      </c>
      <c r="G234">
        <v>3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 s="1">
        <v>1</v>
      </c>
    </row>
    <row r="235" spans="1:40" x14ac:dyDescent="0.3">
      <c r="A235" t="s">
        <v>94</v>
      </c>
      <c r="B235" t="s">
        <v>118</v>
      </c>
      <c r="C235" s="3" t="s">
        <v>43</v>
      </c>
      <c r="D235">
        <v>4</v>
      </c>
      <c r="E235">
        <v>0</v>
      </c>
      <c r="F235">
        <v>0</v>
      </c>
      <c r="G235">
        <v>1</v>
      </c>
      <c r="H235">
        <v>0</v>
      </c>
      <c r="I235">
        <v>0</v>
      </c>
      <c r="J235">
        <v>2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 s="1">
        <v>1</v>
      </c>
    </row>
    <row r="236" spans="1:40" x14ac:dyDescent="0.3">
      <c r="A236" t="s">
        <v>94</v>
      </c>
      <c r="B236" t="s">
        <v>119</v>
      </c>
      <c r="C236" s="3" t="s">
        <v>39</v>
      </c>
      <c r="D236">
        <v>7</v>
      </c>
      <c r="E236">
        <v>0</v>
      </c>
      <c r="F236">
        <v>0</v>
      </c>
      <c r="G236">
        <v>7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 s="1">
        <v>0</v>
      </c>
    </row>
    <row r="237" spans="1:40" x14ac:dyDescent="0.3">
      <c r="A237" t="s">
        <v>94</v>
      </c>
      <c r="B237" t="s">
        <v>119</v>
      </c>
      <c r="C237" s="3" t="s">
        <v>42</v>
      </c>
      <c r="D237">
        <v>3</v>
      </c>
      <c r="E237">
        <v>0</v>
      </c>
      <c r="F237">
        <v>0</v>
      </c>
      <c r="G237">
        <v>3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 s="1">
        <v>0</v>
      </c>
    </row>
    <row r="238" spans="1:40" x14ac:dyDescent="0.3">
      <c r="A238" t="s">
        <v>94</v>
      </c>
      <c r="B238" t="s">
        <v>119</v>
      </c>
      <c r="C238" s="3" t="s">
        <v>43</v>
      </c>
      <c r="D238">
        <v>4</v>
      </c>
      <c r="E238">
        <v>0</v>
      </c>
      <c r="F238">
        <v>0</v>
      </c>
      <c r="G238">
        <v>4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 s="1">
        <v>0</v>
      </c>
    </row>
    <row r="239" spans="1:40" x14ac:dyDescent="0.3">
      <c r="A239" t="s">
        <v>94</v>
      </c>
      <c r="B239" t="s">
        <v>120</v>
      </c>
      <c r="C239" s="3" t="s">
        <v>39</v>
      </c>
      <c r="D239">
        <v>6</v>
      </c>
      <c r="E239">
        <v>0</v>
      </c>
      <c r="F239">
        <v>0</v>
      </c>
      <c r="G239">
        <v>6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 s="1">
        <v>0</v>
      </c>
    </row>
    <row r="240" spans="1:40" x14ac:dyDescent="0.3">
      <c r="A240" t="s">
        <v>94</v>
      </c>
      <c r="B240" t="s">
        <v>120</v>
      </c>
      <c r="C240" s="3" t="s">
        <v>42</v>
      </c>
      <c r="D240">
        <v>6</v>
      </c>
      <c r="E240">
        <v>0</v>
      </c>
      <c r="F240">
        <v>0</v>
      </c>
      <c r="G240">
        <v>6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 s="1">
        <v>0</v>
      </c>
    </row>
    <row r="241" spans="1:40" x14ac:dyDescent="0.3">
      <c r="A241" t="s">
        <v>94</v>
      </c>
      <c r="B241" t="s">
        <v>121</v>
      </c>
      <c r="C241" s="3" t="s">
        <v>39</v>
      </c>
      <c r="D241">
        <v>5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5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 s="1">
        <v>0</v>
      </c>
    </row>
    <row r="242" spans="1:40" x14ac:dyDescent="0.3">
      <c r="A242" t="s">
        <v>94</v>
      </c>
      <c r="B242" t="s">
        <v>121</v>
      </c>
      <c r="C242" s="3" t="s">
        <v>42</v>
      </c>
      <c r="D242">
        <v>2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2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 s="1">
        <v>0</v>
      </c>
    </row>
    <row r="243" spans="1:40" x14ac:dyDescent="0.3">
      <c r="A243" t="s">
        <v>94</v>
      </c>
      <c r="B243" t="s">
        <v>121</v>
      </c>
      <c r="C243" s="3" t="s">
        <v>43</v>
      </c>
      <c r="D243">
        <v>3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3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 s="1">
        <v>0</v>
      </c>
    </row>
    <row r="244" spans="1:40" x14ac:dyDescent="0.3">
      <c r="A244" t="s">
        <v>94</v>
      </c>
      <c r="B244" t="s">
        <v>122</v>
      </c>
      <c r="C244" s="3" t="s">
        <v>39</v>
      </c>
      <c r="D244">
        <v>4</v>
      </c>
      <c r="E244">
        <v>0</v>
      </c>
      <c r="F244">
        <v>0</v>
      </c>
      <c r="G244">
        <v>3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 s="1">
        <v>1</v>
      </c>
    </row>
    <row r="245" spans="1:40" x14ac:dyDescent="0.3">
      <c r="A245" t="s">
        <v>94</v>
      </c>
      <c r="B245" t="s">
        <v>122</v>
      </c>
      <c r="C245" s="3" t="s">
        <v>42</v>
      </c>
      <c r="D245">
        <v>2</v>
      </c>
      <c r="E245">
        <v>0</v>
      </c>
      <c r="F245">
        <v>0</v>
      </c>
      <c r="G245">
        <v>1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 s="1">
        <v>1</v>
      </c>
    </row>
    <row r="246" spans="1:40" x14ac:dyDescent="0.3">
      <c r="A246" t="s">
        <v>94</v>
      </c>
      <c r="B246" t="s">
        <v>122</v>
      </c>
      <c r="C246" s="3" t="s">
        <v>43</v>
      </c>
      <c r="D246">
        <v>2</v>
      </c>
      <c r="E246">
        <v>0</v>
      </c>
      <c r="F246">
        <v>0</v>
      </c>
      <c r="G246">
        <v>2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 s="1">
        <v>0</v>
      </c>
    </row>
    <row r="247" spans="1:40" x14ac:dyDescent="0.3">
      <c r="A247" t="s">
        <v>94</v>
      </c>
      <c r="B247" t="s">
        <v>123</v>
      </c>
      <c r="C247" s="3" t="s">
        <v>39</v>
      </c>
      <c r="D247">
        <v>4</v>
      </c>
      <c r="E247">
        <v>0</v>
      </c>
      <c r="F247">
        <v>0</v>
      </c>
      <c r="G247">
        <v>4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 s="1">
        <v>0</v>
      </c>
    </row>
    <row r="248" spans="1:40" x14ac:dyDescent="0.3">
      <c r="A248" t="s">
        <v>94</v>
      </c>
      <c r="B248" t="s">
        <v>123</v>
      </c>
      <c r="C248" s="3" t="s">
        <v>42</v>
      </c>
      <c r="D248">
        <v>3</v>
      </c>
      <c r="E248">
        <v>0</v>
      </c>
      <c r="F248">
        <v>0</v>
      </c>
      <c r="G248">
        <v>3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 s="1">
        <v>0</v>
      </c>
    </row>
    <row r="249" spans="1:40" x14ac:dyDescent="0.3">
      <c r="A249" t="s">
        <v>94</v>
      </c>
      <c r="B249" t="s">
        <v>123</v>
      </c>
      <c r="C249" s="3" t="s">
        <v>43</v>
      </c>
      <c r="D249">
        <v>1</v>
      </c>
      <c r="E249">
        <v>0</v>
      </c>
      <c r="F249">
        <v>0</v>
      </c>
      <c r="G249">
        <v>1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 s="1">
        <v>0</v>
      </c>
    </row>
    <row r="250" spans="1:40" x14ac:dyDescent="0.3">
      <c r="A250" t="s">
        <v>94</v>
      </c>
      <c r="B250" t="s">
        <v>124</v>
      </c>
      <c r="C250" s="3" t="s">
        <v>39</v>
      </c>
      <c r="D250">
        <v>4</v>
      </c>
      <c r="E250">
        <v>0</v>
      </c>
      <c r="F250">
        <v>0</v>
      </c>
      <c r="G250">
        <v>4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 s="1">
        <v>0</v>
      </c>
    </row>
    <row r="251" spans="1:40" x14ac:dyDescent="0.3">
      <c r="A251" t="s">
        <v>94</v>
      </c>
      <c r="B251" t="s">
        <v>124</v>
      </c>
      <c r="C251" s="3" t="s">
        <v>42</v>
      </c>
      <c r="D251">
        <v>2</v>
      </c>
      <c r="E251">
        <v>0</v>
      </c>
      <c r="F251">
        <v>0</v>
      </c>
      <c r="G251">
        <v>2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 s="1">
        <v>0</v>
      </c>
    </row>
    <row r="252" spans="1:40" x14ac:dyDescent="0.3">
      <c r="A252" t="s">
        <v>94</v>
      </c>
      <c r="B252" t="s">
        <v>124</v>
      </c>
      <c r="C252" s="3" t="s">
        <v>43</v>
      </c>
      <c r="D252">
        <v>2</v>
      </c>
      <c r="E252">
        <v>0</v>
      </c>
      <c r="F252">
        <v>0</v>
      </c>
      <c r="G252">
        <v>2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 s="1">
        <v>0</v>
      </c>
    </row>
    <row r="253" spans="1:40" x14ac:dyDescent="0.3">
      <c r="A253" t="s">
        <v>94</v>
      </c>
      <c r="B253" t="s">
        <v>125</v>
      </c>
      <c r="C253" s="3" t="s">
        <v>39</v>
      </c>
      <c r="D253">
        <v>2</v>
      </c>
      <c r="E253">
        <v>0</v>
      </c>
      <c r="F253">
        <v>0</v>
      </c>
      <c r="G253">
        <v>1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 s="1">
        <v>0</v>
      </c>
    </row>
    <row r="254" spans="1:40" x14ac:dyDescent="0.3">
      <c r="A254" t="s">
        <v>94</v>
      </c>
      <c r="B254" t="s">
        <v>125</v>
      </c>
      <c r="C254" s="3" t="s">
        <v>42</v>
      </c>
      <c r="D254">
        <v>2</v>
      </c>
      <c r="E254">
        <v>0</v>
      </c>
      <c r="F254">
        <v>0</v>
      </c>
      <c r="G254">
        <v>1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 s="1">
        <v>0</v>
      </c>
    </row>
    <row r="255" spans="1:40" x14ac:dyDescent="0.3">
      <c r="A255" t="s">
        <v>94</v>
      </c>
      <c r="B255" t="s">
        <v>126</v>
      </c>
      <c r="C255" s="3" t="s">
        <v>39</v>
      </c>
      <c r="D255">
        <v>1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 s="1">
        <v>1</v>
      </c>
    </row>
    <row r="256" spans="1:40" x14ac:dyDescent="0.3">
      <c r="A256" t="s">
        <v>94</v>
      </c>
      <c r="B256" t="s">
        <v>126</v>
      </c>
      <c r="C256" s="3" t="s">
        <v>42</v>
      </c>
      <c r="D256">
        <v>1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 s="1">
        <v>1</v>
      </c>
    </row>
    <row r="257" spans="1:40" x14ac:dyDescent="0.3">
      <c r="A257" t="s">
        <v>94</v>
      </c>
      <c r="B257" t="s">
        <v>127</v>
      </c>
      <c r="C257" s="3" t="s">
        <v>39</v>
      </c>
      <c r="D257">
        <v>1</v>
      </c>
      <c r="E257">
        <v>0</v>
      </c>
      <c r="F257">
        <v>0</v>
      </c>
      <c r="G257">
        <v>0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 s="1">
        <v>0</v>
      </c>
    </row>
    <row r="258" spans="1:40" x14ac:dyDescent="0.3">
      <c r="A258" t="s">
        <v>94</v>
      </c>
      <c r="B258" t="s">
        <v>127</v>
      </c>
      <c r="C258" s="3" t="s">
        <v>43</v>
      </c>
      <c r="D258">
        <v>1</v>
      </c>
      <c r="E258">
        <v>0</v>
      </c>
      <c r="F258">
        <v>0</v>
      </c>
      <c r="G258">
        <v>0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 s="1">
        <v>0</v>
      </c>
    </row>
    <row r="259" spans="1:40" x14ac:dyDescent="0.3">
      <c r="A259" t="s">
        <v>128</v>
      </c>
      <c r="B259" t="s">
        <v>39</v>
      </c>
      <c r="C259" s="3" t="s">
        <v>39</v>
      </c>
      <c r="D259" s="1">
        <v>27955</v>
      </c>
      <c r="E259">
        <v>68</v>
      </c>
      <c r="F259">
        <v>36</v>
      </c>
      <c r="G259" s="1">
        <v>25346</v>
      </c>
      <c r="H259">
        <v>579</v>
      </c>
      <c r="I259">
        <v>1</v>
      </c>
      <c r="J259">
        <v>706</v>
      </c>
      <c r="K259">
        <v>285</v>
      </c>
      <c r="L259">
        <v>1</v>
      </c>
      <c r="M259">
        <v>17</v>
      </c>
      <c r="N259">
        <v>1</v>
      </c>
      <c r="O259">
        <v>108</v>
      </c>
      <c r="P259">
        <v>0</v>
      </c>
      <c r="Q259">
        <v>0</v>
      </c>
      <c r="R259">
        <v>1</v>
      </c>
      <c r="S259">
        <v>8</v>
      </c>
      <c r="T259">
        <v>9</v>
      </c>
      <c r="U259">
        <v>1</v>
      </c>
      <c r="V259">
        <v>1</v>
      </c>
      <c r="W259">
        <v>7</v>
      </c>
      <c r="X259">
        <v>4</v>
      </c>
      <c r="Y259">
        <v>38</v>
      </c>
      <c r="Z259">
        <v>10</v>
      </c>
      <c r="AA259">
        <v>0</v>
      </c>
      <c r="AB259">
        <v>0</v>
      </c>
      <c r="AC259">
        <v>0</v>
      </c>
      <c r="AD259">
        <v>31</v>
      </c>
      <c r="AE259">
        <v>17</v>
      </c>
      <c r="AF259">
        <v>47</v>
      </c>
      <c r="AG259">
        <v>282</v>
      </c>
      <c r="AH259">
        <v>19</v>
      </c>
      <c r="AI259">
        <v>57</v>
      </c>
      <c r="AJ259">
        <v>2</v>
      </c>
      <c r="AK259">
        <v>83</v>
      </c>
      <c r="AL259">
        <v>6</v>
      </c>
      <c r="AM259">
        <v>23</v>
      </c>
      <c r="AN259" s="1">
        <v>161</v>
      </c>
    </row>
    <row r="260" spans="1:40" x14ac:dyDescent="0.3">
      <c r="A260" t="s">
        <v>128</v>
      </c>
      <c r="B260" t="s">
        <v>39</v>
      </c>
      <c r="C260" s="3" t="s">
        <v>42</v>
      </c>
      <c r="D260" s="1">
        <f>D264+D267+D270+D273+D276+D279+D282+D285+D288+D291+D294+D297+D300+D303+D306+D309+D312+D315+D318+D324+D321+D327+D330+D333+D336+D339+D342+D345+D348+D351+D354+D357+D360+D366+D363+D369+D372+D375+D378+D381+D385+D388+D391+D394+D397+D400+D403+D406+D410+D412</f>
        <v>14650</v>
      </c>
      <c r="E260" s="1">
        <f t="shared" ref="E260:AN260" si="10">E264+E267+E270+E273+E276+E279+E282+E285+E288+E291+E294+E297+E300+E303+E306+E309+E312+E315+E318+E324+E321+E327+E330+E333+E336+E339+E342+E345+E348+E351+E354+E357+E360+E366+E363+E369+E372+E375+E378+E381+E385+E388+E391+E394+E397+E400+E403+E406+E410+E412</f>
        <v>35</v>
      </c>
      <c r="F260" s="1">
        <f t="shared" si="10"/>
        <v>25</v>
      </c>
      <c r="G260" s="1">
        <f t="shared" si="10"/>
        <v>13324</v>
      </c>
      <c r="H260" s="1">
        <f t="shared" si="10"/>
        <v>409</v>
      </c>
      <c r="I260" s="1">
        <f t="shared" si="10"/>
        <v>1</v>
      </c>
      <c r="J260" s="1">
        <f t="shared" si="10"/>
        <v>375</v>
      </c>
      <c r="K260" s="1">
        <f t="shared" si="10"/>
        <v>122</v>
      </c>
      <c r="L260" s="1">
        <f t="shared" si="10"/>
        <v>1</v>
      </c>
      <c r="M260" s="1">
        <f t="shared" si="10"/>
        <v>4</v>
      </c>
      <c r="N260" s="1">
        <f t="shared" si="10"/>
        <v>1</v>
      </c>
      <c r="O260" s="1">
        <f t="shared" si="10"/>
        <v>20</v>
      </c>
      <c r="P260" s="1">
        <f t="shared" si="10"/>
        <v>0</v>
      </c>
      <c r="Q260" s="1">
        <f t="shared" si="10"/>
        <v>0</v>
      </c>
      <c r="R260" s="1">
        <f t="shared" si="10"/>
        <v>1</v>
      </c>
      <c r="S260" s="1">
        <f t="shared" si="10"/>
        <v>7</v>
      </c>
      <c r="T260" s="1">
        <f t="shared" si="10"/>
        <v>9</v>
      </c>
      <c r="U260" s="1">
        <f t="shared" si="10"/>
        <v>0</v>
      </c>
      <c r="V260" s="1">
        <f t="shared" si="10"/>
        <v>1</v>
      </c>
      <c r="W260" s="1">
        <f t="shared" si="10"/>
        <v>2</v>
      </c>
      <c r="X260" s="1">
        <f t="shared" si="10"/>
        <v>3</v>
      </c>
      <c r="Y260" s="1">
        <f t="shared" si="10"/>
        <v>12</v>
      </c>
      <c r="Z260" s="1">
        <f t="shared" si="10"/>
        <v>6</v>
      </c>
      <c r="AA260" s="1">
        <f t="shared" si="10"/>
        <v>0</v>
      </c>
      <c r="AB260" s="1">
        <f t="shared" si="10"/>
        <v>0</v>
      </c>
      <c r="AC260" s="1">
        <f t="shared" si="10"/>
        <v>0</v>
      </c>
      <c r="AD260" s="1">
        <f t="shared" si="10"/>
        <v>14</v>
      </c>
      <c r="AE260" s="1">
        <f t="shared" si="10"/>
        <v>10</v>
      </c>
      <c r="AF260" s="1">
        <f t="shared" si="10"/>
        <v>14</v>
      </c>
      <c r="AG260" s="1">
        <f t="shared" si="10"/>
        <v>136</v>
      </c>
      <c r="AH260" s="1">
        <f t="shared" si="10"/>
        <v>8</v>
      </c>
      <c r="AI260" s="1">
        <f t="shared" si="10"/>
        <v>19</v>
      </c>
      <c r="AJ260" s="1">
        <f t="shared" si="10"/>
        <v>2</v>
      </c>
      <c r="AK260" s="1">
        <f t="shared" si="10"/>
        <v>23</v>
      </c>
      <c r="AL260" s="1">
        <f t="shared" si="10"/>
        <v>5</v>
      </c>
      <c r="AM260" s="1">
        <f t="shared" si="10"/>
        <v>11</v>
      </c>
      <c r="AN260" s="1">
        <f t="shared" si="10"/>
        <v>50</v>
      </c>
    </row>
    <row r="261" spans="1:40" x14ac:dyDescent="0.3">
      <c r="A261" t="s">
        <v>128</v>
      </c>
      <c r="B261" t="s">
        <v>39</v>
      </c>
      <c r="C261" s="3" t="s">
        <v>43</v>
      </c>
      <c r="D261" s="1">
        <f>D265+D268+D271+D274+D277+D280+D283+D286+D289+D292+D295+D298+D301+D304+D307+D310+D313+D316+D319+D325+D322+D328+D331+D334+D337+D340+D343+D346+D349+D352+D355+D358+D361+D367+D364+D370+D373+D376+D379+D382+D386+D389+D392+D395+D398+D401+D404+D408+D414</f>
        <v>13304</v>
      </c>
      <c r="E261" s="1">
        <f t="shared" ref="E261:AN261" si="11">E265+E268+E271+E274+E277+E280+E283+E286+E289+E292+E295+E298+E301+E304+E307+E310+E313+E316+E319+E325+E322+E328+E331+E334+E337+E340+E343+E346+E349+E352+E355+E358+E361+E367+E364+E370+E373+E376+E379+E382+E386+E389+E392+E395+E398+E401+E404+E408+E414</f>
        <v>33</v>
      </c>
      <c r="F261" s="1">
        <f t="shared" si="11"/>
        <v>11</v>
      </c>
      <c r="G261" s="1">
        <f t="shared" si="11"/>
        <v>12021</v>
      </c>
      <c r="H261" s="1">
        <f t="shared" si="11"/>
        <v>170</v>
      </c>
      <c r="I261" s="1">
        <f t="shared" si="11"/>
        <v>0</v>
      </c>
      <c r="J261" s="1">
        <f t="shared" si="11"/>
        <v>331</v>
      </c>
      <c r="K261" s="1">
        <f t="shared" si="11"/>
        <v>163</v>
      </c>
      <c r="L261" s="1">
        <f t="shared" si="11"/>
        <v>0</v>
      </c>
      <c r="M261" s="1">
        <f t="shared" si="11"/>
        <v>13</v>
      </c>
      <c r="N261" s="1">
        <f t="shared" si="11"/>
        <v>0</v>
      </c>
      <c r="O261" s="1">
        <f t="shared" si="11"/>
        <v>88</v>
      </c>
      <c r="P261" s="1">
        <f t="shared" si="11"/>
        <v>0</v>
      </c>
      <c r="Q261" s="1">
        <f t="shared" si="11"/>
        <v>0</v>
      </c>
      <c r="R261" s="1">
        <f t="shared" si="11"/>
        <v>0</v>
      </c>
      <c r="S261" s="1">
        <f t="shared" si="11"/>
        <v>1</v>
      </c>
      <c r="T261" s="1">
        <f t="shared" si="11"/>
        <v>0</v>
      </c>
      <c r="U261" s="1">
        <f t="shared" si="11"/>
        <v>1</v>
      </c>
      <c r="V261" s="1">
        <f t="shared" si="11"/>
        <v>0</v>
      </c>
      <c r="W261" s="1">
        <f t="shared" si="11"/>
        <v>5</v>
      </c>
      <c r="X261" s="1">
        <f t="shared" si="11"/>
        <v>1</v>
      </c>
      <c r="Y261" s="1">
        <f t="shared" si="11"/>
        <v>26</v>
      </c>
      <c r="Z261" s="1">
        <f t="shared" si="11"/>
        <v>4</v>
      </c>
      <c r="AA261" s="1">
        <f t="shared" si="11"/>
        <v>0</v>
      </c>
      <c r="AB261" s="1">
        <f t="shared" si="11"/>
        <v>0</v>
      </c>
      <c r="AC261" s="1">
        <f t="shared" si="11"/>
        <v>0</v>
      </c>
      <c r="AD261" s="1">
        <f t="shared" si="11"/>
        <v>17</v>
      </c>
      <c r="AE261" s="1">
        <f t="shared" si="11"/>
        <v>7</v>
      </c>
      <c r="AF261" s="1">
        <f t="shared" si="11"/>
        <v>33</v>
      </c>
      <c r="AG261" s="1">
        <f t="shared" si="11"/>
        <v>146</v>
      </c>
      <c r="AH261" s="1">
        <f t="shared" si="11"/>
        <v>11</v>
      </c>
      <c r="AI261" s="1">
        <f t="shared" si="11"/>
        <v>38</v>
      </c>
      <c r="AJ261" s="1">
        <f t="shared" si="11"/>
        <v>0</v>
      </c>
      <c r="AK261" s="1">
        <f t="shared" si="11"/>
        <v>60</v>
      </c>
      <c r="AL261" s="1">
        <f t="shared" si="11"/>
        <v>1</v>
      </c>
      <c r="AM261" s="1">
        <f t="shared" si="11"/>
        <v>12</v>
      </c>
      <c r="AN261" s="1">
        <f t="shared" si="11"/>
        <v>111</v>
      </c>
    </row>
    <row r="262" spans="1:40" x14ac:dyDescent="0.3">
      <c r="A262" t="s">
        <v>128</v>
      </c>
      <c r="B262" t="s">
        <v>39</v>
      </c>
      <c r="C262" s="3" t="s">
        <v>92</v>
      </c>
      <c r="D262" s="1">
        <f>D383</f>
        <v>1</v>
      </c>
      <c r="E262" s="1">
        <f t="shared" ref="E262:AN262" si="12">E383</f>
        <v>0</v>
      </c>
      <c r="F262" s="1">
        <f t="shared" si="12"/>
        <v>0</v>
      </c>
      <c r="G262" s="1">
        <f t="shared" si="12"/>
        <v>1</v>
      </c>
      <c r="H262" s="1">
        <f t="shared" si="12"/>
        <v>0</v>
      </c>
      <c r="I262" s="1">
        <f t="shared" si="12"/>
        <v>0</v>
      </c>
      <c r="J262" s="1">
        <f t="shared" si="12"/>
        <v>0</v>
      </c>
      <c r="K262" s="1">
        <f t="shared" si="12"/>
        <v>0</v>
      </c>
      <c r="L262" s="1">
        <f t="shared" si="12"/>
        <v>0</v>
      </c>
      <c r="M262" s="1">
        <f t="shared" si="12"/>
        <v>0</v>
      </c>
      <c r="N262" s="1">
        <f t="shared" si="12"/>
        <v>0</v>
      </c>
      <c r="O262" s="1">
        <f t="shared" si="12"/>
        <v>0</v>
      </c>
      <c r="P262" s="1">
        <f t="shared" si="12"/>
        <v>0</v>
      </c>
      <c r="Q262" s="1">
        <f t="shared" si="12"/>
        <v>0</v>
      </c>
      <c r="R262" s="1">
        <f t="shared" si="12"/>
        <v>0</v>
      </c>
      <c r="S262" s="1">
        <f t="shared" si="12"/>
        <v>0</v>
      </c>
      <c r="T262" s="1">
        <f t="shared" si="12"/>
        <v>0</v>
      </c>
      <c r="U262" s="1">
        <f t="shared" si="12"/>
        <v>0</v>
      </c>
      <c r="V262" s="1">
        <f t="shared" si="12"/>
        <v>0</v>
      </c>
      <c r="W262" s="1">
        <f t="shared" si="12"/>
        <v>0</v>
      </c>
      <c r="X262" s="1">
        <f t="shared" si="12"/>
        <v>0</v>
      </c>
      <c r="Y262" s="1">
        <f t="shared" si="12"/>
        <v>0</v>
      </c>
      <c r="Z262" s="1">
        <f t="shared" si="12"/>
        <v>0</v>
      </c>
      <c r="AA262" s="1">
        <f t="shared" si="12"/>
        <v>0</v>
      </c>
      <c r="AB262" s="1">
        <f t="shared" si="12"/>
        <v>0</v>
      </c>
      <c r="AC262" s="1">
        <f t="shared" si="12"/>
        <v>0</v>
      </c>
      <c r="AD262" s="1">
        <f t="shared" si="12"/>
        <v>0</v>
      </c>
      <c r="AE262" s="1">
        <f t="shared" si="12"/>
        <v>0</v>
      </c>
      <c r="AF262" s="1">
        <f t="shared" si="12"/>
        <v>0</v>
      </c>
      <c r="AG262" s="1">
        <f t="shared" si="12"/>
        <v>0</v>
      </c>
      <c r="AH262" s="1">
        <f t="shared" si="12"/>
        <v>0</v>
      </c>
      <c r="AI262" s="1">
        <f t="shared" si="12"/>
        <v>0</v>
      </c>
      <c r="AJ262" s="1">
        <f t="shared" si="12"/>
        <v>0</v>
      </c>
      <c r="AK262" s="1">
        <f t="shared" si="12"/>
        <v>0</v>
      </c>
      <c r="AL262" s="1">
        <f t="shared" si="12"/>
        <v>0</v>
      </c>
      <c r="AM262" s="1">
        <f t="shared" si="12"/>
        <v>0</v>
      </c>
      <c r="AN262" s="1">
        <f t="shared" si="12"/>
        <v>0</v>
      </c>
    </row>
    <row r="263" spans="1:40" x14ac:dyDescent="0.3">
      <c r="A263" t="s">
        <v>128</v>
      </c>
      <c r="B263" t="s">
        <v>129</v>
      </c>
      <c r="C263" s="3" t="s">
        <v>39</v>
      </c>
      <c r="D263" s="1">
        <v>8863</v>
      </c>
      <c r="E263">
        <v>13</v>
      </c>
      <c r="F263">
        <v>11</v>
      </c>
      <c r="G263" s="1">
        <v>7876</v>
      </c>
      <c r="H263">
        <v>167</v>
      </c>
      <c r="I263">
        <v>1</v>
      </c>
      <c r="J263">
        <v>466</v>
      </c>
      <c r="K263">
        <v>100</v>
      </c>
      <c r="L263">
        <v>0</v>
      </c>
      <c r="M263">
        <v>1</v>
      </c>
      <c r="N263">
        <v>0</v>
      </c>
      <c r="O263">
        <v>51</v>
      </c>
      <c r="P263">
        <v>0</v>
      </c>
      <c r="Q263">
        <v>0</v>
      </c>
      <c r="R263">
        <v>0</v>
      </c>
      <c r="S263">
        <v>0</v>
      </c>
      <c r="T263">
        <v>2</v>
      </c>
      <c r="U263">
        <v>0</v>
      </c>
      <c r="V263">
        <v>0</v>
      </c>
      <c r="W263">
        <v>0</v>
      </c>
      <c r="X263">
        <v>1</v>
      </c>
      <c r="Y263">
        <v>17</v>
      </c>
      <c r="Z263">
        <v>1</v>
      </c>
      <c r="AA263">
        <v>0</v>
      </c>
      <c r="AB263">
        <v>0</v>
      </c>
      <c r="AC263">
        <v>0</v>
      </c>
      <c r="AD263">
        <v>24</v>
      </c>
      <c r="AE263">
        <v>9</v>
      </c>
      <c r="AF263">
        <v>23</v>
      </c>
      <c r="AG263">
        <v>0</v>
      </c>
      <c r="AH263">
        <v>10</v>
      </c>
      <c r="AI263">
        <v>22</v>
      </c>
      <c r="AJ263">
        <v>2</v>
      </c>
      <c r="AK263">
        <v>0</v>
      </c>
      <c r="AL263">
        <v>0</v>
      </c>
      <c r="AM263">
        <v>3</v>
      </c>
      <c r="AN263" s="1">
        <v>63</v>
      </c>
    </row>
    <row r="264" spans="1:40" x14ac:dyDescent="0.3">
      <c r="A264" t="s">
        <v>128</v>
      </c>
      <c r="B264" t="s">
        <v>129</v>
      </c>
      <c r="C264" s="3" t="s">
        <v>42</v>
      </c>
      <c r="D264" s="1">
        <v>4991</v>
      </c>
      <c r="E264">
        <v>7</v>
      </c>
      <c r="F264">
        <v>10</v>
      </c>
      <c r="G264" s="1">
        <v>4471</v>
      </c>
      <c r="H264">
        <v>147</v>
      </c>
      <c r="I264">
        <v>1</v>
      </c>
      <c r="J264">
        <v>261</v>
      </c>
      <c r="K264">
        <v>28</v>
      </c>
      <c r="L264">
        <v>0</v>
      </c>
      <c r="M264">
        <v>0</v>
      </c>
      <c r="N264">
        <v>0</v>
      </c>
      <c r="O264">
        <v>5</v>
      </c>
      <c r="P264">
        <v>0</v>
      </c>
      <c r="Q264">
        <v>0</v>
      </c>
      <c r="R264">
        <v>0</v>
      </c>
      <c r="S264">
        <v>0</v>
      </c>
      <c r="T264">
        <v>2</v>
      </c>
      <c r="U264">
        <v>0</v>
      </c>
      <c r="V264">
        <v>0</v>
      </c>
      <c r="W264">
        <v>0</v>
      </c>
      <c r="X264">
        <v>1</v>
      </c>
      <c r="Y264">
        <v>5</v>
      </c>
      <c r="Z264">
        <v>1</v>
      </c>
      <c r="AA264">
        <v>0</v>
      </c>
      <c r="AB264">
        <v>0</v>
      </c>
      <c r="AC264">
        <v>0</v>
      </c>
      <c r="AD264">
        <v>9</v>
      </c>
      <c r="AE264">
        <v>5</v>
      </c>
      <c r="AF264">
        <v>7</v>
      </c>
      <c r="AG264">
        <v>0</v>
      </c>
      <c r="AH264">
        <v>2</v>
      </c>
      <c r="AI264">
        <v>4</v>
      </c>
      <c r="AJ264">
        <v>2</v>
      </c>
      <c r="AK264">
        <v>0</v>
      </c>
      <c r="AL264">
        <v>0</v>
      </c>
      <c r="AM264">
        <v>1</v>
      </c>
      <c r="AN264" s="1">
        <v>22</v>
      </c>
    </row>
    <row r="265" spans="1:40" x14ac:dyDescent="0.3">
      <c r="A265" t="s">
        <v>128</v>
      </c>
      <c r="B265" t="s">
        <v>129</v>
      </c>
      <c r="C265" s="3" t="s">
        <v>43</v>
      </c>
      <c r="D265" s="1">
        <v>3872</v>
      </c>
      <c r="E265">
        <v>6</v>
      </c>
      <c r="F265">
        <v>1</v>
      </c>
      <c r="G265" s="1">
        <v>3405</v>
      </c>
      <c r="H265">
        <v>20</v>
      </c>
      <c r="I265">
        <v>0</v>
      </c>
      <c r="J265">
        <v>205</v>
      </c>
      <c r="K265">
        <v>72</v>
      </c>
      <c r="L265">
        <v>0</v>
      </c>
      <c r="M265">
        <v>1</v>
      </c>
      <c r="N265">
        <v>0</v>
      </c>
      <c r="O265">
        <v>46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12</v>
      </c>
      <c r="Z265">
        <v>0</v>
      </c>
      <c r="AA265">
        <v>0</v>
      </c>
      <c r="AB265">
        <v>0</v>
      </c>
      <c r="AC265">
        <v>0</v>
      </c>
      <c r="AD265">
        <v>15</v>
      </c>
      <c r="AE265">
        <v>4</v>
      </c>
      <c r="AF265">
        <v>16</v>
      </c>
      <c r="AG265">
        <v>0</v>
      </c>
      <c r="AH265">
        <v>8</v>
      </c>
      <c r="AI265">
        <v>18</v>
      </c>
      <c r="AJ265">
        <v>0</v>
      </c>
      <c r="AK265">
        <v>0</v>
      </c>
      <c r="AL265">
        <v>0</v>
      </c>
      <c r="AM265">
        <v>2</v>
      </c>
      <c r="AN265" s="1">
        <v>41</v>
      </c>
    </row>
    <row r="266" spans="1:40" x14ac:dyDescent="0.3">
      <c r="A266" t="s">
        <v>128</v>
      </c>
      <c r="B266" t="s">
        <v>130</v>
      </c>
      <c r="C266" s="3" t="s">
        <v>39</v>
      </c>
      <c r="D266" s="1">
        <v>3468</v>
      </c>
      <c r="E266">
        <v>5</v>
      </c>
      <c r="F266">
        <v>10</v>
      </c>
      <c r="G266" s="1">
        <v>3326</v>
      </c>
      <c r="H266">
        <v>7</v>
      </c>
      <c r="I266">
        <v>0</v>
      </c>
      <c r="J266">
        <v>1</v>
      </c>
      <c r="K266">
        <v>12</v>
      </c>
      <c r="L266">
        <v>0</v>
      </c>
      <c r="M266">
        <v>3</v>
      </c>
      <c r="N266">
        <v>0</v>
      </c>
      <c r="O266">
        <v>23</v>
      </c>
      <c r="P266">
        <v>0</v>
      </c>
      <c r="Q266">
        <v>0</v>
      </c>
      <c r="R266">
        <v>1</v>
      </c>
      <c r="S266">
        <v>3</v>
      </c>
      <c r="T266">
        <v>3</v>
      </c>
      <c r="U266">
        <v>1</v>
      </c>
      <c r="V266">
        <v>0</v>
      </c>
      <c r="W266">
        <v>0</v>
      </c>
      <c r="X266">
        <v>1</v>
      </c>
      <c r="Y266">
        <v>1</v>
      </c>
      <c r="Z266">
        <v>2</v>
      </c>
      <c r="AA266">
        <v>0</v>
      </c>
      <c r="AB266">
        <v>0</v>
      </c>
      <c r="AC266">
        <v>0</v>
      </c>
      <c r="AD266">
        <v>0</v>
      </c>
      <c r="AE266">
        <v>2</v>
      </c>
      <c r="AF266">
        <v>5</v>
      </c>
      <c r="AG266">
        <v>7</v>
      </c>
      <c r="AH266">
        <v>1</v>
      </c>
      <c r="AI266">
        <v>6</v>
      </c>
      <c r="AJ266">
        <v>0</v>
      </c>
      <c r="AK266">
        <v>43</v>
      </c>
      <c r="AL266">
        <v>0</v>
      </c>
      <c r="AM266">
        <v>0</v>
      </c>
      <c r="AN266" s="1">
        <v>5</v>
      </c>
    </row>
    <row r="267" spans="1:40" x14ac:dyDescent="0.3">
      <c r="A267" t="s">
        <v>128</v>
      </c>
      <c r="B267" t="s">
        <v>130</v>
      </c>
      <c r="C267" s="3" t="s">
        <v>42</v>
      </c>
      <c r="D267" s="1">
        <v>1705</v>
      </c>
      <c r="E267">
        <v>2</v>
      </c>
      <c r="F267">
        <v>9</v>
      </c>
      <c r="G267" s="1">
        <v>1637</v>
      </c>
      <c r="H267">
        <v>6</v>
      </c>
      <c r="I267">
        <v>0</v>
      </c>
      <c r="J267">
        <v>0</v>
      </c>
      <c r="K267">
        <v>6</v>
      </c>
      <c r="L267">
        <v>0</v>
      </c>
      <c r="M267">
        <v>0</v>
      </c>
      <c r="N267">
        <v>0</v>
      </c>
      <c r="O267">
        <v>10</v>
      </c>
      <c r="P267">
        <v>0</v>
      </c>
      <c r="Q267">
        <v>0</v>
      </c>
      <c r="R267">
        <v>1</v>
      </c>
      <c r="S267">
        <v>2</v>
      </c>
      <c r="T267">
        <v>3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  <c r="AA267">
        <v>0</v>
      </c>
      <c r="AB267">
        <v>0</v>
      </c>
      <c r="AC267">
        <v>0</v>
      </c>
      <c r="AD267">
        <v>0</v>
      </c>
      <c r="AE267">
        <v>2</v>
      </c>
      <c r="AF267">
        <v>1</v>
      </c>
      <c r="AG267">
        <v>4</v>
      </c>
      <c r="AH267">
        <v>1</v>
      </c>
      <c r="AI267">
        <v>5</v>
      </c>
      <c r="AJ267">
        <v>0</v>
      </c>
      <c r="AK267">
        <v>13</v>
      </c>
      <c r="AL267">
        <v>0</v>
      </c>
      <c r="AM267">
        <v>0</v>
      </c>
      <c r="AN267" s="1">
        <v>2</v>
      </c>
    </row>
    <row r="268" spans="1:40" x14ac:dyDescent="0.3">
      <c r="A268" t="s">
        <v>128</v>
      </c>
      <c r="B268" t="s">
        <v>130</v>
      </c>
      <c r="C268" s="3" t="s">
        <v>43</v>
      </c>
      <c r="D268" s="1">
        <v>1763</v>
      </c>
      <c r="E268">
        <v>3</v>
      </c>
      <c r="F268">
        <v>1</v>
      </c>
      <c r="G268" s="1">
        <v>1689</v>
      </c>
      <c r="H268">
        <v>1</v>
      </c>
      <c r="I268">
        <v>0</v>
      </c>
      <c r="J268">
        <v>1</v>
      </c>
      <c r="K268">
        <v>6</v>
      </c>
      <c r="L268">
        <v>0</v>
      </c>
      <c r="M268">
        <v>3</v>
      </c>
      <c r="N268">
        <v>0</v>
      </c>
      <c r="O268">
        <v>13</v>
      </c>
      <c r="P268">
        <v>0</v>
      </c>
      <c r="Q268">
        <v>0</v>
      </c>
      <c r="R268">
        <v>0</v>
      </c>
      <c r="S268">
        <v>1</v>
      </c>
      <c r="T268">
        <v>0</v>
      </c>
      <c r="U268">
        <v>1</v>
      </c>
      <c r="V268">
        <v>0</v>
      </c>
      <c r="W268">
        <v>0</v>
      </c>
      <c r="X268">
        <v>1</v>
      </c>
      <c r="Y268">
        <v>1</v>
      </c>
      <c r="Z268">
        <v>1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4</v>
      </c>
      <c r="AG268">
        <v>3</v>
      </c>
      <c r="AH268">
        <v>0</v>
      </c>
      <c r="AI268">
        <v>1</v>
      </c>
      <c r="AJ268">
        <v>0</v>
      </c>
      <c r="AK268">
        <v>30</v>
      </c>
      <c r="AL268">
        <v>0</v>
      </c>
      <c r="AM268">
        <v>0</v>
      </c>
      <c r="AN268" s="1">
        <v>3</v>
      </c>
    </row>
    <row r="269" spans="1:40" x14ac:dyDescent="0.3">
      <c r="A269" t="s">
        <v>128</v>
      </c>
      <c r="B269" t="s">
        <v>131</v>
      </c>
      <c r="C269" s="3" t="s">
        <v>39</v>
      </c>
      <c r="D269" s="1">
        <v>3089</v>
      </c>
      <c r="E269">
        <v>11</v>
      </c>
      <c r="F269">
        <v>4</v>
      </c>
      <c r="G269" s="1">
        <v>2959</v>
      </c>
      <c r="H269">
        <v>9</v>
      </c>
      <c r="I269">
        <v>0</v>
      </c>
      <c r="J269">
        <v>1</v>
      </c>
      <c r="K269">
        <v>8</v>
      </c>
      <c r="L269">
        <v>0</v>
      </c>
      <c r="M269">
        <v>9</v>
      </c>
      <c r="N269">
        <v>0</v>
      </c>
      <c r="O269">
        <v>4</v>
      </c>
      <c r="P269">
        <v>0</v>
      </c>
      <c r="Q269">
        <v>0</v>
      </c>
      <c r="R269">
        <v>0</v>
      </c>
      <c r="S269">
        <v>3</v>
      </c>
      <c r="T269">
        <v>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2</v>
      </c>
      <c r="AA269">
        <v>0</v>
      </c>
      <c r="AB269">
        <v>0</v>
      </c>
      <c r="AC269">
        <v>0</v>
      </c>
      <c r="AD269">
        <v>1</v>
      </c>
      <c r="AE269">
        <v>0</v>
      </c>
      <c r="AF269">
        <v>1</v>
      </c>
      <c r="AG269">
        <v>19</v>
      </c>
      <c r="AH269">
        <v>3</v>
      </c>
      <c r="AI269">
        <v>3</v>
      </c>
      <c r="AJ269">
        <v>0</v>
      </c>
      <c r="AK269">
        <v>14</v>
      </c>
      <c r="AL269">
        <v>0</v>
      </c>
      <c r="AM269">
        <v>0</v>
      </c>
      <c r="AN269" s="1">
        <v>37</v>
      </c>
    </row>
    <row r="270" spans="1:40" x14ac:dyDescent="0.3">
      <c r="A270" t="s">
        <v>128</v>
      </c>
      <c r="B270" t="s">
        <v>131</v>
      </c>
      <c r="C270" s="3" t="s">
        <v>42</v>
      </c>
      <c r="D270" s="1">
        <v>1536</v>
      </c>
      <c r="E270">
        <v>5</v>
      </c>
      <c r="F270">
        <v>0</v>
      </c>
      <c r="G270" s="1">
        <v>1487</v>
      </c>
      <c r="H270">
        <v>5</v>
      </c>
      <c r="I270">
        <v>0</v>
      </c>
      <c r="J270">
        <v>1</v>
      </c>
      <c r="K270">
        <v>7</v>
      </c>
      <c r="L270">
        <v>0</v>
      </c>
      <c r="M270">
        <v>4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3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  <c r="AA270">
        <v>0</v>
      </c>
      <c r="AB270">
        <v>0</v>
      </c>
      <c r="AC270">
        <v>0</v>
      </c>
      <c r="AD270">
        <v>1</v>
      </c>
      <c r="AE270">
        <v>0</v>
      </c>
      <c r="AF270">
        <v>0</v>
      </c>
      <c r="AG270">
        <v>9</v>
      </c>
      <c r="AH270">
        <v>2</v>
      </c>
      <c r="AI270">
        <v>2</v>
      </c>
      <c r="AJ270">
        <v>0</v>
      </c>
      <c r="AK270">
        <v>0</v>
      </c>
      <c r="AL270">
        <v>0</v>
      </c>
      <c r="AM270">
        <v>0</v>
      </c>
      <c r="AN270" s="1">
        <v>8</v>
      </c>
    </row>
    <row r="271" spans="1:40" x14ac:dyDescent="0.3">
      <c r="A271" t="s">
        <v>128</v>
      </c>
      <c r="B271" t="s">
        <v>131</v>
      </c>
      <c r="C271" s="3" t="s">
        <v>43</v>
      </c>
      <c r="D271" s="1">
        <v>1553</v>
      </c>
      <c r="E271">
        <v>6</v>
      </c>
      <c r="F271">
        <v>4</v>
      </c>
      <c r="G271" s="1">
        <v>1472</v>
      </c>
      <c r="H271">
        <v>4</v>
      </c>
      <c r="I271">
        <v>0</v>
      </c>
      <c r="J271">
        <v>0</v>
      </c>
      <c r="K271">
        <v>1</v>
      </c>
      <c r="L271">
        <v>0</v>
      </c>
      <c r="M271">
        <v>5</v>
      </c>
      <c r="N271">
        <v>0</v>
      </c>
      <c r="O271">
        <v>4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1</v>
      </c>
      <c r="AG271">
        <v>10</v>
      </c>
      <c r="AH271">
        <v>1</v>
      </c>
      <c r="AI271">
        <v>1</v>
      </c>
      <c r="AJ271">
        <v>0</v>
      </c>
      <c r="AK271">
        <v>14</v>
      </c>
      <c r="AL271">
        <v>0</v>
      </c>
      <c r="AM271">
        <v>0</v>
      </c>
      <c r="AN271" s="1">
        <v>29</v>
      </c>
    </row>
    <row r="272" spans="1:40" x14ac:dyDescent="0.3">
      <c r="A272" t="s">
        <v>128</v>
      </c>
      <c r="B272" t="s">
        <v>132</v>
      </c>
      <c r="C272" s="3" t="s">
        <v>39</v>
      </c>
      <c r="D272" s="1">
        <v>2804</v>
      </c>
      <c r="E272">
        <v>0</v>
      </c>
      <c r="F272">
        <v>2</v>
      </c>
      <c r="G272" s="1">
        <v>2741</v>
      </c>
      <c r="H272">
        <v>9</v>
      </c>
      <c r="I272">
        <v>0</v>
      </c>
      <c r="J272">
        <v>2</v>
      </c>
      <c r="K272">
        <v>10</v>
      </c>
      <c r="L272">
        <v>0</v>
      </c>
      <c r="M272">
        <v>1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1</v>
      </c>
      <c r="T272">
        <v>1</v>
      </c>
      <c r="U272">
        <v>0</v>
      </c>
      <c r="V272">
        <v>0</v>
      </c>
      <c r="W272">
        <v>6</v>
      </c>
      <c r="X272">
        <v>1</v>
      </c>
      <c r="Y272">
        <v>1</v>
      </c>
      <c r="Z272">
        <v>3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4</v>
      </c>
      <c r="AG272">
        <v>0</v>
      </c>
      <c r="AH272">
        <v>1</v>
      </c>
      <c r="AI272">
        <v>3</v>
      </c>
      <c r="AJ272">
        <v>0</v>
      </c>
      <c r="AK272">
        <v>4</v>
      </c>
      <c r="AL272">
        <v>0</v>
      </c>
      <c r="AM272">
        <v>3</v>
      </c>
      <c r="AN272" s="1">
        <v>11</v>
      </c>
    </row>
    <row r="273" spans="1:40" x14ac:dyDescent="0.3">
      <c r="A273" t="s">
        <v>128</v>
      </c>
      <c r="B273" t="s">
        <v>132</v>
      </c>
      <c r="C273" s="3" t="s">
        <v>42</v>
      </c>
      <c r="D273" s="1">
        <v>1584</v>
      </c>
      <c r="E273">
        <v>0</v>
      </c>
      <c r="F273">
        <v>1</v>
      </c>
      <c r="G273" s="1">
        <v>1549</v>
      </c>
      <c r="H273">
        <v>6</v>
      </c>
      <c r="I273">
        <v>0</v>
      </c>
      <c r="J273">
        <v>1</v>
      </c>
      <c r="K273">
        <v>6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</v>
      </c>
      <c r="T273">
        <v>1</v>
      </c>
      <c r="U273">
        <v>0</v>
      </c>
      <c r="V273">
        <v>0</v>
      </c>
      <c r="W273">
        <v>2</v>
      </c>
      <c r="X273">
        <v>1</v>
      </c>
      <c r="Y273">
        <v>1</v>
      </c>
      <c r="Z273">
        <v>1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1</v>
      </c>
      <c r="AI273">
        <v>3</v>
      </c>
      <c r="AJ273">
        <v>0</v>
      </c>
      <c r="AK273">
        <v>3</v>
      </c>
      <c r="AL273">
        <v>0</v>
      </c>
      <c r="AM273">
        <v>1</v>
      </c>
      <c r="AN273" s="1">
        <v>6</v>
      </c>
    </row>
    <row r="274" spans="1:40" x14ac:dyDescent="0.3">
      <c r="A274" t="s">
        <v>128</v>
      </c>
      <c r="B274" t="s">
        <v>132</v>
      </c>
      <c r="C274" s="3" t="s">
        <v>43</v>
      </c>
      <c r="D274" s="1">
        <v>1220</v>
      </c>
      <c r="E274">
        <v>0</v>
      </c>
      <c r="F274">
        <v>1</v>
      </c>
      <c r="G274" s="1">
        <v>1192</v>
      </c>
      <c r="H274">
        <v>3</v>
      </c>
      <c r="I274">
        <v>0</v>
      </c>
      <c r="J274">
        <v>1</v>
      </c>
      <c r="K274">
        <v>4</v>
      </c>
      <c r="L274">
        <v>0</v>
      </c>
      <c r="M274">
        <v>1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4</v>
      </c>
      <c r="X274">
        <v>0</v>
      </c>
      <c r="Y274">
        <v>0</v>
      </c>
      <c r="Z274">
        <v>2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4</v>
      </c>
      <c r="AG274">
        <v>0</v>
      </c>
      <c r="AH274">
        <v>0</v>
      </c>
      <c r="AI274">
        <v>0</v>
      </c>
      <c r="AJ274">
        <v>0</v>
      </c>
      <c r="AK274">
        <v>1</v>
      </c>
      <c r="AL274">
        <v>0</v>
      </c>
      <c r="AM274">
        <v>2</v>
      </c>
      <c r="AN274" s="1">
        <v>5</v>
      </c>
    </row>
    <row r="275" spans="1:40" x14ac:dyDescent="0.3">
      <c r="A275" t="s">
        <v>128</v>
      </c>
      <c r="B275" t="s">
        <v>133</v>
      </c>
      <c r="C275" s="3" t="s">
        <v>39</v>
      </c>
      <c r="D275" s="1">
        <v>2224</v>
      </c>
      <c r="E275">
        <v>6</v>
      </c>
      <c r="F275">
        <v>0</v>
      </c>
      <c r="G275" s="1">
        <v>2184</v>
      </c>
      <c r="H275">
        <v>2</v>
      </c>
      <c r="I275">
        <v>0</v>
      </c>
      <c r="J275">
        <v>1</v>
      </c>
      <c r="K275">
        <v>12</v>
      </c>
      <c r="L275">
        <v>0</v>
      </c>
      <c r="M275">
        <v>0</v>
      </c>
      <c r="N275">
        <v>0</v>
      </c>
      <c r="O275">
        <v>8</v>
      </c>
      <c r="P275">
        <v>0</v>
      </c>
      <c r="Q275">
        <v>0</v>
      </c>
      <c r="R275">
        <v>0</v>
      </c>
      <c r="S275">
        <v>0</v>
      </c>
      <c r="T275">
        <v>1</v>
      </c>
      <c r="U275">
        <v>0</v>
      </c>
      <c r="V275">
        <v>0</v>
      </c>
      <c r="W275">
        <v>0</v>
      </c>
      <c r="X275">
        <v>0</v>
      </c>
      <c r="Y275">
        <v>1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2</v>
      </c>
      <c r="AG275">
        <v>0</v>
      </c>
      <c r="AH275">
        <v>0</v>
      </c>
      <c r="AI275">
        <v>0</v>
      </c>
      <c r="AJ275">
        <v>0</v>
      </c>
      <c r="AK275">
        <v>4</v>
      </c>
      <c r="AL275">
        <v>0</v>
      </c>
      <c r="AM275">
        <v>0</v>
      </c>
      <c r="AN275" s="1">
        <v>3</v>
      </c>
    </row>
    <row r="276" spans="1:40" x14ac:dyDescent="0.3">
      <c r="A276" t="s">
        <v>128</v>
      </c>
      <c r="B276" t="s">
        <v>133</v>
      </c>
      <c r="C276" s="3" t="s">
        <v>42</v>
      </c>
      <c r="D276" s="1">
        <v>1070</v>
      </c>
      <c r="E276">
        <v>3</v>
      </c>
      <c r="F276">
        <v>0</v>
      </c>
      <c r="G276" s="1">
        <v>1055</v>
      </c>
      <c r="H276">
        <v>1</v>
      </c>
      <c r="I276">
        <v>0</v>
      </c>
      <c r="J276">
        <v>1</v>
      </c>
      <c r="K276">
        <v>9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 s="1">
        <v>0</v>
      </c>
    </row>
    <row r="277" spans="1:40" x14ac:dyDescent="0.3">
      <c r="A277" t="s">
        <v>128</v>
      </c>
      <c r="B277" t="s">
        <v>133</v>
      </c>
      <c r="C277" s="3" t="s">
        <v>43</v>
      </c>
      <c r="D277" s="1">
        <v>1154</v>
      </c>
      <c r="E277">
        <v>3</v>
      </c>
      <c r="F277">
        <v>0</v>
      </c>
      <c r="G277" s="1">
        <v>1129</v>
      </c>
      <c r="H277">
        <v>1</v>
      </c>
      <c r="I277">
        <v>0</v>
      </c>
      <c r="J277">
        <v>0</v>
      </c>
      <c r="K277">
        <v>3</v>
      </c>
      <c r="L277">
        <v>0</v>
      </c>
      <c r="M277">
        <v>0</v>
      </c>
      <c r="N277">
        <v>0</v>
      </c>
      <c r="O277">
        <v>8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1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2</v>
      </c>
      <c r="AG277">
        <v>0</v>
      </c>
      <c r="AH277">
        <v>0</v>
      </c>
      <c r="AI277">
        <v>0</v>
      </c>
      <c r="AJ277">
        <v>0</v>
      </c>
      <c r="AK277">
        <v>4</v>
      </c>
      <c r="AL277">
        <v>0</v>
      </c>
      <c r="AM277">
        <v>0</v>
      </c>
      <c r="AN277" s="1">
        <v>3</v>
      </c>
    </row>
    <row r="278" spans="1:40" x14ac:dyDescent="0.3">
      <c r="A278" t="s">
        <v>128</v>
      </c>
      <c r="B278" t="s">
        <v>134</v>
      </c>
      <c r="C278" s="3" t="s">
        <v>39</v>
      </c>
      <c r="D278">
        <v>944</v>
      </c>
      <c r="E278">
        <v>4</v>
      </c>
      <c r="F278">
        <v>0</v>
      </c>
      <c r="G278">
        <v>906</v>
      </c>
      <c r="H278">
        <v>1</v>
      </c>
      <c r="I278">
        <v>0</v>
      </c>
      <c r="J278">
        <v>0</v>
      </c>
      <c r="K278">
        <v>6</v>
      </c>
      <c r="L278">
        <v>0</v>
      </c>
      <c r="M278">
        <v>1</v>
      </c>
      <c r="N278">
        <v>0</v>
      </c>
      <c r="O278">
        <v>5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1</v>
      </c>
      <c r="Z278">
        <v>1</v>
      </c>
      <c r="AA278">
        <v>0</v>
      </c>
      <c r="AB278">
        <v>0</v>
      </c>
      <c r="AC278">
        <v>0</v>
      </c>
      <c r="AD278">
        <v>1</v>
      </c>
      <c r="AE278">
        <v>1</v>
      </c>
      <c r="AF278">
        <v>2</v>
      </c>
      <c r="AG278">
        <v>1</v>
      </c>
      <c r="AH278">
        <v>0</v>
      </c>
      <c r="AI278">
        <v>4</v>
      </c>
      <c r="AJ278">
        <v>0</v>
      </c>
      <c r="AK278">
        <v>7</v>
      </c>
      <c r="AL278">
        <v>0</v>
      </c>
      <c r="AM278">
        <v>0</v>
      </c>
      <c r="AN278" s="1">
        <v>3</v>
      </c>
    </row>
    <row r="279" spans="1:40" x14ac:dyDescent="0.3">
      <c r="A279" t="s">
        <v>128</v>
      </c>
      <c r="B279" t="s">
        <v>134</v>
      </c>
      <c r="C279" s="3" t="s">
        <v>42</v>
      </c>
      <c r="D279">
        <v>462</v>
      </c>
      <c r="E279">
        <v>1</v>
      </c>
      <c r="F279">
        <v>0</v>
      </c>
      <c r="G279">
        <v>446</v>
      </c>
      <c r="H279">
        <v>1</v>
      </c>
      <c r="I279">
        <v>0</v>
      </c>
      <c r="J279">
        <v>0</v>
      </c>
      <c r="K279">
        <v>5</v>
      </c>
      <c r="L279">
        <v>0</v>
      </c>
      <c r="M279">
        <v>0</v>
      </c>
      <c r="N279">
        <v>0</v>
      </c>
      <c r="O279">
        <v>1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  <c r="AA279">
        <v>0</v>
      </c>
      <c r="AB279">
        <v>0</v>
      </c>
      <c r="AC279">
        <v>0</v>
      </c>
      <c r="AD279">
        <v>1</v>
      </c>
      <c r="AE279">
        <v>0</v>
      </c>
      <c r="AF279">
        <v>1</v>
      </c>
      <c r="AG279">
        <v>1</v>
      </c>
      <c r="AH279">
        <v>0</v>
      </c>
      <c r="AI279">
        <v>1</v>
      </c>
      <c r="AJ279">
        <v>0</v>
      </c>
      <c r="AK279">
        <v>3</v>
      </c>
      <c r="AL279">
        <v>0</v>
      </c>
      <c r="AM279">
        <v>0</v>
      </c>
      <c r="AN279" s="1">
        <v>0</v>
      </c>
    </row>
    <row r="280" spans="1:40" x14ac:dyDescent="0.3">
      <c r="A280" t="s">
        <v>128</v>
      </c>
      <c r="B280" t="s">
        <v>134</v>
      </c>
      <c r="C280" s="3" t="s">
        <v>43</v>
      </c>
      <c r="D280">
        <v>482</v>
      </c>
      <c r="E280">
        <v>3</v>
      </c>
      <c r="F280">
        <v>0</v>
      </c>
      <c r="G280">
        <v>460</v>
      </c>
      <c r="H280">
        <v>0</v>
      </c>
      <c r="I280">
        <v>0</v>
      </c>
      <c r="J280">
        <v>0</v>
      </c>
      <c r="K280">
        <v>1</v>
      </c>
      <c r="L280">
        <v>0</v>
      </c>
      <c r="M280">
        <v>1</v>
      </c>
      <c r="N280">
        <v>0</v>
      </c>
      <c r="O280">
        <v>4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1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1</v>
      </c>
      <c r="AF280">
        <v>1</v>
      </c>
      <c r="AG280">
        <v>0</v>
      </c>
      <c r="AH280">
        <v>0</v>
      </c>
      <c r="AI280">
        <v>3</v>
      </c>
      <c r="AJ280">
        <v>0</v>
      </c>
      <c r="AK280">
        <v>4</v>
      </c>
      <c r="AL280">
        <v>0</v>
      </c>
      <c r="AM280">
        <v>0</v>
      </c>
      <c r="AN280" s="1">
        <v>3</v>
      </c>
    </row>
    <row r="281" spans="1:40" x14ac:dyDescent="0.3">
      <c r="A281" t="s">
        <v>128</v>
      </c>
      <c r="B281" t="s">
        <v>135</v>
      </c>
      <c r="C281" s="3" t="s">
        <v>39</v>
      </c>
      <c r="D281">
        <v>820</v>
      </c>
      <c r="E281">
        <v>0</v>
      </c>
      <c r="F281">
        <v>2</v>
      </c>
      <c r="G281">
        <v>782</v>
      </c>
      <c r="H281">
        <v>0</v>
      </c>
      <c r="I281">
        <v>0</v>
      </c>
      <c r="J281">
        <v>0</v>
      </c>
      <c r="K281">
        <v>14</v>
      </c>
      <c r="L281">
        <v>0</v>
      </c>
      <c r="M281">
        <v>1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1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1</v>
      </c>
      <c r="AF281">
        <v>0</v>
      </c>
      <c r="AG281">
        <v>6</v>
      </c>
      <c r="AH281">
        <v>0</v>
      </c>
      <c r="AI281">
        <v>2</v>
      </c>
      <c r="AJ281">
        <v>0</v>
      </c>
      <c r="AK281">
        <v>2</v>
      </c>
      <c r="AL281">
        <v>0</v>
      </c>
      <c r="AM281">
        <v>8</v>
      </c>
      <c r="AN281" s="1">
        <v>1</v>
      </c>
    </row>
    <row r="282" spans="1:40" x14ac:dyDescent="0.3">
      <c r="A282" t="s">
        <v>128</v>
      </c>
      <c r="B282" t="s">
        <v>135</v>
      </c>
      <c r="C282" s="3" t="s">
        <v>42</v>
      </c>
      <c r="D282">
        <v>442</v>
      </c>
      <c r="E282">
        <v>0</v>
      </c>
      <c r="F282">
        <v>2</v>
      </c>
      <c r="G282">
        <v>418</v>
      </c>
      <c r="H282">
        <v>0</v>
      </c>
      <c r="I282">
        <v>0</v>
      </c>
      <c r="J282">
        <v>0</v>
      </c>
      <c r="K282">
        <v>9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1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1</v>
      </c>
      <c r="AF282">
        <v>0</v>
      </c>
      <c r="AG282">
        <v>3</v>
      </c>
      <c r="AH282">
        <v>0</v>
      </c>
      <c r="AI282">
        <v>1</v>
      </c>
      <c r="AJ282">
        <v>0</v>
      </c>
      <c r="AK282">
        <v>1</v>
      </c>
      <c r="AL282">
        <v>0</v>
      </c>
      <c r="AM282">
        <v>5</v>
      </c>
      <c r="AN282" s="1">
        <v>1</v>
      </c>
    </row>
    <row r="283" spans="1:40" x14ac:dyDescent="0.3">
      <c r="A283" t="s">
        <v>128</v>
      </c>
      <c r="B283" t="s">
        <v>135</v>
      </c>
      <c r="C283" s="3" t="s">
        <v>43</v>
      </c>
      <c r="D283">
        <v>378</v>
      </c>
      <c r="E283">
        <v>0</v>
      </c>
      <c r="F283">
        <v>0</v>
      </c>
      <c r="G283">
        <v>364</v>
      </c>
      <c r="H283">
        <v>0</v>
      </c>
      <c r="I283">
        <v>0</v>
      </c>
      <c r="J283">
        <v>0</v>
      </c>
      <c r="K283">
        <v>5</v>
      </c>
      <c r="L283">
        <v>0</v>
      </c>
      <c r="M283">
        <v>1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3</v>
      </c>
      <c r="AH283">
        <v>0</v>
      </c>
      <c r="AI283">
        <v>1</v>
      </c>
      <c r="AJ283">
        <v>0</v>
      </c>
      <c r="AK283">
        <v>1</v>
      </c>
      <c r="AL283">
        <v>0</v>
      </c>
      <c r="AM283">
        <v>3</v>
      </c>
      <c r="AN283" s="1">
        <v>0</v>
      </c>
    </row>
    <row r="284" spans="1:40" x14ac:dyDescent="0.3">
      <c r="A284" t="s">
        <v>128</v>
      </c>
      <c r="B284" t="s">
        <v>136</v>
      </c>
      <c r="C284" s="3" t="s">
        <v>39</v>
      </c>
      <c r="D284">
        <v>684</v>
      </c>
      <c r="E284">
        <v>0</v>
      </c>
      <c r="F284">
        <v>4</v>
      </c>
      <c r="G284">
        <v>672</v>
      </c>
      <c r="H284">
        <v>0</v>
      </c>
      <c r="I284">
        <v>0</v>
      </c>
      <c r="J284">
        <v>0</v>
      </c>
      <c r="K284">
        <v>2</v>
      </c>
      <c r="L284">
        <v>0</v>
      </c>
      <c r="M284">
        <v>0</v>
      </c>
      <c r="N284">
        <v>0</v>
      </c>
      <c r="O284">
        <v>1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3</v>
      </c>
      <c r="AH284">
        <v>0</v>
      </c>
      <c r="AI284">
        <v>0</v>
      </c>
      <c r="AJ284">
        <v>0</v>
      </c>
      <c r="AK284">
        <v>1</v>
      </c>
      <c r="AL284">
        <v>0</v>
      </c>
      <c r="AM284">
        <v>0</v>
      </c>
      <c r="AN284" s="1">
        <v>1</v>
      </c>
    </row>
    <row r="285" spans="1:40" x14ac:dyDescent="0.3">
      <c r="A285" t="s">
        <v>128</v>
      </c>
      <c r="B285" t="s">
        <v>136</v>
      </c>
      <c r="C285" s="3" t="s">
        <v>42</v>
      </c>
      <c r="D285">
        <v>354</v>
      </c>
      <c r="E285">
        <v>0</v>
      </c>
      <c r="F285">
        <v>1</v>
      </c>
      <c r="G285">
        <v>350</v>
      </c>
      <c r="H285">
        <v>0</v>
      </c>
      <c r="I285">
        <v>0</v>
      </c>
      <c r="J285">
        <v>0</v>
      </c>
      <c r="K285">
        <v>1</v>
      </c>
      <c r="L285">
        <v>0</v>
      </c>
      <c r="M285">
        <v>0</v>
      </c>
      <c r="N285">
        <v>0</v>
      </c>
      <c r="O285">
        <v>1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 s="1">
        <v>1</v>
      </c>
    </row>
    <row r="286" spans="1:40" x14ac:dyDescent="0.3">
      <c r="A286" t="s">
        <v>128</v>
      </c>
      <c r="B286" t="s">
        <v>136</v>
      </c>
      <c r="C286" s="3" t="s">
        <v>43</v>
      </c>
      <c r="D286">
        <v>330</v>
      </c>
      <c r="E286">
        <v>0</v>
      </c>
      <c r="F286">
        <v>3</v>
      </c>
      <c r="G286">
        <v>322</v>
      </c>
      <c r="H286">
        <v>0</v>
      </c>
      <c r="I286">
        <v>0</v>
      </c>
      <c r="J286">
        <v>0</v>
      </c>
      <c r="K286">
        <v>1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3</v>
      </c>
      <c r="AH286">
        <v>0</v>
      </c>
      <c r="AI286">
        <v>0</v>
      </c>
      <c r="AJ286">
        <v>0</v>
      </c>
      <c r="AK286">
        <v>1</v>
      </c>
      <c r="AL286">
        <v>0</v>
      </c>
      <c r="AM286">
        <v>0</v>
      </c>
      <c r="AN286" s="1">
        <v>0</v>
      </c>
    </row>
    <row r="287" spans="1:40" x14ac:dyDescent="0.3">
      <c r="A287" t="s">
        <v>128</v>
      </c>
      <c r="B287" t="s">
        <v>137</v>
      </c>
      <c r="C287" s="3" t="s">
        <v>39</v>
      </c>
      <c r="D287">
        <v>612</v>
      </c>
      <c r="E287">
        <v>2</v>
      </c>
      <c r="F287">
        <v>0</v>
      </c>
      <c r="G287">
        <v>603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2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</v>
      </c>
      <c r="AE287">
        <v>0</v>
      </c>
      <c r="AF287">
        <v>1</v>
      </c>
      <c r="AG287">
        <v>3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 s="1">
        <v>0</v>
      </c>
    </row>
    <row r="288" spans="1:40" x14ac:dyDescent="0.3">
      <c r="A288" t="s">
        <v>128</v>
      </c>
      <c r="B288" t="s">
        <v>137</v>
      </c>
      <c r="C288" s="3" t="s">
        <v>42</v>
      </c>
      <c r="D288">
        <v>291</v>
      </c>
      <c r="E288">
        <v>2</v>
      </c>
      <c r="F288">
        <v>0</v>
      </c>
      <c r="G288">
        <v>288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1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 s="1">
        <v>0</v>
      </c>
    </row>
    <row r="289" spans="1:40" x14ac:dyDescent="0.3">
      <c r="A289" t="s">
        <v>128</v>
      </c>
      <c r="B289" t="s">
        <v>137</v>
      </c>
      <c r="C289" s="3" t="s">
        <v>43</v>
      </c>
      <c r="D289">
        <v>321</v>
      </c>
      <c r="E289">
        <v>0</v>
      </c>
      <c r="F289">
        <v>0</v>
      </c>
      <c r="G289">
        <v>315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2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</v>
      </c>
      <c r="AE289">
        <v>0</v>
      </c>
      <c r="AF289">
        <v>0</v>
      </c>
      <c r="AG289">
        <v>3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 s="1">
        <v>0</v>
      </c>
    </row>
    <row r="290" spans="1:40" x14ac:dyDescent="0.3">
      <c r="A290" t="s">
        <v>128</v>
      </c>
      <c r="B290" t="s">
        <v>138</v>
      </c>
      <c r="C290" s="3" t="s">
        <v>39</v>
      </c>
      <c r="D290">
        <v>514</v>
      </c>
      <c r="E290">
        <v>5</v>
      </c>
      <c r="F290">
        <v>0</v>
      </c>
      <c r="G290">
        <v>483</v>
      </c>
      <c r="H290">
        <v>2</v>
      </c>
      <c r="I290">
        <v>0</v>
      </c>
      <c r="J290">
        <v>0</v>
      </c>
      <c r="K290">
        <v>12</v>
      </c>
      <c r="L290">
        <v>0</v>
      </c>
      <c r="M290">
        <v>0</v>
      </c>
      <c r="N290">
        <v>0</v>
      </c>
      <c r="O290">
        <v>2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2</v>
      </c>
      <c r="AG290">
        <v>0</v>
      </c>
      <c r="AH290">
        <v>0</v>
      </c>
      <c r="AI290">
        <v>4</v>
      </c>
      <c r="AJ290">
        <v>0</v>
      </c>
      <c r="AK290">
        <v>0</v>
      </c>
      <c r="AL290">
        <v>0</v>
      </c>
      <c r="AM290">
        <v>1</v>
      </c>
      <c r="AN290" s="1">
        <v>3</v>
      </c>
    </row>
    <row r="291" spans="1:40" x14ac:dyDescent="0.3">
      <c r="A291" t="s">
        <v>128</v>
      </c>
      <c r="B291" t="s">
        <v>138</v>
      </c>
      <c r="C291" s="3" t="s">
        <v>42</v>
      </c>
      <c r="D291">
        <v>233</v>
      </c>
      <c r="E291">
        <v>3</v>
      </c>
      <c r="F291">
        <v>0</v>
      </c>
      <c r="G291">
        <v>219</v>
      </c>
      <c r="H291">
        <v>2</v>
      </c>
      <c r="I291">
        <v>0</v>
      </c>
      <c r="J291">
        <v>0</v>
      </c>
      <c r="K291">
        <v>5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1</v>
      </c>
      <c r="AG291">
        <v>0</v>
      </c>
      <c r="AH291">
        <v>0</v>
      </c>
      <c r="AI291">
        <v>1</v>
      </c>
      <c r="AJ291">
        <v>0</v>
      </c>
      <c r="AK291">
        <v>0</v>
      </c>
      <c r="AL291">
        <v>0</v>
      </c>
      <c r="AM291">
        <v>1</v>
      </c>
      <c r="AN291" s="1">
        <v>1</v>
      </c>
    </row>
    <row r="292" spans="1:40" x14ac:dyDescent="0.3">
      <c r="A292" t="s">
        <v>128</v>
      </c>
      <c r="B292" t="s">
        <v>138</v>
      </c>
      <c r="C292" s="3" t="s">
        <v>43</v>
      </c>
      <c r="D292">
        <v>281</v>
      </c>
      <c r="E292">
        <v>2</v>
      </c>
      <c r="F292">
        <v>0</v>
      </c>
      <c r="G292">
        <v>264</v>
      </c>
      <c r="H292">
        <v>0</v>
      </c>
      <c r="I292">
        <v>0</v>
      </c>
      <c r="J292">
        <v>0</v>
      </c>
      <c r="K292">
        <v>7</v>
      </c>
      <c r="L292">
        <v>0</v>
      </c>
      <c r="M292">
        <v>0</v>
      </c>
      <c r="N292">
        <v>0</v>
      </c>
      <c r="O292">
        <v>2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1</v>
      </c>
      <c r="AG292">
        <v>0</v>
      </c>
      <c r="AH292">
        <v>0</v>
      </c>
      <c r="AI292">
        <v>3</v>
      </c>
      <c r="AJ292">
        <v>0</v>
      </c>
      <c r="AK292">
        <v>0</v>
      </c>
      <c r="AL292">
        <v>0</v>
      </c>
      <c r="AM292">
        <v>0</v>
      </c>
      <c r="AN292" s="1">
        <v>2</v>
      </c>
    </row>
    <row r="293" spans="1:40" x14ac:dyDescent="0.3">
      <c r="A293" t="s">
        <v>128</v>
      </c>
      <c r="B293" t="s">
        <v>139</v>
      </c>
      <c r="C293" s="3" t="s">
        <v>39</v>
      </c>
      <c r="D293">
        <v>344</v>
      </c>
      <c r="E293">
        <v>0</v>
      </c>
      <c r="F293">
        <v>0</v>
      </c>
      <c r="G293">
        <v>341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1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 s="1">
        <v>1</v>
      </c>
    </row>
    <row r="294" spans="1:40" x14ac:dyDescent="0.3">
      <c r="A294" t="s">
        <v>128</v>
      </c>
      <c r="B294" t="s">
        <v>139</v>
      </c>
      <c r="C294" s="3" t="s">
        <v>42</v>
      </c>
      <c r="D294">
        <v>164</v>
      </c>
      <c r="E294">
        <v>0</v>
      </c>
      <c r="F294">
        <v>0</v>
      </c>
      <c r="G294">
        <v>162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1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 s="1">
        <v>0</v>
      </c>
    </row>
    <row r="295" spans="1:40" x14ac:dyDescent="0.3">
      <c r="A295" t="s">
        <v>128</v>
      </c>
      <c r="B295" t="s">
        <v>139</v>
      </c>
      <c r="C295" s="3" t="s">
        <v>43</v>
      </c>
      <c r="D295">
        <v>180</v>
      </c>
      <c r="E295">
        <v>0</v>
      </c>
      <c r="F295">
        <v>0</v>
      </c>
      <c r="G295">
        <v>179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 s="1">
        <v>1</v>
      </c>
    </row>
    <row r="296" spans="1:40" x14ac:dyDescent="0.3">
      <c r="A296" t="s">
        <v>128</v>
      </c>
      <c r="B296" t="s">
        <v>140</v>
      </c>
      <c r="C296" s="3" t="s">
        <v>39</v>
      </c>
      <c r="D296">
        <v>303</v>
      </c>
      <c r="E296">
        <v>5</v>
      </c>
      <c r="F296">
        <v>0</v>
      </c>
      <c r="G296">
        <v>280</v>
      </c>
      <c r="H296">
        <v>1</v>
      </c>
      <c r="I296">
        <v>0</v>
      </c>
      <c r="J296">
        <v>0</v>
      </c>
      <c r="K296">
        <v>3</v>
      </c>
      <c r="L296">
        <v>0</v>
      </c>
      <c r="M296">
        <v>1</v>
      </c>
      <c r="N296">
        <v>0</v>
      </c>
      <c r="O296">
        <v>1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1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1</v>
      </c>
      <c r="AH296">
        <v>1</v>
      </c>
      <c r="AI296">
        <v>1</v>
      </c>
      <c r="AJ296">
        <v>0</v>
      </c>
      <c r="AK296">
        <v>4</v>
      </c>
      <c r="AL296">
        <v>0</v>
      </c>
      <c r="AM296">
        <v>2</v>
      </c>
      <c r="AN296" s="1">
        <v>2</v>
      </c>
    </row>
    <row r="297" spans="1:40" x14ac:dyDescent="0.3">
      <c r="A297" t="s">
        <v>128</v>
      </c>
      <c r="B297" t="s">
        <v>140</v>
      </c>
      <c r="C297" s="3" t="s">
        <v>42</v>
      </c>
      <c r="D297">
        <v>141</v>
      </c>
      <c r="E297">
        <v>3</v>
      </c>
      <c r="F297">
        <v>0</v>
      </c>
      <c r="G297">
        <v>131</v>
      </c>
      <c r="H297">
        <v>1</v>
      </c>
      <c r="I297">
        <v>0</v>
      </c>
      <c r="J297">
        <v>0</v>
      </c>
      <c r="K297">
        <v>2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1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1</v>
      </c>
      <c r="AL297">
        <v>0</v>
      </c>
      <c r="AM297">
        <v>2</v>
      </c>
      <c r="AN297" s="1">
        <v>0</v>
      </c>
    </row>
    <row r="298" spans="1:40" x14ac:dyDescent="0.3">
      <c r="A298" t="s">
        <v>128</v>
      </c>
      <c r="B298" t="s">
        <v>140</v>
      </c>
      <c r="C298" s="3" t="s">
        <v>43</v>
      </c>
      <c r="D298">
        <v>162</v>
      </c>
      <c r="E298">
        <v>2</v>
      </c>
      <c r="F298">
        <v>0</v>
      </c>
      <c r="G298">
        <v>149</v>
      </c>
      <c r="H298">
        <v>0</v>
      </c>
      <c r="I298">
        <v>0</v>
      </c>
      <c r="J298">
        <v>0</v>
      </c>
      <c r="K298">
        <v>1</v>
      </c>
      <c r="L298">
        <v>0</v>
      </c>
      <c r="M298">
        <v>1</v>
      </c>
      <c r="N298">
        <v>0</v>
      </c>
      <c r="O298">
        <v>1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1</v>
      </c>
      <c r="AH298">
        <v>1</v>
      </c>
      <c r="AI298">
        <v>1</v>
      </c>
      <c r="AJ298">
        <v>0</v>
      </c>
      <c r="AK298">
        <v>3</v>
      </c>
      <c r="AL298">
        <v>0</v>
      </c>
      <c r="AM298">
        <v>0</v>
      </c>
      <c r="AN298" s="1">
        <v>2</v>
      </c>
    </row>
    <row r="299" spans="1:40" x14ac:dyDescent="0.3">
      <c r="A299" t="s">
        <v>128</v>
      </c>
      <c r="B299" t="s">
        <v>141</v>
      </c>
      <c r="C299" s="3" t="s">
        <v>39</v>
      </c>
      <c r="D299">
        <v>299</v>
      </c>
      <c r="E299">
        <v>3</v>
      </c>
      <c r="F299">
        <v>0</v>
      </c>
      <c r="G299">
        <v>291</v>
      </c>
      <c r="H299">
        <v>0</v>
      </c>
      <c r="I299">
        <v>0</v>
      </c>
      <c r="J299">
        <v>0</v>
      </c>
      <c r="K299">
        <v>3</v>
      </c>
      <c r="L299">
        <v>1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1</v>
      </c>
      <c r="AL299">
        <v>0</v>
      </c>
      <c r="AM299">
        <v>0</v>
      </c>
      <c r="AN299" s="1">
        <v>0</v>
      </c>
    </row>
    <row r="300" spans="1:40" x14ac:dyDescent="0.3">
      <c r="A300" t="s">
        <v>128</v>
      </c>
      <c r="B300" t="s">
        <v>141</v>
      </c>
      <c r="C300" s="3" t="s">
        <v>42</v>
      </c>
      <c r="D300">
        <v>138</v>
      </c>
      <c r="E300">
        <v>1</v>
      </c>
      <c r="F300">
        <v>0</v>
      </c>
      <c r="G300">
        <v>133</v>
      </c>
      <c r="H300">
        <v>0</v>
      </c>
      <c r="I300">
        <v>0</v>
      </c>
      <c r="J300">
        <v>0</v>
      </c>
      <c r="K300">
        <v>3</v>
      </c>
      <c r="L300">
        <v>1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 s="1">
        <v>0</v>
      </c>
    </row>
    <row r="301" spans="1:40" x14ac:dyDescent="0.3">
      <c r="A301" t="s">
        <v>128</v>
      </c>
      <c r="B301" t="s">
        <v>141</v>
      </c>
      <c r="C301" s="3" t="s">
        <v>43</v>
      </c>
      <c r="D301">
        <v>161</v>
      </c>
      <c r="E301">
        <v>2</v>
      </c>
      <c r="F301">
        <v>0</v>
      </c>
      <c r="G301">
        <v>158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1</v>
      </c>
      <c r="AL301">
        <v>0</v>
      </c>
      <c r="AM301">
        <v>0</v>
      </c>
      <c r="AN301" s="1">
        <v>0</v>
      </c>
    </row>
    <row r="302" spans="1:40" x14ac:dyDescent="0.3">
      <c r="A302" t="s">
        <v>128</v>
      </c>
      <c r="B302" t="s">
        <v>142</v>
      </c>
      <c r="C302" s="3" t="s">
        <v>39</v>
      </c>
      <c r="D302">
        <v>280</v>
      </c>
      <c r="E302">
        <v>0</v>
      </c>
      <c r="F302">
        <v>0</v>
      </c>
      <c r="G302">
        <v>3</v>
      </c>
      <c r="H302">
        <v>0</v>
      </c>
      <c r="I302">
        <v>0</v>
      </c>
      <c r="J302">
        <v>36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238</v>
      </c>
      <c r="AH302">
        <v>0</v>
      </c>
      <c r="AI302">
        <v>0</v>
      </c>
      <c r="AJ302">
        <v>0</v>
      </c>
      <c r="AK302">
        <v>0</v>
      </c>
      <c r="AL302">
        <v>2</v>
      </c>
      <c r="AM302">
        <v>0</v>
      </c>
      <c r="AN302" s="1">
        <v>1</v>
      </c>
    </row>
    <row r="303" spans="1:40" x14ac:dyDescent="0.3">
      <c r="A303" t="s">
        <v>128</v>
      </c>
      <c r="B303" t="s">
        <v>142</v>
      </c>
      <c r="C303" s="3" t="s">
        <v>42</v>
      </c>
      <c r="D303">
        <v>142</v>
      </c>
      <c r="E303">
        <v>0</v>
      </c>
      <c r="F303">
        <v>0</v>
      </c>
      <c r="G303">
        <v>1</v>
      </c>
      <c r="H303">
        <v>0</v>
      </c>
      <c r="I303">
        <v>0</v>
      </c>
      <c r="J303">
        <v>22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118</v>
      </c>
      <c r="AH303">
        <v>0</v>
      </c>
      <c r="AI303">
        <v>0</v>
      </c>
      <c r="AJ303">
        <v>0</v>
      </c>
      <c r="AK303">
        <v>0</v>
      </c>
      <c r="AL303">
        <v>1</v>
      </c>
      <c r="AM303">
        <v>0</v>
      </c>
      <c r="AN303" s="1">
        <v>0</v>
      </c>
    </row>
    <row r="304" spans="1:40" x14ac:dyDescent="0.3">
      <c r="A304" t="s">
        <v>128</v>
      </c>
      <c r="B304" t="s">
        <v>142</v>
      </c>
      <c r="C304" s="3" t="s">
        <v>43</v>
      </c>
      <c r="D304">
        <v>138</v>
      </c>
      <c r="E304">
        <v>0</v>
      </c>
      <c r="F304">
        <v>0</v>
      </c>
      <c r="G304">
        <v>2</v>
      </c>
      <c r="H304">
        <v>0</v>
      </c>
      <c r="I304">
        <v>0</v>
      </c>
      <c r="J304">
        <v>14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120</v>
      </c>
      <c r="AH304">
        <v>0</v>
      </c>
      <c r="AI304">
        <v>0</v>
      </c>
      <c r="AJ304">
        <v>0</v>
      </c>
      <c r="AK304">
        <v>0</v>
      </c>
      <c r="AL304">
        <v>1</v>
      </c>
      <c r="AM304">
        <v>0</v>
      </c>
      <c r="AN304" s="1">
        <v>1</v>
      </c>
    </row>
    <row r="305" spans="1:40" x14ac:dyDescent="0.3">
      <c r="A305" t="s">
        <v>128</v>
      </c>
      <c r="B305" t="s">
        <v>143</v>
      </c>
      <c r="C305" s="3" t="s">
        <v>39</v>
      </c>
      <c r="D305">
        <v>266</v>
      </c>
      <c r="E305">
        <v>1</v>
      </c>
      <c r="F305">
        <v>0</v>
      </c>
      <c r="G305">
        <v>260</v>
      </c>
      <c r="H305">
        <v>0</v>
      </c>
      <c r="I305">
        <v>0</v>
      </c>
      <c r="J305">
        <v>0</v>
      </c>
      <c r="K305">
        <v>1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1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1</v>
      </c>
      <c r="AH305">
        <v>0</v>
      </c>
      <c r="AI305">
        <v>1</v>
      </c>
      <c r="AJ305">
        <v>0</v>
      </c>
      <c r="AK305">
        <v>0</v>
      </c>
      <c r="AL305">
        <v>0</v>
      </c>
      <c r="AM305">
        <v>0</v>
      </c>
      <c r="AN305" s="1">
        <v>1</v>
      </c>
    </row>
    <row r="306" spans="1:40" x14ac:dyDescent="0.3">
      <c r="A306" t="s">
        <v>128</v>
      </c>
      <c r="B306" t="s">
        <v>143</v>
      </c>
      <c r="C306" s="3" t="s">
        <v>42</v>
      </c>
      <c r="D306">
        <v>149</v>
      </c>
      <c r="E306">
        <v>1</v>
      </c>
      <c r="F306">
        <v>0</v>
      </c>
      <c r="G306">
        <v>145</v>
      </c>
      <c r="H306">
        <v>0</v>
      </c>
      <c r="I306">
        <v>0</v>
      </c>
      <c r="J306">
        <v>0</v>
      </c>
      <c r="K306">
        <v>1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1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1</v>
      </c>
      <c r="AJ306">
        <v>0</v>
      </c>
      <c r="AK306">
        <v>0</v>
      </c>
      <c r="AL306">
        <v>0</v>
      </c>
      <c r="AM306">
        <v>0</v>
      </c>
      <c r="AN306" s="1">
        <v>0</v>
      </c>
    </row>
    <row r="307" spans="1:40" x14ac:dyDescent="0.3">
      <c r="A307" t="s">
        <v>128</v>
      </c>
      <c r="B307" t="s">
        <v>143</v>
      </c>
      <c r="C307" s="3" t="s">
        <v>43</v>
      </c>
      <c r="D307">
        <v>117</v>
      </c>
      <c r="E307">
        <v>0</v>
      </c>
      <c r="F307">
        <v>0</v>
      </c>
      <c r="G307">
        <v>115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1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 s="1">
        <v>1</v>
      </c>
    </row>
    <row r="308" spans="1:40" x14ac:dyDescent="0.3">
      <c r="A308" t="s">
        <v>128</v>
      </c>
      <c r="B308" t="s">
        <v>144</v>
      </c>
      <c r="C308" s="3" t="s">
        <v>39</v>
      </c>
      <c r="D308">
        <v>242</v>
      </c>
      <c r="E308">
        <v>2</v>
      </c>
      <c r="F308">
        <v>1</v>
      </c>
      <c r="G308">
        <v>217</v>
      </c>
      <c r="H308">
        <v>5</v>
      </c>
      <c r="I308">
        <v>0</v>
      </c>
      <c r="J308">
        <v>1</v>
      </c>
      <c r="K308">
        <v>2</v>
      </c>
      <c r="L308">
        <v>0</v>
      </c>
      <c r="M308">
        <v>0</v>
      </c>
      <c r="N308">
        <v>1</v>
      </c>
      <c r="O308">
        <v>3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</v>
      </c>
      <c r="AE308">
        <v>0</v>
      </c>
      <c r="AF308">
        <v>0</v>
      </c>
      <c r="AG308">
        <v>0</v>
      </c>
      <c r="AH308">
        <v>0</v>
      </c>
      <c r="AI308">
        <v>2</v>
      </c>
      <c r="AJ308">
        <v>0</v>
      </c>
      <c r="AK308">
        <v>0</v>
      </c>
      <c r="AL308">
        <v>0</v>
      </c>
      <c r="AM308">
        <v>0</v>
      </c>
      <c r="AN308" s="1">
        <v>7</v>
      </c>
    </row>
    <row r="309" spans="1:40" x14ac:dyDescent="0.3">
      <c r="A309" t="s">
        <v>128</v>
      </c>
      <c r="B309" t="s">
        <v>144</v>
      </c>
      <c r="C309" s="3" t="s">
        <v>42</v>
      </c>
      <c r="D309">
        <v>97</v>
      </c>
      <c r="E309">
        <v>0</v>
      </c>
      <c r="F309">
        <v>1</v>
      </c>
      <c r="G309">
        <v>85</v>
      </c>
      <c r="H309">
        <v>5</v>
      </c>
      <c r="I309">
        <v>0</v>
      </c>
      <c r="J309">
        <v>1</v>
      </c>
      <c r="K309">
        <v>2</v>
      </c>
      <c r="L309">
        <v>0</v>
      </c>
      <c r="M309">
        <v>0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 s="1">
        <v>2</v>
      </c>
    </row>
    <row r="310" spans="1:40" x14ac:dyDescent="0.3">
      <c r="A310" t="s">
        <v>128</v>
      </c>
      <c r="B310" t="s">
        <v>144</v>
      </c>
      <c r="C310" s="3" t="s">
        <v>43</v>
      </c>
      <c r="D310">
        <v>145</v>
      </c>
      <c r="E310">
        <v>2</v>
      </c>
      <c r="F310">
        <v>0</v>
      </c>
      <c r="G310">
        <v>132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3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</v>
      </c>
      <c r="AE310">
        <v>0</v>
      </c>
      <c r="AF310">
        <v>0</v>
      </c>
      <c r="AG310">
        <v>0</v>
      </c>
      <c r="AH310">
        <v>0</v>
      </c>
      <c r="AI310">
        <v>2</v>
      </c>
      <c r="AJ310">
        <v>0</v>
      </c>
      <c r="AK310">
        <v>0</v>
      </c>
      <c r="AL310">
        <v>0</v>
      </c>
      <c r="AM310">
        <v>0</v>
      </c>
      <c r="AN310" s="1">
        <v>5</v>
      </c>
    </row>
    <row r="311" spans="1:40" x14ac:dyDescent="0.3">
      <c r="A311" t="s">
        <v>128</v>
      </c>
      <c r="B311" t="s">
        <v>145</v>
      </c>
      <c r="C311" s="3" t="s">
        <v>39</v>
      </c>
      <c r="D311">
        <v>239</v>
      </c>
      <c r="E311">
        <v>2</v>
      </c>
      <c r="F311">
        <v>0</v>
      </c>
      <c r="G311">
        <v>1</v>
      </c>
      <c r="H311">
        <v>40</v>
      </c>
      <c r="I311">
        <v>0</v>
      </c>
      <c r="J311">
        <v>119</v>
      </c>
      <c r="K311">
        <v>38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1</v>
      </c>
      <c r="U311">
        <v>0</v>
      </c>
      <c r="V311">
        <v>0</v>
      </c>
      <c r="W311">
        <v>0</v>
      </c>
      <c r="X311">
        <v>0</v>
      </c>
      <c r="Y311">
        <v>14</v>
      </c>
      <c r="Z311">
        <v>0</v>
      </c>
      <c r="AA311">
        <v>0</v>
      </c>
      <c r="AB311">
        <v>0</v>
      </c>
      <c r="AC311">
        <v>0</v>
      </c>
      <c r="AD311">
        <v>1</v>
      </c>
      <c r="AE311">
        <v>2</v>
      </c>
      <c r="AF311">
        <v>4</v>
      </c>
      <c r="AG311">
        <v>3</v>
      </c>
      <c r="AH311">
        <v>0</v>
      </c>
      <c r="AI311">
        <v>2</v>
      </c>
      <c r="AJ311">
        <v>0</v>
      </c>
      <c r="AK311">
        <v>0</v>
      </c>
      <c r="AL311">
        <v>4</v>
      </c>
      <c r="AM311">
        <v>0</v>
      </c>
      <c r="AN311" s="1">
        <v>8</v>
      </c>
    </row>
    <row r="312" spans="1:40" x14ac:dyDescent="0.3">
      <c r="A312" t="s">
        <v>128</v>
      </c>
      <c r="B312" t="s">
        <v>145</v>
      </c>
      <c r="C312" s="3" t="s">
        <v>42</v>
      </c>
      <c r="D312">
        <v>109</v>
      </c>
      <c r="E312">
        <v>1</v>
      </c>
      <c r="F312">
        <v>0</v>
      </c>
      <c r="G312">
        <v>1</v>
      </c>
      <c r="H312">
        <v>38</v>
      </c>
      <c r="I312">
        <v>0</v>
      </c>
      <c r="J312">
        <v>46</v>
      </c>
      <c r="K312">
        <v>6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1</v>
      </c>
      <c r="U312">
        <v>0</v>
      </c>
      <c r="V312">
        <v>0</v>
      </c>
      <c r="W312">
        <v>0</v>
      </c>
      <c r="X312">
        <v>0</v>
      </c>
      <c r="Y312">
        <v>4</v>
      </c>
      <c r="Z312">
        <v>0</v>
      </c>
      <c r="AA312">
        <v>0</v>
      </c>
      <c r="AB312">
        <v>0</v>
      </c>
      <c r="AC312">
        <v>0</v>
      </c>
      <c r="AD312">
        <v>1</v>
      </c>
      <c r="AE312">
        <v>0</v>
      </c>
      <c r="AF312">
        <v>2</v>
      </c>
      <c r="AG312">
        <v>1</v>
      </c>
      <c r="AH312">
        <v>0</v>
      </c>
      <c r="AI312">
        <v>0</v>
      </c>
      <c r="AJ312">
        <v>0</v>
      </c>
      <c r="AK312">
        <v>0</v>
      </c>
      <c r="AL312">
        <v>4</v>
      </c>
      <c r="AM312">
        <v>0</v>
      </c>
      <c r="AN312" s="1">
        <v>4</v>
      </c>
    </row>
    <row r="313" spans="1:40" x14ac:dyDescent="0.3">
      <c r="A313" t="s">
        <v>128</v>
      </c>
      <c r="B313" t="s">
        <v>145</v>
      </c>
      <c r="C313" s="3" t="s">
        <v>43</v>
      </c>
      <c r="D313">
        <v>130</v>
      </c>
      <c r="E313">
        <v>1</v>
      </c>
      <c r="F313">
        <v>0</v>
      </c>
      <c r="G313">
        <v>0</v>
      </c>
      <c r="H313">
        <v>2</v>
      </c>
      <c r="I313">
        <v>0</v>
      </c>
      <c r="J313">
        <v>73</v>
      </c>
      <c r="K313">
        <v>32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10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2</v>
      </c>
      <c r="AF313">
        <v>2</v>
      </c>
      <c r="AG313">
        <v>2</v>
      </c>
      <c r="AH313">
        <v>0</v>
      </c>
      <c r="AI313">
        <v>2</v>
      </c>
      <c r="AJ313">
        <v>0</v>
      </c>
      <c r="AK313">
        <v>0</v>
      </c>
      <c r="AL313">
        <v>0</v>
      </c>
      <c r="AM313">
        <v>0</v>
      </c>
      <c r="AN313" s="1">
        <v>4</v>
      </c>
    </row>
    <row r="314" spans="1:40" x14ac:dyDescent="0.3">
      <c r="A314" t="s">
        <v>128</v>
      </c>
      <c r="B314" t="s">
        <v>146</v>
      </c>
      <c r="C314" s="3" t="s">
        <v>39</v>
      </c>
      <c r="D314">
        <v>238</v>
      </c>
      <c r="E314">
        <v>1</v>
      </c>
      <c r="F314">
        <v>0</v>
      </c>
      <c r="G314">
        <v>228</v>
      </c>
      <c r="H314">
        <v>1</v>
      </c>
      <c r="I314">
        <v>0</v>
      </c>
      <c r="J314">
        <v>0</v>
      </c>
      <c r="K314">
        <v>4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</v>
      </c>
      <c r="X314">
        <v>0</v>
      </c>
      <c r="Y314">
        <v>0</v>
      </c>
      <c r="Z314">
        <v>1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1</v>
      </c>
      <c r="AG314">
        <v>0</v>
      </c>
      <c r="AH314">
        <v>0</v>
      </c>
      <c r="AI314">
        <v>1</v>
      </c>
      <c r="AJ314">
        <v>0</v>
      </c>
      <c r="AK314">
        <v>0</v>
      </c>
      <c r="AL314">
        <v>0</v>
      </c>
      <c r="AM314">
        <v>0</v>
      </c>
      <c r="AN314" s="1">
        <v>0</v>
      </c>
    </row>
    <row r="315" spans="1:40" x14ac:dyDescent="0.3">
      <c r="A315" t="s">
        <v>128</v>
      </c>
      <c r="B315" t="s">
        <v>146</v>
      </c>
      <c r="C315" s="3" t="s">
        <v>42</v>
      </c>
      <c r="D315">
        <v>147</v>
      </c>
      <c r="E315">
        <v>1</v>
      </c>
      <c r="F315">
        <v>0</v>
      </c>
      <c r="G315">
        <v>139</v>
      </c>
      <c r="H315">
        <v>1</v>
      </c>
      <c r="I315">
        <v>0</v>
      </c>
      <c r="J315">
        <v>0</v>
      </c>
      <c r="K315">
        <v>4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1</v>
      </c>
      <c r="AJ315">
        <v>0</v>
      </c>
      <c r="AK315">
        <v>0</v>
      </c>
      <c r="AL315">
        <v>0</v>
      </c>
      <c r="AM315">
        <v>0</v>
      </c>
      <c r="AN315" s="1">
        <v>0</v>
      </c>
    </row>
    <row r="316" spans="1:40" x14ac:dyDescent="0.3">
      <c r="A316" t="s">
        <v>128</v>
      </c>
      <c r="B316" t="s">
        <v>146</v>
      </c>
      <c r="C316" s="3" t="s">
        <v>43</v>
      </c>
      <c r="D316">
        <v>91</v>
      </c>
      <c r="E316">
        <v>0</v>
      </c>
      <c r="F316">
        <v>0</v>
      </c>
      <c r="G316">
        <v>89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1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 s="1">
        <v>0</v>
      </c>
    </row>
    <row r="317" spans="1:40" x14ac:dyDescent="0.3">
      <c r="A317" t="s">
        <v>128</v>
      </c>
      <c r="B317" t="s">
        <v>147</v>
      </c>
      <c r="C317" s="3" t="s">
        <v>39</v>
      </c>
      <c r="D317">
        <v>231</v>
      </c>
      <c r="E317">
        <v>2</v>
      </c>
      <c r="F317">
        <v>1</v>
      </c>
      <c r="G317">
        <v>207</v>
      </c>
      <c r="H317">
        <v>16</v>
      </c>
      <c r="I317">
        <v>0</v>
      </c>
      <c r="J317">
        <v>0</v>
      </c>
      <c r="K317">
        <v>3</v>
      </c>
      <c r="L317">
        <v>0</v>
      </c>
      <c r="M317">
        <v>0</v>
      </c>
      <c r="N317">
        <v>0</v>
      </c>
      <c r="O317">
        <v>1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1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 s="1">
        <v>0</v>
      </c>
    </row>
    <row r="318" spans="1:40" x14ac:dyDescent="0.3">
      <c r="A318" t="s">
        <v>128</v>
      </c>
      <c r="B318" t="s">
        <v>147</v>
      </c>
      <c r="C318" s="3" t="s">
        <v>42</v>
      </c>
      <c r="D318">
        <v>135</v>
      </c>
      <c r="E318">
        <v>0</v>
      </c>
      <c r="F318">
        <v>0</v>
      </c>
      <c r="G318">
        <v>117</v>
      </c>
      <c r="H318">
        <v>16</v>
      </c>
      <c r="I318">
        <v>0</v>
      </c>
      <c r="J318">
        <v>0</v>
      </c>
      <c r="K318">
        <v>1</v>
      </c>
      <c r="L318">
        <v>0</v>
      </c>
      <c r="M318">
        <v>0</v>
      </c>
      <c r="N318">
        <v>0</v>
      </c>
      <c r="O318">
        <v>1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 s="1">
        <v>0</v>
      </c>
    </row>
    <row r="319" spans="1:40" x14ac:dyDescent="0.3">
      <c r="A319" t="s">
        <v>128</v>
      </c>
      <c r="B319" t="s">
        <v>147</v>
      </c>
      <c r="C319" s="3" t="s">
        <v>43</v>
      </c>
      <c r="D319">
        <v>96</v>
      </c>
      <c r="E319">
        <v>2</v>
      </c>
      <c r="F319">
        <v>1</v>
      </c>
      <c r="G319">
        <v>90</v>
      </c>
      <c r="H319">
        <v>0</v>
      </c>
      <c r="I319">
        <v>0</v>
      </c>
      <c r="J319">
        <v>0</v>
      </c>
      <c r="K319">
        <v>2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1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 s="1">
        <v>0</v>
      </c>
    </row>
    <row r="320" spans="1:40" x14ac:dyDescent="0.3">
      <c r="A320" t="s">
        <v>128</v>
      </c>
      <c r="B320" t="s">
        <v>148</v>
      </c>
      <c r="C320" s="3" t="s">
        <v>39</v>
      </c>
      <c r="D320">
        <v>229</v>
      </c>
      <c r="E320">
        <v>0</v>
      </c>
      <c r="F320">
        <v>0</v>
      </c>
      <c r="G320">
        <v>219</v>
      </c>
      <c r="H320">
        <v>0</v>
      </c>
      <c r="I320">
        <v>0</v>
      </c>
      <c r="J320">
        <v>0</v>
      </c>
      <c r="K320">
        <v>5</v>
      </c>
      <c r="L320">
        <v>0</v>
      </c>
      <c r="M320">
        <v>0</v>
      </c>
      <c r="N320">
        <v>0</v>
      </c>
      <c r="O320">
        <v>1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1</v>
      </c>
      <c r="AN320" s="1">
        <v>2</v>
      </c>
    </row>
    <row r="321" spans="1:40" x14ac:dyDescent="0.3">
      <c r="A321" t="s">
        <v>128</v>
      </c>
      <c r="B321" t="s">
        <v>148</v>
      </c>
      <c r="C321" s="3" t="s">
        <v>42</v>
      </c>
      <c r="D321">
        <v>120</v>
      </c>
      <c r="E321">
        <v>0</v>
      </c>
      <c r="F321">
        <v>0</v>
      </c>
      <c r="G321">
        <v>115</v>
      </c>
      <c r="H321">
        <v>0</v>
      </c>
      <c r="I321">
        <v>0</v>
      </c>
      <c r="J321">
        <v>0</v>
      </c>
      <c r="K321">
        <v>3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1</v>
      </c>
      <c r="AN321" s="1">
        <v>0</v>
      </c>
    </row>
    <row r="322" spans="1:40" x14ac:dyDescent="0.3">
      <c r="A322" t="s">
        <v>128</v>
      </c>
      <c r="B322" t="s">
        <v>148</v>
      </c>
      <c r="C322" s="3" t="s">
        <v>43</v>
      </c>
      <c r="D322">
        <v>109</v>
      </c>
      <c r="E322">
        <v>0</v>
      </c>
      <c r="F322">
        <v>0</v>
      </c>
      <c r="G322">
        <v>104</v>
      </c>
      <c r="H322">
        <v>0</v>
      </c>
      <c r="I322">
        <v>0</v>
      </c>
      <c r="J322">
        <v>0</v>
      </c>
      <c r="K322">
        <v>2</v>
      </c>
      <c r="L322">
        <v>0</v>
      </c>
      <c r="M322">
        <v>0</v>
      </c>
      <c r="N322">
        <v>0</v>
      </c>
      <c r="O322">
        <v>1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 s="1">
        <v>2</v>
      </c>
    </row>
    <row r="323" spans="1:40" x14ac:dyDescent="0.3">
      <c r="A323" t="s">
        <v>128</v>
      </c>
      <c r="B323" t="s">
        <v>149</v>
      </c>
      <c r="C323" s="3" t="s">
        <v>39</v>
      </c>
      <c r="D323">
        <v>227</v>
      </c>
      <c r="E323">
        <v>1</v>
      </c>
      <c r="F323">
        <v>1</v>
      </c>
      <c r="G323">
        <v>211</v>
      </c>
      <c r="H323">
        <v>1</v>
      </c>
      <c r="I323">
        <v>0</v>
      </c>
      <c r="J323">
        <v>1</v>
      </c>
      <c r="K323">
        <v>9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2</v>
      </c>
      <c r="AL323">
        <v>0</v>
      </c>
      <c r="AM323">
        <v>0</v>
      </c>
      <c r="AN323" s="1">
        <v>1</v>
      </c>
    </row>
    <row r="324" spans="1:40" x14ac:dyDescent="0.3">
      <c r="A324" t="s">
        <v>128</v>
      </c>
      <c r="B324" t="s">
        <v>149</v>
      </c>
      <c r="C324" s="3" t="s">
        <v>42</v>
      </c>
      <c r="D324">
        <v>132</v>
      </c>
      <c r="E324">
        <v>1</v>
      </c>
      <c r="F324">
        <v>1</v>
      </c>
      <c r="G324">
        <v>119</v>
      </c>
      <c r="H324">
        <v>0</v>
      </c>
      <c r="I324">
        <v>0</v>
      </c>
      <c r="J324">
        <v>1</v>
      </c>
      <c r="K324">
        <v>7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2</v>
      </c>
      <c r="AL324">
        <v>0</v>
      </c>
      <c r="AM324">
        <v>0</v>
      </c>
      <c r="AN324" s="1">
        <v>1</v>
      </c>
    </row>
    <row r="325" spans="1:40" x14ac:dyDescent="0.3">
      <c r="A325" t="s">
        <v>128</v>
      </c>
      <c r="B325" t="s">
        <v>149</v>
      </c>
      <c r="C325" s="3" t="s">
        <v>43</v>
      </c>
      <c r="D325">
        <v>95</v>
      </c>
      <c r="E325">
        <v>0</v>
      </c>
      <c r="F325">
        <v>0</v>
      </c>
      <c r="G325">
        <v>92</v>
      </c>
      <c r="H325">
        <v>1</v>
      </c>
      <c r="I325">
        <v>0</v>
      </c>
      <c r="J325">
        <v>0</v>
      </c>
      <c r="K325">
        <v>2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 s="1">
        <v>0</v>
      </c>
    </row>
    <row r="326" spans="1:40" x14ac:dyDescent="0.3">
      <c r="A326" t="s">
        <v>128</v>
      </c>
      <c r="B326" t="s">
        <v>150</v>
      </c>
      <c r="C326" s="3" t="s">
        <v>39</v>
      </c>
      <c r="D326">
        <v>142</v>
      </c>
      <c r="E326">
        <v>1</v>
      </c>
      <c r="F326">
        <v>0</v>
      </c>
      <c r="G326">
        <v>136</v>
      </c>
      <c r="H326">
        <v>0</v>
      </c>
      <c r="I326">
        <v>0</v>
      </c>
      <c r="J326">
        <v>0</v>
      </c>
      <c r="K326">
        <v>2</v>
      </c>
      <c r="L326">
        <v>0</v>
      </c>
      <c r="M326">
        <v>0</v>
      </c>
      <c r="N326">
        <v>0</v>
      </c>
      <c r="O326">
        <v>1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1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1</v>
      </c>
      <c r="AL326">
        <v>0</v>
      </c>
      <c r="AM326">
        <v>0</v>
      </c>
      <c r="AN326" s="1">
        <v>0</v>
      </c>
    </row>
    <row r="327" spans="1:40" x14ac:dyDescent="0.3">
      <c r="A327" t="s">
        <v>128</v>
      </c>
      <c r="B327" t="s">
        <v>150</v>
      </c>
      <c r="C327" s="3" t="s">
        <v>42</v>
      </c>
      <c r="D327">
        <v>75</v>
      </c>
      <c r="E327">
        <v>0</v>
      </c>
      <c r="F327">
        <v>0</v>
      </c>
      <c r="G327">
        <v>72</v>
      </c>
      <c r="H327">
        <v>0</v>
      </c>
      <c r="I327">
        <v>0</v>
      </c>
      <c r="J327">
        <v>0</v>
      </c>
      <c r="K327">
        <v>2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1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 s="1">
        <v>0</v>
      </c>
    </row>
    <row r="328" spans="1:40" x14ac:dyDescent="0.3">
      <c r="A328" t="s">
        <v>128</v>
      </c>
      <c r="B328" t="s">
        <v>150</v>
      </c>
      <c r="C328" s="3" t="s">
        <v>43</v>
      </c>
      <c r="D328">
        <v>67</v>
      </c>
      <c r="E328">
        <v>1</v>
      </c>
      <c r="F328">
        <v>0</v>
      </c>
      <c r="G328">
        <v>64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1</v>
      </c>
      <c r="AL328">
        <v>0</v>
      </c>
      <c r="AM328">
        <v>0</v>
      </c>
      <c r="AN328" s="1">
        <v>0</v>
      </c>
    </row>
    <row r="329" spans="1:40" x14ac:dyDescent="0.3">
      <c r="A329" t="s">
        <v>128</v>
      </c>
      <c r="B329" t="s">
        <v>151</v>
      </c>
      <c r="C329" s="3" t="s">
        <v>39</v>
      </c>
      <c r="D329">
        <v>115</v>
      </c>
      <c r="E329">
        <v>2</v>
      </c>
      <c r="F329">
        <v>0</v>
      </c>
      <c r="G329">
        <v>101</v>
      </c>
      <c r="H329">
        <v>0</v>
      </c>
      <c r="I329">
        <v>0</v>
      </c>
      <c r="J329">
        <v>1</v>
      </c>
      <c r="K329">
        <v>6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1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3</v>
      </c>
      <c r="AJ329">
        <v>0</v>
      </c>
      <c r="AK329">
        <v>0</v>
      </c>
      <c r="AL329">
        <v>0</v>
      </c>
      <c r="AM329">
        <v>0</v>
      </c>
      <c r="AN329" s="1">
        <v>1</v>
      </c>
    </row>
    <row r="330" spans="1:40" x14ac:dyDescent="0.3">
      <c r="A330" t="s">
        <v>128</v>
      </c>
      <c r="B330" t="s">
        <v>151</v>
      </c>
      <c r="C330" s="3" t="s">
        <v>42</v>
      </c>
      <c r="D330">
        <v>41</v>
      </c>
      <c r="E330">
        <v>2</v>
      </c>
      <c r="F330">
        <v>0</v>
      </c>
      <c r="G330">
        <v>35</v>
      </c>
      <c r="H330">
        <v>0</v>
      </c>
      <c r="I330">
        <v>0</v>
      </c>
      <c r="J330">
        <v>1</v>
      </c>
      <c r="K330">
        <v>2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1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 s="1">
        <v>0</v>
      </c>
    </row>
    <row r="331" spans="1:40" x14ac:dyDescent="0.3">
      <c r="A331" t="s">
        <v>128</v>
      </c>
      <c r="B331" t="s">
        <v>151</v>
      </c>
      <c r="C331" s="3" t="s">
        <v>43</v>
      </c>
      <c r="D331">
        <v>74</v>
      </c>
      <c r="E331">
        <v>0</v>
      </c>
      <c r="F331">
        <v>0</v>
      </c>
      <c r="G331">
        <v>66</v>
      </c>
      <c r="H331">
        <v>0</v>
      </c>
      <c r="I331">
        <v>0</v>
      </c>
      <c r="J331">
        <v>0</v>
      </c>
      <c r="K331">
        <v>4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3</v>
      </c>
      <c r="AJ331">
        <v>0</v>
      </c>
      <c r="AK331">
        <v>0</v>
      </c>
      <c r="AL331">
        <v>0</v>
      </c>
      <c r="AM331">
        <v>0</v>
      </c>
      <c r="AN331" s="1">
        <v>1</v>
      </c>
    </row>
    <row r="332" spans="1:40" x14ac:dyDescent="0.3">
      <c r="A332" t="s">
        <v>128</v>
      </c>
      <c r="B332" t="s">
        <v>152</v>
      </c>
      <c r="C332" s="3" t="s">
        <v>39</v>
      </c>
      <c r="D332">
        <v>97</v>
      </c>
      <c r="E332">
        <v>0</v>
      </c>
      <c r="F332">
        <v>0</v>
      </c>
      <c r="G332">
        <v>1</v>
      </c>
      <c r="H332">
        <v>90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2</v>
      </c>
      <c r="AI332">
        <v>1</v>
      </c>
      <c r="AJ332">
        <v>0</v>
      </c>
      <c r="AK332">
        <v>0</v>
      </c>
      <c r="AL332">
        <v>0</v>
      </c>
      <c r="AM332">
        <v>3</v>
      </c>
      <c r="AN332" s="1">
        <v>0</v>
      </c>
    </row>
    <row r="333" spans="1:40" x14ac:dyDescent="0.3">
      <c r="A333" t="s">
        <v>128</v>
      </c>
      <c r="B333" t="s">
        <v>152</v>
      </c>
      <c r="C333" s="3" t="s">
        <v>42</v>
      </c>
      <c r="D333">
        <v>53</v>
      </c>
      <c r="E333">
        <v>0</v>
      </c>
      <c r="F333">
        <v>0</v>
      </c>
      <c r="G333">
        <v>1</v>
      </c>
      <c r="H333">
        <v>50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2</v>
      </c>
      <c r="AI333">
        <v>0</v>
      </c>
      <c r="AJ333">
        <v>0</v>
      </c>
      <c r="AK333">
        <v>0</v>
      </c>
      <c r="AL333">
        <v>0</v>
      </c>
      <c r="AM333">
        <v>0</v>
      </c>
      <c r="AN333" s="1">
        <v>0</v>
      </c>
    </row>
    <row r="334" spans="1:40" x14ac:dyDescent="0.3">
      <c r="A334" t="s">
        <v>128</v>
      </c>
      <c r="B334" t="s">
        <v>152</v>
      </c>
      <c r="C334" s="3" t="s">
        <v>43</v>
      </c>
      <c r="D334">
        <v>44</v>
      </c>
      <c r="E334">
        <v>0</v>
      </c>
      <c r="F334">
        <v>0</v>
      </c>
      <c r="G334">
        <v>0</v>
      </c>
      <c r="H334">
        <v>40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1</v>
      </c>
      <c r="AJ334">
        <v>0</v>
      </c>
      <c r="AK334">
        <v>0</v>
      </c>
      <c r="AL334">
        <v>0</v>
      </c>
      <c r="AM334">
        <v>3</v>
      </c>
      <c r="AN334" s="1">
        <v>0</v>
      </c>
    </row>
    <row r="335" spans="1:40" x14ac:dyDescent="0.3">
      <c r="A335" t="s">
        <v>128</v>
      </c>
      <c r="B335" t="s">
        <v>153</v>
      </c>
      <c r="C335" s="3" t="s">
        <v>39</v>
      </c>
      <c r="D335">
        <v>96</v>
      </c>
      <c r="E335">
        <v>0</v>
      </c>
      <c r="F335">
        <v>0</v>
      </c>
      <c r="G335">
        <v>1</v>
      </c>
      <c r="H335">
        <v>93</v>
      </c>
      <c r="I335">
        <v>0</v>
      </c>
      <c r="J335">
        <v>1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1</v>
      </c>
      <c r="AJ335">
        <v>0</v>
      </c>
      <c r="AK335">
        <v>0</v>
      </c>
      <c r="AL335">
        <v>0</v>
      </c>
      <c r="AM335">
        <v>0</v>
      </c>
      <c r="AN335" s="1">
        <v>0</v>
      </c>
    </row>
    <row r="336" spans="1:40" x14ac:dyDescent="0.3">
      <c r="A336" t="s">
        <v>128</v>
      </c>
      <c r="B336" t="s">
        <v>153</v>
      </c>
      <c r="C336" s="3" t="s">
        <v>42</v>
      </c>
      <c r="D336">
        <v>57</v>
      </c>
      <c r="E336">
        <v>0</v>
      </c>
      <c r="F336">
        <v>0</v>
      </c>
      <c r="G336">
        <v>0</v>
      </c>
      <c r="H336">
        <v>57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 s="1">
        <v>0</v>
      </c>
    </row>
    <row r="337" spans="1:40" x14ac:dyDescent="0.3">
      <c r="A337" t="s">
        <v>128</v>
      </c>
      <c r="B337" t="s">
        <v>153</v>
      </c>
      <c r="C337" s="3" t="s">
        <v>43</v>
      </c>
      <c r="D337">
        <v>39</v>
      </c>
      <c r="E337">
        <v>0</v>
      </c>
      <c r="F337">
        <v>0</v>
      </c>
      <c r="G337">
        <v>1</v>
      </c>
      <c r="H337">
        <v>36</v>
      </c>
      <c r="I337">
        <v>0</v>
      </c>
      <c r="J337">
        <v>1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1</v>
      </c>
      <c r="AJ337">
        <v>0</v>
      </c>
      <c r="AK337">
        <v>0</v>
      </c>
      <c r="AL337">
        <v>0</v>
      </c>
      <c r="AM337">
        <v>0</v>
      </c>
      <c r="AN337" s="1">
        <v>0</v>
      </c>
    </row>
    <row r="338" spans="1:40" x14ac:dyDescent="0.3">
      <c r="A338" t="s">
        <v>128</v>
      </c>
      <c r="B338" t="s">
        <v>154</v>
      </c>
      <c r="C338" s="3" t="s">
        <v>39</v>
      </c>
      <c r="D338">
        <v>72</v>
      </c>
      <c r="E338">
        <v>1</v>
      </c>
      <c r="F338">
        <v>0</v>
      </c>
      <c r="G338">
        <v>68</v>
      </c>
      <c r="H338">
        <v>0</v>
      </c>
      <c r="I338">
        <v>0</v>
      </c>
      <c r="J338">
        <v>0</v>
      </c>
      <c r="K338">
        <v>1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1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 s="1">
        <v>1</v>
      </c>
    </row>
    <row r="339" spans="1:40" x14ac:dyDescent="0.3">
      <c r="A339" t="s">
        <v>128</v>
      </c>
      <c r="B339" t="s">
        <v>154</v>
      </c>
      <c r="C339" s="3" t="s">
        <v>42</v>
      </c>
      <c r="D339">
        <v>34</v>
      </c>
      <c r="E339">
        <v>1</v>
      </c>
      <c r="F339">
        <v>0</v>
      </c>
      <c r="G339">
        <v>31</v>
      </c>
      <c r="H339">
        <v>0</v>
      </c>
      <c r="I339">
        <v>0</v>
      </c>
      <c r="J339">
        <v>0</v>
      </c>
      <c r="K339">
        <v>1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1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 s="1">
        <v>0</v>
      </c>
    </row>
    <row r="340" spans="1:40" x14ac:dyDescent="0.3">
      <c r="A340" t="s">
        <v>128</v>
      </c>
      <c r="B340" t="s">
        <v>154</v>
      </c>
      <c r="C340" s="3" t="s">
        <v>43</v>
      </c>
      <c r="D340">
        <v>38</v>
      </c>
      <c r="E340">
        <v>0</v>
      </c>
      <c r="F340">
        <v>0</v>
      </c>
      <c r="G340">
        <v>37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 s="1">
        <v>1</v>
      </c>
    </row>
    <row r="341" spans="1:40" x14ac:dyDescent="0.3">
      <c r="A341" t="s">
        <v>128</v>
      </c>
      <c r="B341" t="s">
        <v>155</v>
      </c>
      <c r="C341" s="3" t="s">
        <v>39</v>
      </c>
      <c r="D341">
        <v>66</v>
      </c>
      <c r="E341">
        <v>0</v>
      </c>
      <c r="F341">
        <v>0</v>
      </c>
      <c r="G341">
        <v>59</v>
      </c>
      <c r="H341">
        <v>0</v>
      </c>
      <c r="I341">
        <v>0</v>
      </c>
      <c r="J341">
        <v>0</v>
      </c>
      <c r="K341">
        <v>3</v>
      </c>
      <c r="L341">
        <v>0</v>
      </c>
      <c r="M341">
        <v>0</v>
      </c>
      <c r="N341">
        <v>0</v>
      </c>
      <c r="O341">
        <v>1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1</v>
      </c>
      <c r="AN341" s="1">
        <v>2</v>
      </c>
    </row>
    <row r="342" spans="1:40" x14ac:dyDescent="0.3">
      <c r="A342" t="s">
        <v>128</v>
      </c>
      <c r="B342" t="s">
        <v>155</v>
      </c>
      <c r="C342" s="3" t="s">
        <v>42</v>
      </c>
      <c r="D342">
        <v>30</v>
      </c>
      <c r="E342">
        <v>0</v>
      </c>
      <c r="F342">
        <v>0</v>
      </c>
      <c r="G342">
        <v>28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1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 s="1">
        <v>1</v>
      </c>
    </row>
    <row r="343" spans="1:40" x14ac:dyDescent="0.3">
      <c r="A343" t="s">
        <v>128</v>
      </c>
      <c r="B343" t="s">
        <v>155</v>
      </c>
      <c r="C343" s="3" t="s">
        <v>43</v>
      </c>
      <c r="D343">
        <v>36</v>
      </c>
      <c r="E343">
        <v>0</v>
      </c>
      <c r="F343">
        <v>0</v>
      </c>
      <c r="G343">
        <v>31</v>
      </c>
      <c r="H343">
        <v>0</v>
      </c>
      <c r="I343">
        <v>0</v>
      </c>
      <c r="J343">
        <v>0</v>
      </c>
      <c r="K343">
        <v>3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1</v>
      </c>
      <c r="AN343" s="1">
        <v>1</v>
      </c>
    </row>
    <row r="344" spans="1:40" x14ac:dyDescent="0.3">
      <c r="A344" t="s">
        <v>128</v>
      </c>
      <c r="B344" t="s">
        <v>156</v>
      </c>
      <c r="C344" s="3" t="s">
        <v>39</v>
      </c>
      <c r="D344">
        <v>54</v>
      </c>
      <c r="E344">
        <v>0</v>
      </c>
      <c r="F344">
        <v>0</v>
      </c>
      <c r="G344">
        <v>52</v>
      </c>
      <c r="H344">
        <v>0</v>
      </c>
      <c r="I344">
        <v>0</v>
      </c>
      <c r="J344">
        <v>0</v>
      </c>
      <c r="K344">
        <v>2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 s="1">
        <v>0</v>
      </c>
    </row>
    <row r="345" spans="1:40" x14ac:dyDescent="0.3">
      <c r="A345" t="s">
        <v>128</v>
      </c>
      <c r="B345" t="s">
        <v>156</v>
      </c>
      <c r="C345" s="3" t="s">
        <v>42</v>
      </c>
      <c r="D345">
        <v>20</v>
      </c>
      <c r="E345">
        <v>0</v>
      </c>
      <c r="F345">
        <v>0</v>
      </c>
      <c r="G345">
        <v>20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 s="1">
        <v>0</v>
      </c>
    </row>
    <row r="346" spans="1:40" x14ac:dyDescent="0.3">
      <c r="A346" t="s">
        <v>128</v>
      </c>
      <c r="B346" t="s">
        <v>156</v>
      </c>
      <c r="C346" s="3" t="s">
        <v>43</v>
      </c>
      <c r="D346">
        <v>34</v>
      </c>
      <c r="E346">
        <v>0</v>
      </c>
      <c r="F346">
        <v>0</v>
      </c>
      <c r="G346">
        <v>32</v>
      </c>
      <c r="H346">
        <v>0</v>
      </c>
      <c r="I346">
        <v>0</v>
      </c>
      <c r="J346">
        <v>0</v>
      </c>
      <c r="K346">
        <v>2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 s="1">
        <v>0</v>
      </c>
    </row>
    <row r="347" spans="1:40" x14ac:dyDescent="0.3">
      <c r="A347" t="s">
        <v>128</v>
      </c>
      <c r="B347" t="s">
        <v>157</v>
      </c>
      <c r="C347" s="3" t="s">
        <v>39</v>
      </c>
      <c r="D347">
        <v>51</v>
      </c>
      <c r="E347">
        <v>0</v>
      </c>
      <c r="F347">
        <v>0</v>
      </c>
      <c r="G347">
        <v>44</v>
      </c>
      <c r="H347">
        <v>3</v>
      </c>
      <c r="I347">
        <v>0</v>
      </c>
      <c r="J347">
        <v>1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 s="1">
        <v>3</v>
      </c>
    </row>
    <row r="348" spans="1:40" x14ac:dyDescent="0.3">
      <c r="A348" t="s">
        <v>128</v>
      </c>
      <c r="B348" t="s">
        <v>157</v>
      </c>
      <c r="C348" s="3" t="s">
        <v>42</v>
      </c>
      <c r="D348">
        <v>23</v>
      </c>
      <c r="E348">
        <v>0</v>
      </c>
      <c r="F348">
        <v>0</v>
      </c>
      <c r="G348">
        <v>19</v>
      </c>
      <c r="H348">
        <v>3</v>
      </c>
      <c r="I348">
        <v>0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 s="1">
        <v>0</v>
      </c>
    </row>
    <row r="349" spans="1:40" x14ac:dyDescent="0.3">
      <c r="A349" t="s">
        <v>128</v>
      </c>
      <c r="B349" t="s">
        <v>157</v>
      </c>
      <c r="C349" s="3" t="s">
        <v>43</v>
      </c>
      <c r="D349">
        <v>28</v>
      </c>
      <c r="E349">
        <v>0</v>
      </c>
      <c r="F349">
        <v>0</v>
      </c>
      <c r="G349">
        <v>25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 s="1">
        <v>3</v>
      </c>
    </row>
    <row r="350" spans="1:40" x14ac:dyDescent="0.3">
      <c r="A350" t="s">
        <v>128</v>
      </c>
      <c r="B350" t="s">
        <v>158</v>
      </c>
      <c r="C350" s="3" t="s">
        <v>39</v>
      </c>
      <c r="D350">
        <v>40</v>
      </c>
      <c r="E350">
        <v>1</v>
      </c>
      <c r="F350">
        <v>0</v>
      </c>
      <c r="G350">
        <v>0</v>
      </c>
      <c r="H350">
        <v>35</v>
      </c>
      <c r="I350">
        <v>0</v>
      </c>
      <c r="J350">
        <v>0</v>
      </c>
      <c r="K350">
        <v>1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1</v>
      </c>
      <c r="AJ350">
        <v>0</v>
      </c>
      <c r="AK350">
        <v>0</v>
      </c>
      <c r="AL350">
        <v>0</v>
      </c>
      <c r="AM350">
        <v>1</v>
      </c>
      <c r="AN350" s="1">
        <v>1</v>
      </c>
    </row>
    <row r="351" spans="1:40" x14ac:dyDescent="0.3">
      <c r="A351" t="s">
        <v>128</v>
      </c>
      <c r="B351" t="s">
        <v>158</v>
      </c>
      <c r="C351" s="3" t="s">
        <v>42</v>
      </c>
      <c r="D351">
        <v>19</v>
      </c>
      <c r="E351">
        <v>1</v>
      </c>
      <c r="F351">
        <v>0</v>
      </c>
      <c r="G351">
        <v>0</v>
      </c>
      <c r="H351">
        <v>17</v>
      </c>
      <c r="I351">
        <v>0</v>
      </c>
      <c r="J351">
        <v>0</v>
      </c>
      <c r="K351">
        <v>1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 s="1">
        <v>0</v>
      </c>
    </row>
    <row r="352" spans="1:40" x14ac:dyDescent="0.3">
      <c r="A352" t="s">
        <v>128</v>
      </c>
      <c r="B352" t="s">
        <v>158</v>
      </c>
      <c r="C352" s="3" t="s">
        <v>43</v>
      </c>
      <c r="D352">
        <v>21</v>
      </c>
      <c r="E352">
        <v>0</v>
      </c>
      <c r="F352">
        <v>0</v>
      </c>
      <c r="G352">
        <v>0</v>
      </c>
      <c r="H352">
        <v>18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1</v>
      </c>
      <c r="AJ352">
        <v>0</v>
      </c>
      <c r="AK352">
        <v>0</v>
      </c>
      <c r="AL352">
        <v>0</v>
      </c>
      <c r="AM352">
        <v>1</v>
      </c>
      <c r="AN352" s="1">
        <v>1</v>
      </c>
    </row>
    <row r="353" spans="1:40" x14ac:dyDescent="0.3">
      <c r="A353" t="s">
        <v>128</v>
      </c>
      <c r="B353" t="s">
        <v>159</v>
      </c>
      <c r="C353" s="3" t="s">
        <v>39</v>
      </c>
      <c r="D353">
        <v>35</v>
      </c>
      <c r="E353">
        <v>0</v>
      </c>
      <c r="F353">
        <v>0</v>
      </c>
      <c r="G353">
        <v>0</v>
      </c>
      <c r="H353">
        <v>3</v>
      </c>
      <c r="I353">
        <v>0</v>
      </c>
      <c r="J353">
        <v>18</v>
      </c>
      <c r="K353">
        <v>10</v>
      </c>
      <c r="L353">
        <v>0</v>
      </c>
      <c r="M353">
        <v>0</v>
      </c>
      <c r="N353">
        <v>0</v>
      </c>
      <c r="O353">
        <v>2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 s="1">
        <v>1</v>
      </c>
    </row>
    <row r="354" spans="1:40" x14ac:dyDescent="0.3">
      <c r="A354" t="s">
        <v>128</v>
      </c>
      <c r="B354" t="s">
        <v>159</v>
      </c>
      <c r="C354" s="3" t="s">
        <v>42</v>
      </c>
      <c r="D354">
        <v>9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6</v>
      </c>
      <c r="K354">
        <v>3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 s="1">
        <v>0</v>
      </c>
    </row>
    <row r="355" spans="1:40" x14ac:dyDescent="0.3">
      <c r="A355" t="s">
        <v>128</v>
      </c>
      <c r="B355" t="s">
        <v>159</v>
      </c>
      <c r="C355" s="3" t="s">
        <v>43</v>
      </c>
      <c r="D355">
        <v>26</v>
      </c>
      <c r="E355">
        <v>0</v>
      </c>
      <c r="F355">
        <v>0</v>
      </c>
      <c r="G355">
        <v>0</v>
      </c>
      <c r="H355">
        <v>3</v>
      </c>
      <c r="I355">
        <v>0</v>
      </c>
      <c r="J355">
        <v>12</v>
      </c>
      <c r="K355">
        <v>7</v>
      </c>
      <c r="L355">
        <v>0</v>
      </c>
      <c r="M355">
        <v>0</v>
      </c>
      <c r="N355">
        <v>0</v>
      </c>
      <c r="O355">
        <v>2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 s="1">
        <v>1</v>
      </c>
    </row>
    <row r="356" spans="1:40" x14ac:dyDescent="0.3">
      <c r="A356" t="s">
        <v>128</v>
      </c>
      <c r="B356" t="s">
        <v>160</v>
      </c>
      <c r="C356" s="3" t="s">
        <v>39</v>
      </c>
      <c r="D356">
        <v>32</v>
      </c>
      <c r="E356">
        <v>0</v>
      </c>
      <c r="F356">
        <v>0</v>
      </c>
      <c r="G356">
        <v>32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 s="1">
        <v>0</v>
      </c>
    </row>
    <row r="357" spans="1:40" x14ac:dyDescent="0.3">
      <c r="A357" t="s">
        <v>128</v>
      </c>
      <c r="B357" t="s">
        <v>160</v>
      </c>
      <c r="C357" s="3" t="s">
        <v>42</v>
      </c>
      <c r="D357">
        <v>15</v>
      </c>
      <c r="E357">
        <v>0</v>
      </c>
      <c r="F357">
        <v>0</v>
      </c>
      <c r="G357">
        <v>15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 s="1">
        <v>0</v>
      </c>
    </row>
    <row r="358" spans="1:40" x14ac:dyDescent="0.3">
      <c r="A358" t="s">
        <v>128</v>
      </c>
      <c r="B358" t="s">
        <v>160</v>
      </c>
      <c r="C358" s="3" t="s">
        <v>43</v>
      </c>
      <c r="D358">
        <v>17</v>
      </c>
      <c r="E358">
        <v>0</v>
      </c>
      <c r="F358">
        <v>0</v>
      </c>
      <c r="G358">
        <v>17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 s="1">
        <v>0</v>
      </c>
    </row>
    <row r="359" spans="1:40" x14ac:dyDescent="0.3">
      <c r="A359" t="s">
        <v>128</v>
      </c>
      <c r="B359" t="s">
        <v>161</v>
      </c>
      <c r="C359" s="3" t="s">
        <v>39</v>
      </c>
      <c r="D359">
        <v>31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28</v>
      </c>
      <c r="K359">
        <v>0</v>
      </c>
      <c r="L359">
        <v>0</v>
      </c>
      <c r="M359">
        <v>0</v>
      </c>
      <c r="N359">
        <v>0</v>
      </c>
      <c r="O359">
        <v>2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 s="1">
        <v>0</v>
      </c>
    </row>
    <row r="360" spans="1:40" x14ac:dyDescent="0.3">
      <c r="A360" t="s">
        <v>128</v>
      </c>
      <c r="B360" t="s">
        <v>161</v>
      </c>
      <c r="C360" s="3" t="s">
        <v>42</v>
      </c>
      <c r="D360">
        <v>20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18</v>
      </c>
      <c r="K360">
        <v>0</v>
      </c>
      <c r="L360">
        <v>0</v>
      </c>
      <c r="M360">
        <v>0</v>
      </c>
      <c r="N360">
        <v>0</v>
      </c>
      <c r="O360">
        <v>1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 s="1">
        <v>0</v>
      </c>
    </row>
    <row r="361" spans="1:40" x14ac:dyDescent="0.3">
      <c r="A361" t="s">
        <v>128</v>
      </c>
      <c r="B361" t="s">
        <v>161</v>
      </c>
      <c r="C361" s="3" t="s">
        <v>43</v>
      </c>
      <c r="D361">
        <v>11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10</v>
      </c>
      <c r="K361">
        <v>0</v>
      </c>
      <c r="L361">
        <v>0</v>
      </c>
      <c r="M361">
        <v>0</v>
      </c>
      <c r="N361">
        <v>0</v>
      </c>
      <c r="O361">
        <v>1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 s="1">
        <v>0</v>
      </c>
    </row>
    <row r="362" spans="1:40" x14ac:dyDescent="0.3">
      <c r="A362" t="s">
        <v>128</v>
      </c>
      <c r="B362" t="s">
        <v>162</v>
      </c>
      <c r="C362" s="3" t="s">
        <v>39</v>
      </c>
      <c r="D362">
        <v>26</v>
      </c>
      <c r="E362">
        <v>0</v>
      </c>
      <c r="F362">
        <v>0</v>
      </c>
      <c r="G362">
        <v>25</v>
      </c>
      <c r="H362">
        <v>0</v>
      </c>
      <c r="I362">
        <v>0</v>
      </c>
      <c r="J362">
        <v>0</v>
      </c>
      <c r="K362">
        <v>1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 s="1">
        <v>0</v>
      </c>
    </row>
    <row r="363" spans="1:40" x14ac:dyDescent="0.3">
      <c r="A363" t="s">
        <v>128</v>
      </c>
      <c r="B363" t="s">
        <v>162</v>
      </c>
      <c r="C363" s="3" t="s">
        <v>42</v>
      </c>
      <c r="D363">
        <v>12</v>
      </c>
      <c r="E363">
        <v>0</v>
      </c>
      <c r="F363">
        <v>0</v>
      </c>
      <c r="G363">
        <v>12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 s="1">
        <v>0</v>
      </c>
    </row>
    <row r="364" spans="1:40" x14ac:dyDescent="0.3">
      <c r="A364" t="s">
        <v>128</v>
      </c>
      <c r="B364" t="s">
        <v>162</v>
      </c>
      <c r="C364" s="3" t="s">
        <v>43</v>
      </c>
      <c r="D364">
        <v>14</v>
      </c>
      <c r="E364">
        <v>0</v>
      </c>
      <c r="F364">
        <v>0</v>
      </c>
      <c r="G364">
        <v>13</v>
      </c>
      <c r="H364">
        <v>0</v>
      </c>
      <c r="I364">
        <v>0</v>
      </c>
      <c r="J364">
        <v>0</v>
      </c>
      <c r="K364">
        <v>1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 s="1">
        <v>0</v>
      </c>
    </row>
    <row r="365" spans="1:40" x14ac:dyDescent="0.3">
      <c r="A365" t="s">
        <v>128</v>
      </c>
      <c r="B365" t="s">
        <v>163</v>
      </c>
      <c r="C365" s="3" t="s">
        <v>39</v>
      </c>
      <c r="D365">
        <v>25</v>
      </c>
      <c r="E365">
        <v>0</v>
      </c>
      <c r="F365">
        <v>0</v>
      </c>
      <c r="G365">
        <v>0</v>
      </c>
      <c r="H365">
        <v>3</v>
      </c>
      <c r="I365">
        <v>0</v>
      </c>
      <c r="J365">
        <v>11</v>
      </c>
      <c r="K365">
        <v>11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 s="1">
        <v>0</v>
      </c>
    </row>
    <row r="366" spans="1:40" x14ac:dyDescent="0.3">
      <c r="A366" t="s">
        <v>128</v>
      </c>
      <c r="B366" t="s">
        <v>163</v>
      </c>
      <c r="C366" s="3" t="s">
        <v>42</v>
      </c>
      <c r="D366">
        <v>16</v>
      </c>
      <c r="E366">
        <v>0</v>
      </c>
      <c r="F366">
        <v>0</v>
      </c>
      <c r="G366">
        <v>0</v>
      </c>
      <c r="H366">
        <v>3</v>
      </c>
      <c r="I366">
        <v>0</v>
      </c>
      <c r="J366">
        <v>7</v>
      </c>
      <c r="K366">
        <v>6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 s="1">
        <v>0</v>
      </c>
    </row>
    <row r="367" spans="1:40" x14ac:dyDescent="0.3">
      <c r="A367" t="s">
        <v>128</v>
      </c>
      <c r="B367" t="s">
        <v>163</v>
      </c>
      <c r="C367" s="3" t="s">
        <v>43</v>
      </c>
      <c r="D367">
        <v>9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4</v>
      </c>
      <c r="K367">
        <v>5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 s="1">
        <v>0</v>
      </c>
    </row>
    <row r="368" spans="1:40" x14ac:dyDescent="0.3">
      <c r="A368" t="s">
        <v>128</v>
      </c>
      <c r="B368" t="s">
        <v>164</v>
      </c>
      <c r="C368" s="3" t="s">
        <v>39</v>
      </c>
      <c r="D368">
        <v>23</v>
      </c>
      <c r="E368">
        <v>0</v>
      </c>
      <c r="F368">
        <v>0</v>
      </c>
      <c r="G368">
        <v>0</v>
      </c>
      <c r="H368">
        <v>21</v>
      </c>
      <c r="I368">
        <v>0</v>
      </c>
      <c r="J368">
        <v>1</v>
      </c>
      <c r="K368">
        <v>1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 s="1">
        <v>0</v>
      </c>
    </row>
    <row r="369" spans="1:40" x14ac:dyDescent="0.3">
      <c r="A369" t="s">
        <v>128</v>
      </c>
      <c r="B369" t="s">
        <v>164</v>
      </c>
      <c r="C369" s="3" t="s">
        <v>42</v>
      </c>
      <c r="D369">
        <v>16</v>
      </c>
      <c r="E369">
        <v>0</v>
      </c>
      <c r="F369">
        <v>0</v>
      </c>
      <c r="G369">
        <v>0</v>
      </c>
      <c r="H369">
        <v>14</v>
      </c>
      <c r="I369">
        <v>0</v>
      </c>
      <c r="J369">
        <v>1</v>
      </c>
      <c r="K369">
        <v>1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 s="1">
        <v>0</v>
      </c>
    </row>
    <row r="370" spans="1:40" x14ac:dyDescent="0.3">
      <c r="A370" t="s">
        <v>128</v>
      </c>
      <c r="B370" t="s">
        <v>164</v>
      </c>
      <c r="C370" s="3" t="s">
        <v>43</v>
      </c>
      <c r="D370">
        <v>7</v>
      </c>
      <c r="E370">
        <v>0</v>
      </c>
      <c r="F370">
        <v>0</v>
      </c>
      <c r="G370">
        <v>0</v>
      </c>
      <c r="H370">
        <v>7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 s="1">
        <v>0</v>
      </c>
    </row>
    <row r="371" spans="1:40" x14ac:dyDescent="0.3">
      <c r="A371" t="s">
        <v>128</v>
      </c>
      <c r="B371" t="s">
        <v>165</v>
      </c>
      <c r="C371" s="3" t="s">
        <v>39</v>
      </c>
      <c r="D371">
        <v>23</v>
      </c>
      <c r="E371">
        <v>0</v>
      </c>
      <c r="F371">
        <v>0</v>
      </c>
      <c r="G371">
        <v>0</v>
      </c>
      <c r="H371">
        <v>21</v>
      </c>
      <c r="I371">
        <v>0</v>
      </c>
      <c r="J371">
        <v>0</v>
      </c>
      <c r="K371">
        <v>1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1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 s="1">
        <v>0</v>
      </c>
    </row>
    <row r="372" spans="1:40" x14ac:dyDescent="0.3">
      <c r="A372" t="s">
        <v>128</v>
      </c>
      <c r="B372" t="s">
        <v>165</v>
      </c>
      <c r="C372" s="3" t="s">
        <v>42</v>
      </c>
      <c r="D372">
        <v>11</v>
      </c>
      <c r="E372">
        <v>0</v>
      </c>
      <c r="F372">
        <v>0</v>
      </c>
      <c r="G372">
        <v>0</v>
      </c>
      <c r="H372">
        <v>10</v>
      </c>
      <c r="I372">
        <v>0</v>
      </c>
      <c r="J372">
        <v>0</v>
      </c>
      <c r="K372">
        <v>1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 s="1">
        <v>0</v>
      </c>
    </row>
    <row r="373" spans="1:40" x14ac:dyDescent="0.3">
      <c r="A373" t="s">
        <v>128</v>
      </c>
      <c r="B373" t="s">
        <v>165</v>
      </c>
      <c r="C373" s="3" t="s">
        <v>43</v>
      </c>
      <c r="D373">
        <v>12</v>
      </c>
      <c r="E373">
        <v>0</v>
      </c>
      <c r="F373">
        <v>0</v>
      </c>
      <c r="G373">
        <v>0</v>
      </c>
      <c r="H373">
        <v>11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1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 s="1">
        <v>0</v>
      </c>
    </row>
    <row r="374" spans="1:40" x14ac:dyDescent="0.3">
      <c r="A374" t="s">
        <v>128</v>
      </c>
      <c r="B374" t="s">
        <v>166</v>
      </c>
      <c r="C374" s="3" t="s">
        <v>39</v>
      </c>
      <c r="D374">
        <v>21</v>
      </c>
      <c r="E374">
        <v>0</v>
      </c>
      <c r="F374">
        <v>0</v>
      </c>
      <c r="G374">
        <v>0</v>
      </c>
      <c r="H374">
        <v>21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 s="1">
        <v>0</v>
      </c>
    </row>
    <row r="375" spans="1:40" x14ac:dyDescent="0.3">
      <c r="A375" t="s">
        <v>128</v>
      </c>
      <c r="B375" t="s">
        <v>166</v>
      </c>
      <c r="C375" s="3" t="s">
        <v>42</v>
      </c>
      <c r="D375">
        <v>8</v>
      </c>
      <c r="E375">
        <v>0</v>
      </c>
      <c r="F375">
        <v>0</v>
      </c>
      <c r="G375">
        <v>0</v>
      </c>
      <c r="H375">
        <v>8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 s="1">
        <v>0</v>
      </c>
    </row>
    <row r="376" spans="1:40" x14ac:dyDescent="0.3">
      <c r="A376" t="s">
        <v>128</v>
      </c>
      <c r="B376" t="s">
        <v>166</v>
      </c>
      <c r="C376" s="3" t="s">
        <v>43</v>
      </c>
      <c r="D376">
        <v>13</v>
      </c>
      <c r="E376">
        <v>0</v>
      </c>
      <c r="F376">
        <v>0</v>
      </c>
      <c r="G376">
        <v>0</v>
      </c>
      <c r="H376">
        <v>13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 s="1">
        <v>0</v>
      </c>
    </row>
    <row r="377" spans="1:40" x14ac:dyDescent="0.3">
      <c r="A377" t="s">
        <v>128</v>
      </c>
      <c r="B377" t="s">
        <v>167</v>
      </c>
      <c r="C377" s="3" t="s">
        <v>39</v>
      </c>
      <c r="D377">
        <v>18</v>
      </c>
      <c r="E377">
        <v>0</v>
      </c>
      <c r="F377">
        <v>0</v>
      </c>
      <c r="G377">
        <v>16</v>
      </c>
      <c r="H377">
        <v>2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 s="1">
        <v>0</v>
      </c>
    </row>
    <row r="378" spans="1:40" x14ac:dyDescent="0.3">
      <c r="A378" t="s">
        <v>128</v>
      </c>
      <c r="B378" t="s">
        <v>167</v>
      </c>
      <c r="C378" s="3" t="s">
        <v>42</v>
      </c>
      <c r="D378">
        <v>16</v>
      </c>
      <c r="E378">
        <v>0</v>
      </c>
      <c r="F378">
        <v>0</v>
      </c>
      <c r="G378">
        <v>14</v>
      </c>
      <c r="H378">
        <v>2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 s="1">
        <v>0</v>
      </c>
    </row>
    <row r="379" spans="1:40" x14ac:dyDescent="0.3">
      <c r="A379" t="s">
        <v>128</v>
      </c>
      <c r="B379" t="s">
        <v>167</v>
      </c>
      <c r="C379" s="3" t="s">
        <v>43</v>
      </c>
      <c r="D379">
        <v>2</v>
      </c>
      <c r="E379">
        <v>0</v>
      </c>
      <c r="F379">
        <v>0</v>
      </c>
      <c r="G379">
        <v>2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 s="1">
        <v>0</v>
      </c>
    </row>
    <row r="380" spans="1:40" x14ac:dyDescent="0.3">
      <c r="A380" t="s">
        <v>128</v>
      </c>
      <c r="B380" t="s">
        <v>168</v>
      </c>
      <c r="C380" s="3" t="s">
        <v>39</v>
      </c>
      <c r="D380">
        <v>15</v>
      </c>
      <c r="E380">
        <v>0</v>
      </c>
      <c r="F380">
        <v>0</v>
      </c>
      <c r="G380">
        <v>15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 s="1">
        <v>0</v>
      </c>
    </row>
    <row r="381" spans="1:40" x14ac:dyDescent="0.3">
      <c r="A381" t="s">
        <v>128</v>
      </c>
      <c r="B381" t="s">
        <v>168</v>
      </c>
      <c r="C381" s="3" t="s">
        <v>42</v>
      </c>
      <c r="D381">
        <v>5</v>
      </c>
      <c r="E381">
        <v>0</v>
      </c>
      <c r="F381">
        <v>0</v>
      </c>
      <c r="G381">
        <v>5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 s="1">
        <v>0</v>
      </c>
    </row>
    <row r="382" spans="1:40" x14ac:dyDescent="0.3">
      <c r="A382" t="s">
        <v>128</v>
      </c>
      <c r="B382" t="s">
        <v>168</v>
      </c>
      <c r="C382" s="3" t="s">
        <v>43</v>
      </c>
      <c r="D382">
        <v>9</v>
      </c>
      <c r="E382">
        <v>0</v>
      </c>
      <c r="F382">
        <v>0</v>
      </c>
      <c r="G382">
        <v>9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 s="1">
        <v>0</v>
      </c>
    </row>
    <row r="383" spans="1:40" x14ac:dyDescent="0.3">
      <c r="A383" t="s">
        <v>128</v>
      </c>
      <c r="B383" t="s">
        <v>168</v>
      </c>
      <c r="C383" s="3" t="s">
        <v>92</v>
      </c>
      <c r="D383">
        <v>1</v>
      </c>
      <c r="E383">
        <v>0</v>
      </c>
      <c r="F383">
        <v>0</v>
      </c>
      <c r="G383">
        <v>1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 s="1">
        <v>0</v>
      </c>
    </row>
    <row r="384" spans="1:40" x14ac:dyDescent="0.3">
      <c r="A384" t="s">
        <v>128</v>
      </c>
      <c r="B384" t="s">
        <v>169</v>
      </c>
      <c r="C384" s="3" t="s">
        <v>39</v>
      </c>
      <c r="D384">
        <v>15</v>
      </c>
      <c r="E384">
        <v>0</v>
      </c>
      <c r="F384">
        <v>0</v>
      </c>
      <c r="G384">
        <v>0</v>
      </c>
      <c r="H384">
        <v>14</v>
      </c>
      <c r="I384">
        <v>0</v>
      </c>
      <c r="J384">
        <v>0</v>
      </c>
      <c r="K384">
        <v>1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 s="1">
        <v>0</v>
      </c>
    </row>
    <row r="385" spans="1:40" x14ac:dyDescent="0.3">
      <c r="A385" t="s">
        <v>128</v>
      </c>
      <c r="B385" t="s">
        <v>169</v>
      </c>
      <c r="C385" s="3" t="s">
        <v>42</v>
      </c>
      <c r="D385">
        <v>8</v>
      </c>
      <c r="E385">
        <v>0</v>
      </c>
      <c r="F385">
        <v>0</v>
      </c>
      <c r="G385">
        <v>0</v>
      </c>
      <c r="H385">
        <v>8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 s="1">
        <v>0</v>
      </c>
    </row>
    <row r="386" spans="1:40" x14ac:dyDescent="0.3">
      <c r="A386" t="s">
        <v>128</v>
      </c>
      <c r="B386" t="s">
        <v>169</v>
      </c>
      <c r="C386" s="3" t="s">
        <v>43</v>
      </c>
      <c r="D386">
        <v>7</v>
      </c>
      <c r="E386">
        <v>0</v>
      </c>
      <c r="F386">
        <v>0</v>
      </c>
      <c r="G386">
        <v>0</v>
      </c>
      <c r="H386">
        <v>6</v>
      </c>
      <c r="I386">
        <v>0</v>
      </c>
      <c r="J386">
        <v>0</v>
      </c>
      <c r="K386">
        <v>1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 s="1">
        <v>0</v>
      </c>
    </row>
    <row r="387" spans="1:40" x14ac:dyDescent="0.3">
      <c r="A387" t="s">
        <v>128</v>
      </c>
      <c r="B387" t="s">
        <v>170</v>
      </c>
      <c r="C387" s="3" t="s">
        <v>39</v>
      </c>
      <c r="D387">
        <v>10</v>
      </c>
      <c r="E387">
        <v>0</v>
      </c>
      <c r="F387">
        <v>0</v>
      </c>
      <c r="G387">
        <v>0</v>
      </c>
      <c r="H387">
        <v>1</v>
      </c>
      <c r="I387">
        <v>0</v>
      </c>
      <c r="J387">
        <v>8</v>
      </c>
      <c r="K387">
        <v>1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 s="1">
        <v>0</v>
      </c>
    </row>
    <row r="388" spans="1:40" x14ac:dyDescent="0.3">
      <c r="A388" t="s">
        <v>128</v>
      </c>
      <c r="B388" t="s">
        <v>170</v>
      </c>
      <c r="C388" s="3" t="s">
        <v>42</v>
      </c>
      <c r="D388">
        <v>5</v>
      </c>
      <c r="E388">
        <v>0</v>
      </c>
      <c r="F388">
        <v>0</v>
      </c>
      <c r="G388">
        <v>0</v>
      </c>
      <c r="H388">
        <v>1</v>
      </c>
      <c r="I388">
        <v>0</v>
      </c>
      <c r="J388">
        <v>4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 s="1">
        <v>0</v>
      </c>
    </row>
    <row r="389" spans="1:40" x14ac:dyDescent="0.3">
      <c r="A389" t="s">
        <v>128</v>
      </c>
      <c r="B389" t="s">
        <v>170</v>
      </c>
      <c r="C389" s="3" t="s">
        <v>43</v>
      </c>
      <c r="D389">
        <v>5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4</v>
      </c>
      <c r="K389">
        <v>1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 s="1">
        <v>0</v>
      </c>
    </row>
    <row r="390" spans="1:40" x14ac:dyDescent="0.3">
      <c r="A390" t="s">
        <v>128</v>
      </c>
      <c r="B390" t="s">
        <v>171</v>
      </c>
      <c r="C390" s="3" t="s">
        <v>39</v>
      </c>
      <c r="D390">
        <v>6</v>
      </c>
      <c r="E390">
        <v>0</v>
      </c>
      <c r="F390">
        <v>0</v>
      </c>
      <c r="G390">
        <v>6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 s="1">
        <v>0</v>
      </c>
    </row>
    <row r="391" spans="1:40" x14ac:dyDescent="0.3">
      <c r="A391" t="s">
        <v>128</v>
      </c>
      <c r="B391" t="s">
        <v>171</v>
      </c>
      <c r="C391" s="3" t="s">
        <v>42</v>
      </c>
      <c r="D391">
        <v>4</v>
      </c>
      <c r="E391">
        <v>0</v>
      </c>
      <c r="F391">
        <v>0</v>
      </c>
      <c r="G391">
        <v>4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 s="1">
        <v>0</v>
      </c>
    </row>
    <row r="392" spans="1:40" x14ac:dyDescent="0.3">
      <c r="A392" t="s">
        <v>128</v>
      </c>
      <c r="B392" t="s">
        <v>171</v>
      </c>
      <c r="C392" s="3" t="s">
        <v>43</v>
      </c>
      <c r="D392">
        <v>2</v>
      </c>
      <c r="E392">
        <v>0</v>
      </c>
      <c r="F392">
        <v>0</v>
      </c>
      <c r="G392">
        <v>2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 s="1">
        <v>0</v>
      </c>
    </row>
    <row r="393" spans="1:40" x14ac:dyDescent="0.3">
      <c r="A393" t="s">
        <v>128</v>
      </c>
      <c r="B393" t="s">
        <v>172</v>
      </c>
      <c r="C393" s="3" t="s">
        <v>39</v>
      </c>
      <c r="D393">
        <v>5</v>
      </c>
      <c r="E393">
        <v>0</v>
      </c>
      <c r="F393">
        <v>0</v>
      </c>
      <c r="G393">
        <v>0</v>
      </c>
      <c r="H393">
        <v>5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 s="1">
        <v>0</v>
      </c>
    </row>
    <row r="394" spans="1:40" x14ac:dyDescent="0.3">
      <c r="A394" t="s">
        <v>128</v>
      </c>
      <c r="B394" t="s">
        <v>172</v>
      </c>
      <c r="C394" s="3" t="s">
        <v>42</v>
      </c>
      <c r="D394">
        <v>3</v>
      </c>
      <c r="E394">
        <v>0</v>
      </c>
      <c r="F394">
        <v>0</v>
      </c>
      <c r="G394">
        <v>0</v>
      </c>
      <c r="H394">
        <v>3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 s="1">
        <v>0</v>
      </c>
    </row>
    <row r="395" spans="1:40" x14ac:dyDescent="0.3">
      <c r="A395" t="s">
        <v>128</v>
      </c>
      <c r="B395" t="s">
        <v>172</v>
      </c>
      <c r="C395" s="3" t="s">
        <v>43</v>
      </c>
      <c r="D395">
        <v>2</v>
      </c>
      <c r="E395">
        <v>0</v>
      </c>
      <c r="F395">
        <v>0</v>
      </c>
      <c r="G395">
        <v>0</v>
      </c>
      <c r="H395">
        <v>2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 s="1">
        <v>0</v>
      </c>
    </row>
    <row r="396" spans="1:40" x14ac:dyDescent="0.3">
      <c r="A396" t="s">
        <v>128</v>
      </c>
      <c r="B396" t="s">
        <v>173</v>
      </c>
      <c r="C396" s="3" t="s">
        <v>39</v>
      </c>
      <c r="D396">
        <v>5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5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 s="1">
        <v>0</v>
      </c>
    </row>
    <row r="397" spans="1:40" x14ac:dyDescent="0.3">
      <c r="A397" t="s">
        <v>128</v>
      </c>
      <c r="B397" t="s">
        <v>173</v>
      </c>
      <c r="C397" s="3" t="s">
        <v>42</v>
      </c>
      <c r="D397">
        <v>2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2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 s="1">
        <v>0</v>
      </c>
    </row>
    <row r="398" spans="1:40" x14ac:dyDescent="0.3">
      <c r="A398" t="s">
        <v>128</v>
      </c>
      <c r="B398" t="s">
        <v>173</v>
      </c>
      <c r="C398" s="3" t="s">
        <v>43</v>
      </c>
      <c r="D398">
        <v>3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3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 s="1">
        <v>0</v>
      </c>
    </row>
    <row r="399" spans="1:40" x14ac:dyDescent="0.3">
      <c r="A399" t="s">
        <v>128</v>
      </c>
      <c r="B399" t="s">
        <v>174</v>
      </c>
      <c r="C399" s="3" t="s">
        <v>39</v>
      </c>
      <c r="D399">
        <v>3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3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 s="1">
        <v>0</v>
      </c>
    </row>
    <row r="400" spans="1:40" x14ac:dyDescent="0.3">
      <c r="A400" t="s">
        <v>128</v>
      </c>
      <c r="B400" t="s">
        <v>174</v>
      </c>
      <c r="C400" s="3" t="s">
        <v>42</v>
      </c>
      <c r="D400">
        <v>1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1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 s="1">
        <v>0</v>
      </c>
    </row>
    <row r="401" spans="1:40" x14ac:dyDescent="0.3">
      <c r="A401" t="s">
        <v>128</v>
      </c>
      <c r="B401" t="s">
        <v>174</v>
      </c>
      <c r="C401" s="3" t="s">
        <v>43</v>
      </c>
      <c r="D401">
        <v>2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2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 s="1">
        <v>0</v>
      </c>
    </row>
    <row r="402" spans="1:40" x14ac:dyDescent="0.3">
      <c r="A402" t="s">
        <v>128</v>
      </c>
      <c r="B402" t="s">
        <v>175</v>
      </c>
      <c r="C402" s="3" t="s">
        <v>39</v>
      </c>
      <c r="D402">
        <v>3</v>
      </c>
      <c r="E402">
        <v>0</v>
      </c>
      <c r="F402">
        <v>0</v>
      </c>
      <c r="G402">
        <v>0</v>
      </c>
      <c r="H402">
        <v>3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 s="1">
        <v>0</v>
      </c>
    </row>
    <row r="403" spans="1:40" x14ac:dyDescent="0.3">
      <c r="A403" t="s">
        <v>128</v>
      </c>
      <c r="B403" t="s">
        <v>175</v>
      </c>
      <c r="C403" s="3" t="s">
        <v>42</v>
      </c>
      <c r="D403">
        <v>1</v>
      </c>
      <c r="E403">
        <v>0</v>
      </c>
      <c r="F403">
        <v>0</v>
      </c>
      <c r="G403">
        <v>0</v>
      </c>
      <c r="H403">
        <v>1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 s="1">
        <v>0</v>
      </c>
    </row>
    <row r="404" spans="1:40" x14ac:dyDescent="0.3">
      <c r="A404" t="s">
        <v>128</v>
      </c>
      <c r="B404" t="s">
        <v>175</v>
      </c>
      <c r="C404" s="3" t="s">
        <v>43</v>
      </c>
      <c r="D404">
        <v>2</v>
      </c>
      <c r="E404">
        <v>0</v>
      </c>
      <c r="F404">
        <v>0</v>
      </c>
      <c r="G404">
        <v>0</v>
      </c>
      <c r="H404">
        <v>2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 s="1">
        <v>0</v>
      </c>
    </row>
    <row r="405" spans="1:40" x14ac:dyDescent="0.3">
      <c r="A405" t="s">
        <v>128</v>
      </c>
      <c r="B405" t="s">
        <v>176</v>
      </c>
      <c r="C405" s="3" t="s">
        <v>39</v>
      </c>
      <c r="D405">
        <v>2</v>
      </c>
      <c r="E405">
        <v>0</v>
      </c>
      <c r="F405">
        <v>0</v>
      </c>
      <c r="G405">
        <v>0</v>
      </c>
      <c r="H405">
        <v>2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 s="1">
        <v>0</v>
      </c>
    </row>
    <row r="406" spans="1:40" x14ac:dyDescent="0.3">
      <c r="A406" t="s">
        <v>128</v>
      </c>
      <c r="B406" t="s">
        <v>176</v>
      </c>
      <c r="C406" s="3" t="s">
        <v>42</v>
      </c>
      <c r="D406">
        <v>2</v>
      </c>
      <c r="E406">
        <v>0</v>
      </c>
      <c r="F406">
        <v>0</v>
      </c>
      <c r="G406">
        <v>0</v>
      </c>
      <c r="H406">
        <v>2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 s="1">
        <v>0</v>
      </c>
    </row>
    <row r="407" spans="1:40" x14ac:dyDescent="0.3">
      <c r="A407" t="s">
        <v>128</v>
      </c>
      <c r="B407" t="s">
        <v>177</v>
      </c>
      <c r="C407" s="3" t="s">
        <v>39</v>
      </c>
      <c r="D407">
        <v>1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 s="1">
        <v>1</v>
      </c>
    </row>
    <row r="408" spans="1:40" x14ac:dyDescent="0.3">
      <c r="A408" t="s">
        <v>128</v>
      </c>
      <c r="B408" t="s">
        <v>177</v>
      </c>
      <c r="C408" s="3" t="s">
        <v>43</v>
      </c>
      <c r="D408">
        <v>1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 s="1">
        <v>1</v>
      </c>
    </row>
    <row r="409" spans="1:40" x14ac:dyDescent="0.3">
      <c r="A409" t="s">
        <v>128</v>
      </c>
      <c r="B409" t="s">
        <v>178</v>
      </c>
      <c r="C409" s="3" t="s">
        <v>39</v>
      </c>
      <c r="D409">
        <v>1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 s="1">
        <v>1</v>
      </c>
    </row>
    <row r="410" spans="1:40" x14ac:dyDescent="0.3">
      <c r="A410" t="s">
        <v>128</v>
      </c>
      <c r="B410" t="s">
        <v>178</v>
      </c>
      <c r="C410" s="3" t="s">
        <v>42</v>
      </c>
      <c r="D410">
        <v>1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 s="1">
        <v>1</v>
      </c>
    </row>
    <row r="411" spans="1:40" x14ac:dyDescent="0.3">
      <c r="A411" t="s">
        <v>128</v>
      </c>
      <c r="B411" t="s">
        <v>179</v>
      </c>
      <c r="C411" s="3" t="s">
        <v>39</v>
      </c>
      <c r="D411">
        <v>1</v>
      </c>
      <c r="E411">
        <v>0</v>
      </c>
      <c r="F411">
        <v>0</v>
      </c>
      <c r="G411">
        <v>0</v>
      </c>
      <c r="H411">
        <v>1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 s="1">
        <v>0</v>
      </c>
    </row>
    <row r="412" spans="1:40" x14ac:dyDescent="0.3">
      <c r="A412" t="s">
        <v>128</v>
      </c>
      <c r="B412" t="s">
        <v>179</v>
      </c>
      <c r="C412" s="3" t="s">
        <v>42</v>
      </c>
      <c r="D412">
        <v>1</v>
      </c>
      <c r="E412">
        <v>0</v>
      </c>
      <c r="F412">
        <v>0</v>
      </c>
      <c r="G412">
        <v>0</v>
      </c>
      <c r="H412">
        <v>1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 s="1">
        <v>0</v>
      </c>
    </row>
    <row r="413" spans="1:40" x14ac:dyDescent="0.3">
      <c r="A413" t="s">
        <v>128</v>
      </c>
      <c r="B413" t="s">
        <v>180</v>
      </c>
      <c r="C413" s="3" t="s">
        <v>39</v>
      </c>
      <c r="D413">
        <v>1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1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 s="1">
        <v>0</v>
      </c>
    </row>
    <row r="414" spans="1:40" x14ac:dyDescent="0.3">
      <c r="A414" t="s">
        <v>128</v>
      </c>
      <c r="B414" t="s">
        <v>180</v>
      </c>
      <c r="C414" s="3" t="s">
        <v>43</v>
      </c>
      <c r="D414">
        <v>1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1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 s="1">
        <v>0</v>
      </c>
    </row>
    <row r="415" spans="1:40" x14ac:dyDescent="0.3">
      <c r="A415" t="s">
        <v>181</v>
      </c>
      <c r="B415" t="s">
        <v>39</v>
      </c>
      <c r="C415" s="3" t="s">
        <v>39</v>
      </c>
      <c r="D415" s="1">
        <v>15088</v>
      </c>
      <c r="E415">
        <v>17</v>
      </c>
      <c r="F415">
        <v>23</v>
      </c>
      <c r="G415" s="1">
        <v>2287</v>
      </c>
      <c r="H415" s="1">
        <v>12488</v>
      </c>
      <c r="I415" s="1">
        <v>0</v>
      </c>
      <c r="J415">
        <v>53</v>
      </c>
      <c r="K415">
        <v>17</v>
      </c>
      <c r="L415" s="1">
        <v>0</v>
      </c>
      <c r="M415">
        <v>6</v>
      </c>
      <c r="N415">
        <v>0</v>
      </c>
      <c r="O415">
        <v>2</v>
      </c>
      <c r="P415">
        <v>0</v>
      </c>
      <c r="Q415">
        <v>0</v>
      </c>
      <c r="R415">
        <v>0</v>
      </c>
      <c r="S415">
        <v>1</v>
      </c>
      <c r="T415">
        <v>0</v>
      </c>
      <c r="U415">
        <v>0</v>
      </c>
      <c r="V415">
        <v>0</v>
      </c>
      <c r="W415">
        <v>4</v>
      </c>
      <c r="X415">
        <v>0</v>
      </c>
      <c r="Y415">
        <v>1</v>
      </c>
      <c r="Z415">
        <v>1</v>
      </c>
      <c r="AA415">
        <v>0</v>
      </c>
      <c r="AB415">
        <v>0</v>
      </c>
      <c r="AC415">
        <v>0</v>
      </c>
      <c r="AD415">
        <v>2</v>
      </c>
      <c r="AE415">
        <v>3</v>
      </c>
      <c r="AF415">
        <v>2</v>
      </c>
      <c r="AG415">
        <v>120</v>
      </c>
      <c r="AH415">
        <v>1</v>
      </c>
      <c r="AI415">
        <v>2</v>
      </c>
      <c r="AJ415">
        <v>0</v>
      </c>
      <c r="AK415">
        <v>5</v>
      </c>
      <c r="AL415">
        <v>0</v>
      </c>
      <c r="AM415">
        <v>6</v>
      </c>
      <c r="AN415" s="1">
        <v>47</v>
      </c>
    </row>
    <row r="416" spans="1:40" x14ac:dyDescent="0.3">
      <c r="A416" t="s">
        <v>181</v>
      </c>
      <c r="B416" t="s">
        <v>39</v>
      </c>
      <c r="C416" s="3" t="s">
        <v>42</v>
      </c>
      <c r="D416" s="1">
        <f>D420+D424+D427+D430+D433+D436+D439+D442+D445+D448+D451+D454</f>
        <v>7541</v>
      </c>
      <c r="E416" s="1">
        <f t="shared" ref="E416:AN416" si="13">E420+E424+E427+E430+E433+E436+E439+E442+E445+E448+E451+E454</f>
        <v>7</v>
      </c>
      <c r="F416" s="1">
        <f t="shared" si="13"/>
        <v>20</v>
      </c>
      <c r="G416" s="1">
        <f t="shared" si="13"/>
        <v>1196</v>
      </c>
      <c r="H416" s="1">
        <f t="shared" si="13"/>
        <v>6189</v>
      </c>
      <c r="I416" s="1">
        <f t="shared" si="13"/>
        <v>0</v>
      </c>
      <c r="J416" s="1">
        <f t="shared" si="13"/>
        <v>29</v>
      </c>
      <c r="K416" s="1">
        <f t="shared" si="13"/>
        <v>14</v>
      </c>
      <c r="L416" s="1">
        <f t="shared" si="13"/>
        <v>0</v>
      </c>
      <c r="M416" s="1">
        <f t="shared" si="13"/>
        <v>1</v>
      </c>
      <c r="N416" s="1">
        <f t="shared" si="13"/>
        <v>0</v>
      </c>
      <c r="O416" s="1">
        <f t="shared" si="13"/>
        <v>0</v>
      </c>
      <c r="P416" s="1">
        <f t="shared" si="13"/>
        <v>0</v>
      </c>
      <c r="Q416" s="1">
        <f t="shared" si="13"/>
        <v>0</v>
      </c>
      <c r="R416" s="1">
        <f t="shared" si="13"/>
        <v>0</v>
      </c>
      <c r="S416" s="1">
        <f t="shared" si="13"/>
        <v>1</v>
      </c>
      <c r="T416" s="1">
        <f t="shared" si="13"/>
        <v>0</v>
      </c>
      <c r="U416" s="1">
        <f t="shared" si="13"/>
        <v>0</v>
      </c>
      <c r="V416" s="1">
        <f t="shared" si="13"/>
        <v>0</v>
      </c>
      <c r="W416" s="1">
        <f t="shared" si="13"/>
        <v>2</v>
      </c>
      <c r="X416" s="1">
        <f t="shared" si="13"/>
        <v>0</v>
      </c>
      <c r="Y416" s="1">
        <f t="shared" si="13"/>
        <v>1</v>
      </c>
      <c r="Z416" s="1">
        <f t="shared" si="13"/>
        <v>1</v>
      </c>
      <c r="AA416" s="1">
        <f t="shared" si="13"/>
        <v>0</v>
      </c>
      <c r="AB416" s="1">
        <f t="shared" si="13"/>
        <v>0</v>
      </c>
      <c r="AC416" s="1">
        <f t="shared" si="13"/>
        <v>0</v>
      </c>
      <c r="AD416" s="1">
        <f t="shared" si="13"/>
        <v>0</v>
      </c>
      <c r="AE416" s="1">
        <f t="shared" si="13"/>
        <v>1</v>
      </c>
      <c r="AF416" s="1">
        <f t="shared" si="13"/>
        <v>2</v>
      </c>
      <c r="AG416" s="1">
        <f t="shared" si="13"/>
        <v>53</v>
      </c>
      <c r="AH416" s="1">
        <f t="shared" si="13"/>
        <v>1</v>
      </c>
      <c r="AI416" s="1">
        <f t="shared" si="13"/>
        <v>2</v>
      </c>
      <c r="AJ416" s="1">
        <f t="shared" si="13"/>
        <v>0</v>
      </c>
      <c r="AK416" s="1">
        <f t="shared" si="13"/>
        <v>2</v>
      </c>
      <c r="AL416" s="1">
        <f t="shared" si="13"/>
        <v>0</v>
      </c>
      <c r="AM416" s="1">
        <f t="shared" si="13"/>
        <v>3</v>
      </c>
      <c r="AN416" s="1">
        <f t="shared" si="13"/>
        <v>16</v>
      </c>
    </row>
    <row r="417" spans="1:40" x14ac:dyDescent="0.3">
      <c r="A417" t="s">
        <v>181</v>
      </c>
      <c r="B417" t="s">
        <v>39</v>
      </c>
      <c r="C417" s="3" t="s">
        <v>43</v>
      </c>
      <c r="D417" s="1">
        <f>D421+D425+D428+D431+D434+D437+D440+D443+D446+D449+D452</f>
        <v>7546</v>
      </c>
      <c r="E417" s="1">
        <f t="shared" ref="E417:AN417" si="14">E421+E425+E428+E431+E434+E437+E440+E443+E446+E449+E452</f>
        <v>10</v>
      </c>
      <c r="F417" s="1">
        <f t="shared" si="14"/>
        <v>3</v>
      </c>
      <c r="G417" s="1">
        <f t="shared" si="14"/>
        <v>1091</v>
      </c>
      <c r="H417" s="1">
        <f t="shared" si="14"/>
        <v>6298</v>
      </c>
      <c r="I417" s="1">
        <f t="shared" si="14"/>
        <v>0</v>
      </c>
      <c r="J417" s="1">
        <f t="shared" si="14"/>
        <v>24</v>
      </c>
      <c r="K417" s="1">
        <f t="shared" si="14"/>
        <v>3</v>
      </c>
      <c r="L417" s="1">
        <f t="shared" si="14"/>
        <v>0</v>
      </c>
      <c r="M417" s="1">
        <f t="shared" si="14"/>
        <v>5</v>
      </c>
      <c r="N417" s="1">
        <f t="shared" si="14"/>
        <v>0</v>
      </c>
      <c r="O417" s="1">
        <f t="shared" si="14"/>
        <v>2</v>
      </c>
      <c r="P417" s="1">
        <f t="shared" si="14"/>
        <v>0</v>
      </c>
      <c r="Q417" s="1">
        <f t="shared" si="14"/>
        <v>0</v>
      </c>
      <c r="R417" s="1">
        <f t="shared" si="14"/>
        <v>0</v>
      </c>
      <c r="S417" s="1">
        <f t="shared" si="14"/>
        <v>0</v>
      </c>
      <c r="T417" s="1">
        <f t="shared" si="14"/>
        <v>0</v>
      </c>
      <c r="U417" s="1">
        <f t="shared" si="14"/>
        <v>0</v>
      </c>
      <c r="V417" s="1">
        <f t="shared" si="14"/>
        <v>0</v>
      </c>
      <c r="W417" s="1">
        <f t="shared" si="14"/>
        <v>2</v>
      </c>
      <c r="X417" s="1">
        <f t="shared" si="14"/>
        <v>0</v>
      </c>
      <c r="Y417" s="1">
        <f t="shared" si="14"/>
        <v>0</v>
      </c>
      <c r="Z417" s="1">
        <f t="shared" si="14"/>
        <v>0</v>
      </c>
      <c r="AA417" s="1">
        <f t="shared" si="14"/>
        <v>0</v>
      </c>
      <c r="AB417" s="1">
        <f t="shared" si="14"/>
        <v>0</v>
      </c>
      <c r="AC417" s="1">
        <f t="shared" si="14"/>
        <v>0</v>
      </c>
      <c r="AD417" s="1">
        <f t="shared" si="14"/>
        <v>2</v>
      </c>
      <c r="AE417" s="1">
        <f t="shared" si="14"/>
        <v>2</v>
      </c>
      <c r="AF417" s="1">
        <f t="shared" si="14"/>
        <v>0</v>
      </c>
      <c r="AG417" s="1">
        <f t="shared" si="14"/>
        <v>67</v>
      </c>
      <c r="AH417" s="1">
        <f t="shared" si="14"/>
        <v>0</v>
      </c>
      <c r="AI417" s="1">
        <f t="shared" si="14"/>
        <v>0</v>
      </c>
      <c r="AJ417" s="1">
        <f t="shared" si="14"/>
        <v>0</v>
      </c>
      <c r="AK417" s="1">
        <f t="shared" si="14"/>
        <v>3</v>
      </c>
      <c r="AL417" s="1">
        <f t="shared" si="14"/>
        <v>0</v>
      </c>
      <c r="AM417" s="1">
        <f t="shared" si="14"/>
        <v>3</v>
      </c>
      <c r="AN417" s="1">
        <f t="shared" si="14"/>
        <v>31</v>
      </c>
    </row>
    <row r="418" spans="1:40" x14ac:dyDescent="0.3">
      <c r="A418" t="s">
        <v>181</v>
      </c>
      <c r="B418" t="s">
        <v>39</v>
      </c>
      <c r="C418" s="3" t="s">
        <v>92</v>
      </c>
      <c r="D418" s="1">
        <f>D422</f>
        <v>1</v>
      </c>
      <c r="E418" s="1">
        <f t="shared" ref="E418:AN418" si="15">E422</f>
        <v>0</v>
      </c>
      <c r="F418" s="1">
        <f t="shared" si="15"/>
        <v>0</v>
      </c>
      <c r="G418" s="1">
        <f t="shared" si="15"/>
        <v>0</v>
      </c>
      <c r="H418" s="1">
        <f t="shared" si="15"/>
        <v>1</v>
      </c>
      <c r="I418" s="1">
        <f t="shared" si="15"/>
        <v>0</v>
      </c>
      <c r="J418" s="1">
        <f t="shared" si="15"/>
        <v>0</v>
      </c>
      <c r="K418" s="1">
        <f t="shared" si="15"/>
        <v>0</v>
      </c>
      <c r="L418" s="1">
        <f t="shared" si="15"/>
        <v>0</v>
      </c>
      <c r="M418" s="1">
        <f t="shared" si="15"/>
        <v>0</v>
      </c>
      <c r="N418" s="1">
        <f t="shared" si="15"/>
        <v>0</v>
      </c>
      <c r="O418" s="1">
        <f t="shared" si="15"/>
        <v>0</v>
      </c>
      <c r="P418" s="1">
        <f t="shared" si="15"/>
        <v>0</v>
      </c>
      <c r="Q418" s="1">
        <f t="shared" si="15"/>
        <v>0</v>
      </c>
      <c r="R418" s="1">
        <f t="shared" si="15"/>
        <v>0</v>
      </c>
      <c r="S418" s="1">
        <f t="shared" si="15"/>
        <v>0</v>
      </c>
      <c r="T418" s="1">
        <f t="shared" si="15"/>
        <v>0</v>
      </c>
      <c r="U418" s="1">
        <f t="shared" si="15"/>
        <v>0</v>
      </c>
      <c r="V418" s="1">
        <f t="shared" si="15"/>
        <v>0</v>
      </c>
      <c r="W418" s="1">
        <f t="shared" si="15"/>
        <v>0</v>
      </c>
      <c r="X418" s="1">
        <f t="shared" si="15"/>
        <v>0</v>
      </c>
      <c r="Y418" s="1">
        <f t="shared" si="15"/>
        <v>0</v>
      </c>
      <c r="Z418" s="1">
        <f t="shared" si="15"/>
        <v>0</v>
      </c>
      <c r="AA418" s="1">
        <f t="shared" si="15"/>
        <v>0</v>
      </c>
      <c r="AB418" s="1">
        <f t="shared" si="15"/>
        <v>0</v>
      </c>
      <c r="AC418" s="1">
        <f t="shared" si="15"/>
        <v>0</v>
      </c>
      <c r="AD418" s="1">
        <f t="shared" si="15"/>
        <v>0</v>
      </c>
      <c r="AE418" s="1">
        <f t="shared" si="15"/>
        <v>0</v>
      </c>
      <c r="AF418" s="1">
        <f t="shared" si="15"/>
        <v>0</v>
      </c>
      <c r="AG418" s="1">
        <f t="shared" si="15"/>
        <v>0</v>
      </c>
      <c r="AH418" s="1">
        <f t="shared" si="15"/>
        <v>0</v>
      </c>
      <c r="AI418" s="1">
        <f t="shared" si="15"/>
        <v>0</v>
      </c>
      <c r="AJ418" s="1">
        <f t="shared" si="15"/>
        <v>0</v>
      </c>
      <c r="AK418" s="1">
        <f t="shared" si="15"/>
        <v>0</v>
      </c>
      <c r="AL418" s="1">
        <f t="shared" si="15"/>
        <v>0</v>
      </c>
      <c r="AM418" s="1">
        <f t="shared" si="15"/>
        <v>0</v>
      </c>
      <c r="AN418" s="1">
        <f t="shared" si="15"/>
        <v>0</v>
      </c>
    </row>
    <row r="419" spans="1:40" x14ac:dyDescent="0.3">
      <c r="A419" t="s">
        <v>181</v>
      </c>
      <c r="B419" t="s">
        <v>182</v>
      </c>
      <c r="C419" s="3" t="s">
        <v>39</v>
      </c>
      <c r="D419" s="1">
        <v>12645</v>
      </c>
      <c r="E419">
        <v>9</v>
      </c>
      <c r="F419">
        <v>12</v>
      </c>
      <c r="G419">
        <v>81</v>
      </c>
      <c r="H419" s="1">
        <v>12388</v>
      </c>
      <c r="I419">
        <v>0</v>
      </c>
      <c r="J419">
        <v>16</v>
      </c>
      <c r="K419">
        <v>15</v>
      </c>
      <c r="L419">
        <v>0</v>
      </c>
      <c r="M419">
        <v>6</v>
      </c>
      <c r="N419">
        <v>0</v>
      </c>
      <c r="O419">
        <v>1</v>
      </c>
      <c r="P419">
        <v>0</v>
      </c>
      <c r="Q419">
        <v>0</v>
      </c>
      <c r="R419">
        <v>0</v>
      </c>
      <c r="S419">
        <v>1</v>
      </c>
      <c r="T419">
        <v>0</v>
      </c>
      <c r="U419">
        <v>0</v>
      </c>
      <c r="V419">
        <v>0</v>
      </c>
      <c r="W419">
        <v>2</v>
      </c>
      <c r="X419">
        <v>0</v>
      </c>
      <c r="Y419">
        <v>1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1</v>
      </c>
      <c r="AG419">
        <v>90</v>
      </c>
      <c r="AH419">
        <v>0</v>
      </c>
      <c r="AI419">
        <v>1</v>
      </c>
      <c r="AJ419">
        <v>0</v>
      </c>
      <c r="AK419">
        <v>4</v>
      </c>
      <c r="AL419">
        <v>0</v>
      </c>
      <c r="AM419">
        <v>4</v>
      </c>
      <c r="AN419" s="1">
        <v>13</v>
      </c>
    </row>
    <row r="420" spans="1:40" x14ac:dyDescent="0.3">
      <c r="A420" t="s">
        <v>181</v>
      </c>
      <c r="B420" t="s">
        <v>182</v>
      </c>
      <c r="C420" s="3" t="s">
        <v>42</v>
      </c>
      <c r="D420" s="1">
        <v>6254</v>
      </c>
      <c r="E420">
        <v>3</v>
      </c>
      <c r="F420">
        <v>10</v>
      </c>
      <c r="G420">
        <v>37</v>
      </c>
      <c r="H420" s="1">
        <v>6132</v>
      </c>
      <c r="I420">
        <v>0</v>
      </c>
      <c r="J420">
        <v>9</v>
      </c>
      <c r="K420">
        <v>13</v>
      </c>
      <c r="L420">
        <v>0</v>
      </c>
      <c r="M420">
        <v>1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1</v>
      </c>
      <c r="T420">
        <v>0</v>
      </c>
      <c r="U420">
        <v>0</v>
      </c>
      <c r="V420">
        <v>0</v>
      </c>
      <c r="W420">
        <v>1</v>
      </c>
      <c r="X420">
        <v>0</v>
      </c>
      <c r="Y420">
        <v>1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1</v>
      </c>
      <c r="AG420">
        <v>36</v>
      </c>
      <c r="AH420">
        <v>0</v>
      </c>
      <c r="AI420">
        <v>1</v>
      </c>
      <c r="AJ420">
        <v>0</v>
      </c>
      <c r="AK420">
        <v>1</v>
      </c>
      <c r="AL420">
        <v>0</v>
      </c>
      <c r="AM420">
        <v>1</v>
      </c>
      <c r="AN420" s="1">
        <v>6</v>
      </c>
    </row>
    <row r="421" spans="1:40" x14ac:dyDescent="0.3">
      <c r="A421" t="s">
        <v>181</v>
      </c>
      <c r="B421" t="s">
        <v>182</v>
      </c>
      <c r="C421" s="3" t="s">
        <v>43</v>
      </c>
      <c r="D421" s="1">
        <v>6390</v>
      </c>
      <c r="E421">
        <v>6</v>
      </c>
      <c r="F421">
        <v>2</v>
      </c>
      <c r="G421">
        <v>44</v>
      </c>
      <c r="H421" s="1">
        <v>6255</v>
      </c>
      <c r="I421">
        <v>0</v>
      </c>
      <c r="J421">
        <v>7</v>
      </c>
      <c r="K421">
        <v>2</v>
      </c>
      <c r="L421">
        <v>0</v>
      </c>
      <c r="M421">
        <v>5</v>
      </c>
      <c r="N421">
        <v>0</v>
      </c>
      <c r="O421">
        <v>1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1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54</v>
      </c>
      <c r="AH421">
        <v>0</v>
      </c>
      <c r="AI421">
        <v>0</v>
      </c>
      <c r="AJ421">
        <v>0</v>
      </c>
      <c r="AK421">
        <v>3</v>
      </c>
      <c r="AL421">
        <v>0</v>
      </c>
      <c r="AM421">
        <v>3</v>
      </c>
      <c r="AN421" s="1">
        <v>7</v>
      </c>
    </row>
    <row r="422" spans="1:40" x14ac:dyDescent="0.3">
      <c r="A422" t="s">
        <v>181</v>
      </c>
      <c r="B422" t="s">
        <v>182</v>
      </c>
      <c r="C422" s="3" t="s">
        <v>92</v>
      </c>
      <c r="D422">
        <v>1</v>
      </c>
      <c r="E422">
        <v>0</v>
      </c>
      <c r="F422">
        <v>0</v>
      </c>
      <c r="G422">
        <v>0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 s="1">
        <v>0</v>
      </c>
    </row>
    <row r="423" spans="1:40" x14ac:dyDescent="0.3">
      <c r="A423" t="s">
        <v>181</v>
      </c>
      <c r="B423" t="s">
        <v>183</v>
      </c>
      <c r="C423" s="3" t="s">
        <v>39</v>
      </c>
      <c r="D423" s="1">
        <v>2284</v>
      </c>
      <c r="E423">
        <v>4</v>
      </c>
      <c r="F423">
        <v>11</v>
      </c>
      <c r="G423" s="1">
        <v>2206</v>
      </c>
      <c r="H423">
        <v>5</v>
      </c>
      <c r="I423">
        <v>0</v>
      </c>
      <c r="J423">
        <v>8</v>
      </c>
      <c r="K423">
        <v>2</v>
      </c>
      <c r="L423">
        <v>0</v>
      </c>
      <c r="M423">
        <v>0</v>
      </c>
      <c r="N423">
        <v>0</v>
      </c>
      <c r="O423">
        <v>1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2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</v>
      </c>
      <c r="AE423">
        <v>2</v>
      </c>
      <c r="AF423">
        <v>1</v>
      </c>
      <c r="AG423">
        <v>29</v>
      </c>
      <c r="AH423">
        <v>0</v>
      </c>
      <c r="AI423">
        <v>1</v>
      </c>
      <c r="AJ423">
        <v>0</v>
      </c>
      <c r="AK423">
        <v>1</v>
      </c>
      <c r="AL423">
        <v>0</v>
      </c>
      <c r="AM423">
        <v>2</v>
      </c>
      <c r="AN423" s="1">
        <v>8</v>
      </c>
    </row>
    <row r="424" spans="1:40" x14ac:dyDescent="0.3">
      <c r="A424" t="s">
        <v>181</v>
      </c>
      <c r="B424" t="s">
        <v>183</v>
      </c>
      <c r="C424" s="3" t="s">
        <v>42</v>
      </c>
      <c r="D424" s="1">
        <v>1203</v>
      </c>
      <c r="E424">
        <v>1</v>
      </c>
      <c r="F424">
        <v>10</v>
      </c>
      <c r="G424" s="1">
        <v>1159</v>
      </c>
      <c r="H424">
        <v>2</v>
      </c>
      <c r="I424">
        <v>0</v>
      </c>
      <c r="J424">
        <v>5</v>
      </c>
      <c r="K424">
        <v>1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1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1</v>
      </c>
      <c r="AG424">
        <v>16</v>
      </c>
      <c r="AH424">
        <v>0</v>
      </c>
      <c r="AI424">
        <v>1</v>
      </c>
      <c r="AJ424">
        <v>0</v>
      </c>
      <c r="AK424">
        <v>1</v>
      </c>
      <c r="AL424">
        <v>0</v>
      </c>
      <c r="AM424">
        <v>2</v>
      </c>
      <c r="AN424" s="1">
        <v>3</v>
      </c>
    </row>
    <row r="425" spans="1:40" x14ac:dyDescent="0.3">
      <c r="A425" t="s">
        <v>181</v>
      </c>
      <c r="B425" t="s">
        <v>183</v>
      </c>
      <c r="C425" s="3" t="s">
        <v>43</v>
      </c>
      <c r="D425" s="1">
        <v>1081</v>
      </c>
      <c r="E425">
        <v>3</v>
      </c>
      <c r="F425">
        <v>1</v>
      </c>
      <c r="G425" s="1">
        <v>1047</v>
      </c>
      <c r="H425">
        <v>3</v>
      </c>
      <c r="I425">
        <v>0</v>
      </c>
      <c r="J425">
        <v>3</v>
      </c>
      <c r="K425">
        <v>1</v>
      </c>
      <c r="L425">
        <v>0</v>
      </c>
      <c r="M425">
        <v>0</v>
      </c>
      <c r="N425">
        <v>0</v>
      </c>
      <c r="O425">
        <v>1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1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</v>
      </c>
      <c r="AE425">
        <v>2</v>
      </c>
      <c r="AF425">
        <v>0</v>
      </c>
      <c r="AG425">
        <v>13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 s="1">
        <v>5</v>
      </c>
    </row>
    <row r="426" spans="1:40" x14ac:dyDescent="0.3">
      <c r="A426" t="s">
        <v>181</v>
      </c>
      <c r="B426" t="s">
        <v>184</v>
      </c>
      <c r="C426" s="3" t="s">
        <v>39</v>
      </c>
      <c r="D426">
        <v>56</v>
      </c>
      <c r="E426">
        <v>2</v>
      </c>
      <c r="F426">
        <v>0</v>
      </c>
      <c r="G426" s="1">
        <v>0</v>
      </c>
      <c r="H426">
        <v>51</v>
      </c>
      <c r="I426">
        <v>0</v>
      </c>
      <c r="J426">
        <v>2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1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 s="1">
        <v>0</v>
      </c>
    </row>
    <row r="427" spans="1:40" x14ac:dyDescent="0.3">
      <c r="A427" t="s">
        <v>181</v>
      </c>
      <c r="B427" t="s">
        <v>184</v>
      </c>
      <c r="C427" s="3" t="s">
        <v>42</v>
      </c>
      <c r="D427">
        <v>30</v>
      </c>
      <c r="E427">
        <v>2</v>
      </c>
      <c r="F427">
        <v>0</v>
      </c>
      <c r="G427" s="1">
        <v>0</v>
      </c>
      <c r="H427">
        <v>26</v>
      </c>
      <c r="I427">
        <v>0</v>
      </c>
      <c r="J427">
        <v>1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1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 s="1">
        <v>0</v>
      </c>
    </row>
    <row r="428" spans="1:40" x14ac:dyDescent="0.3">
      <c r="A428" t="s">
        <v>181</v>
      </c>
      <c r="B428" t="s">
        <v>184</v>
      </c>
      <c r="C428" s="3" t="s">
        <v>43</v>
      </c>
      <c r="D428">
        <v>26</v>
      </c>
      <c r="E428">
        <v>0</v>
      </c>
      <c r="F428">
        <v>0</v>
      </c>
      <c r="G428" s="1">
        <v>0</v>
      </c>
      <c r="H428">
        <v>25</v>
      </c>
      <c r="I428">
        <v>0</v>
      </c>
      <c r="J428">
        <v>1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 s="1">
        <v>0</v>
      </c>
    </row>
    <row r="429" spans="1:40" x14ac:dyDescent="0.3">
      <c r="A429" t="s">
        <v>181</v>
      </c>
      <c r="B429" t="s">
        <v>185</v>
      </c>
      <c r="C429" s="3" t="s">
        <v>39</v>
      </c>
      <c r="D429">
        <v>25</v>
      </c>
      <c r="E429">
        <v>0</v>
      </c>
      <c r="F429">
        <v>0</v>
      </c>
      <c r="G429" s="1">
        <v>0</v>
      </c>
      <c r="H429">
        <v>11</v>
      </c>
      <c r="I429">
        <v>0</v>
      </c>
      <c r="J429">
        <v>2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 s="1">
        <v>12</v>
      </c>
    </row>
    <row r="430" spans="1:40" x14ac:dyDescent="0.3">
      <c r="A430" t="s">
        <v>181</v>
      </c>
      <c r="B430" t="s">
        <v>185</v>
      </c>
      <c r="C430" s="3" t="s">
        <v>42</v>
      </c>
      <c r="D430">
        <v>6</v>
      </c>
      <c r="E430">
        <v>0</v>
      </c>
      <c r="F430">
        <v>0</v>
      </c>
      <c r="G430" s="1">
        <v>0</v>
      </c>
      <c r="H430">
        <v>4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 s="1">
        <v>2</v>
      </c>
    </row>
    <row r="431" spans="1:40" x14ac:dyDescent="0.3">
      <c r="A431" t="s">
        <v>181</v>
      </c>
      <c r="B431" t="s">
        <v>185</v>
      </c>
      <c r="C431" s="3" t="s">
        <v>43</v>
      </c>
      <c r="D431">
        <v>19</v>
      </c>
      <c r="E431">
        <v>0</v>
      </c>
      <c r="F431">
        <v>0</v>
      </c>
      <c r="G431" s="1">
        <v>0</v>
      </c>
      <c r="H431">
        <v>7</v>
      </c>
      <c r="I431">
        <v>0</v>
      </c>
      <c r="J431">
        <v>2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 s="1">
        <v>10</v>
      </c>
    </row>
    <row r="432" spans="1:40" x14ac:dyDescent="0.3">
      <c r="A432" t="s">
        <v>181</v>
      </c>
      <c r="B432" t="s">
        <v>186</v>
      </c>
      <c r="C432" s="3" t="s">
        <v>39</v>
      </c>
      <c r="D432">
        <v>24</v>
      </c>
      <c r="E432">
        <v>1</v>
      </c>
      <c r="F432">
        <v>0</v>
      </c>
      <c r="G432" s="1">
        <v>0</v>
      </c>
      <c r="H432">
        <v>2</v>
      </c>
      <c r="I432">
        <v>0</v>
      </c>
      <c r="J432">
        <v>19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 s="1">
        <v>1</v>
      </c>
    </row>
    <row r="433" spans="1:40" x14ac:dyDescent="0.3">
      <c r="A433" t="s">
        <v>181</v>
      </c>
      <c r="B433" t="s">
        <v>186</v>
      </c>
      <c r="C433" s="3" t="s">
        <v>42</v>
      </c>
      <c r="D433">
        <v>13</v>
      </c>
      <c r="E433">
        <v>0</v>
      </c>
      <c r="F433">
        <v>0</v>
      </c>
      <c r="G433" s="1">
        <v>0</v>
      </c>
      <c r="H433">
        <v>2</v>
      </c>
      <c r="I433">
        <v>0</v>
      </c>
      <c r="J433">
        <v>9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 s="1">
        <v>1</v>
      </c>
    </row>
    <row r="434" spans="1:40" x14ac:dyDescent="0.3">
      <c r="A434" t="s">
        <v>181</v>
      </c>
      <c r="B434" t="s">
        <v>186</v>
      </c>
      <c r="C434" s="3" t="s">
        <v>43</v>
      </c>
      <c r="D434">
        <v>11</v>
      </c>
      <c r="E434">
        <v>1</v>
      </c>
      <c r="F434">
        <v>0</v>
      </c>
      <c r="G434" s="1">
        <v>0</v>
      </c>
      <c r="H434">
        <v>0</v>
      </c>
      <c r="I434">
        <v>0</v>
      </c>
      <c r="J434">
        <v>10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 s="1">
        <v>0</v>
      </c>
    </row>
    <row r="435" spans="1:40" x14ac:dyDescent="0.3">
      <c r="A435" t="s">
        <v>181</v>
      </c>
      <c r="B435" t="s">
        <v>187</v>
      </c>
      <c r="C435" s="3" t="s">
        <v>39</v>
      </c>
      <c r="D435">
        <v>17</v>
      </c>
      <c r="E435">
        <v>0</v>
      </c>
      <c r="F435">
        <v>0</v>
      </c>
      <c r="G435" s="1">
        <v>0</v>
      </c>
      <c r="H435">
        <v>9</v>
      </c>
      <c r="I435">
        <v>0</v>
      </c>
      <c r="J435">
        <v>1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 s="1">
        <v>7</v>
      </c>
    </row>
    <row r="436" spans="1:40" x14ac:dyDescent="0.3">
      <c r="A436" t="s">
        <v>181</v>
      </c>
      <c r="B436" t="s">
        <v>187</v>
      </c>
      <c r="C436" s="3" t="s">
        <v>42</v>
      </c>
      <c r="D436">
        <v>10</v>
      </c>
      <c r="E436">
        <v>0</v>
      </c>
      <c r="F436">
        <v>0</v>
      </c>
      <c r="G436" s="1">
        <v>0</v>
      </c>
      <c r="H436">
        <v>7</v>
      </c>
      <c r="I436">
        <v>0</v>
      </c>
      <c r="J436">
        <v>1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 s="1">
        <v>2</v>
      </c>
    </row>
    <row r="437" spans="1:40" x14ac:dyDescent="0.3">
      <c r="A437" t="s">
        <v>181</v>
      </c>
      <c r="B437" t="s">
        <v>187</v>
      </c>
      <c r="C437" s="3" t="s">
        <v>43</v>
      </c>
      <c r="D437">
        <v>7</v>
      </c>
      <c r="E437">
        <v>0</v>
      </c>
      <c r="F437">
        <v>0</v>
      </c>
      <c r="G437" s="1">
        <v>0</v>
      </c>
      <c r="H437">
        <v>2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 s="1">
        <v>5</v>
      </c>
    </row>
    <row r="438" spans="1:40" x14ac:dyDescent="0.3">
      <c r="A438" t="s">
        <v>181</v>
      </c>
      <c r="B438" t="s">
        <v>188</v>
      </c>
      <c r="C438" s="3" t="s">
        <v>39</v>
      </c>
      <c r="D438">
        <v>10</v>
      </c>
      <c r="E438">
        <v>1</v>
      </c>
      <c r="F438">
        <v>0</v>
      </c>
      <c r="G438" s="1">
        <v>0</v>
      </c>
      <c r="H438">
        <v>2</v>
      </c>
      <c r="I438">
        <v>0</v>
      </c>
      <c r="J438">
        <v>4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 s="1">
        <v>1</v>
      </c>
    </row>
    <row r="439" spans="1:40" x14ac:dyDescent="0.3">
      <c r="A439" t="s">
        <v>181</v>
      </c>
      <c r="B439" t="s">
        <v>188</v>
      </c>
      <c r="C439" s="3" t="s">
        <v>42</v>
      </c>
      <c r="D439">
        <v>9</v>
      </c>
      <c r="E439">
        <v>1</v>
      </c>
      <c r="F439">
        <v>0</v>
      </c>
      <c r="G439" s="1">
        <v>0</v>
      </c>
      <c r="H439">
        <v>2</v>
      </c>
      <c r="I439">
        <v>0</v>
      </c>
      <c r="J439">
        <v>3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 s="1">
        <v>1</v>
      </c>
    </row>
    <row r="440" spans="1:40" x14ac:dyDescent="0.3">
      <c r="A440" t="s">
        <v>181</v>
      </c>
      <c r="B440" t="s">
        <v>188</v>
      </c>
      <c r="C440" s="3" t="s">
        <v>43</v>
      </c>
      <c r="D440">
        <v>1</v>
      </c>
      <c r="E440">
        <v>0</v>
      </c>
      <c r="F440">
        <v>0</v>
      </c>
      <c r="G440" s="1">
        <v>0</v>
      </c>
      <c r="H440">
        <v>0</v>
      </c>
      <c r="I440">
        <v>0</v>
      </c>
      <c r="J440">
        <v>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 s="1">
        <v>0</v>
      </c>
    </row>
    <row r="441" spans="1:40" x14ac:dyDescent="0.3">
      <c r="A441" t="s">
        <v>181</v>
      </c>
      <c r="B441" t="s">
        <v>189</v>
      </c>
      <c r="C441" s="3" t="s">
        <v>39</v>
      </c>
      <c r="D441">
        <v>9</v>
      </c>
      <c r="E441">
        <v>0</v>
      </c>
      <c r="F441">
        <v>0</v>
      </c>
      <c r="G441" s="1">
        <v>0</v>
      </c>
      <c r="H441">
        <v>8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 s="1">
        <v>1</v>
      </c>
    </row>
    <row r="442" spans="1:40" x14ac:dyDescent="0.3">
      <c r="A442" t="s">
        <v>181</v>
      </c>
      <c r="B442" t="s">
        <v>189</v>
      </c>
      <c r="C442" s="3" t="s">
        <v>42</v>
      </c>
      <c r="D442">
        <v>6</v>
      </c>
      <c r="E442">
        <v>0</v>
      </c>
      <c r="F442">
        <v>0</v>
      </c>
      <c r="G442" s="1">
        <v>0</v>
      </c>
      <c r="H442">
        <v>6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 s="1">
        <v>0</v>
      </c>
    </row>
    <row r="443" spans="1:40" x14ac:dyDescent="0.3">
      <c r="A443" t="s">
        <v>181</v>
      </c>
      <c r="B443" t="s">
        <v>189</v>
      </c>
      <c r="C443" s="3" t="s">
        <v>43</v>
      </c>
      <c r="D443">
        <v>3</v>
      </c>
      <c r="E443">
        <v>0</v>
      </c>
      <c r="F443">
        <v>0</v>
      </c>
      <c r="G443" s="1">
        <v>0</v>
      </c>
      <c r="H443">
        <v>2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 s="1">
        <v>1</v>
      </c>
    </row>
    <row r="444" spans="1:40" x14ac:dyDescent="0.3">
      <c r="A444" t="s">
        <v>181</v>
      </c>
      <c r="B444" t="s">
        <v>190</v>
      </c>
      <c r="C444" s="3" t="s">
        <v>39</v>
      </c>
      <c r="D444">
        <v>7</v>
      </c>
      <c r="E444">
        <v>0</v>
      </c>
      <c r="F444">
        <v>0</v>
      </c>
      <c r="G444" s="1">
        <v>0</v>
      </c>
      <c r="H444">
        <v>7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 s="1">
        <v>0</v>
      </c>
    </row>
    <row r="445" spans="1:40" x14ac:dyDescent="0.3">
      <c r="A445" t="s">
        <v>181</v>
      </c>
      <c r="B445" t="s">
        <v>190</v>
      </c>
      <c r="C445" s="3" t="s">
        <v>42</v>
      </c>
      <c r="D445">
        <v>5</v>
      </c>
      <c r="E445">
        <v>0</v>
      </c>
      <c r="F445">
        <v>0</v>
      </c>
      <c r="G445" s="1">
        <v>0</v>
      </c>
      <c r="H445">
        <v>5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 s="1">
        <v>0</v>
      </c>
    </row>
    <row r="446" spans="1:40" x14ac:dyDescent="0.3">
      <c r="A446" t="s">
        <v>181</v>
      </c>
      <c r="B446" t="s">
        <v>190</v>
      </c>
      <c r="C446" s="3" t="s">
        <v>43</v>
      </c>
      <c r="D446">
        <v>2</v>
      </c>
      <c r="E446">
        <v>0</v>
      </c>
      <c r="F446">
        <v>0</v>
      </c>
      <c r="G446" s="1">
        <v>0</v>
      </c>
      <c r="H446">
        <v>2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 s="1">
        <v>0</v>
      </c>
    </row>
    <row r="447" spans="1:40" x14ac:dyDescent="0.3">
      <c r="A447" t="s">
        <v>181</v>
      </c>
      <c r="B447" t="s">
        <v>191</v>
      </c>
      <c r="C447" s="3" t="s">
        <v>39</v>
      </c>
      <c r="D447">
        <v>6</v>
      </c>
      <c r="E447">
        <v>0</v>
      </c>
      <c r="F447">
        <v>0</v>
      </c>
      <c r="G447" s="1">
        <v>0</v>
      </c>
      <c r="H447">
        <v>1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 s="1">
        <v>4</v>
      </c>
    </row>
    <row r="448" spans="1:40" x14ac:dyDescent="0.3">
      <c r="A448" t="s">
        <v>181</v>
      </c>
      <c r="B448" t="s">
        <v>191</v>
      </c>
      <c r="C448" s="3" t="s">
        <v>42</v>
      </c>
      <c r="D448">
        <v>1</v>
      </c>
      <c r="E448">
        <v>0</v>
      </c>
      <c r="F448">
        <v>0</v>
      </c>
      <c r="G448" s="1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 s="1">
        <v>1</v>
      </c>
    </row>
    <row r="449" spans="1:40" x14ac:dyDescent="0.3">
      <c r="A449" t="s">
        <v>181</v>
      </c>
      <c r="B449" t="s">
        <v>191</v>
      </c>
      <c r="C449" s="3" t="s">
        <v>43</v>
      </c>
      <c r="D449">
        <v>5</v>
      </c>
      <c r="E449">
        <v>0</v>
      </c>
      <c r="F449">
        <v>0</v>
      </c>
      <c r="G449" s="1">
        <v>0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 s="1">
        <v>3</v>
      </c>
    </row>
    <row r="450" spans="1:40" x14ac:dyDescent="0.3">
      <c r="A450" t="s">
        <v>181</v>
      </c>
      <c r="B450" t="s">
        <v>192</v>
      </c>
      <c r="C450" s="3" t="s">
        <v>39</v>
      </c>
      <c r="D450">
        <v>4</v>
      </c>
      <c r="E450">
        <v>0</v>
      </c>
      <c r="F450">
        <v>0</v>
      </c>
      <c r="G450" s="1">
        <v>0</v>
      </c>
      <c r="H450">
        <v>3</v>
      </c>
      <c r="I450">
        <v>0</v>
      </c>
      <c r="J450">
        <v>1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 s="1">
        <v>0</v>
      </c>
    </row>
    <row r="451" spans="1:40" x14ac:dyDescent="0.3">
      <c r="A451" t="s">
        <v>181</v>
      </c>
      <c r="B451" t="s">
        <v>192</v>
      </c>
      <c r="C451" s="3" t="s">
        <v>42</v>
      </c>
      <c r="D451">
        <v>3</v>
      </c>
      <c r="E451">
        <v>0</v>
      </c>
      <c r="F451">
        <v>0</v>
      </c>
      <c r="G451" s="1">
        <v>0</v>
      </c>
      <c r="H451">
        <v>2</v>
      </c>
      <c r="I451">
        <v>0</v>
      </c>
      <c r="J451">
        <v>1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 s="1">
        <v>0</v>
      </c>
    </row>
    <row r="452" spans="1:40" x14ac:dyDescent="0.3">
      <c r="A452" t="s">
        <v>181</v>
      </c>
      <c r="B452" t="s">
        <v>192</v>
      </c>
      <c r="C452" s="3" t="s">
        <v>43</v>
      </c>
      <c r="D452">
        <v>1</v>
      </c>
      <c r="E452">
        <v>0</v>
      </c>
      <c r="F452">
        <v>0</v>
      </c>
      <c r="G452" s="1">
        <v>0</v>
      </c>
      <c r="H452">
        <v>1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 s="1">
        <v>0</v>
      </c>
    </row>
    <row r="453" spans="1:40" x14ac:dyDescent="0.3">
      <c r="A453" t="s">
        <v>181</v>
      </c>
      <c r="B453" t="s">
        <v>193</v>
      </c>
      <c r="C453" s="3" t="s">
        <v>39</v>
      </c>
      <c r="D453">
        <v>1</v>
      </c>
      <c r="E453">
        <v>0</v>
      </c>
      <c r="F453">
        <v>0</v>
      </c>
      <c r="G453" s="1">
        <v>0</v>
      </c>
      <c r="H453">
        <v>1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 s="1">
        <v>0</v>
      </c>
    </row>
    <row r="454" spans="1:40" x14ac:dyDescent="0.3">
      <c r="A454" t="s">
        <v>181</v>
      </c>
      <c r="B454" t="s">
        <v>193</v>
      </c>
      <c r="C454" s="3" t="s">
        <v>42</v>
      </c>
      <c r="D454">
        <v>1</v>
      </c>
      <c r="E454">
        <v>0</v>
      </c>
      <c r="F454">
        <v>0</v>
      </c>
      <c r="G454" s="1">
        <v>0</v>
      </c>
      <c r="H454">
        <v>1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 s="1">
        <v>0</v>
      </c>
    </row>
    <row r="455" spans="1:40" x14ac:dyDescent="0.3">
      <c r="A455" t="s">
        <v>194</v>
      </c>
      <c r="B455" t="s">
        <v>39</v>
      </c>
      <c r="C455" s="3" t="s">
        <v>39</v>
      </c>
      <c r="D455" s="1">
        <v>3179</v>
      </c>
      <c r="E455">
        <v>75</v>
      </c>
      <c r="F455">
        <v>45</v>
      </c>
      <c r="G455">
        <v>309</v>
      </c>
      <c r="H455">
        <v>777</v>
      </c>
      <c r="I455">
        <v>0</v>
      </c>
      <c r="J455" s="1">
        <v>1576</v>
      </c>
      <c r="K455">
        <v>24</v>
      </c>
      <c r="L455">
        <v>0</v>
      </c>
      <c r="M455">
        <v>6</v>
      </c>
      <c r="N455">
        <v>0</v>
      </c>
      <c r="O455">
        <v>56</v>
      </c>
      <c r="P455">
        <v>0</v>
      </c>
      <c r="Q455">
        <v>1</v>
      </c>
      <c r="R455">
        <v>0</v>
      </c>
      <c r="S455">
        <v>2</v>
      </c>
      <c r="T455">
        <v>0</v>
      </c>
      <c r="U455">
        <v>0</v>
      </c>
      <c r="V455">
        <v>0</v>
      </c>
      <c r="W455">
        <v>24</v>
      </c>
      <c r="X455">
        <v>0</v>
      </c>
      <c r="Y455">
        <v>2</v>
      </c>
      <c r="Z455">
        <v>2</v>
      </c>
      <c r="AA455">
        <v>0</v>
      </c>
      <c r="AB455">
        <v>1</v>
      </c>
      <c r="AC455">
        <v>0</v>
      </c>
      <c r="AD455">
        <v>12</v>
      </c>
      <c r="AE455">
        <v>7</v>
      </c>
      <c r="AF455">
        <v>48</v>
      </c>
      <c r="AG455">
        <v>1</v>
      </c>
      <c r="AH455">
        <v>1</v>
      </c>
      <c r="AI455">
        <v>15</v>
      </c>
      <c r="AJ455">
        <v>10</v>
      </c>
      <c r="AK455">
        <v>0</v>
      </c>
      <c r="AL455">
        <v>0</v>
      </c>
      <c r="AM455">
        <v>1</v>
      </c>
      <c r="AN455" s="1">
        <v>184</v>
      </c>
    </row>
    <row r="456" spans="1:40" x14ac:dyDescent="0.3">
      <c r="A456" t="s">
        <v>194</v>
      </c>
      <c r="B456" t="s">
        <v>39</v>
      </c>
      <c r="C456" s="3" t="s">
        <v>42</v>
      </c>
      <c r="D456" s="1">
        <f>D459+D462+D465+D468+D471+D474+D477+D480+D483+D486+D489+D492+D495+D498+D501+D504+D507+D510+D513+D516+D519+D522+D525+D528+D531+D534+D537+D540+D543+D546+D549+D551+D554+D557+D560+D563+D566+D569+D572+D575+D578+D581+D584+D586+D588+D590+D593+D596+D598</f>
        <v>2237</v>
      </c>
      <c r="E456" s="1">
        <f t="shared" ref="E456:AN456" si="16">E459+E462+E465+E468+E471+E474+E477+E480+E483+E486+E489+E492+E495+E498+E501+E504+E507+E510+E513+E516+E519+E522+E525+E528+E531+E534+E537+E540+E543+E546+E549+E551+E554+E557+E560+E563+E566+E569+E572+E575+E578+E581+E584+E586+E588+E590+E593+E596+E598</f>
        <v>44</v>
      </c>
      <c r="F456" s="1">
        <f t="shared" si="16"/>
        <v>37</v>
      </c>
      <c r="G456" s="1">
        <f t="shared" si="16"/>
        <v>160</v>
      </c>
      <c r="H456" s="1">
        <f t="shared" si="16"/>
        <v>486</v>
      </c>
      <c r="I456" s="1">
        <f t="shared" si="16"/>
        <v>0</v>
      </c>
      <c r="J456" s="1">
        <f t="shared" si="16"/>
        <v>1312</v>
      </c>
      <c r="K456" s="1">
        <f t="shared" si="16"/>
        <v>18</v>
      </c>
      <c r="L456" s="1">
        <f t="shared" si="16"/>
        <v>0</v>
      </c>
      <c r="M456" s="1">
        <f t="shared" si="16"/>
        <v>3</v>
      </c>
      <c r="N456" s="1">
        <f t="shared" si="16"/>
        <v>0</v>
      </c>
      <c r="O456" s="1">
        <f t="shared" si="16"/>
        <v>28</v>
      </c>
      <c r="P456" s="1">
        <f t="shared" si="16"/>
        <v>0</v>
      </c>
      <c r="Q456" s="1">
        <f t="shared" si="16"/>
        <v>1</v>
      </c>
      <c r="R456" s="1">
        <f t="shared" si="16"/>
        <v>0</v>
      </c>
      <c r="S456" s="1">
        <f t="shared" si="16"/>
        <v>2</v>
      </c>
      <c r="T456" s="1">
        <f t="shared" si="16"/>
        <v>0</v>
      </c>
      <c r="U456" s="1">
        <f t="shared" si="16"/>
        <v>0</v>
      </c>
      <c r="V456" s="1">
        <f t="shared" si="16"/>
        <v>0</v>
      </c>
      <c r="W456" s="1">
        <f t="shared" si="16"/>
        <v>3</v>
      </c>
      <c r="X456" s="1">
        <f t="shared" si="16"/>
        <v>0</v>
      </c>
      <c r="Y456" s="1">
        <f t="shared" si="16"/>
        <v>2</v>
      </c>
      <c r="Z456" s="1">
        <f t="shared" si="16"/>
        <v>1</v>
      </c>
      <c r="AA456" s="1">
        <f t="shared" si="16"/>
        <v>0</v>
      </c>
      <c r="AB456" s="1">
        <f t="shared" si="16"/>
        <v>1</v>
      </c>
      <c r="AC456" s="1">
        <f t="shared" si="16"/>
        <v>0</v>
      </c>
      <c r="AD456" s="1">
        <f t="shared" si="16"/>
        <v>3</v>
      </c>
      <c r="AE456" s="1">
        <f t="shared" si="16"/>
        <v>2</v>
      </c>
      <c r="AF456" s="1">
        <f t="shared" si="16"/>
        <v>17</v>
      </c>
      <c r="AG456" s="1">
        <f t="shared" si="16"/>
        <v>0</v>
      </c>
      <c r="AH456" s="1">
        <f t="shared" si="16"/>
        <v>1</v>
      </c>
      <c r="AI456" s="1">
        <f t="shared" si="16"/>
        <v>2</v>
      </c>
      <c r="AJ456" s="1">
        <f t="shared" si="16"/>
        <v>7</v>
      </c>
      <c r="AK456" s="1">
        <f t="shared" si="16"/>
        <v>0</v>
      </c>
      <c r="AL456" s="1">
        <f t="shared" si="16"/>
        <v>0</v>
      </c>
      <c r="AM456" s="1">
        <f t="shared" si="16"/>
        <v>1</v>
      </c>
      <c r="AN456" s="1">
        <f t="shared" si="16"/>
        <v>106</v>
      </c>
    </row>
    <row r="457" spans="1:40" x14ac:dyDescent="0.3">
      <c r="A457" t="s">
        <v>194</v>
      </c>
      <c r="B457" t="s">
        <v>39</v>
      </c>
      <c r="C457" s="3" t="s">
        <v>43</v>
      </c>
      <c r="D457" s="1">
        <f>D460+D463+D466+D469+D472+D475+D478+D481+D484+D487+D490+D493+D496+D499+D502+D505+D508+D511+D514+D517+D520+D523+D526+D529+D532+D535+D538+D541+D544+D547+D552+D555+D558+D561+D564+D567+D570+D573+D576+D579+D582+D591+D594+D600</f>
        <v>942</v>
      </c>
      <c r="E457" s="1">
        <f t="shared" ref="E457:AN457" si="17">E460+E463+E466+E469+E472+E475+E478+E481+E484+E487+E490+E493+E496+E499+E502+E505+E508+E511+E514+E517+E520+E523+E526+E529+E532+E535+E538+E541+E544+E547+E552+E555+E558+E561+E564+E567+E570+E573+E576+E579+E582+E591+E594+E600</f>
        <v>31</v>
      </c>
      <c r="F457" s="1">
        <f t="shared" si="17"/>
        <v>8</v>
      </c>
      <c r="G457" s="1">
        <f t="shared" si="17"/>
        <v>149</v>
      </c>
      <c r="H457" s="1">
        <f t="shared" si="17"/>
        <v>291</v>
      </c>
      <c r="I457" s="1">
        <f t="shared" si="17"/>
        <v>0</v>
      </c>
      <c r="J457" s="1">
        <f t="shared" si="17"/>
        <v>264</v>
      </c>
      <c r="K457" s="1">
        <f t="shared" si="17"/>
        <v>6</v>
      </c>
      <c r="L457" s="1">
        <f t="shared" si="17"/>
        <v>0</v>
      </c>
      <c r="M457" s="1">
        <f t="shared" si="17"/>
        <v>3</v>
      </c>
      <c r="N457" s="1">
        <f t="shared" si="17"/>
        <v>0</v>
      </c>
      <c r="O457" s="1">
        <f t="shared" si="17"/>
        <v>28</v>
      </c>
      <c r="P457" s="1">
        <f t="shared" si="17"/>
        <v>0</v>
      </c>
      <c r="Q457" s="1">
        <f t="shared" si="17"/>
        <v>0</v>
      </c>
      <c r="R457" s="1">
        <f t="shared" si="17"/>
        <v>0</v>
      </c>
      <c r="S457" s="1">
        <f t="shared" si="17"/>
        <v>0</v>
      </c>
      <c r="T457" s="1">
        <f t="shared" si="17"/>
        <v>0</v>
      </c>
      <c r="U457" s="1">
        <f t="shared" si="17"/>
        <v>0</v>
      </c>
      <c r="V457" s="1">
        <f t="shared" si="17"/>
        <v>0</v>
      </c>
      <c r="W457" s="1">
        <f t="shared" si="17"/>
        <v>21</v>
      </c>
      <c r="X457" s="1">
        <f t="shared" si="17"/>
        <v>0</v>
      </c>
      <c r="Y457" s="1">
        <f t="shared" si="17"/>
        <v>0</v>
      </c>
      <c r="Z457" s="1">
        <f t="shared" si="17"/>
        <v>1</v>
      </c>
      <c r="AA457" s="1">
        <f t="shared" si="17"/>
        <v>0</v>
      </c>
      <c r="AB457" s="1">
        <f t="shared" si="17"/>
        <v>0</v>
      </c>
      <c r="AC457" s="1">
        <f t="shared" si="17"/>
        <v>0</v>
      </c>
      <c r="AD457" s="1">
        <f t="shared" si="17"/>
        <v>9</v>
      </c>
      <c r="AE457" s="1">
        <f t="shared" si="17"/>
        <v>5</v>
      </c>
      <c r="AF457" s="1">
        <f t="shared" si="17"/>
        <v>31</v>
      </c>
      <c r="AG457" s="1">
        <f t="shared" si="17"/>
        <v>1</v>
      </c>
      <c r="AH457" s="1">
        <f t="shared" si="17"/>
        <v>0</v>
      </c>
      <c r="AI457" s="1">
        <f t="shared" si="17"/>
        <v>13</v>
      </c>
      <c r="AJ457" s="1">
        <f t="shared" si="17"/>
        <v>3</v>
      </c>
      <c r="AK457" s="1">
        <f t="shared" si="17"/>
        <v>0</v>
      </c>
      <c r="AL457" s="1">
        <f t="shared" si="17"/>
        <v>0</v>
      </c>
      <c r="AM457" s="1">
        <f t="shared" si="17"/>
        <v>0</v>
      </c>
      <c r="AN457" s="1">
        <f t="shared" si="17"/>
        <v>78</v>
      </c>
    </row>
    <row r="458" spans="1:40" x14ac:dyDescent="0.3">
      <c r="A458" t="s">
        <v>194</v>
      </c>
      <c r="B458" t="s">
        <v>195</v>
      </c>
      <c r="C458" s="3" t="s">
        <v>39</v>
      </c>
      <c r="D458">
        <v>567</v>
      </c>
      <c r="E458">
        <v>8</v>
      </c>
      <c r="F458">
        <v>0</v>
      </c>
      <c r="G458" s="1">
        <v>0</v>
      </c>
      <c r="H458">
        <v>491</v>
      </c>
      <c r="I458">
        <v>0</v>
      </c>
      <c r="J458">
        <v>12</v>
      </c>
      <c r="K458">
        <v>11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24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2</v>
      </c>
      <c r="AE458">
        <v>0</v>
      </c>
      <c r="AF458">
        <v>7</v>
      </c>
      <c r="AG458">
        <v>1</v>
      </c>
      <c r="AH458">
        <v>0</v>
      </c>
      <c r="AI458">
        <v>1</v>
      </c>
      <c r="AJ458">
        <v>1</v>
      </c>
      <c r="AK458">
        <v>0</v>
      </c>
      <c r="AL458">
        <v>0</v>
      </c>
      <c r="AM458">
        <v>0</v>
      </c>
      <c r="AN458" s="1">
        <v>9</v>
      </c>
    </row>
    <row r="459" spans="1:40" x14ac:dyDescent="0.3">
      <c r="A459" t="s">
        <v>194</v>
      </c>
      <c r="B459" t="s">
        <v>195</v>
      </c>
      <c r="C459" s="3" t="s">
        <v>42</v>
      </c>
      <c r="D459">
        <v>282</v>
      </c>
      <c r="E459">
        <v>4</v>
      </c>
      <c r="F459">
        <v>0</v>
      </c>
      <c r="G459" s="1">
        <v>0</v>
      </c>
      <c r="H459">
        <v>246</v>
      </c>
      <c r="I459">
        <v>0</v>
      </c>
      <c r="J459">
        <v>10</v>
      </c>
      <c r="K459">
        <v>8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3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</v>
      </c>
      <c r="AE459">
        <v>0</v>
      </c>
      <c r="AF459">
        <v>2</v>
      </c>
      <c r="AG459">
        <v>0</v>
      </c>
      <c r="AH459">
        <v>0</v>
      </c>
      <c r="AI459">
        <v>1</v>
      </c>
      <c r="AJ459">
        <v>1</v>
      </c>
      <c r="AK459">
        <v>0</v>
      </c>
      <c r="AL459">
        <v>0</v>
      </c>
      <c r="AM459">
        <v>0</v>
      </c>
      <c r="AN459" s="1">
        <v>6</v>
      </c>
    </row>
    <row r="460" spans="1:40" x14ac:dyDescent="0.3">
      <c r="A460" t="s">
        <v>194</v>
      </c>
      <c r="B460" t="s">
        <v>195</v>
      </c>
      <c r="C460" s="3" t="s">
        <v>43</v>
      </c>
      <c r="D460">
        <v>285</v>
      </c>
      <c r="E460">
        <v>4</v>
      </c>
      <c r="F460">
        <v>0</v>
      </c>
      <c r="G460" s="1">
        <v>0</v>
      </c>
      <c r="H460">
        <v>245</v>
      </c>
      <c r="I460">
        <v>0</v>
      </c>
      <c r="J460">
        <v>2</v>
      </c>
      <c r="K460">
        <v>3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21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</v>
      </c>
      <c r="AE460">
        <v>0</v>
      </c>
      <c r="AF460">
        <v>5</v>
      </c>
      <c r="AG460">
        <v>1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 s="1">
        <v>3</v>
      </c>
    </row>
    <row r="461" spans="1:40" x14ac:dyDescent="0.3">
      <c r="A461" t="s">
        <v>194</v>
      </c>
      <c r="B461" t="s">
        <v>196</v>
      </c>
      <c r="C461" s="3" t="s">
        <v>39</v>
      </c>
      <c r="D461">
        <v>380</v>
      </c>
      <c r="E461">
        <v>1</v>
      </c>
      <c r="F461">
        <v>4</v>
      </c>
      <c r="G461">
        <v>1</v>
      </c>
      <c r="H461">
        <v>119</v>
      </c>
      <c r="I461">
        <v>0</v>
      </c>
      <c r="J461">
        <v>218</v>
      </c>
      <c r="K461">
        <v>1</v>
      </c>
      <c r="L461">
        <v>0</v>
      </c>
      <c r="M461">
        <v>2</v>
      </c>
      <c r="N461">
        <v>0</v>
      </c>
      <c r="O461">
        <v>3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</v>
      </c>
      <c r="AE461">
        <v>0</v>
      </c>
      <c r="AF461">
        <v>12</v>
      </c>
      <c r="AG461">
        <v>0</v>
      </c>
      <c r="AH461">
        <v>0</v>
      </c>
      <c r="AI461">
        <v>3</v>
      </c>
      <c r="AJ461">
        <v>0</v>
      </c>
      <c r="AK461">
        <v>0</v>
      </c>
      <c r="AL461">
        <v>0</v>
      </c>
      <c r="AM461">
        <v>0</v>
      </c>
      <c r="AN461" s="1">
        <v>15</v>
      </c>
    </row>
    <row r="462" spans="1:40" x14ac:dyDescent="0.3">
      <c r="A462" t="s">
        <v>194</v>
      </c>
      <c r="B462" t="s">
        <v>196</v>
      </c>
      <c r="C462" s="3" t="s">
        <v>42</v>
      </c>
      <c r="D462">
        <v>328</v>
      </c>
      <c r="E462">
        <v>1</v>
      </c>
      <c r="F462">
        <v>4</v>
      </c>
      <c r="G462">
        <v>1</v>
      </c>
      <c r="H462">
        <v>115</v>
      </c>
      <c r="I462">
        <v>0</v>
      </c>
      <c r="J462">
        <v>183</v>
      </c>
      <c r="K462">
        <v>1</v>
      </c>
      <c r="L462">
        <v>0</v>
      </c>
      <c r="M462">
        <v>1</v>
      </c>
      <c r="N462">
        <v>0</v>
      </c>
      <c r="O462">
        <v>1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7</v>
      </c>
      <c r="AG462">
        <v>0</v>
      </c>
      <c r="AH462">
        <v>0</v>
      </c>
      <c r="AI462">
        <v>1</v>
      </c>
      <c r="AJ462">
        <v>0</v>
      </c>
      <c r="AK462">
        <v>0</v>
      </c>
      <c r="AL462">
        <v>0</v>
      </c>
      <c r="AM462">
        <v>0</v>
      </c>
      <c r="AN462" s="1">
        <v>13</v>
      </c>
    </row>
    <row r="463" spans="1:40" x14ac:dyDescent="0.3">
      <c r="A463" t="s">
        <v>194</v>
      </c>
      <c r="B463" t="s">
        <v>196</v>
      </c>
      <c r="C463" s="3" t="s">
        <v>43</v>
      </c>
      <c r="D463">
        <v>52</v>
      </c>
      <c r="E463">
        <v>0</v>
      </c>
      <c r="F463">
        <v>0</v>
      </c>
      <c r="G463" s="1">
        <v>0</v>
      </c>
      <c r="H463">
        <v>4</v>
      </c>
      <c r="I463">
        <v>0</v>
      </c>
      <c r="J463">
        <v>35</v>
      </c>
      <c r="K463">
        <v>0</v>
      </c>
      <c r="L463">
        <v>0</v>
      </c>
      <c r="M463">
        <v>1</v>
      </c>
      <c r="N463">
        <v>0</v>
      </c>
      <c r="O463">
        <v>2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</v>
      </c>
      <c r="AE463">
        <v>0</v>
      </c>
      <c r="AF463">
        <v>5</v>
      </c>
      <c r="AG463">
        <v>0</v>
      </c>
      <c r="AH463">
        <v>0</v>
      </c>
      <c r="AI463">
        <v>2</v>
      </c>
      <c r="AJ463">
        <v>0</v>
      </c>
      <c r="AK463">
        <v>0</v>
      </c>
      <c r="AL463">
        <v>0</v>
      </c>
      <c r="AM463">
        <v>0</v>
      </c>
      <c r="AN463" s="1">
        <v>2</v>
      </c>
    </row>
    <row r="464" spans="1:40" x14ac:dyDescent="0.3">
      <c r="A464" t="s">
        <v>194</v>
      </c>
      <c r="B464" t="s">
        <v>197</v>
      </c>
      <c r="C464" s="3" t="s">
        <v>39</v>
      </c>
      <c r="D464">
        <v>364</v>
      </c>
      <c r="E464">
        <v>4</v>
      </c>
      <c r="F464">
        <v>1</v>
      </c>
      <c r="G464" s="1">
        <v>0</v>
      </c>
      <c r="H464">
        <v>6</v>
      </c>
      <c r="I464">
        <v>0</v>
      </c>
      <c r="J464">
        <v>308</v>
      </c>
      <c r="K464">
        <v>3</v>
      </c>
      <c r="L464">
        <v>0</v>
      </c>
      <c r="M464">
        <v>0</v>
      </c>
      <c r="N464">
        <v>0</v>
      </c>
      <c r="O464">
        <v>2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2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1</v>
      </c>
      <c r="AF464">
        <v>4</v>
      </c>
      <c r="AG464">
        <v>0</v>
      </c>
      <c r="AH464">
        <v>0</v>
      </c>
      <c r="AI464">
        <v>0</v>
      </c>
      <c r="AJ464">
        <v>2</v>
      </c>
      <c r="AK464">
        <v>0</v>
      </c>
      <c r="AL464">
        <v>0</v>
      </c>
      <c r="AM464">
        <v>0</v>
      </c>
      <c r="AN464" s="1">
        <v>31</v>
      </c>
    </row>
    <row r="465" spans="1:40" x14ac:dyDescent="0.3">
      <c r="A465" t="s">
        <v>194</v>
      </c>
      <c r="B465" t="s">
        <v>197</v>
      </c>
      <c r="C465" s="3" t="s">
        <v>42</v>
      </c>
      <c r="D465">
        <v>309</v>
      </c>
      <c r="E465">
        <v>4</v>
      </c>
      <c r="F465">
        <v>0</v>
      </c>
      <c r="G465" s="1">
        <v>0</v>
      </c>
      <c r="H465">
        <v>6</v>
      </c>
      <c r="I465">
        <v>0</v>
      </c>
      <c r="J465">
        <v>275</v>
      </c>
      <c r="K465">
        <v>2</v>
      </c>
      <c r="L465">
        <v>0</v>
      </c>
      <c r="M465">
        <v>0</v>
      </c>
      <c r="N465">
        <v>0</v>
      </c>
      <c r="O465">
        <v>2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2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1</v>
      </c>
      <c r="AF465">
        <v>0</v>
      </c>
      <c r="AG465">
        <v>0</v>
      </c>
      <c r="AH465">
        <v>0</v>
      </c>
      <c r="AI465">
        <v>0</v>
      </c>
      <c r="AJ465">
        <v>2</v>
      </c>
      <c r="AK465">
        <v>0</v>
      </c>
      <c r="AL465">
        <v>0</v>
      </c>
      <c r="AM465">
        <v>0</v>
      </c>
      <c r="AN465" s="1">
        <v>15</v>
      </c>
    </row>
    <row r="466" spans="1:40" x14ac:dyDescent="0.3">
      <c r="A466" t="s">
        <v>194</v>
      </c>
      <c r="B466" t="s">
        <v>197</v>
      </c>
      <c r="C466" s="3" t="s">
        <v>43</v>
      </c>
      <c r="D466">
        <v>55</v>
      </c>
      <c r="E466">
        <v>0</v>
      </c>
      <c r="F466">
        <v>1</v>
      </c>
      <c r="G466" s="1">
        <v>0</v>
      </c>
      <c r="H466">
        <v>0</v>
      </c>
      <c r="I466">
        <v>0</v>
      </c>
      <c r="J466">
        <v>33</v>
      </c>
      <c r="K466">
        <v>1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4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 s="1">
        <v>16</v>
      </c>
    </row>
    <row r="467" spans="1:40" x14ac:dyDescent="0.3">
      <c r="A467" t="s">
        <v>194</v>
      </c>
      <c r="B467" t="s">
        <v>198</v>
      </c>
      <c r="C467" s="3" t="s">
        <v>39</v>
      </c>
      <c r="D467">
        <v>320</v>
      </c>
      <c r="E467">
        <v>2</v>
      </c>
      <c r="F467">
        <v>1</v>
      </c>
      <c r="G467" s="1">
        <v>0</v>
      </c>
      <c r="H467">
        <v>4</v>
      </c>
      <c r="I467">
        <v>0</v>
      </c>
      <c r="J467">
        <v>287</v>
      </c>
      <c r="K467">
        <v>2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</v>
      </c>
      <c r="AE467">
        <v>0</v>
      </c>
      <c r="AF467">
        <v>4</v>
      </c>
      <c r="AG467">
        <v>0</v>
      </c>
      <c r="AH467">
        <v>0</v>
      </c>
      <c r="AI467">
        <v>0</v>
      </c>
      <c r="AJ467">
        <v>1</v>
      </c>
      <c r="AK467">
        <v>0</v>
      </c>
      <c r="AL467">
        <v>0</v>
      </c>
      <c r="AM467">
        <v>0</v>
      </c>
      <c r="AN467" s="1">
        <v>18</v>
      </c>
    </row>
    <row r="468" spans="1:40" x14ac:dyDescent="0.3">
      <c r="A468" t="s">
        <v>194</v>
      </c>
      <c r="B468" t="s">
        <v>198</v>
      </c>
      <c r="C468" s="3" t="s">
        <v>42</v>
      </c>
      <c r="D468">
        <v>288</v>
      </c>
      <c r="E468">
        <v>2</v>
      </c>
      <c r="F468">
        <v>1</v>
      </c>
      <c r="G468" s="1">
        <v>0</v>
      </c>
      <c r="H468">
        <v>3</v>
      </c>
      <c r="I468">
        <v>0</v>
      </c>
      <c r="J468">
        <v>269</v>
      </c>
      <c r="K468">
        <v>2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1</v>
      </c>
      <c r="AK468">
        <v>0</v>
      </c>
      <c r="AL468">
        <v>0</v>
      </c>
      <c r="AM468">
        <v>0</v>
      </c>
      <c r="AN468" s="1">
        <v>10</v>
      </c>
    </row>
    <row r="469" spans="1:40" x14ac:dyDescent="0.3">
      <c r="A469" t="s">
        <v>194</v>
      </c>
      <c r="B469" t="s">
        <v>198</v>
      </c>
      <c r="C469" s="3" t="s">
        <v>43</v>
      </c>
      <c r="D469">
        <v>32</v>
      </c>
      <c r="E469">
        <v>0</v>
      </c>
      <c r="F469">
        <v>0</v>
      </c>
      <c r="G469" s="1">
        <v>0</v>
      </c>
      <c r="H469">
        <v>1</v>
      </c>
      <c r="I469">
        <v>0</v>
      </c>
      <c r="J469">
        <v>18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  <c r="AE469">
        <v>0</v>
      </c>
      <c r="AF469">
        <v>4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 s="1">
        <v>8</v>
      </c>
    </row>
    <row r="470" spans="1:40" x14ac:dyDescent="0.3">
      <c r="A470" t="s">
        <v>194</v>
      </c>
      <c r="B470" t="s">
        <v>199</v>
      </c>
      <c r="C470" s="3" t="s">
        <v>39</v>
      </c>
      <c r="D470">
        <v>283</v>
      </c>
      <c r="E470">
        <v>3</v>
      </c>
      <c r="F470">
        <v>1</v>
      </c>
      <c r="G470" s="1">
        <v>0</v>
      </c>
      <c r="H470">
        <v>0</v>
      </c>
      <c r="I470">
        <v>0</v>
      </c>
      <c r="J470">
        <v>259</v>
      </c>
      <c r="K470">
        <v>1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1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8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 s="1">
        <v>10</v>
      </c>
    </row>
    <row r="471" spans="1:40" x14ac:dyDescent="0.3">
      <c r="A471" t="s">
        <v>194</v>
      </c>
      <c r="B471" t="s">
        <v>199</v>
      </c>
      <c r="C471" s="3" t="s">
        <v>42</v>
      </c>
      <c r="D471">
        <v>272</v>
      </c>
      <c r="E471">
        <v>1</v>
      </c>
      <c r="F471">
        <v>0</v>
      </c>
      <c r="G471" s="1">
        <v>0</v>
      </c>
      <c r="H471">
        <v>0</v>
      </c>
      <c r="I471">
        <v>0</v>
      </c>
      <c r="J471">
        <v>256</v>
      </c>
      <c r="K471">
        <v>1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1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3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 s="1">
        <v>10</v>
      </c>
    </row>
    <row r="472" spans="1:40" x14ac:dyDescent="0.3">
      <c r="A472" t="s">
        <v>194</v>
      </c>
      <c r="B472" t="s">
        <v>199</v>
      </c>
      <c r="C472" s="3" t="s">
        <v>43</v>
      </c>
      <c r="D472">
        <v>11</v>
      </c>
      <c r="E472">
        <v>2</v>
      </c>
      <c r="F472">
        <v>1</v>
      </c>
      <c r="G472" s="1">
        <v>0</v>
      </c>
      <c r="H472">
        <v>0</v>
      </c>
      <c r="I472">
        <v>0</v>
      </c>
      <c r="J472">
        <v>3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5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 s="1">
        <v>0</v>
      </c>
    </row>
    <row r="473" spans="1:40" x14ac:dyDescent="0.3">
      <c r="A473" t="s">
        <v>194</v>
      </c>
      <c r="B473" t="s">
        <v>200</v>
      </c>
      <c r="C473" s="3" t="s">
        <v>39</v>
      </c>
      <c r="D473">
        <v>255</v>
      </c>
      <c r="E473">
        <v>6</v>
      </c>
      <c r="F473">
        <v>0</v>
      </c>
      <c r="G473">
        <v>201</v>
      </c>
      <c r="H473">
        <v>0</v>
      </c>
      <c r="I473">
        <v>0</v>
      </c>
      <c r="J473">
        <v>18</v>
      </c>
      <c r="K473">
        <v>2</v>
      </c>
      <c r="L473">
        <v>0</v>
      </c>
      <c r="M473">
        <v>0</v>
      </c>
      <c r="N473">
        <v>0</v>
      </c>
      <c r="O473">
        <v>5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  <c r="AA473">
        <v>0</v>
      </c>
      <c r="AB473">
        <v>0</v>
      </c>
      <c r="AC473">
        <v>0</v>
      </c>
      <c r="AD473">
        <v>4</v>
      </c>
      <c r="AE473">
        <v>0</v>
      </c>
      <c r="AF473">
        <v>0</v>
      </c>
      <c r="AG473">
        <v>0</v>
      </c>
      <c r="AH473">
        <v>0</v>
      </c>
      <c r="AI473">
        <v>9</v>
      </c>
      <c r="AJ473">
        <v>0</v>
      </c>
      <c r="AK473">
        <v>0</v>
      </c>
      <c r="AL473">
        <v>0</v>
      </c>
      <c r="AM473">
        <v>0</v>
      </c>
      <c r="AN473" s="1">
        <v>9</v>
      </c>
    </row>
    <row r="474" spans="1:40" x14ac:dyDescent="0.3">
      <c r="A474" t="s">
        <v>194</v>
      </c>
      <c r="B474" t="s">
        <v>200</v>
      </c>
      <c r="C474" s="3" t="s">
        <v>42</v>
      </c>
      <c r="D474">
        <v>112</v>
      </c>
      <c r="E474">
        <v>4</v>
      </c>
      <c r="F474">
        <v>0</v>
      </c>
      <c r="G474">
        <v>94</v>
      </c>
      <c r="H474">
        <v>0</v>
      </c>
      <c r="I474">
        <v>0</v>
      </c>
      <c r="J474">
        <v>9</v>
      </c>
      <c r="K474">
        <v>1</v>
      </c>
      <c r="L474">
        <v>0</v>
      </c>
      <c r="M474">
        <v>0</v>
      </c>
      <c r="N474">
        <v>0</v>
      </c>
      <c r="O474">
        <v>1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 s="1">
        <v>3</v>
      </c>
    </row>
    <row r="475" spans="1:40" x14ac:dyDescent="0.3">
      <c r="A475" t="s">
        <v>194</v>
      </c>
      <c r="B475" t="s">
        <v>200</v>
      </c>
      <c r="C475" s="3" t="s">
        <v>43</v>
      </c>
      <c r="D475">
        <v>143</v>
      </c>
      <c r="E475">
        <v>2</v>
      </c>
      <c r="F475">
        <v>0</v>
      </c>
      <c r="G475">
        <v>107</v>
      </c>
      <c r="H475">
        <v>0</v>
      </c>
      <c r="I475">
        <v>0</v>
      </c>
      <c r="J475">
        <v>9</v>
      </c>
      <c r="K475">
        <v>1</v>
      </c>
      <c r="L475">
        <v>0</v>
      </c>
      <c r="M475">
        <v>0</v>
      </c>
      <c r="N475">
        <v>0</v>
      </c>
      <c r="O475">
        <v>4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</v>
      </c>
      <c r="AA475">
        <v>0</v>
      </c>
      <c r="AB475">
        <v>0</v>
      </c>
      <c r="AC475">
        <v>0</v>
      </c>
      <c r="AD475">
        <v>4</v>
      </c>
      <c r="AE475">
        <v>0</v>
      </c>
      <c r="AF475">
        <v>0</v>
      </c>
      <c r="AG475">
        <v>0</v>
      </c>
      <c r="AH475">
        <v>0</v>
      </c>
      <c r="AI475">
        <v>9</v>
      </c>
      <c r="AJ475">
        <v>0</v>
      </c>
      <c r="AK475">
        <v>0</v>
      </c>
      <c r="AL475">
        <v>0</v>
      </c>
      <c r="AM475">
        <v>0</v>
      </c>
      <c r="AN475" s="1">
        <v>6</v>
      </c>
    </row>
    <row r="476" spans="1:40" x14ac:dyDescent="0.3">
      <c r="A476" t="s">
        <v>194</v>
      </c>
      <c r="B476" t="s">
        <v>201</v>
      </c>
      <c r="C476" s="3" t="s">
        <v>39</v>
      </c>
      <c r="D476">
        <v>98</v>
      </c>
      <c r="E476">
        <v>1</v>
      </c>
      <c r="F476">
        <v>0</v>
      </c>
      <c r="G476">
        <v>79</v>
      </c>
      <c r="H476">
        <v>1</v>
      </c>
      <c r="I476">
        <v>0</v>
      </c>
      <c r="J476">
        <v>9</v>
      </c>
      <c r="K476">
        <v>1</v>
      </c>
      <c r="L476">
        <v>0</v>
      </c>
      <c r="M476">
        <v>0</v>
      </c>
      <c r="N476">
        <v>0</v>
      </c>
      <c r="O476">
        <v>2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</v>
      </c>
      <c r="AE476">
        <v>0</v>
      </c>
      <c r="AF476">
        <v>0</v>
      </c>
      <c r="AG476">
        <v>0</v>
      </c>
      <c r="AH476">
        <v>0</v>
      </c>
      <c r="AI476">
        <v>1</v>
      </c>
      <c r="AJ476">
        <v>0</v>
      </c>
      <c r="AK476">
        <v>0</v>
      </c>
      <c r="AL476">
        <v>0</v>
      </c>
      <c r="AM476">
        <v>0</v>
      </c>
      <c r="AN476" s="1">
        <v>3</v>
      </c>
    </row>
    <row r="477" spans="1:40" x14ac:dyDescent="0.3">
      <c r="A477" t="s">
        <v>194</v>
      </c>
      <c r="B477" t="s">
        <v>201</v>
      </c>
      <c r="C477" s="3" t="s">
        <v>42</v>
      </c>
      <c r="D477">
        <v>47</v>
      </c>
      <c r="E477">
        <v>1</v>
      </c>
      <c r="F477">
        <v>0</v>
      </c>
      <c r="G477">
        <v>42</v>
      </c>
      <c r="H477">
        <v>0</v>
      </c>
      <c r="I477">
        <v>0</v>
      </c>
      <c r="J477">
        <v>3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 s="1">
        <v>1</v>
      </c>
    </row>
    <row r="478" spans="1:40" x14ac:dyDescent="0.3">
      <c r="A478" t="s">
        <v>194</v>
      </c>
      <c r="B478" t="s">
        <v>201</v>
      </c>
      <c r="C478" s="3" t="s">
        <v>43</v>
      </c>
      <c r="D478">
        <v>51</v>
      </c>
      <c r="E478">
        <v>0</v>
      </c>
      <c r="F478">
        <v>0</v>
      </c>
      <c r="G478">
        <v>37</v>
      </c>
      <c r="H478">
        <v>1</v>
      </c>
      <c r="I478">
        <v>0</v>
      </c>
      <c r="J478">
        <v>6</v>
      </c>
      <c r="K478">
        <v>1</v>
      </c>
      <c r="L478">
        <v>0</v>
      </c>
      <c r="M478">
        <v>0</v>
      </c>
      <c r="N478">
        <v>0</v>
      </c>
      <c r="O478">
        <v>2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</v>
      </c>
      <c r="AE478">
        <v>0</v>
      </c>
      <c r="AF478">
        <v>0</v>
      </c>
      <c r="AG478">
        <v>0</v>
      </c>
      <c r="AH478">
        <v>0</v>
      </c>
      <c r="AI478">
        <v>1</v>
      </c>
      <c r="AJ478">
        <v>0</v>
      </c>
      <c r="AK478">
        <v>0</v>
      </c>
      <c r="AL478">
        <v>0</v>
      </c>
      <c r="AM478">
        <v>0</v>
      </c>
      <c r="AN478" s="1">
        <v>2</v>
      </c>
    </row>
    <row r="479" spans="1:40" x14ac:dyDescent="0.3">
      <c r="A479" t="s">
        <v>194</v>
      </c>
      <c r="B479" t="s">
        <v>202</v>
      </c>
      <c r="C479" s="3" t="s">
        <v>39</v>
      </c>
      <c r="D479">
        <v>86</v>
      </c>
      <c r="E479">
        <v>3</v>
      </c>
      <c r="F479">
        <v>3</v>
      </c>
      <c r="G479">
        <v>0</v>
      </c>
      <c r="H479">
        <v>3</v>
      </c>
      <c r="I479">
        <v>0</v>
      </c>
      <c r="J479">
        <v>49</v>
      </c>
      <c r="K479">
        <v>0</v>
      </c>
      <c r="L479">
        <v>0</v>
      </c>
      <c r="M479">
        <v>0</v>
      </c>
      <c r="N479">
        <v>0</v>
      </c>
      <c r="O479">
        <v>6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2</v>
      </c>
      <c r="AF479">
        <v>3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 s="1">
        <v>17</v>
      </c>
    </row>
    <row r="480" spans="1:40" x14ac:dyDescent="0.3">
      <c r="A480" t="s">
        <v>194</v>
      </c>
      <c r="B480" t="s">
        <v>202</v>
      </c>
      <c r="C480" s="3" t="s">
        <v>42</v>
      </c>
      <c r="D480">
        <v>48</v>
      </c>
      <c r="E480">
        <v>1</v>
      </c>
      <c r="F480">
        <v>3</v>
      </c>
      <c r="G480">
        <v>0</v>
      </c>
      <c r="H480">
        <v>3</v>
      </c>
      <c r="I480">
        <v>0</v>
      </c>
      <c r="J480">
        <v>30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1</v>
      </c>
      <c r="AF480">
        <v>1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 s="1">
        <v>9</v>
      </c>
    </row>
    <row r="481" spans="1:40" x14ac:dyDescent="0.3">
      <c r="A481" t="s">
        <v>194</v>
      </c>
      <c r="B481" t="s">
        <v>202</v>
      </c>
      <c r="C481" s="3" t="s">
        <v>43</v>
      </c>
      <c r="D481">
        <v>38</v>
      </c>
      <c r="E481">
        <v>2</v>
      </c>
      <c r="F481">
        <v>0</v>
      </c>
      <c r="G481">
        <v>0</v>
      </c>
      <c r="H481">
        <v>0</v>
      </c>
      <c r="I481">
        <v>0</v>
      </c>
      <c r="J481">
        <v>19</v>
      </c>
      <c r="K481">
        <v>0</v>
      </c>
      <c r="L481">
        <v>0</v>
      </c>
      <c r="M481">
        <v>0</v>
      </c>
      <c r="N481">
        <v>0</v>
      </c>
      <c r="O481">
        <v>6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1</v>
      </c>
      <c r="AF481">
        <v>2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 s="1">
        <v>8</v>
      </c>
    </row>
    <row r="482" spans="1:40" x14ac:dyDescent="0.3">
      <c r="A482" t="s">
        <v>194</v>
      </c>
      <c r="B482" t="s">
        <v>203</v>
      </c>
      <c r="C482" s="3" t="s">
        <v>39</v>
      </c>
      <c r="D482">
        <v>62</v>
      </c>
      <c r="E482">
        <v>4</v>
      </c>
      <c r="F482">
        <v>8</v>
      </c>
      <c r="G482">
        <v>24</v>
      </c>
      <c r="H482">
        <v>3</v>
      </c>
      <c r="I482">
        <v>0</v>
      </c>
      <c r="J482">
        <v>15</v>
      </c>
      <c r="K482">
        <v>0</v>
      </c>
      <c r="L482">
        <v>0</v>
      </c>
      <c r="M482">
        <v>1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1</v>
      </c>
      <c r="AK482">
        <v>0</v>
      </c>
      <c r="AL482">
        <v>0</v>
      </c>
      <c r="AM482">
        <v>0</v>
      </c>
      <c r="AN482" s="1">
        <v>6</v>
      </c>
    </row>
    <row r="483" spans="1:40" x14ac:dyDescent="0.3">
      <c r="A483" t="s">
        <v>194</v>
      </c>
      <c r="B483" t="s">
        <v>203</v>
      </c>
      <c r="C483" s="3" t="s">
        <v>42</v>
      </c>
      <c r="D483">
        <v>47</v>
      </c>
      <c r="E483">
        <v>3</v>
      </c>
      <c r="F483">
        <v>8</v>
      </c>
      <c r="G483">
        <v>20</v>
      </c>
      <c r="H483">
        <v>3</v>
      </c>
      <c r="I483">
        <v>0</v>
      </c>
      <c r="J483">
        <v>8</v>
      </c>
      <c r="K483">
        <v>0</v>
      </c>
      <c r="L483">
        <v>0</v>
      </c>
      <c r="M483">
        <v>1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1</v>
      </c>
      <c r="AK483">
        <v>0</v>
      </c>
      <c r="AL483">
        <v>0</v>
      </c>
      <c r="AM483">
        <v>0</v>
      </c>
      <c r="AN483" s="1">
        <v>3</v>
      </c>
    </row>
    <row r="484" spans="1:40" x14ac:dyDescent="0.3">
      <c r="A484" t="s">
        <v>194</v>
      </c>
      <c r="B484" t="s">
        <v>203</v>
      </c>
      <c r="C484" s="3" t="s">
        <v>43</v>
      </c>
      <c r="D484">
        <v>15</v>
      </c>
      <c r="E484">
        <v>1</v>
      </c>
      <c r="F484">
        <v>0</v>
      </c>
      <c r="G484">
        <v>4</v>
      </c>
      <c r="H484">
        <v>0</v>
      </c>
      <c r="I484">
        <v>0</v>
      </c>
      <c r="J484">
        <v>7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 s="1">
        <v>3</v>
      </c>
    </row>
    <row r="485" spans="1:40" x14ac:dyDescent="0.3">
      <c r="A485" t="s">
        <v>194</v>
      </c>
      <c r="B485" t="s">
        <v>204</v>
      </c>
      <c r="C485" s="3" t="s">
        <v>39</v>
      </c>
      <c r="D485">
        <v>57</v>
      </c>
      <c r="E485">
        <v>0</v>
      </c>
      <c r="F485">
        <v>0</v>
      </c>
      <c r="G485">
        <v>0</v>
      </c>
      <c r="H485">
        <v>1</v>
      </c>
      <c r="I485">
        <v>0</v>
      </c>
      <c r="J485">
        <v>37</v>
      </c>
      <c r="K485">
        <v>1</v>
      </c>
      <c r="L485">
        <v>0</v>
      </c>
      <c r="M485">
        <v>1</v>
      </c>
      <c r="N485">
        <v>0</v>
      </c>
      <c r="O485">
        <v>6</v>
      </c>
      <c r="P485">
        <v>0</v>
      </c>
      <c r="Q485">
        <v>1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1</v>
      </c>
      <c r="AK485">
        <v>0</v>
      </c>
      <c r="AL485">
        <v>0</v>
      </c>
      <c r="AM485">
        <v>0</v>
      </c>
      <c r="AN485" s="1">
        <v>9</v>
      </c>
    </row>
    <row r="486" spans="1:40" x14ac:dyDescent="0.3">
      <c r="A486" t="s">
        <v>194</v>
      </c>
      <c r="B486" t="s">
        <v>204</v>
      </c>
      <c r="C486" s="3" t="s">
        <v>42</v>
      </c>
      <c r="D486">
        <v>34</v>
      </c>
      <c r="E486">
        <v>0</v>
      </c>
      <c r="F486">
        <v>0</v>
      </c>
      <c r="G486">
        <v>0</v>
      </c>
      <c r="H486">
        <v>1</v>
      </c>
      <c r="I486">
        <v>0</v>
      </c>
      <c r="J486">
        <v>19</v>
      </c>
      <c r="K486">
        <v>1</v>
      </c>
      <c r="L486">
        <v>0</v>
      </c>
      <c r="M486">
        <v>0</v>
      </c>
      <c r="N486">
        <v>0</v>
      </c>
      <c r="O486">
        <v>6</v>
      </c>
      <c r="P486">
        <v>0</v>
      </c>
      <c r="Q486">
        <v>1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1</v>
      </c>
      <c r="AK486">
        <v>0</v>
      </c>
      <c r="AL486">
        <v>0</v>
      </c>
      <c r="AM486">
        <v>0</v>
      </c>
      <c r="AN486" s="1">
        <v>5</v>
      </c>
    </row>
    <row r="487" spans="1:40" x14ac:dyDescent="0.3">
      <c r="A487" t="s">
        <v>194</v>
      </c>
      <c r="B487" t="s">
        <v>204</v>
      </c>
      <c r="C487" s="3" t="s">
        <v>43</v>
      </c>
      <c r="D487">
        <v>23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18</v>
      </c>
      <c r="K487">
        <v>0</v>
      </c>
      <c r="L487">
        <v>0</v>
      </c>
      <c r="M487">
        <v>1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 s="1">
        <v>4</v>
      </c>
    </row>
    <row r="488" spans="1:40" x14ac:dyDescent="0.3">
      <c r="A488" t="s">
        <v>194</v>
      </c>
      <c r="B488" t="s">
        <v>205</v>
      </c>
      <c r="C488" s="3" t="s">
        <v>39</v>
      </c>
      <c r="D488">
        <v>56</v>
      </c>
      <c r="E488">
        <v>4</v>
      </c>
      <c r="F488">
        <v>8</v>
      </c>
      <c r="G488">
        <v>0</v>
      </c>
      <c r="H488">
        <v>1</v>
      </c>
      <c r="I488">
        <v>0</v>
      </c>
      <c r="J488">
        <v>34</v>
      </c>
      <c r="K488">
        <v>1</v>
      </c>
      <c r="L488">
        <v>0</v>
      </c>
      <c r="M488">
        <v>0</v>
      </c>
      <c r="N488">
        <v>0</v>
      </c>
      <c r="O488">
        <v>1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 s="1">
        <v>6</v>
      </c>
    </row>
    <row r="489" spans="1:40" x14ac:dyDescent="0.3">
      <c r="A489" t="s">
        <v>194</v>
      </c>
      <c r="B489" t="s">
        <v>205</v>
      </c>
      <c r="C489" s="3" t="s">
        <v>42</v>
      </c>
      <c r="D489">
        <v>30</v>
      </c>
      <c r="E489">
        <v>2</v>
      </c>
      <c r="F489">
        <v>4</v>
      </c>
      <c r="G489">
        <v>0</v>
      </c>
      <c r="H489">
        <v>1</v>
      </c>
      <c r="I489">
        <v>0</v>
      </c>
      <c r="J489">
        <v>18</v>
      </c>
      <c r="K489">
        <v>1</v>
      </c>
      <c r="L489">
        <v>0</v>
      </c>
      <c r="M489">
        <v>0</v>
      </c>
      <c r="N489">
        <v>0</v>
      </c>
      <c r="O489">
        <v>1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 s="1">
        <v>2</v>
      </c>
    </row>
    <row r="490" spans="1:40" x14ac:dyDescent="0.3">
      <c r="A490" t="s">
        <v>194</v>
      </c>
      <c r="B490" t="s">
        <v>205</v>
      </c>
      <c r="C490" s="3" t="s">
        <v>43</v>
      </c>
      <c r="D490">
        <v>26</v>
      </c>
      <c r="E490">
        <v>2</v>
      </c>
      <c r="F490">
        <v>4</v>
      </c>
      <c r="G490">
        <v>0</v>
      </c>
      <c r="H490">
        <v>0</v>
      </c>
      <c r="I490">
        <v>0</v>
      </c>
      <c r="J490">
        <v>16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 s="1">
        <v>4</v>
      </c>
    </row>
    <row r="491" spans="1:40" x14ac:dyDescent="0.3">
      <c r="A491" t="s">
        <v>194</v>
      </c>
      <c r="B491" t="s">
        <v>206</v>
      </c>
      <c r="C491" s="3" t="s">
        <v>39</v>
      </c>
      <c r="D491">
        <v>54</v>
      </c>
      <c r="E491">
        <v>1</v>
      </c>
      <c r="F491">
        <v>3</v>
      </c>
      <c r="G491">
        <v>0</v>
      </c>
      <c r="H491">
        <v>1</v>
      </c>
      <c r="I491">
        <v>0</v>
      </c>
      <c r="J491">
        <v>31</v>
      </c>
      <c r="K491">
        <v>0</v>
      </c>
      <c r="L491">
        <v>0</v>
      </c>
      <c r="M491">
        <v>2</v>
      </c>
      <c r="N491">
        <v>0</v>
      </c>
      <c r="O491">
        <v>12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1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 s="1">
        <v>2</v>
      </c>
    </row>
    <row r="492" spans="1:40" x14ac:dyDescent="0.3">
      <c r="A492" t="s">
        <v>194</v>
      </c>
      <c r="B492" t="s">
        <v>206</v>
      </c>
      <c r="C492" s="3" t="s">
        <v>42</v>
      </c>
      <c r="D492">
        <v>37</v>
      </c>
      <c r="E492">
        <v>1</v>
      </c>
      <c r="F492">
        <v>3</v>
      </c>
      <c r="G492">
        <v>0</v>
      </c>
      <c r="H492">
        <v>1</v>
      </c>
      <c r="I492">
        <v>0</v>
      </c>
      <c r="J492">
        <v>22</v>
      </c>
      <c r="K492">
        <v>0</v>
      </c>
      <c r="L492">
        <v>0</v>
      </c>
      <c r="M492">
        <v>1</v>
      </c>
      <c r="N492">
        <v>0</v>
      </c>
      <c r="O492">
        <v>7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 s="1">
        <v>1</v>
      </c>
    </row>
    <row r="493" spans="1:40" x14ac:dyDescent="0.3">
      <c r="A493" t="s">
        <v>194</v>
      </c>
      <c r="B493" t="s">
        <v>206</v>
      </c>
      <c r="C493" s="3" t="s">
        <v>43</v>
      </c>
      <c r="D493">
        <v>17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9</v>
      </c>
      <c r="K493">
        <v>0</v>
      </c>
      <c r="L493">
        <v>0</v>
      </c>
      <c r="M493">
        <v>1</v>
      </c>
      <c r="N493">
        <v>0</v>
      </c>
      <c r="O493">
        <v>5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1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 s="1">
        <v>1</v>
      </c>
    </row>
    <row r="494" spans="1:40" x14ac:dyDescent="0.3">
      <c r="A494" t="s">
        <v>194</v>
      </c>
      <c r="B494" t="s">
        <v>207</v>
      </c>
      <c r="C494" s="3" t="s">
        <v>39</v>
      </c>
      <c r="D494">
        <v>53</v>
      </c>
      <c r="E494">
        <v>0</v>
      </c>
      <c r="F494">
        <v>0</v>
      </c>
      <c r="G494">
        <v>0</v>
      </c>
      <c r="H494">
        <v>50</v>
      </c>
      <c r="I494">
        <v>0</v>
      </c>
      <c r="J494">
        <v>1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1</v>
      </c>
      <c r="AN494" s="1">
        <v>1</v>
      </c>
    </row>
    <row r="495" spans="1:40" x14ac:dyDescent="0.3">
      <c r="A495" t="s">
        <v>194</v>
      </c>
      <c r="B495" t="s">
        <v>207</v>
      </c>
      <c r="C495" s="3" t="s">
        <v>42</v>
      </c>
      <c r="D495">
        <v>26</v>
      </c>
      <c r="E495">
        <v>0</v>
      </c>
      <c r="F495">
        <v>0</v>
      </c>
      <c r="G495">
        <v>0</v>
      </c>
      <c r="H495">
        <v>23</v>
      </c>
      <c r="I495">
        <v>0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1</v>
      </c>
      <c r="AN495" s="1">
        <v>1</v>
      </c>
    </row>
    <row r="496" spans="1:40" x14ac:dyDescent="0.3">
      <c r="A496" t="s">
        <v>194</v>
      </c>
      <c r="B496" t="s">
        <v>207</v>
      </c>
      <c r="C496" s="3" t="s">
        <v>43</v>
      </c>
      <c r="D496">
        <v>27</v>
      </c>
      <c r="E496">
        <v>0</v>
      </c>
      <c r="F496">
        <v>0</v>
      </c>
      <c r="G496">
        <v>0</v>
      </c>
      <c r="H496">
        <v>27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 s="1">
        <v>0</v>
      </c>
    </row>
    <row r="497" spans="1:40" x14ac:dyDescent="0.3">
      <c r="A497" t="s">
        <v>194</v>
      </c>
      <c r="B497" t="s">
        <v>208</v>
      </c>
      <c r="C497" s="3" t="s">
        <v>39</v>
      </c>
      <c r="D497">
        <v>51</v>
      </c>
      <c r="E497">
        <v>0</v>
      </c>
      <c r="F497">
        <v>2</v>
      </c>
      <c r="G497">
        <v>0</v>
      </c>
      <c r="H497">
        <v>8</v>
      </c>
      <c r="I497">
        <v>0</v>
      </c>
      <c r="J497">
        <v>24</v>
      </c>
      <c r="K497">
        <v>1</v>
      </c>
      <c r="L497">
        <v>0</v>
      </c>
      <c r="M497">
        <v>0</v>
      </c>
      <c r="N497">
        <v>0</v>
      </c>
      <c r="O497">
        <v>2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  <c r="AE497">
        <v>0</v>
      </c>
      <c r="AF497">
        <v>1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 s="1">
        <v>12</v>
      </c>
    </row>
    <row r="498" spans="1:40" x14ac:dyDescent="0.3">
      <c r="A498" t="s">
        <v>194</v>
      </c>
      <c r="B498" t="s">
        <v>208</v>
      </c>
      <c r="C498" s="3" t="s">
        <v>42</v>
      </c>
      <c r="D498">
        <v>30</v>
      </c>
      <c r="E498">
        <v>0</v>
      </c>
      <c r="F498">
        <v>2</v>
      </c>
      <c r="G498">
        <v>0</v>
      </c>
      <c r="H498">
        <v>7</v>
      </c>
      <c r="I498">
        <v>0</v>
      </c>
      <c r="J498">
        <v>14</v>
      </c>
      <c r="K498">
        <v>1</v>
      </c>
      <c r="L498">
        <v>0</v>
      </c>
      <c r="M498">
        <v>0</v>
      </c>
      <c r="N498">
        <v>0</v>
      </c>
      <c r="O498">
        <v>1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1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 s="1">
        <v>4</v>
      </c>
    </row>
    <row r="499" spans="1:40" x14ac:dyDescent="0.3">
      <c r="A499" t="s">
        <v>194</v>
      </c>
      <c r="B499" t="s">
        <v>208</v>
      </c>
      <c r="C499" s="3" t="s">
        <v>43</v>
      </c>
      <c r="D499">
        <v>21</v>
      </c>
      <c r="E499">
        <v>0</v>
      </c>
      <c r="F499">
        <v>0</v>
      </c>
      <c r="G499">
        <v>0</v>
      </c>
      <c r="H499">
        <v>1</v>
      </c>
      <c r="I499">
        <v>0</v>
      </c>
      <c r="J499">
        <v>10</v>
      </c>
      <c r="K499">
        <v>0</v>
      </c>
      <c r="L499">
        <v>0</v>
      </c>
      <c r="M499">
        <v>0</v>
      </c>
      <c r="N499">
        <v>0</v>
      </c>
      <c r="O499">
        <v>1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 s="1">
        <v>8</v>
      </c>
    </row>
    <row r="500" spans="1:40" x14ac:dyDescent="0.3">
      <c r="A500" t="s">
        <v>194</v>
      </c>
      <c r="B500" t="s">
        <v>209</v>
      </c>
      <c r="C500" s="3" t="s">
        <v>39</v>
      </c>
      <c r="D500">
        <v>51</v>
      </c>
      <c r="E500">
        <v>1</v>
      </c>
      <c r="F500">
        <v>0</v>
      </c>
      <c r="G500">
        <v>0</v>
      </c>
      <c r="H500">
        <v>12</v>
      </c>
      <c r="I500">
        <v>0</v>
      </c>
      <c r="J500">
        <v>34</v>
      </c>
      <c r="K500">
        <v>0</v>
      </c>
      <c r="L500">
        <v>0</v>
      </c>
      <c r="M500">
        <v>0</v>
      </c>
      <c r="N500">
        <v>0</v>
      </c>
      <c r="O500">
        <v>1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1</v>
      </c>
      <c r="AF500">
        <v>1</v>
      </c>
      <c r="AG500">
        <v>0</v>
      </c>
      <c r="AH500">
        <v>0</v>
      </c>
      <c r="AI500">
        <v>1</v>
      </c>
      <c r="AJ500">
        <v>0</v>
      </c>
      <c r="AK500">
        <v>0</v>
      </c>
      <c r="AL500">
        <v>0</v>
      </c>
      <c r="AM500">
        <v>0</v>
      </c>
      <c r="AN500" s="1">
        <v>0</v>
      </c>
    </row>
    <row r="501" spans="1:40" x14ac:dyDescent="0.3">
      <c r="A501" t="s">
        <v>194</v>
      </c>
      <c r="B501" t="s">
        <v>209</v>
      </c>
      <c r="C501" s="3" t="s">
        <v>42</v>
      </c>
      <c r="D501">
        <v>36</v>
      </c>
      <c r="E501">
        <v>1</v>
      </c>
      <c r="F501">
        <v>0</v>
      </c>
      <c r="G501">
        <v>0</v>
      </c>
      <c r="H501">
        <v>12</v>
      </c>
      <c r="I501">
        <v>0</v>
      </c>
      <c r="J501">
        <v>23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 s="1">
        <v>0</v>
      </c>
    </row>
    <row r="502" spans="1:40" x14ac:dyDescent="0.3">
      <c r="A502" t="s">
        <v>194</v>
      </c>
      <c r="B502" t="s">
        <v>209</v>
      </c>
      <c r="C502" s="3" t="s">
        <v>43</v>
      </c>
      <c r="D502">
        <v>15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11</v>
      </c>
      <c r="K502">
        <v>0</v>
      </c>
      <c r="L502">
        <v>0</v>
      </c>
      <c r="M502">
        <v>0</v>
      </c>
      <c r="N502">
        <v>0</v>
      </c>
      <c r="O502">
        <v>1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1</v>
      </c>
      <c r="AF502">
        <v>1</v>
      </c>
      <c r="AG502">
        <v>0</v>
      </c>
      <c r="AH502">
        <v>0</v>
      </c>
      <c r="AI502">
        <v>1</v>
      </c>
      <c r="AJ502">
        <v>0</v>
      </c>
      <c r="AK502">
        <v>0</v>
      </c>
      <c r="AL502">
        <v>0</v>
      </c>
      <c r="AM502">
        <v>0</v>
      </c>
      <c r="AN502" s="1">
        <v>0</v>
      </c>
    </row>
    <row r="503" spans="1:40" x14ac:dyDescent="0.3">
      <c r="A503" t="s">
        <v>194</v>
      </c>
      <c r="B503" t="s">
        <v>210</v>
      </c>
      <c r="C503" s="3" t="s">
        <v>39</v>
      </c>
      <c r="D503">
        <v>47</v>
      </c>
      <c r="E503">
        <v>2</v>
      </c>
      <c r="F503">
        <v>0</v>
      </c>
      <c r="G503">
        <v>0</v>
      </c>
      <c r="H503">
        <v>1</v>
      </c>
      <c r="I503">
        <v>0</v>
      </c>
      <c r="J503">
        <v>31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1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 s="1">
        <v>11</v>
      </c>
    </row>
    <row r="504" spans="1:40" x14ac:dyDescent="0.3">
      <c r="A504" t="s">
        <v>194</v>
      </c>
      <c r="B504" t="s">
        <v>210</v>
      </c>
      <c r="C504" s="3" t="s">
        <v>42</v>
      </c>
      <c r="D504">
        <v>43</v>
      </c>
      <c r="E504">
        <v>1</v>
      </c>
      <c r="F504">
        <v>0</v>
      </c>
      <c r="G504">
        <v>0</v>
      </c>
      <c r="H504">
        <v>1</v>
      </c>
      <c r="I504">
        <v>0</v>
      </c>
      <c r="J504">
        <v>28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1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 s="1">
        <v>11</v>
      </c>
    </row>
    <row r="505" spans="1:40" x14ac:dyDescent="0.3">
      <c r="A505" t="s">
        <v>194</v>
      </c>
      <c r="B505" t="s">
        <v>210</v>
      </c>
      <c r="C505" s="3" t="s">
        <v>43</v>
      </c>
      <c r="D505">
        <v>4</v>
      </c>
      <c r="E505">
        <v>1</v>
      </c>
      <c r="F505">
        <v>0</v>
      </c>
      <c r="G505">
        <v>0</v>
      </c>
      <c r="H505">
        <v>0</v>
      </c>
      <c r="I505">
        <v>0</v>
      </c>
      <c r="J505">
        <v>3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 s="1">
        <v>0</v>
      </c>
    </row>
    <row r="506" spans="1:40" x14ac:dyDescent="0.3">
      <c r="A506" t="s">
        <v>194</v>
      </c>
      <c r="B506" t="s">
        <v>211</v>
      </c>
      <c r="C506" s="3" t="s">
        <v>39</v>
      </c>
      <c r="D506">
        <v>45</v>
      </c>
      <c r="E506">
        <v>0</v>
      </c>
      <c r="F506">
        <v>0</v>
      </c>
      <c r="G506">
        <v>0</v>
      </c>
      <c r="H506">
        <v>3</v>
      </c>
      <c r="I506">
        <v>0</v>
      </c>
      <c r="J506">
        <v>36</v>
      </c>
      <c r="K506">
        <v>0</v>
      </c>
      <c r="L506">
        <v>0</v>
      </c>
      <c r="M506">
        <v>0</v>
      </c>
      <c r="N506">
        <v>0</v>
      </c>
      <c r="O506">
        <v>3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3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 s="1">
        <v>0</v>
      </c>
    </row>
    <row r="507" spans="1:40" x14ac:dyDescent="0.3">
      <c r="A507" t="s">
        <v>194</v>
      </c>
      <c r="B507" t="s">
        <v>211</v>
      </c>
      <c r="C507" s="3" t="s">
        <v>42</v>
      </c>
      <c r="D507">
        <v>26</v>
      </c>
      <c r="E507">
        <v>0</v>
      </c>
      <c r="F507">
        <v>0</v>
      </c>
      <c r="G507">
        <v>0</v>
      </c>
      <c r="H507">
        <v>1</v>
      </c>
      <c r="I507">
        <v>0</v>
      </c>
      <c r="J507">
        <v>22</v>
      </c>
      <c r="K507">
        <v>0</v>
      </c>
      <c r="L507">
        <v>0</v>
      </c>
      <c r="M507">
        <v>0</v>
      </c>
      <c r="N507">
        <v>0</v>
      </c>
      <c r="O507">
        <v>2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1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 s="1">
        <v>0</v>
      </c>
    </row>
    <row r="508" spans="1:40" x14ac:dyDescent="0.3">
      <c r="A508" t="s">
        <v>194</v>
      </c>
      <c r="B508" t="s">
        <v>211</v>
      </c>
      <c r="C508" s="3" t="s">
        <v>43</v>
      </c>
      <c r="D508">
        <v>19</v>
      </c>
      <c r="E508">
        <v>0</v>
      </c>
      <c r="F508">
        <v>0</v>
      </c>
      <c r="G508">
        <v>0</v>
      </c>
      <c r="H508">
        <v>2</v>
      </c>
      <c r="I508">
        <v>0</v>
      </c>
      <c r="J508">
        <v>14</v>
      </c>
      <c r="K508">
        <v>0</v>
      </c>
      <c r="L508">
        <v>0</v>
      </c>
      <c r="M508">
        <v>0</v>
      </c>
      <c r="N508">
        <v>0</v>
      </c>
      <c r="O508">
        <v>1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2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 s="1">
        <v>0</v>
      </c>
    </row>
    <row r="509" spans="1:40" x14ac:dyDescent="0.3">
      <c r="A509" t="s">
        <v>194</v>
      </c>
      <c r="B509" t="s">
        <v>212</v>
      </c>
      <c r="C509" s="3" t="s">
        <v>39</v>
      </c>
      <c r="D509">
        <v>44</v>
      </c>
      <c r="E509">
        <v>2</v>
      </c>
      <c r="F509">
        <v>8</v>
      </c>
      <c r="G509">
        <v>0</v>
      </c>
      <c r="H509">
        <v>3</v>
      </c>
      <c r="I509">
        <v>0</v>
      </c>
      <c r="J509">
        <v>27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 s="1">
        <v>4</v>
      </c>
    </row>
    <row r="510" spans="1:40" x14ac:dyDescent="0.3">
      <c r="A510" t="s">
        <v>194</v>
      </c>
      <c r="B510" t="s">
        <v>212</v>
      </c>
      <c r="C510" s="3" t="s">
        <v>42</v>
      </c>
      <c r="D510">
        <v>37</v>
      </c>
      <c r="E510">
        <v>1</v>
      </c>
      <c r="F510">
        <v>7</v>
      </c>
      <c r="G510">
        <v>0</v>
      </c>
      <c r="H510">
        <v>3</v>
      </c>
      <c r="I510">
        <v>0</v>
      </c>
      <c r="J510">
        <v>25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 s="1">
        <v>1</v>
      </c>
    </row>
    <row r="511" spans="1:40" x14ac:dyDescent="0.3">
      <c r="A511" t="s">
        <v>194</v>
      </c>
      <c r="B511" t="s">
        <v>212</v>
      </c>
      <c r="C511" s="3" t="s">
        <v>43</v>
      </c>
      <c r="D511">
        <v>7</v>
      </c>
      <c r="E511">
        <v>1</v>
      </c>
      <c r="F511">
        <v>1</v>
      </c>
      <c r="G511">
        <v>0</v>
      </c>
      <c r="H511">
        <v>0</v>
      </c>
      <c r="I511">
        <v>0</v>
      </c>
      <c r="J511">
        <v>2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 s="1">
        <v>3</v>
      </c>
    </row>
    <row r="512" spans="1:40" x14ac:dyDescent="0.3">
      <c r="A512" t="s">
        <v>194</v>
      </c>
      <c r="B512" t="s">
        <v>213</v>
      </c>
      <c r="C512" s="3" t="s">
        <v>39</v>
      </c>
      <c r="D512">
        <v>42</v>
      </c>
      <c r="E512">
        <v>0</v>
      </c>
      <c r="F512">
        <v>0</v>
      </c>
      <c r="G512">
        <v>0</v>
      </c>
      <c r="H512">
        <v>5</v>
      </c>
      <c r="I512">
        <v>0</v>
      </c>
      <c r="J512">
        <v>29</v>
      </c>
      <c r="K512">
        <v>0</v>
      </c>
      <c r="L512">
        <v>0</v>
      </c>
      <c r="M512">
        <v>0</v>
      </c>
      <c r="N512">
        <v>0</v>
      </c>
      <c r="O512">
        <v>3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1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 s="1">
        <v>4</v>
      </c>
    </row>
    <row r="513" spans="1:40" x14ac:dyDescent="0.3">
      <c r="A513" t="s">
        <v>194</v>
      </c>
      <c r="B513" t="s">
        <v>213</v>
      </c>
      <c r="C513" s="3" t="s">
        <v>42</v>
      </c>
      <c r="D513">
        <v>25</v>
      </c>
      <c r="E513">
        <v>0</v>
      </c>
      <c r="F513">
        <v>0</v>
      </c>
      <c r="G513">
        <v>0</v>
      </c>
      <c r="H513">
        <v>5</v>
      </c>
      <c r="I513">
        <v>0</v>
      </c>
      <c r="J513">
        <v>17</v>
      </c>
      <c r="K513">
        <v>0</v>
      </c>
      <c r="L513">
        <v>0</v>
      </c>
      <c r="M513">
        <v>0</v>
      </c>
      <c r="N513">
        <v>0</v>
      </c>
      <c r="O513">
        <v>2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 s="1">
        <v>1</v>
      </c>
    </row>
    <row r="514" spans="1:40" x14ac:dyDescent="0.3">
      <c r="A514" t="s">
        <v>194</v>
      </c>
      <c r="B514" t="s">
        <v>213</v>
      </c>
      <c r="C514" s="3" t="s">
        <v>43</v>
      </c>
      <c r="D514">
        <v>17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12</v>
      </c>
      <c r="K514">
        <v>0</v>
      </c>
      <c r="L514">
        <v>0</v>
      </c>
      <c r="M514">
        <v>0</v>
      </c>
      <c r="N514">
        <v>0</v>
      </c>
      <c r="O514">
        <v>1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1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 s="1">
        <v>3</v>
      </c>
    </row>
    <row r="515" spans="1:40" x14ac:dyDescent="0.3">
      <c r="A515" t="s">
        <v>194</v>
      </c>
      <c r="B515" t="s">
        <v>214</v>
      </c>
      <c r="C515" s="3" t="s">
        <v>39</v>
      </c>
      <c r="D515">
        <v>21</v>
      </c>
      <c r="E515">
        <v>4</v>
      </c>
      <c r="F515">
        <v>0</v>
      </c>
      <c r="G515">
        <v>0</v>
      </c>
      <c r="H515">
        <v>2</v>
      </c>
      <c r="I515">
        <v>0</v>
      </c>
      <c r="J515">
        <v>14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 s="1">
        <v>0</v>
      </c>
    </row>
    <row r="516" spans="1:40" x14ac:dyDescent="0.3">
      <c r="A516" t="s">
        <v>194</v>
      </c>
      <c r="B516" t="s">
        <v>214</v>
      </c>
      <c r="C516" s="3" t="s">
        <v>42</v>
      </c>
      <c r="D516">
        <v>13</v>
      </c>
      <c r="E516">
        <v>2</v>
      </c>
      <c r="F516">
        <v>0</v>
      </c>
      <c r="G516">
        <v>0</v>
      </c>
      <c r="H516">
        <v>1</v>
      </c>
      <c r="I516">
        <v>0</v>
      </c>
      <c r="J516">
        <v>9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 s="1">
        <v>0</v>
      </c>
    </row>
    <row r="517" spans="1:40" x14ac:dyDescent="0.3">
      <c r="A517" t="s">
        <v>194</v>
      </c>
      <c r="B517" t="s">
        <v>214</v>
      </c>
      <c r="C517" s="3" t="s">
        <v>43</v>
      </c>
      <c r="D517">
        <v>8</v>
      </c>
      <c r="E517">
        <v>2</v>
      </c>
      <c r="F517">
        <v>0</v>
      </c>
      <c r="G517">
        <v>0</v>
      </c>
      <c r="H517">
        <v>1</v>
      </c>
      <c r="I517">
        <v>0</v>
      </c>
      <c r="J517">
        <v>5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 s="1">
        <v>0</v>
      </c>
    </row>
    <row r="518" spans="1:40" x14ac:dyDescent="0.3">
      <c r="A518" t="s">
        <v>194</v>
      </c>
      <c r="B518" t="s">
        <v>215</v>
      </c>
      <c r="C518" s="3" t="s">
        <v>39</v>
      </c>
      <c r="D518">
        <v>20</v>
      </c>
      <c r="E518">
        <v>0</v>
      </c>
      <c r="F518">
        <v>0</v>
      </c>
      <c r="G518">
        <v>0</v>
      </c>
      <c r="H518">
        <v>10</v>
      </c>
      <c r="I518">
        <v>0</v>
      </c>
      <c r="J518">
        <v>9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 s="1">
        <v>1</v>
      </c>
    </row>
    <row r="519" spans="1:40" x14ac:dyDescent="0.3">
      <c r="A519" t="s">
        <v>194</v>
      </c>
      <c r="B519" t="s">
        <v>215</v>
      </c>
      <c r="C519" s="3" t="s">
        <v>42</v>
      </c>
      <c r="D519">
        <v>16</v>
      </c>
      <c r="E519">
        <v>0</v>
      </c>
      <c r="F519">
        <v>0</v>
      </c>
      <c r="G519">
        <v>0</v>
      </c>
      <c r="H519">
        <v>10</v>
      </c>
      <c r="I519">
        <v>0</v>
      </c>
      <c r="J519">
        <v>6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 s="1">
        <v>0</v>
      </c>
    </row>
    <row r="520" spans="1:40" x14ac:dyDescent="0.3">
      <c r="A520" t="s">
        <v>194</v>
      </c>
      <c r="B520" t="s">
        <v>215</v>
      </c>
      <c r="C520" s="3" t="s">
        <v>43</v>
      </c>
      <c r="D520">
        <v>4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3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 s="1">
        <v>1</v>
      </c>
    </row>
    <row r="521" spans="1:40" x14ac:dyDescent="0.3">
      <c r="A521" t="s">
        <v>194</v>
      </c>
      <c r="B521" t="s">
        <v>216</v>
      </c>
      <c r="C521" s="3" t="s">
        <v>39</v>
      </c>
      <c r="D521">
        <v>17</v>
      </c>
      <c r="E521">
        <v>0</v>
      </c>
      <c r="F521">
        <v>0</v>
      </c>
      <c r="G521">
        <v>0</v>
      </c>
      <c r="H521">
        <v>1</v>
      </c>
      <c r="I521">
        <v>0</v>
      </c>
      <c r="J521">
        <v>13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1</v>
      </c>
      <c r="AK521">
        <v>0</v>
      </c>
      <c r="AL521">
        <v>0</v>
      </c>
      <c r="AM521">
        <v>0</v>
      </c>
      <c r="AN521" s="1">
        <v>2</v>
      </c>
    </row>
    <row r="522" spans="1:40" x14ac:dyDescent="0.3">
      <c r="A522" t="s">
        <v>194</v>
      </c>
      <c r="B522" t="s">
        <v>216</v>
      </c>
      <c r="C522" s="3" t="s">
        <v>42</v>
      </c>
      <c r="D522">
        <v>13</v>
      </c>
      <c r="E522">
        <v>0</v>
      </c>
      <c r="F522">
        <v>0</v>
      </c>
      <c r="G522">
        <v>0</v>
      </c>
      <c r="H522">
        <v>1</v>
      </c>
      <c r="I522">
        <v>0</v>
      </c>
      <c r="J522">
        <v>10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 s="1">
        <v>2</v>
      </c>
    </row>
    <row r="523" spans="1:40" x14ac:dyDescent="0.3">
      <c r="A523" t="s">
        <v>194</v>
      </c>
      <c r="B523" t="s">
        <v>216</v>
      </c>
      <c r="C523" s="3" t="s">
        <v>43</v>
      </c>
      <c r="D523">
        <v>4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3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1</v>
      </c>
      <c r="AK523">
        <v>0</v>
      </c>
      <c r="AL523">
        <v>0</v>
      </c>
      <c r="AM523">
        <v>0</v>
      </c>
      <c r="AN523" s="1">
        <v>0</v>
      </c>
    </row>
    <row r="524" spans="1:40" x14ac:dyDescent="0.3">
      <c r="A524" t="s">
        <v>194</v>
      </c>
      <c r="B524" t="s">
        <v>217</v>
      </c>
      <c r="C524" s="3" t="s">
        <v>39</v>
      </c>
      <c r="D524">
        <v>17</v>
      </c>
      <c r="E524">
        <v>2</v>
      </c>
      <c r="F524">
        <v>0</v>
      </c>
      <c r="G524">
        <v>0</v>
      </c>
      <c r="H524">
        <v>2</v>
      </c>
      <c r="I524">
        <v>0</v>
      </c>
      <c r="J524">
        <v>13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 s="1">
        <v>0</v>
      </c>
    </row>
    <row r="525" spans="1:40" x14ac:dyDescent="0.3">
      <c r="A525" t="s">
        <v>194</v>
      </c>
      <c r="B525" t="s">
        <v>217</v>
      </c>
      <c r="C525" s="3" t="s">
        <v>42</v>
      </c>
      <c r="D525">
        <v>15</v>
      </c>
      <c r="E525">
        <v>2</v>
      </c>
      <c r="F525">
        <v>0</v>
      </c>
      <c r="G525">
        <v>0</v>
      </c>
      <c r="H525">
        <v>2</v>
      </c>
      <c r="I525">
        <v>0</v>
      </c>
      <c r="J525">
        <v>11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 s="1">
        <v>0</v>
      </c>
    </row>
    <row r="526" spans="1:40" x14ac:dyDescent="0.3">
      <c r="A526" t="s">
        <v>194</v>
      </c>
      <c r="B526" t="s">
        <v>217</v>
      </c>
      <c r="C526" s="3" t="s">
        <v>43</v>
      </c>
      <c r="D526">
        <v>2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2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 s="1">
        <v>0</v>
      </c>
    </row>
    <row r="527" spans="1:40" x14ac:dyDescent="0.3">
      <c r="A527" t="s">
        <v>194</v>
      </c>
      <c r="B527" t="s">
        <v>218</v>
      </c>
      <c r="C527" s="3" t="s">
        <v>39</v>
      </c>
      <c r="D527">
        <v>16</v>
      </c>
      <c r="E527">
        <v>0</v>
      </c>
      <c r="F527">
        <v>0</v>
      </c>
      <c r="G527">
        <v>0</v>
      </c>
      <c r="H527">
        <v>3</v>
      </c>
      <c r="I527">
        <v>0</v>
      </c>
      <c r="J527">
        <v>5</v>
      </c>
      <c r="K527">
        <v>0</v>
      </c>
      <c r="L527">
        <v>0</v>
      </c>
      <c r="M527">
        <v>0</v>
      </c>
      <c r="N527">
        <v>0</v>
      </c>
      <c r="O527">
        <v>1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3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 s="1">
        <v>4</v>
      </c>
    </row>
    <row r="528" spans="1:40" x14ac:dyDescent="0.3">
      <c r="A528" t="s">
        <v>194</v>
      </c>
      <c r="B528" t="s">
        <v>218</v>
      </c>
      <c r="C528" s="3" t="s">
        <v>42</v>
      </c>
      <c r="D528">
        <v>11</v>
      </c>
      <c r="E528">
        <v>0</v>
      </c>
      <c r="F528">
        <v>0</v>
      </c>
      <c r="G528">
        <v>0</v>
      </c>
      <c r="H528">
        <v>2</v>
      </c>
      <c r="I528">
        <v>0</v>
      </c>
      <c r="J528">
        <v>5</v>
      </c>
      <c r="K528">
        <v>0</v>
      </c>
      <c r="L528">
        <v>0</v>
      </c>
      <c r="M528">
        <v>0</v>
      </c>
      <c r="N528">
        <v>0</v>
      </c>
      <c r="O528">
        <v>1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2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 s="1">
        <v>1</v>
      </c>
    </row>
    <row r="529" spans="1:40" x14ac:dyDescent="0.3">
      <c r="A529" t="s">
        <v>194</v>
      </c>
      <c r="B529" t="s">
        <v>218</v>
      </c>
      <c r="C529" s="3" t="s">
        <v>43</v>
      </c>
      <c r="D529">
        <v>5</v>
      </c>
      <c r="E529">
        <v>0</v>
      </c>
      <c r="F529">
        <v>0</v>
      </c>
      <c r="G529">
        <v>0</v>
      </c>
      <c r="H529">
        <v>1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1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 s="1">
        <v>3</v>
      </c>
    </row>
    <row r="530" spans="1:40" x14ac:dyDescent="0.3">
      <c r="A530" t="s">
        <v>194</v>
      </c>
      <c r="B530" t="s">
        <v>219</v>
      </c>
      <c r="C530" s="3" t="s">
        <v>39</v>
      </c>
      <c r="D530">
        <v>15</v>
      </c>
      <c r="E530">
        <v>7</v>
      </c>
      <c r="F530">
        <v>0</v>
      </c>
      <c r="G530">
        <v>0</v>
      </c>
      <c r="H530">
        <v>1</v>
      </c>
      <c r="I530">
        <v>0</v>
      </c>
      <c r="J530">
        <v>4</v>
      </c>
      <c r="K530">
        <v>0</v>
      </c>
      <c r="L530">
        <v>0</v>
      </c>
      <c r="M530">
        <v>0</v>
      </c>
      <c r="N530">
        <v>0</v>
      </c>
      <c r="O530">
        <v>3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 s="1">
        <v>0</v>
      </c>
    </row>
    <row r="531" spans="1:40" x14ac:dyDescent="0.3">
      <c r="A531" t="s">
        <v>194</v>
      </c>
      <c r="B531" t="s">
        <v>219</v>
      </c>
      <c r="C531" s="3" t="s">
        <v>42</v>
      </c>
      <c r="D531">
        <v>3</v>
      </c>
      <c r="E531">
        <v>2</v>
      </c>
      <c r="F531">
        <v>0</v>
      </c>
      <c r="G531">
        <v>0</v>
      </c>
      <c r="H531">
        <v>0</v>
      </c>
      <c r="I531">
        <v>0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 s="1">
        <v>0</v>
      </c>
    </row>
    <row r="532" spans="1:40" x14ac:dyDescent="0.3">
      <c r="A532" t="s">
        <v>194</v>
      </c>
      <c r="B532" t="s">
        <v>219</v>
      </c>
      <c r="C532" s="3" t="s">
        <v>43</v>
      </c>
      <c r="D532">
        <v>12</v>
      </c>
      <c r="E532">
        <v>5</v>
      </c>
      <c r="F532">
        <v>0</v>
      </c>
      <c r="G532">
        <v>0</v>
      </c>
      <c r="H532">
        <v>1</v>
      </c>
      <c r="I532">
        <v>0</v>
      </c>
      <c r="J532">
        <v>3</v>
      </c>
      <c r="K532">
        <v>0</v>
      </c>
      <c r="L532">
        <v>0</v>
      </c>
      <c r="M532">
        <v>0</v>
      </c>
      <c r="N532">
        <v>0</v>
      </c>
      <c r="O532">
        <v>3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 s="1">
        <v>0</v>
      </c>
    </row>
    <row r="533" spans="1:40" x14ac:dyDescent="0.3">
      <c r="A533" t="s">
        <v>194</v>
      </c>
      <c r="B533" t="s">
        <v>220</v>
      </c>
      <c r="C533" s="3" t="s">
        <v>39</v>
      </c>
      <c r="D533">
        <v>14</v>
      </c>
      <c r="E533">
        <v>0</v>
      </c>
      <c r="F533">
        <v>0</v>
      </c>
      <c r="G533">
        <v>0</v>
      </c>
      <c r="H533">
        <v>1</v>
      </c>
      <c r="I533">
        <v>0</v>
      </c>
      <c r="J533">
        <v>13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 s="1">
        <v>0</v>
      </c>
    </row>
    <row r="534" spans="1:40" x14ac:dyDescent="0.3">
      <c r="A534" t="s">
        <v>194</v>
      </c>
      <c r="B534" t="s">
        <v>220</v>
      </c>
      <c r="C534" s="3" t="s">
        <v>42</v>
      </c>
      <c r="D534">
        <v>6</v>
      </c>
      <c r="E534">
        <v>0</v>
      </c>
      <c r="F534">
        <v>0</v>
      </c>
      <c r="G534">
        <v>0</v>
      </c>
      <c r="H534">
        <v>1</v>
      </c>
      <c r="I534">
        <v>0</v>
      </c>
      <c r="J534">
        <v>5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 s="1">
        <v>0</v>
      </c>
    </row>
    <row r="535" spans="1:40" x14ac:dyDescent="0.3">
      <c r="A535" t="s">
        <v>194</v>
      </c>
      <c r="B535" t="s">
        <v>220</v>
      </c>
      <c r="C535" s="3" t="s">
        <v>43</v>
      </c>
      <c r="D535">
        <v>8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8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 s="1">
        <v>0</v>
      </c>
    </row>
    <row r="536" spans="1:40" x14ac:dyDescent="0.3">
      <c r="A536" t="s">
        <v>194</v>
      </c>
      <c r="B536" t="s">
        <v>221</v>
      </c>
      <c r="C536" s="3" t="s">
        <v>39</v>
      </c>
      <c r="D536">
        <v>11</v>
      </c>
      <c r="E536">
        <v>0</v>
      </c>
      <c r="F536">
        <v>1</v>
      </c>
      <c r="G536">
        <v>0</v>
      </c>
      <c r="H536">
        <v>2</v>
      </c>
      <c r="I536">
        <v>0</v>
      </c>
      <c r="J536">
        <v>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1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 s="1">
        <v>2</v>
      </c>
    </row>
    <row r="537" spans="1:40" x14ac:dyDescent="0.3">
      <c r="A537" t="s">
        <v>194</v>
      </c>
      <c r="B537" t="s">
        <v>221</v>
      </c>
      <c r="C537" s="3" t="s">
        <v>42</v>
      </c>
      <c r="D537">
        <v>10</v>
      </c>
      <c r="E537">
        <v>0</v>
      </c>
      <c r="F537">
        <v>1</v>
      </c>
      <c r="G537">
        <v>0</v>
      </c>
      <c r="H537">
        <v>2</v>
      </c>
      <c r="I537">
        <v>0</v>
      </c>
      <c r="J537">
        <v>5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1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 s="1">
        <v>1</v>
      </c>
    </row>
    <row r="538" spans="1:40" x14ac:dyDescent="0.3">
      <c r="A538" t="s">
        <v>194</v>
      </c>
      <c r="B538" t="s">
        <v>221</v>
      </c>
      <c r="C538" s="3" t="s">
        <v>43</v>
      </c>
      <c r="D538">
        <v>1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 s="1">
        <v>1</v>
      </c>
    </row>
    <row r="539" spans="1:40" x14ac:dyDescent="0.3">
      <c r="A539" t="s">
        <v>194</v>
      </c>
      <c r="B539" t="s">
        <v>222</v>
      </c>
      <c r="C539" s="3" t="s">
        <v>39</v>
      </c>
      <c r="D539">
        <v>10</v>
      </c>
      <c r="E539">
        <v>1</v>
      </c>
      <c r="F539">
        <v>1</v>
      </c>
      <c r="G539">
        <v>0</v>
      </c>
      <c r="H539">
        <v>1</v>
      </c>
      <c r="I539">
        <v>0</v>
      </c>
      <c r="J539">
        <v>5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1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 s="1">
        <v>1</v>
      </c>
    </row>
    <row r="540" spans="1:40" x14ac:dyDescent="0.3">
      <c r="A540" t="s">
        <v>194</v>
      </c>
      <c r="B540" t="s">
        <v>222</v>
      </c>
      <c r="C540" s="3" t="s">
        <v>42</v>
      </c>
      <c r="D540">
        <v>6</v>
      </c>
      <c r="E540">
        <v>0</v>
      </c>
      <c r="F540">
        <v>0</v>
      </c>
      <c r="G540">
        <v>0</v>
      </c>
      <c r="H540">
        <v>1</v>
      </c>
      <c r="I540">
        <v>0</v>
      </c>
      <c r="J540">
        <v>4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 s="1">
        <v>1</v>
      </c>
    </row>
    <row r="541" spans="1:40" x14ac:dyDescent="0.3">
      <c r="A541" t="s">
        <v>194</v>
      </c>
      <c r="B541" t="s">
        <v>222</v>
      </c>
      <c r="C541" s="3" t="s">
        <v>43</v>
      </c>
      <c r="D541">
        <v>4</v>
      </c>
      <c r="E541">
        <v>1</v>
      </c>
      <c r="F541">
        <v>1</v>
      </c>
      <c r="G541">
        <v>0</v>
      </c>
      <c r="H541">
        <v>0</v>
      </c>
      <c r="I541">
        <v>0</v>
      </c>
      <c r="J541">
        <v>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1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 s="1">
        <v>0</v>
      </c>
    </row>
    <row r="542" spans="1:40" x14ac:dyDescent="0.3">
      <c r="A542" t="s">
        <v>194</v>
      </c>
      <c r="B542" t="s">
        <v>223</v>
      </c>
      <c r="C542" s="3" t="s">
        <v>39</v>
      </c>
      <c r="D542">
        <v>10</v>
      </c>
      <c r="E542">
        <v>2</v>
      </c>
      <c r="F542">
        <v>0</v>
      </c>
      <c r="G542">
        <v>0</v>
      </c>
      <c r="H542">
        <v>3</v>
      </c>
      <c r="I542">
        <v>0</v>
      </c>
      <c r="J542">
        <v>4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 s="1">
        <v>1</v>
      </c>
    </row>
    <row r="543" spans="1:40" x14ac:dyDescent="0.3">
      <c r="A543" t="s">
        <v>194</v>
      </c>
      <c r="B543" t="s">
        <v>223</v>
      </c>
      <c r="C543" s="3" t="s">
        <v>42</v>
      </c>
      <c r="D543">
        <v>8</v>
      </c>
      <c r="E543">
        <v>0</v>
      </c>
      <c r="F543">
        <v>0</v>
      </c>
      <c r="G543">
        <v>0</v>
      </c>
      <c r="H543">
        <v>3</v>
      </c>
      <c r="I543">
        <v>0</v>
      </c>
      <c r="J543">
        <v>4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 s="1">
        <v>1</v>
      </c>
    </row>
    <row r="544" spans="1:40" x14ac:dyDescent="0.3">
      <c r="A544" t="s">
        <v>194</v>
      </c>
      <c r="B544" t="s">
        <v>223</v>
      </c>
      <c r="C544" s="3" t="s">
        <v>43</v>
      </c>
      <c r="D544">
        <v>2</v>
      </c>
      <c r="E544">
        <v>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 s="1">
        <v>0</v>
      </c>
    </row>
    <row r="545" spans="1:40" x14ac:dyDescent="0.3">
      <c r="A545" t="s">
        <v>194</v>
      </c>
      <c r="B545" t="s">
        <v>224</v>
      </c>
      <c r="C545" s="3" t="s">
        <v>39</v>
      </c>
      <c r="D545">
        <v>9</v>
      </c>
      <c r="E545">
        <v>2</v>
      </c>
      <c r="F545">
        <v>0</v>
      </c>
      <c r="G545">
        <v>0</v>
      </c>
      <c r="H545">
        <v>5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2</v>
      </c>
      <c r="AK545">
        <v>0</v>
      </c>
      <c r="AL545">
        <v>0</v>
      </c>
      <c r="AM545">
        <v>0</v>
      </c>
      <c r="AN545" s="1">
        <v>0</v>
      </c>
    </row>
    <row r="546" spans="1:40" x14ac:dyDescent="0.3">
      <c r="A546" t="s">
        <v>194</v>
      </c>
      <c r="B546" t="s">
        <v>224</v>
      </c>
      <c r="C546" s="3" t="s">
        <v>42</v>
      </c>
      <c r="D546">
        <v>7</v>
      </c>
      <c r="E546">
        <v>2</v>
      </c>
      <c r="F546">
        <v>0</v>
      </c>
      <c r="G546">
        <v>0</v>
      </c>
      <c r="H546">
        <v>5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 s="1">
        <v>0</v>
      </c>
    </row>
    <row r="547" spans="1:40" x14ac:dyDescent="0.3">
      <c r="A547" t="s">
        <v>194</v>
      </c>
      <c r="B547" t="s">
        <v>224</v>
      </c>
      <c r="C547" s="3" t="s">
        <v>43</v>
      </c>
      <c r="D547">
        <v>2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2</v>
      </c>
      <c r="AK547">
        <v>0</v>
      </c>
      <c r="AL547">
        <v>0</v>
      </c>
      <c r="AM547">
        <v>0</v>
      </c>
      <c r="AN547" s="1">
        <v>0</v>
      </c>
    </row>
    <row r="548" spans="1:40" x14ac:dyDescent="0.3">
      <c r="A548" t="s">
        <v>194</v>
      </c>
      <c r="B548" t="s">
        <v>225</v>
      </c>
      <c r="C548" s="3" t="s">
        <v>39</v>
      </c>
      <c r="D548">
        <v>9</v>
      </c>
      <c r="E548">
        <v>0</v>
      </c>
      <c r="F548">
        <v>2</v>
      </c>
      <c r="G548">
        <v>0</v>
      </c>
      <c r="H548">
        <v>3</v>
      </c>
      <c r="I548">
        <v>0</v>
      </c>
      <c r="J548">
        <v>3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 s="1">
        <v>1</v>
      </c>
    </row>
    <row r="549" spans="1:40" x14ac:dyDescent="0.3">
      <c r="A549" t="s">
        <v>194</v>
      </c>
      <c r="B549" t="s">
        <v>225</v>
      </c>
      <c r="C549" s="3" t="s">
        <v>42</v>
      </c>
      <c r="D549">
        <v>9</v>
      </c>
      <c r="E549">
        <v>0</v>
      </c>
      <c r="F549">
        <v>2</v>
      </c>
      <c r="G549">
        <v>0</v>
      </c>
      <c r="H549">
        <v>3</v>
      </c>
      <c r="I549">
        <v>0</v>
      </c>
      <c r="J549">
        <v>3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 s="1">
        <v>1</v>
      </c>
    </row>
    <row r="550" spans="1:40" x14ac:dyDescent="0.3">
      <c r="A550" t="s">
        <v>194</v>
      </c>
      <c r="B550" t="s">
        <v>226</v>
      </c>
      <c r="C550" s="3" t="s">
        <v>39</v>
      </c>
      <c r="D550">
        <v>9</v>
      </c>
      <c r="E550">
        <v>1</v>
      </c>
      <c r="F550">
        <v>0</v>
      </c>
      <c r="G550">
        <v>1</v>
      </c>
      <c r="H550">
        <v>5</v>
      </c>
      <c r="I550">
        <v>0</v>
      </c>
      <c r="J550">
        <v>2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 s="1">
        <v>0</v>
      </c>
    </row>
    <row r="551" spans="1:40" x14ac:dyDescent="0.3">
      <c r="A551" t="s">
        <v>194</v>
      </c>
      <c r="B551" t="s">
        <v>226</v>
      </c>
      <c r="C551" s="3" t="s">
        <v>42</v>
      </c>
      <c r="D551">
        <v>6</v>
      </c>
      <c r="E551">
        <v>1</v>
      </c>
      <c r="F551">
        <v>0</v>
      </c>
      <c r="G551">
        <v>1</v>
      </c>
      <c r="H551">
        <v>4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 s="1">
        <v>0</v>
      </c>
    </row>
    <row r="552" spans="1:40" x14ac:dyDescent="0.3">
      <c r="A552" t="s">
        <v>194</v>
      </c>
      <c r="B552" t="s">
        <v>226</v>
      </c>
      <c r="C552" s="3" t="s">
        <v>43</v>
      </c>
      <c r="D552">
        <v>3</v>
      </c>
      <c r="E552">
        <v>0</v>
      </c>
      <c r="F552">
        <v>0</v>
      </c>
      <c r="G552">
        <v>0</v>
      </c>
      <c r="H552">
        <v>1</v>
      </c>
      <c r="I552">
        <v>0</v>
      </c>
      <c r="J552">
        <v>2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 s="1">
        <v>0</v>
      </c>
    </row>
    <row r="553" spans="1:40" x14ac:dyDescent="0.3">
      <c r="A553" t="s">
        <v>194</v>
      </c>
      <c r="B553" t="s">
        <v>227</v>
      </c>
      <c r="C553" s="3" t="s">
        <v>39</v>
      </c>
      <c r="D553">
        <v>9</v>
      </c>
      <c r="E553">
        <v>0</v>
      </c>
      <c r="F553">
        <v>0</v>
      </c>
      <c r="G553">
        <v>0</v>
      </c>
      <c r="H553">
        <v>1</v>
      </c>
      <c r="I553">
        <v>0</v>
      </c>
      <c r="J553">
        <v>7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1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 s="1">
        <v>0</v>
      </c>
    </row>
    <row r="554" spans="1:40" x14ac:dyDescent="0.3">
      <c r="A554" t="s">
        <v>194</v>
      </c>
      <c r="B554" t="s">
        <v>227</v>
      </c>
      <c r="C554" s="3" t="s">
        <v>42</v>
      </c>
      <c r="D554">
        <v>1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1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 s="1">
        <v>0</v>
      </c>
    </row>
    <row r="555" spans="1:40" x14ac:dyDescent="0.3">
      <c r="A555" t="s">
        <v>194</v>
      </c>
      <c r="B555" t="s">
        <v>227</v>
      </c>
      <c r="C555" s="3" t="s">
        <v>43</v>
      </c>
      <c r="D555">
        <v>8</v>
      </c>
      <c r="E555">
        <v>0</v>
      </c>
      <c r="F555">
        <v>0</v>
      </c>
      <c r="G555">
        <v>0</v>
      </c>
      <c r="H555">
        <v>1</v>
      </c>
      <c r="I555">
        <v>0</v>
      </c>
      <c r="J555">
        <v>6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1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 s="1">
        <v>0</v>
      </c>
    </row>
    <row r="556" spans="1:40" x14ac:dyDescent="0.3">
      <c r="A556" t="s">
        <v>194</v>
      </c>
      <c r="B556" t="s">
        <v>228</v>
      </c>
      <c r="C556" s="3" t="s">
        <v>39</v>
      </c>
      <c r="D556">
        <v>8</v>
      </c>
      <c r="E556">
        <v>0</v>
      </c>
      <c r="F556">
        <v>0</v>
      </c>
      <c r="G556">
        <v>0</v>
      </c>
      <c r="H556">
        <v>3</v>
      </c>
      <c r="I556">
        <v>0</v>
      </c>
      <c r="J556">
        <v>1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1</v>
      </c>
      <c r="AK556">
        <v>0</v>
      </c>
      <c r="AL556">
        <v>0</v>
      </c>
      <c r="AM556">
        <v>0</v>
      </c>
      <c r="AN556" s="1">
        <v>3</v>
      </c>
    </row>
    <row r="557" spans="1:40" x14ac:dyDescent="0.3">
      <c r="A557" t="s">
        <v>194</v>
      </c>
      <c r="B557" t="s">
        <v>228</v>
      </c>
      <c r="C557" s="3" t="s">
        <v>42</v>
      </c>
      <c r="D557">
        <v>7</v>
      </c>
      <c r="E557">
        <v>0</v>
      </c>
      <c r="F557">
        <v>0</v>
      </c>
      <c r="G557">
        <v>0</v>
      </c>
      <c r="H557">
        <v>3</v>
      </c>
      <c r="I557">
        <v>0</v>
      </c>
      <c r="J557">
        <v>1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1</v>
      </c>
      <c r="AK557">
        <v>0</v>
      </c>
      <c r="AL557">
        <v>0</v>
      </c>
      <c r="AM557">
        <v>0</v>
      </c>
      <c r="AN557" s="1">
        <v>2</v>
      </c>
    </row>
    <row r="558" spans="1:40" x14ac:dyDescent="0.3">
      <c r="A558" t="s">
        <v>194</v>
      </c>
      <c r="B558" t="s">
        <v>228</v>
      </c>
      <c r="C558" s="3" t="s">
        <v>43</v>
      </c>
      <c r="D558">
        <v>1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 s="1">
        <v>1</v>
      </c>
    </row>
    <row r="559" spans="1:40" x14ac:dyDescent="0.3">
      <c r="A559" t="s">
        <v>194</v>
      </c>
      <c r="B559" t="s">
        <v>229</v>
      </c>
      <c r="C559" s="3" t="s">
        <v>39</v>
      </c>
      <c r="D559">
        <v>7</v>
      </c>
      <c r="E559">
        <v>0</v>
      </c>
      <c r="F559">
        <v>0</v>
      </c>
      <c r="G559">
        <v>0</v>
      </c>
      <c r="H559">
        <v>3</v>
      </c>
      <c r="I559">
        <v>0</v>
      </c>
      <c r="J559">
        <v>2</v>
      </c>
      <c r="K559">
        <v>0</v>
      </c>
      <c r="L559">
        <v>0</v>
      </c>
      <c r="M559">
        <v>0</v>
      </c>
      <c r="N559">
        <v>0</v>
      </c>
      <c r="O559">
        <v>1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 s="1">
        <v>1</v>
      </c>
    </row>
    <row r="560" spans="1:40" x14ac:dyDescent="0.3">
      <c r="A560" t="s">
        <v>194</v>
      </c>
      <c r="B560" t="s">
        <v>229</v>
      </c>
      <c r="C560" s="3" t="s">
        <v>42</v>
      </c>
      <c r="D560">
        <v>2</v>
      </c>
      <c r="E560">
        <v>0</v>
      </c>
      <c r="F560">
        <v>0</v>
      </c>
      <c r="G560">
        <v>0</v>
      </c>
      <c r="H560">
        <v>1</v>
      </c>
      <c r="I560">
        <v>0</v>
      </c>
      <c r="J560">
        <v>1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 s="1">
        <v>0</v>
      </c>
    </row>
    <row r="561" spans="1:40" x14ac:dyDescent="0.3">
      <c r="A561" t="s">
        <v>194</v>
      </c>
      <c r="B561" t="s">
        <v>229</v>
      </c>
      <c r="C561" s="3" t="s">
        <v>43</v>
      </c>
      <c r="D561">
        <v>5</v>
      </c>
      <c r="E561">
        <v>0</v>
      </c>
      <c r="F561">
        <v>0</v>
      </c>
      <c r="G561">
        <v>0</v>
      </c>
      <c r="H561">
        <v>2</v>
      </c>
      <c r="I561">
        <v>0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1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 s="1">
        <v>1</v>
      </c>
    </row>
    <row r="562" spans="1:40" x14ac:dyDescent="0.3">
      <c r="A562" t="s">
        <v>194</v>
      </c>
      <c r="B562" t="s">
        <v>230</v>
      </c>
      <c r="C562" s="3" t="s">
        <v>39</v>
      </c>
      <c r="D562">
        <v>7</v>
      </c>
      <c r="E562">
        <v>2</v>
      </c>
      <c r="F562">
        <v>0</v>
      </c>
      <c r="G562">
        <v>0</v>
      </c>
      <c r="H562">
        <v>3</v>
      </c>
      <c r="I562">
        <v>0</v>
      </c>
      <c r="J562">
        <v>2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 s="1">
        <v>0</v>
      </c>
    </row>
    <row r="563" spans="1:40" x14ac:dyDescent="0.3">
      <c r="A563" t="s">
        <v>194</v>
      </c>
      <c r="B563" t="s">
        <v>230</v>
      </c>
      <c r="C563" s="3" t="s">
        <v>42</v>
      </c>
      <c r="D563">
        <v>5</v>
      </c>
      <c r="E563">
        <v>0</v>
      </c>
      <c r="F563">
        <v>0</v>
      </c>
      <c r="G563">
        <v>0</v>
      </c>
      <c r="H563">
        <v>3</v>
      </c>
      <c r="I563">
        <v>0</v>
      </c>
      <c r="J563">
        <v>2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 s="1">
        <v>0</v>
      </c>
    </row>
    <row r="564" spans="1:40" x14ac:dyDescent="0.3">
      <c r="A564" t="s">
        <v>194</v>
      </c>
      <c r="B564" t="s">
        <v>230</v>
      </c>
      <c r="C564" s="3" t="s">
        <v>43</v>
      </c>
      <c r="D564">
        <v>2</v>
      </c>
      <c r="E564">
        <v>2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 s="1">
        <v>0</v>
      </c>
    </row>
    <row r="565" spans="1:40" x14ac:dyDescent="0.3">
      <c r="A565" t="s">
        <v>194</v>
      </c>
      <c r="B565" t="s">
        <v>231</v>
      </c>
      <c r="C565" s="3" t="s">
        <v>39</v>
      </c>
      <c r="D565">
        <v>7</v>
      </c>
      <c r="E565">
        <v>0</v>
      </c>
      <c r="F565">
        <v>0</v>
      </c>
      <c r="G565">
        <v>0</v>
      </c>
      <c r="H565">
        <v>2</v>
      </c>
      <c r="I565">
        <v>0</v>
      </c>
      <c r="J565">
        <v>5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 s="1">
        <v>0</v>
      </c>
    </row>
    <row r="566" spans="1:40" x14ac:dyDescent="0.3">
      <c r="A566" t="s">
        <v>194</v>
      </c>
      <c r="B566" t="s">
        <v>231</v>
      </c>
      <c r="C566" s="3" t="s">
        <v>42</v>
      </c>
      <c r="D566">
        <v>6</v>
      </c>
      <c r="E566">
        <v>0</v>
      </c>
      <c r="F566">
        <v>0</v>
      </c>
      <c r="G566">
        <v>0</v>
      </c>
      <c r="H566">
        <v>2</v>
      </c>
      <c r="I566">
        <v>0</v>
      </c>
      <c r="J566">
        <v>4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 s="1">
        <v>0</v>
      </c>
    </row>
    <row r="567" spans="1:40" x14ac:dyDescent="0.3">
      <c r="A567" t="s">
        <v>194</v>
      </c>
      <c r="B567" t="s">
        <v>231</v>
      </c>
      <c r="C567" s="3" t="s">
        <v>43</v>
      </c>
      <c r="D567">
        <v>1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1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 s="1">
        <v>0</v>
      </c>
    </row>
    <row r="568" spans="1:40" x14ac:dyDescent="0.3">
      <c r="A568" t="s">
        <v>194</v>
      </c>
      <c r="B568" t="s">
        <v>232</v>
      </c>
      <c r="C568" s="3" t="s">
        <v>39</v>
      </c>
      <c r="D568">
        <v>6</v>
      </c>
      <c r="E568">
        <v>2</v>
      </c>
      <c r="F568">
        <v>0</v>
      </c>
      <c r="G568">
        <v>0</v>
      </c>
      <c r="H568">
        <v>1</v>
      </c>
      <c r="I568">
        <v>0</v>
      </c>
      <c r="J568">
        <v>1</v>
      </c>
      <c r="K568">
        <v>0</v>
      </c>
      <c r="L568">
        <v>0</v>
      </c>
      <c r="M568">
        <v>0</v>
      </c>
      <c r="N568">
        <v>0</v>
      </c>
      <c r="O568">
        <v>2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 s="1">
        <v>0</v>
      </c>
    </row>
    <row r="569" spans="1:40" x14ac:dyDescent="0.3">
      <c r="A569" t="s">
        <v>194</v>
      </c>
      <c r="B569" t="s">
        <v>232</v>
      </c>
      <c r="C569" s="3" t="s">
        <v>42</v>
      </c>
      <c r="D569">
        <v>3</v>
      </c>
      <c r="E569">
        <v>1</v>
      </c>
      <c r="F569">
        <v>0</v>
      </c>
      <c r="G569">
        <v>0</v>
      </c>
      <c r="H569">
        <v>0</v>
      </c>
      <c r="I569">
        <v>0</v>
      </c>
      <c r="J569">
        <v>1</v>
      </c>
      <c r="K569">
        <v>0</v>
      </c>
      <c r="L569">
        <v>0</v>
      </c>
      <c r="M569">
        <v>0</v>
      </c>
      <c r="N569">
        <v>0</v>
      </c>
      <c r="O569">
        <v>1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 s="1">
        <v>0</v>
      </c>
    </row>
    <row r="570" spans="1:40" x14ac:dyDescent="0.3">
      <c r="A570" t="s">
        <v>194</v>
      </c>
      <c r="B570" t="s">
        <v>232</v>
      </c>
      <c r="C570" s="3" t="s">
        <v>43</v>
      </c>
      <c r="D570">
        <v>3</v>
      </c>
      <c r="E570">
        <v>1</v>
      </c>
      <c r="F570">
        <v>0</v>
      </c>
      <c r="G570">
        <v>0</v>
      </c>
      <c r="H570">
        <v>1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1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 s="1">
        <v>0</v>
      </c>
    </row>
    <row r="571" spans="1:40" x14ac:dyDescent="0.3">
      <c r="A571" t="s">
        <v>194</v>
      </c>
      <c r="B571" t="s">
        <v>233</v>
      </c>
      <c r="C571" s="3" t="s">
        <v>39</v>
      </c>
      <c r="D571">
        <v>6</v>
      </c>
      <c r="E571">
        <v>0</v>
      </c>
      <c r="F571">
        <v>0</v>
      </c>
      <c r="G571">
        <v>0</v>
      </c>
      <c r="H571">
        <v>5</v>
      </c>
      <c r="I571">
        <v>0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 s="1">
        <v>0</v>
      </c>
    </row>
    <row r="572" spans="1:40" x14ac:dyDescent="0.3">
      <c r="A572" t="s">
        <v>194</v>
      </c>
      <c r="B572" t="s">
        <v>233</v>
      </c>
      <c r="C572" s="3" t="s">
        <v>42</v>
      </c>
      <c r="D572">
        <v>5</v>
      </c>
      <c r="E572">
        <v>0</v>
      </c>
      <c r="F572">
        <v>0</v>
      </c>
      <c r="G572">
        <v>0</v>
      </c>
      <c r="H572">
        <v>4</v>
      </c>
      <c r="I572">
        <v>0</v>
      </c>
      <c r="J572">
        <v>1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 s="1">
        <v>0</v>
      </c>
    </row>
    <row r="573" spans="1:40" x14ac:dyDescent="0.3">
      <c r="A573" t="s">
        <v>194</v>
      </c>
      <c r="B573" t="s">
        <v>233</v>
      </c>
      <c r="C573" s="3" t="s">
        <v>43</v>
      </c>
      <c r="D573">
        <v>1</v>
      </c>
      <c r="E573">
        <v>0</v>
      </c>
      <c r="F573">
        <v>0</v>
      </c>
      <c r="G573">
        <v>0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 s="1">
        <v>0</v>
      </c>
    </row>
    <row r="574" spans="1:40" x14ac:dyDescent="0.3">
      <c r="A574" t="s">
        <v>194</v>
      </c>
      <c r="B574" t="s">
        <v>234</v>
      </c>
      <c r="C574" s="3" t="s">
        <v>39</v>
      </c>
      <c r="D574">
        <v>6</v>
      </c>
      <c r="E574">
        <v>0</v>
      </c>
      <c r="F574">
        <v>1</v>
      </c>
      <c r="G574">
        <v>0</v>
      </c>
      <c r="H574">
        <v>2</v>
      </c>
      <c r="I574">
        <v>0</v>
      </c>
      <c r="J574">
        <v>2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 s="1">
        <v>0</v>
      </c>
    </row>
    <row r="575" spans="1:40" x14ac:dyDescent="0.3">
      <c r="A575" t="s">
        <v>194</v>
      </c>
      <c r="B575" t="s">
        <v>234</v>
      </c>
      <c r="C575" s="3" t="s">
        <v>42</v>
      </c>
      <c r="D575">
        <v>4</v>
      </c>
      <c r="E575">
        <v>0</v>
      </c>
      <c r="F575">
        <v>1</v>
      </c>
      <c r="G575">
        <v>0</v>
      </c>
      <c r="H575">
        <v>2</v>
      </c>
      <c r="I575">
        <v>0</v>
      </c>
      <c r="J575">
        <v>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 s="1">
        <v>0</v>
      </c>
    </row>
    <row r="576" spans="1:40" x14ac:dyDescent="0.3">
      <c r="A576" t="s">
        <v>194</v>
      </c>
      <c r="B576" t="s">
        <v>234</v>
      </c>
      <c r="C576" s="3" t="s">
        <v>43</v>
      </c>
      <c r="D576">
        <v>2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1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1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 s="1">
        <v>0</v>
      </c>
    </row>
    <row r="577" spans="1:40" x14ac:dyDescent="0.3">
      <c r="A577" t="s">
        <v>194</v>
      </c>
      <c r="B577" t="s">
        <v>235</v>
      </c>
      <c r="C577" s="3" t="s">
        <v>39</v>
      </c>
      <c r="D577">
        <v>5</v>
      </c>
      <c r="E577">
        <v>0</v>
      </c>
      <c r="F577">
        <v>0</v>
      </c>
      <c r="G577">
        <v>0</v>
      </c>
      <c r="H577">
        <v>1</v>
      </c>
      <c r="I577">
        <v>0</v>
      </c>
      <c r="J577">
        <v>1</v>
      </c>
      <c r="K577">
        <v>0</v>
      </c>
      <c r="L577">
        <v>0</v>
      </c>
      <c r="M577">
        <v>0</v>
      </c>
      <c r="N577">
        <v>0</v>
      </c>
      <c r="O577">
        <v>2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 s="1">
        <v>1</v>
      </c>
    </row>
    <row r="578" spans="1:40" x14ac:dyDescent="0.3">
      <c r="A578" t="s">
        <v>194</v>
      </c>
      <c r="B578" t="s">
        <v>235</v>
      </c>
      <c r="C578" s="3" t="s">
        <v>42</v>
      </c>
      <c r="D578">
        <v>4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1</v>
      </c>
      <c r="K578">
        <v>0</v>
      </c>
      <c r="L578">
        <v>0</v>
      </c>
      <c r="M578">
        <v>0</v>
      </c>
      <c r="N578">
        <v>0</v>
      </c>
      <c r="O578">
        <v>2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 s="1">
        <v>1</v>
      </c>
    </row>
    <row r="579" spans="1:40" x14ac:dyDescent="0.3">
      <c r="A579" t="s">
        <v>194</v>
      </c>
      <c r="B579" t="s">
        <v>235</v>
      </c>
      <c r="C579" s="3" t="s">
        <v>43</v>
      </c>
      <c r="D579">
        <v>1</v>
      </c>
      <c r="E579">
        <v>0</v>
      </c>
      <c r="F579">
        <v>0</v>
      </c>
      <c r="G579">
        <v>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 s="1">
        <v>0</v>
      </c>
    </row>
    <row r="580" spans="1:40" x14ac:dyDescent="0.3">
      <c r="A580" t="s">
        <v>194</v>
      </c>
      <c r="B580" t="s">
        <v>236</v>
      </c>
      <c r="C580" s="3" t="s">
        <v>39</v>
      </c>
      <c r="D580">
        <v>4</v>
      </c>
      <c r="E580">
        <v>3</v>
      </c>
      <c r="F580">
        <v>0</v>
      </c>
      <c r="G580">
        <v>0</v>
      </c>
      <c r="H580">
        <v>0</v>
      </c>
      <c r="I580">
        <v>0</v>
      </c>
      <c r="J580">
        <v>1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 s="1">
        <v>0</v>
      </c>
    </row>
    <row r="581" spans="1:40" x14ac:dyDescent="0.3">
      <c r="A581" t="s">
        <v>194</v>
      </c>
      <c r="B581" t="s">
        <v>236</v>
      </c>
      <c r="C581" s="3" t="s">
        <v>42</v>
      </c>
      <c r="D581">
        <v>2</v>
      </c>
      <c r="E581">
        <v>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 s="1">
        <v>0</v>
      </c>
    </row>
    <row r="582" spans="1:40" x14ac:dyDescent="0.3">
      <c r="A582" t="s">
        <v>194</v>
      </c>
      <c r="B582" t="s">
        <v>236</v>
      </c>
      <c r="C582" s="3" t="s">
        <v>43</v>
      </c>
      <c r="D582">
        <v>2</v>
      </c>
      <c r="E582">
        <v>1</v>
      </c>
      <c r="F582">
        <v>0</v>
      </c>
      <c r="G582">
        <v>0</v>
      </c>
      <c r="H582">
        <v>0</v>
      </c>
      <c r="I582">
        <v>0</v>
      </c>
      <c r="J582">
        <v>1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 s="1">
        <v>0</v>
      </c>
    </row>
    <row r="583" spans="1:40" x14ac:dyDescent="0.3">
      <c r="A583" t="s">
        <v>194</v>
      </c>
      <c r="B583" t="s">
        <v>237</v>
      </c>
      <c r="C583" s="3" t="s">
        <v>39</v>
      </c>
      <c r="D583">
        <v>4</v>
      </c>
      <c r="E583">
        <v>0</v>
      </c>
      <c r="F583">
        <v>0</v>
      </c>
      <c r="G583">
        <v>0</v>
      </c>
      <c r="H583">
        <v>1</v>
      </c>
      <c r="I583">
        <v>0</v>
      </c>
      <c r="J583">
        <v>2</v>
      </c>
      <c r="K583">
        <v>0</v>
      </c>
      <c r="L583">
        <v>0</v>
      </c>
      <c r="M583">
        <v>0</v>
      </c>
      <c r="N583">
        <v>0</v>
      </c>
      <c r="O583">
        <v>1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 s="1">
        <v>0</v>
      </c>
    </row>
    <row r="584" spans="1:40" x14ac:dyDescent="0.3">
      <c r="A584" t="s">
        <v>194</v>
      </c>
      <c r="B584" t="s">
        <v>237</v>
      </c>
      <c r="C584" s="3" t="s">
        <v>42</v>
      </c>
      <c r="D584">
        <v>4</v>
      </c>
      <c r="E584">
        <v>0</v>
      </c>
      <c r="F584">
        <v>0</v>
      </c>
      <c r="G584">
        <v>0</v>
      </c>
      <c r="H584">
        <v>1</v>
      </c>
      <c r="I584">
        <v>0</v>
      </c>
      <c r="J584">
        <v>2</v>
      </c>
      <c r="K584">
        <v>0</v>
      </c>
      <c r="L584">
        <v>0</v>
      </c>
      <c r="M584">
        <v>0</v>
      </c>
      <c r="N584">
        <v>0</v>
      </c>
      <c r="O584">
        <v>1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 s="1">
        <v>0</v>
      </c>
    </row>
    <row r="585" spans="1:40" x14ac:dyDescent="0.3">
      <c r="A585" t="s">
        <v>194</v>
      </c>
      <c r="B585" t="s">
        <v>238</v>
      </c>
      <c r="C585" s="3" t="s">
        <v>39</v>
      </c>
      <c r="D585">
        <v>3</v>
      </c>
      <c r="E585">
        <v>2</v>
      </c>
      <c r="F585">
        <v>0</v>
      </c>
      <c r="G585">
        <v>0</v>
      </c>
      <c r="H585">
        <v>1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 s="1">
        <v>0</v>
      </c>
    </row>
    <row r="586" spans="1:40" x14ac:dyDescent="0.3">
      <c r="A586" t="s">
        <v>194</v>
      </c>
      <c r="B586" t="s">
        <v>238</v>
      </c>
      <c r="C586" s="3" t="s">
        <v>42</v>
      </c>
      <c r="D586">
        <v>3</v>
      </c>
      <c r="E586">
        <v>2</v>
      </c>
      <c r="F586">
        <v>0</v>
      </c>
      <c r="G586">
        <v>0</v>
      </c>
      <c r="H586">
        <v>1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 s="1">
        <v>0</v>
      </c>
    </row>
    <row r="587" spans="1:40" x14ac:dyDescent="0.3">
      <c r="A587" t="s">
        <v>194</v>
      </c>
      <c r="B587" t="s">
        <v>239</v>
      </c>
      <c r="C587" s="3" t="s">
        <v>39</v>
      </c>
      <c r="D587">
        <v>3</v>
      </c>
      <c r="E587">
        <v>0</v>
      </c>
      <c r="F587">
        <v>0</v>
      </c>
      <c r="G587">
        <v>1</v>
      </c>
      <c r="H587">
        <v>2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 s="1">
        <v>0</v>
      </c>
    </row>
    <row r="588" spans="1:40" x14ac:dyDescent="0.3">
      <c r="A588" t="s">
        <v>194</v>
      </c>
      <c r="B588" t="s">
        <v>239</v>
      </c>
      <c r="C588" s="3" t="s">
        <v>42</v>
      </c>
      <c r="D588">
        <v>3</v>
      </c>
      <c r="E588">
        <v>0</v>
      </c>
      <c r="F588">
        <v>0</v>
      </c>
      <c r="G588">
        <v>1</v>
      </c>
      <c r="H588">
        <v>2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 s="1">
        <v>0</v>
      </c>
    </row>
    <row r="589" spans="1:40" x14ac:dyDescent="0.3">
      <c r="A589" t="s">
        <v>194</v>
      </c>
      <c r="B589" t="s">
        <v>240</v>
      </c>
      <c r="C589" s="3" t="s">
        <v>39</v>
      </c>
      <c r="D589">
        <v>3</v>
      </c>
      <c r="E589">
        <v>3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 s="1">
        <v>0</v>
      </c>
    </row>
    <row r="590" spans="1:40" x14ac:dyDescent="0.3">
      <c r="A590" t="s">
        <v>194</v>
      </c>
      <c r="B590" t="s">
        <v>240</v>
      </c>
      <c r="C590" s="3" t="s">
        <v>42</v>
      </c>
      <c r="D590">
        <v>2</v>
      </c>
      <c r="E590">
        <v>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 s="1">
        <v>0</v>
      </c>
    </row>
    <row r="591" spans="1:40" x14ac:dyDescent="0.3">
      <c r="A591" t="s">
        <v>194</v>
      </c>
      <c r="B591" t="s">
        <v>240</v>
      </c>
      <c r="C591" s="3" t="s">
        <v>43</v>
      </c>
      <c r="D591">
        <v>1</v>
      </c>
      <c r="E591">
        <v>1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 s="1">
        <v>0</v>
      </c>
    </row>
    <row r="592" spans="1:40" x14ac:dyDescent="0.3">
      <c r="A592" t="s">
        <v>194</v>
      </c>
      <c r="B592" t="s">
        <v>241</v>
      </c>
      <c r="C592" s="3" t="s">
        <v>39</v>
      </c>
      <c r="D592">
        <v>3</v>
      </c>
      <c r="E592">
        <v>0</v>
      </c>
      <c r="F592">
        <v>0</v>
      </c>
      <c r="G592">
        <v>2</v>
      </c>
      <c r="H592">
        <v>0</v>
      </c>
      <c r="I592">
        <v>0</v>
      </c>
      <c r="J592">
        <v>1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 s="1">
        <v>0</v>
      </c>
    </row>
    <row r="593" spans="1:40" x14ac:dyDescent="0.3">
      <c r="A593" t="s">
        <v>194</v>
      </c>
      <c r="B593" t="s">
        <v>241</v>
      </c>
      <c r="C593" s="3" t="s">
        <v>42</v>
      </c>
      <c r="D593">
        <v>2</v>
      </c>
      <c r="E593">
        <v>0</v>
      </c>
      <c r="F593">
        <v>0</v>
      </c>
      <c r="G593">
        <v>1</v>
      </c>
      <c r="H593">
        <v>0</v>
      </c>
      <c r="I593">
        <v>0</v>
      </c>
      <c r="J593">
        <v>1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 s="1">
        <v>0</v>
      </c>
    </row>
    <row r="594" spans="1:40" x14ac:dyDescent="0.3">
      <c r="A594" t="s">
        <v>194</v>
      </c>
      <c r="B594" t="s">
        <v>241</v>
      </c>
      <c r="C594" s="3" t="s">
        <v>43</v>
      </c>
      <c r="D594">
        <v>1</v>
      </c>
      <c r="E594">
        <v>0</v>
      </c>
      <c r="F594">
        <v>0</v>
      </c>
      <c r="G594">
        <v>1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 s="1">
        <v>0</v>
      </c>
    </row>
    <row r="595" spans="1:40" x14ac:dyDescent="0.3">
      <c r="A595" t="s">
        <v>194</v>
      </c>
      <c r="B595" t="s">
        <v>242</v>
      </c>
      <c r="C595" s="3" t="s">
        <v>39</v>
      </c>
      <c r="D595">
        <v>2</v>
      </c>
      <c r="E595">
        <v>0</v>
      </c>
      <c r="F595">
        <v>0</v>
      </c>
      <c r="G595">
        <v>0</v>
      </c>
      <c r="H595">
        <v>1</v>
      </c>
      <c r="I595">
        <v>0</v>
      </c>
      <c r="J595">
        <v>1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 s="1">
        <v>0</v>
      </c>
    </row>
    <row r="596" spans="1:40" x14ac:dyDescent="0.3">
      <c r="A596" t="s">
        <v>194</v>
      </c>
      <c r="B596" t="s">
        <v>242</v>
      </c>
      <c r="C596" s="3" t="s">
        <v>42</v>
      </c>
      <c r="D596">
        <v>2</v>
      </c>
      <c r="E596">
        <v>0</v>
      </c>
      <c r="F596">
        <v>0</v>
      </c>
      <c r="G596">
        <v>0</v>
      </c>
      <c r="H596">
        <v>1</v>
      </c>
      <c r="I596">
        <v>0</v>
      </c>
      <c r="J596">
        <v>1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 s="1">
        <v>0</v>
      </c>
    </row>
    <row r="597" spans="1:40" x14ac:dyDescent="0.3">
      <c r="A597" t="s">
        <v>194</v>
      </c>
      <c r="B597" t="s">
        <v>243</v>
      </c>
      <c r="C597" s="3" t="s">
        <v>39</v>
      </c>
      <c r="D597">
        <v>2</v>
      </c>
      <c r="E597">
        <v>1</v>
      </c>
      <c r="F597">
        <v>1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 s="1">
        <v>0</v>
      </c>
    </row>
    <row r="598" spans="1:40" x14ac:dyDescent="0.3">
      <c r="A598" t="s">
        <v>194</v>
      </c>
      <c r="B598" t="s">
        <v>243</v>
      </c>
      <c r="C598" s="3" t="s">
        <v>42</v>
      </c>
      <c r="D598">
        <v>2</v>
      </c>
      <c r="E598">
        <v>1</v>
      </c>
      <c r="F598">
        <v>1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 s="1">
        <v>0</v>
      </c>
    </row>
    <row r="599" spans="1:40" x14ac:dyDescent="0.3">
      <c r="A599" t="s">
        <v>194</v>
      </c>
      <c r="B599" t="s">
        <v>244</v>
      </c>
      <c r="C599" s="3" t="s">
        <v>39</v>
      </c>
      <c r="D599">
        <v>1</v>
      </c>
      <c r="E599">
        <v>1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 s="1">
        <v>0</v>
      </c>
    </row>
    <row r="600" spans="1:40" x14ac:dyDescent="0.3">
      <c r="A600" t="s">
        <v>194</v>
      </c>
      <c r="B600" t="s">
        <v>244</v>
      </c>
      <c r="C600" s="3" t="s">
        <v>43</v>
      </c>
      <c r="D600">
        <v>1</v>
      </c>
      <c r="E600">
        <v>1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 s="1">
        <v>0</v>
      </c>
    </row>
    <row r="601" spans="1:40" x14ac:dyDescent="0.3">
      <c r="A601" t="s">
        <v>245</v>
      </c>
      <c r="B601" t="s">
        <v>39</v>
      </c>
      <c r="C601" s="3" t="s">
        <v>39</v>
      </c>
      <c r="D601">
        <v>71</v>
      </c>
      <c r="E601">
        <v>1</v>
      </c>
      <c r="F601">
        <v>15</v>
      </c>
      <c r="G601">
        <v>0</v>
      </c>
      <c r="H601">
        <v>15</v>
      </c>
      <c r="I601">
        <v>0</v>
      </c>
      <c r="J601">
        <v>33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 s="1">
        <v>6</v>
      </c>
    </row>
    <row r="602" spans="1:40" x14ac:dyDescent="0.3">
      <c r="A602" t="s">
        <v>245</v>
      </c>
      <c r="B602" t="s">
        <v>39</v>
      </c>
      <c r="C602" s="3" t="s">
        <v>42</v>
      </c>
      <c r="D602">
        <v>41</v>
      </c>
      <c r="E602">
        <v>1</v>
      </c>
      <c r="F602">
        <v>8</v>
      </c>
      <c r="G602">
        <v>0</v>
      </c>
      <c r="H602">
        <v>7</v>
      </c>
      <c r="I602">
        <v>0</v>
      </c>
      <c r="J602">
        <v>23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2</v>
      </c>
    </row>
    <row r="603" spans="1:40" x14ac:dyDescent="0.3">
      <c r="A603" t="s">
        <v>245</v>
      </c>
      <c r="B603" t="s">
        <v>39</v>
      </c>
      <c r="C603" s="3" t="s">
        <v>43</v>
      </c>
      <c r="D603">
        <v>30</v>
      </c>
      <c r="E603">
        <v>0</v>
      </c>
      <c r="F603">
        <v>7</v>
      </c>
      <c r="G603">
        <v>0</v>
      </c>
      <c r="H603">
        <v>8</v>
      </c>
      <c r="I603">
        <v>0</v>
      </c>
      <c r="J603">
        <v>10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4</v>
      </c>
    </row>
  </sheetData>
  <mergeCells count="2">
    <mergeCell ref="A2:B5"/>
    <mergeCell ref="A6:B8"/>
  </mergeCells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2026-03-06T00:34:29Z</dcterms:created>
  <dcterms:modified xsi:type="dcterms:W3CDTF">2026-03-06T00:34:29Z</dcterms:modified>
</cp:coreProperties>
</file>