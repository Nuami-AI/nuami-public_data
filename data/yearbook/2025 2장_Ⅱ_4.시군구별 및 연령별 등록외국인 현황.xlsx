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F47D2AC-C133-4E16-B106-0622ABC6BC1E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J3" i="1"/>
  <c r="K3" i="1"/>
  <c r="L3" i="1"/>
  <c r="M3" i="1"/>
  <c r="N3" i="1"/>
  <c r="O3" i="1"/>
  <c r="P3" i="1"/>
  <c r="U3" i="1"/>
  <c r="F4" i="1"/>
  <c r="I4" i="1"/>
  <c r="J4" i="1"/>
  <c r="K4" i="1"/>
  <c r="L4" i="1"/>
  <c r="M4" i="1"/>
  <c r="N4" i="1"/>
  <c r="O4" i="1"/>
  <c r="P4" i="1"/>
  <c r="Q4" i="1"/>
  <c r="R4" i="1"/>
  <c r="U4" i="1"/>
  <c r="D4" i="1"/>
  <c r="D3" i="1"/>
  <c r="D763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Q3" i="1" s="1"/>
  <c r="R762" i="1"/>
  <c r="S762" i="1"/>
  <c r="T762" i="1"/>
  <c r="U762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D762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D706" i="1"/>
  <c r="D705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D661" i="1"/>
  <c r="D660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D610" i="1"/>
  <c r="D609" i="1"/>
  <c r="D601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D600" i="1"/>
  <c r="D532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D531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D499" i="1"/>
  <c r="D481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D480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D399" i="1"/>
  <c r="D400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D348" i="1"/>
  <c r="D349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D330" i="1"/>
  <c r="D331" i="1"/>
  <c r="D301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D300" i="1"/>
  <c r="D283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D282" i="1"/>
  <c r="D211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R3" i="1" s="1"/>
  <c r="S210" i="1"/>
  <c r="T210" i="1"/>
  <c r="U210" i="1"/>
  <c r="E211" i="1"/>
  <c r="E4" i="1" s="1"/>
  <c r="F211" i="1"/>
  <c r="G211" i="1"/>
  <c r="H211" i="1"/>
  <c r="H4" i="1" s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D210" i="1"/>
  <c r="E141" i="1"/>
  <c r="E3" i="1" s="1"/>
  <c r="F141" i="1"/>
  <c r="G141" i="1"/>
  <c r="G3" i="1" s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D142" i="1"/>
  <c r="D141" i="1"/>
  <c r="E6" i="1"/>
  <c r="F6" i="1"/>
  <c r="F3" i="1" s="1"/>
  <c r="G6" i="1"/>
  <c r="H6" i="1"/>
  <c r="H3" i="1" s="1"/>
  <c r="I6" i="1"/>
  <c r="J6" i="1"/>
  <c r="K6" i="1"/>
  <c r="L6" i="1"/>
  <c r="M6" i="1"/>
  <c r="N6" i="1"/>
  <c r="O6" i="1"/>
  <c r="P6" i="1"/>
  <c r="Q6" i="1"/>
  <c r="R6" i="1"/>
  <c r="S6" i="1"/>
  <c r="S3" i="1" s="1"/>
  <c r="T6" i="1"/>
  <c r="T3" i="1" s="1"/>
  <c r="U6" i="1"/>
  <c r="E7" i="1"/>
  <c r="F7" i="1"/>
  <c r="G7" i="1"/>
  <c r="G4" i="1" s="1"/>
  <c r="H7" i="1"/>
  <c r="I7" i="1"/>
  <c r="J7" i="1"/>
  <c r="K7" i="1"/>
  <c r="L7" i="1"/>
  <c r="M7" i="1"/>
  <c r="N7" i="1"/>
  <c r="O7" i="1"/>
  <c r="P7" i="1"/>
  <c r="Q7" i="1"/>
  <c r="R7" i="1"/>
  <c r="S7" i="1"/>
  <c r="S4" i="1" s="1"/>
  <c r="T7" i="1"/>
  <c r="T4" i="1" s="1"/>
  <c r="U7" i="1"/>
  <c r="D6" i="1"/>
  <c r="D7" i="1"/>
</calcChain>
</file>

<file path=xl/sharedStrings.xml><?xml version="1.0" encoding="utf-8"?>
<sst xmlns="http://schemas.openxmlformats.org/spreadsheetml/2006/main" count="2442" uniqueCount="270">
  <si>
    <t>시도</t>
  </si>
  <si>
    <t>시군구</t>
  </si>
  <si>
    <t>성별</t>
  </si>
  <si>
    <t>총합계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</si>
  <si>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</si>
  <si>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</si>
  <si>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</si>
  <si>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</si>
  <si>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</si>
  <si>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</si>
  <si>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</si>
  <si>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</si>
  <si>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</si>
  <si>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</si>
  <si>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</si>
  <si>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</si>
  <si>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</si>
  <si>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</si>
  <si>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</si>
  <si>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</si>
  <si>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80세이상</t>
  </si>
  <si>
    <t>총계</t>
  </si>
  <si>
    <t>경기도</t>
  </si>
  <si>
    <t>가평군</t>
  </si>
  <si>
    <t>남성</t>
  </si>
  <si>
    <t>여성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</si>
  <si>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</si>
  <si>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</si>
  <si>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</si>
  <si>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</si>
  <si>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</si>
  <si>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</si>
  <si>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</si>
  <si>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</si>
  <si>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</si>
  <si>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</si>
  <si>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</si>
  <si>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 소사구</t>
  </si>
  <si>
    <t>부천시 오정구</t>
  </si>
  <si>
    <t>부천시 원미구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</si>
  <si>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</si>
  <si>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</si>
  <si>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</si>
  <si>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</si>
  <si>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</si>
  <si>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</si>
  <si>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</si>
  <si>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</si>
  <si>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</si>
  <si>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</si>
  <si>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</si>
  <si>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</si>
  <si>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</si>
  <si>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</si>
  <si>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</si>
  <si>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</si>
  <si>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</si>
  <si>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</si>
  <si>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</si>
  <si>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</si>
  <si>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</si>
  <si>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</si>
  <si>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</si>
  <si>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</si>
  <si>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</si>
  <si>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</si>
  <si>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</si>
  <si>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</si>
  <si>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</si>
  <si>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경상남도</t>
  </si>
  <si>
    <t>거제시</t>
  </si>
  <si>
    <t>거창군</t>
  </si>
  <si>
    <t>고성군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</si>
  <si>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</si>
  <si>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</si>
  <si>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</si>
  <si>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</si>
  <si>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</si>
  <si>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</si>
  <si>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</si>
  <si>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</si>
  <si>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</si>
  <si>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</si>
  <si>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</si>
  <si>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</si>
  <si>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</si>
  <si>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</si>
  <si>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</si>
  <si>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</si>
  <si>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</si>
  <si>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</si>
  <si>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</si>
  <si>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경상북도</t>
  </si>
  <si>
    <t>경산시</t>
  </si>
  <si>
    <t>경주시</t>
  </si>
  <si>
    <t>고령군</t>
  </si>
  <si>
    <t>구미시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</si>
  <si>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</si>
  <si>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</si>
  <si>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</si>
  <si>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</si>
  <si>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</si>
  <si>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</si>
  <si>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</si>
  <si>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</si>
  <si>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</si>
  <si>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</si>
  <si>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</si>
  <si>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</si>
  <si>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</si>
  <si>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</si>
  <si>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</si>
  <si>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</si>
  <si>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</si>
  <si>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</si>
  <si>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</si>
  <si>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광주광역시</t>
  </si>
  <si>
    <t>광산구</t>
  </si>
  <si>
    <t>남구</t>
  </si>
  <si>
    <t>동구</t>
  </si>
  <si>
    <t>북구</t>
  </si>
  <si>
    <t>서구</t>
  </si>
  <si>
    <t>대구광역시</t>
  </si>
  <si>
    <t>군위군</t>
  </si>
  <si>
    <t>달서구</t>
  </si>
  <si>
    <t>달성군</t>
  </si>
  <si>
    <t>수성구</t>
  </si>
  <si>
    <t>중구</t>
  </si>
  <si>
    <t>대전광역시</t>
  </si>
  <si>
    <t>대덕구</t>
  </si>
  <si>
    <t>유성구</t>
  </si>
  <si>
    <t>부산광역시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</si>
  <si>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</si>
  <si>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</si>
  <si>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</si>
  <si>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</si>
  <si>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</si>
  <si>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</si>
  <si>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</si>
  <si>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</si>
  <si>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</si>
  <si>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</si>
  <si>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</si>
  <si>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서울특별시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</si>
  <si>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</si>
  <si>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</si>
  <si>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</si>
  <si>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</si>
  <si>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</si>
  <si>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</si>
  <si>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</si>
  <si>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</si>
  <si>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</si>
  <si>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</si>
  <si>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</si>
  <si>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</si>
  <si>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</si>
  <si>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</si>
  <si>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</si>
  <si>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</si>
  <si>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</si>
  <si>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</si>
  <si>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</si>
  <si>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</si>
  <si>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</si>
  <si>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</si>
  <si>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</si>
  <si>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세종특별자치시</t>
  </si>
  <si>
    <t>울산광역시</t>
  </si>
  <si>
    <t>울주군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</si>
  <si>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</si>
  <si>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</si>
  <si>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</si>
  <si>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</si>
  <si>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</si>
  <si>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</si>
  <si>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</si>
  <si>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</si>
  <si>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</si>
  <si>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</si>
  <si>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</si>
  <si>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</si>
  <si>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</si>
  <si>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</si>
  <si>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</si>
  <si>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</si>
  <si>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</si>
  <si>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</si>
  <si>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</si>
  <si>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</si>
  <si>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</si>
  <si>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</si>
  <si>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</si>
  <si>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</si>
  <si>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</si>
  <si>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</si>
  <si>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</si>
  <si>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</si>
  <si>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</si>
  <si>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</si>
  <si>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</si>
  <si>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제주특별자치도</t>
  </si>
  <si>
    <t>서귀포시</t>
  </si>
  <si>
    <t>제주시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</si>
  <si>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</si>
  <si>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</si>
  <si>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</si>
  <si>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</si>
  <si>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</si>
  <si>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</si>
  <si>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</si>
  <si>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</si>
  <si>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</si>
  <si>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</si>
  <si>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</si>
  <si>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</si>
  <si>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</si>
  <si>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</si>
  <si>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</si>
  <si>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</si>
  <si>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</si>
  <si>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</si>
  <si>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</si>
  <si>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</si>
  <si>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</si>
  <si>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</si>
  <si>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</si>
  <si>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</si>
  <si>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</si>
  <si>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</si>
  <si>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</si>
  <si>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</si>
  <si>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</si>
  <si>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</si>
  <si>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</si>
  <si>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</si>
  <si>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강원특별자치도</t>
  </si>
  <si>
    <t>강릉시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</si>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</sst>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8"/>
  <sheetViews>
    <sheetView tabSelected="1" workbookViewId="0"/>
  </sheetViews>
  <sheetFormatPr defaultRowHeight="16.5" x14ac:dyDescent="0.3"/>
  <cols>
    <col min="3" max="3" width="9" style="2"/>
    <col min="4" max="21" width="11.625" customWidth="1"/>
  </cols>
  <sheetData>
    <row r="1" spans="1:2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t="s">
        <v>3</v>
      </c>
      <c r="B2" t="s">
        <v>21</v>
      </c>
      <c r="C2" s="2" t="s">
        <v>21</v>
      </c>
      <c r="D2" s="1">
        <v>1604920</v>
      </c>
      <c r="E2" s="1">
        <v>34392</v>
      </c>
      <c r="F2" s="1">
        <v>36408</v>
      </c>
      <c r="G2" s="1">
        <v>23728</v>
      </c>
      <c r="H2" s="1">
        <v>61646</v>
      </c>
      <c r="I2" s="1">
        <v>247615</v>
      </c>
      <c r="J2" s="1">
        <v>267002</v>
      </c>
      <c r="K2" s="1">
        <v>241332</v>
      </c>
      <c r="L2" s="1">
        <v>212772</v>
      </c>
      <c r="M2" s="1">
        <v>144775</v>
      </c>
      <c r="N2" s="1">
        <v>92097</v>
      </c>
      <c r="O2" s="1">
        <v>77987</v>
      </c>
      <c r="P2" s="1">
        <v>77379</v>
      </c>
      <c r="Q2" s="1">
        <v>48655</v>
      </c>
      <c r="R2" s="1">
        <v>23568</v>
      </c>
      <c r="S2" s="1">
        <v>9518</v>
      </c>
      <c r="T2" s="1">
        <v>3468</v>
      </c>
      <c r="U2" s="1">
        <v>2578</v>
      </c>
    </row>
    <row r="3" spans="1:21" x14ac:dyDescent="0.3">
      <c r="A3" t="s">
        <v>3</v>
      </c>
      <c r="B3" t="s">
        <v>21</v>
      </c>
      <c r="C3" s="2" t="s">
        <v>24</v>
      </c>
      <c r="D3" s="1">
        <f>D6+D141+D210+D282+D300+D330+D348+D399+D477+D480+D498+D531+D600+D609+D660+D705+D762</f>
        <v>934620</v>
      </c>
      <c r="E3" s="1">
        <f t="shared" ref="E3:U3" si="0">E6+E141+E210+E282+E300+E330+E348+E399+E477+E480+E498+E531+E600+E609+E660+E705+E762</f>
        <v>17642</v>
      </c>
      <c r="F3" s="1">
        <f t="shared" si="0"/>
        <v>18598</v>
      </c>
      <c r="G3" s="1">
        <f t="shared" si="0"/>
        <v>12016</v>
      </c>
      <c r="H3" s="1">
        <f t="shared" si="0"/>
        <v>30041</v>
      </c>
      <c r="I3" s="1">
        <f t="shared" si="0"/>
        <v>134654</v>
      </c>
      <c r="J3" s="1">
        <f t="shared" si="0"/>
        <v>165272</v>
      </c>
      <c r="K3" s="1">
        <f t="shared" si="0"/>
        <v>162559</v>
      </c>
      <c r="L3" s="1">
        <f t="shared" si="0"/>
        <v>137656</v>
      </c>
      <c r="M3" s="1">
        <f t="shared" si="0"/>
        <v>86959</v>
      </c>
      <c r="N3" s="1">
        <f t="shared" si="0"/>
        <v>49056</v>
      </c>
      <c r="O3" s="1">
        <f t="shared" si="0"/>
        <v>38952</v>
      </c>
      <c r="P3" s="1">
        <f t="shared" si="0"/>
        <v>36971</v>
      </c>
      <c r="Q3" s="1">
        <f t="shared" si="0"/>
        <v>23659</v>
      </c>
      <c r="R3" s="1">
        <f t="shared" si="0"/>
        <v>12052</v>
      </c>
      <c r="S3" s="1">
        <f t="shared" si="0"/>
        <v>5195</v>
      </c>
      <c r="T3" s="1">
        <f t="shared" si="0"/>
        <v>2013</v>
      </c>
      <c r="U3" s="1">
        <f t="shared" si="0"/>
        <v>1325</v>
      </c>
    </row>
    <row r="4" spans="1:21" x14ac:dyDescent="0.3">
      <c r="A4" t="s">
        <v>3</v>
      </c>
      <c r="B4" t="s">
        <v>21</v>
      </c>
      <c r="C4" s="2" t="s">
        <v>25</v>
      </c>
      <c r="D4" s="1">
        <f>D7+D142+D211+D283+D301+D331+D349+D400+D478+D481+D499+D532+D601+D610+D661+D706+D763</f>
        <v>670300</v>
      </c>
      <c r="E4" s="1">
        <f t="shared" ref="E4:U4" si="1">E7+E142+E211+E283+E301+E331+E349+E400+E478+E481+E499+E532+E601+E610+E661+E706+E763</f>
        <v>16750</v>
      </c>
      <c r="F4" s="1">
        <f t="shared" si="1"/>
        <v>17810</v>
      </c>
      <c r="G4" s="1">
        <f t="shared" si="1"/>
        <v>11712</v>
      </c>
      <c r="H4" s="1">
        <f t="shared" si="1"/>
        <v>31605</v>
      </c>
      <c r="I4" s="1">
        <f t="shared" si="1"/>
        <v>112961</v>
      </c>
      <c r="J4" s="1">
        <f t="shared" si="1"/>
        <v>101730</v>
      </c>
      <c r="K4" s="1">
        <f t="shared" si="1"/>
        <v>78773</v>
      </c>
      <c r="L4" s="1">
        <f t="shared" si="1"/>
        <v>75116</v>
      </c>
      <c r="M4" s="1">
        <f t="shared" si="1"/>
        <v>57816</v>
      </c>
      <c r="N4" s="1">
        <f t="shared" si="1"/>
        <v>43041</v>
      </c>
      <c r="O4" s="1">
        <f t="shared" si="1"/>
        <v>39035</v>
      </c>
      <c r="P4" s="1">
        <f t="shared" si="1"/>
        <v>40408</v>
      </c>
      <c r="Q4" s="1">
        <f t="shared" si="1"/>
        <v>24996</v>
      </c>
      <c r="R4" s="1">
        <f t="shared" si="1"/>
        <v>11516</v>
      </c>
      <c r="S4" s="1">
        <f t="shared" si="1"/>
        <v>4323</v>
      </c>
      <c r="T4" s="1">
        <f t="shared" si="1"/>
        <v>1455</v>
      </c>
      <c r="U4" s="1">
        <f t="shared" si="1"/>
        <v>1253</v>
      </c>
    </row>
    <row r="5" spans="1:21" x14ac:dyDescent="0.3">
      <c r="A5" t="s">
        <v>22</v>
      </c>
      <c r="B5" t="s">
        <v>21</v>
      </c>
      <c r="C5" s="2" t="s">
        <v>21</v>
      </c>
      <c r="D5" s="1">
        <v>492819</v>
      </c>
      <c r="E5" s="1">
        <v>13033</v>
      </c>
      <c r="F5" s="1">
        <v>15177</v>
      </c>
      <c r="G5" s="1">
        <v>9004</v>
      </c>
      <c r="H5" s="1">
        <v>14628</v>
      </c>
      <c r="I5" s="1">
        <v>53673</v>
      </c>
      <c r="J5" s="1">
        <v>69086</v>
      </c>
      <c r="K5" s="1">
        <v>73501</v>
      </c>
      <c r="L5" s="1">
        <v>69866</v>
      </c>
      <c r="M5" s="1">
        <v>49922</v>
      </c>
      <c r="N5" s="1">
        <v>33143</v>
      </c>
      <c r="O5" s="1">
        <v>29438</v>
      </c>
      <c r="P5" s="1">
        <v>30431</v>
      </c>
      <c r="Q5" s="1">
        <v>18297</v>
      </c>
      <c r="R5" s="1">
        <v>8464</v>
      </c>
      <c r="S5" s="1">
        <v>3342</v>
      </c>
      <c r="T5" s="1">
        <v>1143</v>
      </c>
      <c r="U5" s="1">
        <v>671</v>
      </c>
    </row>
    <row r="6" spans="1:21" x14ac:dyDescent="0.3">
      <c r="A6" t="s">
        <v>22</v>
      </c>
      <c r="B6" t="s">
        <v>21</v>
      </c>
      <c r="C6" s="2" t="s">
        <v>24</v>
      </c>
      <c r="D6" s="1">
        <f>D9+D12+D15+D18+D21+D24+D27+D30+D33+D36+D39+D42+D45+D48+D51+D54+D57+D60+D63+D66+D69+D72+D75+D78+D81+D84+D87+D90+D93+D96+D99+D102+D105+D108+D111+D114+D117+D120+D123+D126+D129+D132+D135+D138</f>
        <v>296304</v>
      </c>
      <c r="E6" s="1">
        <f t="shared" ref="E6:U6" si="2">E9+E12+E15+E18+E21+E24+E27+E30+E33+E36+E39+E42+E45+E48+E51+E54+E57+E60+E63+E66+E69+E72+E75+E78+E81+E84+E87+E90+E93+E96+E99+E102+E105+E108+E111+E114+E117+E120+E123+E126+E129+E132+E135+E138</f>
        <v>6744</v>
      </c>
      <c r="F6" s="1">
        <f t="shared" si="2"/>
        <v>7723</v>
      </c>
      <c r="G6" s="1">
        <f t="shared" si="2"/>
        <v>4588</v>
      </c>
      <c r="H6" s="1">
        <f t="shared" si="2"/>
        <v>7298</v>
      </c>
      <c r="I6" s="1">
        <f t="shared" si="2"/>
        <v>32721</v>
      </c>
      <c r="J6" s="1">
        <f t="shared" si="2"/>
        <v>47082</v>
      </c>
      <c r="K6" s="1">
        <f t="shared" si="2"/>
        <v>51300</v>
      </c>
      <c r="L6" s="1">
        <f t="shared" si="2"/>
        <v>44969</v>
      </c>
      <c r="M6" s="1">
        <f t="shared" si="2"/>
        <v>29756</v>
      </c>
      <c r="N6" s="1">
        <f t="shared" si="2"/>
        <v>17889</v>
      </c>
      <c r="O6" s="1">
        <f t="shared" si="2"/>
        <v>14962</v>
      </c>
      <c r="P6" s="1">
        <f t="shared" si="2"/>
        <v>14755</v>
      </c>
      <c r="Q6" s="1">
        <f t="shared" si="2"/>
        <v>9194</v>
      </c>
      <c r="R6" s="1">
        <f t="shared" si="2"/>
        <v>4432</v>
      </c>
      <c r="S6" s="1">
        <f t="shared" si="2"/>
        <v>1851</v>
      </c>
      <c r="T6" s="1">
        <f t="shared" si="2"/>
        <v>680</v>
      </c>
      <c r="U6" s="1">
        <f t="shared" si="2"/>
        <v>360</v>
      </c>
    </row>
    <row r="7" spans="1:21" x14ac:dyDescent="0.3">
      <c r="A7" t="s">
        <v>22</v>
      </c>
      <c r="B7" t="s">
        <v>21</v>
      </c>
      <c r="C7" s="2" t="s">
        <v>25</v>
      </c>
      <c r="D7" s="1">
        <f>D10+D13+D16+D19+D22+D25+D28+D31+D34+D37+D40+D43+D46+D49+D52+D55+D58+D61+D64+D67+D70+D73+D76+D79+D82+D85+D88+D91+D94+D97+D100+D103+D106+D109+D112+D115+D118+D121+D124+D127+D130+D133+D136+D139</f>
        <v>196515</v>
      </c>
      <c r="E7" s="1">
        <f t="shared" ref="E7:U7" si="3">E10+E13+E16+E19+E22+E25+E28+E31+E34+E37+E40+E43+E46+E49+E52+E55+E58+E61+E64+E67+E70+E73+E76+E79+E82+E85+E88+E91+E94+E97+E100+E103+E106+E109+E112+E115+E118+E121+E124+E127+E130+E133+E136+E139</f>
        <v>6289</v>
      </c>
      <c r="F7" s="1">
        <f t="shared" si="3"/>
        <v>7454</v>
      </c>
      <c r="G7" s="1">
        <f t="shared" si="3"/>
        <v>4416</v>
      </c>
      <c r="H7" s="1">
        <f t="shared" si="3"/>
        <v>7330</v>
      </c>
      <c r="I7" s="1">
        <f t="shared" si="3"/>
        <v>20952</v>
      </c>
      <c r="J7" s="1">
        <f t="shared" si="3"/>
        <v>22004</v>
      </c>
      <c r="K7" s="1">
        <f t="shared" si="3"/>
        <v>22201</v>
      </c>
      <c r="L7" s="1">
        <f t="shared" si="3"/>
        <v>24897</v>
      </c>
      <c r="M7" s="1">
        <f t="shared" si="3"/>
        <v>20166</v>
      </c>
      <c r="N7" s="1">
        <f t="shared" si="3"/>
        <v>15254</v>
      </c>
      <c r="O7" s="1">
        <f t="shared" si="3"/>
        <v>14476</v>
      </c>
      <c r="P7" s="1">
        <f t="shared" si="3"/>
        <v>15676</v>
      </c>
      <c r="Q7" s="1">
        <f t="shared" si="3"/>
        <v>9103</v>
      </c>
      <c r="R7" s="1">
        <f t="shared" si="3"/>
        <v>4032</v>
      </c>
      <c r="S7" s="1">
        <f t="shared" si="3"/>
        <v>1491</v>
      </c>
      <c r="T7" s="1">
        <f t="shared" si="3"/>
        <v>463</v>
      </c>
      <c r="U7" s="1">
        <f t="shared" si="3"/>
        <v>311</v>
      </c>
    </row>
    <row r="8" spans="1:21" x14ac:dyDescent="0.3">
      <c r="A8" t="s">
        <v>22</v>
      </c>
      <c r="B8" t="s">
        <v>23</v>
      </c>
      <c r="C8" s="2" t="s">
        <v>21</v>
      </c>
      <c r="D8" s="1">
        <v>1370</v>
      </c>
      <c r="E8">
        <v>29</v>
      </c>
      <c r="F8">
        <v>24</v>
      </c>
      <c r="G8">
        <v>14</v>
      </c>
      <c r="H8">
        <v>28</v>
      </c>
      <c r="I8">
        <v>134</v>
      </c>
      <c r="J8">
        <v>206</v>
      </c>
      <c r="K8">
        <v>161</v>
      </c>
      <c r="L8">
        <v>184</v>
      </c>
      <c r="M8">
        <v>118</v>
      </c>
      <c r="N8">
        <v>92</v>
      </c>
      <c r="O8">
        <v>108</v>
      </c>
      <c r="P8">
        <v>112</v>
      </c>
      <c r="Q8">
        <v>84</v>
      </c>
      <c r="R8">
        <v>43</v>
      </c>
      <c r="S8">
        <v>15</v>
      </c>
      <c r="T8">
        <v>8</v>
      </c>
      <c r="U8" s="1">
        <v>10</v>
      </c>
    </row>
    <row r="9" spans="1:21" x14ac:dyDescent="0.3">
      <c r="A9" t="s">
        <v>22</v>
      </c>
      <c r="B9" t="s">
        <v>23</v>
      </c>
      <c r="C9" s="2" t="s">
        <v>24</v>
      </c>
      <c r="D9">
        <v>619</v>
      </c>
      <c r="E9">
        <v>17</v>
      </c>
      <c r="F9">
        <v>9</v>
      </c>
      <c r="G9">
        <v>10</v>
      </c>
      <c r="H9">
        <v>12</v>
      </c>
      <c r="I9">
        <v>66</v>
      </c>
      <c r="J9">
        <v>109</v>
      </c>
      <c r="K9">
        <v>93</v>
      </c>
      <c r="L9">
        <v>106</v>
      </c>
      <c r="M9">
        <v>39</v>
      </c>
      <c r="N9">
        <v>28</v>
      </c>
      <c r="O9">
        <v>29</v>
      </c>
      <c r="P9">
        <v>40</v>
      </c>
      <c r="Q9">
        <v>20</v>
      </c>
      <c r="R9">
        <v>22</v>
      </c>
      <c r="S9">
        <v>6</v>
      </c>
      <c r="T9">
        <v>8</v>
      </c>
      <c r="U9" s="1">
        <v>5</v>
      </c>
    </row>
    <row r="10" spans="1:21" x14ac:dyDescent="0.3">
      <c r="A10" t="s">
        <v>22</v>
      </c>
      <c r="B10" t="s">
        <v>23</v>
      </c>
      <c r="C10" s="2" t="s">
        <v>25</v>
      </c>
      <c r="D10">
        <v>751</v>
      </c>
      <c r="E10">
        <v>12</v>
      </c>
      <c r="F10">
        <v>15</v>
      </c>
      <c r="G10">
        <v>4</v>
      </c>
      <c r="H10">
        <v>16</v>
      </c>
      <c r="I10">
        <v>68</v>
      </c>
      <c r="J10">
        <v>97</v>
      </c>
      <c r="K10">
        <v>68</v>
      </c>
      <c r="L10">
        <v>78</v>
      </c>
      <c r="M10">
        <v>79</v>
      </c>
      <c r="N10">
        <v>64</v>
      </c>
      <c r="O10">
        <v>79</v>
      </c>
      <c r="P10">
        <v>72</v>
      </c>
      <c r="Q10">
        <v>64</v>
      </c>
      <c r="R10">
        <v>21</v>
      </c>
      <c r="S10">
        <v>9</v>
      </c>
      <c r="T10" s="1">
        <v>0</v>
      </c>
      <c r="U10" s="1">
        <v>5</v>
      </c>
    </row>
    <row r="11" spans="1:21" x14ac:dyDescent="0.3">
      <c r="A11" t="s">
        <v>22</v>
      </c>
      <c r="B11" t="s">
        <v>26</v>
      </c>
      <c r="C11" s="2" t="s">
        <v>21</v>
      </c>
      <c r="D11" s="1">
        <v>5965</v>
      </c>
      <c r="E11">
        <v>92</v>
      </c>
      <c r="F11">
        <v>93</v>
      </c>
      <c r="G11">
        <v>68</v>
      </c>
      <c r="H11">
        <v>207</v>
      </c>
      <c r="I11">
        <v>681</v>
      </c>
      <c r="J11">
        <v>703</v>
      </c>
      <c r="K11">
        <v>946</v>
      </c>
      <c r="L11">
        <v>852</v>
      </c>
      <c r="M11">
        <v>686</v>
      </c>
      <c r="N11">
        <v>448</v>
      </c>
      <c r="O11">
        <v>376</v>
      </c>
      <c r="P11">
        <v>346</v>
      </c>
      <c r="Q11">
        <v>228</v>
      </c>
      <c r="R11">
        <v>135</v>
      </c>
      <c r="S11">
        <v>71</v>
      </c>
      <c r="T11">
        <v>20</v>
      </c>
      <c r="U11" s="1">
        <v>13</v>
      </c>
    </row>
    <row r="12" spans="1:21" x14ac:dyDescent="0.3">
      <c r="A12" t="s">
        <v>22</v>
      </c>
      <c r="B12" t="s">
        <v>26</v>
      </c>
      <c r="C12" s="2" t="s">
        <v>24</v>
      </c>
      <c r="D12" s="1">
        <v>2803</v>
      </c>
      <c r="E12">
        <v>48</v>
      </c>
      <c r="F12">
        <v>40</v>
      </c>
      <c r="G12">
        <v>33</v>
      </c>
      <c r="H12">
        <v>113</v>
      </c>
      <c r="I12">
        <v>378</v>
      </c>
      <c r="J12">
        <v>316</v>
      </c>
      <c r="K12">
        <v>423</v>
      </c>
      <c r="L12">
        <v>406</v>
      </c>
      <c r="M12">
        <v>312</v>
      </c>
      <c r="N12">
        <v>207</v>
      </c>
      <c r="O12">
        <v>155</v>
      </c>
      <c r="P12">
        <v>151</v>
      </c>
      <c r="Q12">
        <v>103</v>
      </c>
      <c r="R12">
        <v>60</v>
      </c>
      <c r="S12">
        <v>41</v>
      </c>
      <c r="T12">
        <v>12</v>
      </c>
      <c r="U12" s="1">
        <v>5</v>
      </c>
    </row>
    <row r="13" spans="1:21" x14ac:dyDescent="0.3">
      <c r="A13" t="s">
        <v>22</v>
      </c>
      <c r="B13" t="s">
        <v>26</v>
      </c>
      <c r="C13" s="2" t="s">
        <v>25</v>
      </c>
      <c r="D13" s="1">
        <v>3162</v>
      </c>
      <c r="E13">
        <v>44</v>
      </c>
      <c r="F13">
        <v>53</v>
      </c>
      <c r="G13">
        <v>35</v>
      </c>
      <c r="H13">
        <v>94</v>
      </c>
      <c r="I13">
        <v>303</v>
      </c>
      <c r="J13">
        <v>387</v>
      </c>
      <c r="K13">
        <v>523</v>
      </c>
      <c r="L13">
        <v>446</v>
      </c>
      <c r="M13">
        <v>374</v>
      </c>
      <c r="N13">
        <v>241</v>
      </c>
      <c r="O13">
        <v>221</v>
      </c>
      <c r="P13">
        <v>195</v>
      </c>
      <c r="Q13">
        <v>125</v>
      </c>
      <c r="R13">
        <v>75</v>
      </c>
      <c r="S13">
        <v>30</v>
      </c>
      <c r="T13">
        <v>8</v>
      </c>
      <c r="U13" s="1">
        <v>8</v>
      </c>
    </row>
    <row r="14" spans="1:21" x14ac:dyDescent="0.3">
      <c r="A14" t="s">
        <v>22</v>
      </c>
      <c r="B14" t="s">
        <v>27</v>
      </c>
      <c r="C14" s="2" t="s">
        <v>21</v>
      </c>
      <c r="D14" s="1">
        <v>4710</v>
      </c>
      <c r="E14">
        <v>95</v>
      </c>
      <c r="F14">
        <v>73</v>
      </c>
      <c r="G14">
        <v>68</v>
      </c>
      <c r="H14">
        <v>61</v>
      </c>
      <c r="I14">
        <v>356</v>
      </c>
      <c r="J14">
        <v>781</v>
      </c>
      <c r="K14">
        <v>806</v>
      </c>
      <c r="L14">
        <v>706</v>
      </c>
      <c r="M14">
        <v>525</v>
      </c>
      <c r="N14">
        <v>357</v>
      </c>
      <c r="O14">
        <v>319</v>
      </c>
      <c r="P14">
        <v>245</v>
      </c>
      <c r="Q14">
        <v>152</v>
      </c>
      <c r="R14">
        <v>89</v>
      </c>
      <c r="S14">
        <v>43</v>
      </c>
      <c r="T14">
        <v>22</v>
      </c>
      <c r="U14" s="1">
        <v>12</v>
      </c>
    </row>
    <row r="15" spans="1:21" x14ac:dyDescent="0.3">
      <c r="A15" t="s">
        <v>22</v>
      </c>
      <c r="B15" t="s">
        <v>27</v>
      </c>
      <c r="C15" s="2" t="s">
        <v>24</v>
      </c>
      <c r="D15" s="1">
        <v>2726</v>
      </c>
      <c r="E15">
        <v>43</v>
      </c>
      <c r="F15">
        <v>38</v>
      </c>
      <c r="G15">
        <v>36</v>
      </c>
      <c r="H15">
        <v>33</v>
      </c>
      <c r="I15">
        <v>255</v>
      </c>
      <c r="J15">
        <v>490</v>
      </c>
      <c r="K15">
        <v>511</v>
      </c>
      <c r="L15">
        <v>439</v>
      </c>
      <c r="M15">
        <v>296</v>
      </c>
      <c r="N15">
        <v>185</v>
      </c>
      <c r="O15">
        <v>145</v>
      </c>
      <c r="P15">
        <v>99</v>
      </c>
      <c r="Q15">
        <v>68</v>
      </c>
      <c r="R15">
        <v>44</v>
      </c>
      <c r="S15">
        <v>24</v>
      </c>
      <c r="T15">
        <v>15</v>
      </c>
      <c r="U15" s="1">
        <v>5</v>
      </c>
    </row>
    <row r="16" spans="1:21" x14ac:dyDescent="0.3">
      <c r="A16" t="s">
        <v>22</v>
      </c>
      <c r="B16" t="s">
        <v>27</v>
      </c>
      <c r="C16" s="2" t="s">
        <v>25</v>
      </c>
      <c r="D16" s="1">
        <v>1984</v>
      </c>
      <c r="E16">
        <v>52</v>
      </c>
      <c r="F16">
        <v>35</v>
      </c>
      <c r="G16">
        <v>32</v>
      </c>
      <c r="H16">
        <v>28</v>
      </c>
      <c r="I16">
        <v>101</v>
      </c>
      <c r="J16">
        <v>291</v>
      </c>
      <c r="K16">
        <v>295</v>
      </c>
      <c r="L16">
        <v>267</v>
      </c>
      <c r="M16">
        <v>229</v>
      </c>
      <c r="N16">
        <v>172</v>
      </c>
      <c r="O16">
        <v>174</v>
      </c>
      <c r="P16">
        <v>146</v>
      </c>
      <c r="Q16">
        <v>84</v>
      </c>
      <c r="R16">
        <v>45</v>
      </c>
      <c r="S16">
        <v>19</v>
      </c>
      <c r="T16">
        <v>7</v>
      </c>
      <c r="U16" s="1">
        <v>7</v>
      </c>
    </row>
    <row r="17" spans="1:21" x14ac:dyDescent="0.3">
      <c r="A17" t="s">
        <v>22</v>
      </c>
      <c r="B17" t="s">
        <v>28</v>
      </c>
      <c r="C17" s="2" t="s">
        <v>21</v>
      </c>
      <c r="D17" s="1">
        <v>3713</v>
      </c>
      <c r="E17">
        <v>114</v>
      </c>
      <c r="F17">
        <v>155</v>
      </c>
      <c r="G17">
        <v>110</v>
      </c>
      <c r="H17">
        <v>89</v>
      </c>
      <c r="I17">
        <v>219</v>
      </c>
      <c r="J17">
        <v>389</v>
      </c>
      <c r="K17">
        <v>455</v>
      </c>
      <c r="L17">
        <v>485</v>
      </c>
      <c r="M17">
        <v>429</v>
      </c>
      <c r="N17">
        <v>301</v>
      </c>
      <c r="O17">
        <v>278</v>
      </c>
      <c r="P17">
        <v>313</v>
      </c>
      <c r="Q17">
        <v>196</v>
      </c>
      <c r="R17">
        <v>107</v>
      </c>
      <c r="S17">
        <v>42</v>
      </c>
      <c r="T17">
        <v>16</v>
      </c>
      <c r="U17" s="1">
        <v>15</v>
      </c>
    </row>
    <row r="18" spans="1:21" x14ac:dyDescent="0.3">
      <c r="A18" t="s">
        <v>22</v>
      </c>
      <c r="B18" t="s">
        <v>28</v>
      </c>
      <c r="C18" s="2" t="s">
        <v>24</v>
      </c>
      <c r="D18" s="1">
        <v>1850</v>
      </c>
      <c r="E18">
        <v>60</v>
      </c>
      <c r="F18">
        <v>78</v>
      </c>
      <c r="G18">
        <v>45</v>
      </c>
      <c r="H18">
        <v>51</v>
      </c>
      <c r="I18">
        <v>149</v>
      </c>
      <c r="J18">
        <v>201</v>
      </c>
      <c r="K18">
        <v>243</v>
      </c>
      <c r="L18">
        <v>238</v>
      </c>
      <c r="M18">
        <v>206</v>
      </c>
      <c r="N18">
        <v>134</v>
      </c>
      <c r="O18">
        <v>140</v>
      </c>
      <c r="P18">
        <v>127</v>
      </c>
      <c r="Q18">
        <v>92</v>
      </c>
      <c r="R18">
        <v>51</v>
      </c>
      <c r="S18">
        <v>17</v>
      </c>
      <c r="T18">
        <v>12</v>
      </c>
      <c r="U18" s="1">
        <v>6</v>
      </c>
    </row>
    <row r="19" spans="1:21" x14ac:dyDescent="0.3">
      <c r="A19" t="s">
        <v>22</v>
      </c>
      <c r="B19" t="s">
        <v>28</v>
      </c>
      <c r="C19" s="2" t="s">
        <v>25</v>
      </c>
      <c r="D19" s="1">
        <v>1863</v>
      </c>
      <c r="E19">
        <v>54</v>
      </c>
      <c r="F19">
        <v>77</v>
      </c>
      <c r="G19">
        <v>65</v>
      </c>
      <c r="H19">
        <v>38</v>
      </c>
      <c r="I19">
        <v>70</v>
      </c>
      <c r="J19">
        <v>188</v>
      </c>
      <c r="K19">
        <v>212</v>
      </c>
      <c r="L19">
        <v>247</v>
      </c>
      <c r="M19">
        <v>223</v>
      </c>
      <c r="N19">
        <v>167</v>
      </c>
      <c r="O19">
        <v>138</v>
      </c>
      <c r="P19">
        <v>186</v>
      </c>
      <c r="Q19">
        <v>104</v>
      </c>
      <c r="R19">
        <v>56</v>
      </c>
      <c r="S19">
        <v>25</v>
      </c>
      <c r="T19">
        <v>4</v>
      </c>
      <c r="U19" s="1">
        <v>9</v>
      </c>
    </row>
    <row r="20" spans="1:21" x14ac:dyDescent="0.3">
      <c r="A20" t="s">
        <v>22</v>
      </c>
      <c r="B20" t="s">
        <v>29</v>
      </c>
      <c r="C20" s="2" t="s">
        <v>21</v>
      </c>
      <c r="D20">
        <v>235</v>
      </c>
      <c r="E20">
        <v>2</v>
      </c>
      <c r="F20">
        <v>1</v>
      </c>
      <c r="G20">
        <v>1</v>
      </c>
      <c r="H20">
        <v>1</v>
      </c>
      <c r="I20">
        <v>13</v>
      </c>
      <c r="J20">
        <v>22</v>
      </c>
      <c r="K20">
        <v>47</v>
      </c>
      <c r="L20">
        <v>40</v>
      </c>
      <c r="M20">
        <v>30</v>
      </c>
      <c r="N20">
        <v>22</v>
      </c>
      <c r="O20">
        <v>20</v>
      </c>
      <c r="P20">
        <v>17</v>
      </c>
      <c r="Q20">
        <v>8</v>
      </c>
      <c r="R20">
        <v>8</v>
      </c>
      <c r="S20">
        <v>0</v>
      </c>
      <c r="T20">
        <v>1</v>
      </c>
      <c r="U20" s="1">
        <v>2</v>
      </c>
    </row>
    <row r="21" spans="1:21" x14ac:dyDescent="0.3">
      <c r="A21" t="s">
        <v>22</v>
      </c>
      <c r="B21" t="s">
        <v>29</v>
      </c>
      <c r="C21" s="2" t="s">
        <v>24</v>
      </c>
      <c r="D21">
        <v>91</v>
      </c>
      <c r="E21">
        <v>1</v>
      </c>
      <c r="F21">
        <v>0</v>
      </c>
      <c r="G21">
        <v>1</v>
      </c>
      <c r="H21">
        <v>0</v>
      </c>
      <c r="I21">
        <v>8</v>
      </c>
      <c r="J21">
        <v>8</v>
      </c>
      <c r="K21">
        <v>14</v>
      </c>
      <c r="L21">
        <v>13</v>
      </c>
      <c r="M21">
        <v>13</v>
      </c>
      <c r="N21">
        <v>10</v>
      </c>
      <c r="O21">
        <v>7</v>
      </c>
      <c r="P21">
        <v>7</v>
      </c>
      <c r="Q21">
        <v>2</v>
      </c>
      <c r="R21">
        <v>4</v>
      </c>
      <c r="S21">
        <v>0</v>
      </c>
      <c r="T21">
        <v>1</v>
      </c>
      <c r="U21" s="1">
        <v>2</v>
      </c>
    </row>
    <row r="22" spans="1:21" x14ac:dyDescent="0.3">
      <c r="A22" t="s">
        <v>22</v>
      </c>
      <c r="B22" t="s">
        <v>29</v>
      </c>
      <c r="C22" s="2" t="s">
        <v>25</v>
      </c>
      <c r="D22">
        <v>144</v>
      </c>
      <c r="E22">
        <v>1</v>
      </c>
      <c r="F22">
        <v>1</v>
      </c>
      <c r="G22">
        <v>0</v>
      </c>
      <c r="H22">
        <v>1</v>
      </c>
      <c r="I22">
        <v>5</v>
      </c>
      <c r="J22">
        <v>14</v>
      </c>
      <c r="K22">
        <v>33</v>
      </c>
      <c r="L22">
        <v>27</v>
      </c>
      <c r="M22">
        <v>17</v>
      </c>
      <c r="N22">
        <v>12</v>
      </c>
      <c r="O22">
        <v>13</v>
      </c>
      <c r="P22">
        <v>10</v>
      </c>
      <c r="Q22">
        <v>6</v>
      </c>
      <c r="R22">
        <v>4</v>
      </c>
      <c r="S22">
        <v>0</v>
      </c>
      <c r="T22">
        <v>0</v>
      </c>
      <c r="U22" s="1">
        <v>0</v>
      </c>
    </row>
    <row r="23" spans="1:21" x14ac:dyDescent="0.3">
      <c r="A23" t="s">
        <v>22</v>
      </c>
      <c r="B23" t="s">
        <v>30</v>
      </c>
      <c r="C23" s="2" t="s">
        <v>21</v>
      </c>
      <c r="D23" s="1">
        <v>3010</v>
      </c>
      <c r="E23">
        <v>61</v>
      </c>
      <c r="F23">
        <v>74</v>
      </c>
      <c r="G23">
        <v>59</v>
      </c>
      <c r="H23">
        <v>46</v>
      </c>
      <c r="I23">
        <v>114</v>
      </c>
      <c r="J23">
        <v>238</v>
      </c>
      <c r="K23">
        <v>336</v>
      </c>
      <c r="L23">
        <v>412</v>
      </c>
      <c r="M23">
        <v>337</v>
      </c>
      <c r="N23">
        <v>250</v>
      </c>
      <c r="O23">
        <v>284</v>
      </c>
      <c r="P23">
        <v>348</v>
      </c>
      <c r="Q23">
        <v>224</v>
      </c>
      <c r="R23">
        <v>132</v>
      </c>
      <c r="S23">
        <v>67</v>
      </c>
      <c r="T23">
        <v>20</v>
      </c>
      <c r="U23" s="1">
        <v>8</v>
      </c>
    </row>
    <row r="24" spans="1:21" x14ac:dyDescent="0.3">
      <c r="A24" t="s">
        <v>22</v>
      </c>
      <c r="B24" t="s">
        <v>30</v>
      </c>
      <c r="C24" s="2" t="s">
        <v>24</v>
      </c>
      <c r="D24" s="1">
        <v>1467</v>
      </c>
      <c r="E24">
        <v>33</v>
      </c>
      <c r="F24">
        <v>43</v>
      </c>
      <c r="G24">
        <v>31</v>
      </c>
      <c r="H24">
        <v>18</v>
      </c>
      <c r="I24">
        <v>56</v>
      </c>
      <c r="J24">
        <v>117</v>
      </c>
      <c r="K24">
        <v>179</v>
      </c>
      <c r="L24">
        <v>195</v>
      </c>
      <c r="M24">
        <v>155</v>
      </c>
      <c r="N24">
        <v>107</v>
      </c>
      <c r="O24">
        <v>122</v>
      </c>
      <c r="P24">
        <v>166</v>
      </c>
      <c r="Q24">
        <v>125</v>
      </c>
      <c r="R24">
        <v>64</v>
      </c>
      <c r="S24">
        <v>40</v>
      </c>
      <c r="T24">
        <v>13</v>
      </c>
      <c r="U24" s="1">
        <v>3</v>
      </c>
    </row>
    <row r="25" spans="1:21" x14ac:dyDescent="0.3">
      <c r="A25" t="s">
        <v>22</v>
      </c>
      <c r="B25" t="s">
        <v>30</v>
      </c>
      <c r="C25" s="2" t="s">
        <v>25</v>
      </c>
      <c r="D25" s="1">
        <v>1543</v>
      </c>
      <c r="E25">
        <v>28</v>
      </c>
      <c r="F25">
        <v>31</v>
      </c>
      <c r="G25">
        <v>28</v>
      </c>
      <c r="H25">
        <v>28</v>
      </c>
      <c r="I25">
        <v>58</v>
      </c>
      <c r="J25">
        <v>121</v>
      </c>
      <c r="K25">
        <v>157</v>
      </c>
      <c r="L25">
        <v>217</v>
      </c>
      <c r="M25">
        <v>182</v>
      </c>
      <c r="N25">
        <v>143</v>
      </c>
      <c r="O25">
        <v>162</v>
      </c>
      <c r="P25">
        <v>182</v>
      </c>
      <c r="Q25">
        <v>99</v>
      </c>
      <c r="R25">
        <v>68</v>
      </c>
      <c r="S25">
        <v>27</v>
      </c>
      <c r="T25">
        <v>7</v>
      </c>
      <c r="U25" s="1">
        <v>5</v>
      </c>
    </row>
    <row r="26" spans="1:21" x14ac:dyDescent="0.3">
      <c r="A26" t="s">
        <v>22</v>
      </c>
      <c r="B26" t="s">
        <v>31</v>
      </c>
      <c r="C26" s="2" t="s">
        <v>21</v>
      </c>
      <c r="D26" s="1">
        <v>15502</v>
      </c>
      <c r="E26">
        <v>297</v>
      </c>
      <c r="F26">
        <v>273</v>
      </c>
      <c r="G26">
        <v>202</v>
      </c>
      <c r="H26">
        <v>372</v>
      </c>
      <c r="I26" s="1">
        <v>1819</v>
      </c>
      <c r="J26" s="1">
        <v>2992</v>
      </c>
      <c r="K26" s="1">
        <v>3069</v>
      </c>
      <c r="L26" s="1">
        <v>2255</v>
      </c>
      <c r="M26" s="1">
        <v>1451</v>
      </c>
      <c r="N26">
        <v>864</v>
      </c>
      <c r="O26">
        <v>676</v>
      </c>
      <c r="P26">
        <v>622</v>
      </c>
      <c r="Q26">
        <v>330</v>
      </c>
      <c r="R26">
        <v>173</v>
      </c>
      <c r="S26">
        <v>65</v>
      </c>
      <c r="T26">
        <v>31</v>
      </c>
      <c r="U26" s="1">
        <v>11</v>
      </c>
    </row>
    <row r="27" spans="1:21" x14ac:dyDescent="0.3">
      <c r="A27" t="s">
        <v>22</v>
      </c>
      <c r="B27" t="s">
        <v>31</v>
      </c>
      <c r="C27" s="2" t="s">
        <v>24</v>
      </c>
      <c r="D27" s="1">
        <v>10601</v>
      </c>
      <c r="E27">
        <v>163</v>
      </c>
      <c r="F27">
        <v>131</v>
      </c>
      <c r="G27">
        <v>100</v>
      </c>
      <c r="H27">
        <v>197</v>
      </c>
      <c r="I27" s="1">
        <v>1349</v>
      </c>
      <c r="J27" s="1">
        <v>2290</v>
      </c>
      <c r="K27" s="1">
        <v>2367</v>
      </c>
      <c r="L27" s="1">
        <v>1647</v>
      </c>
      <c r="M27">
        <v>979</v>
      </c>
      <c r="N27">
        <v>480</v>
      </c>
      <c r="O27">
        <v>316</v>
      </c>
      <c r="P27">
        <v>292</v>
      </c>
      <c r="Q27">
        <v>151</v>
      </c>
      <c r="R27">
        <v>81</v>
      </c>
      <c r="S27">
        <v>36</v>
      </c>
      <c r="T27">
        <v>18</v>
      </c>
      <c r="U27" s="1">
        <v>4</v>
      </c>
    </row>
    <row r="28" spans="1:21" x14ac:dyDescent="0.3">
      <c r="A28" t="s">
        <v>22</v>
      </c>
      <c r="B28" t="s">
        <v>31</v>
      </c>
      <c r="C28" s="2" t="s">
        <v>25</v>
      </c>
      <c r="D28" s="1">
        <v>4901</v>
      </c>
      <c r="E28">
        <v>134</v>
      </c>
      <c r="F28">
        <v>142</v>
      </c>
      <c r="G28">
        <v>102</v>
      </c>
      <c r="H28">
        <v>175</v>
      </c>
      <c r="I28">
        <v>470</v>
      </c>
      <c r="J28">
        <v>702</v>
      </c>
      <c r="K28">
        <v>702</v>
      </c>
      <c r="L28">
        <v>608</v>
      </c>
      <c r="M28">
        <v>472</v>
      </c>
      <c r="N28">
        <v>384</v>
      </c>
      <c r="O28">
        <v>360</v>
      </c>
      <c r="P28">
        <v>330</v>
      </c>
      <c r="Q28">
        <v>179</v>
      </c>
      <c r="R28">
        <v>92</v>
      </c>
      <c r="S28">
        <v>29</v>
      </c>
      <c r="T28">
        <v>13</v>
      </c>
      <c r="U28" s="1">
        <v>7</v>
      </c>
    </row>
    <row r="29" spans="1:21" x14ac:dyDescent="0.3">
      <c r="A29" t="s">
        <v>22</v>
      </c>
      <c r="B29" t="s">
        <v>32</v>
      </c>
      <c r="C29" s="2" t="s">
        <v>21</v>
      </c>
      <c r="D29" s="1">
        <v>1688</v>
      </c>
      <c r="E29">
        <v>49</v>
      </c>
      <c r="F29">
        <v>48</v>
      </c>
      <c r="G29">
        <v>18</v>
      </c>
      <c r="H29">
        <v>35</v>
      </c>
      <c r="I29">
        <v>164</v>
      </c>
      <c r="J29">
        <v>256</v>
      </c>
      <c r="K29">
        <v>270</v>
      </c>
      <c r="L29">
        <v>211</v>
      </c>
      <c r="M29">
        <v>153</v>
      </c>
      <c r="N29">
        <v>99</v>
      </c>
      <c r="O29">
        <v>129</v>
      </c>
      <c r="P29">
        <v>111</v>
      </c>
      <c r="Q29">
        <v>76</v>
      </c>
      <c r="R29">
        <v>46</v>
      </c>
      <c r="S29">
        <v>20</v>
      </c>
      <c r="T29">
        <v>2</v>
      </c>
      <c r="U29" s="1">
        <v>1</v>
      </c>
    </row>
    <row r="30" spans="1:21" x14ac:dyDescent="0.3">
      <c r="A30" t="s">
        <v>22</v>
      </c>
      <c r="B30" t="s">
        <v>32</v>
      </c>
      <c r="C30" s="2" t="s">
        <v>24</v>
      </c>
      <c r="D30">
        <v>790</v>
      </c>
      <c r="E30">
        <v>20</v>
      </c>
      <c r="F30">
        <v>25</v>
      </c>
      <c r="G30">
        <v>12</v>
      </c>
      <c r="H30">
        <v>18</v>
      </c>
      <c r="I30">
        <v>82</v>
      </c>
      <c r="J30">
        <v>130</v>
      </c>
      <c r="K30">
        <v>139</v>
      </c>
      <c r="L30">
        <v>102</v>
      </c>
      <c r="M30">
        <v>76</v>
      </c>
      <c r="N30">
        <v>31</v>
      </c>
      <c r="O30">
        <v>53</v>
      </c>
      <c r="P30">
        <v>44</v>
      </c>
      <c r="Q30">
        <v>27</v>
      </c>
      <c r="R30">
        <v>17</v>
      </c>
      <c r="S30">
        <v>11</v>
      </c>
      <c r="T30">
        <v>2</v>
      </c>
      <c r="U30" s="1">
        <v>1</v>
      </c>
    </row>
    <row r="31" spans="1:21" x14ac:dyDescent="0.3">
      <c r="A31" t="s">
        <v>22</v>
      </c>
      <c r="B31" t="s">
        <v>32</v>
      </c>
      <c r="C31" s="2" t="s">
        <v>25</v>
      </c>
      <c r="D31">
        <v>898</v>
      </c>
      <c r="E31">
        <v>29</v>
      </c>
      <c r="F31">
        <v>23</v>
      </c>
      <c r="G31">
        <v>6</v>
      </c>
      <c r="H31">
        <v>17</v>
      </c>
      <c r="I31">
        <v>82</v>
      </c>
      <c r="J31">
        <v>126</v>
      </c>
      <c r="K31">
        <v>131</v>
      </c>
      <c r="L31">
        <v>109</v>
      </c>
      <c r="M31">
        <v>77</v>
      </c>
      <c r="N31">
        <v>68</v>
      </c>
      <c r="O31">
        <v>76</v>
      </c>
      <c r="P31">
        <v>67</v>
      </c>
      <c r="Q31">
        <v>49</v>
      </c>
      <c r="R31">
        <v>29</v>
      </c>
      <c r="S31">
        <v>9</v>
      </c>
      <c r="T31">
        <v>0</v>
      </c>
      <c r="U31" s="1">
        <v>0</v>
      </c>
    </row>
    <row r="32" spans="1:21" x14ac:dyDescent="0.3">
      <c r="A32" t="s">
        <v>22</v>
      </c>
      <c r="B32" t="s">
        <v>33</v>
      </c>
      <c r="C32" s="2" t="s">
        <v>21</v>
      </c>
      <c r="D32" s="1">
        <v>5945</v>
      </c>
      <c r="E32">
        <v>143</v>
      </c>
      <c r="F32">
        <v>209</v>
      </c>
      <c r="G32">
        <v>129</v>
      </c>
      <c r="H32">
        <v>104</v>
      </c>
      <c r="I32">
        <v>421</v>
      </c>
      <c r="J32">
        <v>551</v>
      </c>
      <c r="K32">
        <v>547</v>
      </c>
      <c r="L32">
        <v>719</v>
      </c>
      <c r="M32">
        <v>641</v>
      </c>
      <c r="N32">
        <v>506</v>
      </c>
      <c r="O32">
        <v>548</v>
      </c>
      <c r="P32">
        <v>677</v>
      </c>
      <c r="Q32">
        <v>439</v>
      </c>
      <c r="R32">
        <v>202</v>
      </c>
      <c r="S32">
        <v>71</v>
      </c>
      <c r="T32">
        <v>28</v>
      </c>
      <c r="U32" s="1">
        <v>10</v>
      </c>
    </row>
    <row r="33" spans="1:21" x14ac:dyDescent="0.3">
      <c r="A33" t="s">
        <v>22</v>
      </c>
      <c r="B33" t="s">
        <v>33</v>
      </c>
      <c r="C33" s="2" t="s">
        <v>24</v>
      </c>
      <c r="D33" s="1">
        <v>3059</v>
      </c>
      <c r="E33">
        <v>71</v>
      </c>
      <c r="F33">
        <v>106</v>
      </c>
      <c r="G33">
        <v>69</v>
      </c>
      <c r="H33">
        <v>49</v>
      </c>
      <c r="I33">
        <v>248</v>
      </c>
      <c r="J33">
        <v>302</v>
      </c>
      <c r="K33">
        <v>294</v>
      </c>
      <c r="L33">
        <v>391</v>
      </c>
      <c r="M33">
        <v>334</v>
      </c>
      <c r="N33">
        <v>248</v>
      </c>
      <c r="O33">
        <v>254</v>
      </c>
      <c r="P33">
        <v>300</v>
      </c>
      <c r="Q33">
        <v>215</v>
      </c>
      <c r="R33">
        <v>116</v>
      </c>
      <c r="S33">
        <v>42</v>
      </c>
      <c r="T33">
        <v>14</v>
      </c>
      <c r="U33" s="1">
        <v>6</v>
      </c>
    </row>
    <row r="34" spans="1:21" x14ac:dyDescent="0.3">
      <c r="A34" t="s">
        <v>22</v>
      </c>
      <c r="B34" t="s">
        <v>33</v>
      </c>
      <c r="C34" s="2" t="s">
        <v>25</v>
      </c>
      <c r="D34" s="1">
        <v>2886</v>
      </c>
      <c r="E34">
        <v>72</v>
      </c>
      <c r="F34">
        <v>103</v>
      </c>
      <c r="G34">
        <v>60</v>
      </c>
      <c r="H34">
        <v>55</v>
      </c>
      <c r="I34">
        <v>173</v>
      </c>
      <c r="J34">
        <v>249</v>
      </c>
      <c r="K34">
        <v>253</v>
      </c>
      <c r="L34">
        <v>328</v>
      </c>
      <c r="M34">
        <v>307</v>
      </c>
      <c r="N34">
        <v>258</v>
      </c>
      <c r="O34">
        <v>294</v>
      </c>
      <c r="P34">
        <v>377</v>
      </c>
      <c r="Q34">
        <v>224</v>
      </c>
      <c r="R34">
        <v>86</v>
      </c>
      <c r="S34">
        <v>29</v>
      </c>
      <c r="T34">
        <v>14</v>
      </c>
      <c r="U34" s="1">
        <v>4</v>
      </c>
    </row>
    <row r="35" spans="1:21" x14ac:dyDescent="0.3">
      <c r="A35" t="s">
        <v>22</v>
      </c>
      <c r="B35" t="s">
        <v>34</v>
      </c>
      <c r="C35" s="2" t="s">
        <v>21</v>
      </c>
      <c r="D35" s="1">
        <v>26363</v>
      </c>
      <c r="E35">
        <v>572</v>
      </c>
      <c r="F35">
        <v>572</v>
      </c>
      <c r="G35">
        <v>307</v>
      </c>
      <c r="H35">
        <v>312</v>
      </c>
      <c r="I35" s="1">
        <v>2457</v>
      </c>
      <c r="J35" s="1">
        <v>5012</v>
      </c>
      <c r="K35" s="1">
        <v>5977</v>
      </c>
      <c r="L35" s="1">
        <v>4692</v>
      </c>
      <c r="M35" s="1">
        <v>2546</v>
      </c>
      <c r="N35" s="1">
        <v>1280</v>
      </c>
      <c r="O35">
        <v>833</v>
      </c>
      <c r="P35">
        <v>837</v>
      </c>
      <c r="Q35">
        <v>557</v>
      </c>
      <c r="R35">
        <v>251</v>
      </c>
      <c r="S35">
        <v>98</v>
      </c>
      <c r="T35">
        <v>38</v>
      </c>
      <c r="U35" s="1">
        <v>22</v>
      </c>
    </row>
    <row r="36" spans="1:21" x14ac:dyDescent="0.3">
      <c r="A36" t="s">
        <v>22</v>
      </c>
      <c r="B36" t="s">
        <v>34</v>
      </c>
      <c r="C36" s="2" t="s">
        <v>24</v>
      </c>
      <c r="D36" s="1">
        <v>19967</v>
      </c>
      <c r="E36">
        <v>304</v>
      </c>
      <c r="F36">
        <v>288</v>
      </c>
      <c r="G36">
        <v>163</v>
      </c>
      <c r="H36">
        <v>180</v>
      </c>
      <c r="I36" s="1">
        <v>1961</v>
      </c>
      <c r="J36" s="1">
        <v>4196</v>
      </c>
      <c r="K36" s="1">
        <v>5101</v>
      </c>
      <c r="L36" s="1">
        <v>3738</v>
      </c>
      <c r="M36" s="1">
        <v>1881</v>
      </c>
      <c r="N36">
        <v>825</v>
      </c>
      <c r="O36">
        <v>425</v>
      </c>
      <c r="P36">
        <v>407</v>
      </c>
      <c r="Q36">
        <v>278</v>
      </c>
      <c r="R36">
        <v>128</v>
      </c>
      <c r="S36">
        <v>55</v>
      </c>
      <c r="T36">
        <v>24</v>
      </c>
      <c r="U36" s="1">
        <v>13</v>
      </c>
    </row>
    <row r="37" spans="1:21" x14ac:dyDescent="0.3">
      <c r="A37" t="s">
        <v>22</v>
      </c>
      <c r="B37" t="s">
        <v>34</v>
      </c>
      <c r="C37" s="2" t="s">
        <v>25</v>
      </c>
      <c r="D37" s="1">
        <v>6396</v>
      </c>
      <c r="E37">
        <v>268</v>
      </c>
      <c r="F37">
        <v>284</v>
      </c>
      <c r="G37">
        <v>144</v>
      </c>
      <c r="H37">
        <v>132</v>
      </c>
      <c r="I37">
        <v>496</v>
      </c>
      <c r="J37">
        <v>816</v>
      </c>
      <c r="K37">
        <v>876</v>
      </c>
      <c r="L37">
        <v>954</v>
      </c>
      <c r="M37">
        <v>665</v>
      </c>
      <c r="N37">
        <v>455</v>
      </c>
      <c r="O37">
        <v>408</v>
      </c>
      <c r="P37">
        <v>430</v>
      </c>
      <c r="Q37">
        <v>279</v>
      </c>
      <c r="R37">
        <v>123</v>
      </c>
      <c r="S37">
        <v>43</v>
      </c>
      <c r="T37">
        <v>14</v>
      </c>
      <c r="U37" s="1">
        <v>9</v>
      </c>
    </row>
    <row r="38" spans="1:21" x14ac:dyDescent="0.3">
      <c r="A38" t="s">
        <v>22</v>
      </c>
      <c r="B38" t="s">
        <v>35</v>
      </c>
      <c r="C38" s="2" t="s">
        <v>21</v>
      </c>
      <c r="D38" s="1">
        <v>10073</v>
      </c>
      <c r="E38">
        <v>134</v>
      </c>
      <c r="F38">
        <v>122</v>
      </c>
      <c r="G38">
        <v>90</v>
      </c>
      <c r="H38">
        <v>404</v>
      </c>
      <c r="I38" s="1">
        <v>1348</v>
      </c>
      <c r="J38" s="1">
        <v>1794</v>
      </c>
      <c r="K38" s="1">
        <v>1835</v>
      </c>
      <c r="L38" s="1">
        <v>1484</v>
      </c>
      <c r="M38">
        <v>953</v>
      </c>
      <c r="N38">
        <v>594</v>
      </c>
      <c r="O38">
        <v>433</v>
      </c>
      <c r="P38">
        <v>419</v>
      </c>
      <c r="Q38">
        <v>286</v>
      </c>
      <c r="R38">
        <v>107</v>
      </c>
      <c r="S38">
        <v>49</v>
      </c>
      <c r="T38">
        <v>12</v>
      </c>
      <c r="U38" s="1">
        <v>9</v>
      </c>
    </row>
    <row r="39" spans="1:21" x14ac:dyDescent="0.3">
      <c r="A39" t="s">
        <v>22</v>
      </c>
      <c r="B39" t="s">
        <v>35</v>
      </c>
      <c r="C39" s="2" t="s">
        <v>24</v>
      </c>
      <c r="D39" s="1">
        <v>5910</v>
      </c>
      <c r="E39">
        <v>74</v>
      </c>
      <c r="F39">
        <v>68</v>
      </c>
      <c r="G39">
        <v>46</v>
      </c>
      <c r="H39">
        <v>163</v>
      </c>
      <c r="I39">
        <v>788</v>
      </c>
      <c r="J39" s="1">
        <v>1205</v>
      </c>
      <c r="K39" s="1">
        <v>1242</v>
      </c>
      <c r="L39">
        <v>952</v>
      </c>
      <c r="M39">
        <v>524</v>
      </c>
      <c r="N39">
        <v>279</v>
      </c>
      <c r="O39">
        <v>195</v>
      </c>
      <c r="P39">
        <v>178</v>
      </c>
      <c r="Q39">
        <v>106</v>
      </c>
      <c r="R39">
        <v>51</v>
      </c>
      <c r="S39">
        <v>26</v>
      </c>
      <c r="T39">
        <v>8</v>
      </c>
      <c r="U39" s="1">
        <v>5</v>
      </c>
    </row>
    <row r="40" spans="1:21" x14ac:dyDescent="0.3">
      <c r="A40" t="s">
        <v>22</v>
      </c>
      <c r="B40" t="s">
        <v>35</v>
      </c>
      <c r="C40" s="2" t="s">
        <v>25</v>
      </c>
      <c r="D40" s="1">
        <v>4163</v>
      </c>
      <c r="E40">
        <v>60</v>
      </c>
      <c r="F40">
        <v>54</v>
      </c>
      <c r="G40">
        <v>44</v>
      </c>
      <c r="H40">
        <v>241</v>
      </c>
      <c r="I40">
        <v>560</v>
      </c>
      <c r="J40">
        <v>589</v>
      </c>
      <c r="K40">
        <v>593</v>
      </c>
      <c r="L40">
        <v>532</v>
      </c>
      <c r="M40">
        <v>429</v>
      </c>
      <c r="N40">
        <v>315</v>
      </c>
      <c r="O40">
        <v>238</v>
      </c>
      <c r="P40">
        <v>241</v>
      </c>
      <c r="Q40">
        <v>180</v>
      </c>
      <c r="R40">
        <v>56</v>
      </c>
      <c r="S40">
        <v>23</v>
      </c>
      <c r="T40">
        <v>4</v>
      </c>
      <c r="U40" s="1">
        <v>4</v>
      </c>
    </row>
    <row r="41" spans="1:21" x14ac:dyDescent="0.3">
      <c r="A41" t="s">
        <v>22</v>
      </c>
      <c r="B41" t="s">
        <v>36</v>
      </c>
      <c r="C41" s="2" t="s">
        <v>21</v>
      </c>
      <c r="D41" s="1">
        <v>4451</v>
      </c>
      <c r="E41">
        <v>103</v>
      </c>
      <c r="F41">
        <v>121</v>
      </c>
      <c r="G41">
        <v>86</v>
      </c>
      <c r="H41">
        <v>209</v>
      </c>
      <c r="I41">
        <v>519</v>
      </c>
      <c r="J41">
        <v>529</v>
      </c>
      <c r="K41">
        <v>635</v>
      </c>
      <c r="L41">
        <v>580</v>
      </c>
      <c r="M41">
        <v>525</v>
      </c>
      <c r="N41">
        <v>362</v>
      </c>
      <c r="O41">
        <v>285</v>
      </c>
      <c r="P41">
        <v>230</v>
      </c>
      <c r="Q41">
        <v>143</v>
      </c>
      <c r="R41">
        <v>77</v>
      </c>
      <c r="S41">
        <v>21</v>
      </c>
      <c r="T41">
        <v>13</v>
      </c>
      <c r="U41" s="1">
        <v>13</v>
      </c>
    </row>
    <row r="42" spans="1:21" x14ac:dyDescent="0.3">
      <c r="A42" t="s">
        <v>22</v>
      </c>
      <c r="B42" t="s">
        <v>36</v>
      </c>
      <c r="C42" s="2" t="s">
        <v>24</v>
      </c>
      <c r="D42" s="1">
        <v>2576</v>
      </c>
      <c r="E42">
        <v>55</v>
      </c>
      <c r="F42">
        <v>64</v>
      </c>
      <c r="G42">
        <v>54</v>
      </c>
      <c r="H42">
        <v>124</v>
      </c>
      <c r="I42">
        <v>321</v>
      </c>
      <c r="J42">
        <v>305</v>
      </c>
      <c r="K42">
        <v>329</v>
      </c>
      <c r="L42">
        <v>338</v>
      </c>
      <c r="M42">
        <v>311</v>
      </c>
      <c r="N42">
        <v>220</v>
      </c>
      <c r="O42">
        <v>171</v>
      </c>
      <c r="P42">
        <v>127</v>
      </c>
      <c r="Q42">
        <v>81</v>
      </c>
      <c r="R42">
        <v>45</v>
      </c>
      <c r="S42">
        <v>13</v>
      </c>
      <c r="T42">
        <v>8</v>
      </c>
      <c r="U42" s="1">
        <v>10</v>
      </c>
    </row>
    <row r="43" spans="1:21" x14ac:dyDescent="0.3">
      <c r="A43" t="s">
        <v>22</v>
      </c>
      <c r="B43" t="s">
        <v>36</v>
      </c>
      <c r="C43" s="2" t="s">
        <v>25</v>
      </c>
      <c r="D43" s="1">
        <v>1875</v>
      </c>
      <c r="E43">
        <v>48</v>
      </c>
      <c r="F43">
        <v>57</v>
      </c>
      <c r="G43">
        <v>32</v>
      </c>
      <c r="H43">
        <v>85</v>
      </c>
      <c r="I43">
        <v>198</v>
      </c>
      <c r="J43">
        <v>224</v>
      </c>
      <c r="K43">
        <v>306</v>
      </c>
      <c r="L43">
        <v>242</v>
      </c>
      <c r="M43">
        <v>214</v>
      </c>
      <c r="N43">
        <v>142</v>
      </c>
      <c r="O43">
        <v>114</v>
      </c>
      <c r="P43">
        <v>103</v>
      </c>
      <c r="Q43">
        <v>62</v>
      </c>
      <c r="R43">
        <v>32</v>
      </c>
      <c r="S43">
        <v>8</v>
      </c>
      <c r="T43">
        <v>5</v>
      </c>
      <c r="U43" s="1">
        <v>3</v>
      </c>
    </row>
    <row r="44" spans="1:21" x14ac:dyDescent="0.3">
      <c r="A44" t="s">
        <v>22</v>
      </c>
      <c r="B44" t="s">
        <v>37</v>
      </c>
      <c r="C44" s="2" t="s">
        <v>21</v>
      </c>
      <c r="D44" s="1">
        <v>12394</v>
      </c>
      <c r="E44">
        <v>456</v>
      </c>
      <c r="F44">
        <v>716</v>
      </c>
      <c r="G44">
        <v>396</v>
      </c>
      <c r="H44">
        <v>378</v>
      </c>
      <c r="I44">
        <v>539</v>
      </c>
      <c r="J44">
        <v>365</v>
      </c>
      <c r="K44">
        <v>740</v>
      </c>
      <c r="L44" s="1">
        <v>1691</v>
      </c>
      <c r="M44" s="1">
        <v>1502</v>
      </c>
      <c r="N44">
        <v>974</v>
      </c>
      <c r="O44" s="1">
        <v>1067</v>
      </c>
      <c r="P44" s="1">
        <v>1418</v>
      </c>
      <c r="Q44" s="1">
        <v>1208</v>
      </c>
      <c r="R44">
        <v>665</v>
      </c>
      <c r="S44">
        <v>200</v>
      </c>
      <c r="T44">
        <v>53</v>
      </c>
      <c r="U44" s="1">
        <v>26</v>
      </c>
    </row>
    <row r="45" spans="1:21" x14ac:dyDescent="0.3">
      <c r="A45" t="s">
        <v>22</v>
      </c>
      <c r="B45" t="s">
        <v>37</v>
      </c>
      <c r="C45" s="2" t="s">
        <v>24</v>
      </c>
      <c r="D45" s="1">
        <v>6336</v>
      </c>
      <c r="E45">
        <v>230</v>
      </c>
      <c r="F45">
        <v>380</v>
      </c>
      <c r="G45">
        <v>200</v>
      </c>
      <c r="H45">
        <v>190</v>
      </c>
      <c r="I45">
        <v>256</v>
      </c>
      <c r="J45">
        <v>176</v>
      </c>
      <c r="K45">
        <v>316</v>
      </c>
      <c r="L45">
        <v>849</v>
      </c>
      <c r="M45">
        <v>800</v>
      </c>
      <c r="N45">
        <v>520</v>
      </c>
      <c r="O45">
        <v>532</v>
      </c>
      <c r="P45">
        <v>689</v>
      </c>
      <c r="Q45">
        <v>643</v>
      </c>
      <c r="R45">
        <v>393</v>
      </c>
      <c r="S45">
        <v>115</v>
      </c>
      <c r="T45">
        <v>31</v>
      </c>
      <c r="U45" s="1">
        <v>16</v>
      </c>
    </row>
    <row r="46" spans="1:21" x14ac:dyDescent="0.3">
      <c r="A46" t="s">
        <v>22</v>
      </c>
      <c r="B46" t="s">
        <v>37</v>
      </c>
      <c r="C46" s="2" t="s">
        <v>25</v>
      </c>
      <c r="D46" s="1">
        <v>6058</v>
      </c>
      <c r="E46">
        <v>226</v>
      </c>
      <c r="F46">
        <v>336</v>
      </c>
      <c r="G46">
        <v>196</v>
      </c>
      <c r="H46">
        <v>188</v>
      </c>
      <c r="I46">
        <v>283</v>
      </c>
      <c r="J46">
        <v>189</v>
      </c>
      <c r="K46">
        <v>424</v>
      </c>
      <c r="L46">
        <v>842</v>
      </c>
      <c r="M46">
        <v>702</v>
      </c>
      <c r="N46">
        <v>454</v>
      </c>
      <c r="O46">
        <v>535</v>
      </c>
      <c r="P46">
        <v>729</v>
      </c>
      <c r="Q46">
        <v>565</v>
      </c>
      <c r="R46">
        <v>272</v>
      </c>
      <c r="S46">
        <v>85</v>
      </c>
      <c r="T46">
        <v>22</v>
      </c>
      <c r="U46" s="1">
        <v>10</v>
      </c>
    </row>
    <row r="47" spans="1:21" x14ac:dyDescent="0.3">
      <c r="A47" t="s">
        <v>22</v>
      </c>
      <c r="B47" t="s">
        <v>38</v>
      </c>
      <c r="C47" s="2" t="s">
        <v>21</v>
      </c>
      <c r="D47" s="1">
        <v>3424</v>
      </c>
      <c r="E47">
        <v>72</v>
      </c>
      <c r="F47">
        <v>101</v>
      </c>
      <c r="G47">
        <v>61</v>
      </c>
      <c r="H47">
        <v>63</v>
      </c>
      <c r="I47">
        <v>219</v>
      </c>
      <c r="J47">
        <v>435</v>
      </c>
      <c r="K47">
        <v>549</v>
      </c>
      <c r="L47">
        <v>569</v>
      </c>
      <c r="M47">
        <v>409</v>
      </c>
      <c r="N47">
        <v>246</v>
      </c>
      <c r="O47">
        <v>232</v>
      </c>
      <c r="P47">
        <v>208</v>
      </c>
      <c r="Q47">
        <v>138</v>
      </c>
      <c r="R47">
        <v>87</v>
      </c>
      <c r="S47">
        <v>21</v>
      </c>
      <c r="T47">
        <v>7</v>
      </c>
      <c r="U47" s="1">
        <v>7</v>
      </c>
    </row>
    <row r="48" spans="1:21" x14ac:dyDescent="0.3">
      <c r="A48" t="s">
        <v>22</v>
      </c>
      <c r="B48" t="s">
        <v>38</v>
      </c>
      <c r="C48" s="2" t="s">
        <v>24</v>
      </c>
      <c r="D48" s="1">
        <v>2047</v>
      </c>
      <c r="E48">
        <v>46</v>
      </c>
      <c r="F48">
        <v>56</v>
      </c>
      <c r="G48">
        <v>34</v>
      </c>
      <c r="H48">
        <v>34</v>
      </c>
      <c r="I48">
        <v>148</v>
      </c>
      <c r="J48">
        <v>307</v>
      </c>
      <c r="K48">
        <v>411</v>
      </c>
      <c r="L48">
        <v>360</v>
      </c>
      <c r="M48">
        <v>232</v>
      </c>
      <c r="N48">
        <v>122</v>
      </c>
      <c r="O48">
        <v>99</v>
      </c>
      <c r="P48">
        <v>84</v>
      </c>
      <c r="Q48">
        <v>56</v>
      </c>
      <c r="R48">
        <v>39</v>
      </c>
      <c r="S48">
        <v>11</v>
      </c>
      <c r="T48">
        <v>3</v>
      </c>
      <c r="U48" s="1">
        <v>5</v>
      </c>
    </row>
    <row r="49" spans="1:21" x14ac:dyDescent="0.3">
      <c r="A49" t="s">
        <v>22</v>
      </c>
      <c r="B49" t="s">
        <v>38</v>
      </c>
      <c r="C49" s="2" t="s">
        <v>25</v>
      </c>
      <c r="D49" s="1">
        <v>1377</v>
      </c>
      <c r="E49">
        <v>26</v>
      </c>
      <c r="F49">
        <v>45</v>
      </c>
      <c r="G49">
        <v>27</v>
      </c>
      <c r="H49">
        <v>29</v>
      </c>
      <c r="I49">
        <v>71</v>
      </c>
      <c r="J49">
        <v>128</v>
      </c>
      <c r="K49">
        <v>138</v>
      </c>
      <c r="L49">
        <v>209</v>
      </c>
      <c r="M49">
        <v>177</v>
      </c>
      <c r="N49">
        <v>124</v>
      </c>
      <c r="O49">
        <v>133</v>
      </c>
      <c r="P49">
        <v>124</v>
      </c>
      <c r="Q49">
        <v>82</v>
      </c>
      <c r="R49">
        <v>48</v>
      </c>
      <c r="S49">
        <v>10</v>
      </c>
      <c r="T49">
        <v>4</v>
      </c>
      <c r="U49" s="1">
        <v>2</v>
      </c>
    </row>
    <row r="50" spans="1:21" x14ac:dyDescent="0.3">
      <c r="A50" t="s">
        <v>22</v>
      </c>
      <c r="B50" t="s">
        <v>39</v>
      </c>
      <c r="C50" s="2" t="s">
        <v>21</v>
      </c>
      <c r="D50" s="1">
        <v>15898</v>
      </c>
      <c r="E50">
        <v>478</v>
      </c>
      <c r="F50">
        <v>692</v>
      </c>
      <c r="G50">
        <v>355</v>
      </c>
      <c r="H50">
        <v>864</v>
      </c>
      <c r="I50" s="1">
        <v>1953</v>
      </c>
      <c r="J50" s="1">
        <v>1246</v>
      </c>
      <c r="K50" s="1">
        <v>1258</v>
      </c>
      <c r="L50" s="1">
        <v>1971</v>
      </c>
      <c r="M50" s="1">
        <v>1629</v>
      </c>
      <c r="N50" s="1">
        <v>1162</v>
      </c>
      <c r="O50" s="1">
        <v>1153</v>
      </c>
      <c r="P50" s="1">
        <v>1300</v>
      </c>
      <c r="Q50">
        <v>999</v>
      </c>
      <c r="R50">
        <v>531</v>
      </c>
      <c r="S50">
        <v>220</v>
      </c>
      <c r="T50">
        <v>59</v>
      </c>
      <c r="U50" s="1">
        <v>28</v>
      </c>
    </row>
    <row r="51" spans="1:21" x14ac:dyDescent="0.3">
      <c r="A51" t="s">
        <v>22</v>
      </c>
      <c r="B51" t="s">
        <v>39</v>
      </c>
      <c r="C51" s="2" t="s">
        <v>24</v>
      </c>
      <c r="D51" s="1">
        <v>7884</v>
      </c>
      <c r="E51">
        <v>269</v>
      </c>
      <c r="F51">
        <v>363</v>
      </c>
      <c r="G51">
        <v>179</v>
      </c>
      <c r="H51">
        <v>342</v>
      </c>
      <c r="I51">
        <v>887</v>
      </c>
      <c r="J51">
        <v>591</v>
      </c>
      <c r="K51">
        <v>646</v>
      </c>
      <c r="L51">
        <v>995</v>
      </c>
      <c r="M51">
        <v>830</v>
      </c>
      <c r="N51">
        <v>583</v>
      </c>
      <c r="O51">
        <v>581</v>
      </c>
      <c r="P51">
        <v>627</v>
      </c>
      <c r="Q51">
        <v>523</v>
      </c>
      <c r="R51">
        <v>297</v>
      </c>
      <c r="S51">
        <v>124</v>
      </c>
      <c r="T51">
        <v>37</v>
      </c>
      <c r="U51" s="1">
        <v>10</v>
      </c>
    </row>
    <row r="52" spans="1:21" x14ac:dyDescent="0.3">
      <c r="A52" t="s">
        <v>22</v>
      </c>
      <c r="B52" t="s">
        <v>39</v>
      </c>
      <c r="C52" s="2" t="s">
        <v>25</v>
      </c>
      <c r="D52" s="1">
        <v>8014</v>
      </c>
      <c r="E52">
        <v>209</v>
      </c>
      <c r="F52">
        <v>329</v>
      </c>
      <c r="G52">
        <v>176</v>
      </c>
      <c r="H52">
        <v>522</v>
      </c>
      <c r="I52" s="1">
        <v>1066</v>
      </c>
      <c r="J52">
        <v>655</v>
      </c>
      <c r="K52">
        <v>612</v>
      </c>
      <c r="L52">
        <v>976</v>
      </c>
      <c r="M52">
        <v>799</v>
      </c>
      <c r="N52">
        <v>579</v>
      </c>
      <c r="O52">
        <v>572</v>
      </c>
      <c r="P52">
        <v>673</v>
      </c>
      <c r="Q52">
        <v>476</v>
      </c>
      <c r="R52">
        <v>234</v>
      </c>
      <c r="S52">
        <v>96</v>
      </c>
      <c r="T52">
        <v>22</v>
      </c>
      <c r="U52" s="1">
        <v>18</v>
      </c>
    </row>
    <row r="53" spans="1:21" x14ac:dyDescent="0.3">
      <c r="A53" t="s">
        <v>22</v>
      </c>
      <c r="B53" t="s">
        <v>40</v>
      </c>
      <c r="C53" s="2" t="s">
        <v>21</v>
      </c>
      <c r="D53" s="1">
        <v>3106</v>
      </c>
      <c r="E53">
        <v>75</v>
      </c>
      <c r="F53">
        <v>68</v>
      </c>
      <c r="G53">
        <v>72</v>
      </c>
      <c r="H53">
        <v>53</v>
      </c>
      <c r="I53">
        <v>141</v>
      </c>
      <c r="J53">
        <v>434</v>
      </c>
      <c r="K53">
        <v>527</v>
      </c>
      <c r="L53">
        <v>498</v>
      </c>
      <c r="M53">
        <v>380</v>
      </c>
      <c r="N53">
        <v>301</v>
      </c>
      <c r="O53">
        <v>205</v>
      </c>
      <c r="P53">
        <v>160</v>
      </c>
      <c r="Q53">
        <v>103</v>
      </c>
      <c r="R53">
        <v>46</v>
      </c>
      <c r="S53">
        <v>21</v>
      </c>
      <c r="T53">
        <v>12</v>
      </c>
      <c r="U53" s="1">
        <v>10</v>
      </c>
    </row>
    <row r="54" spans="1:21" x14ac:dyDescent="0.3">
      <c r="A54" t="s">
        <v>22</v>
      </c>
      <c r="B54" t="s">
        <v>40</v>
      </c>
      <c r="C54" s="2" t="s">
        <v>24</v>
      </c>
      <c r="D54" s="1">
        <v>1466</v>
      </c>
      <c r="E54">
        <v>41</v>
      </c>
      <c r="F54">
        <v>30</v>
      </c>
      <c r="G54">
        <v>43</v>
      </c>
      <c r="H54">
        <v>34</v>
      </c>
      <c r="I54">
        <v>46</v>
      </c>
      <c r="J54">
        <v>147</v>
      </c>
      <c r="K54">
        <v>206</v>
      </c>
      <c r="L54">
        <v>239</v>
      </c>
      <c r="M54">
        <v>202</v>
      </c>
      <c r="N54">
        <v>167</v>
      </c>
      <c r="O54">
        <v>121</v>
      </c>
      <c r="P54">
        <v>90</v>
      </c>
      <c r="Q54">
        <v>58</v>
      </c>
      <c r="R54">
        <v>25</v>
      </c>
      <c r="S54">
        <v>9</v>
      </c>
      <c r="T54">
        <v>5</v>
      </c>
      <c r="U54" s="1">
        <v>3</v>
      </c>
    </row>
    <row r="55" spans="1:21" x14ac:dyDescent="0.3">
      <c r="A55" t="s">
        <v>22</v>
      </c>
      <c r="B55" t="s">
        <v>40</v>
      </c>
      <c r="C55" s="2" t="s">
        <v>25</v>
      </c>
      <c r="D55" s="1">
        <v>1640</v>
      </c>
      <c r="E55">
        <v>34</v>
      </c>
      <c r="F55">
        <v>38</v>
      </c>
      <c r="G55">
        <v>29</v>
      </c>
      <c r="H55">
        <v>19</v>
      </c>
      <c r="I55">
        <v>95</v>
      </c>
      <c r="J55">
        <v>287</v>
      </c>
      <c r="K55">
        <v>321</v>
      </c>
      <c r="L55">
        <v>259</v>
      </c>
      <c r="M55">
        <v>178</v>
      </c>
      <c r="N55">
        <v>134</v>
      </c>
      <c r="O55">
        <v>84</v>
      </c>
      <c r="P55">
        <v>70</v>
      </c>
      <c r="Q55">
        <v>45</v>
      </c>
      <c r="R55">
        <v>21</v>
      </c>
      <c r="S55">
        <v>12</v>
      </c>
      <c r="T55">
        <v>7</v>
      </c>
      <c r="U55" s="1">
        <v>7</v>
      </c>
    </row>
    <row r="56" spans="1:21" x14ac:dyDescent="0.3">
      <c r="A56" t="s">
        <v>22</v>
      </c>
      <c r="B56" t="s">
        <v>41</v>
      </c>
      <c r="C56" s="2" t="s">
        <v>21</v>
      </c>
      <c r="D56" s="1">
        <v>12270</v>
      </c>
      <c r="E56">
        <v>229</v>
      </c>
      <c r="F56">
        <v>233</v>
      </c>
      <c r="G56">
        <v>164</v>
      </c>
      <c r="H56">
        <v>808</v>
      </c>
      <c r="I56" s="1">
        <v>2826</v>
      </c>
      <c r="J56" s="1">
        <v>1579</v>
      </c>
      <c r="K56">
        <v>836</v>
      </c>
      <c r="L56">
        <v>873</v>
      </c>
      <c r="M56">
        <v>780</v>
      </c>
      <c r="N56">
        <v>708</v>
      </c>
      <c r="O56">
        <v>895</v>
      </c>
      <c r="P56" s="1">
        <v>1170</v>
      </c>
      <c r="Q56">
        <v>716</v>
      </c>
      <c r="R56">
        <v>285</v>
      </c>
      <c r="S56">
        <v>115</v>
      </c>
      <c r="T56">
        <v>35</v>
      </c>
      <c r="U56" s="1">
        <v>18</v>
      </c>
    </row>
    <row r="57" spans="1:21" x14ac:dyDescent="0.3">
      <c r="A57" t="s">
        <v>22</v>
      </c>
      <c r="B57" t="s">
        <v>41</v>
      </c>
      <c r="C57" s="2" t="s">
        <v>24</v>
      </c>
      <c r="D57" s="1">
        <v>5743</v>
      </c>
      <c r="E57">
        <v>108</v>
      </c>
      <c r="F57">
        <v>121</v>
      </c>
      <c r="G57">
        <v>79</v>
      </c>
      <c r="H57">
        <v>330</v>
      </c>
      <c r="I57" s="1">
        <v>1210</v>
      </c>
      <c r="J57">
        <v>704</v>
      </c>
      <c r="K57">
        <v>408</v>
      </c>
      <c r="L57">
        <v>459</v>
      </c>
      <c r="M57">
        <v>387</v>
      </c>
      <c r="N57">
        <v>381</v>
      </c>
      <c r="O57">
        <v>424</v>
      </c>
      <c r="P57">
        <v>535</v>
      </c>
      <c r="Q57">
        <v>348</v>
      </c>
      <c r="R57">
        <v>160</v>
      </c>
      <c r="S57">
        <v>63</v>
      </c>
      <c r="T57">
        <v>16</v>
      </c>
      <c r="U57" s="1">
        <v>10</v>
      </c>
    </row>
    <row r="58" spans="1:21" x14ac:dyDescent="0.3">
      <c r="A58" t="s">
        <v>22</v>
      </c>
      <c r="B58" t="s">
        <v>41</v>
      </c>
      <c r="C58" s="2" t="s">
        <v>25</v>
      </c>
      <c r="D58" s="1">
        <v>6527</v>
      </c>
      <c r="E58">
        <v>121</v>
      </c>
      <c r="F58">
        <v>112</v>
      </c>
      <c r="G58">
        <v>85</v>
      </c>
      <c r="H58">
        <v>478</v>
      </c>
      <c r="I58" s="1">
        <v>1616</v>
      </c>
      <c r="J58">
        <v>875</v>
      </c>
      <c r="K58">
        <v>428</v>
      </c>
      <c r="L58">
        <v>414</v>
      </c>
      <c r="M58">
        <v>393</v>
      </c>
      <c r="N58">
        <v>327</v>
      </c>
      <c r="O58">
        <v>471</v>
      </c>
      <c r="P58">
        <v>635</v>
      </c>
      <c r="Q58">
        <v>368</v>
      </c>
      <c r="R58">
        <v>125</v>
      </c>
      <c r="S58">
        <v>52</v>
      </c>
      <c r="T58">
        <v>19</v>
      </c>
      <c r="U58" s="1">
        <v>8</v>
      </c>
    </row>
    <row r="59" spans="1:21" x14ac:dyDescent="0.3">
      <c r="A59" t="s">
        <v>22</v>
      </c>
      <c r="B59" t="s">
        <v>42</v>
      </c>
      <c r="C59" s="2" t="s">
        <v>21</v>
      </c>
      <c r="D59" s="1">
        <v>2871</v>
      </c>
      <c r="E59">
        <v>41</v>
      </c>
      <c r="F59">
        <v>53</v>
      </c>
      <c r="G59">
        <v>48</v>
      </c>
      <c r="H59">
        <v>93</v>
      </c>
      <c r="I59">
        <v>315</v>
      </c>
      <c r="J59">
        <v>365</v>
      </c>
      <c r="K59">
        <v>323</v>
      </c>
      <c r="L59">
        <v>300</v>
      </c>
      <c r="M59">
        <v>271</v>
      </c>
      <c r="N59">
        <v>232</v>
      </c>
      <c r="O59">
        <v>231</v>
      </c>
      <c r="P59">
        <v>278</v>
      </c>
      <c r="Q59">
        <v>175</v>
      </c>
      <c r="R59">
        <v>89</v>
      </c>
      <c r="S59">
        <v>28</v>
      </c>
      <c r="T59">
        <v>17</v>
      </c>
      <c r="U59" s="1">
        <v>12</v>
      </c>
    </row>
    <row r="60" spans="1:21" x14ac:dyDescent="0.3">
      <c r="A60" t="s">
        <v>22</v>
      </c>
      <c r="B60" t="s">
        <v>42</v>
      </c>
      <c r="C60" s="2" t="s">
        <v>24</v>
      </c>
      <c r="D60" s="1">
        <v>1288</v>
      </c>
      <c r="E60">
        <v>16</v>
      </c>
      <c r="F60">
        <v>25</v>
      </c>
      <c r="G60">
        <v>22</v>
      </c>
      <c r="H60">
        <v>42</v>
      </c>
      <c r="I60">
        <v>152</v>
      </c>
      <c r="J60">
        <v>171</v>
      </c>
      <c r="K60">
        <v>150</v>
      </c>
      <c r="L60">
        <v>133</v>
      </c>
      <c r="M60">
        <v>126</v>
      </c>
      <c r="N60">
        <v>86</v>
      </c>
      <c r="O60">
        <v>97</v>
      </c>
      <c r="P60">
        <v>115</v>
      </c>
      <c r="Q60">
        <v>81</v>
      </c>
      <c r="R60">
        <v>43</v>
      </c>
      <c r="S60">
        <v>13</v>
      </c>
      <c r="T60">
        <v>10</v>
      </c>
      <c r="U60" s="1">
        <v>6</v>
      </c>
    </row>
    <row r="61" spans="1:21" x14ac:dyDescent="0.3">
      <c r="A61" t="s">
        <v>22</v>
      </c>
      <c r="B61" t="s">
        <v>42</v>
      </c>
      <c r="C61" s="2" t="s">
        <v>25</v>
      </c>
      <c r="D61" s="1">
        <v>1583</v>
      </c>
      <c r="E61">
        <v>25</v>
      </c>
      <c r="F61">
        <v>28</v>
      </c>
      <c r="G61">
        <v>26</v>
      </c>
      <c r="H61">
        <v>51</v>
      </c>
      <c r="I61">
        <v>163</v>
      </c>
      <c r="J61">
        <v>194</v>
      </c>
      <c r="K61">
        <v>173</v>
      </c>
      <c r="L61">
        <v>167</v>
      </c>
      <c r="M61">
        <v>145</v>
      </c>
      <c r="N61">
        <v>146</v>
      </c>
      <c r="O61">
        <v>134</v>
      </c>
      <c r="P61">
        <v>163</v>
      </c>
      <c r="Q61">
        <v>94</v>
      </c>
      <c r="R61">
        <v>46</v>
      </c>
      <c r="S61">
        <v>15</v>
      </c>
      <c r="T61">
        <v>7</v>
      </c>
      <c r="U61" s="1">
        <v>6</v>
      </c>
    </row>
    <row r="62" spans="1:21" x14ac:dyDescent="0.3">
      <c r="A62" t="s">
        <v>22</v>
      </c>
      <c r="B62" t="s">
        <v>43</v>
      </c>
      <c r="C62" s="2" t="s">
        <v>21</v>
      </c>
      <c r="D62" s="1">
        <v>10762</v>
      </c>
      <c r="E62">
        <v>325</v>
      </c>
      <c r="F62">
        <v>479</v>
      </c>
      <c r="G62">
        <v>259</v>
      </c>
      <c r="H62">
        <v>255</v>
      </c>
      <c r="I62">
        <v>571</v>
      </c>
      <c r="J62">
        <v>760</v>
      </c>
      <c r="K62">
        <v>887</v>
      </c>
      <c r="L62" s="1">
        <v>1418</v>
      </c>
      <c r="M62" s="1">
        <v>1225</v>
      </c>
      <c r="N62" s="1">
        <v>1037</v>
      </c>
      <c r="O62" s="1">
        <v>1057</v>
      </c>
      <c r="P62" s="1">
        <v>1170</v>
      </c>
      <c r="Q62">
        <v>783</v>
      </c>
      <c r="R62">
        <v>359</v>
      </c>
      <c r="S62">
        <v>129</v>
      </c>
      <c r="T62">
        <v>31</v>
      </c>
      <c r="U62" s="1">
        <v>17</v>
      </c>
    </row>
    <row r="63" spans="1:21" x14ac:dyDescent="0.3">
      <c r="A63" t="s">
        <v>22</v>
      </c>
      <c r="B63" t="s">
        <v>43</v>
      </c>
      <c r="C63" s="2" t="s">
        <v>24</v>
      </c>
      <c r="D63" s="1">
        <v>5353</v>
      </c>
      <c r="E63">
        <v>170</v>
      </c>
      <c r="F63">
        <v>242</v>
      </c>
      <c r="G63">
        <v>117</v>
      </c>
      <c r="H63">
        <v>115</v>
      </c>
      <c r="I63">
        <v>277</v>
      </c>
      <c r="J63">
        <v>341</v>
      </c>
      <c r="K63">
        <v>459</v>
      </c>
      <c r="L63">
        <v>709</v>
      </c>
      <c r="M63">
        <v>643</v>
      </c>
      <c r="N63">
        <v>532</v>
      </c>
      <c r="O63">
        <v>515</v>
      </c>
      <c r="P63">
        <v>542</v>
      </c>
      <c r="Q63">
        <v>399</v>
      </c>
      <c r="R63">
        <v>187</v>
      </c>
      <c r="S63">
        <v>79</v>
      </c>
      <c r="T63">
        <v>17</v>
      </c>
      <c r="U63" s="1">
        <v>9</v>
      </c>
    </row>
    <row r="64" spans="1:21" x14ac:dyDescent="0.3">
      <c r="A64" t="s">
        <v>22</v>
      </c>
      <c r="B64" t="s">
        <v>43</v>
      </c>
      <c r="C64" s="2" t="s">
        <v>25</v>
      </c>
      <c r="D64" s="1">
        <v>5409</v>
      </c>
      <c r="E64">
        <v>155</v>
      </c>
      <c r="F64">
        <v>237</v>
      </c>
      <c r="G64">
        <v>142</v>
      </c>
      <c r="H64">
        <v>140</v>
      </c>
      <c r="I64">
        <v>294</v>
      </c>
      <c r="J64">
        <v>419</v>
      </c>
      <c r="K64">
        <v>428</v>
      </c>
      <c r="L64">
        <v>709</v>
      </c>
      <c r="M64">
        <v>582</v>
      </c>
      <c r="N64">
        <v>505</v>
      </c>
      <c r="O64">
        <v>542</v>
      </c>
      <c r="P64">
        <v>628</v>
      </c>
      <c r="Q64">
        <v>384</v>
      </c>
      <c r="R64">
        <v>172</v>
      </c>
      <c r="S64">
        <v>50</v>
      </c>
      <c r="T64">
        <v>14</v>
      </c>
      <c r="U64" s="1">
        <v>8</v>
      </c>
    </row>
    <row r="65" spans="1:21" x14ac:dyDescent="0.3">
      <c r="A65" t="s">
        <v>22</v>
      </c>
      <c r="B65" t="s">
        <v>44</v>
      </c>
      <c r="C65" s="2" t="s">
        <v>21</v>
      </c>
      <c r="D65" s="1">
        <v>9505</v>
      </c>
      <c r="E65">
        <v>182</v>
      </c>
      <c r="F65">
        <v>230</v>
      </c>
      <c r="G65">
        <v>220</v>
      </c>
      <c r="H65">
        <v>690</v>
      </c>
      <c r="I65" s="1">
        <v>2645</v>
      </c>
      <c r="J65" s="1">
        <v>1661</v>
      </c>
      <c r="K65">
        <v>935</v>
      </c>
      <c r="L65">
        <v>808</v>
      </c>
      <c r="M65">
        <v>696</v>
      </c>
      <c r="N65">
        <v>456</v>
      </c>
      <c r="O65">
        <v>339</v>
      </c>
      <c r="P65">
        <v>312</v>
      </c>
      <c r="Q65">
        <v>188</v>
      </c>
      <c r="R65">
        <v>82</v>
      </c>
      <c r="S65">
        <v>43</v>
      </c>
      <c r="T65">
        <v>13</v>
      </c>
      <c r="U65" s="1">
        <v>5</v>
      </c>
    </row>
    <row r="66" spans="1:21" x14ac:dyDescent="0.3">
      <c r="A66" t="s">
        <v>22</v>
      </c>
      <c r="B66" t="s">
        <v>44</v>
      </c>
      <c r="C66" s="2" t="s">
        <v>24</v>
      </c>
      <c r="D66" s="1">
        <v>4450</v>
      </c>
      <c r="E66">
        <v>88</v>
      </c>
      <c r="F66">
        <v>125</v>
      </c>
      <c r="G66">
        <v>121</v>
      </c>
      <c r="H66">
        <v>263</v>
      </c>
      <c r="I66" s="1">
        <v>1041</v>
      </c>
      <c r="J66">
        <v>805</v>
      </c>
      <c r="K66">
        <v>464</v>
      </c>
      <c r="L66">
        <v>431</v>
      </c>
      <c r="M66">
        <v>357</v>
      </c>
      <c r="N66">
        <v>245</v>
      </c>
      <c r="O66">
        <v>186</v>
      </c>
      <c r="P66">
        <v>156</v>
      </c>
      <c r="Q66">
        <v>98</v>
      </c>
      <c r="R66">
        <v>41</v>
      </c>
      <c r="S66">
        <v>22</v>
      </c>
      <c r="T66">
        <v>4</v>
      </c>
      <c r="U66" s="1">
        <v>3</v>
      </c>
    </row>
    <row r="67" spans="1:21" x14ac:dyDescent="0.3">
      <c r="A67" t="s">
        <v>22</v>
      </c>
      <c r="B67" t="s">
        <v>44</v>
      </c>
      <c r="C67" s="2" t="s">
        <v>25</v>
      </c>
      <c r="D67" s="1">
        <v>5055</v>
      </c>
      <c r="E67">
        <v>94</v>
      </c>
      <c r="F67">
        <v>105</v>
      </c>
      <c r="G67">
        <v>99</v>
      </c>
      <c r="H67">
        <v>427</v>
      </c>
      <c r="I67" s="1">
        <v>1604</v>
      </c>
      <c r="J67">
        <v>856</v>
      </c>
      <c r="K67">
        <v>471</v>
      </c>
      <c r="L67">
        <v>377</v>
      </c>
      <c r="M67">
        <v>339</v>
      </c>
      <c r="N67">
        <v>211</v>
      </c>
      <c r="O67">
        <v>153</v>
      </c>
      <c r="P67">
        <v>156</v>
      </c>
      <c r="Q67">
        <v>90</v>
      </c>
      <c r="R67">
        <v>41</v>
      </c>
      <c r="S67">
        <v>21</v>
      </c>
      <c r="T67">
        <v>9</v>
      </c>
      <c r="U67" s="1">
        <v>2</v>
      </c>
    </row>
    <row r="68" spans="1:21" x14ac:dyDescent="0.3">
      <c r="A68" t="s">
        <v>22</v>
      </c>
      <c r="B68" t="s">
        <v>45</v>
      </c>
      <c r="C68" s="2" t="s">
        <v>21</v>
      </c>
      <c r="D68" s="1">
        <v>7890</v>
      </c>
      <c r="E68">
        <v>184</v>
      </c>
      <c r="F68">
        <v>202</v>
      </c>
      <c r="G68">
        <v>143</v>
      </c>
      <c r="H68">
        <v>668</v>
      </c>
      <c r="I68" s="1">
        <v>1379</v>
      </c>
      <c r="J68" s="1">
        <v>1112</v>
      </c>
      <c r="K68">
        <v>796</v>
      </c>
      <c r="L68">
        <v>679</v>
      </c>
      <c r="M68">
        <v>620</v>
      </c>
      <c r="N68">
        <v>406</v>
      </c>
      <c r="O68">
        <v>455</v>
      </c>
      <c r="P68">
        <v>566</v>
      </c>
      <c r="Q68">
        <v>381</v>
      </c>
      <c r="R68">
        <v>184</v>
      </c>
      <c r="S68">
        <v>80</v>
      </c>
      <c r="T68">
        <v>25</v>
      </c>
      <c r="U68" s="1">
        <v>10</v>
      </c>
    </row>
    <row r="69" spans="1:21" x14ac:dyDescent="0.3">
      <c r="A69" t="s">
        <v>22</v>
      </c>
      <c r="B69" t="s">
        <v>45</v>
      </c>
      <c r="C69" s="2" t="s">
        <v>24</v>
      </c>
      <c r="D69" s="1">
        <v>3883</v>
      </c>
      <c r="E69">
        <v>98</v>
      </c>
      <c r="F69">
        <v>95</v>
      </c>
      <c r="G69">
        <v>79</v>
      </c>
      <c r="H69">
        <v>286</v>
      </c>
      <c r="I69">
        <v>663</v>
      </c>
      <c r="J69">
        <v>557</v>
      </c>
      <c r="K69">
        <v>422</v>
      </c>
      <c r="L69">
        <v>308</v>
      </c>
      <c r="M69">
        <v>325</v>
      </c>
      <c r="N69">
        <v>196</v>
      </c>
      <c r="O69">
        <v>229</v>
      </c>
      <c r="P69">
        <v>260</v>
      </c>
      <c r="Q69">
        <v>204</v>
      </c>
      <c r="R69">
        <v>97</v>
      </c>
      <c r="S69">
        <v>43</v>
      </c>
      <c r="T69">
        <v>15</v>
      </c>
      <c r="U69" s="1">
        <v>6</v>
      </c>
    </row>
    <row r="70" spans="1:21" x14ac:dyDescent="0.3">
      <c r="A70" t="s">
        <v>22</v>
      </c>
      <c r="B70" t="s">
        <v>45</v>
      </c>
      <c r="C70" s="2" t="s">
        <v>25</v>
      </c>
      <c r="D70" s="1">
        <v>4007</v>
      </c>
      <c r="E70">
        <v>86</v>
      </c>
      <c r="F70">
        <v>107</v>
      </c>
      <c r="G70">
        <v>64</v>
      </c>
      <c r="H70">
        <v>382</v>
      </c>
      <c r="I70">
        <v>716</v>
      </c>
      <c r="J70">
        <v>555</v>
      </c>
      <c r="K70">
        <v>374</v>
      </c>
      <c r="L70">
        <v>371</v>
      </c>
      <c r="M70">
        <v>295</v>
      </c>
      <c r="N70">
        <v>210</v>
      </c>
      <c r="O70">
        <v>226</v>
      </c>
      <c r="P70">
        <v>306</v>
      </c>
      <c r="Q70">
        <v>177</v>
      </c>
      <c r="R70">
        <v>87</v>
      </c>
      <c r="S70">
        <v>37</v>
      </c>
      <c r="T70">
        <v>10</v>
      </c>
      <c r="U70" s="1">
        <v>4</v>
      </c>
    </row>
    <row r="71" spans="1:21" x14ac:dyDescent="0.3">
      <c r="A71" t="s">
        <v>22</v>
      </c>
      <c r="B71" t="s">
        <v>46</v>
      </c>
      <c r="C71" s="2" t="s">
        <v>21</v>
      </c>
      <c r="D71" s="1">
        <v>12659</v>
      </c>
      <c r="E71">
        <v>322</v>
      </c>
      <c r="F71">
        <v>502</v>
      </c>
      <c r="G71">
        <v>272</v>
      </c>
      <c r="H71">
        <v>375</v>
      </c>
      <c r="I71">
        <v>805</v>
      </c>
      <c r="J71">
        <v>758</v>
      </c>
      <c r="K71">
        <v>852</v>
      </c>
      <c r="L71" s="1">
        <v>1443</v>
      </c>
      <c r="M71" s="1">
        <v>1321</v>
      </c>
      <c r="N71" s="1">
        <v>1209</v>
      </c>
      <c r="O71" s="1">
        <v>1333</v>
      </c>
      <c r="P71" s="1">
        <v>1611</v>
      </c>
      <c r="Q71" s="1">
        <v>1102</v>
      </c>
      <c r="R71">
        <v>469</v>
      </c>
      <c r="S71">
        <v>184</v>
      </c>
      <c r="T71">
        <v>56</v>
      </c>
      <c r="U71" s="1">
        <v>45</v>
      </c>
    </row>
    <row r="72" spans="1:21" x14ac:dyDescent="0.3">
      <c r="A72" t="s">
        <v>22</v>
      </c>
      <c r="B72" t="s">
        <v>46</v>
      </c>
      <c r="C72" s="2" t="s">
        <v>24</v>
      </c>
      <c r="D72" s="1">
        <v>6482</v>
      </c>
      <c r="E72">
        <v>164</v>
      </c>
      <c r="F72">
        <v>257</v>
      </c>
      <c r="G72">
        <v>132</v>
      </c>
      <c r="H72">
        <v>136</v>
      </c>
      <c r="I72">
        <v>328</v>
      </c>
      <c r="J72">
        <v>350</v>
      </c>
      <c r="K72">
        <v>458</v>
      </c>
      <c r="L72">
        <v>795</v>
      </c>
      <c r="M72">
        <v>699</v>
      </c>
      <c r="N72">
        <v>624</v>
      </c>
      <c r="O72">
        <v>680</v>
      </c>
      <c r="P72">
        <v>825</v>
      </c>
      <c r="Q72">
        <v>605</v>
      </c>
      <c r="R72">
        <v>272</v>
      </c>
      <c r="S72">
        <v>105</v>
      </c>
      <c r="T72">
        <v>28</v>
      </c>
      <c r="U72" s="1">
        <v>24</v>
      </c>
    </row>
    <row r="73" spans="1:21" x14ac:dyDescent="0.3">
      <c r="A73" t="s">
        <v>22</v>
      </c>
      <c r="B73" t="s">
        <v>46</v>
      </c>
      <c r="C73" s="2" t="s">
        <v>25</v>
      </c>
      <c r="D73" s="1">
        <v>6177</v>
      </c>
      <c r="E73">
        <v>158</v>
      </c>
      <c r="F73">
        <v>245</v>
      </c>
      <c r="G73">
        <v>140</v>
      </c>
      <c r="H73">
        <v>239</v>
      </c>
      <c r="I73">
        <v>477</v>
      </c>
      <c r="J73">
        <v>408</v>
      </c>
      <c r="K73">
        <v>394</v>
      </c>
      <c r="L73">
        <v>648</v>
      </c>
      <c r="M73">
        <v>622</v>
      </c>
      <c r="N73">
        <v>585</v>
      </c>
      <c r="O73">
        <v>653</v>
      </c>
      <c r="P73">
        <v>786</v>
      </c>
      <c r="Q73">
        <v>497</v>
      </c>
      <c r="R73">
        <v>197</v>
      </c>
      <c r="S73">
        <v>79</v>
      </c>
      <c r="T73">
        <v>28</v>
      </c>
      <c r="U73" s="1">
        <v>21</v>
      </c>
    </row>
    <row r="74" spans="1:21" x14ac:dyDescent="0.3">
      <c r="A74" t="s">
        <v>22</v>
      </c>
      <c r="B74" t="s">
        <v>47</v>
      </c>
      <c r="C74" s="2" t="s">
        <v>21</v>
      </c>
      <c r="D74" s="1">
        <v>42178</v>
      </c>
      <c r="E74" s="1">
        <v>1419</v>
      </c>
      <c r="F74" s="1">
        <v>1844</v>
      </c>
      <c r="G74" s="1">
        <v>1102</v>
      </c>
      <c r="H74" s="1">
        <v>1158</v>
      </c>
      <c r="I74" s="1">
        <v>3022</v>
      </c>
      <c r="J74" s="1">
        <v>3902</v>
      </c>
      <c r="K74" s="1">
        <v>5024</v>
      </c>
      <c r="L74" s="1">
        <v>6432</v>
      </c>
      <c r="M74" s="1">
        <v>5289</v>
      </c>
      <c r="N74" s="1">
        <v>3762</v>
      </c>
      <c r="O74" s="1">
        <v>3351</v>
      </c>
      <c r="P74" s="1">
        <v>3371</v>
      </c>
      <c r="Q74" s="1">
        <v>1591</v>
      </c>
      <c r="R74">
        <v>586</v>
      </c>
      <c r="S74">
        <v>226</v>
      </c>
      <c r="T74">
        <v>63</v>
      </c>
      <c r="U74" s="1">
        <v>36</v>
      </c>
    </row>
    <row r="75" spans="1:21" x14ac:dyDescent="0.3">
      <c r="A75" t="s">
        <v>22</v>
      </c>
      <c r="B75" t="s">
        <v>47</v>
      </c>
      <c r="C75" s="2" t="s">
        <v>24</v>
      </c>
      <c r="D75" s="1">
        <v>25186</v>
      </c>
      <c r="E75">
        <v>729</v>
      </c>
      <c r="F75">
        <v>946</v>
      </c>
      <c r="G75">
        <v>588</v>
      </c>
      <c r="H75">
        <v>648</v>
      </c>
      <c r="I75" s="1">
        <v>1979</v>
      </c>
      <c r="J75" s="1">
        <v>2855</v>
      </c>
      <c r="K75" s="1">
        <v>3554</v>
      </c>
      <c r="L75" s="1">
        <v>3972</v>
      </c>
      <c r="M75" s="1">
        <v>3075</v>
      </c>
      <c r="N75" s="1">
        <v>2059</v>
      </c>
      <c r="O75" s="1">
        <v>1785</v>
      </c>
      <c r="P75" s="1">
        <v>1724</v>
      </c>
      <c r="Q75">
        <v>812</v>
      </c>
      <c r="R75">
        <v>290</v>
      </c>
      <c r="S75">
        <v>116</v>
      </c>
      <c r="T75">
        <v>37</v>
      </c>
      <c r="U75" s="1">
        <v>17</v>
      </c>
    </row>
    <row r="76" spans="1:21" x14ac:dyDescent="0.3">
      <c r="A76" t="s">
        <v>22</v>
      </c>
      <c r="B76" t="s">
        <v>47</v>
      </c>
      <c r="C76" s="2" t="s">
        <v>25</v>
      </c>
      <c r="D76" s="1">
        <v>16992</v>
      </c>
      <c r="E76">
        <v>690</v>
      </c>
      <c r="F76">
        <v>898</v>
      </c>
      <c r="G76">
        <v>514</v>
      </c>
      <c r="H76">
        <v>510</v>
      </c>
      <c r="I76" s="1">
        <v>1043</v>
      </c>
      <c r="J76" s="1">
        <v>1047</v>
      </c>
      <c r="K76" s="1">
        <v>1470</v>
      </c>
      <c r="L76" s="1">
        <v>2460</v>
      </c>
      <c r="M76" s="1">
        <v>2214</v>
      </c>
      <c r="N76" s="1">
        <v>1703</v>
      </c>
      <c r="O76" s="1">
        <v>1566</v>
      </c>
      <c r="P76" s="1">
        <v>1647</v>
      </c>
      <c r="Q76">
        <v>779</v>
      </c>
      <c r="R76">
        <v>296</v>
      </c>
      <c r="S76">
        <v>110</v>
      </c>
      <c r="T76">
        <v>26</v>
      </c>
      <c r="U76" s="1">
        <v>19</v>
      </c>
    </row>
    <row r="77" spans="1:21" x14ac:dyDescent="0.3">
      <c r="A77" t="s">
        <v>22</v>
      </c>
      <c r="B77" t="s">
        <v>48</v>
      </c>
      <c r="C77" s="2" t="s">
        <v>21</v>
      </c>
      <c r="D77" s="1">
        <v>38303</v>
      </c>
      <c r="E77" s="1">
        <v>1480</v>
      </c>
      <c r="F77" s="1">
        <v>1940</v>
      </c>
      <c r="G77" s="1">
        <v>1160</v>
      </c>
      <c r="H77">
        <v>890</v>
      </c>
      <c r="I77" s="1">
        <v>1934</v>
      </c>
      <c r="J77" s="1">
        <v>2962</v>
      </c>
      <c r="K77" s="1">
        <v>3896</v>
      </c>
      <c r="L77" s="1">
        <v>5229</v>
      </c>
      <c r="M77" s="1">
        <v>4543</v>
      </c>
      <c r="N77" s="1">
        <v>3596</v>
      </c>
      <c r="O77" s="1">
        <v>3608</v>
      </c>
      <c r="P77" s="1">
        <v>3908</v>
      </c>
      <c r="Q77" s="1">
        <v>1940</v>
      </c>
      <c r="R77">
        <v>751</v>
      </c>
      <c r="S77">
        <v>299</v>
      </c>
      <c r="T77">
        <v>98</v>
      </c>
      <c r="U77" s="1">
        <v>69</v>
      </c>
    </row>
    <row r="78" spans="1:21" x14ac:dyDescent="0.3">
      <c r="A78" t="s">
        <v>22</v>
      </c>
      <c r="B78" t="s">
        <v>48</v>
      </c>
      <c r="C78" s="2" t="s">
        <v>24</v>
      </c>
      <c r="D78" s="1">
        <v>22528</v>
      </c>
      <c r="E78">
        <v>770</v>
      </c>
      <c r="F78">
        <v>986</v>
      </c>
      <c r="G78">
        <v>588</v>
      </c>
      <c r="H78">
        <v>408</v>
      </c>
      <c r="I78" s="1">
        <v>1272</v>
      </c>
      <c r="J78" s="1">
        <v>2158</v>
      </c>
      <c r="K78" s="1">
        <v>2799</v>
      </c>
      <c r="L78" s="1">
        <v>3240</v>
      </c>
      <c r="M78" s="1">
        <v>2693</v>
      </c>
      <c r="N78" s="1">
        <v>1932</v>
      </c>
      <c r="O78" s="1">
        <v>1965</v>
      </c>
      <c r="P78" s="1">
        <v>2046</v>
      </c>
      <c r="Q78" s="1">
        <v>1048</v>
      </c>
      <c r="R78">
        <v>394</v>
      </c>
      <c r="S78">
        <v>151</v>
      </c>
      <c r="T78">
        <v>50</v>
      </c>
      <c r="U78" s="1">
        <v>28</v>
      </c>
    </row>
    <row r="79" spans="1:21" x14ac:dyDescent="0.3">
      <c r="A79" t="s">
        <v>22</v>
      </c>
      <c r="B79" t="s">
        <v>48</v>
      </c>
      <c r="C79" s="2" t="s">
        <v>25</v>
      </c>
      <c r="D79" s="1">
        <v>15775</v>
      </c>
      <c r="E79">
        <v>710</v>
      </c>
      <c r="F79">
        <v>954</v>
      </c>
      <c r="G79">
        <v>572</v>
      </c>
      <c r="H79">
        <v>482</v>
      </c>
      <c r="I79">
        <v>662</v>
      </c>
      <c r="J79">
        <v>804</v>
      </c>
      <c r="K79" s="1">
        <v>1097</v>
      </c>
      <c r="L79" s="1">
        <v>1989</v>
      </c>
      <c r="M79" s="1">
        <v>1850</v>
      </c>
      <c r="N79" s="1">
        <v>1664</v>
      </c>
      <c r="O79" s="1">
        <v>1643</v>
      </c>
      <c r="P79" s="1">
        <v>1862</v>
      </c>
      <c r="Q79">
        <v>892</v>
      </c>
      <c r="R79">
        <v>357</v>
      </c>
      <c r="S79">
        <v>148</v>
      </c>
      <c r="T79">
        <v>48</v>
      </c>
      <c r="U79" s="1">
        <v>41</v>
      </c>
    </row>
    <row r="80" spans="1:21" x14ac:dyDescent="0.3">
      <c r="A80" t="s">
        <v>22</v>
      </c>
      <c r="B80" t="s">
        <v>49</v>
      </c>
      <c r="C80" s="2" t="s">
        <v>21</v>
      </c>
      <c r="D80" s="1">
        <v>16473</v>
      </c>
      <c r="E80">
        <v>808</v>
      </c>
      <c r="F80" s="1">
        <v>1062</v>
      </c>
      <c r="G80">
        <v>500</v>
      </c>
      <c r="H80">
        <v>701</v>
      </c>
      <c r="I80" s="1">
        <v>2865</v>
      </c>
      <c r="J80" s="1">
        <v>1494</v>
      </c>
      <c r="K80" s="1">
        <v>1260</v>
      </c>
      <c r="L80" s="1">
        <v>1847</v>
      </c>
      <c r="M80" s="1">
        <v>1633</v>
      </c>
      <c r="N80" s="1">
        <v>1121</v>
      </c>
      <c r="O80" s="1">
        <v>1093</v>
      </c>
      <c r="P80">
        <v>987</v>
      </c>
      <c r="Q80">
        <v>642</v>
      </c>
      <c r="R80">
        <v>282</v>
      </c>
      <c r="S80">
        <v>117</v>
      </c>
      <c r="T80">
        <v>26</v>
      </c>
      <c r="U80" s="1">
        <v>35</v>
      </c>
    </row>
    <row r="81" spans="1:21" x14ac:dyDescent="0.3">
      <c r="A81" t="s">
        <v>22</v>
      </c>
      <c r="B81" t="s">
        <v>49</v>
      </c>
      <c r="C81" s="2" t="s">
        <v>24</v>
      </c>
      <c r="D81" s="1">
        <v>8054</v>
      </c>
      <c r="E81">
        <v>434</v>
      </c>
      <c r="F81">
        <v>526</v>
      </c>
      <c r="G81">
        <v>255</v>
      </c>
      <c r="H81">
        <v>287</v>
      </c>
      <c r="I81" s="1">
        <v>1300</v>
      </c>
      <c r="J81">
        <v>773</v>
      </c>
      <c r="K81">
        <v>673</v>
      </c>
      <c r="L81">
        <v>915</v>
      </c>
      <c r="M81">
        <v>844</v>
      </c>
      <c r="N81">
        <v>544</v>
      </c>
      <c r="O81">
        <v>538</v>
      </c>
      <c r="P81">
        <v>442</v>
      </c>
      <c r="Q81">
        <v>292</v>
      </c>
      <c r="R81">
        <v>147</v>
      </c>
      <c r="S81">
        <v>60</v>
      </c>
      <c r="T81">
        <v>10</v>
      </c>
      <c r="U81" s="1">
        <v>14</v>
      </c>
    </row>
    <row r="82" spans="1:21" x14ac:dyDescent="0.3">
      <c r="A82" t="s">
        <v>22</v>
      </c>
      <c r="B82" t="s">
        <v>49</v>
      </c>
      <c r="C82" s="2" t="s">
        <v>25</v>
      </c>
      <c r="D82" s="1">
        <v>8419</v>
      </c>
      <c r="E82">
        <v>374</v>
      </c>
      <c r="F82">
        <v>536</v>
      </c>
      <c r="G82">
        <v>245</v>
      </c>
      <c r="H82">
        <v>414</v>
      </c>
      <c r="I82" s="1">
        <v>1565</v>
      </c>
      <c r="J82">
        <v>721</v>
      </c>
      <c r="K82">
        <v>587</v>
      </c>
      <c r="L82">
        <v>932</v>
      </c>
      <c r="M82">
        <v>789</v>
      </c>
      <c r="N82">
        <v>577</v>
      </c>
      <c r="O82">
        <v>555</v>
      </c>
      <c r="P82">
        <v>545</v>
      </c>
      <c r="Q82">
        <v>350</v>
      </c>
      <c r="R82">
        <v>135</v>
      </c>
      <c r="S82">
        <v>57</v>
      </c>
      <c r="T82">
        <v>16</v>
      </c>
      <c r="U82" s="1">
        <v>21</v>
      </c>
    </row>
    <row r="83" spans="1:21" x14ac:dyDescent="0.3">
      <c r="A83" t="s">
        <v>22</v>
      </c>
      <c r="B83" t="s">
        <v>50</v>
      </c>
      <c r="C83" s="2" t="s">
        <v>21</v>
      </c>
      <c r="D83" s="1">
        <v>15448</v>
      </c>
      <c r="E83">
        <v>548</v>
      </c>
      <c r="F83">
        <v>513</v>
      </c>
      <c r="G83">
        <v>256</v>
      </c>
      <c r="H83">
        <v>473</v>
      </c>
      <c r="I83" s="1">
        <v>2054</v>
      </c>
      <c r="J83" s="1">
        <v>2528</v>
      </c>
      <c r="K83" s="1">
        <v>2898</v>
      </c>
      <c r="L83" s="1">
        <v>2189</v>
      </c>
      <c r="M83" s="1">
        <v>1435</v>
      </c>
      <c r="N83">
        <v>818</v>
      </c>
      <c r="O83">
        <v>623</v>
      </c>
      <c r="P83">
        <v>597</v>
      </c>
      <c r="Q83">
        <v>315</v>
      </c>
      <c r="R83">
        <v>120</v>
      </c>
      <c r="S83">
        <v>54</v>
      </c>
      <c r="T83">
        <v>18</v>
      </c>
      <c r="U83" s="1">
        <v>9</v>
      </c>
    </row>
    <row r="84" spans="1:21" x14ac:dyDescent="0.3">
      <c r="A84" t="s">
        <v>22</v>
      </c>
      <c r="B84" t="s">
        <v>50</v>
      </c>
      <c r="C84" s="2" t="s">
        <v>24</v>
      </c>
      <c r="D84" s="1">
        <v>10082</v>
      </c>
      <c r="E84">
        <v>269</v>
      </c>
      <c r="F84">
        <v>240</v>
      </c>
      <c r="G84">
        <v>128</v>
      </c>
      <c r="H84">
        <v>254</v>
      </c>
      <c r="I84" s="1">
        <v>1294</v>
      </c>
      <c r="J84" s="1">
        <v>1858</v>
      </c>
      <c r="K84" s="1">
        <v>2175</v>
      </c>
      <c r="L84" s="1">
        <v>1581</v>
      </c>
      <c r="M84">
        <v>946</v>
      </c>
      <c r="N84">
        <v>488</v>
      </c>
      <c r="O84">
        <v>325</v>
      </c>
      <c r="P84">
        <v>281</v>
      </c>
      <c r="Q84">
        <v>143</v>
      </c>
      <c r="R84">
        <v>54</v>
      </c>
      <c r="S84">
        <v>29</v>
      </c>
      <c r="T84">
        <v>11</v>
      </c>
      <c r="U84" s="1">
        <v>6</v>
      </c>
    </row>
    <row r="85" spans="1:21" x14ac:dyDescent="0.3">
      <c r="A85" t="s">
        <v>22</v>
      </c>
      <c r="B85" t="s">
        <v>50</v>
      </c>
      <c r="C85" s="2" t="s">
        <v>25</v>
      </c>
      <c r="D85" s="1">
        <v>5366</v>
      </c>
      <c r="E85">
        <v>279</v>
      </c>
      <c r="F85">
        <v>273</v>
      </c>
      <c r="G85">
        <v>128</v>
      </c>
      <c r="H85">
        <v>219</v>
      </c>
      <c r="I85">
        <v>760</v>
      </c>
      <c r="J85">
        <v>670</v>
      </c>
      <c r="K85">
        <v>723</v>
      </c>
      <c r="L85">
        <v>608</v>
      </c>
      <c r="M85">
        <v>489</v>
      </c>
      <c r="N85">
        <v>330</v>
      </c>
      <c r="O85">
        <v>298</v>
      </c>
      <c r="P85">
        <v>316</v>
      </c>
      <c r="Q85">
        <v>172</v>
      </c>
      <c r="R85">
        <v>66</v>
      </c>
      <c r="S85">
        <v>25</v>
      </c>
      <c r="T85">
        <v>7</v>
      </c>
      <c r="U85" s="1">
        <v>3</v>
      </c>
    </row>
    <row r="86" spans="1:21" x14ac:dyDescent="0.3">
      <c r="A86" t="s">
        <v>22</v>
      </c>
      <c r="B86" t="s">
        <v>51</v>
      </c>
      <c r="C86" s="2" t="s">
        <v>21</v>
      </c>
      <c r="D86" s="1">
        <v>1919</v>
      </c>
      <c r="E86">
        <v>29</v>
      </c>
      <c r="F86">
        <v>37</v>
      </c>
      <c r="G86">
        <v>21</v>
      </c>
      <c r="H86">
        <v>33</v>
      </c>
      <c r="I86">
        <v>118</v>
      </c>
      <c r="J86">
        <v>278</v>
      </c>
      <c r="K86">
        <v>325</v>
      </c>
      <c r="L86">
        <v>295</v>
      </c>
      <c r="M86">
        <v>236</v>
      </c>
      <c r="N86">
        <v>143</v>
      </c>
      <c r="O86">
        <v>141</v>
      </c>
      <c r="P86">
        <v>113</v>
      </c>
      <c r="Q86">
        <v>81</v>
      </c>
      <c r="R86">
        <v>40</v>
      </c>
      <c r="S86">
        <v>17</v>
      </c>
      <c r="T86">
        <v>6</v>
      </c>
      <c r="U86" s="1">
        <v>6</v>
      </c>
    </row>
    <row r="87" spans="1:21" x14ac:dyDescent="0.3">
      <c r="A87" t="s">
        <v>22</v>
      </c>
      <c r="B87" t="s">
        <v>51</v>
      </c>
      <c r="C87" s="2" t="s">
        <v>24</v>
      </c>
      <c r="D87">
        <v>838</v>
      </c>
      <c r="E87">
        <v>17</v>
      </c>
      <c r="F87">
        <v>17</v>
      </c>
      <c r="G87">
        <v>15</v>
      </c>
      <c r="H87">
        <v>13</v>
      </c>
      <c r="I87">
        <v>45</v>
      </c>
      <c r="J87">
        <v>105</v>
      </c>
      <c r="K87">
        <v>127</v>
      </c>
      <c r="L87">
        <v>127</v>
      </c>
      <c r="M87">
        <v>112</v>
      </c>
      <c r="N87">
        <v>65</v>
      </c>
      <c r="O87">
        <v>68</v>
      </c>
      <c r="P87">
        <v>55</v>
      </c>
      <c r="Q87">
        <v>38</v>
      </c>
      <c r="R87">
        <v>19</v>
      </c>
      <c r="S87">
        <v>10</v>
      </c>
      <c r="T87">
        <v>4</v>
      </c>
      <c r="U87" s="1">
        <v>1</v>
      </c>
    </row>
    <row r="88" spans="1:21" x14ac:dyDescent="0.3">
      <c r="A88" t="s">
        <v>22</v>
      </c>
      <c r="B88" t="s">
        <v>51</v>
      </c>
      <c r="C88" s="2" t="s">
        <v>25</v>
      </c>
      <c r="D88" s="1">
        <v>1081</v>
      </c>
      <c r="E88">
        <v>12</v>
      </c>
      <c r="F88">
        <v>20</v>
      </c>
      <c r="G88">
        <v>6</v>
      </c>
      <c r="H88">
        <v>20</v>
      </c>
      <c r="I88">
        <v>73</v>
      </c>
      <c r="J88">
        <v>173</v>
      </c>
      <c r="K88">
        <v>198</v>
      </c>
      <c r="L88">
        <v>168</v>
      </c>
      <c r="M88">
        <v>124</v>
      </c>
      <c r="N88">
        <v>78</v>
      </c>
      <c r="O88">
        <v>73</v>
      </c>
      <c r="P88">
        <v>58</v>
      </c>
      <c r="Q88">
        <v>43</v>
      </c>
      <c r="R88">
        <v>21</v>
      </c>
      <c r="S88">
        <v>7</v>
      </c>
      <c r="T88">
        <v>2</v>
      </c>
      <c r="U88" s="1">
        <v>5</v>
      </c>
    </row>
    <row r="89" spans="1:21" x14ac:dyDescent="0.3">
      <c r="A89" t="s">
        <v>22</v>
      </c>
      <c r="B89" t="s">
        <v>52</v>
      </c>
      <c r="C89" s="2" t="s">
        <v>21</v>
      </c>
      <c r="D89" s="1">
        <v>5400</v>
      </c>
      <c r="E89">
        <v>95</v>
      </c>
      <c r="F89">
        <v>167</v>
      </c>
      <c r="G89">
        <v>86</v>
      </c>
      <c r="H89">
        <v>182</v>
      </c>
      <c r="I89">
        <v>684</v>
      </c>
      <c r="J89">
        <v>543</v>
      </c>
      <c r="K89">
        <v>488</v>
      </c>
      <c r="L89">
        <v>604</v>
      </c>
      <c r="M89">
        <v>473</v>
      </c>
      <c r="N89">
        <v>390</v>
      </c>
      <c r="O89">
        <v>442</v>
      </c>
      <c r="P89">
        <v>550</v>
      </c>
      <c r="Q89">
        <v>376</v>
      </c>
      <c r="R89">
        <v>205</v>
      </c>
      <c r="S89">
        <v>81</v>
      </c>
      <c r="T89">
        <v>26</v>
      </c>
      <c r="U89" s="1">
        <v>8</v>
      </c>
    </row>
    <row r="90" spans="1:21" x14ac:dyDescent="0.3">
      <c r="A90" t="s">
        <v>22</v>
      </c>
      <c r="B90" t="s">
        <v>52</v>
      </c>
      <c r="C90" s="2" t="s">
        <v>24</v>
      </c>
      <c r="D90" s="1">
        <v>2762</v>
      </c>
      <c r="E90">
        <v>48</v>
      </c>
      <c r="F90">
        <v>88</v>
      </c>
      <c r="G90">
        <v>41</v>
      </c>
      <c r="H90">
        <v>83</v>
      </c>
      <c r="I90">
        <v>357</v>
      </c>
      <c r="J90">
        <v>287</v>
      </c>
      <c r="K90">
        <v>261</v>
      </c>
      <c r="L90">
        <v>317</v>
      </c>
      <c r="M90">
        <v>257</v>
      </c>
      <c r="N90">
        <v>198</v>
      </c>
      <c r="O90">
        <v>208</v>
      </c>
      <c r="P90">
        <v>271</v>
      </c>
      <c r="Q90">
        <v>184</v>
      </c>
      <c r="R90">
        <v>109</v>
      </c>
      <c r="S90">
        <v>41</v>
      </c>
      <c r="T90">
        <v>9</v>
      </c>
      <c r="U90" s="1">
        <v>3</v>
      </c>
    </row>
    <row r="91" spans="1:21" x14ac:dyDescent="0.3">
      <c r="A91" t="s">
        <v>22</v>
      </c>
      <c r="B91" t="s">
        <v>52</v>
      </c>
      <c r="C91" s="2" t="s">
        <v>25</v>
      </c>
      <c r="D91" s="1">
        <v>2638</v>
      </c>
      <c r="E91">
        <v>47</v>
      </c>
      <c r="F91">
        <v>79</v>
      </c>
      <c r="G91">
        <v>45</v>
      </c>
      <c r="H91">
        <v>99</v>
      </c>
      <c r="I91">
        <v>327</v>
      </c>
      <c r="J91">
        <v>256</v>
      </c>
      <c r="K91">
        <v>227</v>
      </c>
      <c r="L91">
        <v>287</v>
      </c>
      <c r="M91">
        <v>216</v>
      </c>
      <c r="N91">
        <v>192</v>
      </c>
      <c r="O91">
        <v>234</v>
      </c>
      <c r="P91">
        <v>279</v>
      </c>
      <c r="Q91">
        <v>192</v>
      </c>
      <c r="R91">
        <v>96</v>
      </c>
      <c r="S91">
        <v>40</v>
      </c>
      <c r="T91">
        <v>17</v>
      </c>
      <c r="U91" s="1">
        <v>5</v>
      </c>
    </row>
    <row r="92" spans="1:21" x14ac:dyDescent="0.3">
      <c r="A92" t="s">
        <v>22</v>
      </c>
      <c r="B92" t="s">
        <v>53</v>
      </c>
      <c r="C92" s="2" t="s">
        <v>21</v>
      </c>
      <c r="D92" s="1">
        <v>10224</v>
      </c>
      <c r="E92">
        <v>209</v>
      </c>
      <c r="F92">
        <v>190</v>
      </c>
      <c r="G92">
        <v>110</v>
      </c>
      <c r="H92">
        <v>417</v>
      </c>
      <c r="I92" s="1">
        <v>1328</v>
      </c>
      <c r="J92" s="1">
        <v>1823</v>
      </c>
      <c r="K92" s="1">
        <v>2070</v>
      </c>
      <c r="L92" s="1">
        <v>1571</v>
      </c>
      <c r="M92">
        <v>910</v>
      </c>
      <c r="N92">
        <v>560</v>
      </c>
      <c r="O92">
        <v>408</v>
      </c>
      <c r="P92">
        <v>328</v>
      </c>
      <c r="Q92">
        <v>158</v>
      </c>
      <c r="R92">
        <v>86</v>
      </c>
      <c r="S92">
        <v>35</v>
      </c>
      <c r="T92">
        <v>10</v>
      </c>
      <c r="U92" s="1">
        <v>11</v>
      </c>
    </row>
    <row r="93" spans="1:21" x14ac:dyDescent="0.3">
      <c r="A93" t="s">
        <v>22</v>
      </c>
      <c r="B93" t="s">
        <v>53</v>
      </c>
      <c r="C93" s="2" t="s">
        <v>24</v>
      </c>
      <c r="D93" s="1">
        <v>7275</v>
      </c>
      <c r="E93">
        <v>107</v>
      </c>
      <c r="F93">
        <v>82</v>
      </c>
      <c r="G93">
        <v>60</v>
      </c>
      <c r="H93">
        <v>236</v>
      </c>
      <c r="I93" s="1">
        <v>1002</v>
      </c>
      <c r="J93" s="1">
        <v>1442</v>
      </c>
      <c r="K93" s="1">
        <v>1609</v>
      </c>
      <c r="L93" s="1">
        <v>1194</v>
      </c>
      <c r="M93">
        <v>637</v>
      </c>
      <c r="N93">
        <v>343</v>
      </c>
      <c r="O93">
        <v>225</v>
      </c>
      <c r="P93">
        <v>190</v>
      </c>
      <c r="Q93">
        <v>82</v>
      </c>
      <c r="R93">
        <v>39</v>
      </c>
      <c r="S93">
        <v>14</v>
      </c>
      <c r="T93">
        <v>4</v>
      </c>
      <c r="U93" s="1">
        <v>9</v>
      </c>
    </row>
    <row r="94" spans="1:21" x14ac:dyDescent="0.3">
      <c r="A94" t="s">
        <v>22</v>
      </c>
      <c r="B94" t="s">
        <v>53</v>
      </c>
      <c r="C94" s="2" t="s">
        <v>25</v>
      </c>
      <c r="D94" s="1">
        <v>2949</v>
      </c>
      <c r="E94">
        <v>102</v>
      </c>
      <c r="F94">
        <v>108</v>
      </c>
      <c r="G94">
        <v>50</v>
      </c>
      <c r="H94">
        <v>181</v>
      </c>
      <c r="I94">
        <v>326</v>
      </c>
      <c r="J94">
        <v>381</v>
      </c>
      <c r="K94">
        <v>461</v>
      </c>
      <c r="L94">
        <v>377</v>
      </c>
      <c r="M94">
        <v>273</v>
      </c>
      <c r="N94">
        <v>217</v>
      </c>
      <c r="O94">
        <v>183</v>
      </c>
      <c r="P94">
        <v>138</v>
      </c>
      <c r="Q94">
        <v>76</v>
      </c>
      <c r="R94">
        <v>47</v>
      </c>
      <c r="S94">
        <v>21</v>
      </c>
      <c r="T94">
        <v>6</v>
      </c>
      <c r="U94" s="1">
        <v>2</v>
      </c>
    </row>
    <row r="95" spans="1:21" x14ac:dyDescent="0.3">
      <c r="A95" t="s">
        <v>22</v>
      </c>
      <c r="B95" t="s">
        <v>54</v>
      </c>
      <c r="C95" s="2" t="s">
        <v>21</v>
      </c>
      <c r="D95" s="1">
        <v>1757</v>
      </c>
      <c r="E95">
        <v>8</v>
      </c>
      <c r="F95">
        <v>13</v>
      </c>
      <c r="G95">
        <v>9</v>
      </c>
      <c r="H95">
        <v>42</v>
      </c>
      <c r="I95">
        <v>153</v>
      </c>
      <c r="J95">
        <v>367</v>
      </c>
      <c r="K95">
        <v>355</v>
      </c>
      <c r="L95">
        <v>278</v>
      </c>
      <c r="M95">
        <v>165</v>
      </c>
      <c r="N95">
        <v>91</v>
      </c>
      <c r="O95">
        <v>86</v>
      </c>
      <c r="P95">
        <v>72</v>
      </c>
      <c r="Q95">
        <v>57</v>
      </c>
      <c r="R95">
        <v>29</v>
      </c>
      <c r="S95">
        <v>18</v>
      </c>
      <c r="T95">
        <v>12</v>
      </c>
      <c r="U95" s="1">
        <v>2</v>
      </c>
    </row>
    <row r="96" spans="1:21" x14ac:dyDescent="0.3">
      <c r="A96" t="s">
        <v>22</v>
      </c>
      <c r="B96" t="s">
        <v>54</v>
      </c>
      <c r="C96" s="2" t="s">
        <v>24</v>
      </c>
      <c r="D96">
        <v>869</v>
      </c>
      <c r="E96">
        <v>4</v>
      </c>
      <c r="F96">
        <v>7</v>
      </c>
      <c r="G96">
        <v>4</v>
      </c>
      <c r="H96">
        <v>24</v>
      </c>
      <c r="I96">
        <v>108</v>
      </c>
      <c r="J96">
        <v>187</v>
      </c>
      <c r="K96">
        <v>181</v>
      </c>
      <c r="L96">
        <v>130</v>
      </c>
      <c r="M96">
        <v>79</v>
      </c>
      <c r="N96">
        <v>41</v>
      </c>
      <c r="O96">
        <v>32</v>
      </c>
      <c r="P96">
        <v>24</v>
      </c>
      <c r="Q96">
        <v>16</v>
      </c>
      <c r="R96">
        <v>13</v>
      </c>
      <c r="S96">
        <v>9</v>
      </c>
      <c r="T96">
        <v>9</v>
      </c>
      <c r="U96" s="1">
        <v>1</v>
      </c>
    </row>
    <row r="97" spans="1:21" x14ac:dyDescent="0.3">
      <c r="A97" t="s">
        <v>22</v>
      </c>
      <c r="B97" t="s">
        <v>54</v>
      </c>
      <c r="C97" s="2" t="s">
        <v>25</v>
      </c>
      <c r="D97">
        <v>888</v>
      </c>
      <c r="E97">
        <v>4</v>
      </c>
      <c r="F97">
        <v>6</v>
      </c>
      <c r="G97">
        <v>5</v>
      </c>
      <c r="H97">
        <v>18</v>
      </c>
      <c r="I97">
        <v>45</v>
      </c>
      <c r="J97">
        <v>180</v>
      </c>
      <c r="K97">
        <v>174</v>
      </c>
      <c r="L97">
        <v>148</v>
      </c>
      <c r="M97">
        <v>86</v>
      </c>
      <c r="N97">
        <v>50</v>
      </c>
      <c r="O97">
        <v>54</v>
      </c>
      <c r="P97">
        <v>48</v>
      </c>
      <c r="Q97">
        <v>41</v>
      </c>
      <c r="R97">
        <v>16</v>
      </c>
      <c r="S97">
        <v>9</v>
      </c>
      <c r="T97">
        <v>3</v>
      </c>
      <c r="U97" s="1">
        <v>1</v>
      </c>
    </row>
    <row r="98" spans="1:21" x14ac:dyDescent="0.3">
      <c r="A98" t="s">
        <v>22</v>
      </c>
      <c r="B98" t="s">
        <v>55</v>
      </c>
      <c r="C98" s="2" t="s">
        <v>21</v>
      </c>
      <c r="D98" s="1">
        <v>5309</v>
      </c>
      <c r="E98">
        <v>48</v>
      </c>
      <c r="F98">
        <v>35</v>
      </c>
      <c r="G98">
        <v>34</v>
      </c>
      <c r="H98">
        <v>214</v>
      </c>
      <c r="I98">
        <v>684</v>
      </c>
      <c r="J98" s="1">
        <v>1228</v>
      </c>
      <c r="K98" s="1">
        <v>1186</v>
      </c>
      <c r="L98">
        <v>836</v>
      </c>
      <c r="M98">
        <v>410</v>
      </c>
      <c r="N98">
        <v>206</v>
      </c>
      <c r="O98">
        <v>141</v>
      </c>
      <c r="P98">
        <v>134</v>
      </c>
      <c r="Q98">
        <v>88</v>
      </c>
      <c r="R98">
        <v>41</v>
      </c>
      <c r="S98">
        <v>14</v>
      </c>
      <c r="T98">
        <v>8</v>
      </c>
      <c r="U98" s="1">
        <v>2</v>
      </c>
    </row>
    <row r="99" spans="1:21" x14ac:dyDescent="0.3">
      <c r="A99" t="s">
        <v>22</v>
      </c>
      <c r="B99" t="s">
        <v>55</v>
      </c>
      <c r="C99" s="2" t="s">
        <v>24</v>
      </c>
      <c r="D99" s="1">
        <v>3543</v>
      </c>
      <c r="E99">
        <v>19</v>
      </c>
      <c r="F99">
        <v>25</v>
      </c>
      <c r="G99">
        <v>23</v>
      </c>
      <c r="H99">
        <v>124</v>
      </c>
      <c r="I99">
        <v>516</v>
      </c>
      <c r="J99">
        <v>877</v>
      </c>
      <c r="K99">
        <v>785</v>
      </c>
      <c r="L99">
        <v>606</v>
      </c>
      <c r="M99">
        <v>276</v>
      </c>
      <c r="N99">
        <v>111</v>
      </c>
      <c r="O99">
        <v>60</v>
      </c>
      <c r="P99">
        <v>51</v>
      </c>
      <c r="Q99">
        <v>34</v>
      </c>
      <c r="R99">
        <v>18</v>
      </c>
      <c r="S99">
        <v>10</v>
      </c>
      <c r="T99">
        <v>6</v>
      </c>
      <c r="U99" s="1">
        <v>2</v>
      </c>
    </row>
    <row r="100" spans="1:21" x14ac:dyDescent="0.3">
      <c r="A100" t="s">
        <v>22</v>
      </c>
      <c r="B100" t="s">
        <v>55</v>
      </c>
      <c r="C100" s="2" t="s">
        <v>25</v>
      </c>
      <c r="D100" s="1">
        <v>1766</v>
      </c>
      <c r="E100">
        <v>29</v>
      </c>
      <c r="F100">
        <v>10</v>
      </c>
      <c r="G100">
        <v>11</v>
      </c>
      <c r="H100">
        <v>90</v>
      </c>
      <c r="I100">
        <v>168</v>
      </c>
      <c r="J100">
        <v>351</v>
      </c>
      <c r="K100">
        <v>401</v>
      </c>
      <c r="L100">
        <v>230</v>
      </c>
      <c r="M100">
        <v>134</v>
      </c>
      <c r="N100">
        <v>95</v>
      </c>
      <c r="O100">
        <v>81</v>
      </c>
      <c r="P100">
        <v>83</v>
      </c>
      <c r="Q100">
        <v>54</v>
      </c>
      <c r="R100">
        <v>23</v>
      </c>
      <c r="S100">
        <v>4</v>
      </c>
      <c r="T100">
        <v>2</v>
      </c>
      <c r="U100" s="1">
        <v>0</v>
      </c>
    </row>
    <row r="101" spans="1:21" x14ac:dyDescent="0.3">
      <c r="A101" t="s">
        <v>22</v>
      </c>
      <c r="B101" t="s">
        <v>56</v>
      </c>
      <c r="C101" s="2" t="s">
        <v>21</v>
      </c>
      <c r="D101" s="1">
        <v>1434</v>
      </c>
      <c r="E101">
        <v>35</v>
      </c>
      <c r="F101">
        <v>27</v>
      </c>
      <c r="G101">
        <v>10</v>
      </c>
      <c r="H101">
        <v>18</v>
      </c>
      <c r="I101">
        <v>116</v>
      </c>
      <c r="J101">
        <v>307</v>
      </c>
      <c r="K101">
        <v>333</v>
      </c>
      <c r="L101">
        <v>219</v>
      </c>
      <c r="M101">
        <v>109</v>
      </c>
      <c r="N101">
        <v>85</v>
      </c>
      <c r="O101">
        <v>53</v>
      </c>
      <c r="P101">
        <v>53</v>
      </c>
      <c r="Q101">
        <v>35</v>
      </c>
      <c r="R101">
        <v>17</v>
      </c>
      <c r="S101">
        <v>15</v>
      </c>
      <c r="T101">
        <v>2</v>
      </c>
      <c r="U101" s="1">
        <v>0</v>
      </c>
    </row>
    <row r="102" spans="1:21" x14ac:dyDescent="0.3">
      <c r="A102" t="s">
        <v>22</v>
      </c>
      <c r="B102" t="s">
        <v>56</v>
      </c>
      <c r="C102" s="2" t="s">
        <v>24</v>
      </c>
      <c r="D102" s="1">
        <v>1015</v>
      </c>
      <c r="E102">
        <v>22</v>
      </c>
      <c r="F102">
        <v>11</v>
      </c>
      <c r="G102">
        <v>4</v>
      </c>
      <c r="H102">
        <v>6</v>
      </c>
      <c r="I102">
        <v>86</v>
      </c>
      <c r="J102">
        <v>223</v>
      </c>
      <c r="K102">
        <v>283</v>
      </c>
      <c r="L102">
        <v>174</v>
      </c>
      <c r="M102">
        <v>77</v>
      </c>
      <c r="N102">
        <v>52</v>
      </c>
      <c r="O102">
        <v>24</v>
      </c>
      <c r="P102">
        <v>22</v>
      </c>
      <c r="Q102">
        <v>17</v>
      </c>
      <c r="R102">
        <v>5</v>
      </c>
      <c r="S102">
        <v>9</v>
      </c>
      <c r="T102">
        <v>0</v>
      </c>
      <c r="U102" s="1">
        <v>0</v>
      </c>
    </row>
    <row r="103" spans="1:21" x14ac:dyDescent="0.3">
      <c r="A103" t="s">
        <v>22</v>
      </c>
      <c r="B103" t="s">
        <v>56</v>
      </c>
      <c r="C103" s="2" t="s">
        <v>25</v>
      </c>
      <c r="D103">
        <v>419</v>
      </c>
      <c r="E103">
        <v>13</v>
      </c>
      <c r="F103">
        <v>16</v>
      </c>
      <c r="G103">
        <v>6</v>
      </c>
      <c r="H103">
        <v>12</v>
      </c>
      <c r="I103">
        <v>30</v>
      </c>
      <c r="J103">
        <v>84</v>
      </c>
      <c r="K103">
        <v>50</v>
      </c>
      <c r="L103">
        <v>45</v>
      </c>
      <c r="M103">
        <v>32</v>
      </c>
      <c r="N103">
        <v>33</v>
      </c>
      <c r="O103">
        <v>29</v>
      </c>
      <c r="P103">
        <v>31</v>
      </c>
      <c r="Q103">
        <v>18</v>
      </c>
      <c r="R103">
        <v>12</v>
      </c>
      <c r="S103">
        <v>6</v>
      </c>
      <c r="T103">
        <v>2</v>
      </c>
      <c r="U103" s="1">
        <v>0</v>
      </c>
    </row>
    <row r="104" spans="1:21" x14ac:dyDescent="0.3">
      <c r="A104" t="s">
        <v>22</v>
      </c>
      <c r="B104" t="s">
        <v>57</v>
      </c>
      <c r="C104" s="2" t="s">
        <v>21</v>
      </c>
      <c r="D104" s="1">
        <v>11426</v>
      </c>
      <c r="E104">
        <v>393</v>
      </c>
      <c r="F104">
        <v>577</v>
      </c>
      <c r="G104">
        <v>287</v>
      </c>
      <c r="H104">
        <v>297</v>
      </c>
      <c r="I104">
        <v>807</v>
      </c>
      <c r="J104">
        <v>868</v>
      </c>
      <c r="K104" s="1">
        <v>1078</v>
      </c>
      <c r="L104" s="1">
        <v>1699</v>
      </c>
      <c r="M104" s="1">
        <v>1380</v>
      </c>
      <c r="N104" s="1">
        <v>1081</v>
      </c>
      <c r="O104">
        <v>957</v>
      </c>
      <c r="P104" s="1">
        <v>1053</v>
      </c>
      <c r="Q104">
        <v>591</v>
      </c>
      <c r="R104">
        <v>236</v>
      </c>
      <c r="S104">
        <v>84</v>
      </c>
      <c r="T104">
        <v>26</v>
      </c>
      <c r="U104" s="1">
        <v>12</v>
      </c>
    </row>
    <row r="105" spans="1:21" x14ac:dyDescent="0.3">
      <c r="A105" t="s">
        <v>22</v>
      </c>
      <c r="B105" t="s">
        <v>57</v>
      </c>
      <c r="C105" s="2" t="s">
        <v>24</v>
      </c>
      <c r="D105" s="1">
        <v>5948</v>
      </c>
      <c r="E105">
        <v>210</v>
      </c>
      <c r="F105">
        <v>284</v>
      </c>
      <c r="G105">
        <v>147</v>
      </c>
      <c r="H105">
        <v>163</v>
      </c>
      <c r="I105">
        <v>468</v>
      </c>
      <c r="J105">
        <v>457</v>
      </c>
      <c r="K105">
        <v>580</v>
      </c>
      <c r="L105">
        <v>865</v>
      </c>
      <c r="M105">
        <v>728</v>
      </c>
      <c r="N105">
        <v>530</v>
      </c>
      <c r="O105">
        <v>507</v>
      </c>
      <c r="P105">
        <v>516</v>
      </c>
      <c r="Q105">
        <v>312</v>
      </c>
      <c r="R105">
        <v>122</v>
      </c>
      <c r="S105">
        <v>37</v>
      </c>
      <c r="T105">
        <v>16</v>
      </c>
      <c r="U105" s="1">
        <v>6</v>
      </c>
    </row>
    <row r="106" spans="1:21" x14ac:dyDescent="0.3">
      <c r="A106" t="s">
        <v>22</v>
      </c>
      <c r="B106" t="s">
        <v>57</v>
      </c>
      <c r="C106" s="2" t="s">
        <v>25</v>
      </c>
      <c r="D106" s="1">
        <v>5478</v>
      </c>
      <c r="E106">
        <v>183</v>
      </c>
      <c r="F106">
        <v>293</v>
      </c>
      <c r="G106">
        <v>140</v>
      </c>
      <c r="H106">
        <v>134</v>
      </c>
      <c r="I106">
        <v>339</v>
      </c>
      <c r="J106">
        <v>411</v>
      </c>
      <c r="K106">
        <v>498</v>
      </c>
      <c r="L106">
        <v>834</v>
      </c>
      <c r="M106">
        <v>652</v>
      </c>
      <c r="N106">
        <v>551</v>
      </c>
      <c r="O106">
        <v>450</v>
      </c>
      <c r="P106">
        <v>537</v>
      </c>
      <c r="Q106">
        <v>279</v>
      </c>
      <c r="R106">
        <v>114</v>
      </c>
      <c r="S106">
        <v>47</v>
      </c>
      <c r="T106">
        <v>10</v>
      </c>
      <c r="U106" s="1">
        <v>6</v>
      </c>
    </row>
    <row r="107" spans="1:21" x14ac:dyDescent="0.3">
      <c r="A107" t="s">
        <v>22</v>
      </c>
      <c r="B107" t="s">
        <v>58</v>
      </c>
      <c r="C107" s="2" t="s">
        <v>21</v>
      </c>
      <c r="D107" s="1">
        <v>5844</v>
      </c>
      <c r="E107">
        <v>71</v>
      </c>
      <c r="F107">
        <v>92</v>
      </c>
      <c r="G107">
        <v>61</v>
      </c>
      <c r="H107">
        <v>263</v>
      </c>
      <c r="I107" s="1">
        <v>1543</v>
      </c>
      <c r="J107">
        <v>893</v>
      </c>
      <c r="K107">
        <v>581</v>
      </c>
      <c r="L107">
        <v>558</v>
      </c>
      <c r="M107">
        <v>439</v>
      </c>
      <c r="N107">
        <v>328</v>
      </c>
      <c r="O107">
        <v>311</v>
      </c>
      <c r="P107">
        <v>328</v>
      </c>
      <c r="Q107">
        <v>192</v>
      </c>
      <c r="R107">
        <v>112</v>
      </c>
      <c r="S107">
        <v>34</v>
      </c>
      <c r="T107">
        <v>23</v>
      </c>
      <c r="U107" s="1">
        <v>15</v>
      </c>
    </row>
    <row r="108" spans="1:21" x14ac:dyDescent="0.3">
      <c r="A108" t="s">
        <v>22</v>
      </c>
      <c r="B108" t="s">
        <v>58</v>
      </c>
      <c r="C108" s="2" t="s">
        <v>24</v>
      </c>
      <c r="D108" s="1">
        <v>2857</v>
      </c>
      <c r="E108">
        <v>28</v>
      </c>
      <c r="F108">
        <v>52</v>
      </c>
      <c r="G108">
        <v>28</v>
      </c>
      <c r="H108">
        <v>133</v>
      </c>
      <c r="I108">
        <v>719</v>
      </c>
      <c r="J108">
        <v>482</v>
      </c>
      <c r="K108">
        <v>289</v>
      </c>
      <c r="L108">
        <v>273</v>
      </c>
      <c r="M108">
        <v>217</v>
      </c>
      <c r="N108">
        <v>146</v>
      </c>
      <c r="O108">
        <v>156</v>
      </c>
      <c r="P108">
        <v>156</v>
      </c>
      <c r="Q108">
        <v>84</v>
      </c>
      <c r="R108">
        <v>57</v>
      </c>
      <c r="S108">
        <v>15</v>
      </c>
      <c r="T108">
        <v>11</v>
      </c>
      <c r="U108" s="1">
        <v>11</v>
      </c>
    </row>
    <row r="109" spans="1:21" x14ac:dyDescent="0.3">
      <c r="A109" t="s">
        <v>22</v>
      </c>
      <c r="B109" t="s">
        <v>58</v>
      </c>
      <c r="C109" s="2" t="s">
        <v>25</v>
      </c>
      <c r="D109" s="1">
        <v>2987</v>
      </c>
      <c r="E109">
        <v>43</v>
      </c>
      <c r="F109">
        <v>40</v>
      </c>
      <c r="G109">
        <v>33</v>
      </c>
      <c r="H109">
        <v>130</v>
      </c>
      <c r="I109">
        <v>824</v>
      </c>
      <c r="J109">
        <v>411</v>
      </c>
      <c r="K109">
        <v>292</v>
      </c>
      <c r="L109">
        <v>285</v>
      </c>
      <c r="M109">
        <v>222</v>
      </c>
      <c r="N109">
        <v>182</v>
      </c>
      <c r="O109">
        <v>155</v>
      </c>
      <c r="P109">
        <v>172</v>
      </c>
      <c r="Q109">
        <v>108</v>
      </c>
      <c r="R109">
        <v>55</v>
      </c>
      <c r="S109">
        <v>19</v>
      </c>
      <c r="T109">
        <v>12</v>
      </c>
      <c r="U109" s="1">
        <v>4</v>
      </c>
    </row>
    <row r="110" spans="1:21" x14ac:dyDescent="0.3">
      <c r="A110" t="s">
        <v>22</v>
      </c>
      <c r="B110" t="s">
        <v>59</v>
      </c>
      <c r="C110" s="2" t="s">
        <v>21</v>
      </c>
      <c r="D110" s="1">
        <v>3323</v>
      </c>
      <c r="E110">
        <v>42</v>
      </c>
      <c r="F110">
        <v>47</v>
      </c>
      <c r="G110">
        <v>53</v>
      </c>
      <c r="H110">
        <v>220</v>
      </c>
      <c r="I110">
        <v>836</v>
      </c>
      <c r="J110">
        <v>482</v>
      </c>
      <c r="K110">
        <v>305</v>
      </c>
      <c r="L110">
        <v>336</v>
      </c>
      <c r="M110">
        <v>307</v>
      </c>
      <c r="N110">
        <v>201</v>
      </c>
      <c r="O110">
        <v>157</v>
      </c>
      <c r="P110">
        <v>166</v>
      </c>
      <c r="Q110">
        <v>81</v>
      </c>
      <c r="R110">
        <v>48</v>
      </c>
      <c r="S110">
        <v>31</v>
      </c>
      <c r="T110">
        <v>7</v>
      </c>
      <c r="U110" s="1">
        <v>4</v>
      </c>
    </row>
    <row r="111" spans="1:21" x14ac:dyDescent="0.3">
      <c r="A111" t="s">
        <v>22</v>
      </c>
      <c r="B111" t="s">
        <v>59</v>
      </c>
      <c r="C111" s="2" t="s">
        <v>24</v>
      </c>
      <c r="D111" s="1">
        <v>1378</v>
      </c>
      <c r="E111">
        <v>25</v>
      </c>
      <c r="F111">
        <v>30</v>
      </c>
      <c r="G111">
        <v>27</v>
      </c>
      <c r="H111">
        <v>110</v>
      </c>
      <c r="I111">
        <v>331</v>
      </c>
      <c r="J111">
        <v>156</v>
      </c>
      <c r="K111">
        <v>96</v>
      </c>
      <c r="L111">
        <v>152</v>
      </c>
      <c r="M111">
        <v>153</v>
      </c>
      <c r="N111">
        <v>91</v>
      </c>
      <c r="O111">
        <v>63</v>
      </c>
      <c r="P111">
        <v>58</v>
      </c>
      <c r="Q111">
        <v>42</v>
      </c>
      <c r="R111">
        <v>21</v>
      </c>
      <c r="S111">
        <v>16</v>
      </c>
      <c r="T111">
        <v>5</v>
      </c>
      <c r="U111" s="1">
        <v>2</v>
      </c>
    </row>
    <row r="112" spans="1:21" x14ac:dyDescent="0.3">
      <c r="A112" t="s">
        <v>22</v>
      </c>
      <c r="B112" t="s">
        <v>59</v>
      </c>
      <c r="C112" s="2" t="s">
        <v>25</v>
      </c>
      <c r="D112" s="1">
        <v>1945</v>
      </c>
      <c r="E112">
        <v>17</v>
      </c>
      <c r="F112">
        <v>17</v>
      </c>
      <c r="G112">
        <v>26</v>
      </c>
      <c r="H112">
        <v>110</v>
      </c>
      <c r="I112">
        <v>505</v>
      </c>
      <c r="J112">
        <v>326</v>
      </c>
      <c r="K112">
        <v>209</v>
      </c>
      <c r="L112">
        <v>184</v>
      </c>
      <c r="M112">
        <v>154</v>
      </c>
      <c r="N112">
        <v>110</v>
      </c>
      <c r="O112">
        <v>94</v>
      </c>
      <c r="P112">
        <v>108</v>
      </c>
      <c r="Q112">
        <v>39</v>
      </c>
      <c r="R112">
        <v>27</v>
      </c>
      <c r="S112">
        <v>15</v>
      </c>
      <c r="T112">
        <v>2</v>
      </c>
      <c r="U112" s="1">
        <v>2</v>
      </c>
    </row>
    <row r="113" spans="1:21" x14ac:dyDescent="0.3">
      <c r="A113" t="s">
        <v>22</v>
      </c>
      <c r="B113" t="s">
        <v>60</v>
      </c>
      <c r="C113" s="2" t="s">
        <v>21</v>
      </c>
      <c r="D113" s="1">
        <v>12292</v>
      </c>
      <c r="E113">
        <v>214</v>
      </c>
      <c r="F113">
        <v>208</v>
      </c>
      <c r="G113">
        <v>106</v>
      </c>
      <c r="H113">
        <v>300</v>
      </c>
      <c r="I113" s="1">
        <v>1620</v>
      </c>
      <c r="J113" s="1">
        <v>2384</v>
      </c>
      <c r="K113" s="1">
        <v>2248</v>
      </c>
      <c r="L113" s="1">
        <v>1800</v>
      </c>
      <c r="M113" s="1">
        <v>1037</v>
      </c>
      <c r="N113">
        <v>634</v>
      </c>
      <c r="O113">
        <v>551</v>
      </c>
      <c r="P113">
        <v>557</v>
      </c>
      <c r="Q113">
        <v>359</v>
      </c>
      <c r="R113">
        <v>167</v>
      </c>
      <c r="S113">
        <v>69</v>
      </c>
      <c r="T113">
        <v>29</v>
      </c>
      <c r="U113" s="1">
        <v>9</v>
      </c>
    </row>
    <row r="114" spans="1:21" x14ac:dyDescent="0.3">
      <c r="A114" t="s">
        <v>22</v>
      </c>
      <c r="B114" t="s">
        <v>60</v>
      </c>
      <c r="C114" s="2" t="s">
        <v>24</v>
      </c>
      <c r="D114" s="1">
        <v>8089</v>
      </c>
      <c r="E114">
        <v>104</v>
      </c>
      <c r="F114">
        <v>110</v>
      </c>
      <c r="G114">
        <v>55</v>
      </c>
      <c r="H114">
        <v>150</v>
      </c>
      <c r="I114" s="1">
        <v>1077</v>
      </c>
      <c r="J114" s="1">
        <v>1743</v>
      </c>
      <c r="K114" s="1">
        <v>1711</v>
      </c>
      <c r="L114" s="1">
        <v>1275</v>
      </c>
      <c r="M114">
        <v>669</v>
      </c>
      <c r="N114">
        <v>345</v>
      </c>
      <c r="O114">
        <v>280</v>
      </c>
      <c r="P114">
        <v>257</v>
      </c>
      <c r="Q114">
        <v>162</v>
      </c>
      <c r="R114">
        <v>93</v>
      </c>
      <c r="S114">
        <v>35</v>
      </c>
      <c r="T114">
        <v>17</v>
      </c>
      <c r="U114" s="1">
        <v>6</v>
      </c>
    </row>
    <row r="115" spans="1:21" x14ac:dyDescent="0.3">
      <c r="A115" t="s">
        <v>22</v>
      </c>
      <c r="B115" t="s">
        <v>60</v>
      </c>
      <c r="C115" s="2" t="s">
        <v>25</v>
      </c>
      <c r="D115" s="1">
        <v>4203</v>
      </c>
      <c r="E115">
        <v>110</v>
      </c>
      <c r="F115">
        <v>98</v>
      </c>
      <c r="G115">
        <v>51</v>
      </c>
      <c r="H115">
        <v>150</v>
      </c>
      <c r="I115">
        <v>543</v>
      </c>
      <c r="J115">
        <v>641</v>
      </c>
      <c r="K115">
        <v>537</v>
      </c>
      <c r="L115">
        <v>525</v>
      </c>
      <c r="M115">
        <v>368</v>
      </c>
      <c r="N115">
        <v>289</v>
      </c>
      <c r="O115">
        <v>271</v>
      </c>
      <c r="P115">
        <v>300</v>
      </c>
      <c r="Q115">
        <v>197</v>
      </c>
      <c r="R115">
        <v>74</v>
      </c>
      <c r="S115">
        <v>34</v>
      </c>
      <c r="T115">
        <v>12</v>
      </c>
      <c r="U115" s="1">
        <v>3</v>
      </c>
    </row>
    <row r="116" spans="1:21" x14ac:dyDescent="0.3">
      <c r="A116" t="s">
        <v>22</v>
      </c>
      <c r="B116" t="s">
        <v>61</v>
      </c>
      <c r="C116" s="2" t="s">
        <v>21</v>
      </c>
      <c r="D116" s="1">
        <v>1092</v>
      </c>
      <c r="E116">
        <v>10</v>
      </c>
      <c r="F116">
        <v>14</v>
      </c>
      <c r="G116">
        <v>20</v>
      </c>
      <c r="H116">
        <v>14</v>
      </c>
      <c r="I116">
        <v>73</v>
      </c>
      <c r="J116">
        <v>161</v>
      </c>
      <c r="K116">
        <v>164</v>
      </c>
      <c r="L116">
        <v>172</v>
      </c>
      <c r="M116">
        <v>152</v>
      </c>
      <c r="N116">
        <v>76</v>
      </c>
      <c r="O116">
        <v>65</v>
      </c>
      <c r="P116">
        <v>90</v>
      </c>
      <c r="Q116">
        <v>41</v>
      </c>
      <c r="R116">
        <v>22</v>
      </c>
      <c r="S116">
        <v>13</v>
      </c>
      <c r="T116">
        <v>3</v>
      </c>
      <c r="U116" s="1">
        <v>2</v>
      </c>
    </row>
    <row r="117" spans="1:21" x14ac:dyDescent="0.3">
      <c r="A117" t="s">
        <v>22</v>
      </c>
      <c r="B117" t="s">
        <v>61</v>
      </c>
      <c r="C117" s="2" t="s">
        <v>24</v>
      </c>
      <c r="D117">
        <v>530</v>
      </c>
      <c r="E117">
        <v>2</v>
      </c>
      <c r="F117">
        <v>10</v>
      </c>
      <c r="G117">
        <v>8</v>
      </c>
      <c r="H117">
        <v>4</v>
      </c>
      <c r="I117">
        <v>34</v>
      </c>
      <c r="J117">
        <v>74</v>
      </c>
      <c r="K117">
        <v>93</v>
      </c>
      <c r="L117">
        <v>75</v>
      </c>
      <c r="M117">
        <v>74</v>
      </c>
      <c r="N117">
        <v>34</v>
      </c>
      <c r="O117">
        <v>28</v>
      </c>
      <c r="P117">
        <v>49</v>
      </c>
      <c r="Q117">
        <v>21</v>
      </c>
      <c r="R117">
        <v>13</v>
      </c>
      <c r="S117">
        <v>8</v>
      </c>
      <c r="T117">
        <v>2</v>
      </c>
      <c r="U117" s="1">
        <v>1</v>
      </c>
    </row>
    <row r="118" spans="1:21" x14ac:dyDescent="0.3">
      <c r="A118" t="s">
        <v>22</v>
      </c>
      <c r="B118" t="s">
        <v>61</v>
      </c>
      <c r="C118" s="2" t="s">
        <v>25</v>
      </c>
      <c r="D118">
        <v>562</v>
      </c>
      <c r="E118">
        <v>8</v>
      </c>
      <c r="F118">
        <v>4</v>
      </c>
      <c r="G118">
        <v>12</v>
      </c>
      <c r="H118">
        <v>10</v>
      </c>
      <c r="I118">
        <v>39</v>
      </c>
      <c r="J118">
        <v>87</v>
      </c>
      <c r="K118">
        <v>71</v>
      </c>
      <c r="L118">
        <v>97</v>
      </c>
      <c r="M118">
        <v>78</v>
      </c>
      <c r="N118">
        <v>42</v>
      </c>
      <c r="O118">
        <v>37</v>
      </c>
      <c r="P118">
        <v>41</v>
      </c>
      <c r="Q118">
        <v>20</v>
      </c>
      <c r="R118">
        <v>9</v>
      </c>
      <c r="S118">
        <v>5</v>
      </c>
      <c r="T118">
        <v>1</v>
      </c>
      <c r="U118" s="1">
        <v>1</v>
      </c>
    </row>
    <row r="119" spans="1:21" x14ac:dyDescent="0.3">
      <c r="A119" t="s">
        <v>22</v>
      </c>
      <c r="B119" t="s">
        <v>62</v>
      </c>
      <c r="C119" s="2" t="s">
        <v>21</v>
      </c>
      <c r="D119" s="1">
        <v>8200</v>
      </c>
      <c r="E119">
        <v>137</v>
      </c>
      <c r="F119">
        <v>122</v>
      </c>
      <c r="G119">
        <v>95</v>
      </c>
      <c r="H119">
        <v>905</v>
      </c>
      <c r="I119" s="1">
        <v>2412</v>
      </c>
      <c r="J119" s="1">
        <v>1069</v>
      </c>
      <c r="K119">
        <v>740</v>
      </c>
      <c r="L119">
        <v>668</v>
      </c>
      <c r="M119">
        <v>502</v>
      </c>
      <c r="N119">
        <v>402</v>
      </c>
      <c r="O119">
        <v>336</v>
      </c>
      <c r="P119">
        <v>375</v>
      </c>
      <c r="Q119">
        <v>203</v>
      </c>
      <c r="R119">
        <v>118</v>
      </c>
      <c r="S119">
        <v>58</v>
      </c>
      <c r="T119">
        <v>36</v>
      </c>
      <c r="U119" s="1">
        <v>22</v>
      </c>
    </row>
    <row r="120" spans="1:21" x14ac:dyDescent="0.3">
      <c r="A120" t="s">
        <v>22</v>
      </c>
      <c r="B120" t="s">
        <v>62</v>
      </c>
      <c r="C120" s="2" t="s">
        <v>24</v>
      </c>
      <c r="D120" s="1">
        <v>4025</v>
      </c>
      <c r="E120">
        <v>73</v>
      </c>
      <c r="F120">
        <v>62</v>
      </c>
      <c r="G120">
        <v>45</v>
      </c>
      <c r="H120">
        <v>580</v>
      </c>
      <c r="I120" s="1">
        <v>1318</v>
      </c>
      <c r="J120">
        <v>480</v>
      </c>
      <c r="K120">
        <v>296</v>
      </c>
      <c r="L120">
        <v>259</v>
      </c>
      <c r="M120">
        <v>214</v>
      </c>
      <c r="N120">
        <v>183</v>
      </c>
      <c r="O120">
        <v>137</v>
      </c>
      <c r="P120">
        <v>173</v>
      </c>
      <c r="Q120">
        <v>88</v>
      </c>
      <c r="R120">
        <v>56</v>
      </c>
      <c r="S120">
        <v>29</v>
      </c>
      <c r="T120">
        <v>22</v>
      </c>
      <c r="U120" s="1">
        <v>10</v>
      </c>
    </row>
    <row r="121" spans="1:21" x14ac:dyDescent="0.3">
      <c r="A121" t="s">
        <v>22</v>
      </c>
      <c r="B121" t="s">
        <v>62</v>
      </c>
      <c r="C121" s="2" t="s">
        <v>25</v>
      </c>
      <c r="D121" s="1">
        <v>4175</v>
      </c>
      <c r="E121">
        <v>64</v>
      </c>
      <c r="F121">
        <v>60</v>
      </c>
      <c r="G121">
        <v>50</v>
      </c>
      <c r="H121">
        <v>325</v>
      </c>
      <c r="I121" s="1">
        <v>1094</v>
      </c>
      <c r="J121">
        <v>589</v>
      </c>
      <c r="K121">
        <v>444</v>
      </c>
      <c r="L121">
        <v>409</v>
      </c>
      <c r="M121">
        <v>288</v>
      </c>
      <c r="N121">
        <v>219</v>
      </c>
      <c r="O121">
        <v>199</v>
      </c>
      <c r="P121">
        <v>202</v>
      </c>
      <c r="Q121">
        <v>115</v>
      </c>
      <c r="R121">
        <v>62</v>
      </c>
      <c r="S121">
        <v>29</v>
      </c>
      <c r="T121">
        <v>14</v>
      </c>
      <c r="U121" s="1">
        <v>12</v>
      </c>
    </row>
    <row r="122" spans="1:21" x14ac:dyDescent="0.3">
      <c r="A122" t="s">
        <v>22</v>
      </c>
      <c r="B122" t="s">
        <v>63</v>
      </c>
      <c r="C122" s="2" t="s">
        <v>21</v>
      </c>
      <c r="D122" s="1">
        <v>11384</v>
      </c>
      <c r="E122">
        <v>153</v>
      </c>
      <c r="F122">
        <v>125</v>
      </c>
      <c r="G122">
        <v>72</v>
      </c>
      <c r="H122">
        <v>186</v>
      </c>
      <c r="I122" s="1">
        <v>1583</v>
      </c>
      <c r="J122" s="1">
        <v>2569</v>
      </c>
      <c r="K122" s="1">
        <v>2623</v>
      </c>
      <c r="L122" s="1">
        <v>1719</v>
      </c>
      <c r="M122">
        <v>853</v>
      </c>
      <c r="N122">
        <v>438</v>
      </c>
      <c r="O122">
        <v>348</v>
      </c>
      <c r="P122">
        <v>359</v>
      </c>
      <c r="Q122">
        <v>209</v>
      </c>
      <c r="R122">
        <v>100</v>
      </c>
      <c r="S122">
        <v>34</v>
      </c>
      <c r="T122">
        <v>7</v>
      </c>
      <c r="U122" s="1">
        <v>6</v>
      </c>
    </row>
    <row r="123" spans="1:21" x14ac:dyDescent="0.3">
      <c r="A123" t="s">
        <v>22</v>
      </c>
      <c r="B123" t="s">
        <v>63</v>
      </c>
      <c r="C123" s="2" t="s">
        <v>24</v>
      </c>
      <c r="D123" s="1">
        <v>7382</v>
      </c>
      <c r="E123">
        <v>77</v>
      </c>
      <c r="F123">
        <v>60</v>
      </c>
      <c r="G123">
        <v>43</v>
      </c>
      <c r="H123">
        <v>121</v>
      </c>
      <c r="I123" s="1">
        <v>1110</v>
      </c>
      <c r="J123" s="1">
        <v>1751</v>
      </c>
      <c r="K123" s="1">
        <v>1837</v>
      </c>
      <c r="L123" s="1">
        <v>1155</v>
      </c>
      <c r="M123">
        <v>523</v>
      </c>
      <c r="N123">
        <v>232</v>
      </c>
      <c r="O123">
        <v>161</v>
      </c>
      <c r="P123">
        <v>151</v>
      </c>
      <c r="Q123">
        <v>93</v>
      </c>
      <c r="R123">
        <v>42</v>
      </c>
      <c r="S123">
        <v>18</v>
      </c>
      <c r="T123">
        <v>4</v>
      </c>
      <c r="U123" s="1">
        <v>4</v>
      </c>
    </row>
    <row r="124" spans="1:21" x14ac:dyDescent="0.3">
      <c r="A124" t="s">
        <v>22</v>
      </c>
      <c r="B124" t="s">
        <v>63</v>
      </c>
      <c r="C124" s="2" t="s">
        <v>25</v>
      </c>
      <c r="D124" s="1">
        <v>4002</v>
      </c>
      <c r="E124">
        <v>76</v>
      </c>
      <c r="F124">
        <v>65</v>
      </c>
      <c r="G124">
        <v>29</v>
      </c>
      <c r="H124">
        <v>65</v>
      </c>
      <c r="I124">
        <v>473</v>
      </c>
      <c r="J124">
        <v>818</v>
      </c>
      <c r="K124">
        <v>786</v>
      </c>
      <c r="L124">
        <v>564</v>
      </c>
      <c r="M124">
        <v>330</v>
      </c>
      <c r="N124">
        <v>206</v>
      </c>
      <c r="O124">
        <v>187</v>
      </c>
      <c r="P124">
        <v>208</v>
      </c>
      <c r="Q124">
        <v>116</v>
      </c>
      <c r="R124">
        <v>58</v>
      </c>
      <c r="S124">
        <v>16</v>
      </c>
      <c r="T124">
        <v>3</v>
      </c>
      <c r="U124" s="1">
        <v>2</v>
      </c>
    </row>
    <row r="125" spans="1:21" x14ac:dyDescent="0.3">
      <c r="A125" t="s">
        <v>22</v>
      </c>
      <c r="B125" t="s">
        <v>64</v>
      </c>
      <c r="C125" s="2" t="s">
        <v>21</v>
      </c>
      <c r="D125" s="1">
        <v>16471</v>
      </c>
      <c r="E125">
        <v>278</v>
      </c>
      <c r="F125">
        <v>254</v>
      </c>
      <c r="G125">
        <v>135</v>
      </c>
      <c r="H125">
        <v>234</v>
      </c>
      <c r="I125" s="1">
        <v>1699</v>
      </c>
      <c r="J125" s="1">
        <v>3314</v>
      </c>
      <c r="K125" s="1">
        <v>3588</v>
      </c>
      <c r="L125" s="1">
        <v>2652</v>
      </c>
      <c r="M125" s="1">
        <v>1574</v>
      </c>
      <c r="N125">
        <v>900</v>
      </c>
      <c r="O125">
        <v>657</v>
      </c>
      <c r="P125">
        <v>604</v>
      </c>
      <c r="Q125">
        <v>345</v>
      </c>
      <c r="R125">
        <v>142</v>
      </c>
      <c r="S125">
        <v>55</v>
      </c>
      <c r="T125">
        <v>29</v>
      </c>
      <c r="U125" s="1">
        <v>11</v>
      </c>
    </row>
    <row r="126" spans="1:21" x14ac:dyDescent="0.3">
      <c r="A126" t="s">
        <v>22</v>
      </c>
      <c r="B126" t="s">
        <v>64</v>
      </c>
      <c r="C126" s="2" t="s">
        <v>24</v>
      </c>
      <c r="D126" s="1">
        <v>11872</v>
      </c>
      <c r="E126">
        <v>136</v>
      </c>
      <c r="F126">
        <v>138</v>
      </c>
      <c r="G126">
        <v>62</v>
      </c>
      <c r="H126">
        <v>137</v>
      </c>
      <c r="I126" s="1">
        <v>1378</v>
      </c>
      <c r="J126" s="1">
        <v>2663</v>
      </c>
      <c r="K126" s="1">
        <v>2861</v>
      </c>
      <c r="L126" s="1">
        <v>1960</v>
      </c>
      <c r="M126" s="1">
        <v>1073</v>
      </c>
      <c r="N126">
        <v>517</v>
      </c>
      <c r="O126">
        <v>364</v>
      </c>
      <c r="P126">
        <v>298</v>
      </c>
      <c r="Q126">
        <v>163</v>
      </c>
      <c r="R126">
        <v>69</v>
      </c>
      <c r="S126">
        <v>29</v>
      </c>
      <c r="T126">
        <v>16</v>
      </c>
      <c r="U126" s="1">
        <v>8</v>
      </c>
    </row>
    <row r="127" spans="1:21" x14ac:dyDescent="0.3">
      <c r="A127" t="s">
        <v>22</v>
      </c>
      <c r="B127" t="s">
        <v>64</v>
      </c>
      <c r="C127" s="2" t="s">
        <v>25</v>
      </c>
      <c r="D127" s="1">
        <v>4599</v>
      </c>
      <c r="E127">
        <v>142</v>
      </c>
      <c r="F127">
        <v>116</v>
      </c>
      <c r="G127">
        <v>73</v>
      </c>
      <c r="H127">
        <v>97</v>
      </c>
      <c r="I127">
        <v>321</v>
      </c>
      <c r="J127">
        <v>651</v>
      </c>
      <c r="K127">
        <v>727</v>
      </c>
      <c r="L127">
        <v>692</v>
      </c>
      <c r="M127">
        <v>501</v>
      </c>
      <c r="N127">
        <v>383</v>
      </c>
      <c r="O127">
        <v>293</v>
      </c>
      <c r="P127">
        <v>306</v>
      </c>
      <c r="Q127">
        <v>182</v>
      </c>
      <c r="R127">
        <v>73</v>
      </c>
      <c r="S127">
        <v>26</v>
      </c>
      <c r="T127">
        <v>13</v>
      </c>
      <c r="U127" s="1">
        <v>3</v>
      </c>
    </row>
    <row r="128" spans="1:21" x14ac:dyDescent="0.3">
      <c r="A128" t="s">
        <v>22</v>
      </c>
      <c r="B128" t="s">
        <v>65</v>
      </c>
      <c r="C128" s="2" t="s">
        <v>21</v>
      </c>
      <c r="D128" s="1">
        <v>36187</v>
      </c>
      <c r="E128" s="1">
        <v>1371</v>
      </c>
      <c r="F128" s="1">
        <v>1470</v>
      </c>
      <c r="G128">
        <v>946</v>
      </c>
      <c r="H128">
        <v>932</v>
      </c>
      <c r="I128" s="1">
        <v>2374</v>
      </c>
      <c r="J128" s="1">
        <v>4694</v>
      </c>
      <c r="K128" s="1">
        <v>5491</v>
      </c>
      <c r="L128" s="1">
        <v>5485</v>
      </c>
      <c r="M128" s="1">
        <v>4275</v>
      </c>
      <c r="N128" s="1">
        <v>2663</v>
      </c>
      <c r="O128" s="1">
        <v>2157</v>
      </c>
      <c r="P128" s="1">
        <v>1947</v>
      </c>
      <c r="Q128" s="1">
        <v>1228</v>
      </c>
      <c r="R128">
        <v>649</v>
      </c>
      <c r="S128">
        <v>296</v>
      </c>
      <c r="T128">
        <v>125</v>
      </c>
      <c r="U128" s="1">
        <v>84</v>
      </c>
    </row>
    <row r="129" spans="1:21" x14ac:dyDescent="0.3">
      <c r="A129" t="s">
        <v>22</v>
      </c>
      <c r="B129" t="s">
        <v>65</v>
      </c>
      <c r="C129" s="2" t="s">
        <v>24</v>
      </c>
      <c r="D129" s="1">
        <v>21176</v>
      </c>
      <c r="E129">
        <v>693</v>
      </c>
      <c r="F129">
        <v>759</v>
      </c>
      <c r="G129">
        <v>464</v>
      </c>
      <c r="H129">
        <v>515</v>
      </c>
      <c r="I129" s="1">
        <v>1484</v>
      </c>
      <c r="J129" s="1">
        <v>3073</v>
      </c>
      <c r="K129" s="1">
        <v>3458</v>
      </c>
      <c r="L129" s="1">
        <v>3329</v>
      </c>
      <c r="M129" s="1">
        <v>2432</v>
      </c>
      <c r="N129" s="1">
        <v>1462</v>
      </c>
      <c r="O129" s="1">
        <v>1109</v>
      </c>
      <c r="P129">
        <v>992</v>
      </c>
      <c r="Q129">
        <v>670</v>
      </c>
      <c r="R129">
        <v>360</v>
      </c>
      <c r="S129">
        <v>215</v>
      </c>
      <c r="T129">
        <v>99</v>
      </c>
      <c r="U129" s="1">
        <v>62</v>
      </c>
    </row>
    <row r="130" spans="1:21" x14ac:dyDescent="0.3">
      <c r="A130" t="s">
        <v>22</v>
      </c>
      <c r="B130" t="s">
        <v>65</v>
      </c>
      <c r="C130" s="2" t="s">
        <v>25</v>
      </c>
      <c r="D130" s="1">
        <v>15011</v>
      </c>
      <c r="E130">
        <v>678</v>
      </c>
      <c r="F130">
        <v>711</v>
      </c>
      <c r="G130">
        <v>482</v>
      </c>
      <c r="H130">
        <v>417</v>
      </c>
      <c r="I130">
        <v>890</v>
      </c>
      <c r="J130" s="1">
        <v>1621</v>
      </c>
      <c r="K130" s="1">
        <v>2033</v>
      </c>
      <c r="L130" s="1">
        <v>2156</v>
      </c>
      <c r="M130" s="1">
        <v>1843</v>
      </c>
      <c r="N130" s="1">
        <v>1201</v>
      </c>
      <c r="O130" s="1">
        <v>1048</v>
      </c>
      <c r="P130">
        <v>955</v>
      </c>
      <c r="Q130">
        <v>558</v>
      </c>
      <c r="R130">
        <v>289</v>
      </c>
      <c r="S130">
        <v>81</v>
      </c>
      <c r="T130">
        <v>26</v>
      </c>
      <c r="U130" s="1">
        <v>22</v>
      </c>
    </row>
    <row r="131" spans="1:21" x14ac:dyDescent="0.3">
      <c r="A131" t="s">
        <v>22</v>
      </c>
      <c r="B131" t="s">
        <v>66</v>
      </c>
      <c r="C131" s="2" t="s">
        <v>21</v>
      </c>
      <c r="D131" s="1">
        <v>16813</v>
      </c>
      <c r="E131">
        <v>275</v>
      </c>
      <c r="F131">
        <v>152</v>
      </c>
      <c r="G131">
        <v>115</v>
      </c>
      <c r="H131">
        <v>164</v>
      </c>
      <c r="I131" s="1">
        <v>2246</v>
      </c>
      <c r="J131" s="1">
        <v>3818</v>
      </c>
      <c r="K131" s="1">
        <v>3925</v>
      </c>
      <c r="L131" s="1">
        <v>2782</v>
      </c>
      <c r="M131" s="1">
        <v>1353</v>
      </c>
      <c r="N131">
        <v>744</v>
      </c>
      <c r="O131">
        <v>536</v>
      </c>
      <c r="P131">
        <v>363</v>
      </c>
      <c r="Q131">
        <v>199</v>
      </c>
      <c r="R131">
        <v>94</v>
      </c>
      <c r="S131">
        <v>30</v>
      </c>
      <c r="T131">
        <v>9</v>
      </c>
      <c r="U131" s="1">
        <v>8</v>
      </c>
    </row>
    <row r="132" spans="1:21" x14ac:dyDescent="0.3">
      <c r="A132" t="s">
        <v>22</v>
      </c>
      <c r="B132" t="s">
        <v>66</v>
      </c>
      <c r="C132" s="2" t="s">
        <v>24</v>
      </c>
      <c r="D132" s="1">
        <v>12651</v>
      </c>
      <c r="E132">
        <v>139</v>
      </c>
      <c r="F132">
        <v>80</v>
      </c>
      <c r="G132">
        <v>60</v>
      </c>
      <c r="H132">
        <v>91</v>
      </c>
      <c r="I132" s="1">
        <v>1698</v>
      </c>
      <c r="J132" s="1">
        <v>2942</v>
      </c>
      <c r="K132" s="1">
        <v>3138</v>
      </c>
      <c r="L132" s="1">
        <v>2267</v>
      </c>
      <c r="M132" s="1">
        <v>1070</v>
      </c>
      <c r="N132">
        <v>506</v>
      </c>
      <c r="O132">
        <v>319</v>
      </c>
      <c r="P132">
        <v>182</v>
      </c>
      <c r="Q132">
        <v>88</v>
      </c>
      <c r="R132">
        <v>46</v>
      </c>
      <c r="S132">
        <v>11</v>
      </c>
      <c r="T132">
        <v>9</v>
      </c>
      <c r="U132" s="1">
        <v>5</v>
      </c>
    </row>
    <row r="133" spans="1:21" x14ac:dyDescent="0.3">
      <c r="A133" t="s">
        <v>22</v>
      </c>
      <c r="B133" t="s">
        <v>66</v>
      </c>
      <c r="C133" s="2" t="s">
        <v>25</v>
      </c>
      <c r="D133" s="1">
        <v>4162</v>
      </c>
      <c r="E133">
        <v>136</v>
      </c>
      <c r="F133">
        <v>72</v>
      </c>
      <c r="G133">
        <v>55</v>
      </c>
      <c r="H133">
        <v>73</v>
      </c>
      <c r="I133">
        <v>548</v>
      </c>
      <c r="J133">
        <v>876</v>
      </c>
      <c r="K133">
        <v>787</v>
      </c>
      <c r="L133">
        <v>515</v>
      </c>
      <c r="M133">
        <v>283</v>
      </c>
      <c r="N133">
        <v>238</v>
      </c>
      <c r="O133">
        <v>217</v>
      </c>
      <c r="P133">
        <v>181</v>
      </c>
      <c r="Q133">
        <v>111</v>
      </c>
      <c r="R133">
        <v>48</v>
      </c>
      <c r="S133">
        <v>19</v>
      </c>
      <c r="T133">
        <v>0</v>
      </c>
      <c r="U133" s="1">
        <v>3</v>
      </c>
    </row>
    <row r="134" spans="1:21" x14ac:dyDescent="0.3">
      <c r="A134" t="s">
        <v>22</v>
      </c>
      <c r="B134" t="s">
        <v>67</v>
      </c>
      <c r="C134" s="2" t="s">
        <v>21</v>
      </c>
      <c r="D134" s="1">
        <v>2680</v>
      </c>
      <c r="E134">
        <v>60</v>
      </c>
      <c r="F134">
        <v>65</v>
      </c>
      <c r="G134">
        <v>49</v>
      </c>
      <c r="H134">
        <v>45</v>
      </c>
      <c r="I134">
        <v>181</v>
      </c>
      <c r="J134">
        <v>374</v>
      </c>
      <c r="K134">
        <v>471</v>
      </c>
      <c r="L134">
        <v>444</v>
      </c>
      <c r="M134">
        <v>321</v>
      </c>
      <c r="N134">
        <v>217</v>
      </c>
      <c r="O134">
        <v>152</v>
      </c>
      <c r="P134">
        <v>136</v>
      </c>
      <c r="Q134">
        <v>83</v>
      </c>
      <c r="R134">
        <v>50</v>
      </c>
      <c r="S134">
        <v>19</v>
      </c>
      <c r="T134">
        <v>12</v>
      </c>
      <c r="U134" s="1">
        <v>1</v>
      </c>
    </row>
    <row r="135" spans="1:21" x14ac:dyDescent="0.3">
      <c r="A135" t="s">
        <v>22</v>
      </c>
      <c r="B135" t="s">
        <v>67</v>
      </c>
      <c r="C135" s="2" t="s">
        <v>24</v>
      </c>
      <c r="D135" s="1">
        <v>1275</v>
      </c>
      <c r="E135">
        <v>32</v>
      </c>
      <c r="F135">
        <v>33</v>
      </c>
      <c r="G135">
        <v>31</v>
      </c>
      <c r="H135">
        <v>22</v>
      </c>
      <c r="I135">
        <v>76</v>
      </c>
      <c r="J135">
        <v>149</v>
      </c>
      <c r="K135">
        <v>228</v>
      </c>
      <c r="L135">
        <v>231</v>
      </c>
      <c r="M135">
        <v>166</v>
      </c>
      <c r="N135">
        <v>120</v>
      </c>
      <c r="O135">
        <v>66</v>
      </c>
      <c r="P135">
        <v>47</v>
      </c>
      <c r="Q135">
        <v>34</v>
      </c>
      <c r="R135">
        <v>19</v>
      </c>
      <c r="S135">
        <v>11</v>
      </c>
      <c r="T135">
        <v>10</v>
      </c>
      <c r="U135" s="1">
        <v>0</v>
      </c>
    </row>
    <row r="136" spans="1:21" x14ac:dyDescent="0.3">
      <c r="A136" t="s">
        <v>22</v>
      </c>
      <c r="B136" t="s">
        <v>67</v>
      </c>
      <c r="C136" s="2" t="s">
        <v>25</v>
      </c>
      <c r="D136" s="1">
        <v>1405</v>
      </c>
      <c r="E136">
        <v>28</v>
      </c>
      <c r="F136">
        <v>32</v>
      </c>
      <c r="G136">
        <v>18</v>
      </c>
      <c r="H136">
        <v>23</v>
      </c>
      <c r="I136">
        <v>105</v>
      </c>
      <c r="J136">
        <v>225</v>
      </c>
      <c r="K136">
        <v>243</v>
      </c>
      <c r="L136">
        <v>213</v>
      </c>
      <c r="M136">
        <v>155</v>
      </c>
      <c r="N136">
        <v>97</v>
      </c>
      <c r="O136">
        <v>86</v>
      </c>
      <c r="P136">
        <v>89</v>
      </c>
      <c r="Q136">
        <v>49</v>
      </c>
      <c r="R136">
        <v>31</v>
      </c>
      <c r="S136">
        <v>8</v>
      </c>
      <c r="T136">
        <v>2</v>
      </c>
      <c r="U136" s="1">
        <v>1</v>
      </c>
    </row>
    <row r="137" spans="1:21" x14ac:dyDescent="0.3">
      <c r="A137" t="s">
        <v>22</v>
      </c>
      <c r="B137" t="s">
        <v>68</v>
      </c>
      <c r="C137" s="2" t="s">
        <v>21</v>
      </c>
      <c r="D137" s="1">
        <v>54858</v>
      </c>
      <c r="E137" s="1">
        <v>1295</v>
      </c>
      <c r="F137" s="1">
        <v>1182</v>
      </c>
      <c r="G137">
        <v>635</v>
      </c>
      <c r="H137">
        <v>825</v>
      </c>
      <c r="I137" s="1">
        <v>5703</v>
      </c>
      <c r="J137" s="1">
        <v>10840</v>
      </c>
      <c r="K137" s="1">
        <v>11665</v>
      </c>
      <c r="L137" s="1">
        <v>9181</v>
      </c>
      <c r="M137" s="1">
        <v>5299</v>
      </c>
      <c r="N137" s="1">
        <v>2781</v>
      </c>
      <c r="O137" s="1">
        <v>2009</v>
      </c>
      <c r="P137" s="1">
        <v>1870</v>
      </c>
      <c r="Q137">
        <v>967</v>
      </c>
      <c r="R137">
        <v>402</v>
      </c>
      <c r="S137">
        <v>140</v>
      </c>
      <c r="T137">
        <v>49</v>
      </c>
      <c r="U137" s="1">
        <v>15</v>
      </c>
    </row>
    <row r="138" spans="1:21" x14ac:dyDescent="0.3">
      <c r="A138" t="s">
        <v>22</v>
      </c>
      <c r="B138" t="s">
        <v>68</v>
      </c>
      <c r="C138" s="2" t="s">
        <v>24</v>
      </c>
      <c r="D138" s="1">
        <v>39578</v>
      </c>
      <c r="E138">
        <v>687</v>
      </c>
      <c r="F138">
        <v>593</v>
      </c>
      <c r="G138">
        <v>306</v>
      </c>
      <c r="H138">
        <v>459</v>
      </c>
      <c r="I138" s="1">
        <v>4400</v>
      </c>
      <c r="J138" s="1">
        <v>8529</v>
      </c>
      <c r="K138" s="1">
        <v>9391</v>
      </c>
      <c r="L138" s="1">
        <v>7029</v>
      </c>
      <c r="M138" s="1">
        <v>3714</v>
      </c>
      <c r="N138" s="1">
        <v>1680</v>
      </c>
      <c r="O138" s="1">
        <v>1066</v>
      </c>
      <c r="P138">
        <v>909</v>
      </c>
      <c r="Q138">
        <v>488</v>
      </c>
      <c r="R138">
        <v>209</v>
      </c>
      <c r="S138">
        <v>83</v>
      </c>
      <c r="T138">
        <v>28</v>
      </c>
      <c r="U138" s="1">
        <v>7</v>
      </c>
    </row>
    <row r="139" spans="1:21" x14ac:dyDescent="0.3">
      <c r="A139" t="s">
        <v>22</v>
      </c>
      <c r="B139" t="s">
        <v>68</v>
      </c>
      <c r="C139" s="2" t="s">
        <v>25</v>
      </c>
      <c r="D139" s="1">
        <v>15280</v>
      </c>
      <c r="E139">
        <v>608</v>
      </c>
      <c r="F139">
        <v>589</v>
      </c>
      <c r="G139">
        <v>329</v>
      </c>
      <c r="H139">
        <v>366</v>
      </c>
      <c r="I139" s="1">
        <v>1303</v>
      </c>
      <c r="J139" s="1">
        <v>2311</v>
      </c>
      <c r="K139" s="1">
        <v>2274</v>
      </c>
      <c r="L139" s="1">
        <v>2152</v>
      </c>
      <c r="M139" s="1">
        <v>1585</v>
      </c>
      <c r="N139" s="1">
        <v>1101</v>
      </c>
      <c r="O139">
        <v>943</v>
      </c>
      <c r="P139">
        <v>961</v>
      </c>
      <c r="Q139">
        <v>479</v>
      </c>
      <c r="R139">
        <v>193</v>
      </c>
      <c r="S139">
        <v>57</v>
      </c>
      <c r="T139">
        <v>21</v>
      </c>
      <c r="U139" s="1">
        <v>8</v>
      </c>
    </row>
    <row r="140" spans="1:21" x14ac:dyDescent="0.3">
      <c r="A140" t="s">
        <v>69</v>
      </c>
      <c r="B140" t="s">
        <v>21</v>
      </c>
      <c r="C140" s="2" t="s">
        <v>21</v>
      </c>
      <c r="D140" s="1">
        <v>113189</v>
      </c>
      <c r="E140" s="1">
        <v>2280</v>
      </c>
      <c r="F140" s="1">
        <v>1818</v>
      </c>
      <c r="G140" s="1">
        <v>1088</v>
      </c>
      <c r="H140" s="1">
        <v>1946</v>
      </c>
      <c r="I140" s="1">
        <v>12969</v>
      </c>
      <c r="J140" s="1">
        <v>22174</v>
      </c>
      <c r="K140" s="1">
        <v>23772</v>
      </c>
      <c r="L140" s="1">
        <v>20379</v>
      </c>
      <c r="M140" s="1">
        <v>11666</v>
      </c>
      <c r="N140" s="1">
        <v>5612</v>
      </c>
      <c r="O140" s="1">
        <v>3650</v>
      </c>
      <c r="P140" s="1">
        <v>2946</v>
      </c>
      <c r="Q140" s="1">
        <v>1749</v>
      </c>
      <c r="R140">
        <v>717</v>
      </c>
      <c r="S140">
        <v>259</v>
      </c>
      <c r="T140">
        <v>99</v>
      </c>
      <c r="U140" s="1">
        <v>65</v>
      </c>
    </row>
    <row r="141" spans="1:21" x14ac:dyDescent="0.3">
      <c r="A141" t="s">
        <v>69</v>
      </c>
      <c r="B141" t="s">
        <v>21</v>
      </c>
      <c r="C141" s="2" t="s">
        <v>24</v>
      </c>
      <c r="D141" s="1">
        <f>D144+D147+D150+D153+D156+D159+D162+D165+D168+D171+D174+D177+D180+D183+D186+D189+D192+D195+D198+D201+D204+D207</f>
        <v>79697</v>
      </c>
      <c r="E141" s="1">
        <f t="shared" ref="E141:U141" si="4">E144+E147+E150+E153+E156+E159+E162+E165+E168+E171+E174+E177+E180+E183+E186+E189+E192+E195+E198+E201+E204+E207</f>
        <v>1168</v>
      </c>
      <c r="F141" s="1">
        <f t="shared" si="4"/>
        <v>921</v>
      </c>
      <c r="G141" s="1">
        <f t="shared" si="4"/>
        <v>551</v>
      </c>
      <c r="H141" s="1">
        <f t="shared" si="4"/>
        <v>1076</v>
      </c>
      <c r="I141" s="1">
        <f t="shared" si="4"/>
        <v>9071</v>
      </c>
      <c r="J141" s="1">
        <f t="shared" si="4"/>
        <v>16400</v>
      </c>
      <c r="K141" s="1">
        <f t="shared" si="4"/>
        <v>18311</v>
      </c>
      <c r="L141" s="1">
        <f t="shared" si="4"/>
        <v>15473</v>
      </c>
      <c r="M141" s="1">
        <f t="shared" si="4"/>
        <v>8527</v>
      </c>
      <c r="N141" s="1">
        <f t="shared" si="4"/>
        <v>3493</v>
      </c>
      <c r="O141" s="1">
        <f t="shared" si="4"/>
        <v>1953</v>
      </c>
      <c r="P141" s="1">
        <f t="shared" si="4"/>
        <v>1406</v>
      </c>
      <c r="Q141" s="1">
        <f t="shared" si="4"/>
        <v>777</v>
      </c>
      <c r="R141" s="1">
        <f t="shared" si="4"/>
        <v>317</v>
      </c>
      <c r="S141" s="1">
        <f t="shared" si="4"/>
        <v>144</v>
      </c>
      <c r="T141" s="1">
        <f t="shared" si="4"/>
        <v>75</v>
      </c>
      <c r="U141" s="1">
        <f t="shared" si="4"/>
        <v>34</v>
      </c>
    </row>
    <row r="142" spans="1:21" x14ac:dyDescent="0.3">
      <c r="A142" t="s">
        <v>69</v>
      </c>
      <c r="B142" t="s">
        <v>21</v>
      </c>
      <c r="C142" s="2" t="s">
        <v>25</v>
      </c>
      <c r="D142" s="1">
        <f>D145+D148+D151+D154+D157+D160+D163+D166+D169+D172+D175+D178+D181+D184+D187+D190+D193+D196+D199+D202+D205+D208</f>
        <v>33492</v>
      </c>
      <c r="E142" s="1">
        <f t="shared" ref="E142:U142" si="5">E145+E148+E151+E154+E157+E160+E163+E166+E169+E172+E175+E178+E181+E184+E187+E190+E193+E196+E199+E202+E205+E208</f>
        <v>1112</v>
      </c>
      <c r="F142" s="1">
        <f t="shared" si="5"/>
        <v>897</v>
      </c>
      <c r="G142" s="1">
        <f t="shared" si="5"/>
        <v>537</v>
      </c>
      <c r="H142" s="1">
        <f t="shared" si="5"/>
        <v>870</v>
      </c>
      <c r="I142" s="1">
        <f t="shared" si="5"/>
        <v>3898</v>
      </c>
      <c r="J142" s="1">
        <f t="shared" si="5"/>
        <v>5774</v>
      </c>
      <c r="K142" s="1">
        <f t="shared" si="5"/>
        <v>5461</v>
      </c>
      <c r="L142" s="1">
        <f t="shared" si="5"/>
        <v>4906</v>
      </c>
      <c r="M142" s="1">
        <f t="shared" si="5"/>
        <v>3139</v>
      </c>
      <c r="N142" s="1">
        <f t="shared" si="5"/>
        <v>2119</v>
      </c>
      <c r="O142" s="1">
        <f t="shared" si="5"/>
        <v>1697</v>
      </c>
      <c r="P142" s="1">
        <f t="shared" si="5"/>
        <v>1540</v>
      </c>
      <c r="Q142" s="1">
        <f t="shared" si="5"/>
        <v>972</v>
      </c>
      <c r="R142" s="1">
        <f t="shared" si="5"/>
        <v>400</v>
      </c>
      <c r="S142" s="1">
        <f t="shared" si="5"/>
        <v>115</v>
      </c>
      <c r="T142" s="1">
        <f t="shared" si="5"/>
        <v>24</v>
      </c>
      <c r="U142" s="1">
        <f t="shared" si="5"/>
        <v>31</v>
      </c>
    </row>
    <row r="143" spans="1:21" x14ac:dyDescent="0.3">
      <c r="A143" t="s">
        <v>69</v>
      </c>
      <c r="B143" t="s">
        <v>70</v>
      </c>
      <c r="C143" s="2" t="s">
        <v>21</v>
      </c>
      <c r="D143" s="1">
        <v>16506</v>
      </c>
      <c r="E143">
        <v>343</v>
      </c>
      <c r="F143">
        <v>302</v>
      </c>
      <c r="G143">
        <v>170</v>
      </c>
      <c r="H143">
        <v>221</v>
      </c>
      <c r="I143" s="1">
        <v>1403</v>
      </c>
      <c r="J143" s="1">
        <v>2857</v>
      </c>
      <c r="K143" s="1">
        <v>3749</v>
      </c>
      <c r="L143" s="1">
        <v>3578</v>
      </c>
      <c r="M143" s="1">
        <v>1974</v>
      </c>
      <c r="N143">
        <v>840</v>
      </c>
      <c r="O143">
        <v>448</v>
      </c>
      <c r="P143">
        <v>323</v>
      </c>
      <c r="Q143">
        <v>162</v>
      </c>
      <c r="R143">
        <v>78</v>
      </c>
      <c r="S143">
        <v>35</v>
      </c>
      <c r="T143">
        <v>14</v>
      </c>
      <c r="U143" s="1">
        <v>9</v>
      </c>
    </row>
    <row r="144" spans="1:21" x14ac:dyDescent="0.3">
      <c r="A144" t="s">
        <v>69</v>
      </c>
      <c r="B144" t="s">
        <v>70</v>
      </c>
      <c r="C144" s="2" t="s">
        <v>24</v>
      </c>
      <c r="D144" s="1">
        <v>13225</v>
      </c>
      <c r="E144">
        <v>159</v>
      </c>
      <c r="F144">
        <v>157</v>
      </c>
      <c r="G144">
        <v>90</v>
      </c>
      <c r="H144">
        <v>128</v>
      </c>
      <c r="I144" s="1">
        <v>1177</v>
      </c>
      <c r="J144" s="1">
        <v>2333</v>
      </c>
      <c r="K144" s="1">
        <v>3184</v>
      </c>
      <c r="L144" s="1">
        <v>3109</v>
      </c>
      <c r="M144" s="1">
        <v>1615</v>
      </c>
      <c r="N144">
        <v>632</v>
      </c>
      <c r="O144">
        <v>264</v>
      </c>
      <c r="P144">
        <v>194</v>
      </c>
      <c r="Q144">
        <v>90</v>
      </c>
      <c r="R144">
        <v>51</v>
      </c>
      <c r="S144">
        <v>26</v>
      </c>
      <c r="T144">
        <v>9</v>
      </c>
      <c r="U144" s="1">
        <v>7</v>
      </c>
    </row>
    <row r="145" spans="1:21" x14ac:dyDescent="0.3">
      <c r="A145" t="s">
        <v>69</v>
      </c>
      <c r="B145" t="s">
        <v>70</v>
      </c>
      <c r="C145" s="2" t="s">
        <v>25</v>
      </c>
      <c r="D145" s="1">
        <v>3281</v>
      </c>
      <c r="E145">
        <v>184</v>
      </c>
      <c r="F145">
        <v>145</v>
      </c>
      <c r="G145">
        <v>80</v>
      </c>
      <c r="H145">
        <v>93</v>
      </c>
      <c r="I145">
        <v>226</v>
      </c>
      <c r="J145">
        <v>524</v>
      </c>
      <c r="K145">
        <v>565</v>
      </c>
      <c r="L145">
        <v>469</v>
      </c>
      <c r="M145">
        <v>359</v>
      </c>
      <c r="N145">
        <v>208</v>
      </c>
      <c r="O145">
        <v>184</v>
      </c>
      <c r="P145">
        <v>129</v>
      </c>
      <c r="Q145">
        <v>72</v>
      </c>
      <c r="R145">
        <v>27</v>
      </c>
      <c r="S145">
        <v>9</v>
      </c>
      <c r="T145">
        <v>5</v>
      </c>
      <c r="U145" s="1">
        <v>2</v>
      </c>
    </row>
    <row r="146" spans="1:21" x14ac:dyDescent="0.3">
      <c r="A146" t="s">
        <v>69</v>
      </c>
      <c r="B146" t="s">
        <v>71</v>
      </c>
      <c r="C146" s="2" t="s">
        <v>21</v>
      </c>
      <c r="D146">
        <v>942</v>
      </c>
      <c r="E146">
        <v>8</v>
      </c>
      <c r="F146">
        <v>4</v>
      </c>
      <c r="G146">
        <v>1</v>
      </c>
      <c r="H146">
        <v>10</v>
      </c>
      <c r="I146">
        <v>94</v>
      </c>
      <c r="J146">
        <v>179</v>
      </c>
      <c r="K146">
        <v>217</v>
      </c>
      <c r="L146">
        <v>178</v>
      </c>
      <c r="M146">
        <v>92</v>
      </c>
      <c r="N146">
        <v>48</v>
      </c>
      <c r="O146">
        <v>33</v>
      </c>
      <c r="P146">
        <v>33</v>
      </c>
      <c r="Q146">
        <v>26</v>
      </c>
      <c r="R146">
        <v>13</v>
      </c>
      <c r="S146">
        <v>4</v>
      </c>
      <c r="T146">
        <v>1</v>
      </c>
      <c r="U146" s="1">
        <v>1</v>
      </c>
    </row>
    <row r="147" spans="1:21" x14ac:dyDescent="0.3">
      <c r="A147" t="s">
        <v>69</v>
      </c>
      <c r="B147" t="s">
        <v>71</v>
      </c>
      <c r="C147" s="2" t="s">
        <v>24</v>
      </c>
      <c r="D147">
        <v>531</v>
      </c>
      <c r="E147">
        <v>2</v>
      </c>
      <c r="F147">
        <v>0</v>
      </c>
      <c r="G147">
        <v>0</v>
      </c>
      <c r="H147">
        <v>6</v>
      </c>
      <c r="I147">
        <v>67</v>
      </c>
      <c r="J147">
        <v>112</v>
      </c>
      <c r="K147">
        <v>134</v>
      </c>
      <c r="L147">
        <v>99</v>
      </c>
      <c r="M147">
        <v>54</v>
      </c>
      <c r="N147">
        <v>21</v>
      </c>
      <c r="O147">
        <v>8</v>
      </c>
      <c r="P147">
        <v>9</v>
      </c>
      <c r="Q147">
        <v>10</v>
      </c>
      <c r="R147">
        <v>6</v>
      </c>
      <c r="S147">
        <v>1</v>
      </c>
      <c r="T147">
        <v>1</v>
      </c>
      <c r="U147" s="1">
        <v>1</v>
      </c>
    </row>
    <row r="148" spans="1:21" x14ac:dyDescent="0.3">
      <c r="A148" t="s">
        <v>69</v>
      </c>
      <c r="B148" t="s">
        <v>71</v>
      </c>
      <c r="C148" s="2" t="s">
        <v>25</v>
      </c>
      <c r="D148">
        <v>411</v>
      </c>
      <c r="E148">
        <v>6</v>
      </c>
      <c r="F148">
        <v>4</v>
      </c>
      <c r="G148">
        <v>1</v>
      </c>
      <c r="H148">
        <v>4</v>
      </c>
      <c r="I148">
        <v>27</v>
      </c>
      <c r="J148">
        <v>67</v>
      </c>
      <c r="K148">
        <v>83</v>
      </c>
      <c r="L148">
        <v>79</v>
      </c>
      <c r="M148">
        <v>38</v>
      </c>
      <c r="N148">
        <v>27</v>
      </c>
      <c r="O148">
        <v>25</v>
      </c>
      <c r="P148">
        <v>24</v>
      </c>
      <c r="Q148">
        <v>16</v>
      </c>
      <c r="R148">
        <v>7</v>
      </c>
      <c r="S148">
        <v>3</v>
      </c>
      <c r="T148">
        <v>0</v>
      </c>
      <c r="U148" s="1">
        <v>0</v>
      </c>
    </row>
    <row r="149" spans="1:21" x14ac:dyDescent="0.3">
      <c r="A149" t="s">
        <v>69</v>
      </c>
      <c r="B149" t="s">
        <v>72</v>
      </c>
      <c r="C149" s="2" t="s">
        <v>21</v>
      </c>
      <c r="D149" s="1">
        <v>2014</v>
      </c>
      <c r="E149">
        <v>23</v>
      </c>
      <c r="F149">
        <v>8</v>
      </c>
      <c r="G149">
        <v>9</v>
      </c>
      <c r="H149">
        <v>4</v>
      </c>
      <c r="I149">
        <v>146</v>
      </c>
      <c r="J149">
        <v>469</v>
      </c>
      <c r="K149">
        <v>549</v>
      </c>
      <c r="L149">
        <v>384</v>
      </c>
      <c r="M149">
        <v>195</v>
      </c>
      <c r="N149">
        <v>89</v>
      </c>
      <c r="O149">
        <v>49</v>
      </c>
      <c r="P149">
        <v>45</v>
      </c>
      <c r="Q149">
        <v>25</v>
      </c>
      <c r="R149">
        <v>11</v>
      </c>
      <c r="S149">
        <v>4</v>
      </c>
      <c r="T149">
        <v>2</v>
      </c>
      <c r="U149" s="1">
        <v>2</v>
      </c>
    </row>
    <row r="150" spans="1:21" x14ac:dyDescent="0.3">
      <c r="A150" t="s">
        <v>69</v>
      </c>
      <c r="B150" t="s">
        <v>72</v>
      </c>
      <c r="C150" s="2" t="s">
        <v>24</v>
      </c>
      <c r="D150" s="1">
        <v>1511</v>
      </c>
      <c r="E150">
        <v>12</v>
      </c>
      <c r="F150">
        <v>5</v>
      </c>
      <c r="G150">
        <v>7</v>
      </c>
      <c r="H150">
        <v>1</v>
      </c>
      <c r="I150">
        <v>109</v>
      </c>
      <c r="J150">
        <v>365</v>
      </c>
      <c r="K150">
        <v>438</v>
      </c>
      <c r="L150">
        <v>304</v>
      </c>
      <c r="M150">
        <v>147</v>
      </c>
      <c r="N150">
        <v>65</v>
      </c>
      <c r="O150">
        <v>25</v>
      </c>
      <c r="P150">
        <v>14</v>
      </c>
      <c r="Q150">
        <v>9</v>
      </c>
      <c r="R150">
        <v>5</v>
      </c>
      <c r="S150">
        <v>3</v>
      </c>
      <c r="T150">
        <v>2</v>
      </c>
      <c r="U150" s="1">
        <v>0</v>
      </c>
    </row>
    <row r="151" spans="1:21" x14ac:dyDescent="0.3">
      <c r="A151" t="s">
        <v>69</v>
      </c>
      <c r="B151" t="s">
        <v>72</v>
      </c>
      <c r="C151" s="2" t="s">
        <v>25</v>
      </c>
      <c r="D151">
        <v>503</v>
      </c>
      <c r="E151">
        <v>11</v>
      </c>
      <c r="F151">
        <v>3</v>
      </c>
      <c r="G151">
        <v>2</v>
      </c>
      <c r="H151">
        <v>3</v>
      </c>
      <c r="I151">
        <v>37</v>
      </c>
      <c r="J151">
        <v>104</v>
      </c>
      <c r="K151">
        <v>111</v>
      </c>
      <c r="L151">
        <v>80</v>
      </c>
      <c r="M151">
        <v>48</v>
      </c>
      <c r="N151">
        <v>24</v>
      </c>
      <c r="O151">
        <v>24</v>
      </c>
      <c r="P151">
        <v>31</v>
      </c>
      <c r="Q151">
        <v>16</v>
      </c>
      <c r="R151">
        <v>6</v>
      </c>
      <c r="S151">
        <v>1</v>
      </c>
      <c r="T151">
        <v>0</v>
      </c>
      <c r="U151" s="1">
        <v>2</v>
      </c>
    </row>
    <row r="152" spans="1:21" x14ac:dyDescent="0.3">
      <c r="A152" t="s">
        <v>69</v>
      </c>
      <c r="B152" t="s">
        <v>73</v>
      </c>
      <c r="C152" s="2" t="s">
        <v>21</v>
      </c>
      <c r="D152" s="1">
        <v>27196</v>
      </c>
      <c r="E152">
        <v>773</v>
      </c>
      <c r="F152">
        <v>654</v>
      </c>
      <c r="G152">
        <v>383</v>
      </c>
      <c r="H152">
        <v>753</v>
      </c>
      <c r="I152" s="1">
        <v>3438</v>
      </c>
      <c r="J152" s="1">
        <v>4896</v>
      </c>
      <c r="K152" s="1">
        <v>5309</v>
      </c>
      <c r="L152" s="1">
        <v>4671</v>
      </c>
      <c r="M152" s="1">
        <v>2764</v>
      </c>
      <c r="N152" s="1">
        <v>1308</v>
      </c>
      <c r="O152">
        <v>912</v>
      </c>
      <c r="P152">
        <v>727</v>
      </c>
      <c r="Q152">
        <v>388</v>
      </c>
      <c r="R152">
        <v>138</v>
      </c>
      <c r="S152">
        <v>55</v>
      </c>
      <c r="T152">
        <v>15</v>
      </c>
      <c r="U152" s="1">
        <v>12</v>
      </c>
    </row>
    <row r="153" spans="1:21" x14ac:dyDescent="0.3">
      <c r="A153" t="s">
        <v>69</v>
      </c>
      <c r="B153" t="s">
        <v>73</v>
      </c>
      <c r="C153" s="2" t="s">
        <v>24</v>
      </c>
      <c r="D153" s="1">
        <v>19775</v>
      </c>
      <c r="E153">
        <v>399</v>
      </c>
      <c r="F153">
        <v>343</v>
      </c>
      <c r="G153">
        <v>185</v>
      </c>
      <c r="H153">
        <v>440</v>
      </c>
      <c r="I153" s="1">
        <v>2547</v>
      </c>
      <c r="J153" s="1">
        <v>3816</v>
      </c>
      <c r="K153" s="1">
        <v>4294</v>
      </c>
      <c r="L153" s="1">
        <v>3647</v>
      </c>
      <c r="M153" s="1">
        <v>2094</v>
      </c>
      <c r="N153">
        <v>814</v>
      </c>
      <c r="O153">
        <v>514</v>
      </c>
      <c r="P153">
        <v>373</v>
      </c>
      <c r="Q153">
        <v>196</v>
      </c>
      <c r="R153">
        <v>63</v>
      </c>
      <c r="S153">
        <v>32</v>
      </c>
      <c r="T153">
        <v>13</v>
      </c>
      <c r="U153" s="1">
        <v>5</v>
      </c>
    </row>
    <row r="154" spans="1:21" x14ac:dyDescent="0.3">
      <c r="A154" t="s">
        <v>69</v>
      </c>
      <c r="B154" t="s">
        <v>73</v>
      </c>
      <c r="C154" s="2" t="s">
        <v>25</v>
      </c>
      <c r="D154" s="1">
        <v>7421</v>
      </c>
      <c r="E154">
        <v>374</v>
      </c>
      <c r="F154">
        <v>311</v>
      </c>
      <c r="G154">
        <v>198</v>
      </c>
      <c r="H154">
        <v>313</v>
      </c>
      <c r="I154">
        <v>891</v>
      </c>
      <c r="J154" s="1">
        <v>1080</v>
      </c>
      <c r="K154" s="1">
        <v>1015</v>
      </c>
      <c r="L154" s="1">
        <v>1024</v>
      </c>
      <c r="M154">
        <v>670</v>
      </c>
      <c r="N154">
        <v>494</v>
      </c>
      <c r="O154">
        <v>398</v>
      </c>
      <c r="P154">
        <v>354</v>
      </c>
      <c r="Q154">
        <v>192</v>
      </c>
      <c r="R154">
        <v>75</v>
      </c>
      <c r="S154">
        <v>23</v>
      </c>
      <c r="T154">
        <v>2</v>
      </c>
      <c r="U154" s="1">
        <v>7</v>
      </c>
    </row>
    <row r="155" spans="1:21" x14ac:dyDescent="0.3">
      <c r="A155" t="s">
        <v>69</v>
      </c>
      <c r="B155" t="s">
        <v>74</v>
      </c>
      <c r="C155" s="2" t="s">
        <v>21</v>
      </c>
      <c r="D155" s="1">
        <v>1295</v>
      </c>
      <c r="E155">
        <v>1</v>
      </c>
      <c r="F155">
        <v>1</v>
      </c>
      <c r="G155">
        <v>3</v>
      </c>
      <c r="H155">
        <v>5</v>
      </c>
      <c r="I155">
        <v>142</v>
      </c>
      <c r="J155">
        <v>261</v>
      </c>
      <c r="K155">
        <v>304</v>
      </c>
      <c r="L155">
        <v>246</v>
      </c>
      <c r="M155">
        <v>170</v>
      </c>
      <c r="N155">
        <v>74</v>
      </c>
      <c r="O155">
        <v>31</v>
      </c>
      <c r="P155">
        <v>23</v>
      </c>
      <c r="Q155">
        <v>18</v>
      </c>
      <c r="R155">
        <v>6</v>
      </c>
      <c r="S155">
        <v>3</v>
      </c>
      <c r="T155">
        <v>4</v>
      </c>
      <c r="U155" s="1">
        <v>3</v>
      </c>
    </row>
    <row r="156" spans="1:21" x14ac:dyDescent="0.3">
      <c r="A156" t="s">
        <v>69</v>
      </c>
      <c r="B156" t="s">
        <v>74</v>
      </c>
      <c r="C156" s="2" t="s">
        <v>24</v>
      </c>
      <c r="D156">
        <v>978</v>
      </c>
      <c r="E156">
        <v>0</v>
      </c>
      <c r="F156">
        <v>0</v>
      </c>
      <c r="G156">
        <v>1</v>
      </c>
      <c r="H156">
        <v>2</v>
      </c>
      <c r="I156">
        <v>117</v>
      </c>
      <c r="J156">
        <v>217</v>
      </c>
      <c r="K156">
        <v>250</v>
      </c>
      <c r="L156">
        <v>176</v>
      </c>
      <c r="M156">
        <v>120</v>
      </c>
      <c r="N156">
        <v>53</v>
      </c>
      <c r="O156">
        <v>17</v>
      </c>
      <c r="P156">
        <v>10</v>
      </c>
      <c r="Q156">
        <v>5</v>
      </c>
      <c r="R156">
        <v>2</v>
      </c>
      <c r="S156">
        <v>2</v>
      </c>
      <c r="T156">
        <v>4</v>
      </c>
      <c r="U156" s="1">
        <v>2</v>
      </c>
    </row>
    <row r="157" spans="1:21" x14ac:dyDescent="0.3">
      <c r="A157" t="s">
        <v>69</v>
      </c>
      <c r="B157" t="s">
        <v>74</v>
      </c>
      <c r="C157" s="2" t="s">
        <v>25</v>
      </c>
      <c r="D157">
        <v>317</v>
      </c>
      <c r="E157">
        <v>1</v>
      </c>
      <c r="F157">
        <v>1</v>
      </c>
      <c r="G157">
        <v>2</v>
      </c>
      <c r="H157">
        <v>3</v>
      </c>
      <c r="I157">
        <v>25</v>
      </c>
      <c r="J157">
        <v>44</v>
      </c>
      <c r="K157">
        <v>54</v>
      </c>
      <c r="L157">
        <v>70</v>
      </c>
      <c r="M157">
        <v>50</v>
      </c>
      <c r="N157">
        <v>21</v>
      </c>
      <c r="O157">
        <v>14</v>
      </c>
      <c r="P157">
        <v>13</v>
      </c>
      <c r="Q157">
        <v>13</v>
      </c>
      <c r="R157">
        <v>4</v>
      </c>
      <c r="S157">
        <v>1</v>
      </c>
      <c r="T157">
        <v>0</v>
      </c>
      <c r="U157" s="1">
        <v>1</v>
      </c>
    </row>
    <row r="158" spans="1:21" x14ac:dyDescent="0.3">
      <c r="A158" t="s">
        <v>69</v>
      </c>
      <c r="B158" t="s">
        <v>75</v>
      </c>
      <c r="C158" s="2" t="s">
        <v>21</v>
      </c>
      <c r="D158" s="1">
        <v>5822</v>
      </c>
      <c r="E158">
        <v>70</v>
      </c>
      <c r="F158">
        <v>43</v>
      </c>
      <c r="G158">
        <v>17</v>
      </c>
      <c r="H158">
        <v>29</v>
      </c>
      <c r="I158">
        <v>834</v>
      </c>
      <c r="J158" s="1">
        <v>1595</v>
      </c>
      <c r="K158" s="1">
        <v>1497</v>
      </c>
      <c r="L158">
        <v>973</v>
      </c>
      <c r="M158">
        <v>376</v>
      </c>
      <c r="N158">
        <v>144</v>
      </c>
      <c r="O158">
        <v>87</v>
      </c>
      <c r="P158">
        <v>73</v>
      </c>
      <c r="Q158">
        <v>48</v>
      </c>
      <c r="R158">
        <v>19</v>
      </c>
      <c r="S158">
        <v>9</v>
      </c>
      <c r="T158">
        <v>3</v>
      </c>
      <c r="U158" s="1">
        <v>5</v>
      </c>
    </row>
    <row r="159" spans="1:21" x14ac:dyDescent="0.3">
      <c r="A159" t="s">
        <v>69</v>
      </c>
      <c r="B159" t="s">
        <v>75</v>
      </c>
      <c r="C159" s="2" t="s">
        <v>24</v>
      </c>
      <c r="D159" s="1">
        <v>2727</v>
      </c>
      <c r="E159">
        <v>35</v>
      </c>
      <c r="F159">
        <v>17</v>
      </c>
      <c r="G159">
        <v>9</v>
      </c>
      <c r="H159">
        <v>13</v>
      </c>
      <c r="I159">
        <v>294</v>
      </c>
      <c r="J159">
        <v>661</v>
      </c>
      <c r="K159">
        <v>796</v>
      </c>
      <c r="L159">
        <v>521</v>
      </c>
      <c r="M159">
        <v>221</v>
      </c>
      <c r="N159">
        <v>65</v>
      </c>
      <c r="O159">
        <v>36</v>
      </c>
      <c r="P159">
        <v>25</v>
      </c>
      <c r="Q159">
        <v>19</v>
      </c>
      <c r="R159">
        <v>7</v>
      </c>
      <c r="S159">
        <v>4</v>
      </c>
      <c r="T159">
        <v>2</v>
      </c>
      <c r="U159" s="1">
        <v>2</v>
      </c>
    </row>
    <row r="160" spans="1:21" x14ac:dyDescent="0.3">
      <c r="A160" t="s">
        <v>69</v>
      </c>
      <c r="B160" t="s">
        <v>75</v>
      </c>
      <c r="C160" s="2" t="s">
        <v>25</v>
      </c>
      <c r="D160" s="1">
        <v>3095</v>
      </c>
      <c r="E160">
        <v>35</v>
      </c>
      <c r="F160">
        <v>26</v>
      </c>
      <c r="G160">
        <v>8</v>
      </c>
      <c r="H160">
        <v>16</v>
      </c>
      <c r="I160">
        <v>540</v>
      </c>
      <c r="J160">
        <v>934</v>
      </c>
      <c r="K160">
        <v>701</v>
      </c>
      <c r="L160">
        <v>452</v>
      </c>
      <c r="M160">
        <v>155</v>
      </c>
      <c r="N160">
        <v>79</v>
      </c>
      <c r="O160">
        <v>51</v>
      </c>
      <c r="P160">
        <v>48</v>
      </c>
      <c r="Q160">
        <v>29</v>
      </c>
      <c r="R160">
        <v>12</v>
      </c>
      <c r="S160">
        <v>5</v>
      </c>
      <c r="T160">
        <v>1</v>
      </c>
      <c r="U160" s="1">
        <v>3</v>
      </c>
    </row>
    <row r="161" spans="1:21" x14ac:dyDescent="0.3">
      <c r="A161" t="s">
        <v>69</v>
      </c>
      <c r="B161" t="s">
        <v>76</v>
      </c>
      <c r="C161" s="2" t="s">
        <v>21</v>
      </c>
      <c r="D161" s="1">
        <v>4169</v>
      </c>
      <c r="E161">
        <v>55</v>
      </c>
      <c r="F161">
        <v>31</v>
      </c>
      <c r="G161">
        <v>40</v>
      </c>
      <c r="H161">
        <v>23</v>
      </c>
      <c r="I161">
        <v>321</v>
      </c>
      <c r="J161">
        <v>793</v>
      </c>
      <c r="K161">
        <v>952</v>
      </c>
      <c r="L161">
        <v>849</v>
      </c>
      <c r="M161">
        <v>539</v>
      </c>
      <c r="N161">
        <v>228</v>
      </c>
      <c r="O161">
        <v>144</v>
      </c>
      <c r="P161">
        <v>76</v>
      </c>
      <c r="Q161">
        <v>68</v>
      </c>
      <c r="R161">
        <v>32</v>
      </c>
      <c r="S161">
        <v>7</v>
      </c>
      <c r="T161">
        <v>11</v>
      </c>
      <c r="U161" s="1">
        <v>0</v>
      </c>
    </row>
    <row r="162" spans="1:21" x14ac:dyDescent="0.3">
      <c r="A162" t="s">
        <v>69</v>
      </c>
      <c r="B162" t="s">
        <v>76</v>
      </c>
      <c r="C162" s="2" t="s">
        <v>24</v>
      </c>
      <c r="D162" s="1">
        <v>3301</v>
      </c>
      <c r="E162">
        <v>30</v>
      </c>
      <c r="F162">
        <v>15</v>
      </c>
      <c r="G162">
        <v>21</v>
      </c>
      <c r="H162">
        <v>13</v>
      </c>
      <c r="I162">
        <v>253</v>
      </c>
      <c r="J162">
        <v>660</v>
      </c>
      <c r="K162">
        <v>802</v>
      </c>
      <c r="L162">
        <v>723</v>
      </c>
      <c r="M162">
        <v>431</v>
      </c>
      <c r="N162">
        <v>163</v>
      </c>
      <c r="O162">
        <v>90</v>
      </c>
      <c r="P162">
        <v>43</v>
      </c>
      <c r="Q162">
        <v>31</v>
      </c>
      <c r="R162">
        <v>15</v>
      </c>
      <c r="S162">
        <v>2</v>
      </c>
      <c r="T162">
        <v>9</v>
      </c>
      <c r="U162" s="1">
        <v>0</v>
      </c>
    </row>
    <row r="163" spans="1:21" x14ac:dyDescent="0.3">
      <c r="A163" t="s">
        <v>69</v>
      </c>
      <c r="B163" t="s">
        <v>76</v>
      </c>
      <c r="C163" s="2" t="s">
        <v>25</v>
      </c>
      <c r="D163">
        <v>868</v>
      </c>
      <c r="E163">
        <v>25</v>
      </c>
      <c r="F163">
        <v>16</v>
      </c>
      <c r="G163">
        <v>19</v>
      </c>
      <c r="H163">
        <v>10</v>
      </c>
      <c r="I163">
        <v>68</v>
      </c>
      <c r="J163">
        <v>133</v>
      </c>
      <c r="K163">
        <v>150</v>
      </c>
      <c r="L163">
        <v>126</v>
      </c>
      <c r="M163">
        <v>108</v>
      </c>
      <c r="N163">
        <v>65</v>
      </c>
      <c r="O163">
        <v>54</v>
      </c>
      <c r="P163">
        <v>33</v>
      </c>
      <c r="Q163">
        <v>37</v>
      </c>
      <c r="R163">
        <v>17</v>
      </c>
      <c r="S163">
        <v>5</v>
      </c>
      <c r="T163">
        <v>2</v>
      </c>
      <c r="U163" s="1">
        <v>0</v>
      </c>
    </row>
    <row r="164" spans="1:21" x14ac:dyDescent="0.3">
      <c r="A164" t="s">
        <v>69</v>
      </c>
      <c r="B164" t="s">
        <v>77</v>
      </c>
      <c r="C164" s="2" t="s">
        <v>21</v>
      </c>
      <c r="D164" s="1">
        <v>1244</v>
      </c>
      <c r="E164">
        <v>13</v>
      </c>
      <c r="F164">
        <v>2</v>
      </c>
      <c r="G164">
        <v>2</v>
      </c>
      <c r="H164">
        <v>7</v>
      </c>
      <c r="I164">
        <v>108</v>
      </c>
      <c r="J164">
        <v>326</v>
      </c>
      <c r="K164">
        <v>344</v>
      </c>
      <c r="L164">
        <v>227</v>
      </c>
      <c r="M164">
        <v>94</v>
      </c>
      <c r="N164">
        <v>50</v>
      </c>
      <c r="O164">
        <v>28</v>
      </c>
      <c r="P164">
        <v>18</v>
      </c>
      <c r="Q164">
        <v>6</v>
      </c>
      <c r="R164">
        <v>11</v>
      </c>
      <c r="S164">
        <v>3</v>
      </c>
      <c r="T164">
        <v>2</v>
      </c>
      <c r="U164" s="1">
        <v>3</v>
      </c>
    </row>
    <row r="165" spans="1:21" x14ac:dyDescent="0.3">
      <c r="A165" t="s">
        <v>69</v>
      </c>
      <c r="B165" t="s">
        <v>77</v>
      </c>
      <c r="C165" s="2" t="s">
        <v>24</v>
      </c>
      <c r="D165">
        <v>580</v>
      </c>
      <c r="E165">
        <v>6</v>
      </c>
      <c r="F165">
        <v>1</v>
      </c>
      <c r="G165">
        <v>2</v>
      </c>
      <c r="H165">
        <v>4</v>
      </c>
      <c r="I165">
        <v>31</v>
      </c>
      <c r="J165">
        <v>138</v>
      </c>
      <c r="K165">
        <v>167</v>
      </c>
      <c r="L165">
        <v>120</v>
      </c>
      <c r="M165">
        <v>57</v>
      </c>
      <c r="N165">
        <v>25</v>
      </c>
      <c r="O165">
        <v>12</v>
      </c>
      <c r="P165">
        <v>7</v>
      </c>
      <c r="Q165">
        <v>3</v>
      </c>
      <c r="R165">
        <v>1</v>
      </c>
      <c r="S165">
        <v>3</v>
      </c>
      <c r="T165">
        <v>2</v>
      </c>
      <c r="U165" s="1">
        <v>1</v>
      </c>
    </row>
    <row r="166" spans="1:21" x14ac:dyDescent="0.3">
      <c r="A166" t="s">
        <v>69</v>
      </c>
      <c r="B166" t="s">
        <v>77</v>
      </c>
      <c r="C166" s="2" t="s">
        <v>25</v>
      </c>
      <c r="D166">
        <v>664</v>
      </c>
      <c r="E166">
        <v>7</v>
      </c>
      <c r="F166">
        <v>1</v>
      </c>
      <c r="G166">
        <v>0</v>
      </c>
      <c r="H166">
        <v>3</v>
      </c>
      <c r="I166">
        <v>77</v>
      </c>
      <c r="J166">
        <v>188</v>
      </c>
      <c r="K166">
        <v>177</v>
      </c>
      <c r="L166">
        <v>107</v>
      </c>
      <c r="M166">
        <v>37</v>
      </c>
      <c r="N166">
        <v>25</v>
      </c>
      <c r="O166">
        <v>16</v>
      </c>
      <c r="P166">
        <v>11</v>
      </c>
      <c r="Q166">
        <v>3</v>
      </c>
      <c r="R166">
        <v>10</v>
      </c>
      <c r="S166">
        <v>0</v>
      </c>
      <c r="T166">
        <v>0</v>
      </c>
      <c r="U166" s="1">
        <v>2</v>
      </c>
    </row>
    <row r="167" spans="1:21" x14ac:dyDescent="0.3">
      <c r="A167" t="s">
        <v>69</v>
      </c>
      <c r="B167" t="s">
        <v>78</v>
      </c>
      <c r="C167" s="2" t="s">
        <v>21</v>
      </c>
      <c r="D167" s="1">
        <v>9496</v>
      </c>
      <c r="E167">
        <v>195</v>
      </c>
      <c r="F167">
        <v>158</v>
      </c>
      <c r="G167">
        <v>122</v>
      </c>
      <c r="H167">
        <v>205</v>
      </c>
      <c r="I167" s="1">
        <v>1269</v>
      </c>
      <c r="J167" s="1">
        <v>1787</v>
      </c>
      <c r="K167" s="1">
        <v>1883</v>
      </c>
      <c r="L167" s="1">
        <v>1527</v>
      </c>
      <c r="M167">
        <v>923</v>
      </c>
      <c r="N167">
        <v>496</v>
      </c>
      <c r="O167">
        <v>371</v>
      </c>
      <c r="P167">
        <v>295</v>
      </c>
      <c r="Q167">
        <v>155</v>
      </c>
      <c r="R167">
        <v>81</v>
      </c>
      <c r="S167">
        <v>14</v>
      </c>
      <c r="T167">
        <v>13</v>
      </c>
      <c r="U167" s="1">
        <v>2</v>
      </c>
    </row>
    <row r="168" spans="1:21" x14ac:dyDescent="0.3">
      <c r="A168" t="s">
        <v>69</v>
      </c>
      <c r="B168" t="s">
        <v>78</v>
      </c>
      <c r="C168" s="2" t="s">
        <v>24</v>
      </c>
      <c r="D168" s="1">
        <v>6450</v>
      </c>
      <c r="E168">
        <v>97</v>
      </c>
      <c r="F168">
        <v>77</v>
      </c>
      <c r="G168">
        <v>53</v>
      </c>
      <c r="H168">
        <v>129</v>
      </c>
      <c r="I168">
        <v>960</v>
      </c>
      <c r="J168" s="1">
        <v>1356</v>
      </c>
      <c r="K168" s="1">
        <v>1402</v>
      </c>
      <c r="L168" s="1">
        <v>1073</v>
      </c>
      <c r="M168">
        <v>589</v>
      </c>
      <c r="N168">
        <v>279</v>
      </c>
      <c r="O168">
        <v>179</v>
      </c>
      <c r="P168">
        <v>132</v>
      </c>
      <c r="Q168">
        <v>78</v>
      </c>
      <c r="R168">
        <v>28</v>
      </c>
      <c r="S168">
        <v>10</v>
      </c>
      <c r="T168">
        <v>7</v>
      </c>
      <c r="U168" s="1">
        <v>1</v>
      </c>
    </row>
    <row r="169" spans="1:21" x14ac:dyDescent="0.3">
      <c r="A169" t="s">
        <v>69</v>
      </c>
      <c r="B169" t="s">
        <v>78</v>
      </c>
      <c r="C169" s="2" t="s">
        <v>25</v>
      </c>
      <c r="D169" s="1">
        <v>3046</v>
      </c>
      <c r="E169">
        <v>98</v>
      </c>
      <c r="F169">
        <v>81</v>
      </c>
      <c r="G169">
        <v>69</v>
      </c>
      <c r="H169">
        <v>76</v>
      </c>
      <c r="I169">
        <v>309</v>
      </c>
      <c r="J169">
        <v>431</v>
      </c>
      <c r="K169">
        <v>481</v>
      </c>
      <c r="L169">
        <v>454</v>
      </c>
      <c r="M169">
        <v>334</v>
      </c>
      <c r="N169">
        <v>217</v>
      </c>
      <c r="O169">
        <v>192</v>
      </c>
      <c r="P169">
        <v>163</v>
      </c>
      <c r="Q169">
        <v>77</v>
      </c>
      <c r="R169">
        <v>53</v>
      </c>
      <c r="S169">
        <v>4</v>
      </c>
      <c r="T169">
        <v>6</v>
      </c>
      <c r="U169" s="1">
        <v>1</v>
      </c>
    </row>
    <row r="170" spans="1:21" x14ac:dyDescent="0.3">
      <c r="A170" t="s">
        <v>69</v>
      </c>
      <c r="B170" t="s">
        <v>79</v>
      </c>
      <c r="C170" s="2" t="s">
        <v>21</v>
      </c>
      <c r="D170" s="1">
        <v>1068</v>
      </c>
      <c r="E170">
        <v>22</v>
      </c>
      <c r="F170">
        <v>12</v>
      </c>
      <c r="G170">
        <v>3</v>
      </c>
      <c r="H170">
        <v>7</v>
      </c>
      <c r="I170">
        <v>93</v>
      </c>
      <c r="J170">
        <v>251</v>
      </c>
      <c r="K170">
        <v>263</v>
      </c>
      <c r="L170">
        <v>212</v>
      </c>
      <c r="M170">
        <v>91</v>
      </c>
      <c r="N170">
        <v>35</v>
      </c>
      <c r="O170">
        <v>27</v>
      </c>
      <c r="P170">
        <v>20</v>
      </c>
      <c r="Q170">
        <v>19</v>
      </c>
      <c r="R170">
        <v>8</v>
      </c>
      <c r="S170">
        <v>4</v>
      </c>
      <c r="T170">
        <v>1</v>
      </c>
      <c r="U170" s="1">
        <v>0</v>
      </c>
    </row>
    <row r="171" spans="1:21" x14ac:dyDescent="0.3">
      <c r="A171" t="s">
        <v>69</v>
      </c>
      <c r="B171" t="s">
        <v>79</v>
      </c>
      <c r="C171" s="2" t="s">
        <v>24</v>
      </c>
      <c r="D171">
        <v>722</v>
      </c>
      <c r="E171">
        <v>13</v>
      </c>
      <c r="F171">
        <v>7</v>
      </c>
      <c r="G171">
        <v>1</v>
      </c>
      <c r="H171">
        <v>4</v>
      </c>
      <c r="I171">
        <v>67</v>
      </c>
      <c r="J171">
        <v>193</v>
      </c>
      <c r="K171">
        <v>179</v>
      </c>
      <c r="L171">
        <v>146</v>
      </c>
      <c r="M171">
        <v>62</v>
      </c>
      <c r="N171">
        <v>20</v>
      </c>
      <c r="O171">
        <v>11</v>
      </c>
      <c r="P171">
        <v>7</v>
      </c>
      <c r="Q171">
        <v>6</v>
      </c>
      <c r="R171">
        <v>3</v>
      </c>
      <c r="S171">
        <v>2</v>
      </c>
      <c r="T171">
        <v>1</v>
      </c>
      <c r="U171" s="1">
        <v>0</v>
      </c>
    </row>
    <row r="172" spans="1:21" x14ac:dyDescent="0.3">
      <c r="A172" t="s">
        <v>69</v>
      </c>
      <c r="B172" t="s">
        <v>79</v>
      </c>
      <c r="C172" s="2" t="s">
        <v>25</v>
      </c>
      <c r="D172">
        <v>346</v>
      </c>
      <c r="E172">
        <v>9</v>
      </c>
      <c r="F172">
        <v>5</v>
      </c>
      <c r="G172">
        <v>2</v>
      </c>
      <c r="H172">
        <v>3</v>
      </c>
      <c r="I172">
        <v>26</v>
      </c>
      <c r="J172">
        <v>58</v>
      </c>
      <c r="K172">
        <v>84</v>
      </c>
      <c r="L172">
        <v>66</v>
      </c>
      <c r="M172">
        <v>29</v>
      </c>
      <c r="N172">
        <v>15</v>
      </c>
      <c r="O172">
        <v>16</v>
      </c>
      <c r="P172">
        <v>13</v>
      </c>
      <c r="Q172">
        <v>13</v>
      </c>
      <c r="R172">
        <v>5</v>
      </c>
      <c r="S172">
        <v>2</v>
      </c>
      <c r="T172">
        <v>0</v>
      </c>
      <c r="U172" s="1">
        <v>0</v>
      </c>
    </row>
    <row r="173" spans="1:21" x14ac:dyDescent="0.3">
      <c r="A173" t="s">
        <v>69</v>
      </c>
      <c r="B173" t="s">
        <v>80</v>
      </c>
      <c r="C173" s="2" t="s">
        <v>21</v>
      </c>
      <c r="D173" s="1">
        <v>6814</v>
      </c>
      <c r="E173">
        <v>141</v>
      </c>
      <c r="F173">
        <v>72</v>
      </c>
      <c r="G173">
        <v>44</v>
      </c>
      <c r="H173">
        <v>107</v>
      </c>
      <c r="I173">
        <v>754</v>
      </c>
      <c r="J173" s="1">
        <v>1500</v>
      </c>
      <c r="K173" s="1">
        <v>1404</v>
      </c>
      <c r="L173" s="1">
        <v>1121</v>
      </c>
      <c r="M173">
        <v>712</v>
      </c>
      <c r="N173">
        <v>370</v>
      </c>
      <c r="O173">
        <v>232</v>
      </c>
      <c r="P173">
        <v>176</v>
      </c>
      <c r="Q173">
        <v>112</v>
      </c>
      <c r="R173">
        <v>43</v>
      </c>
      <c r="S173">
        <v>21</v>
      </c>
      <c r="T173">
        <v>4</v>
      </c>
      <c r="U173" s="1">
        <v>1</v>
      </c>
    </row>
    <row r="174" spans="1:21" x14ac:dyDescent="0.3">
      <c r="A174" t="s">
        <v>69</v>
      </c>
      <c r="B174" t="s">
        <v>80</v>
      </c>
      <c r="C174" s="2" t="s">
        <v>24</v>
      </c>
      <c r="D174" s="1">
        <v>4154</v>
      </c>
      <c r="E174">
        <v>78</v>
      </c>
      <c r="F174">
        <v>33</v>
      </c>
      <c r="G174">
        <v>23</v>
      </c>
      <c r="H174">
        <v>35</v>
      </c>
      <c r="I174">
        <v>415</v>
      </c>
      <c r="J174">
        <v>932</v>
      </c>
      <c r="K174">
        <v>970</v>
      </c>
      <c r="L174">
        <v>750</v>
      </c>
      <c r="M174">
        <v>471</v>
      </c>
      <c r="N174">
        <v>206</v>
      </c>
      <c r="O174">
        <v>107</v>
      </c>
      <c r="P174">
        <v>65</v>
      </c>
      <c r="Q174">
        <v>37</v>
      </c>
      <c r="R174">
        <v>21</v>
      </c>
      <c r="S174">
        <v>8</v>
      </c>
      <c r="T174">
        <v>2</v>
      </c>
      <c r="U174" s="1">
        <v>1</v>
      </c>
    </row>
    <row r="175" spans="1:21" x14ac:dyDescent="0.3">
      <c r="A175" t="s">
        <v>69</v>
      </c>
      <c r="B175" t="s">
        <v>80</v>
      </c>
      <c r="C175" s="2" t="s">
        <v>25</v>
      </c>
      <c r="D175" s="1">
        <v>2660</v>
      </c>
      <c r="E175">
        <v>63</v>
      </c>
      <c r="F175">
        <v>39</v>
      </c>
      <c r="G175">
        <v>21</v>
      </c>
      <c r="H175">
        <v>72</v>
      </c>
      <c r="I175">
        <v>339</v>
      </c>
      <c r="J175">
        <v>568</v>
      </c>
      <c r="K175">
        <v>434</v>
      </c>
      <c r="L175">
        <v>371</v>
      </c>
      <c r="M175">
        <v>241</v>
      </c>
      <c r="N175">
        <v>164</v>
      </c>
      <c r="O175">
        <v>125</v>
      </c>
      <c r="P175">
        <v>111</v>
      </c>
      <c r="Q175">
        <v>75</v>
      </c>
      <c r="R175">
        <v>22</v>
      </c>
      <c r="S175">
        <v>13</v>
      </c>
      <c r="T175">
        <v>2</v>
      </c>
      <c r="U175" s="1">
        <v>0</v>
      </c>
    </row>
    <row r="176" spans="1:21" x14ac:dyDescent="0.3">
      <c r="A176" t="s">
        <v>69</v>
      </c>
      <c r="B176" t="s">
        <v>81</v>
      </c>
      <c r="C176" s="2" t="s">
        <v>21</v>
      </c>
      <c r="D176" s="1">
        <v>3621</v>
      </c>
      <c r="E176">
        <v>70</v>
      </c>
      <c r="F176">
        <v>53</v>
      </c>
      <c r="G176">
        <v>27</v>
      </c>
      <c r="H176">
        <v>48</v>
      </c>
      <c r="I176">
        <v>370</v>
      </c>
      <c r="J176">
        <v>907</v>
      </c>
      <c r="K176">
        <v>800</v>
      </c>
      <c r="L176">
        <v>643</v>
      </c>
      <c r="M176">
        <v>308</v>
      </c>
      <c r="N176">
        <v>167</v>
      </c>
      <c r="O176">
        <v>79</v>
      </c>
      <c r="P176">
        <v>72</v>
      </c>
      <c r="Q176">
        <v>45</v>
      </c>
      <c r="R176">
        <v>18</v>
      </c>
      <c r="S176">
        <v>10</v>
      </c>
      <c r="T176">
        <v>2</v>
      </c>
      <c r="U176" s="1">
        <v>2</v>
      </c>
    </row>
    <row r="177" spans="1:21" x14ac:dyDescent="0.3">
      <c r="A177" t="s">
        <v>69</v>
      </c>
      <c r="B177" t="s">
        <v>81</v>
      </c>
      <c r="C177" s="2" t="s">
        <v>24</v>
      </c>
      <c r="D177" s="1">
        <v>2611</v>
      </c>
      <c r="E177">
        <v>38</v>
      </c>
      <c r="F177">
        <v>32</v>
      </c>
      <c r="G177">
        <v>17</v>
      </c>
      <c r="H177">
        <v>29</v>
      </c>
      <c r="I177">
        <v>310</v>
      </c>
      <c r="J177">
        <v>692</v>
      </c>
      <c r="K177">
        <v>599</v>
      </c>
      <c r="L177">
        <v>470</v>
      </c>
      <c r="M177">
        <v>219</v>
      </c>
      <c r="N177">
        <v>90</v>
      </c>
      <c r="O177">
        <v>41</v>
      </c>
      <c r="P177">
        <v>38</v>
      </c>
      <c r="Q177">
        <v>20</v>
      </c>
      <c r="R177">
        <v>10</v>
      </c>
      <c r="S177">
        <v>4</v>
      </c>
      <c r="T177">
        <v>1</v>
      </c>
      <c r="U177" s="1">
        <v>1</v>
      </c>
    </row>
    <row r="178" spans="1:21" x14ac:dyDescent="0.3">
      <c r="A178" t="s">
        <v>69</v>
      </c>
      <c r="B178" t="s">
        <v>81</v>
      </c>
      <c r="C178" s="2" t="s">
        <v>25</v>
      </c>
      <c r="D178" s="1">
        <v>1010</v>
      </c>
      <c r="E178">
        <v>32</v>
      </c>
      <c r="F178">
        <v>21</v>
      </c>
      <c r="G178">
        <v>10</v>
      </c>
      <c r="H178">
        <v>19</v>
      </c>
      <c r="I178">
        <v>60</v>
      </c>
      <c r="J178">
        <v>215</v>
      </c>
      <c r="K178">
        <v>201</v>
      </c>
      <c r="L178">
        <v>173</v>
      </c>
      <c r="M178">
        <v>89</v>
      </c>
      <c r="N178">
        <v>77</v>
      </c>
      <c r="O178">
        <v>38</v>
      </c>
      <c r="P178">
        <v>34</v>
      </c>
      <c r="Q178">
        <v>25</v>
      </c>
      <c r="R178">
        <v>8</v>
      </c>
      <c r="S178">
        <v>6</v>
      </c>
      <c r="T178">
        <v>1</v>
      </c>
      <c r="U178" s="1">
        <v>1</v>
      </c>
    </row>
    <row r="179" spans="1:21" x14ac:dyDescent="0.3">
      <c r="A179" t="s">
        <v>69</v>
      </c>
      <c r="B179" t="s">
        <v>82</v>
      </c>
      <c r="C179" s="2" t="s">
        <v>21</v>
      </c>
      <c r="D179" s="1">
        <v>2750</v>
      </c>
      <c r="E179">
        <v>27</v>
      </c>
      <c r="F179">
        <v>20</v>
      </c>
      <c r="G179">
        <v>18</v>
      </c>
      <c r="H179">
        <v>63</v>
      </c>
      <c r="I179">
        <v>662</v>
      </c>
      <c r="J179">
        <v>477</v>
      </c>
      <c r="K179">
        <v>449</v>
      </c>
      <c r="L179">
        <v>340</v>
      </c>
      <c r="M179">
        <v>241</v>
      </c>
      <c r="N179">
        <v>147</v>
      </c>
      <c r="O179">
        <v>108</v>
      </c>
      <c r="P179">
        <v>97</v>
      </c>
      <c r="Q179">
        <v>55</v>
      </c>
      <c r="R179">
        <v>24</v>
      </c>
      <c r="S179">
        <v>12</v>
      </c>
      <c r="T179">
        <v>3</v>
      </c>
      <c r="U179" s="1">
        <v>7</v>
      </c>
    </row>
    <row r="180" spans="1:21" x14ac:dyDescent="0.3">
      <c r="A180" t="s">
        <v>69</v>
      </c>
      <c r="B180" t="s">
        <v>82</v>
      </c>
      <c r="C180" s="2" t="s">
        <v>24</v>
      </c>
      <c r="D180" s="1">
        <v>1748</v>
      </c>
      <c r="E180">
        <v>12</v>
      </c>
      <c r="F180">
        <v>9</v>
      </c>
      <c r="G180">
        <v>9</v>
      </c>
      <c r="H180">
        <v>39</v>
      </c>
      <c r="I180">
        <v>407</v>
      </c>
      <c r="J180">
        <v>334</v>
      </c>
      <c r="K180">
        <v>329</v>
      </c>
      <c r="L180">
        <v>224</v>
      </c>
      <c r="M180">
        <v>146</v>
      </c>
      <c r="N180">
        <v>85</v>
      </c>
      <c r="O180">
        <v>64</v>
      </c>
      <c r="P180">
        <v>47</v>
      </c>
      <c r="Q180">
        <v>19</v>
      </c>
      <c r="R180">
        <v>12</v>
      </c>
      <c r="S180">
        <v>5</v>
      </c>
      <c r="T180">
        <v>3</v>
      </c>
      <c r="U180" s="1">
        <v>4</v>
      </c>
    </row>
    <row r="181" spans="1:21" x14ac:dyDescent="0.3">
      <c r="A181" t="s">
        <v>69</v>
      </c>
      <c r="B181" t="s">
        <v>82</v>
      </c>
      <c r="C181" s="2" t="s">
        <v>25</v>
      </c>
      <c r="D181" s="1">
        <v>1002</v>
      </c>
      <c r="E181">
        <v>15</v>
      </c>
      <c r="F181">
        <v>11</v>
      </c>
      <c r="G181">
        <v>9</v>
      </c>
      <c r="H181">
        <v>24</v>
      </c>
      <c r="I181">
        <v>255</v>
      </c>
      <c r="J181">
        <v>143</v>
      </c>
      <c r="K181">
        <v>120</v>
      </c>
      <c r="L181">
        <v>116</v>
      </c>
      <c r="M181">
        <v>95</v>
      </c>
      <c r="N181">
        <v>62</v>
      </c>
      <c r="O181">
        <v>44</v>
      </c>
      <c r="P181">
        <v>50</v>
      </c>
      <c r="Q181">
        <v>36</v>
      </c>
      <c r="R181">
        <v>12</v>
      </c>
      <c r="S181">
        <v>7</v>
      </c>
      <c r="T181">
        <v>0</v>
      </c>
      <c r="U181" s="1">
        <v>3</v>
      </c>
    </row>
    <row r="182" spans="1:21" x14ac:dyDescent="0.3">
      <c r="A182" t="s">
        <v>69</v>
      </c>
      <c r="B182" t="s">
        <v>83</v>
      </c>
      <c r="C182" s="2" t="s">
        <v>21</v>
      </c>
      <c r="D182" s="1">
        <v>2921</v>
      </c>
      <c r="E182">
        <v>51</v>
      </c>
      <c r="F182">
        <v>52</v>
      </c>
      <c r="G182">
        <v>26</v>
      </c>
      <c r="H182">
        <v>220</v>
      </c>
      <c r="I182">
        <v>613</v>
      </c>
      <c r="J182">
        <v>445</v>
      </c>
      <c r="K182">
        <v>384</v>
      </c>
      <c r="L182">
        <v>411</v>
      </c>
      <c r="M182">
        <v>226</v>
      </c>
      <c r="N182">
        <v>144</v>
      </c>
      <c r="O182">
        <v>111</v>
      </c>
      <c r="P182">
        <v>120</v>
      </c>
      <c r="Q182">
        <v>79</v>
      </c>
      <c r="R182">
        <v>27</v>
      </c>
      <c r="S182">
        <v>8</v>
      </c>
      <c r="T182">
        <v>3</v>
      </c>
      <c r="U182" s="1">
        <v>1</v>
      </c>
    </row>
    <row r="183" spans="1:21" x14ac:dyDescent="0.3">
      <c r="A183" t="s">
        <v>69</v>
      </c>
      <c r="B183" t="s">
        <v>83</v>
      </c>
      <c r="C183" s="2" t="s">
        <v>24</v>
      </c>
      <c r="D183" s="1">
        <v>1742</v>
      </c>
      <c r="E183">
        <v>26</v>
      </c>
      <c r="F183">
        <v>30</v>
      </c>
      <c r="G183">
        <v>19</v>
      </c>
      <c r="H183">
        <v>117</v>
      </c>
      <c r="I183">
        <v>325</v>
      </c>
      <c r="J183">
        <v>310</v>
      </c>
      <c r="K183">
        <v>264</v>
      </c>
      <c r="L183">
        <v>286</v>
      </c>
      <c r="M183">
        <v>144</v>
      </c>
      <c r="N183">
        <v>67</v>
      </c>
      <c r="O183">
        <v>49</v>
      </c>
      <c r="P183">
        <v>53</v>
      </c>
      <c r="Q183">
        <v>32</v>
      </c>
      <c r="R183">
        <v>14</v>
      </c>
      <c r="S183">
        <v>2</v>
      </c>
      <c r="T183">
        <v>3</v>
      </c>
      <c r="U183" s="1">
        <v>1</v>
      </c>
    </row>
    <row r="184" spans="1:21" x14ac:dyDescent="0.3">
      <c r="A184" t="s">
        <v>69</v>
      </c>
      <c r="B184" t="s">
        <v>83</v>
      </c>
      <c r="C184" s="2" t="s">
        <v>25</v>
      </c>
      <c r="D184" s="1">
        <v>1179</v>
      </c>
      <c r="E184">
        <v>25</v>
      </c>
      <c r="F184">
        <v>22</v>
      </c>
      <c r="G184">
        <v>7</v>
      </c>
      <c r="H184">
        <v>103</v>
      </c>
      <c r="I184">
        <v>288</v>
      </c>
      <c r="J184">
        <v>135</v>
      </c>
      <c r="K184">
        <v>120</v>
      </c>
      <c r="L184">
        <v>125</v>
      </c>
      <c r="M184">
        <v>82</v>
      </c>
      <c r="N184">
        <v>77</v>
      </c>
      <c r="O184">
        <v>62</v>
      </c>
      <c r="P184">
        <v>67</v>
      </c>
      <c r="Q184">
        <v>47</v>
      </c>
      <c r="R184">
        <v>13</v>
      </c>
      <c r="S184">
        <v>6</v>
      </c>
      <c r="T184">
        <v>0</v>
      </c>
      <c r="U184" s="1">
        <v>0</v>
      </c>
    </row>
    <row r="185" spans="1:21" x14ac:dyDescent="0.3">
      <c r="A185" t="s">
        <v>69</v>
      </c>
      <c r="B185" t="s">
        <v>84</v>
      </c>
      <c r="C185" s="2" t="s">
        <v>21</v>
      </c>
      <c r="D185" s="1">
        <v>4777</v>
      </c>
      <c r="E185">
        <v>119</v>
      </c>
      <c r="F185">
        <v>88</v>
      </c>
      <c r="G185">
        <v>46</v>
      </c>
      <c r="H185">
        <v>71</v>
      </c>
      <c r="I185">
        <v>448</v>
      </c>
      <c r="J185">
        <v>902</v>
      </c>
      <c r="K185">
        <v>897</v>
      </c>
      <c r="L185">
        <v>836</v>
      </c>
      <c r="M185">
        <v>520</v>
      </c>
      <c r="N185">
        <v>250</v>
      </c>
      <c r="O185">
        <v>196</v>
      </c>
      <c r="P185">
        <v>191</v>
      </c>
      <c r="Q185">
        <v>136</v>
      </c>
      <c r="R185">
        <v>50</v>
      </c>
      <c r="S185">
        <v>23</v>
      </c>
      <c r="T185">
        <v>1</v>
      </c>
      <c r="U185" s="1">
        <v>3</v>
      </c>
    </row>
    <row r="186" spans="1:21" x14ac:dyDescent="0.3">
      <c r="A186" t="s">
        <v>69</v>
      </c>
      <c r="B186" t="s">
        <v>84</v>
      </c>
      <c r="C186" s="2" t="s">
        <v>24</v>
      </c>
      <c r="D186" s="1">
        <v>3263</v>
      </c>
      <c r="E186">
        <v>61</v>
      </c>
      <c r="F186">
        <v>45</v>
      </c>
      <c r="G186">
        <v>19</v>
      </c>
      <c r="H186">
        <v>38</v>
      </c>
      <c r="I186">
        <v>305</v>
      </c>
      <c r="J186">
        <v>679</v>
      </c>
      <c r="K186">
        <v>676</v>
      </c>
      <c r="L186">
        <v>620</v>
      </c>
      <c r="M186">
        <v>384</v>
      </c>
      <c r="N186">
        <v>155</v>
      </c>
      <c r="O186">
        <v>103</v>
      </c>
      <c r="P186">
        <v>79</v>
      </c>
      <c r="Q186">
        <v>62</v>
      </c>
      <c r="R186">
        <v>19</v>
      </c>
      <c r="S186">
        <v>17</v>
      </c>
      <c r="T186">
        <v>1</v>
      </c>
      <c r="U186" s="1">
        <v>0</v>
      </c>
    </row>
    <row r="187" spans="1:21" x14ac:dyDescent="0.3">
      <c r="A187" t="s">
        <v>69</v>
      </c>
      <c r="B187" t="s">
        <v>84</v>
      </c>
      <c r="C187" s="2" t="s">
        <v>25</v>
      </c>
      <c r="D187" s="1">
        <v>1514</v>
      </c>
      <c r="E187">
        <v>58</v>
      </c>
      <c r="F187">
        <v>43</v>
      </c>
      <c r="G187">
        <v>27</v>
      </c>
      <c r="H187">
        <v>33</v>
      </c>
      <c r="I187">
        <v>143</v>
      </c>
      <c r="J187">
        <v>223</v>
      </c>
      <c r="K187">
        <v>221</v>
      </c>
      <c r="L187">
        <v>216</v>
      </c>
      <c r="M187">
        <v>136</v>
      </c>
      <c r="N187">
        <v>95</v>
      </c>
      <c r="O187">
        <v>93</v>
      </c>
      <c r="P187">
        <v>112</v>
      </c>
      <c r="Q187">
        <v>74</v>
      </c>
      <c r="R187">
        <v>31</v>
      </c>
      <c r="S187">
        <v>6</v>
      </c>
      <c r="T187">
        <v>0</v>
      </c>
      <c r="U187" s="1">
        <v>3</v>
      </c>
    </row>
    <row r="188" spans="1:21" x14ac:dyDescent="0.3">
      <c r="A188" t="s">
        <v>69</v>
      </c>
      <c r="B188" t="s">
        <v>85</v>
      </c>
      <c r="C188" s="2" t="s">
        <v>21</v>
      </c>
      <c r="D188" s="1">
        <v>3904</v>
      </c>
      <c r="E188">
        <v>99</v>
      </c>
      <c r="F188">
        <v>66</v>
      </c>
      <c r="G188">
        <v>46</v>
      </c>
      <c r="H188">
        <v>57</v>
      </c>
      <c r="I188">
        <v>519</v>
      </c>
      <c r="J188">
        <v>654</v>
      </c>
      <c r="K188">
        <v>626</v>
      </c>
      <c r="L188">
        <v>640</v>
      </c>
      <c r="M188">
        <v>427</v>
      </c>
      <c r="N188">
        <v>239</v>
      </c>
      <c r="O188">
        <v>184</v>
      </c>
      <c r="P188">
        <v>167</v>
      </c>
      <c r="Q188">
        <v>134</v>
      </c>
      <c r="R188">
        <v>33</v>
      </c>
      <c r="S188">
        <v>8</v>
      </c>
      <c r="T188">
        <v>3</v>
      </c>
      <c r="U188" s="1">
        <v>2</v>
      </c>
    </row>
    <row r="189" spans="1:21" x14ac:dyDescent="0.3">
      <c r="A189" t="s">
        <v>69</v>
      </c>
      <c r="B189" t="s">
        <v>85</v>
      </c>
      <c r="C189" s="2" t="s">
        <v>24</v>
      </c>
      <c r="D189" s="1">
        <v>2305</v>
      </c>
      <c r="E189">
        <v>56</v>
      </c>
      <c r="F189">
        <v>29</v>
      </c>
      <c r="G189">
        <v>24</v>
      </c>
      <c r="H189">
        <v>22</v>
      </c>
      <c r="I189">
        <v>263</v>
      </c>
      <c r="J189">
        <v>417</v>
      </c>
      <c r="K189">
        <v>435</v>
      </c>
      <c r="L189">
        <v>418</v>
      </c>
      <c r="M189">
        <v>268</v>
      </c>
      <c r="N189">
        <v>134</v>
      </c>
      <c r="O189">
        <v>92</v>
      </c>
      <c r="P189">
        <v>78</v>
      </c>
      <c r="Q189">
        <v>49</v>
      </c>
      <c r="R189">
        <v>17</v>
      </c>
      <c r="S189">
        <v>0</v>
      </c>
      <c r="T189">
        <v>2</v>
      </c>
      <c r="U189" s="1">
        <v>1</v>
      </c>
    </row>
    <row r="190" spans="1:21" x14ac:dyDescent="0.3">
      <c r="A190" t="s">
        <v>69</v>
      </c>
      <c r="B190" t="s">
        <v>85</v>
      </c>
      <c r="C190" s="2" t="s">
        <v>25</v>
      </c>
      <c r="D190" s="1">
        <v>1599</v>
      </c>
      <c r="E190">
        <v>43</v>
      </c>
      <c r="F190">
        <v>37</v>
      </c>
      <c r="G190">
        <v>22</v>
      </c>
      <c r="H190">
        <v>35</v>
      </c>
      <c r="I190">
        <v>256</v>
      </c>
      <c r="J190">
        <v>237</v>
      </c>
      <c r="K190">
        <v>191</v>
      </c>
      <c r="L190">
        <v>222</v>
      </c>
      <c r="M190">
        <v>159</v>
      </c>
      <c r="N190">
        <v>105</v>
      </c>
      <c r="O190">
        <v>92</v>
      </c>
      <c r="P190">
        <v>89</v>
      </c>
      <c r="Q190">
        <v>85</v>
      </c>
      <c r="R190">
        <v>16</v>
      </c>
      <c r="S190">
        <v>8</v>
      </c>
      <c r="T190">
        <v>1</v>
      </c>
      <c r="U190" s="1">
        <v>1</v>
      </c>
    </row>
    <row r="191" spans="1:21" x14ac:dyDescent="0.3">
      <c r="A191" t="s">
        <v>69</v>
      </c>
      <c r="B191" t="s">
        <v>86</v>
      </c>
      <c r="C191" s="2" t="s">
        <v>21</v>
      </c>
      <c r="D191" s="1">
        <v>5341</v>
      </c>
      <c r="E191">
        <v>163</v>
      </c>
      <c r="F191">
        <v>163</v>
      </c>
      <c r="G191">
        <v>90</v>
      </c>
      <c r="H191">
        <v>59</v>
      </c>
      <c r="I191">
        <v>566</v>
      </c>
      <c r="J191">
        <v>887</v>
      </c>
      <c r="K191">
        <v>953</v>
      </c>
      <c r="L191">
        <v>944</v>
      </c>
      <c r="M191">
        <v>594</v>
      </c>
      <c r="N191">
        <v>276</v>
      </c>
      <c r="O191">
        <v>227</v>
      </c>
      <c r="P191">
        <v>216</v>
      </c>
      <c r="Q191">
        <v>112</v>
      </c>
      <c r="R191">
        <v>62</v>
      </c>
      <c r="S191">
        <v>16</v>
      </c>
      <c r="T191">
        <v>11</v>
      </c>
      <c r="U191" s="1">
        <v>2</v>
      </c>
    </row>
    <row r="192" spans="1:21" x14ac:dyDescent="0.3">
      <c r="A192" t="s">
        <v>69</v>
      </c>
      <c r="B192" t="s">
        <v>86</v>
      </c>
      <c r="C192" s="2" t="s">
        <v>24</v>
      </c>
      <c r="D192" s="1">
        <v>3677</v>
      </c>
      <c r="E192">
        <v>87</v>
      </c>
      <c r="F192">
        <v>80</v>
      </c>
      <c r="G192">
        <v>49</v>
      </c>
      <c r="H192">
        <v>33</v>
      </c>
      <c r="I192">
        <v>463</v>
      </c>
      <c r="J192">
        <v>678</v>
      </c>
      <c r="K192">
        <v>691</v>
      </c>
      <c r="L192">
        <v>688</v>
      </c>
      <c r="M192">
        <v>407</v>
      </c>
      <c r="N192">
        <v>161</v>
      </c>
      <c r="O192">
        <v>123</v>
      </c>
      <c r="P192">
        <v>115</v>
      </c>
      <c r="Q192">
        <v>61</v>
      </c>
      <c r="R192">
        <v>22</v>
      </c>
      <c r="S192">
        <v>9</v>
      </c>
      <c r="T192">
        <v>9</v>
      </c>
      <c r="U192" s="1">
        <v>1</v>
      </c>
    </row>
    <row r="193" spans="1:21" x14ac:dyDescent="0.3">
      <c r="A193" t="s">
        <v>69</v>
      </c>
      <c r="B193" t="s">
        <v>86</v>
      </c>
      <c r="C193" s="2" t="s">
        <v>25</v>
      </c>
      <c r="D193" s="1">
        <v>1664</v>
      </c>
      <c r="E193">
        <v>76</v>
      </c>
      <c r="F193">
        <v>83</v>
      </c>
      <c r="G193">
        <v>41</v>
      </c>
      <c r="H193">
        <v>26</v>
      </c>
      <c r="I193">
        <v>103</v>
      </c>
      <c r="J193">
        <v>209</v>
      </c>
      <c r="K193">
        <v>262</v>
      </c>
      <c r="L193">
        <v>256</v>
      </c>
      <c r="M193">
        <v>187</v>
      </c>
      <c r="N193">
        <v>115</v>
      </c>
      <c r="O193">
        <v>104</v>
      </c>
      <c r="P193">
        <v>101</v>
      </c>
      <c r="Q193">
        <v>51</v>
      </c>
      <c r="R193">
        <v>40</v>
      </c>
      <c r="S193">
        <v>7</v>
      </c>
      <c r="T193">
        <v>2</v>
      </c>
      <c r="U193" s="1">
        <v>1</v>
      </c>
    </row>
    <row r="194" spans="1:21" x14ac:dyDescent="0.3">
      <c r="A194" t="s">
        <v>69</v>
      </c>
      <c r="B194" t="s">
        <v>87</v>
      </c>
      <c r="C194" s="2" t="s">
        <v>21</v>
      </c>
      <c r="D194" s="1">
        <v>5332</v>
      </c>
      <c r="E194">
        <v>16</v>
      </c>
      <c r="F194">
        <v>16</v>
      </c>
      <c r="G194">
        <v>7</v>
      </c>
      <c r="H194">
        <v>16</v>
      </c>
      <c r="I194">
        <v>344</v>
      </c>
      <c r="J194" s="1">
        <v>1180</v>
      </c>
      <c r="K194" s="1">
        <v>1356</v>
      </c>
      <c r="L194" s="1">
        <v>1112</v>
      </c>
      <c r="M194">
        <v>632</v>
      </c>
      <c r="N194">
        <v>288</v>
      </c>
      <c r="O194">
        <v>162</v>
      </c>
      <c r="P194">
        <v>108</v>
      </c>
      <c r="Q194">
        <v>69</v>
      </c>
      <c r="R194">
        <v>19</v>
      </c>
      <c r="S194">
        <v>4</v>
      </c>
      <c r="T194">
        <v>1</v>
      </c>
      <c r="U194" s="1">
        <v>2</v>
      </c>
    </row>
    <row r="195" spans="1:21" x14ac:dyDescent="0.3">
      <c r="A195" t="s">
        <v>69</v>
      </c>
      <c r="B195" t="s">
        <v>87</v>
      </c>
      <c r="C195" s="2" t="s">
        <v>24</v>
      </c>
      <c r="D195" s="1">
        <v>4505</v>
      </c>
      <c r="E195">
        <v>9</v>
      </c>
      <c r="F195">
        <v>6</v>
      </c>
      <c r="G195">
        <v>3</v>
      </c>
      <c r="H195">
        <v>9</v>
      </c>
      <c r="I195">
        <v>284</v>
      </c>
      <c r="J195" s="1">
        <v>1072</v>
      </c>
      <c r="K195" s="1">
        <v>1228</v>
      </c>
      <c r="L195">
        <v>956</v>
      </c>
      <c r="M195">
        <v>536</v>
      </c>
      <c r="N195">
        <v>217</v>
      </c>
      <c r="O195">
        <v>92</v>
      </c>
      <c r="P195">
        <v>56</v>
      </c>
      <c r="Q195">
        <v>21</v>
      </c>
      <c r="R195">
        <v>11</v>
      </c>
      <c r="S195">
        <v>2</v>
      </c>
      <c r="T195">
        <v>1</v>
      </c>
      <c r="U195" s="1">
        <v>2</v>
      </c>
    </row>
    <row r="196" spans="1:21" x14ac:dyDescent="0.3">
      <c r="A196" t="s">
        <v>69</v>
      </c>
      <c r="B196" t="s">
        <v>87</v>
      </c>
      <c r="C196" s="2" t="s">
        <v>25</v>
      </c>
      <c r="D196">
        <v>827</v>
      </c>
      <c r="E196">
        <v>7</v>
      </c>
      <c r="F196">
        <v>10</v>
      </c>
      <c r="G196">
        <v>4</v>
      </c>
      <c r="H196">
        <v>7</v>
      </c>
      <c r="I196">
        <v>60</v>
      </c>
      <c r="J196">
        <v>108</v>
      </c>
      <c r="K196">
        <v>128</v>
      </c>
      <c r="L196">
        <v>156</v>
      </c>
      <c r="M196">
        <v>96</v>
      </c>
      <c r="N196">
        <v>71</v>
      </c>
      <c r="O196">
        <v>70</v>
      </c>
      <c r="P196">
        <v>52</v>
      </c>
      <c r="Q196">
        <v>48</v>
      </c>
      <c r="R196">
        <v>8</v>
      </c>
      <c r="S196">
        <v>2</v>
      </c>
      <c r="T196">
        <v>0</v>
      </c>
      <c r="U196" s="1">
        <v>0</v>
      </c>
    </row>
    <row r="197" spans="1:21" x14ac:dyDescent="0.3">
      <c r="A197" t="s">
        <v>69</v>
      </c>
      <c r="B197" t="s">
        <v>88</v>
      </c>
      <c r="C197" s="2" t="s">
        <v>21</v>
      </c>
      <c r="D197" s="1">
        <v>1132</v>
      </c>
      <c r="E197">
        <v>1</v>
      </c>
      <c r="F197">
        <v>1</v>
      </c>
      <c r="G197">
        <v>2</v>
      </c>
      <c r="H197">
        <v>8</v>
      </c>
      <c r="I197">
        <v>104</v>
      </c>
      <c r="J197">
        <v>212</v>
      </c>
      <c r="K197">
        <v>222</v>
      </c>
      <c r="L197">
        <v>222</v>
      </c>
      <c r="M197">
        <v>144</v>
      </c>
      <c r="N197">
        <v>99</v>
      </c>
      <c r="O197">
        <v>56</v>
      </c>
      <c r="P197">
        <v>30</v>
      </c>
      <c r="Q197">
        <v>15</v>
      </c>
      <c r="R197">
        <v>11</v>
      </c>
      <c r="S197">
        <v>4</v>
      </c>
      <c r="T197">
        <v>1</v>
      </c>
      <c r="U197" s="1">
        <v>0</v>
      </c>
    </row>
    <row r="198" spans="1:21" x14ac:dyDescent="0.3">
      <c r="A198" t="s">
        <v>69</v>
      </c>
      <c r="B198" t="s">
        <v>88</v>
      </c>
      <c r="C198" s="2" t="s">
        <v>24</v>
      </c>
      <c r="D198">
        <v>582</v>
      </c>
      <c r="E198">
        <v>0</v>
      </c>
      <c r="F198">
        <v>0</v>
      </c>
      <c r="G198">
        <v>1</v>
      </c>
      <c r="H198">
        <v>4</v>
      </c>
      <c r="I198">
        <v>58</v>
      </c>
      <c r="J198">
        <v>107</v>
      </c>
      <c r="K198">
        <v>126</v>
      </c>
      <c r="L198">
        <v>123</v>
      </c>
      <c r="M198">
        <v>69</v>
      </c>
      <c r="N198">
        <v>48</v>
      </c>
      <c r="O198">
        <v>28</v>
      </c>
      <c r="P198">
        <v>14</v>
      </c>
      <c r="Q198">
        <v>2</v>
      </c>
      <c r="R198">
        <v>1</v>
      </c>
      <c r="S198">
        <v>1</v>
      </c>
      <c r="T198">
        <v>0</v>
      </c>
      <c r="U198" s="1">
        <v>0</v>
      </c>
    </row>
    <row r="199" spans="1:21" x14ac:dyDescent="0.3">
      <c r="A199" t="s">
        <v>69</v>
      </c>
      <c r="B199" t="s">
        <v>88</v>
      </c>
      <c r="C199" s="2" t="s">
        <v>25</v>
      </c>
      <c r="D199">
        <v>550</v>
      </c>
      <c r="E199">
        <v>1</v>
      </c>
      <c r="F199">
        <v>1</v>
      </c>
      <c r="G199">
        <v>1</v>
      </c>
      <c r="H199">
        <v>4</v>
      </c>
      <c r="I199">
        <v>46</v>
      </c>
      <c r="J199">
        <v>105</v>
      </c>
      <c r="K199">
        <v>96</v>
      </c>
      <c r="L199">
        <v>99</v>
      </c>
      <c r="M199">
        <v>75</v>
      </c>
      <c r="N199">
        <v>51</v>
      </c>
      <c r="O199">
        <v>28</v>
      </c>
      <c r="P199">
        <v>16</v>
      </c>
      <c r="Q199">
        <v>13</v>
      </c>
      <c r="R199">
        <v>10</v>
      </c>
      <c r="S199">
        <v>3</v>
      </c>
      <c r="T199">
        <v>1</v>
      </c>
      <c r="U199" s="1">
        <v>0</v>
      </c>
    </row>
    <row r="200" spans="1:21" x14ac:dyDescent="0.3">
      <c r="A200" t="s">
        <v>69</v>
      </c>
      <c r="B200" t="s">
        <v>89</v>
      </c>
      <c r="C200" s="2" t="s">
        <v>21</v>
      </c>
      <c r="D200" s="1">
        <v>5187</v>
      </c>
      <c r="E200">
        <v>81</v>
      </c>
      <c r="F200">
        <v>64</v>
      </c>
      <c r="G200">
        <v>29</v>
      </c>
      <c r="H200">
        <v>24</v>
      </c>
      <c r="I200">
        <v>625</v>
      </c>
      <c r="J200" s="1">
        <v>1240</v>
      </c>
      <c r="K200" s="1">
        <v>1215</v>
      </c>
      <c r="L200">
        <v>952</v>
      </c>
      <c r="M200">
        <v>467</v>
      </c>
      <c r="N200">
        <v>212</v>
      </c>
      <c r="O200">
        <v>112</v>
      </c>
      <c r="P200">
        <v>80</v>
      </c>
      <c r="Q200">
        <v>50</v>
      </c>
      <c r="R200">
        <v>20</v>
      </c>
      <c r="S200">
        <v>10</v>
      </c>
      <c r="T200">
        <v>4</v>
      </c>
      <c r="U200" s="1">
        <v>2</v>
      </c>
    </row>
    <row r="201" spans="1:21" x14ac:dyDescent="0.3">
      <c r="A201" t="s">
        <v>69</v>
      </c>
      <c r="B201" t="s">
        <v>89</v>
      </c>
      <c r="C201" s="2" t="s">
        <v>24</v>
      </c>
      <c r="D201" s="1">
        <v>4347</v>
      </c>
      <c r="E201">
        <v>44</v>
      </c>
      <c r="F201">
        <v>31</v>
      </c>
      <c r="G201">
        <v>16</v>
      </c>
      <c r="H201">
        <v>7</v>
      </c>
      <c r="I201">
        <v>561</v>
      </c>
      <c r="J201" s="1">
        <v>1112</v>
      </c>
      <c r="K201" s="1">
        <v>1070</v>
      </c>
      <c r="L201">
        <v>817</v>
      </c>
      <c r="M201">
        <v>386</v>
      </c>
      <c r="N201">
        <v>155</v>
      </c>
      <c r="O201">
        <v>76</v>
      </c>
      <c r="P201">
        <v>35</v>
      </c>
      <c r="Q201">
        <v>20</v>
      </c>
      <c r="R201">
        <v>6</v>
      </c>
      <c r="S201">
        <v>7</v>
      </c>
      <c r="T201">
        <v>3</v>
      </c>
      <c r="U201" s="1">
        <v>1</v>
      </c>
    </row>
    <row r="202" spans="1:21" x14ac:dyDescent="0.3">
      <c r="A202" t="s">
        <v>69</v>
      </c>
      <c r="B202" t="s">
        <v>89</v>
      </c>
      <c r="C202" s="2" t="s">
        <v>25</v>
      </c>
      <c r="D202">
        <v>840</v>
      </c>
      <c r="E202">
        <v>37</v>
      </c>
      <c r="F202">
        <v>33</v>
      </c>
      <c r="G202">
        <v>13</v>
      </c>
      <c r="H202">
        <v>17</v>
      </c>
      <c r="I202">
        <v>64</v>
      </c>
      <c r="J202">
        <v>128</v>
      </c>
      <c r="K202">
        <v>145</v>
      </c>
      <c r="L202">
        <v>135</v>
      </c>
      <c r="M202">
        <v>81</v>
      </c>
      <c r="N202">
        <v>57</v>
      </c>
      <c r="O202">
        <v>36</v>
      </c>
      <c r="P202">
        <v>45</v>
      </c>
      <c r="Q202">
        <v>30</v>
      </c>
      <c r="R202">
        <v>14</v>
      </c>
      <c r="S202">
        <v>3</v>
      </c>
      <c r="T202">
        <v>1</v>
      </c>
      <c r="U202" s="1">
        <v>1</v>
      </c>
    </row>
    <row r="203" spans="1:21" x14ac:dyDescent="0.3">
      <c r="A203" t="s">
        <v>69</v>
      </c>
      <c r="B203" t="s">
        <v>90</v>
      </c>
      <c r="C203" s="2" t="s">
        <v>21</v>
      </c>
      <c r="D203">
        <v>563</v>
      </c>
      <c r="E203">
        <v>3</v>
      </c>
      <c r="F203">
        <v>2</v>
      </c>
      <c r="G203">
        <v>0</v>
      </c>
      <c r="H203">
        <v>7</v>
      </c>
      <c r="I203">
        <v>39</v>
      </c>
      <c r="J203">
        <v>109</v>
      </c>
      <c r="K203">
        <v>120</v>
      </c>
      <c r="L203">
        <v>96</v>
      </c>
      <c r="M203">
        <v>70</v>
      </c>
      <c r="N203">
        <v>47</v>
      </c>
      <c r="O203">
        <v>20</v>
      </c>
      <c r="P203">
        <v>24</v>
      </c>
      <c r="Q203">
        <v>13</v>
      </c>
      <c r="R203">
        <v>7</v>
      </c>
      <c r="S203">
        <v>1</v>
      </c>
      <c r="T203">
        <v>0</v>
      </c>
      <c r="U203" s="1">
        <v>5</v>
      </c>
    </row>
    <row r="204" spans="1:21" x14ac:dyDescent="0.3">
      <c r="A204" t="s">
        <v>69</v>
      </c>
      <c r="B204" t="s">
        <v>90</v>
      </c>
      <c r="C204" s="2" t="s">
        <v>24</v>
      </c>
      <c r="D204">
        <v>315</v>
      </c>
      <c r="E204">
        <v>1</v>
      </c>
      <c r="F204">
        <v>1</v>
      </c>
      <c r="G204">
        <v>0</v>
      </c>
      <c r="H204">
        <v>3</v>
      </c>
      <c r="I204">
        <v>23</v>
      </c>
      <c r="J204">
        <v>69</v>
      </c>
      <c r="K204">
        <v>87</v>
      </c>
      <c r="L204">
        <v>59</v>
      </c>
      <c r="M204">
        <v>38</v>
      </c>
      <c r="N204">
        <v>14</v>
      </c>
      <c r="O204">
        <v>6</v>
      </c>
      <c r="P204">
        <v>5</v>
      </c>
      <c r="Q204">
        <v>4</v>
      </c>
      <c r="R204">
        <v>1</v>
      </c>
      <c r="S204">
        <v>1</v>
      </c>
      <c r="T204">
        <v>0</v>
      </c>
      <c r="U204" s="1">
        <v>3</v>
      </c>
    </row>
    <row r="205" spans="1:21" x14ac:dyDescent="0.3">
      <c r="A205" t="s">
        <v>69</v>
      </c>
      <c r="B205" t="s">
        <v>90</v>
      </c>
      <c r="C205" s="2" t="s">
        <v>25</v>
      </c>
      <c r="D205">
        <v>248</v>
      </c>
      <c r="E205">
        <v>2</v>
      </c>
      <c r="F205">
        <v>1</v>
      </c>
      <c r="G205">
        <v>0</v>
      </c>
      <c r="H205">
        <v>4</v>
      </c>
      <c r="I205">
        <v>16</v>
      </c>
      <c r="J205">
        <v>40</v>
      </c>
      <c r="K205">
        <v>33</v>
      </c>
      <c r="L205">
        <v>37</v>
      </c>
      <c r="M205">
        <v>32</v>
      </c>
      <c r="N205">
        <v>33</v>
      </c>
      <c r="O205">
        <v>14</v>
      </c>
      <c r="P205">
        <v>19</v>
      </c>
      <c r="Q205">
        <v>9</v>
      </c>
      <c r="R205">
        <v>6</v>
      </c>
      <c r="S205">
        <v>0</v>
      </c>
      <c r="T205">
        <v>0</v>
      </c>
      <c r="U205" s="1">
        <v>2</v>
      </c>
    </row>
    <row r="206" spans="1:21" x14ac:dyDescent="0.3">
      <c r="A206" t="s">
        <v>69</v>
      </c>
      <c r="B206" t="s">
        <v>91</v>
      </c>
      <c r="C206" s="2" t="s">
        <v>21</v>
      </c>
      <c r="D206" s="1">
        <v>1095</v>
      </c>
      <c r="E206">
        <v>6</v>
      </c>
      <c r="F206">
        <v>6</v>
      </c>
      <c r="G206">
        <v>3</v>
      </c>
      <c r="H206">
        <v>2</v>
      </c>
      <c r="I206">
        <v>77</v>
      </c>
      <c r="J206">
        <v>247</v>
      </c>
      <c r="K206">
        <v>279</v>
      </c>
      <c r="L206">
        <v>217</v>
      </c>
      <c r="M206">
        <v>107</v>
      </c>
      <c r="N206">
        <v>61</v>
      </c>
      <c r="O206">
        <v>33</v>
      </c>
      <c r="P206">
        <v>32</v>
      </c>
      <c r="Q206">
        <v>14</v>
      </c>
      <c r="R206">
        <v>6</v>
      </c>
      <c r="S206">
        <v>4</v>
      </c>
      <c r="T206">
        <v>0</v>
      </c>
      <c r="U206" s="1">
        <v>1</v>
      </c>
    </row>
    <row r="207" spans="1:21" x14ac:dyDescent="0.3">
      <c r="A207" t="s">
        <v>69</v>
      </c>
      <c r="B207" t="s">
        <v>91</v>
      </c>
      <c r="C207" s="2" t="s">
        <v>24</v>
      </c>
      <c r="D207">
        <v>648</v>
      </c>
      <c r="E207">
        <v>3</v>
      </c>
      <c r="F207">
        <v>3</v>
      </c>
      <c r="G207">
        <v>2</v>
      </c>
      <c r="H207">
        <v>0</v>
      </c>
      <c r="I207">
        <v>35</v>
      </c>
      <c r="J207">
        <v>147</v>
      </c>
      <c r="K207">
        <v>190</v>
      </c>
      <c r="L207">
        <v>144</v>
      </c>
      <c r="M207">
        <v>69</v>
      </c>
      <c r="N207">
        <v>24</v>
      </c>
      <c r="O207">
        <v>16</v>
      </c>
      <c r="P207">
        <v>7</v>
      </c>
      <c r="Q207">
        <v>3</v>
      </c>
      <c r="R207">
        <v>2</v>
      </c>
      <c r="S207">
        <v>3</v>
      </c>
      <c r="T207">
        <v>0</v>
      </c>
      <c r="U207" s="1">
        <v>0</v>
      </c>
    </row>
    <row r="208" spans="1:21" x14ac:dyDescent="0.3">
      <c r="A208" t="s">
        <v>69</v>
      </c>
      <c r="B208" t="s">
        <v>91</v>
      </c>
      <c r="C208" s="2" t="s">
        <v>25</v>
      </c>
      <c r="D208">
        <v>447</v>
      </c>
      <c r="E208">
        <v>3</v>
      </c>
      <c r="F208">
        <v>3</v>
      </c>
      <c r="G208">
        <v>1</v>
      </c>
      <c r="H208">
        <v>2</v>
      </c>
      <c r="I208">
        <v>42</v>
      </c>
      <c r="J208">
        <v>100</v>
      </c>
      <c r="K208">
        <v>89</v>
      </c>
      <c r="L208">
        <v>73</v>
      </c>
      <c r="M208">
        <v>38</v>
      </c>
      <c r="N208">
        <v>37</v>
      </c>
      <c r="O208">
        <v>17</v>
      </c>
      <c r="P208">
        <v>25</v>
      </c>
      <c r="Q208">
        <v>11</v>
      </c>
      <c r="R208">
        <v>4</v>
      </c>
      <c r="S208">
        <v>1</v>
      </c>
      <c r="T208">
        <v>0</v>
      </c>
      <c r="U208" s="1">
        <v>1</v>
      </c>
    </row>
    <row r="209" spans="1:21" x14ac:dyDescent="0.3">
      <c r="A209" t="s">
        <v>92</v>
      </c>
      <c r="B209" t="s">
        <v>21</v>
      </c>
      <c r="C209" s="2" t="s">
        <v>21</v>
      </c>
      <c r="D209" s="1">
        <v>88013</v>
      </c>
      <c r="E209" s="1">
        <v>1598</v>
      </c>
      <c r="F209" s="1">
        <v>1224</v>
      </c>
      <c r="G209">
        <v>647</v>
      </c>
      <c r="H209" s="1">
        <v>3691</v>
      </c>
      <c r="I209" s="1">
        <v>17674</v>
      </c>
      <c r="J209" s="1">
        <v>17950</v>
      </c>
      <c r="K209" s="1">
        <v>15630</v>
      </c>
      <c r="L209" s="1">
        <v>12002</v>
      </c>
      <c r="M209" s="1">
        <v>7205</v>
      </c>
      <c r="N209" s="1">
        <v>3829</v>
      </c>
      <c r="O209" s="1">
        <v>2512</v>
      </c>
      <c r="P209" s="1">
        <v>2021</v>
      </c>
      <c r="Q209" s="1">
        <v>1193</v>
      </c>
      <c r="R209">
        <v>518</v>
      </c>
      <c r="S209">
        <v>187</v>
      </c>
      <c r="T209">
        <v>78</v>
      </c>
      <c r="U209" s="1">
        <v>54</v>
      </c>
    </row>
    <row r="210" spans="1:21" x14ac:dyDescent="0.3">
      <c r="A210" t="s">
        <v>92</v>
      </c>
      <c r="B210" t="s">
        <v>21</v>
      </c>
      <c r="C210" s="2" t="s">
        <v>24</v>
      </c>
      <c r="D210" s="1">
        <f>D213+D216+D219+D222+D225+D228+D231+D234+D237+D240+D243+D246+D249+D252+D255+D258+D261+D264+D267+D270+D273+D276+D279</f>
        <v>57005</v>
      </c>
      <c r="E210" s="1">
        <f t="shared" ref="E210:U210" si="6">E213+E216+E219+E222+E225+E228+E231+E234+E237+E240+E243+E246+E249+E252+E255+E258+E261+E264+E267+E270+E273+E276+E279</f>
        <v>774</v>
      </c>
      <c r="F210" s="1">
        <f t="shared" si="6"/>
        <v>623</v>
      </c>
      <c r="G210" s="1">
        <f t="shared" si="6"/>
        <v>293</v>
      </c>
      <c r="H210" s="1">
        <f t="shared" si="6"/>
        <v>2131</v>
      </c>
      <c r="I210" s="1">
        <f t="shared" si="6"/>
        <v>11080</v>
      </c>
      <c r="J210" s="1">
        <f t="shared" si="6"/>
        <v>12282</v>
      </c>
      <c r="K210" s="1">
        <f t="shared" si="6"/>
        <v>11451</v>
      </c>
      <c r="L210" s="1">
        <f t="shared" si="6"/>
        <v>8456</v>
      </c>
      <c r="M210" s="1">
        <f t="shared" si="6"/>
        <v>4705</v>
      </c>
      <c r="N210" s="1">
        <f t="shared" si="6"/>
        <v>2148</v>
      </c>
      <c r="O210" s="1">
        <f t="shared" si="6"/>
        <v>1247</v>
      </c>
      <c r="P210" s="1">
        <f t="shared" si="6"/>
        <v>893</v>
      </c>
      <c r="Q210" s="1">
        <f t="shared" si="6"/>
        <v>519</v>
      </c>
      <c r="R210" s="1">
        <f t="shared" si="6"/>
        <v>234</v>
      </c>
      <c r="S210" s="1">
        <f t="shared" si="6"/>
        <v>98</v>
      </c>
      <c r="T210" s="1">
        <f t="shared" si="6"/>
        <v>47</v>
      </c>
      <c r="U210" s="1">
        <f t="shared" si="6"/>
        <v>24</v>
      </c>
    </row>
    <row r="211" spans="1:21" x14ac:dyDescent="0.3">
      <c r="A211" t="s">
        <v>92</v>
      </c>
      <c r="B211" t="s">
        <v>21</v>
      </c>
      <c r="C211" s="2" t="s">
        <v>25</v>
      </c>
      <c r="D211" s="1">
        <f>D214+D217+D220+D223+D226+D229+D232+D235+D238+D241+D244+D247+D250+D253+D256+D259+D262+D265+D268+D271+D274+D277+D280</f>
        <v>31008</v>
      </c>
      <c r="E211" s="1">
        <f t="shared" ref="E211:U211" si="7">E214+E217+E220+E223+E226+E229+E232+E235+E238+E241+E244+E247+E250+E253+E256+E259+E262+E265+E268+E271+E274+E277+E280</f>
        <v>824</v>
      </c>
      <c r="F211" s="1">
        <f t="shared" si="7"/>
        <v>601</v>
      </c>
      <c r="G211" s="1">
        <f t="shared" si="7"/>
        <v>354</v>
      </c>
      <c r="H211" s="1">
        <f t="shared" si="7"/>
        <v>1560</v>
      </c>
      <c r="I211" s="1">
        <f t="shared" si="7"/>
        <v>6594</v>
      </c>
      <c r="J211" s="1">
        <f t="shared" si="7"/>
        <v>5668</v>
      </c>
      <c r="K211" s="1">
        <f t="shared" si="7"/>
        <v>4179</v>
      </c>
      <c r="L211" s="1">
        <f t="shared" si="7"/>
        <v>3546</v>
      </c>
      <c r="M211" s="1">
        <f t="shared" si="7"/>
        <v>2500</v>
      </c>
      <c r="N211" s="1">
        <f t="shared" si="7"/>
        <v>1681</v>
      </c>
      <c r="O211" s="1">
        <f t="shared" si="7"/>
        <v>1265</v>
      </c>
      <c r="P211" s="1">
        <f t="shared" si="7"/>
        <v>1128</v>
      </c>
      <c r="Q211" s="1">
        <f t="shared" si="7"/>
        <v>674</v>
      </c>
      <c r="R211" s="1">
        <f t="shared" si="7"/>
        <v>284</v>
      </c>
      <c r="S211" s="1">
        <f t="shared" si="7"/>
        <v>89</v>
      </c>
      <c r="T211" s="1">
        <f t="shared" si="7"/>
        <v>31</v>
      </c>
      <c r="U211" s="1">
        <f t="shared" si="7"/>
        <v>30</v>
      </c>
    </row>
    <row r="212" spans="1:21" x14ac:dyDescent="0.3">
      <c r="A212" t="s">
        <v>92</v>
      </c>
      <c r="B212" t="s">
        <v>93</v>
      </c>
      <c r="C212" s="2" t="s">
        <v>21</v>
      </c>
      <c r="D212" s="1">
        <v>22346</v>
      </c>
      <c r="E212">
        <v>430</v>
      </c>
      <c r="F212">
        <v>237</v>
      </c>
      <c r="G212">
        <v>88</v>
      </c>
      <c r="H212" s="1">
        <v>2093</v>
      </c>
      <c r="I212" s="1">
        <v>8885</v>
      </c>
      <c r="J212" s="1">
        <v>4868</v>
      </c>
      <c r="K212" s="1">
        <v>2435</v>
      </c>
      <c r="L212" s="1">
        <v>1438</v>
      </c>
      <c r="M212">
        <v>825</v>
      </c>
      <c r="N212">
        <v>405</v>
      </c>
      <c r="O212">
        <v>238</v>
      </c>
      <c r="P212">
        <v>187</v>
      </c>
      <c r="Q212">
        <v>127</v>
      </c>
      <c r="R212">
        <v>64</v>
      </c>
      <c r="S212">
        <v>18</v>
      </c>
      <c r="T212">
        <v>3</v>
      </c>
      <c r="U212" s="1">
        <v>5</v>
      </c>
    </row>
    <row r="213" spans="1:21" x14ac:dyDescent="0.3">
      <c r="A213" t="s">
        <v>92</v>
      </c>
      <c r="B213" t="s">
        <v>93</v>
      </c>
      <c r="C213" s="2" t="s">
        <v>24</v>
      </c>
      <c r="D213" s="1">
        <v>13768</v>
      </c>
      <c r="E213">
        <v>202</v>
      </c>
      <c r="F213">
        <v>117</v>
      </c>
      <c r="G213">
        <v>37</v>
      </c>
      <c r="H213" s="1">
        <v>1242</v>
      </c>
      <c r="I213" s="1">
        <v>5334</v>
      </c>
      <c r="J213" s="1">
        <v>3045</v>
      </c>
      <c r="K213" s="1">
        <v>1694</v>
      </c>
      <c r="L213">
        <v>974</v>
      </c>
      <c r="M213">
        <v>570</v>
      </c>
      <c r="N213">
        <v>255</v>
      </c>
      <c r="O213">
        <v>121</v>
      </c>
      <c r="P213">
        <v>76</v>
      </c>
      <c r="Q213">
        <v>63</v>
      </c>
      <c r="R213">
        <v>29</v>
      </c>
      <c r="S213">
        <v>7</v>
      </c>
      <c r="T213">
        <v>0</v>
      </c>
      <c r="U213" s="1">
        <v>2</v>
      </c>
    </row>
    <row r="214" spans="1:21" x14ac:dyDescent="0.3">
      <c r="A214" t="s">
        <v>92</v>
      </c>
      <c r="B214" t="s">
        <v>93</v>
      </c>
      <c r="C214" s="2" t="s">
        <v>25</v>
      </c>
      <c r="D214" s="1">
        <v>8578</v>
      </c>
      <c r="E214">
        <v>228</v>
      </c>
      <c r="F214">
        <v>120</v>
      </c>
      <c r="G214">
        <v>51</v>
      </c>
      <c r="H214">
        <v>851</v>
      </c>
      <c r="I214" s="1">
        <v>3551</v>
      </c>
      <c r="J214" s="1">
        <v>1823</v>
      </c>
      <c r="K214">
        <v>741</v>
      </c>
      <c r="L214">
        <v>464</v>
      </c>
      <c r="M214">
        <v>255</v>
      </c>
      <c r="N214">
        <v>150</v>
      </c>
      <c r="O214">
        <v>117</v>
      </c>
      <c r="P214">
        <v>111</v>
      </c>
      <c r="Q214">
        <v>64</v>
      </c>
      <c r="R214">
        <v>35</v>
      </c>
      <c r="S214">
        <v>11</v>
      </c>
      <c r="T214">
        <v>3</v>
      </c>
      <c r="U214" s="1">
        <v>3</v>
      </c>
    </row>
    <row r="215" spans="1:21" x14ac:dyDescent="0.3">
      <c r="A215" t="s">
        <v>92</v>
      </c>
      <c r="B215" t="s">
        <v>94</v>
      </c>
      <c r="C215" s="2" t="s">
        <v>21</v>
      </c>
      <c r="D215" s="1">
        <v>15621</v>
      </c>
      <c r="E215">
        <v>436</v>
      </c>
      <c r="F215">
        <v>421</v>
      </c>
      <c r="G215">
        <v>220</v>
      </c>
      <c r="H215">
        <v>448</v>
      </c>
      <c r="I215" s="1">
        <v>2564</v>
      </c>
      <c r="J215" s="1">
        <v>3019</v>
      </c>
      <c r="K215" s="1">
        <v>2859</v>
      </c>
      <c r="L215" s="1">
        <v>2199</v>
      </c>
      <c r="M215" s="1">
        <v>1497</v>
      </c>
      <c r="N215">
        <v>747</v>
      </c>
      <c r="O215">
        <v>511</v>
      </c>
      <c r="P215">
        <v>403</v>
      </c>
      <c r="Q215">
        <v>191</v>
      </c>
      <c r="R215">
        <v>71</v>
      </c>
      <c r="S215">
        <v>19</v>
      </c>
      <c r="T215">
        <v>8</v>
      </c>
      <c r="U215" s="1">
        <v>8</v>
      </c>
    </row>
    <row r="216" spans="1:21" x14ac:dyDescent="0.3">
      <c r="A216" t="s">
        <v>92</v>
      </c>
      <c r="B216" t="s">
        <v>94</v>
      </c>
      <c r="C216" s="2" t="s">
        <v>24</v>
      </c>
      <c r="D216" s="1">
        <v>10648</v>
      </c>
      <c r="E216">
        <v>206</v>
      </c>
      <c r="F216">
        <v>229</v>
      </c>
      <c r="G216">
        <v>115</v>
      </c>
      <c r="H216">
        <v>254</v>
      </c>
      <c r="I216" s="1">
        <v>1720</v>
      </c>
      <c r="J216" s="1">
        <v>2154</v>
      </c>
      <c r="K216" s="1">
        <v>2175</v>
      </c>
      <c r="L216" s="1">
        <v>1655</v>
      </c>
      <c r="M216" s="1">
        <v>1065</v>
      </c>
      <c r="N216">
        <v>459</v>
      </c>
      <c r="O216">
        <v>277</v>
      </c>
      <c r="P216">
        <v>202</v>
      </c>
      <c r="Q216">
        <v>82</v>
      </c>
      <c r="R216">
        <v>36</v>
      </c>
      <c r="S216">
        <v>9</v>
      </c>
      <c r="T216">
        <v>7</v>
      </c>
      <c r="U216" s="1">
        <v>3</v>
      </c>
    </row>
    <row r="217" spans="1:21" x14ac:dyDescent="0.3">
      <c r="A217" t="s">
        <v>92</v>
      </c>
      <c r="B217" t="s">
        <v>94</v>
      </c>
      <c r="C217" s="2" t="s">
        <v>25</v>
      </c>
      <c r="D217" s="1">
        <v>4973</v>
      </c>
      <c r="E217">
        <v>230</v>
      </c>
      <c r="F217">
        <v>192</v>
      </c>
      <c r="G217">
        <v>105</v>
      </c>
      <c r="H217">
        <v>194</v>
      </c>
      <c r="I217">
        <v>844</v>
      </c>
      <c r="J217">
        <v>865</v>
      </c>
      <c r="K217">
        <v>684</v>
      </c>
      <c r="L217">
        <v>544</v>
      </c>
      <c r="M217">
        <v>432</v>
      </c>
      <c r="N217">
        <v>288</v>
      </c>
      <c r="O217">
        <v>234</v>
      </c>
      <c r="P217">
        <v>201</v>
      </c>
      <c r="Q217">
        <v>109</v>
      </c>
      <c r="R217">
        <v>35</v>
      </c>
      <c r="S217">
        <v>10</v>
      </c>
      <c r="T217">
        <v>1</v>
      </c>
      <c r="U217" s="1">
        <v>5</v>
      </c>
    </row>
    <row r="218" spans="1:21" x14ac:dyDescent="0.3">
      <c r="A218" t="s">
        <v>92</v>
      </c>
      <c r="B218" t="s">
        <v>95</v>
      </c>
      <c r="C218" s="2" t="s">
        <v>21</v>
      </c>
      <c r="D218" s="1">
        <v>2630</v>
      </c>
      <c r="E218">
        <v>33</v>
      </c>
      <c r="F218">
        <v>15</v>
      </c>
      <c r="G218">
        <v>11</v>
      </c>
      <c r="H218">
        <v>12</v>
      </c>
      <c r="I218">
        <v>291</v>
      </c>
      <c r="J218">
        <v>666</v>
      </c>
      <c r="K218">
        <v>580</v>
      </c>
      <c r="L218">
        <v>476</v>
      </c>
      <c r="M218">
        <v>279</v>
      </c>
      <c r="N218">
        <v>121</v>
      </c>
      <c r="O218">
        <v>62</v>
      </c>
      <c r="P218">
        <v>47</v>
      </c>
      <c r="Q218">
        <v>27</v>
      </c>
      <c r="R218">
        <v>7</v>
      </c>
      <c r="S218">
        <v>3</v>
      </c>
      <c r="T218">
        <v>0</v>
      </c>
      <c r="U218" s="1">
        <v>0</v>
      </c>
    </row>
    <row r="219" spans="1:21" x14ac:dyDescent="0.3">
      <c r="A219" t="s">
        <v>92</v>
      </c>
      <c r="B219" t="s">
        <v>95</v>
      </c>
      <c r="C219" s="2" t="s">
        <v>24</v>
      </c>
      <c r="D219" s="1">
        <v>1982</v>
      </c>
      <c r="E219">
        <v>19</v>
      </c>
      <c r="F219">
        <v>7</v>
      </c>
      <c r="G219">
        <v>5</v>
      </c>
      <c r="H219">
        <v>7</v>
      </c>
      <c r="I219">
        <v>263</v>
      </c>
      <c r="J219">
        <v>521</v>
      </c>
      <c r="K219">
        <v>454</v>
      </c>
      <c r="L219">
        <v>346</v>
      </c>
      <c r="M219">
        <v>207</v>
      </c>
      <c r="N219">
        <v>79</v>
      </c>
      <c r="O219">
        <v>37</v>
      </c>
      <c r="P219">
        <v>23</v>
      </c>
      <c r="Q219">
        <v>13</v>
      </c>
      <c r="R219">
        <v>1</v>
      </c>
      <c r="S219">
        <v>0</v>
      </c>
      <c r="T219">
        <v>0</v>
      </c>
      <c r="U219" s="1">
        <v>0</v>
      </c>
    </row>
    <row r="220" spans="1:21" x14ac:dyDescent="0.3">
      <c r="A220" t="s">
        <v>92</v>
      </c>
      <c r="B220" t="s">
        <v>95</v>
      </c>
      <c r="C220" s="2" t="s">
        <v>25</v>
      </c>
      <c r="D220">
        <v>648</v>
      </c>
      <c r="E220">
        <v>14</v>
      </c>
      <c r="F220">
        <v>8</v>
      </c>
      <c r="G220">
        <v>6</v>
      </c>
      <c r="H220">
        <v>5</v>
      </c>
      <c r="I220">
        <v>28</v>
      </c>
      <c r="J220">
        <v>145</v>
      </c>
      <c r="K220">
        <v>126</v>
      </c>
      <c r="L220">
        <v>130</v>
      </c>
      <c r="M220">
        <v>72</v>
      </c>
      <c r="N220">
        <v>42</v>
      </c>
      <c r="O220">
        <v>25</v>
      </c>
      <c r="P220">
        <v>24</v>
      </c>
      <c r="Q220">
        <v>14</v>
      </c>
      <c r="R220">
        <v>6</v>
      </c>
      <c r="S220">
        <v>3</v>
      </c>
      <c r="T220">
        <v>0</v>
      </c>
      <c r="U220" s="1">
        <v>0</v>
      </c>
    </row>
    <row r="221" spans="1:21" x14ac:dyDescent="0.3">
      <c r="A221" t="s">
        <v>92</v>
      </c>
      <c r="B221" t="s">
        <v>96</v>
      </c>
      <c r="C221" s="2" t="s">
        <v>21</v>
      </c>
      <c r="D221" s="1">
        <v>7618</v>
      </c>
      <c r="E221">
        <v>142</v>
      </c>
      <c r="F221">
        <v>123</v>
      </c>
      <c r="G221">
        <v>55</v>
      </c>
      <c r="H221">
        <v>257</v>
      </c>
      <c r="I221" s="1">
        <v>1409</v>
      </c>
      <c r="J221" s="1">
        <v>1365</v>
      </c>
      <c r="K221" s="1">
        <v>1302</v>
      </c>
      <c r="L221" s="1">
        <v>1119</v>
      </c>
      <c r="M221">
        <v>666</v>
      </c>
      <c r="N221">
        <v>422</v>
      </c>
      <c r="O221">
        <v>295</v>
      </c>
      <c r="P221">
        <v>254</v>
      </c>
      <c r="Q221">
        <v>136</v>
      </c>
      <c r="R221">
        <v>48</v>
      </c>
      <c r="S221">
        <v>18</v>
      </c>
      <c r="T221">
        <v>5</v>
      </c>
      <c r="U221" s="1">
        <v>2</v>
      </c>
    </row>
    <row r="222" spans="1:21" x14ac:dyDescent="0.3">
      <c r="A222" t="s">
        <v>92</v>
      </c>
      <c r="B222" t="s">
        <v>96</v>
      </c>
      <c r="C222" s="2" t="s">
        <v>24</v>
      </c>
      <c r="D222" s="1">
        <v>4370</v>
      </c>
      <c r="E222">
        <v>67</v>
      </c>
      <c r="F222">
        <v>52</v>
      </c>
      <c r="G222">
        <v>20</v>
      </c>
      <c r="H222">
        <v>150</v>
      </c>
      <c r="I222">
        <v>719</v>
      </c>
      <c r="J222">
        <v>877</v>
      </c>
      <c r="K222">
        <v>888</v>
      </c>
      <c r="L222">
        <v>710</v>
      </c>
      <c r="M222">
        <v>351</v>
      </c>
      <c r="N222">
        <v>194</v>
      </c>
      <c r="O222">
        <v>137</v>
      </c>
      <c r="P222">
        <v>120</v>
      </c>
      <c r="Q222">
        <v>56</v>
      </c>
      <c r="R222">
        <v>19</v>
      </c>
      <c r="S222">
        <v>6</v>
      </c>
      <c r="T222">
        <v>4</v>
      </c>
      <c r="U222" s="1">
        <v>0</v>
      </c>
    </row>
    <row r="223" spans="1:21" x14ac:dyDescent="0.3">
      <c r="A223" t="s">
        <v>92</v>
      </c>
      <c r="B223" t="s">
        <v>96</v>
      </c>
      <c r="C223" s="2" t="s">
        <v>25</v>
      </c>
      <c r="D223" s="1">
        <v>3248</v>
      </c>
      <c r="E223">
        <v>75</v>
      </c>
      <c r="F223">
        <v>71</v>
      </c>
      <c r="G223">
        <v>35</v>
      </c>
      <c r="H223">
        <v>107</v>
      </c>
      <c r="I223">
        <v>690</v>
      </c>
      <c r="J223">
        <v>488</v>
      </c>
      <c r="K223">
        <v>414</v>
      </c>
      <c r="L223">
        <v>409</v>
      </c>
      <c r="M223">
        <v>315</v>
      </c>
      <c r="N223">
        <v>228</v>
      </c>
      <c r="O223">
        <v>158</v>
      </c>
      <c r="P223">
        <v>134</v>
      </c>
      <c r="Q223">
        <v>80</v>
      </c>
      <c r="R223">
        <v>29</v>
      </c>
      <c r="S223">
        <v>12</v>
      </c>
      <c r="T223">
        <v>1</v>
      </c>
      <c r="U223" s="1">
        <v>2</v>
      </c>
    </row>
    <row r="224" spans="1:21" x14ac:dyDescent="0.3">
      <c r="A224" t="s">
        <v>92</v>
      </c>
      <c r="B224" t="s">
        <v>97</v>
      </c>
      <c r="C224" s="2" t="s">
        <v>21</v>
      </c>
      <c r="D224" s="1">
        <v>4256</v>
      </c>
      <c r="E224">
        <v>52</v>
      </c>
      <c r="F224">
        <v>51</v>
      </c>
      <c r="G224">
        <v>34</v>
      </c>
      <c r="H224">
        <v>240</v>
      </c>
      <c r="I224">
        <v>943</v>
      </c>
      <c r="J224">
        <v>890</v>
      </c>
      <c r="K224">
        <v>771</v>
      </c>
      <c r="L224">
        <v>575</v>
      </c>
      <c r="M224">
        <v>262</v>
      </c>
      <c r="N224">
        <v>140</v>
      </c>
      <c r="O224">
        <v>112</v>
      </c>
      <c r="P224">
        <v>86</v>
      </c>
      <c r="Q224">
        <v>58</v>
      </c>
      <c r="R224">
        <v>26</v>
      </c>
      <c r="S224">
        <v>8</v>
      </c>
      <c r="T224">
        <v>4</v>
      </c>
      <c r="U224" s="1">
        <v>4</v>
      </c>
    </row>
    <row r="225" spans="1:21" x14ac:dyDescent="0.3">
      <c r="A225" t="s">
        <v>92</v>
      </c>
      <c r="B225" t="s">
        <v>97</v>
      </c>
      <c r="C225" s="2" t="s">
        <v>24</v>
      </c>
      <c r="D225" s="1">
        <v>2803</v>
      </c>
      <c r="E225">
        <v>27</v>
      </c>
      <c r="F225">
        <v>21</v>
      </c>
      <c r="G225">
        <v>15</v>
      </c>
      <c r="H225">
        <v>136</v>
      </c>
      <c r="I225">
        <v>622</v>
      </c>
      <c r="J225">
        <v>597</v>
      </c>
      <c r="K225">
        <v>579</v>
      </c>
      <c r="L225">
        <v>426</v>
      </c>
      <c r="M225">
        <v>171</v>
      </c>
      <c r="N225">
        <v>72</v>
      </c>
      <c r="O225">
        <v>49</v>
      </c>
      <c r="P225">
        <v>42</v>
      </c>
      <c r="Q225">
        <v>26</v>
      </c>
      <c r="R225">
        <v>11</v>
      </c>
      <c r="S225">
        <v>5</v>
      </c>
      <c r="T225">
        <v>1</v>
      </c>
      <c r="U225" s="1">
        <v>3</v>
      </c>
    </row>
    <row r="226" spans="1:21" x14ac:dyDescent="0.3">
      <c r="A226" t="s">
        <v>92</v>
      </c>
      <c r="B226" t="s">
        <v>97</v>
      </c>
      <c r="C226" s="2" t="s">
        <v>25</v>
      </c>
      <c r="D226" s="1">
        <v>1453</v>
      </c>
      <c r="E226">
        <v>25</v>
      </c>
      <c r="F226">
        <v>30</v>
      </c>
      <c r="G226">
        <v>19</v>
      </c>
      <c r="H226">
        <v>104</v>
      </c>
      <c r="I226">
        <v>321</v>
      </c>
      <c r="J226">
        <v>293</v>
      </c>
      <c r="K226">
        <v>192</v>
      </c>
      <c r="L226">
        <v>149</v>
      </c>
      <c r="M226">
        <v>91</v>
      </c>
      <c r="N226">
        <v>68</v>
      </c>
      <c r="O226">
        <v>63</v>
      </c>
      <c r="P226">
        <v>44</v>
      </c>
      <c r="Q226">
        <v>32</v>
      </c>
      <c r="R226">
        <v>15</v>
      </c>
      <c r="S226">
        <v>3</v>
      </c>
      <c r="T226">
        <v>3</v>
      </c>
      <c r="U226" s="1">
        <v>1</v>
      </c>
    </row>
    <row r="227" spans="1:21" x14ac:dyDescent="0.3">
      <c r="A227" t="s">
        <v>92</v>
      </c>
      <c r="B227" t="s">
        <v>98</v>
      </c>
      <c r="C227" s="2" t="s">
        <v>21</v>
      </c>
      <c r="D227" s="1">
        <v>1216</v>
      </c>
      <c r="E227">
        <v>11</v>
      </c>
      <c r="F227">
        <v>8</v>
      </c>
      <c r="G227">
        <v>5</v>
      </c>
      <c r="H227">
        <v>21</v>
      </c>
      <c r="I227">
        <v>119</v>
      </c>
      <c r="J227">
        <v>251</v>
      </c>
      <c r="K227">
        <v>230</v>
      </c>
      <c r="L227">
        <v>189</v>
      </c>
      <c r="M227">
        <v>124</v>
      </c>
      <c r="N227">
        <v>82</v>
      </c>
      <c r="O227">
        <v>68</v>
      </c>
      <c r="P227">
        <v>43</v>
      </c>
      <c r="Q227">
        <v>38</v>
      </c>
      <c r="R227">
        <v>19</v>
      </c>
      <c r="S227">
        <v>6</v>
      </c>
      <c r="T227">
        <v>2</v>
      </c>
      <c r="U227" s="1">
        <v>0</v>
      </c>
    </row>
    <row r="228" spans="1:21" x14ac:dyDescent="0.3">
      <c r="A228" t="s">
        <v>92</v>
      </c>
      <c r="B228" t="s">
        <v>98</v>
      </c>
      <c r="C228" s="2" t="s">
        <v>24</v>
      </c>
      <c r="D228">
        <v>708</v>
      </c>
      <c r="E228">
        <v>6</v>
      </c>
      <c r="F228">
        <v>6</v>
      </c>
      <c r="G228">
        <v>1</v>
      </c>
      <c r="H228">
        <v>11</v>
      </c>
      <c r="I228">
        <v>83</v>
      </c>
      <c r="J228">
        <v>162</v>
      </c>
      <c r="K228">
        <v>154</v>
      </c>
      <c r="L228">
        <v>115</v>
      </c>
      <c r="M228">
        <v>67</v>
      </c>
      <c r="N228">
        <v>36</v>
      </c>
      <c r="O228">
        <v>26</v>
      </c>
      <c r="P228">
        <v>19</v>
      </c>
      <c r="Q228">
        <v>11</v>
      </c>
      <c r="R228">
        <v>7</v>
      </c>
      <c r="S228">
        <v>2</v>
      </c>
      <c r="T228">
        <v>2</v>
      </c>
      <c r="U228" s="1">
        <v>0</v>
      </c>
    </row>
    <row r="229" spans="1:21" x14ac:dyDescent="0.3">
      <c r="A229" t="s">
        <v>92</v>
      </c>
      <c r="B229" t="s">
        <v>98</v>
      </c>
      <c r="C229" s="2" t="s">
        <v>25</v>
      </c>
      <c r="D229">
        <v>508</v>
      </c>
      <c r="E229">
        <v>5</v>
      </c>
      <c r="F229">
        <v>2</v>
      </c>
      <c r="G229">
        <v>4</v>
      </c>
      <c r="H229">
        <v>10</v>
      </c>
      <c r="I229">
        <v>36</v>
      </c>
      <c r="J229">
        <v>89</v>
      </c>
      <c r="K229">
        <v>76</v>
      </c>
      <c r="L229">
        <v>74</v>
      </c>
      <c r="M229">
        <v>57</v>
      </c>
      <c r="N229">
        <v>46</v>
      </c>
      <c r="O229">
        <v>42</v>
      </c>
      <c r="P229">
        <v>24</v>
      </c>
      <c r="Q229">
        <v>27</v>
      </c>
      <c r="R229">
        <v>12</v>
      </c>
      <c r="S229">
        <v>4</v>
      </c>
      <c r="T229">
        <v>0</v>
      </c>
      <c r="U229" s="1">
        <v>0</v>
      </c>
    </row>
    <row r="230" spans="1:21" x14ac:dyDescent="0.3">
      <c r="A230" t="s">
        <v>92</v>
      </c>
      <c r="B230" t="s">
        <v>99</v>
      </c>
      <c r="C230" s="2" t="s">
        <v>21</v>
      </c>
      <c r="D230">
        <v>412</v>
      </c>
      <c r="E230">
        <v>0</v>
      </c>
      <c r="F230">
        <v>2</v>
      </c>
      <c r="G230">
        <v>1</v>
      </c>
      <c r="H230">
        <v>1</v>
      </c>
      <c r="I230">
        <v>25</v>
      </c>
      <c r="J230">
        <v>78</v>
      </c>
      <c r="K230">
        <v>87</v>
      </c>
      <c r="L230">
        <v>59</v>
      </c>
      <c r="M230">
        <v>44</v>
      </c>
      <c r="N230">
        <v>26</v>
      </c>
      <c r="O230">
        <v>30</v>
      </c>
      <c r="P230">
        <v>27</v>
      </c>
      <c r="Q230">
        <v>20</v>
      </c>
      <c r="R230">
        <v>8</v>
      </c>
      <c r="S230">
        <v>3</v>
      </c>
      <c r="T230">
        <v>0</v>
      </c>
      <c r="U230" s="1">
        <v>1</v>
      </c>
    </row>
    <row r="231" spans="1:21" x14ac:dyDescent="0.3">
      <c r="A231" t="s">
        <v>92</v>
      </c>
      <c r="B231" t="s">
        <v>99</v>
      </c>
      <c r="C231" s="2" t="s">
        <v>24</v>
      </c>
      <c r="D231">
        <v>204</v>
      </c>
      <c r="E231">
        <v>0</v>
      </c>
      <c r="F231">
        <v>2</v>
      </c>
      <c r="G231">
        <v>1</v>
      </c>
      <c r="H231">
        <v>1</v>
      </c>
      <c r="I231">
        <v>11</v>
      </c>
      <c r="J231">
        <v>48</v>
      </c>
      <c r="K231">
        <v>56</v>
      </c>
      <c r="L231">
        <v>27</v>
      </c>
      <c r="M231">
        <v>18</v>
      </c>
      <c r="N231">
        <v>11</v>
      </c>
      <c r="O231">
        <v>15</v>
      </c>
      <c r="P231">
        <v>5</v>
      </c>
      <c r="Q231">
        <v>6</v>
      </c>
      <c r="R231">
        <v>2</v>
      </c>
      <c r="S231">
        <v>1</v>
      </c>
      <c r="T231">
        <v>0</v>
      </c>
      <c r="U231" s="1">
        <v>0</v>
      </c>
    </row>
    <row r="232" spans="1:21" x14ac:dyDescent="0.3">
      <c r="A232" t="s">
        <v>92</v>
      </c>
      <c r="B232" t="s">
        <v>99</v>
      </c>
      <c r="C232" s="2" t="s">
        <v>25</v>
      </c>
      <c r="D232">
        <v>208</v>
      </c>
      <c r="E232">
        <v>0</v>
      </c>
      <c r="F232">
        <v>0</v>
      </c>
      <c r="G232">
        <v>0</v>
      </c>
      <c r="H232">
        <v>0</v>
      </c>
      <c r="I232">
        <v>14</v>
      </c>
      <c r="J232">
        <v>30</v>
      </c>
      <c r="K232">
        <v>31</v>
      </c>
      <c r="L232">
        <v>32</v>
      </c>
      <c r="M232">
        <v>26</v>
      </c>
      <c r="N232">
        <v>15</v>
      </c>
      <c r="O232">
        <v>15</v>
      </c>
      <c r="P232">
        <v>22</v>
      </c>
      <c r="Q232">
        <v>14</v>
      </c>
      <c r="R232">
        <v>6</v>
      </c>
      <c r="S232">
        <v>2</v>
      </c>
      <c r="T232">
        <v>0</v>
      </c>
      <c r="U232" s="1">
        <v>1</v>
      </c>
    </row>
    <row r="233" spans="1:21" x14ac:dyDescent="0.3">
      <c r="A233" t="s">
        <v>92</v>
      </c>
      <c r="B233" t="s">
        <v>100</v>
      </c>
      <c r="C233" s="2" t="s">
        <v>21</v>
      </c>
      <c r="D233" s="1">
        <v>2295</v>
      </c>
      <c r="E233">
        <v>24</v>
      </c>
      <c r="F233">
        <v>13</v>
      </c>
      <c r="G233">
        <v>11</v>
      </c>
      <c r="H233">
        <v>21</v>
      </c>
      <c r="I233">
        <v>178</v>
      </c>
      <c r="J233">
        <v>467</v>
      </c>
      <c r="K233">
        <v>513</v>
      </c>
      <c r="L233">
        <v>389</v>
      </c>
      <c r="M233">
        <v>240</v>
      </c>
      <c r="N233">
        <v>178</v>
      </c>
      <c r="O233">
        <v>117</v>
      </c>
      <c r="P233">
        <v>75</v>
      </c>
      <c r="Q233">
        <v>37</v>
      </c>
      <c r="R233">
        <v>12</v>
      </c>
      <c r="S233">
        <v>10</v>
      </c>
      <c r="T233">
        <v>8</v>
      </c>
      <c r="U233" s="1">
        <v>2</v>
      </c>
    </row>
    <row r="234" spans="1:21" x14ac:dyDescent="0.3">
      <c r="A234" t="s">
        <v>92</v>
      </c>
      <c r="B234" t="s">
        <v>100</v>
      </c>
      <c r="C234" s="2" t="s">
        <v>24</v>
      </c>
      <c r="D234" s="1">
        <v>1245</v>
      </c>
      <c r="E234">
        <v>10</v>
      </c>
      <c r="F234">
        <v>9</v>
      </c>
      <c r="G234">
        <v>3</v>
      </c>
      <c r="H234">
        <v>8</v>
      </c>
      <c r="I234">
        <v>96</v>
      </c>
      <c r="J234">
        <v>270</v>
      </c>
      <c r="K234">
        <v>321</v>
      </c>
      <c r="L234">
        <v>218</v>
      </c>
      <c r="M234">
        <v>119</v>
      </c>
      <c r="N234">
        <v>73</v>
      </c>
      <c r="O234">
        <v>54</v>
      </c>
      <c r="P234">
        <v>27</v>
      </c>
      <c r="Q234">
        <v>19</v>
      </c>
      <c r="R234">
        <v>5</v>
      </c>
      <c r="S234">
        <v>6</v>
      </c>
      <c r="T234">
        <v>6</v>
      </c>
      <c r="U234" s="1">
        <v>1</v>
      </c>
    </row>
    <row r="235" spans="1:21" x14ac:dyDescent="0.3">
      <c r="A235" t="s">
        <v>92</v>
      </c>
      <c r="B235" t="s">
        <v>100</v>
      </c>
      <c r="C235" s="2" t="s">
        <v>25</v>
      </c>
      <c r="D235" s="1">
        <v>1050</v>
      </c>
      <c r="E235">
        <v>14</v>
      </c>
      <c r="F235">
        <v>4</v>
      </c>
      <c r="G235">
        <v>8</v>
      </c>
      <c r="H235">
        <v>13</v>
      </c>
      <c r="I235">
        <v>82</v>
      </c>
      <c r="J235">
        <v>197</v>
      </c>
      <c r="K235">
        <v>192</v>
      </c>
      <c r="L235">
        <v>171</v>
      </c>
      <c r="M235">
        <v>121</v>
      </c>
      <c r="N235">
        <v>105</v>
      </c>
      <c r="O235">
        <v>63</v>
      </c>
      <c r="P235">
        <v>48</v>
      </c>
      <c r="Q235">
        <v>18</v>
      </c>
      <c r="R235">
        <v>7</v>
      </c>
      <c r="S235">
        <v>4</v>
      </c>
      <c r="T235">
        <v>2</v>
      </c>
      <c r="U235" s="1">
        <v>1</v>
      </c>
    </row>
    <row r="236" spans="1:21" x14ac:dyDescent="0.3">
      <c r="A236" t="s">
        <v>92</v>
      </c>
      <c r="B236" t="s">
        <v>101</v>
      </c>
      <c r="C236" s="2" t="s">
        <v>21</v>
      </c>
      <c r="D236" s="1">
        <v>2897</v>
      </c>
      <c r="E236">
        <v>58</v>
      </c>
      <c r="F236">
        <v>43</v>
      </c>
      <c r="G236">
        <v>8</v>
      </c>
      <c r="H236">
        <v>22</v>
      </c>
      <c r="I236">
        <v>258</v>
      </c>
      <c r="J236">
        <v>732</v>
      </c>
      <c r="K236">
        <v>675</v>
      </c>
      <c r="L236">
        <v>540</v>
      </c>
      <c r="M236">
        <v>292</v>
      </c>
      <c r="N236">
        <v>118</v>
      </c>
      <c r="O236">
        <v>66</v>
      </c>
      <c r="P236">
        <v>38</v>
      </c>
      <c r="Q236">
        <v>35</v>
      </c>
      <c r="R236">
        <v>10</v>
      </c>
      <c r="S236">
        <v>1</v>
      </c>
      <c r="T236">
        <v>1</v>
      </c>
      <c r="U236" s="1">
        <v>0</v>
      </c>
    </row>
    <row r="237" spans="1:21" x14ac:dyDescent="0.3">
      <c r="A237" t="s">
        <v>92</v>
      </c>
      <c r="B237" t="s">
        <v>101</v>
      </c>
      <c r="C237" s="2" t="s">
        <v>24</v>
      </c>
      <c r="D237" s="1">
        <v>2268</v>
      </c>
      <c r="E237">
        <v>31</v>
      </c>
      <c r="F237">
        <v>27</v>
      </c>
      <c r="G237">
        <v>2</v>
      </c>
      <c r="H237">
        <v>8</v>
      </c>
      <c r="I237">
        <v>221</v>
      </c>
      <c r="J237">
        <v>600</v>
      </c>
      <c r="K237">
        <v>558</v>
      </c>
      <c r="L237">
        <v>436</v>
      </c>
      <c r="M237">
        <v>236</v>
      </c>
      <c r="N237">
        <v>80</v>
      </c>
      <c r="O237">
        <v>36</v>
      </c>
      <c r="P237">
        <v>14</v>
      </c>
      <c r="Q237">
        <v>14</v>
      </c>
      <c r="R237">
        <v>5</v>
      </c>
      <c r="S237">
        <v>0</v>
      </c>
      <c r="T237">
        <v>0</v>
      </c>
      <c r="U237" s="1">
        <v>0</v>
      </c>
    </row>
    <row r="238" spans="1:21" x14ac:dyDescent="0.3">
      <c r="A238" t="s">
        <v>92</v>
      </c>
      <c r="B238" t="s">
        <v>101</v>
      </c>
      <c r="C238" s="2" t="s">
        <v>25</v>
      </c>
      <c r="D238">
        <v>629</v>
      </c>
      <c r="E238">
        <v>27</v>
      </c>
      <c r="F238">
        <v>16</v>
      </c>
      <c r="G238">
        <v>6</v>
      </c>
      <c r="H238">
        <v>14</v>
      </c>
      <c r="I238">
        <v>37</v>
      </c>
      <c r="J238">
        <v>132</v>
      </c>
      <c r="K238">
        <v>117</v>
      </c>
      <c r="L238">
        <v>104</v>
      </c>
      <c r="M238">
        <v>56</v>
      </c>
      <c r="N238">
        <v>38</v>
      </c>
      <c r="O238">
        <v>30</v>
      </c>
      <c r="P238">
        <v>24</v>
      </c>
      <c r="Q238">
        <v>21</v>
      </c>
      <c r="R238">
        <v>5</v>
      </c>
      <c r="S238">
        <v>1</v>
      </c>
      <c r="T238">
        <v>1</v>
      </c>
      <c r="U238" s="1">
        <v>0</v>
      </c>
    </row>
    <row r="239" spans="1:21" x14ac:dyDescent="0.3">
      <c r="A239" t="s">
        <v>92</v>
      </c>
      <c r="B239" t="s">
        <v>102</v>
      </c>
      <c r="C239" s="2" t="s">
        <v>21</v>
      </c>
      <c r="D239" s="1">
        <v>2193</v>
      </c>
      <c r="E239">
        <v>29</v>
      </c>
      <c r="F239">
        <v>13</v>
      </c>
      <c r="G239">
        <v>17</v>
      </c>
      <c r="H239">
        <v>43</v>
      </c>
      <c r="I239">
        <v>387</v>
      </c>
      <c r="J239">
        <v>371</v>
      </c>
      <c r="K239">
        <v>390</v>
      </c>
      <c r="L239">
        <v>358</v>
      </c>
      <c r="M239">
        <v>202</v>
      </c>
      <c r="N239">
        <v>113</v>
      </c>
      <c r="O239">
        <v>79</v>
      </c>
      <c r="P239">
        <v>99</v>
      </c>
      <c r="Q239">
        <v>47</v>
      </c>
      <c r="R239">
        <v>26</v>
      </c>
      <c r="S239">
        <v>11</v>
      </c>
      <c r="T239">
        <v>3</v>
      </c>
      <c r="U239" s="1">
        <v>5</v>
      </c>
    </row>
    <row r="240" spans="1:21" x14ac:dyDescent="0.3">
      <c r="A240" t="s">
        <v>92</v>
      </c>
      <c r="B240" t="s">
        <v>102</v>
      </c>
      <c r="C240" s="2" t="s">
        <v>24</v>
      </c>
      <c r="D240" s="1">
        <v>1103</v>
      </c>
      <c r="E240">
        <v>14</v>
      </c>
      <c r="F240">
        <v>6</v>
      </c>
      <c r="G240">
        <v>8</v>
      </c>
      <c r="H240">
        <v>23</v>
      </c>
      <c r="I240">
        <v>205</v>
      </c>
      <c r="J240">
        <v>204</v>
      </c>
      <c r="K240">
        <v>233</v>
      </c>
      <c r="L240">
        <v>175</v>
      </c>
      <c r="M240">
        <v>95</v>
      </c>
      <c r="N240">
        <v>49</v>
      </c>
      <c r="O240">
        <v>26</v>
      </c>
      <c r="P240">
        <v>28</v>
      </c>
      <c r="Q240">
        <v>14</v>
      </c>
      <c r="R240">
        <v>12</v>
      </c>
      <c r="S240">
        <v>6</v>
      </c>
      <c r="T240">
        <v>2</v>
      </c>
      <c r="U240" s="1">
        <v>3</v>
      </c>
    </row>
    <row r="241" spans="1:21" x14ac:dyDescent="0.3">
      <c r="A241" t="s">
        <v>92</v>
      </c>
      <c r="B241" t="s">
        <v>102</v>
      </c>
      <c r="C241" s="2" t="s">
        <v>25</v>
      </c>
      <c r="D241" s="1">
        <v>1090</v>
      </c>
      <c r="E241">
        <v>15</v>
      </c>
      <c r="F241">
        <v>7</v>
      </c>
      <c r="G241">
        <v>9</v>
      </c>
      <c r="H241">
        <v>20</v>
      </c>
      <c r="I241">
        <v>182</v>
      </c>
      <c r="J241">
        <v>167</v>
      </c>
      <c r="K241">
        <v>157</v>
      </c>
      <c r="L241">
        <v>183</v>
      </c>
      <c r="M241">
        <v>107</v>
      </c>
      <c r="N241">
        <v>64</v>
      </c>
      <c r="O241">
        <v>53</v>
      </c>
      <c r="P241">
        <v>71</v>
      </c>
      <c r="Q241">
        <v>33</v>
      </c>
      <c r="R241">
        <v>14</v>
      </c>
      <c r="S241">
        <v>5</v>
      </c>
      <c r="T241">
        <v>1</v>
      </c>
      <c r="U241" s="1">
        <v>2</v>
      </c>
    </row>
    <row r="242" spans="1:21" x14ac:dyDescent="0.3">
      <c r="A242" t="s">
        <v>92</v>
      </c>
      <c r="B242" t="s">
        <v>103</v>
      </c>
      <c r="C242" s="2" t="s">
        <v>21</v>
      </c>
      <c r="D242" s="1">
        <v>1365</v>
      </c>
      <c r="E242">
        <v>2</v>
      </c>
      <c r="F242">
        <v>1</v>
      </c>
      <c r="G242">
        <v>0</v>
      </c>
      <c r="H242">
        <v>17</v>
      </c>
      <c r="I242">
        <v>112</v>
      </c>
      <c r="J242">
        <v>306</v>
      </c>
      <c r="K242">
        <v>329</v>
      </c>
      <c r="L242">
        <v>257</v>
      </c>
      <c r="M242">
        <v>164</v>
      </c>
      <c r="N242">
        <v>87</v>
      </c>
      <c r="O242">
        <v>42</v>
      </c>
      <c r="P242">
        <v>17</v>
      </c>
      <c r="Q242">
        <v>20</v>
      </c>
      <c r="R242">
        <v>8</v>
      </c>
      <c r="S242">
        <v>0</v>
      </c>
      <c r="T242">
        <v>2</v>
      </c>
      <c r="U242" s="1">
        <v>1</v>
      </c>
    </row>
    <row r="243" spans="1:21" x14ac:dyDescent="0.3">
      <c r="A243" t="s">
        <v>92</v>
      </c>
      <c r="B243" t="s">
        <v>103</v>
      </c>
      <c r="C243" s="2" t="s">
        <v>24</v>
      </c>
      <c r="D243" s="1">
        <v>1067</v>
      </c>
      <c r="E243">
        <v>1</v>
      </c>
      <c r="F243">
        <v>1</v>
      </c>
      <c r="G243">
        <v>0</v>
      </c>
      <c r="H243">
        <v>8</v>
      </c>
      <c r="I243">
        <v>84</v>
      </c>
      <c r="J243">
        <v>257</v>
      </c>
      <c r="K243">
        <v>275</v>
      </c>
      <c r="L243">
        <v>201</v>
      </c>
      <c r="M243">
        <v>130</v>
      </c>
      <c r="N243">
        <v>66</v>
      </c>
      <c r="O243">
        <v>29</v>
      </c>
      <c r="P243">
        <v>5</v>
      </c>
      <c r="Q243">
        <v>7</v>
      </c>
      <c r="R243">
        <v>2</v>
      </c>
      <c r="S243">
        <v>0</v>
      </c>
      <c r="T243">
        <v>1</v>
      </c>
      <c r="U243" s="1">
        <v>0</v>
      </c>
    </row>
    <row r="244" spans="1:21" x14ac:dyDescent="0.3">
      <c r="A244" t="s">
        <v>92</v>
      </c>
      <c r="B244" t="s">
        <v>103</v>
      </c>
      <c r="C244" s="2" t="s">
        <v>25</v>
      </c>
      <c r="D244">
        <v>298</v>
      </c>
      <c r="E244">
        <v>1</v>
      </c>
      <c r="F244">
        <v>0</v>
      </c>
      <c r="G244">
        <v>0</v>
      </c>
      <c r="H244">
        <v>9</v>
      </c>
      <c r="I244">
        <v>28</v>
      </c>
      <c r="J244">
        <v>49</v>
      </c>
      <c r="K244">
        <v>54</v>
      </c>
      <c r="L244">
        <v>56</v>
      </c>
      <c r="M244">
        <v>34</v>
      </c>
      <c r="N244">
        <v>21</v>
      </c>
      <c r="O244">
        <v>13</v>
      </c>
      <c r="P244">
        <v>12</v>
      </c>
      <c r="Q244">
        <v>13</v>
      </c>
      <c r="R244">
        <v>6</v>
      </c>
      <c r="S244">
        <v>0</v>
      </c>
      <c r="T244">
        <v>1</v>
      </c>
      <c r="U244" s="1">
        <v>1</v>
      </c>
    </row>
    <row r="245" spans="1:21" x14ac:dyDescent="0.3">
      <c r="A245" t="s">
        <v>92</v>
      </c>
      <c r="B245" t="s">
        <v>104</v>
      </c>
      <c r="C245" s="2" t="s">
        <v>21</v>
      </c>
      <c r="D245">
        <v>250</v>
      </c>
      <c r="E245">
        <v>0</v>
      </c>
      <c r="F245">
        <v>0</v>
      </c>
      <c r="G245">
        <v>0</v>
      </c>
      <c r="H245">
        <v>6</v>
      </c>
      <c r="I245">
        <v>19</v>
      </c>
      <c r="J245">
        <v>17</v>
      </c>
      <c r="K245">
        <v>35</v>
      </c>
      <c r="L245">
        <v>43</v>
      </c>
      <c r="M245">
        <v>49</v>
      </c>
      <c r="N245">
        <v>30</v>
      </c>
      <c r="O245">
        <v>13</v>
      </c>
      <c r="P245">
        <v>18</v>
      </c>
      <c r="Q245">
        <v>15</v>
      </c>
      <c r="R245">
        <v>4</v>
      </c>
      <c r="S245">
        <v>1</v>
      </c>
      <c r="T245">
        <v>0</v>
      </c>
      <c r="U245" s="1">
        <v>0</v>
      </c>
    </row>
    <row r="246" spans="1:21" x14ac:dyDescent="0.3">
      <c r="A246" t="s">
        <v>92</v>
      </c>
      <c r="B246" t="s">
        <v>104</v>
      </c>
      <c r="C246" s="2" t="s">
        <v>24</v>
      </c>
      <c r="D246">
        <v>119</v>
      </c>
      <c r="E246">
        <v>0</v>
      </c>
      <c r="F246">
        <v>0</v>
      </c>
      <c r="G246">
        <v>0</v>
      </c>
      <c r="H246">
        <v>4</v>
      </c>
      <c r="I246">
        <v>18</v>
      </c>
      <c r="J246">
        <v>10</v>
      </c>
      <c r="K246">
        <v>18</v>
      </c>
      <c r="L246">
        <v>16</v>
      </c>
      <c r="M246">
        <v>23</v>
      </c>
      <c r="N246">
        <v>13</v>
      </c>
      <c r="O246">
        <v>6</v>
      </c>
      <c r="P246">
        <v>4</v>
      </c>
      <c r="Q246">
        <v>5</v>
      </c>
      <c r="R246">
        <v>1</v>
      </c>
      <c r="S246">
        <v>1</v>
      </c>
      <c r="T246">
        <v>0</v>
      </c>
      <c r="U246" s="1">
        <v>0</v>
      </c>
    </row>
    <row r="247" spans="1:21" x14ac:dyDescent="0.3">
      <c r="A247" t="s">
        <v>92</v>
      </c>
      <c r="B247" t="s">
        <v>104</v>
      </c>
      <c r="C247" s="2" t="s">
        <v>25</v>
      </c>
      <c r="D247">
        <v>131</v>
      </c>
      <c r="E247">
        <v>0</v>
      </c>
      <c r="F247">
        <v>0</v>
      </c>
      <c r="G247">
        <v>0</v>
      </c>
      <c r="H247">
        <v>2</v>
      </c>
      <c r="I247">
        <v>1</v>
      </c>
      <c r="J247">
        <v>7</v>
      </c>
      <c r="K247">
        <v>17</v>
      </c>
      <c r="L247">
        <v>27</v>
      </c>
      <c r="M247">
        <v>26</v>
      </c>
      <c r="N247">
        <v>17</v>
      </c>
      <c r="O247">
        <v>7</v>
      </c>
      <c r="P247">
        <v>14</v>
      </c>
      <c r="Q247">
        <v>10</v>
      </c>
      <c r="R247">
        <v>3</v>
      </c>
      <c r="S247">
        <v>0</v>
      </c>
      <c r="T247">
        <v>0</v>
      </c>
      <c r="U247" s="1">
        <v>0</v>
      </c>
    </row>
    <row r="248" spans="1:21" x14ac:dyDescent="0.3">
      <c r="A248" t="s">
        <v>92</v>
      </c>
      <c r="B248" t="s">
        <v>105</v>
      </c>
      <c r="C248" s="2" t="s">
        <v>21</v>
      </c>
      <c r="D248" s="1">
        <v>1532</v>
      </c>
      <c r="E248">
        <v>25</v>
      </c>
      <c r="F248">
        <v>8</v>
      </c>
      <c r="G248">
        <v>11</v>
      </c>
      <c r="H248">
        <v>66</v>
      </c>
      <c r="I248">
        <v>177</v>
      </c>
      <c r="J248">
        <v>328</v>
      </c>
      <c r="K248">
        <v>326</v>
      </c>
      <c r="L248">
        <v>228</v>
      </c>
      <c r="M248">
        <v>113</v>
      </c>
      <c r="N248">
        <v>76</v>
      </c>
      <c r="O248">
        <v>65</v>
      </c>
      <c r="P248">
        <v>59</v>
      </c>
      <c r="Q248">
        <v>28</v>
      </c>
      <c r="R248">
        <v>11</v>
      </c>
      <c r="S248">
        <v>9</v>
      </c>
      <c r="T248">
        <v>2</v>
      </c>
      <c r="U248" s="1">
        <v>0</v>
      </c>
    </row>
    <row r="249" spans="1:21" x14ac:dyDescent="0.3">
      <c r="A249" t="s">
        <v>92</v>
      </c>
      <c r="B249" t="s">
        <v>105</v>
      </c>
      <c r="C249" s="2" t="s">
        <v>24</v>
      </c>
      <c r="D249">
        <v>889</v>
      </c>
      <c r="E249">
        <v>18</v>
      </c>
      <c r="F249">
        <v>5</v>
      </c>
      <c r="G249">
        <v>4</v>
      </c>
      <c r="H249">
        <v>30</v>
      </c>
      <c r="I249">
        <v>90</v>
      </c>
      <c r="J249">
        <v>222</v>
      </c>
      <c r="K249">
        <v>230</v>
      </c>
      <c r="L249">
        <v>139</v>
      </c>
      <c r="M249">
        <v>58</v>
      </c>
      <c r="N249">
        <v>38</v>
      </c>
      <c r="O249">
        <v>19</v>
      </c>
      <c r="P249">
        <v>18</v>
      </c>
      <c r="Q249">
        <v>10</v>
      </c>
      <c r="R249">
        <v>3</v>
      </c>
      <c r="S249">
        <v>4</v>
      </c>
      <c r="T249">
        <v>1</v>
      </c>
      <c r="U249" s="1">
        <v>0</v>
      </c>
    </row>
    <row r="250" spans="1:21" x14ac:dyDescent="0.3">
      <c r="A250" t="s">
        <v>92</v>
      </c>
      <c r="B250" t="s">
        <v>105</v>
      </c>
      <c r="C250" s="2" t="s">
        <v>25</v>
      </c>
      <c r="D250">
        <v>643</v>
      </c>
      <c r="E250">
        <v>7</v>
      </c>
      <c r="F250">
        <v>3</v>
      </c>
      <c r="G250">
        <v>7</v>
      </c>
      <c r="H250">
        <v>36</v>
      </c>
      <c r="I250">
        <v>87</v>
      </c>
      <c r="J250">
        <v>106</v>
      </c>
      <c r="K250">
        <v>96</v>
      </c>
      <c r="L250">
        <v>89</v>
      </c>
      <c r="M250">
        <v>55</v>
      </c>
      <c r="N250">
        <v>38</v>
      </c>
      <c r="O250">
        <v>46</v>
      </c>
      <c r="P250">
        <v>41</v>
      </c>
      <c r="Q250">
        <v>18</v>
      </c>
      <c r="R250">
        <v>8</v>
      </c>
      <c r="S250">
        <v>5</v>
      </c>
      <c r="T250">
        <v>1</v>
      </c>
      <c r="U250" s="1">
        <v>0</v>
      </c>
    </row>
    <row r="251" spans="1:21" x14ac:dyDescent="0.3">
      <c r="A251" t="s">
        <v>92</v>
      </c>
      <c r="B251" t="s">
        <v>106</v>
      </c>
      <c r="C251" s="2" t="s">
        <v>21</v>
      </c>
      <c r="D251" s="1">
        <v>4355</v>
      </c>
      <c r="E251">
        <v>119</v>
      </c>
      <c r="F251">
        <v>79</v>
      </c>
      <c r="G251">
        <v>48</v>
      </c>
      <c r="H251">
        <v>48</v>
      </c>
      <c r="I251">
        <v>420</v>
      </c>
      <c r="J251">
        <v>853</v>
      </c>
      <c r="K251" s="1">
        <v>1031</v>
      </c>
      <c r="L251">
        <v>748</v>
      </c>
      <c r="M251">
        <v>419</v>
      </c>
      <c r="N251">
        <v>227</v>
      </c>
      <c r="O251">
        <v>142</v>
      </c>
      <c r="P251">
        <v>118</v>
      </c>
      <c r="Q251">
        <v>62</v>
      </c>
      <c r="R251">
        <v>27</v>
      </c>
      <c r="S251">
        <v>9</v>
      </c>
      <c r="T251">
        <v>2</v>
      </c>
      <c r="U251" s="1">
        <v>3</v>
      </c>
    </row>
    <row r="252" spans="1:21" x14ac:dyDescent="0.3">
      <c r="A252" t="s">
        <v>92</v>
      </c>
      <c r="B252" t="s">
        <v>106</v>
      </c>
      <c r="C252" s="2" t="s">
        <v>24</v>
      </c>
      <c r="D252" s="1">
        <v>3117</v>
      </c>
      <c r="E252">
        <v>65</v>
      </c>
      <c r="F252">
        <v>37</v>
      </c>
      <c r="G252">
        <v>22</v>
      </c>
      <c r="H252">
        <v>32</v>
      </c>
      <c r="I252">
        <v>322</v>
      </c>
      <c r="J252">
        <v>611</v>
      </c>
      <c r="K252">
        <v>807</v>
      </c>
      <c r="L252">
        <v>587</v>
      </c>
      <c r="M252">
        <v>318</v>
      </c>
      <c r="N252">
        <v>141</v>
      </c>
      <c r="O252">
        <v>68</v>
      </c>
      <c r="P252">
        <v>54</v>
      </c>
      <c r="Q252">
        <v>32</v>
      </c>
      <c r="R252">
        <v>13</v>
      </c>
      <c r="S252">
        <v>6</v>
      </c>
      <c r="T252">
        <v>1</v>
      </c>
      <c r="U252" s="1">
        <v>1</v>
      </c>
    </row>
    <row r="253" spans="1:21" x14ac:dyDescent="0.3">
      <c r="A253" t="s">
        <v>92</v>
      </c>
      <c r="B253" t="s">
        <v>106</v>
      </c>
      <c r="C253" s="2" t="s">
        <v>25</v>
      </c>
      <c r="D253" s="1">
        <v>1238</v>
      </c>
      <c r="E253">
        <v>54</v>
      </c>
      <c r="F253">
        <v>42</v>
      </c>
      <c r="G253">
        <v>26</v>
      </c>
      <c r="H253">
        <v>16</v>
      </c>
      <c r="I253">
        <v>98</v>
      </c>
      <c r="J253">
        <v>242</v>
      </c>
      <c r="K253">
        <v>224</v>
      </c>
      <c r="L253">
        <v>161</v>
      </c>
      <c r="M253">
        <v>101</v>
      </c>
      <c r="N253">
        <v>86</v>
      </c>
      <c r="O253">
        <v>74</v>
      </c>
      <c r="P253">
        <v>64</v>
      </c>
      <c r="Q253">
        <v>30</v>
      </c>
      <c r="R253">
        <v>14</v>
      </c>
      <c r="S253">
        <v>3</v>
      </c>
      <c r="T253">
        <v>1</v>
      </c>
      <c r="U253" s="1">
        <v>2</v>
      </c>
    </row>
    <row r="254" spans="1:21" x14ac:dyDescent="0.3">
      <c r="A254" t="s">
        <v>92</v>
      </c>
      <c r="B254" t="s">
        <v>107</v>
      </c>
      <c r="C254" s="2" t="s">
        <v>21</v>
      </c>
      <c r="D254">
        <v>569</v>
      </c>
      <c r="E254">
        <v>8</v>
      </c>
      <c r="F254">
        <v>7</v>
      </c>
      <c r="G254">
        <v>5</v>
      </c>
      <c r="H254">
        <v>5</v>
      </c>
      <c r="I254">
        <v>46</v>
      </c>
      <c r="J254">
        <v>87</v>
      </c>
      <c r="K254">
        <v>113</v>
      </c>
      <c r="L254">
        <v>92</v>
      </c>
      <c r="M254">
        <v>54</v>
      </c>
      <c r="N254">
        <v>48</v>
      </c>
      <c r="O254">
        <v>36</v>
      </c>
      <c r="P254">
        <v>32</v>
      </c>
      <c r="Q254">
        <v>17</v>
      </c>
      <c r="R254">
        <v>10</v>
      </c>
      <c r="S254">
        <v>4</v>
      </c>
      <c r="T254">
        <v>4</v>
      </c>
      <c r="U254" s="1">
        <v>1</v>
      </c>
    </row>
    <row r="255" spans="1:21" x14ac:dyDescent="0.3">
      <c r="A255" t="s">
        <v>92</v>
      </c>
      <c r="B255" t="s">
        <v>107</v>
      </c>
      <c r="C255" s="2" t="s">
        <v>24</v>
      </c>
      <c r="D255">
        <v>287</v>
      </c>
      <c r="E255">
        <v>4</v>
      </c>
      <c r="F255">
        <v>1</v>
      </c>
      <c r="G255">
        <v>1</v>
      </c>
      <c r="H255">
        <v>3</v>
      </c>
      <c r="I255">
        <v>24</v>
      </c>
      <c r="J255">
        <v>55</v>
      </c>
      <c r="K255">
        <v>72</v>
      </c>
      <c r="L255">
        <v>51</v>
      </c>
      <c r="M255">
        <v>20</v>
      </c>
      <c r="N255">
        <v>16</v>
      </c>
      <c r="O255">
        <v>15</v>
      </c>
      <c r="P255">
        <v>12</v>
      </c>
      <c r="Q255">
        <v>3</v>
      </c>
      <c r="R255">
        <v>6</v>
      </c>
      <c r="S255">
        <v>2</v>
      </c>
      <c r="T255">
        <v>1</v>
      </c>
      <c r="U255" s="1">
        <v>1</v>
      </c>
    </row>
    <row r="256" spans="1:21" x14ac:dyDescent="0.3">
      <c r="A256" t="s">
        <v>92</v>
      </c>
      <c r="B256" t="s">
        <v>107</v>
      </c>
      <c r="C256" s="2" t="s">
        <v>25</v>
      </c>
      <c r="D256">
        <v>282</v>
      </c>
      <c r="E256">
        <v>4</v>
      </c>
      <c r="F256">
        <v>6</v>
      </c>
      <c r="G256">
        <v>4</v>
      </c>
      <c r="H256">
        <v>2</v>
      </c>
      <c r="I256">
        <v>22</v>
      </c>
      <c r="J256">
        <v>32</v>
      </c>
      <c r="K256">
        <v>41</v>
      </c>
      <c r="L256">
        <v>41</v>
      </c>
      <c r="M256">
        <v>34</v>
      </c>
      <c r="N256">
        <v>32</v>
      </c>
      <c r="O256">
        <v>21</v>
      </c>
      <c r="P256">
        <v>20</v>
      </c>
      <c r="Q256">
        <v>14</v>
      </c>
      <c r="R256">
        <v>4</v>
      </c>
      <c r="S256">
        <v>2</v>
      </c>
      <c r="T256">
        <v>3</v>
      </c>
      <c r="U256" s="1">
        <v>0</v>
      </c>
    </row>
    <row r="257" spans="1:21" x14ac:dyDescent="0.3">
      <c r="A257" t="s">
        <v>92</v>
      </c>
      <c r="B257" t="s">
        <v>108</v>
      </c>
      <c r="C257" s="2" t="s">
        <v>21</v>
      </c>
      <c r="D257">
        <v>156</v>
      </c>
      <c r="E257">
        <v>0</v>
      </c>
      <c r="F257">
        <v>1</v>
      </c>
      <c r="G257">
        <v>1</v>
      </c>
      <c r="H257">
        <v>0</v>
      </c>
      <c r="I257">
        <v>6</v>
      </c>
      <c r="J257">
        <v>22</v>
      </c>
      <c r="K257">
        <v>35</v>
      </c>
      <c r="L257">
        <v>47</v>
      </c>
      <c r="M257">
        <v>20</v>
      </c>
      <c r="N257">
        <v>6</v>
      </c>
      <c r="O257">
        <v>5</v>
      </c>
      <c r="P257">
        <v>6</v>
      </c>
      <c r="Q257">
        <v>5</v>
      </c>
      <c r="R257">
        <v>2</v>
      </c>
      <c r="S257">
        <v>0</v>
      </c>
      <c r="T257">
        <v>0</v>
      </c>
      <c r="U257" s="1">
        <v>0</v>
      </c>
    </row>
    <row r="258" spans="1:21" x14ac:dyDescent="0.3">
      <c r="A258" t="s">
        <v>92</v>
      </c>
      <c r="B258" t="s">
        <v>108</v>
      </c>
      <c r="C258" s="2" t="s">
        <v>24</v>
      </c>
      <c r="D258">
        <v>126</v>
      </c>
      <c r="E258">
        <v>0</v>
      </c>
      <c r="F258">
        <v>0</v>
      </c>
      <c r="G258">
        <v>0</v>
      </c>
      <c r="H258">
        <v>0</v>
      </c>
      <c r="I258">
        <v>5</v>
      </c>
      <c r="J258">
        <v>21</v>
      </c>
      <c r="K258">
        <v>34</v>
      </c>
      <c r="L258">
        <v>40</v>
      </c>
      <c r="M258">
        <v>18</v>
      </c>
      <c r="N258">
        <v>3</v>
      </c>
      <c r="O258">
        <v>3</v>
      </c>
      <c r="P258">
        <v>1</v>
      </c>
      <c r="Q258">
        <v>1</v>
      </c>
      <c r="R258">
        <v>0</v>
      </c>
      <c r="S258">
        <v>0</v>
      </c>
      <c r="T258">
        <v>0</v>
      </c>
      <c r="U258" s="1">
        <v>0</v>
      </c>
    </row>
    <row r="259" spans="1:21" x14ac:dyDescent="0.3">
      <c r="A259" t="s">
        <v>92</v>
      </c>
      <c r="B259" t="s">
        <v>108</v>
      </c>
      <c r="C259" s="2" t="s">
        <v>25</v>
      </c>
      <c r="D259">
        <v>30</v>
      </c>
      <c r="E259">
        <v>0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7</v>
      </c>
      <c r="M259">
        <v>2</v>
      </c>
      <c r="N259">
        <v>3</v>
      </c>
      <c r="O259">
        <v>2</v>
      </c>
      <c r="P259">
        <v>5</v>
      </c>
      <c r="Q259">
        <v>4</v>
      </c>
      <c r="R259">
        <v>2</v>
      </c>
      <c r="S259">
        <v>0</v>
      </c>
      <c r="T259">
        <v>0</v>
      </c>
      <c r="U259" s="1">
        <v>0</v>
      </c>
    </row>
    <row r="260" spans="1:21" x14ac:dyDescent="0.3">
      <c r="A260" t="s">
        <v>92</v>
      </c>
      <c r="B260" t="s">
        <v>109</v>
      </c>
      <c r="C260" s="2" t="s">
        <v>21</v>
      </c>
      <c r="D260" s="1">
        <v>1763</v>
      </c>
      <c r="E260">
        <v>3</v>
      </c>
      <c r="F260">
        <v>3</v>
      </c>
      <c r="G260">
        <v>2</v>
      </c>
      <c r="H260">
        <v>8</v>
      </c>
      <c r="I260">
        <v>93</v>
      </c>
      <c r="J260">
        <v>349</v>
      </c>
      <c r="K260">
        <v>472</v>
      </c>
      <c r="L260">
        <v>404</v>
      </c>
      <c r="M260">
        <v>219</v>
      </c>
      <c r="N260">
        <v>97</v>
      </c>
      <c r="O260">
        <v>54</v>
      </c>
      <c r="P260">
        <v>38</v>
      </c>
      <c r="Q260">
        <v>12</v>
      </c>
      <c r="R260">
        <v>5</v>
      </c>
      <c r="S260">
        <v>4</v>
      </c>
      <c r="T260">
        <v>0</v>
      </c>
      <c r="U260" s="1">
        <v>0</v>
      </c>
    </row>
    <row r="261" spans="1:21" x14ac:dyDescent="0.3">
      <c r="A261" t="s">
        <v>92</v>
      </c>
      <c r="B261" t="s">
        <v>109</v>
      </c>
      <c r="C261" s="2" t="s">
        <v>24</v>
      </c>
      <c r="D261" s="1">
        <v>1539</v>
      </c>
      <c r="E261">
        <v>0</v>
      </c>
      <c r="F261">
        <v>1</v>
      </c>
      <c r="G261">
        <v>0</v>
      </c>
      <c r="H261">
        <v>4</v>
      </c>
      <c r="I261">
        <v>78</v>
      </c>
      <c r="J261">
        <v>312</v>
      </c>
      <c r="K261">
        <v>432</v>
      </c>
      <c r="L261">
        <v>378</v>
      </c>
      <c r="M261">
        <v>195</v>
      </c>
      <c r="N261">
        <v>80</v>
      </c>
      <c r="O261">
        <v>32</v>
      </c>
      <c r="P261">
        <v>20</v>
      </c>
      <c r="Q261">
        <v>2</v>
      </c>
      <c r="R261">
        <v>2</v>
      </c>
      <c r="S261">
        <v>3</v>
      </c>
      <c r="T261">
        <v>0</v>
      </c>
      <c r="U261" s="1">
        <v>0</v>
      </c>
    </row>
    <row r="262" spans="1:21" x14ac:dyDescent="0.3">
      <c r="A262" t="s">
        <v>92</v>
      </c>
      <c r="B262" t="s">
        <v>109</v>
      </c>
      <c r="C262" s="2" t="s">
        <v>25</v>
      </c>
      <c r="D262">
        <v>224</v>
      </c>
      <c r="E262">
        <v>3</v>
      </c>
      <c r="F262">
        <v>2</v>
      </c>
      <c r="G262">
        <v>2</v>
      </c>
      <c r="H262">
        <v>4</v>
      </c>
      <c r="I262">
        <v>15</v>
      </c>
      <c r="J262">
        <v>37</v>
      </c>
      <c r="K262">
        <v>40</v>
      </c>
      <c r="L262">
        <v>26</v>
      </c>
      <c r="M262">
        <v>24</v>
      </c>
      <c r="N262">
        <v>17</v>
      </c>
      <c r="O262">
        <v>22</v>
      </c>
      <c r="P262">
        <v>18</v>
      </c>
      <c r="Q262">
        <v>10</v>
      </c>
      <c r="R262">
        <v>3</v>
      </c>
      <c r="S262">
        <v>1</v>
      </c>
      <c r="T262">
        <v>0</v>
      </c>
      <c r="U262" s="1">
        <v>0</v>
      </c>
    </row>
    <row r="263" spans="1:21" x14ac:dyDescent="0.3">
      <c r="A263" t="s">
        <v>92</v>
      </c>
      <c r="B263" t="s">
        <v>110</v>
      </c>
      <c r="C263" s="2" t="s">
        <v>21</v>
      </c>
      <c r="D263">
        <v>893</v>
      </c>
      <c r="E263">
        <v>16</v>
      </c>
      <c r="F263">
        <v>7</v>
      </c>
      <c r="G263">
        <v>3</v>
      </c>
      <c r="H263">
        <v>18</v>
      </c>
      <c r="I263">
        <v>86</v>
      </c>
      <c r="J263">
        <v>182</v>
      </c>
      <c r="K263">
        <v>207</v>
      </c>
      <c r="L263">
        <v>131</v>
      </c>
      <c r="M263">
        <v>66</v>
      </c>
      <c r="N263">
        <v>45</v>
      </c>
      <c r="O263">
        <v>35</v>
      </c>
      <c r="P263">
        <v>43</v>
      </c>
      <c r="Q263">
        <v>21</v>
      </c>
      <c r="R263">
        <v>20</v>
      </c>
      <c r="S263">
        <v>4</v>
      </c>
      <c r="T263">
        <v>8</v>
      </c>
      <c r="U263" s="1">
        <v>1</v>
      </c>
    </row>
    <row r="264" spans="1:21" x14ac:dyDescent="0.3">
      <c r="A264" t="s">
        <v>92</v>
      </c>
      <c r="B264" t="s">
        <v>110</v>
      </c>
      <c r="C264" s="2" t="s">
        <v>24</v>
      </c>
      <c r="D264">
        <v>574</v>
      </c>
      <c r="E264">
        <v>9</v>
      </c>
      <c r="F264">
        <v>2</v>
      </c>
      <c r="G264">
        <v>2</v>
      </c>
      <c r="H264">
        <v>11</v>
      </c>
      <c r="I264">
        <v>54</v>
      </c>
      <c r="J264">
        <v>143</v>
      </c>
      <c r="K264">
        <v>155</v>
      </c>
      <c r="L264">
        <v>88</v>
      </c>
      <c r="M264">
        <v>42</v>
      </c>
      <c r="N264">
        <v>17</v>
      </c>
      <c r="O264">
        <v>14</v>
      </c>
      <c r="P264">
        <v>15</v>
      </c>
      <c r="Q264">
        <v>8</v>
      </c>
      <c r="R264">
        <v>6</v>
      </c>
      <c r="S264">
        <v>3</v>
      </c>
      <c r="T264">
        <v>5</v>
      </c>
      <c r="U264" s="1">
        <v>0</v>
      </c>
    </row>
    <row r="265" spans="1:21" x14ac:dyDescent="0.3">
      <c r="A265" t="s">
        <v>92</v>
      </c>
      <c r="B265" t="s">
        <v>110</v>
      </c>
      <c r="C265" s="2" t="s">
        <v>25</v>
      </c>
      <c r="D265">
        <v>319</v>
      </c>
      <c r="E265">
        <v>7</v>
      </c>
      <c r="F265">
        <v>5</v>
      </c>
      <c r="G265">
        <v>1</v>
      </c>
      <c r="H265">
        <v>7</v>
      </c>
      <c r="I265">
        <v>32</v>
      </c>
      <c r="J265">
        <v>39</v>
      </c>
      <c r="K265">
        <v>52</v>
      </c>
      <c r="L265">
        <v>43</v>
      </c>
      <c r="M265">
        <v>24</v>
      </c>
      <c r="N265">
        <v>28</v>
      </c>
      <c r="O265">
        <v>21</v>
      </c>
      <c r="P265">
        <v>28</v>
      </c>
      <c r="Q265">
        <v>13</v>
      </c>
      <c r="R265">
        <v>14</v>
      </c>
      <c r="S265">
        <v>1</v>
      </c>
      <c r="T265">
        <v>3</v>
      </c>
      <c r="U265" s="1">
        <v>1</v>
      </c>
    </row>
    <row r="266" spans="1:21" x14ac:dyDescent="0.3">
      <c r="A266" t="s">
        <v>92</v>
      </c>
      <c r="B266" t="s">
        <v>111</v>
      </c>
      <c r="C266" s="2" t="s">
        <v>21</v>
      </c>
      <c r="D266" s="1">
        <v>1394</v>
      </c>
      <c r="E266">
        <v>4</v>
      </c>
      <c r="F266">
        <v>2</v>
      </c>
      <c r="G266">
        <v>3</v>
      </c>
      <c r="H266">
        <v>3</v>
      </c>
      <c r="I266">
        <v>79</v>
      </c>
      <c r="J266">
        <v>336</v>
      </c>
      <c r="K266">
        <v>412</v>
      </c>
      <c r="L266">
        <v>303</v>
      </c>
      <c r="M266">
        <v>130</v>
      </c>
      <c r="N266">
        <v>46</v>
      </c>
      <c r="O266">
        <v>23</v>
      </c>
      <c r="P266">
        <v>21</v>
      </c>
      <c r="Q266">
        <v>17</v>
      </c>
      <c r="R266">
        <v>11</v>
      </c>
      <c r="S266">
        <v>1</v>
      </c>
      <c r="T266">
        <v>0</v>
      </c>
      <c r="U266" s="1">
        <v>3</v>
      </c>
    </row>
    <row r="267" spans="1:21" x14ac:dyDescent="0.3">
      <c r="A267" t="s">
        <v>92</v>
      </c>
      <c r="B267" t="s">
        <v>111</v>
      </c>
      <c r="C267" s="2" t="s">
        <v>24</v>
      </c>
      <c r="D267">
        <v>716</v>
      </c>
      <c r="E267">
        <v>3</v>
      </c>
      <c r="F267">
        <v>1</v>
      </c>
      <c r="G267">
        <v>0</v>
      </c>
      <c r="H267">
        <v>1</v>
      </c>
      <c r="I267">
        <v>37</v>
      </c>
      <c r="J267">
        <v>163</v>
      </c>
      <c r="K267">
        <v>223</v>
      </c>
      <c r="L267">
        <v>177</v>
      </c>
      <c r="M267">
        <v>62</v>
      </c>
      <c r="N267">
        <v>18</v>
      </c>
      <c r="O267">
        <v>10</v>
      </c>
      <c r="P267">
        <v>7</v>
      </c>
      <c r="Q267">
        <v>5</v>
      </c>
      <c r="R267">
        <v>7</v>
      </c>
      <c r="S267">
        <v>0</v>
      </c>
      <c r="T267">
        <v>0</v>
      </c>
      <c r="U267" s="1">
        <v>2</v>
      </c>
    </row>
    <row r="268" spans="1:21" x14ac:dyDescent="0.3">
      <c r="A268" t="s">
        <v>92</v>
      </c>
      <c r="B268" t="s">
        <v>111</v>
      </c>
      <c r="C268" s="2" t="s">
        <v>25</v>
      </c>
      <c r="D268">
        <v>678</v>
      </c>
      <c r="E268">
        <v>1</v>
      </c>
      <c r="F268">
        <v>1</v>
      </c>
      <c r="G268">
        <v>3</v>
      </c>
      <c r="H268">
        <v>2</v>
      </c>
      <c r="I268">
        <v>42</v>
      </c>
      <c r="J268">
        <v>173</v>
      </c>
      <c r="K268">
        <v>189</v>
      </c>
      <c r="L268">
        <v>126</v>
      </c>
      <c r="M268">
        <v>68</v>
      </c>
      <c r="N268">
        <v>28</v>
      </c>
      <c r="O268">
        <v>13</v>
      </c>
      <c r="P268">
        <v>14</v>
      </c>
      <c r="Q268">
        <v>12</v>
      </c>
      <c r="R268">
        <v>4</v>
      </c>
      <c r="S268">
        <v>1</v>
      </c>
      <c r="T268">
        <v>0</v>
      </c>
      <c r="U268" s="1">
        <v>1</v>
      </c>
    </row>
    <row r="269" spans="1:21" x14ac:dyDescent="0.3">
      <c r="A269" t="s">
        <v>92</v>
      </c>
      <c r="B269" t="s">
        <v>112</v>
      </c>
      <c r="C269" s="2" t="s">
        <v>21</v>
      </c>
      <c r="D269">
        <v>310</v>
      </c>
      <c r="E269">
        <v>0</v>
      </c>
      <c r="F269">
        <v>1</v>
      </c>
      <c r="G269">
        <v>2</v>
      </c>
      <c r="H269">
        <v>1</v>
      </c>
      <c r="I269">
        <v>24</v>
      </c>
      <c r="J269">
        <v>50</v>
      </c>
      <c r="K269">
        <v>62</v>
      </c>
      <c r="L269">
        <v>52</v>
      </c>
      <c r="M269">
        <v>46</v>
      </c>
      <c r="N269">
        <v>15</v>
      </c>
      <c r="O269">
        <v>16</v>
      </c>
      <c r="P269">
        <v>18</v>
      </c>
      <c r="Q269">
        <v>13</v>
      </c>
      <c r="R269">
        <v>4</v>
      </c>
      <c r="S269">
        <v>2</v>
      </c>
      <c r="T269">
        <v>1</v>
      </c>
      <c r="U269" s="1">
        <v>3</v>
      </c>
    </row>
    <row r="270" spans="1:21" x14ac:dyDescent="0.3">
      <c r="A270" t="s">
        <v>92</v>
      </c>
      <c r="B270" t="s">
        <v>112</v>
      </c>
      <c r="C270" s="2" t="s">
        <v>24</v>
      </c>
      <c r="D270">
        <v>142</v>
      </c>
      <c r="E270">
        <v>0</v>
      </c>
      <c r="F270">
        <v>1</v>
      </c>
      <c r="G270">
        <v>0</v>
      </c>
      <c r="H270">
        <v>1</v>
      </c>
      <c r="I270">
        <v>7</v>
      </c>
      <c r="J270">
        <v>23</v>
      </c>
      <c r="K270">
        <v>38</v>
      </c>
      <c r="L270">
        <v>33</v>
      </c>
      <c r="M270">
        <v>13</v>
      </c>
      <c r="N270">
        <v>4</v>
      </c>
      <c r="O270">
        <v>8</v>
      </c>
      <c r="P270">
        <v>5</v>
      </c>
      <c r="Q270">
        <v>5</v>
      </c>
      <c r="R270">
        <v>1</v>
      </c>
      <c r="S270">
        <v>1</v>
      </c>
      <c r="T270">
        <v>0</v>
      </c>
      <c r="U270" s="1">
        <v>2</v>
      </c>
    </row>
    <row r="271" spans="1:21" x14ac:dyDescent="0.3">
      <c r="A271" t="s">
        <v>92</v>
      </c>
      <c r="B271" t="s">
        <v>112</v>
      </c>
      <c r="C271" s="2" t="s">
        <v>25</v>
      </c>
      <c r="D271">
        <v>168</v>
      </c>
      <c r="E271">
        <v>0</v>
      </c>
      <c r="F271">
        <v>0</v>
      </c>
      <c r="G271">
        <v>2</v>
      </c>
      <c r="H271">
        <v>0</v>
      </c>
      <c r="I271">
        <v>17</v>
      </c>
      <c r="J271">
        <v>27</v>
      </c>
      <c r="K271">
        <v>24</v>
      </c>
      <c r="L271">
        <v>19</v>
      </c>
      <c r="M271">
        <v>33</v>
      </c>
      <c r="N271">
        <v>11</v>
      </c>
      <c r="O271">
        <v>8</v>
      </c>
      <c r="P271">
        <v>13</v>
      </c>
      <c r="Q271">
        <v>8</v>
      </c>
      <c r="R271">
        <v>3</v>
      </c>
      <c r="S271">
        <v>1</v>
      </c>
      <c r="T271">
        <v>1</v>
      </c>
      <c r="U271" s="1">
        <v>1</v>
      </c>
    </row>
    <row r="272" spans="1:21" x14ac:dyDescent="0.3">
      <c r="A272" t="s">
        <v>92</v>
      </c>
      <c r="B272" t="s">
        <v>113</v>
      </c>
      <c r="C272" s="2" t="s">
        <v>21</v>
      </c>
      <c r="D272" s="1">
        <v>5996</v>
      </c>
      <c r="E272">
        <v>116</v>
      </c>
      <c r="F272">
        <v>107</v>
      </c>
      <c r="G272">
        <v>67</v>
      </c>
      <c r="H272">
        <v>127</v>
      </c>
      <c r="I272">
        <v>676</v>
      </c>
      <c r="J272" s="1">
        <v>1217</v>
      </c>
      <c r="K272" s="1">
        <v>1208</v>
      </c>
      <c r="L272">
        <v>973</v>
      </c>
      <c r="M272">
        <v>595</v>
      </c>
      <c r="N272">
        <v>344</v>
      </c>
      <c r="O272">
        <v>178</v>
      </c>
      <c r="P272">
        <v>160</v>
      </c>
      <c r="Q272">
        <v>115</v>
      </c>
      <c r="R272">
        <v>61</v>
      </c>
      <c r="S272">
        <v>31</v>
      </c>
      <c r="T272">
        <v>16</v>
      </c>
      <c r="U272" s="1">
        <v>5</v>
      </c>
    </row>
    <row r="273" spans="1:21" x14ac:dyDescent="0.3">
      <c r="A273" t="s">
        <v>92</v>
      </c>
      <c r="B273" t="s">
        <v>113</v>
      </c>
      <c r="C273" s="2" t="s">
        <v>24</v>
      </c>
      <c r="D273" s="1">
        <v>4174</v>
      </c>
      <c r="E273">
        <v>51</v>
      </c>
      <c r="F273">
        <v>55</v>
      </c>
      <c r="G273">
        <v>32</v>
      </c>
      <c r="H273">
        <v>86</v>
      </c>
      <c r="I273">
        <v>531</v>
      </c>
      <c r="J273">
        <v>934</v>
      </c>
      <c r="K273">
        <v>903</v>
      </c>
      <c r="L273">
        <v>680</v>
      </c>
      <c r="M273">
        <v>373</v>
      </c>
      <c r="N273">
        <v>205</v>
      </c>
      <c r="O273">
        <v>98</v>
      </c>
      <c r="P273">
        <v>91</v>
      </c>
      <c r="Q273">
        <v>67</v>
      </c>
      <c r="R273">
        <v>31</v>
      </c>
      <c r="S273">
        <v>22</v>
      </c>
      <c r="T273">
        <v>11</v>
      </c>
      <c r="U273" s="1">
        <v>4</v>
      </c>
    </row>
    <row r="274" spans="1:21" x14ac:dyDescent="0.3">
      <c r="A274" t="s">
        <v>92</v>
      </c>
      <c r="B274" t="s">
        <v>113</v>
      </c>
      <c r="C274" s="2" t="s">
        <v>25</v>
      </c>
      <c r="D274" s="1">
        <v>1822</v>
      </c>
      <c r="E274">
        <v>65</v>
      </c>
      <c r="F274">
        <v>52</v>
      </c>
      <c r="G274">
        <v>35</v>
      </c>
      <c r="H274">
        <v>41</v>
      </c>
      <c r="I274">
        <v>145</v>
      </c>
      <c r="J274">
        <v>283</v>
      </c>
      <c r="K274">
        <v>305</v>
      </c>
      <c r="L274">
        <v>293</v>
      </c>
      <c r="M274">
        <v>222</v>
      </c>
      <c r="N274">
        <v>139</v>
      </c>
      <c r="O274">
        <v>80</v>
      </c>
      <c r="P274">
        <v>69</v>
      </c>
      <c r="Q274">
        <v>48</v>
      </c>
      <c r="R274">
        <v>30</v>
      </c>
      <c r="S274">
        <v>9</v>
      </c>
      <c r="T274">
        <v>5</v>
      </c>
      <c r="U274" s="1">
        <v>1</v>
      </c>
    </row>
    <row r="275" spans="1:21" x14ac:dyDescent="0.3">
      <c r="A275" t="s">
        <v>92</v>
      </c>
      <c r="B275" t="s">
        <v>114</v>
      </c>
      <c r="C275" s="2" t="s">
        <v>21</v>
      </c>
      <c r="D275" s="1">
        <v>4529</v>
      </c>
      <c r="E275">
        <v>60</v>
      </c>
      <c r="F275">
        <v>55</v>
      </c>
      <c r="G275">
        <v>25</v>
      </c>
      <c r="H275">
        <v>43</v>
      </c>
      <c r="I275">
        <v>369</v>
      </c>
      <c r="J275">
        <v>744</v>
      </c>
      <c r="K275">
        <v>985</v>
      </c>
      <c r="L275">
        <v>946</v>
      </c>
      <c r="M275">
        <v>601</v>
      </c>
      <c r="N275">
        <v>268</v>
      </c>
      <c r="O275">
        <v>183</v>
      </c>
      <c r="P275">
        <v>126</v>
      </c>
      <c r="Q275">
        <v>71</v>
      </c>
      <c r="R275">
        <v>33</v>
      </c>
      <c r="S275">
        <v>13</v>
      </c>
      <c r="T275">
        <v>4</v>
      </c>
      <c r="U275" s="1">
        <v>3</v>
      </c>
    </row>
    <row r="276" spans="1:21" x14ac:dyDescent="0.3">
      <c r="A276" t="s">
        <v>92</v>
      </c>
      <c r="B276" t="s">
        <v>114</v>
      </c>
      <c r="C276" s="2" t="s">
        <v>24</v>
      </c>
      <c r="D276" s="1">
        <v>3195</v>
      </c>
      <c r="E276">
        <v>30</v>
      </c>
      <c r="F276">
        <v>28</v>
      </c>
      <c r="G276">
        <v>12</v>
      </c>
      <c r="H276">
        <v>20</v>
      </c>
      <c r="I276">
        <v>270</v>
      </c>
      <c r="J276">
        <v>587</v>
      </c>
      <c r="K276">
        <v>772</v>
      </c>
      <c r="L276">
        <v>708</v>
      </c>
      <c r="M276">
        <v>394</v>
      </c>
      <c r="N276">
        <v>153</v>
      </c>
      <c r="O276">
        <v>100</v>
      </c>
      <c r="P276">
        <v>60</v>
      </c>
      <c r="Q276">
        <v>32</v>
      </c>
      <c r="R276">
        <v>19</v>
      </c>
      <c r="S276">
        <v>8</v>
      </c>
      <c r="T276">
        <v>2</v>
      </c>
      <c r="U276" s="1">
        <v>0</v>
      </c>
    </row>
    <row r="277" spans="1:21" x14ac:dyDescent="0.3">
      <c r="A277" t="s">
        <v>92</v>
      </c>
      <c r="B277" t="s">
        <v>114</v>
      </c>
      <c r="C277" s="2" t="s">
        <v>25</v>
      </c>
      <c r="D277" s="1">
        <v>1334</v>
      </c>
      <c r="E277">
        <v>30</v>
      </c>
      <c r="F277">
        <v>27</v>
      </c>
      <c r="G277">
        <v>13</v>
      </c>
      <c r="H277">
        <v>23</v>
      </c>
      <c r="I277">
        <v>99</v>
      </c>
      <c r="J277">
        <v>157</v>
      </c>
      <c r="K277">
        <v>213</v>
      </c>
      <c r="L277">
        <v>238</v>
      </c>
      <c r="M277">
        <v>207</v>
      </c>
      <c r="N277">
        <v>115</v>
      </c>
      <c r="O277">
        <v>83</v>
      </c>
      <c r="P277">
        <v>66</v>
      </c>
      <c r="Q277">
        <v>39</v>
      </c>
      <c r="R277">
        <v>14</v>
      </c>
      <c r="S277">
        <v>5</v>
      </c>
      <c r="T277">
        <v>2</v>
      </c>
      <c r="U277" s="1">
        <v>3</v>
      </c>
    </row>
    <row r="278" spans="1:21" x14ac:dyDescent="0.3">
      <c r="A278" t="s">
        <v>92</v>
      </c>
      <c r="B278" t="s">
        <v>115</v>
      </c>
      <c r="C278" s="2" t="s">
        <v>21</v>
      </c>
      <c r="D278" s="1">
        <v>3417</v>
      </c>
      <c r="E278">
        <v>30</v>
      </c>
      <c r="F278">
        <v>27</v>
      </c>
      <c r="G278">
        <v>30</v>
      </c>
      <c r="H278">
        <v>191</v>
      </c>
      <c r="I278">
        <v>508</v>
      </c>
      <c r="J278">
        <v>752</v>
      </c>
      <c r="K278">
        <v>573</v>
      </c>
      <c r="L278">
        <v>436</v>
      </c>
      <c r="M278">
        <v>298</v>
      </c>
      <c r="N278">
        <v>188</v>
      </c>
      <c r="O278">
        <v>142</v>
      </c>
      <c r="P278">
        <v>106</v>
      </c>
      <c r="Q278">
        <v>81</v>
      </c>
      <c r="R278">
        <v>31</v>
      </c>
      <c r="S278">
        <v>12</v>
      </c>
      <c r="T278">
        <v>5</v>
      </c>
      <c r="U278" s="1">
        <v>7</v>
      </c>
    </row>
    <row r="279" spans="1:21" x14ac:dyDescent="0.3">
      <c r="A279" t="s">
        <v>92</v>
      </c>
      <c r="B279" t="s">
        <v>115</v>
      </c>
      <c r="C279" s="2" t="s">
        <v>24</v>
      </c>
      <c r="D279" s="1">
        <v>1961</v>
      </c>
      <c r="E279">
        <v>11</v>
      </c>
      <c r="F279">
        <v>15</v>
      </c>
      <c r="G279">
        <v>13</v>
      </c>
      <c r="H279">
        <v>91</v>
      </c>
      <c r="I279">
        <v>286</v>
      </c>
      <c r="J279">
        <v>466</v>
      </c>
      <c r="K279">
        <v>380</v>
      </c>
      <c r="L279">
        <v>276</v>
      </c>
      <c r="M279">
        <v>160</v>
      </c>
      <c r="N279">
        <v>86</v>
      </c>
      <c r="O279">
        <v>67</v>
      </c>
      <c r="P279">
        <v>45</v>
      </c>
      <c r="Q279">
        <v>38</v>
      </c>
      <c r="R279">
        <v>16</v>
      </c>
      <c r="S279">
        <v>6</v>
      </c>
      <c r="T279">
        <v>3</v>
      </c>
      <c r="U279" s="1">
        <v>2</v>
      </c>
    </row>
    <row r="280" spans="1:21" x14ac:dyDescent="0.3">
      <c r="A280" t="s">
        <v>92</v>
      </c>
      <c r="B280" t="s">
        <v>115</v>
      </c>
      <c r="C280" s="2" t="s">
        <v>25</v>
      </c>
      <c r="D280" s="1">
        <v>1456</v>
      </c>
      <c r="E280">
        <v>19</v>
      </c>
      <c r="F280">
        <v>12</v>
      </c>
      <c r="G280">
        <v>17</v>
      </c>
      <c r="H280">
        <v>100</v>
      </c>
      <c r="I280">
        <v>222</v>
      </c>
      <c r="J280">
        <v>286</v>
      </c>
      <c r="K280">
        <v>193</v>
      </c>
      <c r="L280">
        <v>160</v>
      </c>
      <c r="M280">
        <v>138</v>
      </c>
      <c r="N280">
        <v>102</v>
      </c>
      <c r="O280">
        <v>75</v>
      </c>
      <c r="P280">
        <v>61</v>
      </c>
      <c r="Q280">
        <v>43</v>
      </c>
      <c r="R280">
        <v>15</v>
      </c>
      <c r="S280">
        <v>6</v>
      </c>
      <c r="T280">
        <v>2</v>
      </c>
      <c r="U280" s="1">
        <v>5</v>
      </c>
    </row>
    <row r="281" spans="1:21" x14ac:dyDescent="0.3">
      <c r="A281" t="s">
        <v>116</v>
      </c>
      <c r="B281" t="s">
        <v>21</v>
      </c>
      <c r="C281" s="2" t="s">
        <v>21</v>
      </c>
      <c r="D281" s="1">
        <v>28421</v>
      </c>
      <c r="E281">
        <v>794</v>
      </c>
      <c r="F281">
        <v>634</v>
      </c>
      <c r="G281">
        <v>458</v>
      </c>
      <c r="H281" s="1">
        <v>1706</v>
      </c>
      <c r="I281" s="1">
        <v>6806</v>
      </c>
      <c r="J281" s="1">
        <v>5620</v>
      </c>
      <c r="K281" s="1">
        <v>3708</v>
      </c>
      <c r="L281" s="1">
        <v>2873</v>
      </c>
      <c r="M281" s="1">
        <v>1923</v>
      </c>
      <c r="N281" s="1">
        <v>1199</v>
      </c>
      <c r="O281" s="1">
        <v>1005</v>
      </c>
      <c r="P281">
        <v>862</v>
      </c>
      <c r="Q281">
        <v>521</v>
      </c>
      <c r="R281">
        <v>191</v>
      </c>
      <c r="S281">
        <v>65</v>
      </c>
      <c r="T281">
        <v>24</v>
      </c>
      <c r="U281" s="1">
        <v>32</v>
      </c>
    </row>
    <row r="282" spans="1:21" x14ac:dyDescent="0.3">
      <c r="A282" t="s">
        <v>116</v>
      </c>
      <c r="B282" t="s">
        <v>21</v>
      </c>
      <c r="C282" s="2" t="s">
        <v>24</v>
      </c>
      <c r="D282" s="1">
        <f>D285+D288+D291+D294+D297</f>
        <v>15924</v>
      </c>
      <c r="E282" s="1">
        <f t="shared" ref="E282:U282" si="8">E285+E288+E291+E294+E297</f>
        <v>405</v>
      </c>
      <c r="F282" s="1">
        <f t="shared" si="8"/>
        <v>337</v>
      </c>
      <c r="G282" s="1">
        <f t="shared" si="8"/>
        <v>218</v>
      </c>
      <c r="H282" s="1">
        <f t="shared" si="8"/>
        <v>902</v>
      </c>
      <c r="I282" s="1">
        <f t="shared" si="8"/>
        <v>3936</v>
      </c>
      <c r="J282" s="1">
        <f t="shared" si="8"/>
        <v>3439</v>
      </c>
      <c r="K282" s="1">
        <f t="shared" si="8"/>
        <v>2317</v>
      </c>
      <c r="L282" s="1">
        <f t="shared" si="8"/>
        <v>1613</v>
      </c>
      <c r="M282" s="1">
        <f t="shared" si="8"/>
        <v>1029</v>
      </c>
      <c r="N282" s="1">
        <f t="shared" si="8"/>
        <v>595</v>
      </c>
      <c r="O282" s="1">
        <f t="shared" si="8"/>
        <v>433</v>
      </c>
      <c r="P282" s="1">
        <f t="shared" si="8"/>
        <v>350</v>
      </c>
      <c r="Q282" s="1">
        <f t="shared" si="8"/>
        <v>206</v>
      </c>
      <c r="R282" s="1">
        <f t="shared" si="8"/>
        <v>77</v>
      </c>
      <c r="S282" s="1">
        <f t="shared" si="8"/>
        <v>37</v>
      </c>
      <c r="T282" s="1">
        <f t="shared" si="8"/>
        <v>12</v>
      </c>
      <c r="U282" s="1">
        <f t="shared" si="8"/>
        <v>18</v>
      </c>
    </row>
    <row r="283" spans="1:21" x14ac:dyDescent="0.3">
      <c r="A283" t="s">
        <v>116</v>
      </c>
      <c r="B283" t="s">
        <v>21</v>
      </c>
      <c r="C283" s="2" t="s">
        <v>25</v>
      </c>
      <c r="D283" s="1">
        <f>D286+D289+D292+D295+D298</f>
        <v>12497</v>
      </c>
      <c r="E283" s="1">
        <f t="shared" ref="E283:U283" si="9">E286+E289+E292+E295+E298</f>
        <v>389</v>
      </c>
      <c r="F283" s="1">
        <f t="shared" si="9"/>
        <v>297</v>
      </c>
      <c r="G283" s="1">
        <f t="shared" si="9"/>
        <v>240</v>
      </c>
      <c r="H283" s="1">
        <f t="shared" si="9"/>
        <v>804</v>
      </c>
      <c r="I283" s="1">
        <f t="shared" si="9"/>
        <v>2870</v>
      </c>
      <c r="J283" s="1">
        <f t="shared" si="9"/>
        <v>2181</v>
      </c>
      <c r="K283" s="1">
        <f t="shared" si="9"/>
        <v>1391</v>
      </c>
      <c r="L283" s="1">
        <f t="shared" si="9"/>
        <v>1260</v>
      </c>
      <c r="M283" s="1">
        <f t="shared" si="9"/>
        <v>894</v>
      </c>
      <c r="N283" s="1">
        <f t="shared" si="9"/>
        <v>604</v>
      </c>
      <c r="O283" s="1">
        <f t="shared" si="9"/>
        <v>572</v>
      </c>
      <c r="P283" s="1">
        <f t="shared" si="9"/>
        <v>512</v>
      </c>
      <c r="Q283" s="1">
        <f t="shared" si="9"/>
        <v>315</v>
      </c>
      <c r="R283" s="1">
        <f t="shared" si="9"/>
        <v>114</v>
      </c>
      <c r="S283" s="1">
        <f t="shared" si="9"/>
        <v>28</v>
      </c>
      <c r="T283" s="1">
        <f t="shared" si="9"/>
        <v>12</v>
      </c>
      <c r="U283" s="1">
        <f t="shared" si="9"/>
        <v>14</v>
      </c>
    </row>
    <row r="284" spans="1:21" x14ac:dyDescent="0.3">
      <c r="A284" t="s">
        <v>116</v>
      </c>
      <c r="B284" t="s">
        <v>117</v>
      </c>
      <c r="C284" s="2" t="s">
        <v>21</v>
      </c>
      <c r="D284" s="1">
        <v>16146</v>
      </c>
      <c r="E284">
        <v>558</v>
      </c>
      <c r="F284">
        <v>509</v>
      </c>
      <c r="G284">
        <v>366</v>
      </c>
      <c r="H284">
        <v>699</v>
      </c>
      <c r="I284" s="1">
        <v>3854</v>
      </c>
      <c r="J284" s="1">
        <v>3107</v>
      </c>
      <c r="K284" s="1">
        <v>2140</v>
      </c>
      <c r="L284" s="1">
        <v>1692</v>
      </c>
      <c r="M284" s="1">
        <v>1169</v>
      </c>
      <c r="N284">
        <v>705</v>
      </c>
      <c r="O284">
        <v>551</v>
      </c>
      <c r="P284">
        <v>453</v>
      </c>
      <c r="Q284">
        <v>241</v>
      </c>
      <c r="R284">
        <v>78</v>
      </c>
      <c r="S284">
        <v>16</v>
      </c>
      <c r="T284">
        <v>4</v>
      </c>
      <c r="U284" s="1">
        <v>4</v>
      </c>
    </row>
    <row r="285" spans="1:21" x14ac:dyDescent="0.3">
      <c r="A285" t="s">
        <v>116</v>
      </c>
      <c r="B285" t="s">
        <v>117</v>
      </c>
      <c r="C285" s="2" t="s">
        <v>24</v>
      </c>
      <c r="D285" s="1">
        <v>9696</v>
      </c>
      <c r="E285">
        <v>290</v>
      </c>
      <c r="F285">
        <v>274</v>
      </c>
      <c r="G285">
        <v>174</v>
      </c>
      <c r="H285">
        <v>345</v>
      </c>
      <c r="I285" s="1">
        <v>2381</v>
      </c>
      <c r="J285" s="1">
        <v>2084</v>
      </c>
      <c r="K285" s="1">
        <v>1447</v>
      </c>
      <c r="L285" s="1">
        <v>1040</v>
      </c>
      <c r="M285">
        <v>685</v>
      </c>
      <c r="N285">
        <v>379</v>
      </c>
      <c r="O285">
        <v>261</v>
      </c>
      <c r="P285">
        <v>195</v>
      </c>
      <c r="Q285">
        <v>100</v>
      </c>
      <c r="R285">
        <v>28</v>
      </c>
      <c r="S285">
        <v>8</v>
      </c>
      <c r="T285">
        <v>2</v>
      </c>
      <c r="U285" s="1">
        <v>3</v>
      </c>
    </row>
    <row r="286" spans="1:21" x14ac:dyDescent="0.3">
      <c r="A286" t="s">
        <v>116</v>
      </c>
      <c r="B286" t="s">
        <v>117</v>
      </c>
      <c r="C286" s="2" t="s">
        <v>25</v>
      </c>
      <c r="D286" s="1">
        <v>6450</v>
      </c>
      <c r="E286">
        <v>268</v>
      </c>
      <c r="F286">
        <v>235</v>
      </c>
      <c r="G286">
        <v>192</v>
      </c>
      <c r="H286">
        <v>354</v>
      </c>
      <c r="I286" s="1">
        <v>1473</v>
      </c>
      <c r="J286" s="1">
        <v>1023</v>
      </c>
      <c r="K286">
        <v>693</v>
      </c>
      <c r="L286">
        <v>652</v>
      </c>
      <c r="M286">
        <v>484</v>
      </c>
      <c r="N286">
        <v>326</v>
      </c>
      <c r="O286">
        <v>290</v>
      </c>
      <c r="P286">
        <v>258</v>
      </c>
      <c r="Q286">
        <v>141</v>
      </c>
      <c r="R286">
        <v>50</v>
      </c>
      <c r="S286">
        <v>8</v>
      </c>
      <c r="T286">
        <v>2</v>
      </c>
      <c r="U286" s="1">
        <v>1</v>
      </c>
    </row>
    <row r="287" spans="1:21" x14ac:dyDescent="0.3">
      <c r="A287" t="s">
        <v>116</v>
      </c>
      <c r="B287" t="s">
        <v>118</v>
      </c>
      <c r="C287" s="2" t="s">
        <v>21</v>
      </c>
      <c r="D287" s="1">
        <v>1749</v>
      </c>
      <c r="E287">
        <v>15</v>
      </c>
      <c r="F287">
        <v>13</v>
      </c>
      <c r="G287">
        <v>11</v>
      </c>
      <c r="H287">
        <v>223</v>
      </c>
      <c r="I287">
        <v>436</v>
      </c>
      <c r="J287">
        <v>287</v>
      </c>
      <c r="K287">
        <v>168</v>
      </c>
      <c r="L287">
        <v>150</v>
      </c>
      <c r="M287">
        <v>116</v>
      </c>
      <c r="N287">
        <v>94</v>
      </c>
      <c r="O287">
        <v>69</v>
      </c>
      <c r="P287">
        <v>84</v>
      </c>
      <c r="Q287">
        <v>41</v>
      </c>
      <c r="R287">
        <v>19</v>
      </c>
      <c r="S287">
        <v>15</v>
      </c>
      <c r="T287">
        <v>3</v>
      </c>
      <c r="U287" s="1">
        <v>5</v>
      </c>
    </row>
    <row r="288" spans="1:21" x14ac:dyDescent="0.3">
      <c r="A288" t="s">
        <v>116</v>
      </c>
      <c r="B288" t="s">
        <v>118</v>
      </c>
      <c r="C288" s="2" t="s">
        <v>24</v>
      </c>
      <c r="D288">
        <v>727</v>
      </c>
      <c r="E288">
        <v>9</v>
      </c>
      <c r="F288">
        <v>7</v>
      </c>
      <c r="G288">
        <v>4</v>
      </c>
      <c r="H288">
        <v>97</v>
      </c>
      <c r="I288">
        <v>198</v>
      </c>
      <c r="J288">
        <v>128</v>
      </c>
      <c r="K288">
        <v>84</v>
      </c>
      <c r="L288">
        <v>53</v>
      </c>
      <c r="M288">
        <v>29</v>
      </c>
      <c r="N288">
        <v>32</v>
      </c>
      <c r="O288">
        <v>22</v>
      </c>
      <c r="P288">
        <v>28</v>
      </c>
      <c r="Q288">
        <v>13</v>
      </c>
      <c r="R288">
        <v>10</v>
      </c>
      <c r="S288">
        <v>9</v>
      </c>
      <c r="T288">
        <v>2</v>
      </c>
      <c r="U288" s="1">
        <v>2</v>
      </c>
    </row>
    <row r="289" spans="1:21" x14ac:dyDescent="0.3">
      <c r="A289" t="s">
        <v>116</v>
      </c>
      <c r="B289" t="s">
        <v>118</v>
      </c>
      <c r="C289" s="2" t="s">
        <v>25</v>
      </c>
      <c r="D289" s="1">
        <v>1022</v>
      </c>
      <c r="E289">
        <v>6</v>
      </c>
      <c r="F289">
        <v>6</v>
      </c>
      <c r="G289">
        <v>7</v>
      </c>
      <c r="H289">
        <v>126</v>
      </c>
      <c r="I289">
        <v>238</v>
      </c>
      <c r="J289">
        <v>159</v>
      </c>
      <c r="K289">
        <v>84</v>
      </c>
      <c r="L289">
        <v>97</v>
      </c>
      <c r="M289">
        <v>87</v>
      </c>
      <c r="N289">
        <v>62</v>
      </c>
      <c r="O289">
        <v>47</v>
      </c>
      <c r="P289">
        <v>56</v>
      </c>
      <c r="Q289">
        <v>28</v>
      </c>
      <c r="R289">
        <v>9</v>
      </c>
      <c r="S289">
        <v>6</v>
      </c>
      <c r="T289">
        <v>1</v>
      </c>
      <c r="U289" s="1">
        <v>3</v>
      </c>
    </row>
    <row r="290" spans="1:21" x14ac:dyDescent="0.3">
      <c r="A290" t="s">
        <v>116</v>
      </c>
      <c r="B290" t="s">
        <v>119</v>
      </c>
      <c r="C290" s="2" t="s">
        <v>21</v>
      </c>
      <c r="D290" s="1">
        <v>1930</v>
      </c>
      <c r="E290">
        <v>32</v>
      </c>
      <c r="F290">
        <v>12</v>
      </c>
      <c r="G290">
        <v>4</v>
      </c>
      <c r="H290">
        <v>195</v>
      </c>
      <c r="I290">
        <v>533</v>
      </c>
      <c r="J290">
        <v>516</v>
      </c>
      <c r="K290">
        <v>223</v>
      </c>
      <c r="L290">
        <v>126</v>
      </c>
      <c r="M290">
        <v>90</v>
      </c>
      <c r="N290">
        <v>48</v>
      </c>
      <c r="O290">
        <v>41</v>
      </c>
      <c r="P290">
        <v>41</v>
      </c>
      <c r="Q290">
        <v>37</v>
      </c>
      <c r="R290">
        <v>13</v>
      </c>
      <c r="S290">
        <v>5</v>
      </c>
      <c r="T290">
        <v>6</v>
      </c>
      <c r="U290" s="1">
        <v>8</v>
      </c>
    </row>
    <row r="291" spans="1:21" x14ac:dyDescent="0.3">
      <c r="A291" t="s">
        <v>116</v>
      </c>
      <c r="B291" t="s">
        <v>119</v>
      </c>
      <c r="C291" s="2" t="s">
        <v>24</v>
      </c>
      <c r="D291" s="1">
        <v>1065</v>
      </c>
      <c r="E291">
        <v>12</v>
      </c>
      <c r="F291">
        <v>6</v>
      </c>
      <c r="G291">
        <v>2</v>
      </c>
      <c r="H291">
        <v>119</v>
      </c>
      <c r="I291">
        <v>283</v>
      </c>
      <c r="J291">
        <v>292</v>
      </c>
      <c r="K291">
        <v>126</v>
      </c>
      <c r="L291">
        <v>72</v>
      </c>
      <c r="M291">
        <v>47</v>
      </c>
      <c r="N291">
        <v>32</v>
      </c>
      <c r="O291">
        <v>24</v>
      </c>
      <c r="P291">
        <v>15</v>
      </c>
      <c r="Q291">
        <v>18</v>
      </c>
      <c r="R291">
        <v>6</v>
      </c>
      <c r="S291">
        <v>3</v>
      </c>
      <c r="T291">
        <v>4</v>
      </c>
      <c r="U291" s="1">
        <v>4</v>
      </c>
    </row>
    <row r="292" spans="1:21" x14ac:dyDescent="0.3">
      <c r="A292" t="s">
        <v>116</v>
      </c>
      <c r="B292" t="s">
        <v>119</v>
      </c>
      <c r="C292" s="2" t="s">
        <v>25</v>
      </c>
      <c r="D292">
        <v>865</v>
      </c>
      <c r="E292">
        <v>20</v>
      </c>
      <c r="F292">
        <v>6</v>
      </c>
      <c r="G292">
        <v>2</v>
      </c>
      <c r="H292">
        <v>76</v>
      </c>
      <c r="I292">
        <v>250</v>
      </c>
      <c r="J292">
        <v>224</v>
      </c>
      <c r="K292">
        <v>97</v>
      </c>
      <c r="L292">
        <v>54</v>
      </c>
      <c r="M292">
        <v>43</v>
      </c>
      <c r="N292">
        <v>16</v>
      </c>
      <c r="O292">
        <v>17</v>
      </c>
      <c r="P292">
        <v>26</v>
      </c>
      <c r="Q292">
        <v>19</v>
      </c>
      <c r="R292">
        <v>7</v>
      </c>
      <c r="S292">
        <v>2</v>
      </c>
      <c r="T292">
        <v>2</v>
      </c>
      <c r="U292" s="1">
        <v>4</v>
      </c>
    </row>
    <row r="293" spans="1:21" x14ac:dyDescent="0.3">
      <c r="A293" t="s">
        <v>116</v>
      </c>
      <c r="B293" t="s">
        <v>120</v>
      </c>
      <c r="C293" s="2" t="s">
        <v>21</v>
      </c>
      <c r="D293" s="1">
        <v>5680</v>
      </c>
      <c r="E293">
        <v>156</v>
      </c>
      <c r="F293">
        <v>80</v>
      </c>
      <c r="G293">
        <v>53</v>
      </c>
      <c r="H293">
        <v>397</v>
      </c>
      <c r="I293" s="1">
        <v>1192</v>
      </c>
      <c r="J293" s="1">
        <v>1197</v>
      </c>
      <c r="K293">
        <v>804</v>
      </c>
      <c r="L293">
        <v>600</v>
      </c>
      <c r="M293">
        <v>358</v>
      </c>
      <c r="N293">
        <v>223</v>
      </c>
      <c r="O293">
        <v>220</v>
      </c>
      <c r="P293">
        <v>172</v>
      </c>
      <c r="Q293">
        <v>137</v>
      </c>
      <c r="R293">
        <v>58</v>
      </c>
      <c r="S293">
        <v>21</v>
      </c>
      <c r="T293">
        <v>5</v>
      </c>
      <c r="U293" s="1">
        <v>7</v>
      </c>
    </row>
    <row r="294" spans="1:21" x14ac:dyDescent="0.3">
      <c r="A294" t="s">
        <v>116</v>
      </c>
      <c r="B294" t="s">
        <v>120</v>
      </c>
      <c r="C294" s="2" t="s">
        <v>24</v>
      </c>
      <c r="D294" s="1">
        <v>2907</v>
      </c>
      <c r="E294">
        <v>75</v>
      </c>
      <c r="F294">
        <v>38</v>
      </c>
      <c r="G294">
        <v>23</v>
      </c>
      <c r="H294">
        <v>234</v>
      </c>
      <c r="I294">
        <v>671</v>
      </c>
      <c r="J294">
        <v>646</v>
      </c>
      <c r="K294">
        <v>433</v>
      </c>
      <c r="L294">
        <v>287</v>
      </c>
      <c r="M294">
        <v>165</v>
      </c>
      <c r="N294">
        <v>95</v>
      </c>
      <c r="O294">
        <v>81</v>
      </c>
      <c r="P294">
        <v>69</v>
      </c>
      <c r="Q294">
        <v>48</v>
      </c>
      <c r="R294">
        <v>25</v>
      </c>
      <c r="S294">
        <v>11</v>
      </c>
      <c r="T294">
        <v>2</v>
      </c>
      <c r="U294" s="1">
        <v>4</v>
      </c>
    </row>
    <row r="295" spans="1:21" x14ac:dyDescent="0.3">
      <c r="A295" t="s">
        <v>116</v>
      </c>
      <c r="B295" t="s">
        <v>120</v>
      </c>
      <c r="C295" s="2" t="s">
        <v>25</v>
      </c>
      <c r="D295" s="1">
        <v>2773</v>
      </c>
      <c r="E295">
        <v>81</v>
      </c>
      <c r="F295">
        <v>42</v>
      </c>
      <c r="G295">
        <v>30</v>
      </c>
      <c r="H295">
        <v>163</v>
      </c>
      <c r="I295">
        <v>521</v>
      </c>
      <c r="J295">
        <v>551</v>
      </c>
      <c r="K295">
        <v>371</v>
      </c>
      <c r="L295">
        <v>313</v>
      </c>
      <c r="M295">
        <v>193</v>
      </c>
      <c r="N295">
        <v>128</v>
      </c>
      <c r="O295">
        <v>139</v>
      </c>
      <c r="P295">
        <v>103</v>
      </c>
      <c r="Q295">
        <v>89</v>
      </c>
      <c r="R295">
        <v>33</v>
      </c>
      <c r="S295">
        <v>10</v>
      </c>
      <c r="T295">
        <v>3</v>
      </c>
      <c r="U295" s="1">
        <v>3</v>
      </c>
    </row>
    <row r="296" spans="1:21" x14ac:dyDescent="0.3">
      <c r="A296" t="s">
        <v>116</v>
      </c>
      <c r="B296" t="s">
        <v>121</v>
      </c>
      <c r="C296" s="2" t="s">
        <v>21</v>
      </c>
      <c r="D296" s="1">
        <v>2916</v>
      </c>
      <c r="E296">
        <v>33</v>
      </c>
      <c r="F296">
        <v>20</v>
      </c>
      <c r="G296">
        <v>24</v>
      </c>
      <c r="H296">
        <v>192</v>
      </c>
      <c r="I296">
        <v>791</v>
      </c>
      <c r="J296">
        <v>513</v>
      </c>
      <c r="K296">
        <v>373</v>
      </c>
      <c r="L296">
        <v>305</v>
      </c>
      <c r="M296">
        <v>190</v>
      </c>
      <c r="N296">
        <v>129</v>
      </c>
      <c r="O296">
        <v>124</v>
      </c>
      <c r="P296">
        <v>112</v>
      </c>
      <c r="Q296">
        <v>65</v>
      </c>
      <c r="R296">
        <v>23</v>
      </c>
      <c r="S296">
        <v>8</v>
      </c>
      <c r="T296">
        <v>6</v>
      </c>
      <c r="U296" s="1">
        <v>8</v>
      </c>
    </row>
    <row r="297" spans="1:21" x14ac:dyDescent="0.3">
      <c r="A297" t="s">
        <v>116</v>
      </c>
      <c r="B297" t="s">
        <v>121</v>
      </c>
      <c r="C297" s="2" t="s">
        <v>24</v>
      </c>
      <c r="D297" s="1">
        <v>1529</v>
      </c>
      <c r="E297">
        <v>19</v>
      </c>
      <c r="F297">
        <v>12</v>
      </c>
      <c r="G297">
        <v>15</v>
      </c>
      <c r="H297">
        <v>107</v>
      </c>
      <c r="I297">
        <v>403</v>
      </c>
      <c r="J297">
        <v>289</v>
      </c>
      <c r="K297">
        <v>227</v>
      </c>
      <c r="L297">
        <v>161</v>
      </c>
      <c r="M297">
        <v>103</v>
      </c>
      <c r="N297">
        <v>57</v>
      </c>
      <c r="O297">
        <v>45</v>
      </c>
      <c r="P297">
        <v>43</v>
      </c>
      <c r="Q297">
        <v>27</v>
      </c>
      <c r="R297">
        <v>8</v>
      </c>
      <c r="S297">
        <v>6</v>
      </c>
      <c r="T297">
        <v>2</v>
      </c>
      <c r="U297" s="1">
        <v>5</v>
      </c>
    </row>
    <row r="298" spans="1:21" x14ac:dyDescent="0.3">
      <c r="A298" t="s">
        <v>116</v>
      </c>
      <c r="B298" t="s">
        <v>121</v>
      </c>
      <c r="C298" s="2" t="s">
        <v>25</v>
      </c>
      <c r="D298" s="1">
        <v>1387</v>
      </c>
      <c r="E298">
        <v>14</v>
      </c>
      <c r="F298">
        <v>8</v>
      </c>
      <c r="G298">
        <v>9</v>
      </c>
      <c r="H298">
        <v>85</v>
      </c>
      <c r="I298">
        <v>388</v>
      </c>
      <c r="J298">
        <v>224</v>
      </c>
      <c r="K298">
        <v>146</v>
      </c>
      <c r="L298">
        <v>144</v>
      </c>
      <c r="M298">
        <v>87</v>
      </c>
      <c r="N298">
        <v>72</v>
      </c>
      <c r="O298">
        <v>79</v>
      </c>
      <c r="P298">
        <v>69</v>
      </c>
      <c r="Q298">
        <v>38</v>
      </c>
      <c r="R298">
        <v>15</v>
      </c>
      <c r="S298">
        <v>2</v>
      </c>
      <c r="T298">
        <v>4</v>
      </c>
      <c r="U298" s="1">
        <v>3</v>
      </c>
    </row>
    <row r="299" spans="1:21" x14ac:dyDescent="0.3">
      <c r="A299" t="s">
        <v>122</v>
      </c>
      <c r="B299" t="s">
        <v>21</v>
      </c>
      <c r="C299" s="2" t="s">
        <v>21</v>
      </c>
      <c r="D299" s="1">
        <v>40024</v>
      </c>
      <c r="E299">
        <v>846</v>
      </c>
      <c r="F299">
        <v>696</v>
      </c>
      <c r="G299">
        <v>466</v>
      </c>
      <c r="H299" s="1">
        <v>2566</v>
      </c>
      <c r="I299" s="1">
        <v>8031</v>
      </c>
      <c r="J299" s="1">
        <v>7430</v>
      </c>
      <c r="K299" s="1">
        <v>5481</v>
      </c>
      <c r="L299" s="1">
        <v>4947</v>
      </c>
      <c r="M299" s="1">
        <v>3187</v>
      </c>
      <c r="N299" s="1">
        <v>2039</v>
      </c>
      <c r="O299" s="1">
        <v>1551</v>
      </c>
      <c r="P299" s="1">
        <v>1314</v>
      </c>
      <c r="Q299">
        <v>818</v>
      </c>
      <c r="R299">
        <v>329</v>
      </c>
      <c r="S299">
        <v>169</v>
      </c>
      <c r="T299">
        <v>73</v>
      </c>
      <c r="U299" s="1">
        <v>81</v>
      </c>
    </row>
    <row r="300" spans="1:21" x14ac:dyDescent="0.3">
      <c r="A300" t="s">
        <v>122</v>
      </c>
      <c r="B300" t="s">
        <v>21</v>
      </c>
      <c r="C300" s="2" t="s">
        <v>24</v>
      </c>
      <c r="D300" s="1">
        <f>D303+D306+D309+D312+D315+D318+D321+D324+D327</f>
        <v>21700</v>
      </c>
      <c r="E300" s="1">
        <f t="shared" ref="E300:U300" si="10">E303+E306+E309+E312+E315+E318+E321+E324+E327</f>
        <v>426</v>
      </c>
      <c r="F300" s="1">
        <f t="shared" si="10"/>
        <v>361</v>
      </c>
      <c r="G300" s="1">
        <f t="shared" si="10"/>
        <v>226</v>
      </c>
      <c r="H300" s="1">
        <f t="shared" si="10"/>
        <v>1127</v>
      </c>
      <c r="I300" s="1">
        <f t="shared" si="10"/>
        <v>4092</v>
      </c>
      <c r="J300" s="1">
        <f t="shared" si="10"/>
        <v>4276</v>
      </c>
      <c r="K300" s="1">
        <f t="shared" si="10"/>
        <v>3333</v>
      </c>
      <c r="L300" s="1">
        <f t="shared" si="10"/>
        <v>2922</v>
      </c>
      <c r="M300" s="1">
        <f t="shared" si="10"/>
        <v>1783</v>
      </c>
      <c r="N300" s="1">
        <f t="shared" si="10"/>
        <v>1030</v>
      </c>
      <c r="O300" s="1">
        <f t="shared" si="10"/>
        <v>768</v>
      </c>
      <c r="P300" s="1">
        <f t="shared" si="10"/>
        <v>627</v>
      </c>
      <c r="Q300" s="1">
        <f t="shared" si="10"/>
        <v>395</v>
      </c>
      <c r="R300" s="1">
        <f t="shared" si="10"/>
        <v>171</v>
      </c>
      <c r="S300" s="1">
        <f t="shared" si="10"/>
        <v>91</v>
      </c>
      <c r="T300" s="1">
        <f t="shared" si="10"/>
        <v>37</v>
      </c>
      <c r="U300" s="1">
        <f t="shared" si="10"/>
        <v>35</v>
      </c>
    </row>
    <row r="301" spans="1:21" x14ac:dyDescent="0.3">
      <c r="A301" t="s">
        <v>122</v>
      </c>
      <c r="B301" t="s">
        <v>21</v>
      </c>
      <c r="C301" s="2" t="s">
        <v>25</v>
      </c>
      <c r="D301" s="1">
        <f>D304+D307+D310+D313+D316+D319+D322+D325+D328</f>
        <v>18324</v>
      </c>
      <c r="E301" s="1">
        <f t="shared" ref="E301:U301" si="11">E304+E307+E310+E313+E316+E319+E322+E325+E328</f>
        <v>420</v>
      </c>
      <c r="F301" s="1">
        <f t="shared" si="11"/>
        <v>335</v>
      </c>
      <c r="G301" s="1">
        <f t="shared" si="11"/>
        <v>240</v>
      </c>
      <c r="H301" s="1">
        <f t="shared" si="11"/>
        <v>1439</v>
      </c>
      <c r="I301" s="1">
        <f t="shared" si="11"/>
        <v>3939</v>
      </c>
      <c r="J301" s="1">
        <f t="shared" si="11"/>
        <v>3154</v>
      </c>
      <c r="K301" s="1">
        <f t="shared" si="11"/>
        <v>2148</v>
      </c>
      <c r="L301" s="1">
        <f t="shared" si="11"/>
        <v>2025</v>
      </c>
      <c r="M301" s="1">
        <f t="shared" si="11"/>
        <v>1404</v>
      </c>
      <c r="N301" s="1">
        <f t="shared" si="11"/>
        <v>1009</v>
      </c>
      <c r="O301" s="1">
        <f t="shared" si="11"/>
        <v>783</v>
      </c>
      <c r="P301" s="1">
        <f t="shared" si="11"/>
        <v>687</v>
      </c>
      <c r="Q301" s="1">
        <f t="shared" si="11"/>
        <v>423</v>
      </c>
      <c r="R301" s="1">
        <f t="shared" si="11"/>
        <v>158</v>
      </c>
      <c r="S301" s="1">
        <f t="shared" si="11"/>
        <v>78</v>
      </c>
      <c r="T301" s="1">
        <f t="shared" si="11"/>
        <v>36</v>
      </c>
      <c r="U301" s="1">
        <f t="shared" si="11"/>
        <v>46</v>
      </c>
    </row>
    <row r="302" spans="1:21" x14ac:dyDescent="0.3">
      <c r="A302" t="s">
        <v>122</v>
      </c>
      <c r="B302" t="s">
        <v>123</v>
      </c>
      <c r="C302" s="2" t="s">
        <v>21</v>
      </c>
      <c r="D302">
        <v>604</v>
      </c>
      <c r="E302">
        <v>1</v>
      </c>
      <c r="F302">
        <v>4</v>
      </c>
      <c r="G302">
        <v>3</v>
      </c>
      <c r="H302">
        <v>2</v>
      </c>
      <c r="I302">
        <v>73</v>
      </c>
      <c r="J302">
        <v>114</v>
      </c>
      <c r="K302">
        <v>144</v>
      </c>
      <c r="L302">
        <v>124</v>
      </c>
      <c r="M302">
        <v>56</v>
      </c>
      <c r="N302">
        <v>27</v>
      </c>
      <c r="O302">
        <v>22</v>
      </c>
      <c r="P302">
        <v>21</v>
      </c>
      <c r="Q302">
        <v>5</v>
      </c>
      <c r="R302">
        <v>3</v>
      </c>
      <c r="S302">
        <v>3</v>
      </c>
      <c r="T302">
        <v>1</v>
      </c>
      <c r="U302" s="1">
        <v>1</v>
      </c>
    </row>
    <row r="303" spans="1:21" x14ac:dyDescent="0.3">
      <c r="A303" t="s">
        <v>122</v>
      </c>
      <c r="B303" t="s">
        <v>123</v>
      </c>
      <c r="C303" s="2" t="s">
        <v>24</v>
      </c>
      <c r="D303">
        <v>462</v>
      </c>
      <c r="E303">
        <v>0</v>
      </c>
      <c r="F303">
        <v>2</v>
      </c>
      <c r="G303">
        <v>1</v>
      </c>
      <c r="H303">
        <v>1</v>
      </c>
      <c r="I303">
        <v>61</v>
      </c>
      <c r="J303">
        <v>93</v>
      </c>
      <c r="K303">
        <v>121</v>
      </c>
      <c r="L303">
        <v>98</v>
      </c>
      <c r="M303">
        <v>42</v>
      </c>
      <c r="N303">
        <v>13</v>
      </c>
      <c r="O303">
        <v>11</v>
      </c>
      <c r="P303">
        <v>12</v>
      </c>
      <c r="Q303">
        <v>2</v>
      </c>
      <c r="R303">
        <v>2</v>
      </c>
      <c r="S303">
        <v>1</v>
      </c>
      <c r="T303">
        <v>1</v>
      </c>
      <c r="U303" s="1">
        <v>1</v>
      </c>
    </row>
    <row r="304" spans="1:21" x14ac:dyDescent="0.3">
      <c r="A304" t="s">
        <v>122</v>
      </c>
      <c r="B304" t="s">
        <v>123</v>
      </c>
      <c r="C304" s="2" t="s">
        <v>25</v>
      </c>
      <c r="D304">
        <v>142</v>
      </c>
      <c r="E304">
        <v>1</v>
      </c>
      <c r="F304">
        <v>2</v>
      </c>
      <c r="G304">
        <v>2</v>
      </c>
      <c r="H304">
        <v>1</v>
      </c>
      <c r="I304">
        <v>12</v>
      </c>
      <c r="J304">
        <v>21</v>
      </c>
      <c r="K304">
        <v>23</v>
      </c>
      <c r="L304">
        <v>26</v>
      </c>
      <c r="M304">
        <v>14</v>
      </c>
      <c r="N304">
        <v>14</v>
      </c>
      <c r="O304">
        <v>11</v>
      </c>
      <c r="P304">
        <v>9</v>
      </c>
      <c r="Q304">
        <v>3</v>
      </c>
      <c r="R304">
        <v>1</v>
      </c>
      <c r="S304">
        <v>2</v>
      </c>
      <c r="T304">
        <v>0</v>
      </c>
      <c r="U304" s="1">
        <v>0</v>
      </c>
    </row>
    <row r="305" spans="1:21" x14ac:dyDescent="0.3">
      <c r="A305" t="s">
        <v>122</v>
      </c>
      <c r="B305" t="s">
        <v>118</v>
      </c>
      <c r="C305" s="2" t="s">
        <v>21</v>
      </c>
      <c r="D305" s="1">
        <v>2377</v>
      </c>
      <c r="E305">
        <v>30</v>
      </c>
      <c r="F305">
        <v>21</v>
      </c>
      <c r="G305">
        <v>21</v>
      </c>
      <c r="H305">
        <v>244</v>
      </c>
      <c r="I305">
        <v>447</v>
      </c>
      <c r="J305">
        <v>472</v>
      </c>
      <c r="K305">
        <v>227</v>
      </c>
      <c r="L305">
        <v>204</v>
      </c>
      <c r="M305">
        <v>209</v>
      </c>
      <c r="N305">
        <v>135</v>
      </c>
      <c r="O305">
        <v>100</v>
      </c>
      <c r="P305">
        <v>86</v>
      </c>
      <c r="Q305">
        <v>59</v>
      </c>
      <c r="R305">
        <v>55</v>
      </c>
      <c r="S305">
        <v>35</v>
      </c>
      <c r="T305">
        <v>16</v>
      </c>
      <c r="U305" s="1">
        <v>16</v>
      </c>
    </row>
    <row r="306" spans="1:21" x14ac:dyDescent="0.3">
      <c r="A306" t="s">
        <v>122</v>
      </c>
      <c r="B306" t="s">
        <v>118</v>
      </c>
      <c r="C306" s="2" t="s">
        <v>24</v>
      </c>
      <c r="D306" s="1">
        <v>1071</v>
      </c>
      <c r="E306">
        <v>17</v>
      </c>
      <c r="F306">
        <v>11</v>
      </c>
      <c r="G306">
        <v>10</v>
      </c>
      <c r="H306">
        <v>133</v>
      </c>
      <c r="I306">
        <v>194</v>
      </c>
      <c r="J306">
        <v>223</v>
      </c>
      <c r="K306">
        <v>73</v>
      </c>
      <c r="L306">
        <v>80</v>
      </c>
      <c r="M306">
        <v>80</v>
      </c>
      <c r="N306">
        <v>58</v>
      </c>
      <c r="O306">
        <v>39</v>
      </c>
      <c r="P306">
        <v>43</v>
      </c>
      <c r="Q306">
        <v>33</v>
      </c>
      <c r="R306">
        <v>33</v>
      </c>
      <c r="S306">
        <v>24</v>
      </c>
      <c r="T306">
        <v>13</v>
      </c>
      <c r="U306" s="1">
        <v>7</v>
      </c>
    </row>
    <row r="307" spans="1:21" x14ac:dyDescent="0.3">
      <c r="A307" t="s">
        <v>122</v>
      </c>
      <c r="B307" t="s">
        <v>118</v>
      </c>
      <c r="C307" s="2" t="s">
        <v>25</v>
      </c>
      <c r="D307" s="1">
        <v>1306</v>
      </c>
      <c r="E307">
        <v>13</v>
      </c>
      <c r="F307">
        <v>10</v>
      </c>
      <c r="G307">
        <v>11</v>
      </c>
      <c r="H307">
        <v>111</v>
      </c>
      <c r="I307">
        <v>253</v>
      </c>
      <c r="J307">
        <v>249</v>
      </c>
      <c r="K307">
        <v>154</v>
      </c>
      <c r="L307">
        <v>124</v>
      </c>
      <c r="M307">
        <v>129</v>
      </c>
      <c r="N307">
        <v>77</v>
      </c>
      <c r="O307">
        <v>61</v>
      </c>
      <c r="P307">
        <v>43</v>
      </c>
      <c r="Q307">
        <v>26</v>
      </c>
      <c r="R307">
        <v>22</v>
      </c>
      <c r="S307">
        <v>11</v>
      </c>
      <c r="T307">
        <v>3</v>
      </c>
      <c r="U307" s="1">
        <v>9</v>
      </c>
    </row>
    <row r="308" spans="1:21" x14ac:dyDescent="0.3">
      <c r="A308" t="s">
        <v>122</v>
      </c>
      <c r="B308" t="s">
        <v>124</v>
      </c>
      <c r="C308" s="2" t="s">
        <v>21</v>
      </c>
      <c r="D308" s="1">
        <v>13795</v>
      </c>
      <c r="E308">
        <v>215</v>
      </c>
      <c r="F308">
        <v>161</v>
      </c>
      <c r="G308">
        <v>104</v>
      </c>
      <c r="H308" s="1">
        <v>1211</v>
      </c>
      <c r="I308" s="1">
        <v>3634</v>
      </c>
      <c r="J308" s="1">
        <v>2902</v>
      </c>
      <c r="K308" s="1">
        <v>1657</v>
      </c>
      <c r="L308" s="1">
        <v>1472</v>
      </c>
      <c r="M308">
        <v>886</v>
      </c>
      <c r="N308">
        <v>543</v>
      </c>
      <c r="O308">
        <v>420</v>
      </c>
      <c r="P308">
        <v>307</v>
      </c>
      <c r="Q308">
        <v>180</v>
      </c>
      <c r="R308">
        <v>56</v>
      </c>
      <c r="S308">
        <v>28</v>
      </c>
      <c r="T308">
        <v>6</v>
      </c>
      <c r="U308" s="1">
        <v>13</v>
      </c>
    </row>
    <row r="309" spans="1:21" x14ac:dyDescent="0.3">
      <c r="A309" t="s">
        <v>122</v>
      </c>
      <c r="B309" t="s">
        <v>124</v>
      </c>
      <c r="C309" s="2" t="s">
        <v>24</v>
      </c>
      <c r="D309" s="1">
        <v>7649</v>
      </c>
      <c r="E309">
        <v>107</v>
      </c>
      <c r="F309">
        <v>84</v>
      </c>
      <c r="G309">
        <v>48</v>
      </c>
      <c r="H309">
        <v>492</v>
      </c>
      <c r="I309" s="1">
        <v>1760</v>
      </c>
      <c r="J309" s="1">
        <v>1704</v>
      </c>
      <c r="K309" s="1">
        <v>1119</v>
      </c>
      <c r="L309">
        <v>938</v>
      </c>
      <c r="M309">
        <v>542</v>
      </c>
      <c r="N309">
        <v>318</v>
      </c>
      <c r="O309">
        <v>225</v>
      </c>
      <c r="P309">
        <v>157</v>
      </c>
      <c r="Q309">
        <v>95</v>
      </c>
      <c r="R309">
        <v>33</v>
      </c>
      <c r="S309">
        <v>17</v>
      </c>
      <c r="T309">
        <v>2</v>
      </c>
      <c r="U309" s="1">
        <v>8</v>
      </c>
    </row>
    <row r="310" spans="1:21" x14ac:dyDescent="0.3">
      <c r="A310" t="s">
        <v>122</v>
      </c>
      <c r="B310" t="s">
        <v>124</v>
      </c>
      <c r="C310" s="2" t="s">
        <v>25</v>
      </c>
      <c r="D310" s="1">
        <v>6146</v>
      </c>
      <c r="E310">
        <v>108</v>
      </c>
      <c r="F310">
        <v>77</v>
      </c>
      <c r="G310">
        <v>56</v>
      </c>
      <c r="H310">
        <v>719</v>
      </c>
      <c r="I310" s="1">
        <v>1874</v>
      </c>
      <c r="J310" s="1">
        <v>1198</v>
      </c>
      <c r="K310">
        <v>538</v>
      </c>
      <c r="L310">
        <v>534</v>
      </c>
      <c r="M310">
        <v>344</v>
      </c>
      <c r="N310">
        <v>225</v>
      </c>
      <c r="O310">
        <v>195</v>
      </c>
      <c r="P310">
        <v>150</v>
      </c>
      <c r="Q310">
        <v>85</v>
      </c>
      <c r="R310">
        <v>23</v>
      </c>
      <c r="S310">
        <v>11</v>
      </c>
      <c r="T310">
        <v>4</v>
      </c>
      <c r="U310" s="1">
        <v>5</v>
      </c>
    </row>
    <row r="311" spans="1:21" x14ac:dyDescent="0.3">
      <c r="A311" t="s">
        <v>122</v>
      </c>
      <c r="B311" t="s">
        <v>125</v>
      </c>
      <c r="C311" s="2" t="s">
        <v>21</v>
      </c>
      <c r="D311" s="1">
        <v>8070</v>
      </c>
      <c r="E311">
        <v>324</v>
      </c>
      <c r="F311">
        <v>280</v>
      </c>
      <c r="G311">
        <v>144</v>
      </c>
      <c r="H311">
        <v>120</v>
      </c>
      <c r="I311">
        <v>666</v>
      </c>
      <c r="J311" s="1">
        <v>1473</v>
      </c>
      <c r="K311" s="1">
        <v>1573</v>
      </c>
      <c r="L311" s="1">
        <v>1355</v>
      </c>
      <c r="M311">
        <v>850</v>
      </c>
      <c r="N311">
        <v>484</v>
      </c>
      <c r="O311">
        <v>321</v>
      </c>
      <c r="P311">
        <v>263</v>
      </c>
      <c r="Q311">
        <v>144</v>
      </c>
      <c r="R311">
        <v>41</v>
      </c>
      <c r="S311">
        <v>20</v>
      </c>
      <c r="T311">
        <v>10</v>
      </c>
      <c r="U311" s="1">
        <v>2</v>
      </c>
    </row>
    <row r="312" spans="1:21" x14ac:dyDescent="0.3">
      <c r="A312" t="s">
        <v>122</v>
      </c>
      <c r="B312" t="s">
        <v>125</v>
      </c>
      <c r="C312" s="2" t="s">
        <v>24</v>
      </c>
      <c r="D312" s="1">
        <v>5409</v>
      </c>
      <c r="E312">
        <v>165</v>
      </c>
      <c r="F312">
        <v>138</v>
      </c>
      <c r="G312">
        <v>67</v>
      </c>
      <c r="H312">
        <v>58</v>
      </c>
      <c r="I312">
        <v>502</v>
      </c>
      <c r="J312" s="1">
        <v>1093</v>
      </c>
      <c r="K312" s="1">
        <v>1160</v>
      </c>
      <c r="L312">
        <v>970</v>
      </c>
      <c r="M312">
        <v>568</v>
      </c>
      <c r="N312">
        <v>269</v>
      </c>
      <c r="O312">
        <v>183</v>
      </c>
      <c r="P312">
        <v>127</v>
      </c>
      <c r="Q312">
        <v>72</v>
      </c>
      <c r="R312">
        <v>24</v>
      </c>
      <c r="S312">
        <v>8</v>
      </c>
      <c r="T312">
        <v>4</v>
      </c>
      <c r="U312" s="1">
        <v>1</v>
      </c>
    </row>
    <row r="313" spans="1:21" x14ac:dyDescent="0.3">
      <c r="A313" t="s">
        <v>122</v>
      </c>
      <c r="B313" t="s">
        <v>125</v>
      </c>
      <c r="C313" s="2" t="s">
        <v>25</v>
      </c>
      <c r="D313" s="1">
        <v>2661</v>
      </c>
      <c r="E313">
        <v>159</v>
      </c>
      <c r="F313">
        <v>142</v>
      </c>
      <c r="G313">
        <v>77</v>
      </c>
      <c r="H313">
        <v>62</v>
      </c>
      <c r="I313">
        <v>164</v>
      </c>
      <c r="J313">
        <v>380</v>
      </c>
      <c r="K313">
        <v>413</v>
      </c>
      <c r="L313">
        <v>385</v>
      </c>
      <c r="M313">
        <v>282</v>
      </c>
      <c r="N313">
        <v>215</v>
      </c>
      <c r="O313">
        <v>138</v>
      </c>
      <c r="P313">
        <v>136</v>
      </c>
      <c r="Q313">
        <v>72</v>
      </c>
      <c r="R313">
        <v>17</v>
      </c>
      <c r="S313">
        <v>12</v>
      </c>
      <c r="T313">
        <v>6</v>
      </c>
      <c r="U313" s="1">
        <v>1</v>
      </c>
    </row>
    <row r="314" spans="1:21" x14ac:dyDescent="0.3">
      <c r="A314" t="s">
        <v>122</v>
      </c>
      <c r="B314" t="s">
        <v>119</v>
      </c>
      <c r="C314" s="2" t="s">
        <v>21</v>
      </c>
      <c r="D314" s="1">
        <v>2110</v>
      </c>
      <c r="E314">
        <v>37</v>
      </c>
      <c r="F314">
        <v>54</v>
      </c>
      <c r="G314">
        <v>57</v>
      </c>
      <c r="H314">
        <v>57</v>
      </c>
      <c r="I314">
        <v>177</v>
      </c>
      <c r="J314">
        <v>275</v>
      </c>
      <c r="K314">
        <v>249</v>
      </c>
      <c r="L314">
        <v>321</v>
      </c>
      <c r="M314">
        <v>233</v>
      </c>
      <c r="N314">
        <v>180</v>
      </c>
      <c r="O314">
        <v>158</v>
      </c>
      <c r="P314">
        <v>142</v>
      </c>
      <c r="Q314">
        <v>91</v>
      </c>
      <c r="R314">
        <v>46</v>
      </c>
      <c r="S314">
        <v>21</v>
      </c>
      <c r="T314">
        <v>7</v>
      </c>
      <c r="U314" s="1">
        <v>5</v>
      </c>
    </row>
    <row r="315" spans="1:21" x14ac:dyDescent="0.3">
      <c r="A315" t="s">
        <v>122</v>
      </c>
      <c r="B315" t="s">
        <v>119</v>
      </c>
      <c r="C315" s="2" t="s">
        <v>24</v>
      </c>
      <c r="D315">
        <v>727</v>
      </c>
      <c r="E315">
        <v>18</v>
      </c>
      <c r="F315">
        <v>34</v>
      </c>
      <c r="G315">
        <v>25</v>
      </c>
      <c r="H315">
        <v>27</v>
      </c>
      <c r="I315">
        <v>66</v>
      </c>
      <c r="J315">
        <v>79</v>
      </c>
      <c r="K315">
        <v>55</v>
      </c>
      <c r="L315">
        <v>109</v>
      </c>
      <c r="M315">
        <v>67</v>
      </c>
      <c r="N315">
        <v>60</v>
      </c>
      <c r="O315">
        <v>59</v>
      </c>
      <c r="P315">
        <v>54</v>
      </c>
      <c r="Q315">
        <v>36</v>
      </c>
      <c r="R315">
        <v>19</v>
      </c>
      <c r="S315">
        <v>12</v>
      </c>
      <c r="T315">
        <v>4</v>
      </c>
      <c r="U315" s="1">
        <v>3</v>
      </c>
    </row>
    <row r="316" spans="1:21" x14ac:dyDescent="0.3">
      <c r="A316" t="s">
        <v>122</v>
      </c>
      <c r="B316" t="s">
        <v>119</v>
      </c>
      <c r="C316" s="2" t="s">
        <v>25</v>
      </c>
      <c r="D316" s="1">
        <v>1383</v>
      </c>
      <c r="E316">
        <v>19</v>
      </c>
      <c r="F316">
        <v>20</v>
      </c>
      <c r="G316">
        <v>32</v>
      </c>
      <c r="H316">
        <v>30</v>
      </c>
      <c r="I316">
        <v>111</v>
      </c>
      <c r="J316">
        <v>196</v>
      </c>
      <c r="K316">
        <v>194</v>
      </c>
      <c r="L316">
        <v>212</v>
      </c>
      <c r="M316">
        <v>166</v>
      </c>
      <c r="N316">
        <v>120</v>
      </c>
      <c r="O316">
        <v>99</v>
      </c>
      <c r="P316">
        <v>88</v>
      </c>
      <c r="Q316">
        <v>55</v>
      </c>
      <c r="R316">
        <v>27</v>
      </c>
      <c r="S316">
        <v>9</v>
      </c>
      <c r="T316">
        <v>3</v>
      </c>
      <c r="U316" s="1">
        <v>2</v>
      </c>
    </row>
    <row r="317" spans="1:21" x14ac:dyDescent="0.3">
      <c r="A317" t="s">
        <v>122</v>
      </c>
      <c r="B317" t="s">
        <v>120</v>
      </c>
      <c r="C317" s="2" t="s">
        <v>21</v>
      </c>
      <c r="D317" s="1">
        <v>7430</v>
      </c>
      <c r="E317">
        <v>139</v>
      </c>
      <c r="F317">
        <v>85</v>
      </c>
      <c r="G317">
        <v>54</v>
      </c>
      <c r="H317">
        <v>801</v>
      </c>
      <c r="I317" s="1">
        <v>2394</v>
      </c>
      <c r="J317" s="1">
        <v>1279</v>
      </c>
      <c r="K317">
        <v>833</v>
      </c>
      <c r="L317">
        <v>667</v>
      </c>
      <c r="M317">
        <v>377</v>
      </c>
      <c r="N317">
        <v>239</v>
      </c>
      <c r="O317">
        <v>194</v>
      </c>
      <c r="P317">
        <v>187</v>
      </c>
      <c r="Q317">
        <v>115</v>
      </c>
      <c r="R317">
        <v>30</v>
      </c>
      <c r="S317">
        <v>17</v>
      </c>
      <c r="T317">
        <v>7</v>
      </c>
      <c r="U317" s="1">
        <v>12</v>
      </c>
    </row>
    <row r="318" spans="1:21" x14ac:dyDescent="0.3">
      <c r="A318" t="s">
        <v>122</v>
      </c>
      <c r="B318" t="s">
        <v>120</v>
      </c>
      <c r="C318" s="2" t="s">
        <v>24</v>
      </c>
      <c r="D318" s="1">
        <v>3541</v>
      </c>
      <c r="E318">
        <v>69</v>
      </c>
      <c r="F318">
        <v>47</v>
      </c>
      <c r="G318">
        <v>32</v>
      </c>
      <c r="H318">
        <v>348</v>
      </c>
      <c r="I318" s="1">
        <v>1177</v>
      </c>
      <c r="J318">
        <v>607</v>
      </c>
      <c r="K318">
        <v>407</v>
      </c>
      <c r="L318">
        <v>327</v>
      </c>
      <c r="M318">
        <v>192</v>
      </c>
      <c r="N318">
        <v>108</v>
      </c>
      <c r="O318">
        <v>86</v>
      </c>
      <c r="P318">
        <v>72</v>
      </c>
      <c r="Q318">
        <v>44</v>
      </c>
      <c r="R318">
        <v>11</v>
      </c>
      <c r="S318">
        <v>5</v>
      </c>
      <c r="T318">
        <v>3</v>
      </c>
      <c r="U318" s="1">
        <v>6</v>
      </c>
    </row>
    <row r="319" spans="1:21" x14ac:dyDescent="0.3">
      <c r="A319" t="s">
        <v>122</v>
      </c>
      <c r="B319" t="s">
        <v>120</v>
      </c>
      <c r="C319" s="2" t="s">
        <v>25</v>
      </c>
      <c r="D319" s="1">
        <v>3889</v>
      </c>
      <c r="E319">
        <v>70</v>
      </c>
      <c r="F319">
        <v>38</v>
      </c>
      <c r="G319">
        <v>22</v>
      </c>
      <c r="H319">
        <v>453</v>
      </c>
      <c r="I319" s="1">
        <v>1217</v>
      </c>
      <c r="J319">
        <v>672</v>
      </c>
      <c r="K319">
        <v>426</v>
      </c>
      <c r="L319">
        <v>340</v>
      </c>
      <c r="M319">
        <v>185</v>
      </c>
      <c r="N319">
        <v>131</v>
      </c>
      <c r="O319">
        <v>108</v>
      </c>
      <c r="P319">
        <v>115</v>
      </c>
      <c r="Q319">
        <v>71</v>
      </c>
      <c r="R319">
        <v>19</v>
      </c>
      <c r="S319">
        <v>12</v>
      </c>
      <c r="T319">
        <v>4</v>
      </c>
      <c r="U319" s="1">
        <v>6</v>
      </c>
    </row>
    <row r="320" spans="1:21" x14ac:dyDescent="0.3">
      <c r="A320" t="s">
        <v>122</v>
      </c>
      <c r="B320" t="s">
        <v>121</v>
      </c>
      <c r="C320" s="2" t="s">
        <v>21</v>
      </c>
      <c r="D320" s="1">
        <v>2844</v>
      </c>
      <c r="E320">
        <v>65</v>
      </c>
      <c r="F320">
        <v>58</v>
      </c>
      <c r="G320">
        <v>50</v>
      </c>
      <c r="H320">
        <v>61</v>
      </c>
      <c r="I320">
        <v>316</v>
      </c>
      <c r="J320">
        <v>432</v>
      </c>
      <c r="K320">
        <v>415</v>
      </c>
      <c r="L320">
        <v>442</v>
      </c>
      <c r="M320">
        <v>282</v>
      </c>
      <c r="N320">
        <v>223</v>
      </c>
      <c r="O320">
        <v>197</v>
      </c>
      <c r="P320">
        <v>157</v>
      </c>
      <c r="Q320">
        <v>97</v>
      </c>
      <c r="R320">
        <v>28</v>
      </c>
      <c r="S320">
        <v>10</v>
      </c>
      <c r="T320">
        <v>3</v>
      </c>
      <c r="U320" s="1">
        <v>8</v>
      </c>
    </row>
    <row r="321" spans="1:21" x14ac:dyDescent="0.3">
      <c r="A321" t="s">
        <v>122</v>
      </c>
      <c r="B321" t="s">
        <v>121</v>
      </c>
      <c r="C321" s="2" t="s">
        <v>24</v>
      </c>
      <c r="D321" s="1">
        <v>1685</v>
      </c>
      <c r="E321">
        <v>32</v>
      </c>
      <c r="F321">
        <v>28</v>
      </c>
      <c r="G321">
        <v>29</v>
      </c>
      <c r="H321">
        <v>32</v>
      </c>
      <c r="I321">
        <v>205</v>
      </c>
      <c r="J321">
        <v>301</v>
      </c>
      <c r="K321">
        <v>258</v>
      </c>
      <c r="L321">
        <v>256</v>
      </c>
      <c r="M321">
        <v>163</v>
      </c>
      <c r="N321">
        <v>119</v>
      </c>
      <c r="O321">
        <v>98</v>
      </c>
      <c r="P321">
        <v>94</v>
      </c>
      <c r="Q321">
        <v>49</v>
      </c>
      <c r="R321">
        <v>13</v>
      </c>
      <c r="S321">
        <v>4</v>
      </c>
      <c r="T321">
        <v>1</v>
      </c>
      <c r="U321" s="1">
        <v>3</v>
      </c>
    </row>
    <row r="322" spans="1:21" x14ac:dyDescent="0.3">
      <c r="A322" t="s">
        <v>122</v>
      </c>
      <c r="B322" t="s">
        <v>121</v>
      </c>
      <c r="C322" s="2" t="s">
        <v>25</v>
      </c>
      <c r="D322" s="1">
        <v>1159</v>
      </c>
      <c r="E322">
        <v>33</v>
      </c>
      <c r="F322">
        <v>30</v>
      </c>
      <c r="G322">
        <v>21</v>
      </c>
      <c r="H322">
        <v>29</v>
      </c>
      <c r="I322">
        <v>111</v>
      </c>
      <c r="J322">
        <v>131</v>
      </c>
      <c r="K322">
        <v>157</v>
      </c>
      <c r="L322">
        <v>186</v>
      </c>
      <c r="M322">
        <v>119</v>
      </c>
      <c r="N322">
        <v>104</v>
      </c>
      <c r="O322">
        <v>99</v>
      </c>
      <c r="P322">
        <v>63</v>
      </c>
      <c r="Q322">
        <v>48</v>
      </c>
      <c r="R322">
        <v>15</v>
      </c>
      <c r="S322">
        <v>6</v>
      </c>
      <c r="T322">
        <v>2</v>
      </c>
      <c r="U322" s="1">
        <v>5</v>
      </c>
    </row>
    <row r="323" spans="1:21" x14ac:dyDescent="0.3">
      <c r="A323" t="s">
        <v>122</v>
      </c>
      <c r="B323" t="s">
        <v>126</v>
      </c>
      <c r="C323" s="2" t="s">
        <v>21</v>
      </c>
      <c r="D323" s="1">
        <v>1798</v>
      </c>
      <c r="E323">
        <v>21</v>
      </c>
      <c r="F323">
        <v>23</v>
      </c>
      <c r="G323">
        <v>20</v>
      </c>
      <c r="H323">
        <v>48</v>
      </c>
      <c r="I323">
        <v>194</v>
      </c>
      <c r="J323">
        <v>340</v>
      </c>
      <c r="K323">
        <v>244</v>
      </c>
      <c r="L323">
        <v>246</v>
      </c>
      <c r="M323">
        <v>196</v>
      </c>
      <c r="N323">
        <v>135</v>
      </c>
      <c r="O323">
        <v>88</v>
      </c>
      <c r="P323">
        <v>95</v>
      </c>
      <c r="Q323">
        <v>73</v>
      </c>
      <c r="R323">
        <v>38</v>
      </c>
      <c r="S323">
        <v>23</v>
      </c>
      <c r="T323">
        <v>7</v>
      </c>
      <c r="U323" s="1">
        <v>7</v>
      </c>
    </row>
    <row r="324" spans="1:21" x14ac:dyDescent="0.3">
      <c r="A324" t="s">
        <v>122</v>
      </c>
      <c r="B324" t="s">
        <v>126</v>
      </c>
      <c r="C324" s="2" t="s">
        <v>24</v>
      </c>
      <c r="D324">
        <v>709</v>
      </c>
      <c r="E324">
        <v>12</v>
      </c>
      <c r="F324">
        <v>13</v>
      </c>
      <c r="G324">
        <v>8</v>
      </c>
      <c r="H324">
        <v>25</v>
      </c>
      <c r="I324">
        <v>72</v>
      </c>
      <c r="J324">
        <v>121</v>
      </c>
      <c r="K324">
        <v>76</v>
      </c>
      <c r="L324">
        <v>88</v>
      </c>
      <c r="M324">
        <v>78</v>
      </c>
      <c r="N324">
        <v>58</v>
      </c>
      <c r="O324">
        <v>42</v>
      </c>
      <c r="P324">
        <v>42</v>
      </c>
      <c r="Q324">
        <v>39</v>
      </c>
      <c r="R324">
        <v>18</v>
      </c>
      <c r="S324">
        <v>13</v>
      </c>
      <c r="T324">
        <v>2</v>
      </c>
      <c r="U324" s="1">
        <v>2</v>
      </c>
    </row>
    <row r="325" spans="1:21" x14ac:dyDescent="0.3">
      <c r="A325" t="s">
        <v>122</v>
      </c>
      <c r="B325" t="s">
        <v>126</v>
      </c>
      <c r="C325" s="2" t="s">
        <v>25</v>
      </c>
      <c r="D325" s="1">
        <v>1089</v>
      </c>
      <c r="E325">
        <v>9</v>
      </c>
      <c r="F325">
        <v>10</v>
      </c>
      <c r="G325">
        <v>12</v>
      </c>
      <c r="H325">
        <v>23</v>
      </c>
      <c r="I325">
        <v>122</v>
      </c>
      <c r="J325">
        <v>219</v>
      </c>
      <c r="K325">
        <v>168</v>
      </c>
      <c r="L325">
        <v>158</v>
      </c>
      <c r="M325">
        <v>118</v>
      </c>
      <c r="N325">
        <v>77</v>
      </c>
      <c r="O325">
        <v>46</v>
      </c>
      <c r="P325">
        <v>53</v>
      </c>
      <c r="Q325">
        <v>34</v>
      </c>
      <c r="R325">
        <v>20</v>
      </c>
      <c r="S325">
        <v>10</v>
      </c>
      <c r="T325">
        <v>5</v>
      </c>
      <c r="U325" s="1">
        <v>5</v>
      </c>
    </row>
    <row r="326" spans="1:21" x14ac:dyDescent="0.3">
      <c r="A326" t="s">
        <v>122</v>
      </c>
      <c r="B326" t="s">
        <v>127</v>
      </c>
      <c r="C326" s="2" t="s">
        <v>21</v>
      </c>
      <c r="D326">
        <v>996</v>
      </c>
      <c r="E326">
        <v>14</v>
      </c>
      <c r="F326">
        <v>10</v>
      </c>
      <c r="G326">
        <v>13</v>
      </c>
      <c r="H326">
        <v>22</v>
      </c>
      <c r="I326">
        <v>130</v>
      </c>
      <c r="J326">
        <v>143</v>
      </c>
      <c r="K326">
        <v>139</v>
      </c>
      <c r="L326">
        <v>116</v>
      </c>
      <c r="M326">
        <v>98</v>
      </c>
      <c r="N326">
        <v>73</v>
      </c>
      <c r="O326">
        <v>51</v>
      </c>
      <c r="P326">
        <v>56</v>
      </c>
      <c r="Q326">
        <v>54</v>
      </c>
      <c r="R326">
        <v>32</v>
      </c>
      <c r="S326">
        <v>12</v>
      </c>
      <c r="T326">
        <v>16</v>
      </c>
      <c r="U326" s="1">
        <v>17</v>
      </c>
    </row>
    <row r="327" spans="1:21" x14ac:dyDescent="0.3">
      <c r="A327" t="s">
        <v>122</v>
      </c>
      <c r="B327" t="s">
        <v>127</v>
      </c>
      <c r="C327" s="2" t="s">
        <v>24</v>
      </c>
      <c r="D327">
        <v>447</v>
      </c>
      <c r="E327">
        <v>6</v>
      </c>
      <c r="F327">
        <v>4</v>
      </c>
      <c r="G327">
        <v>6</v>
      </c>
      <c r="H327">
        <v>11</v>
      </c>
      <c r="I327">
        <v>55</v>
      </c>
      <c r="J327">
        <v>55</v>
      </c>
      <c r="K327">
        <v>64</v>
      </c>
      <c r="L327">
        <v>56</v>
      </c>
      <c r="M327">
        <v>51</v>
      </c>
      <c r="N327">
        <v>27</v>
      </c>
      <c r="O327">
        <v>25</v>
      </c>
      <c r="P327">
        <v>26</v>
      </c>
      <c r="Q327">
        <v>25</v>
      </c>
      <c r="R327">
        <v>18</v>
      </c>
      <c r="S327">
        <v>7</v>
      </c>
      <c r="T327">
        <v>7</v>
      </c>
      <c r="U327" s="1">
        <v>4</v>
      </c>
    </row>
    <row r="328" spans="1:21" x14ac:dyDescent="0.3">
      <c r="A328" t="s">
        <v>122</v>
      </c>
      <c r="B328" t="s">
        <v>127</v>
      </c>
      <c r="C328" s="2" t="s">
        <v>25</v>
      </c>
      <c r="D328">
        <v>549</v>
      </c>
      <c r="E328">
        <v>8</v>
      </c>
      <c r="F328">
        <v>6</v>
      </c>
      <c r="G328">
        <v>7</v>
      </c>
      <c r="H328">
        <v>11</v>
      </c>
      <c r="I328">
        <v>75</v>
      </c>
      <c r="J328">
        <v>88</v>
      </c>
      <c r="K328">
        <v>75</v>
      </c>
      <c r="L328">
        <v>60</v>
      </c>
      <c r="M328">
        <v>47</v>
      </c>
      <c r="N328">
        <v>46</v>
      </c>
      <c r="O328">
        <v>26</v>
      </c>
      <c r="P328">
        <v>30</v>
      </c>
      <c r="Q328">
        <v>29</v>
      </c>
      <c r="R328">
        <v>14</v>
      </c>
      <c r="S328">
        <v>5</v>
      </c>
      <c r="T328">
        <v>9</v>
      </c>
      <c r="U328" s="1">
        <v>13</v>
      </c>
    </row>
    <row r="329" spans="1:21" x14ac:dyDescent="0.3">
      <c r="A329" t="s">
        <v>128</v>
      </c>
      <c r="B329" t="s">
        <v>21</v>
      </c>
      <c r="C329" s="2" t="s">
        <v>21</v>
      </c>
      <c r="D329" s="1">
        <v>28364</v>
      </c>
      <c r="E329">
        <v>512</v>
      </c>
      <c r="F329">
        <v>373</v>
      </c>
      <c r="G329">
        <v>252</v>
      </c>
      <c r="H329" s="1">
        <v>2658</v>
      </c>
      <c r="I329" s="1">
        <v>9771</v>
      </c>
      <c r="J329" s="1">
        <v>4783</v>
      </c>
      <c r="K329" s="1">
        <v>2940</v>
      </c>
      <c r="L329" s="1">
        <v>2192</v>
      </c>
      <c r="M329" s="1">
        <v>1404</v>
      </c>
      <c r="N329" s="1">
        <v>1047</v>
      </c>
      <c r="O329">
        <v>813</v>
      </c>
      <c r="P329">
        <v>758</v>
      </c>
      <c r="Q329">
        <v>491</v>
      </c>
      <c r="R329">
        <v>214</v>
      </c>
      <c r="S329">
        <v>96</v>
      </c>
      <c r="T329">
        <v>34</v>
      </c>
      <c r="U329" s="1">
        <v>26</v>
      </c>
    </row>
    <row r="330" spans="1:21" x14ac:dyDescent="0.3">
      <c r="A330" t="s">
        <v>128</v>
      </c>
      <c r="B330" t="s">
        <v>21</v>
      </c>
      <c r="C330" s="2" t="s">
        <v>24</v>
      </c>
      <c r="D330" s="1">
        <f>D333+D336+D339+D342+D345</f>
        <v>13498</v>
      </c>
      <c r="E330" s="1">
        <f t="shared" ref="E330:U330" si="12">E333+E336+E339+E342+E345</f>
        <v>244</v>
      </c>
      <c r="F330" s="1">
        <f t="shared" si="12"/>
        <v>186</v>
      </c>
      <c r="G330" s="1">
        <f t="shared" si="12"/>
        <v>121</v>
      </c>
      <c r="H330" s="1">
        <f t="shared" si="12"/>
        <v>1286</v>
      </c>
      <c r="I330" s="1">
        <f t="shared" si="12"/>
        <v>4712</v>
      </c>
      <c r="J330" s="1">
        <f t="shared" si="12"/>
        <v>2427</v>
      </c>
      <c r="K330" s="1">
        <f t="shared" si="12"/>
        <v>1420</v>
      </c>
      <c r="L330" s="1">
        <f t="shared" si="12"/>
        <v>1026</v>
      </c>
      <c r="M330" s="1">
        <f t="shared" si="12"/>
        <v>602</v>
      </c>
      <c r="N330" s="1">
        <f t="shared" si="12"/>
        <v>451</v>
      </c>
      <c r="O330" s="1">
        <f t="shared" si="12"/>
        <v>330</v>
      </c>
      <c r="P330" s="1">
        <f t="shared" si="12"/>
        <v>301</v>
      </c>
      <c r="Q330" s="1">
        <f t="shared" si="12"/>
        <v>206</v>
      </c>
      <c r="R330" s="1">
        <f t="shared" si="12"/>
        <v>101</v>
      </c>
      <c r="S330" s="1">
        <f t="shared" si="12"/>
        <v>48</v>
      </c>
      <c r="T330" s="1">
        <f t="shared" si="12"/>
        <v>18</v>
      </c>
      <c r="U330" s="1">
        <f t="shared" si="12"/>
        <v>19</v>
      </c>
    </row>
    <row r="331" spans="1:21" x14ac:dyDescent="0.3">
      <c r="A331" t="s">
        <v>128</v>
      </c>
      <c r="B331" t="s">
        <v>21</v>
      </c>
      <c r="C331" s="2" t="s">
        <v>25</v>
      </c>
      <c r="D331" s="1">
        <f>D334+D337+D340+D343+D346</f>
        <v>14866</v>
      </c>
      <c r="E331" s="1">
        <f t="shared" ref="E331:U331" si="13">E334+E337+E340+E343+E346</f>
        <v>268</v>
      </c>
      <c r="F331" s="1">
        <f t="shared" si="13"/>
        <v>187</v>
      </c>
      <c r="G331" s="1">
        <f t="shared" si="13"/>
        <v>131</v>
      </c>
      <c r="H331" s="1">
        <f t="shared" si="13"/>
        <v>1372</v>
      </c>
      <c r="I331" s="1">
        <f t="shared" si="13"/>
        <v>5059</v>
      </c>
      <c r="J331" s="1">
        <f t="shared" si="13"/>
        <v>2356</v>
      </c>
      <c r="K331" s="1">
        <f t="shared" si="13"/>
        <v>1520</v>
      </c>
      <c r="L331" s="1">
        <f t="shared" si="13"/>
        <v>1166</v>
      </c>
      <c r="M331" s="1">
        <f t="shared" si="13"/>
        <v>802</v>
      </c>
      <c r="N331" s="1">
        <f t="shared" si="13"/>
        <v>596</v>
      </c>
      <c r="O331" s="1">
        <f t="shared" si="13"/>
        <v>483</v>
      </c>
      <c r="P331" s="1">
        <f t="shared" si="13"/>
        <v>457</v>
      </c>
      <c r="Q331" s="1">
        <f t="shared" si="13"/>
        <v>285</v>
      </c>
      <c r="R331" s="1">
        <f t="shared" si="13"/>
        <v>113</v>
      </c>
      <c r="S331" s="1">
        <f t="shared" si="13"/>
        <v>48</v>
      </c>
      <c r="T331" s="1">
        <f t="shared" si="13"/>
        <v>16</v>
      </c>
      <c r="U331" s="1">
        <f t="shared" si="13"/>
        <v>7</v>
      </c>
    </row>
    <row r="332" spans="1:21" x14ac:dyDescent="0.3">
      <c r="A332" t="s">
        <v>128</v>
      </c>
      <c r="B332" t="s">
        <v>129</v>
      </c>
      <c r="C332" s="2" t="s">
        <v>21</v>
      </c>
      <c r="D332" s="1">
        <v>3725</v>
      </c>
      <c r="E332">
        <v>64</v>
      </c>
      <c r="F332">
        <v>36</v>
      </c>
      <c r="G332">
        <v>16</v>
      </c>
      <c r="H332">
        <v>444</v>
      </c>
      <c r="I332" s="1">
        <v>1038</v>
      </c>
      <c r="J332">
        <v>597</v>
      </c>
      <c r="K332">
        <v>449</v>
      </c>
      <c r="L332">
        <v>351</v>
      </c>
      <c r="M332">
        <v>200</v>
      </c>
      <c r="N332">
        <v>150</v>
      </c>
      <c r="O332">
        <v>135</v>
      </c>
      <c r="P332">
        <v>122</v>
      </c>
      <c r="Q332">
        <v>80</v>
      </c>
      <c r="R332">
        <v>30</v>
      </c>
      <c r="S332">
        <v>10</v>
      </c>
      <c r="T332">
        <v>3</v>
      </c>
      <c r="U332" s="1">
        <v>0</v>
      </c>
    </row>
    <row r="333" spans="1:21" x14ac:dyDescent="0.3">
      <c r="A333" t="s">
        <v>128</v>
      </c>
      <c r="B333" t="s">
        <v>129</v>
      </c>
      <c r="C333" s="2" t="s">
        <v>24</v>
      </c>
      <c r="D333" s="1">
        <v>1975</v>
      </c>
      <c r="E333">
        <v>33</v>
      </c>
      <c r="F333">
        <v>17</v>
      </c>
      <c r="G333">
        <v>5</v>
      </c>
      <c r="H333">
        <v>225</v>
      </c>
      <c r="I333">
        <v>538</v>
      </c>
      <c r="J333">
        <v>381</v>
      </c>
      <c r="K333">
        <v>287</v>
      </c>
      <c r="L333">
        <v>187</v>
      </c>
      <c r="M333">
        <v>84</v>
      </c>
      <c r="N333">
        <v>59</v>
      </c>
      <c r="O333">
        <v>54</v>
      </c>
      <c r="P333">
        <v>43</v>
      </c>
      <c r="Q333">
        <v>38</v>
      </c>
      <c r="R333">
        <v>18</v>
      </c>
      <c r="S333">
        <v>5</v>
      </c>
      <c r="T333">
        <v>1</v>
      </c>
      <c r="U333" s="1">
        <v>0</v>
      </c>
    </row>
    <row r="334" spans="1:21" x14ac:dyDescent="0.3">
      <c r="A334" t="s">
        <v>128</v>
      </c>
      <c r="B334" t="s">
        <v>129</v>
      </c>
      <c r="C334" s="2" t="s">
        <v>25</v>
      </c>
      <c r="D334" s="1">
        <v>1750</v>
      </c>
      <c r="E334">
        <v>31</v>
      </c>
      <c r="F334">
        <v>19</v>
      </c>
      <c r="G334">
        <v>11</v>
      </c>
      <c r="H334">
        <v>219</v>
      </c>
      <c r="I334">
        <v>500</v>
      </c>
      <c r="J334">
        <v>216</v>
      </c>
      <c r="K334">
        <v>162</v>
      </c>
      <c r="L334">
        <v>164</v>
      </c>
      <c r="M334">
        <v>116</v>
      </c>
      <c r="N334">
        <v>91</v>
      </c>
      <c r="O334">
        <v>81</v>
      </c>
      <c r="P334">
        <v>79</v>
      </c>
      <c r="Q334">
        <v>42</v>
      </c>
      <c r="R334">
        <v>12</v>
      </c>
      <c r="S334">
        <v>5</v>
      </c>
      <c r="T334">
        <v>2</v>
      </c>
      <c r="U334" s="1">
        <v>0</v>
      </c>
    </row>
    <row r="335" spans="1:21" x14ac:dyDescent="0.3">
      <c r="A335" t="s">
        <v>128</v>
      </c>
      <c r="B335" t="s">
        <v>119</v>
      </c>
      <c r="C335" s="2" t="s">
        <v>21</v>
      </c>
      <c r="D335" s="1">
        <v>7606</v>
      </c>
      <c r="E335">
        <v>83</v>
      </c>
      <c r="F335">
        <v>60</v>
      </c>
      <c r="G335">
        <v>34</v>
      </c>
      <c r="H335">
        <v>807</v>
      </c>
      <c r="I335" s="1">
        <v>3488</v>
      </c>
      <c r="J335" s="1">
        <v>1306</v>
      </c>
      <c r="K335">
        <v>515</v>
      </c>
      <c r="L335">
        <v>368</v>
      </c>
      <c r="M335">
        <v>258</v>
      </c>
      <c r="N335">
        <v>201</v>
      </c>
      <c r="O335">
        <v>154</v>
      </c>
      <c r="P335">
        <v>163</v>
      </c>
      <c r="Q335">
        <v>97</v>
      </c>
      <c r="R335">
        <v>42</v>
      </c>
      <c r="S335">
        <v>19</v>
      </c>
      <c r="T335">
        <v>7</v>
      </c>
      <c r="U335" s="1">
        <v>4</v>
      </c>
    </row>
    <row r="336" spans="1:21" x14ac:dyDescent="0.3">
      <c r="A336" t="s">
        <v>128</v>
      </c>
      <c r="B336" t="s">
        <v>119</v>
      </c>
      <c r="C336" s="2" t="s">
        <v>24</v>
      </c>
      <c r="D336" s="1">
        <v>3578</v>
      </c>
      <c r="E336">
        <v>31</v>
      </c>
      <c r="F336">
        <v>27</v>
      </c>
      <c r="G336">
        <v>19</v>
      </c>
      <c r="H336">
        <v>382</v>
      </c>
      <c r="I336" s="1">
        <v>1679</v>
      </c>
      <c r="J336">
        <v>691</v>
      </c>
      <c r="K336">
        <v>228</v>
      </c>
      <c r="L336">
        <v>137</v>
      </c>
      <c r="M336">
        <v>105</v>
      </c>
      <c r="N336">
        <v>75</v>
      </c>
      <c r="O336">
        <v>64</v>
      </c>
      <c r="P336">
        <v>63</v>
      </c>
      <c r="Q336">
        <v>43</v>
      </c>
      <c r="R336">
        <v>19</v>
      </c>
      <c r="S336">
        <v>8</v>
      </c>
      <c r="T336">
        <v>4</v>
      </c>
      <c r="U336" s="1">
        <v>3</v>
      </c>
    </row>
    <row r="337" spans="1:21" x14ac:dyDescent="0.3">
      <c r="A337" t="s">
        <v>128</v>
      </c>
      <c r="B337" t="s">
        <v>119</v>
      </c>
      <c r="C337" s="2" t="s">
        <v>25</v>
      </c>
      <c r="D337" s="1">
        <v>4028</v>
      </c>
      <c r="E337">
        <v>52</v>
      </c>
      <c r="F337">
        <v>33</v>
      </c>
      <c r="G337">
        <v>15</v>
      </c>
      <c r="H337">
        <v>425</v>
      </c>
      <c r="I337" s="1">
        <v>1809</v>
      </c>
      <c r="J337">
        <v>615</v>
      </c>
      <c r="K337">
        <v>287</v>
      </c>
      <c r="L337">
        <v>231</v>
      </c>
      <c r="M337">
        <v>153</v>
      </c>
      <c r="N337">
        <v>126</v>
      </c>
      <c r="O337">
        <v>90</v>
      </c>
      <c r="P337">
        <v>100</v>
      </c>
      <c r="Q337">
        <v>54</v>
      </c>
      <c r="R337">
        <v>23</v>
      </c>
      <c r="S337">
        <v>11</v>
      </c>
      <c r="T337">
        <v>3</v>
      </c>
      <c r="U337" s="1">
        <v>1</v>
      </c>
    </row>
    <row r="338" spans="1:21" x14ac:dyDescent="0.3">
      <c r="A338" t="s">
        <v>128</v>
      </c>
      <c r="B338" t="s">
        <v>121</v>
      </c>
      <c r="C338" s="2" t="s">
        <v>21</v>
      </c>
      <c r="D338" s="1">
        <v>6170</v>
      </c>
      <c r="E338">
        <v>85</v>
      </c>
      <c r="F338">
        <v>57</v>
      </c>
      <c r="G338">
        <v>38</v>
      </c>
      <c r="H338">
        <v>607</v>
      </c>
      <c r="I338" s="1">
        <v>2168</v>
      </c>
      <c r="J338">
        <v>967</v>
      </c>
      <c r="K338">
        <v>610</v>
      </c>
      <c r="L338">
        <v>476</v>
      </c>
      <c r="M338">
        <v>321</v>
      </c>
      <c r="N338">
        <v>258</v>
      </c>
      <c r="O338">
        <v>208</v>
      </c>
      <c r="P338">
        <v>190</v>
      </c>
      <c r="Q338">
        <v>100</v>
      </c>
      <c r="R338">
        <v>48</v>
      </c>
      <c r="S338">
        <v>21</v>
      </c>
      <c r="T338">
        <v>8</v>
      </c>
      <c r="U338" s="1">
        <v>8</v>
      </c>
    </row>
    <row r="339" spans="1:21" x14ac:dyDescent="0.3">
      <c r="A339" t="s">
        <v>128</v>
      </c>
      <c r="B339" t="s">
        <v>121</v>
      </c>
      <c r="C339" s="2" t="s">
        <v>24</v>
      </c>
      <c r="D339" s="1">
        <v>2624</v>
      </c>
      <c r="E339">
        <v>42</v>
      </c>
      <c r="F339">
        <v>27</v>
      </c>
      <c r="G339">
        <v>19</v>
      </c>
      <c r="H339">
        <v>265</v>
      </c>
      <c r="I339">
        <v>956</v>
      </c>
      <c r="J339">
        <v>426</v>
      </c>
      <c r="K339">
        <v>226</v>
      </c>
      <c r="L339">
        <v>186</v>
      </c>
      <c r="M339">
        <v>130</v>
      </c>
      <c r="N339">
        <v>99</v>
      </c>
      <c r="O339">
        <v>79</v>
      </c>
      <c r="P339">
        <v>80</v>
      </c>
      <c r="Q339">
        <v>45</v>
      </c>
      <c r="R339">
        <v>22</v>
      </c>
      <c r="S339">
        <v>12</v>
      </c>
      <c r="T339">
        <v>4</v>
      </c>
      <c r="U339" s="1">
        <v>6</v>
      </c>
    </row>
    <row r="340" spans="1:21" x14ac:dyDescent="0.3">
      <c r="A340" t="s">
        <v>128</v>
      </c>
      <c r="B340" t="s">
        <v>121</v>
      </c>
      <c r="C340" s="2" t="s">
        <v>25</v>
      </c>
      <c r="D340" s="1">
        <v>3546</v>
      </c>
      <c r="E340">
        <v>43</v>
      </c>
      <c r="F340">
        <v>30</v>
      </c>
      <c r="G340">
        <v>19</v>
      </c>
      <c r="H340">
        <v>342</v>
      </c>
      <c r="I340" s="1">
        <v>1212</v>
      </c>
      <c r="J340">
        <v>541</v>
      </c>
      <c r="K340">
        <v>384</v>
      </c>
      <c r="L340">
        <v>290</v>
      </c>
      <c r="M340">
        <v>191</v>
      </c>
      <c r="N340">
        <v>159</v>
      </c>
      <c r="O340">
        <v>129</v>
      </c>
      <c r="P340">
        <v>110</v>
      </c>
      <c r="Q340">
        <v>55</v>
      </c>
      <c r="R340">
        <v>26</v>
      </c>
      <c r="S340">
        <v>9</v>
      </c>
      <c r="T340">
        <v>4</v>
      </c>
      <c r="U340" s="1">
        <v>2</v>
      </c>
    </row>
    <row r="341" spans="1:21" x14ac:dyDescent="0.3">
      <c r="A341" t="s">
        <v>128</v>
      </c>
      <c r="B341" t="s">
        <v>130</v>
      </c>
      <c r="C341" s="2" t="s">
        <v>21</v>
      </c>
      <c r="D341" s="1">
        <v>9188</v>
      </c>
      <c r="E341">
        <v>250</v>
      </c>
      <c r="F341">
        <v>195</v>
      </c>
      <c r="G341">
        <v>135</v>
      </c>
      <c r="H341">
        <v>769</v>
      </c>
      <c r="I341" s="1">
        <v>2902</v>
      </c>
      <c r="J341" s="1">
        <v>1699</v>
      </c>
      <c r="K341" s="1">
        <v>1148</v>
      </c>
      <c r="L341">
        <v>787</v>
      </c>
      <c r="M341">
        <v>444</v>
      </c>
      <c r="N341">
        <v>286</v>
      </c>
      <c r="O341">
        <v>186</v>
      </c>
      <c r="P341">
        <v>173</v>
      </c>
      <c r="Q341">
        <v>125</v>
      </c>
      <c r="R341">
        <v>45</v>
      </c>
      <c r="S341">
        <v>31</v>
      </c>
      <c r="T341">
        <v>7</v>
      </c>
      <c r="U341" s="1">
        <v>6</v>
      </c>
    </row>
    <row r="342" spans="1:21" x14ac:dyDescent="0.3">
      <c r="A342" t="s">
        <v>128</v>
      </c>
      <c r="B342" t="s">
        <v>130</v>
      </c>
      <c r="C342" s="2" t="s">
        <v>24</v>
      </c>
      <c r="D342" s="1">
        <v>4668</v>
      </c>
      <c r="E342">
        <v>122</v>
      </c>
      <c r="F342">
        <v>103</v>
      </c>
      <c r="G342">
        <v>65</v>
      </c>
      <c r="H342">
        <v>402</v>
      </c>
      <c r="I342" s="1">
        <v>1468</v>
      </c>
      <c r="J342">
        <v>844</v>
      </c>
      <c r="K342">
        <v>606</v>
      </c>
      <c r="L342">
        <v>436</v>
      </c>
      <c r="M342">
        <v>224</v>
      </c>
      <c r="N342">
        <v>156</v>
      </c>
      <c r="O342">
        <v>77</v>
      </c>
      <c r="P342">
        <v>71</v>
      </c>
      <c r="Q342">
        <v>48</v>
      </c>
      <c r="R342">
        <v>20</v>
      </c>
      <c r="S342">
        <v>16</v>
      </c>
      <c r="T342">
        <v>6</v>
      </c>
      <c r="U342" s="1">
        <v>4</v>
      </c>
    </row>
    <row r="343" spans="1:21" x14ac:dyDescent="0.3">
      <c r="A343" t="s">
        <v>128</v>
      </c>
      <c r="B343" t="s">
        <v>130</v>
      </c>
      <c r="C343" s="2" t="s">
        <v>25</v>
      </c>
      <c r="D343" s="1">
        <v>4520</v>
      </c>
      <c r="E343">
        <v>128</v>
      </c>
      <c r="F343">
        <v>92</v>
      </c>
      <c r="G343">
        <v>70</v>
      </c>
      <c r="H343">
        <v>367</v>
      </c>
      <c r="I343" s="1">
        <v>1434</v>
      </c>
      <c r="J343">
        <v>855</v>
      </c>
      <c r="K343">
        <v>542</v>
      </c>
      <c r="L343">
        <v>351</v>
      </c>
      <c r="M343">
        <v>220</v>
      </c>
      <c r="N343">
        <v>130</v>
      </c>
      <c r="O343">
        <v>109</v>
      </c>
      <c r="P343">
        <v>102</v>
      </c>
      <c r="Q343">
        <v>77</v>
      </c>
      <c r="R343">
        <v>25</v>
      </c>
      <c r="S343">
        <v>15</v>
      </c>
      <c r="T343">
        <v>1</v>
      </c>
      <c r="U343" s="1">
        <v>2</v>
      </c>
    </row>
    <row r="344" spans="1:21" x14ac:dyDescent="0.3">
      <c r="A344" t="s">
        <v>128</v>
      </c>
      <c r="B344" t="s">
        <v>127</v>
      </c>
      <c r="C344" s="2" t="s">
        <v>21</v>
      </c>
      <c r="D344" s="1">
        <v>1675</v>
      </c>
      <c r="E344">
        <v>30</v>
      </c>
      <c r="F344">
        <v>25</v>
      </c>
      <c r="G344">
        <v>29</v>
      </c>
      <c r="H344">
        <v>31</v>
      </c>
      <c r="I344">
        <v>175</v>
      </c>
      <c r="J344">
        <v>214</v>
      </c>
      <c r="K344">
        <v>218</v>
      </c>
      <c r="L344">
        <v>210</v>
      </c>
      <c r="M344">
        <v>181</v>
      </c>
      <c r="N344">
        <v>152</v>
      </c>
      <c r="O344">
        <v>130</v>
      </c>
      <c r="P344">
        <v>110</v>
      </c>
      <c r="Q344">
        <v>89</v>
      </c>
      <c r="R344">
        <v>49</v>
      </c>
      <c r="S344">
        <v>15</v>
      </c>
      <c r="T344">
        <v>9</v>
      </c>
      <c r="U344" s="1">
        <v>8</v>
      </c>
    </row>
    <row r="345" spans="1:21" x14ac:dyDescent="0.3">
      <c r="A345" t="s">
        <v>128</v>
      </c>
      <c r="B345" t="s">
        <v>127</v>
      </c>
      <c r="C345" s="2" t="s">
        <v>24</v>
      </c>
      <c r="D345">
        <v>653</v>
      </c>
      <c r="E345">
        <v>16</v>
      </c>
      <c r="F345">
        <v>12</v>
      </c>
      <c r="G345">
        <v>13</v>
      </c>
      <c r="H345">
        <v>12</v>
      </c>
      <c r="I345">
        <v>71</v>
      </c>
      <c r="J345">
        <v>85</v>
      </c>
      <c r="K345">
        <v>73</v>
      </c>
      <c r="L345">
        <v>80</v>
      </c>
      <c r="M345">
        <v>59</v>
      </c>
      <c r="N345">
        <v>62</v>
      </c>
      <c r="O345">
        <v>56</v>
      </c>
      <c r="P345">
        <v>44</v>
      </c>
      <c r="Q345">
        <v>32</v>
      </c>
      <c r="R345">
        <v>22</v>
      </c>
      <c r="S345">
        <v>7</v>
      </c>
      <c r="T345">
        <v>3</v>
      </c>
      <c r="U345" s="1">
        <v>6</v>
      </c>
    </row>
    <row r="346" spans="1:21" x14ac:dyDescent="0.3">
      <c r="A346" t="s">
        <v>128</v>
      </c>
      <c r="B346" t="s">
        <v>127</v>
      </c>
      <c r="C346" s="2" t="s">
        <v>25</v>
      </c>
      <c r="D346" s="1">
        <v>1022</v>
      </c>
      <c r="E346">
        <v>14</v>
      </c>
      <c r="F346">
        <v>13</v>
      </c>
      <c r="G346">
        <v>16</v>
      </c>
      <c r="H346">
        <v>19</v>
      </c>
      <c r="I346">
        <v>104</v>
      </c>
      <c r="J346">
        <v>129</v>
      </c>
      <c r="K346">
        <v>145</v>
      </c>
      <c r="L346">
        <v>130</v>
      </c>
      <c r="M346">
        <v>122</v>
      </c>
      <c r="N346">
        <v>90</v>
      </c>
      <c r="O346">
        <v>74</v>
      </c>
      <c r="P346">
        <v>66</v>
      </c>
      <c r="Q346">
        <v>57</v>
      </c>
      <c r="R346">
        <v>27</v>
      </c>
      <c r="S346">
        <v>8</v>
      </c>
      <c r="T346">
        <v>6</v>
      </c>
      <c r="U346" s="1">
        <v>2</v>
      </c>
    </row>
    <row r="347" spans="1:21" x14ac:dyDescent="0.3">
      <c r="A347" t="s">
        <v>131</v>
      </c>
      <c r="B347" t="s">
        <v>21</v>
      </c>
      <c r="C347" s="2" t="s">
        <v>21</v>
      </c>
      <c r="D347" s="1">
        <v>60929</v>
      </c>
      <c r="E347">
        <v>794</v>
      </c>
      <c r="F347">
        <v>667</v>
      </c>
      <c r="G347">
        <v>474</v>
      </c>
      <c r="H347" s="1">
        <v>3588</v>
      </c>
      <c r="I347" s="1">
        <v>15247</v>
      </c>
      <c r="J347" s="1">
        <v>11356</v>
      </c>
      <c r="K347" s="1">
        <v>8503</v>
      </c>
      <c r="L347" s="1">
        <v>7180</v>
      </c>
      <c r="M347" s="1">
        <v>4744</v>
      </c>
      <c r="N347" s="1">
        <v>2709</v>
      </c>
      <c r="O347" s="1">
        <v>1930</v>
      </c>
      <c r="P347" s="1">
        <v>1583</v>
      </c>
      <c r="Q347" s="1">
        <v>1029</v>
      </c>
      <c r="R347">
        <v>573</v>
      </c>
      <c r="S347">
        <v>307</v>
      </c>
      <c r="T347">
        <v>126</v>
      </c>
      <c r="U347" s="1">
        <v>119</v>
      </c>
    </row>
    <row r="348" spans="1:21" x14ac:dyDescent="0.3">
      <c r="A348" t="s">
        <v>131</v>
      </c>
      <c r="B348" t="s">
        <v>21</v>
      </c>
      <c r="C348" s="2" t="s">
        <v>24</v>
      </c>
      <c r="D348" s="1">
        <f>D351+D354+D357+D360+D363+D366+D369+D372+D375+D378+D381+D384+D387+D390+D393+D396</f>
        <v>34654</v>
      </c>
      <c r="E348" s="1">
        <f t="shared" ref="E348:U348" si="14">E351+E354+E357+E360+E363+E366+E369+E372+E375+E378+E381+E384+E387+E390+E393+E396</f>
        <v>409</v>
      </c>
      <c r="F348" s="1">
        <f t="shared" si="14"/>
        <v>361</v>
      </c>
      <c r="G348" s="1">
        <f t="shared" si="14"/>
        <v>240</v>
      </c>
      <c r="H348" s="1">
        <f t="shared" si="14"/>
        <v>1765</v>
      </c>
      <c r="I348" s="1">
        <f t="shared" si="14"/>
        <v>8009</v>
      </c>
      <c r="J348" s="1">
        <f t="shared" si="14"/>
        <v>6525</v>
      </c>
      <c r="K348" s="1">
        <f t="shared" si="14"/>
        <v>5478</v>
      </c>
      <c r="L348" s="1">
        <f t="shared" si="14"/>
        <v>4732</v>
      </c>
      <c r="M348" s="1">
        <f t="shared" si="14"/>
        <v>2937</v>
      </c>
      <c r="N348" s="1">
        <f t="shared" si="14"/>
        <v>1467</v>
      </c>
      <c r="O348" s="1">
        <f t="shared" si="14"/>
        <v>934</v>
      </c>
      <c r="P348" s="1">
        <f t="shared" si="14"/>
        <v>730</v>
      </c>
      <c r="Q348" s="1">
        <f t="shared" si="14"/>
        <v>471</v>
      </c>
      <c r="R348" s="1">
        <f t="shared" si="14"/>
        <v>291</v>
      </c>
      <c r="S348" s="1">
        <f t="shared" si="14"/>
        <v>158</v>
      </c>
      <c r="T348" s="1">
        <f t="shared" si="14"/>
        <v>73</v>
      </c>
      <c r="U348" s="1">
        <f t="shared" si="14"/>
        <v>74</v>
      </c>
    </row>
    <row r="349" spans="1:21" x14ac:dyDescent="0.3">
      <c r="A349" t="s">
        <v>131</v>
      </c>
      <c r="B349" t="s">
        <v>21</v>
      </c>
      <c r="C349" s="2" t="s">
        <v>25</v>
      </c>
      <c r="D349" s="1">
        <f>D352+D355+D358+D361+D364+D367+D370+D373+D376+D379+D382+D385+D388+D391+D394+D397</f>
        <v>26275</v>
      </c>
      <c r="E349" s="1">
        <f t="shared" ref="E349:U349" si="15">E352+E355+E358+E361+E364+E367+E370+E373+E376+E379+E382+E385+E388+E391+E394+E397</f>
        <v>385</v>
      </c>
      <c r="F349" s="1">
        <f t="shared" si="15"/>
        <v>306</v>
      </c>
      <c r="G349" s="1">
        <f t="shared" si="15"/>
        <v>234</v>
      </c>
      <c r="H349" s="1">
        <f t="shared" si="15"/>
        <v>1823</v>
      </c>
      <c r="I349" s="1">
        <f t="shared" si="15"/>
        <v>7238</v>
      </c>
      <c r="J349" s="1">
        <f t="shared" si="15"/>
        <v>4831</v>
      </c>
      <c r="K349" s="1">
        <f t="shared" si="15"/>
        <v>3025</v>
      </c>
      <c r="L349" s="1">
        <f t="shared" si="15"/>
        <v>2448</v>
      </c>
      <c r="M349" s="1">
        <f t="shared" si="15"/>
        <v>1807</v>
      </c>
      <c r="N349" s="1">
        <f t="shared" si="15"/>
        <v>1242</v>
      </c>
      <c r="O349" s="1">
        <f t="shared" si="15"/>
        <v>996</v>
      </c>
      <c r="P349" s="1">
        <f t="shared" si="15"/>
        <v>853</v>
      </c>
      <c r="Q349" s="1">
        <f t="shared" si="15"/>
        <v>558</v>
      </c>
      <c r="R349" s="1">
        <f t="shared" si="15"/>
        <v>282</v>
      </c>
      <c r="S349" s="1">
        <f t="shared" si="15"/>
        <v>149</v>
      </c>
      <c r="T349" s="1">
        <f t="shared" si="15"/>
        <v>53</v>
      </c>
      <c r="U349" s="1">
        <f t="shared" si="15"/>
        <v>45</v>
      </c>
    </row>
    <row r="350" spans="1:21" x14ac:dyDescent="0.3">
      <c r="A350" t="s">
        <v>131</v>
      </c>
      <c r="B350" t="s">
        <v>132</v>
      </c>
      <c r="C350" s="2" t="s">
        <v>21</v>
      </c>
      <c r="D350" s="1">
        <v>7144</v>
      </c>
      <c r="E350">
        <v>102</v>
      </c>
      <c r="F350">
        <v>75</v>
      </c>
      <c r="G350">
        <v>30</v>
      </c>
      <c r="H350">
        <v>36</v>
      </c>
      <c r="I350">
        <v>925</v>
      </c>
      <c r="J350" s="1">
        <v>1419</v>
      </c>
      <c r="K350" s="1">
        <v>1679</v>
      </c>
      <c r="L350" s="1">
        <v>1457</v>
      </c>
      <c r="M350">
        <v>771</v>
      </c>
      <c r="N350">
        <v>296</v>
      </c>
      <c r="O350">
        <v>151</v>
      </c>
      <c r="P350">
        <v>114</v>
      </c>
      <c r="Q350">
        <v>59</v>
      </c>
      <c r="R350">
        <v>19</v>
      </c>
      <c r="S350">
        <v>9</v>
      </c>
      <c r="T350">
        <v>1</v>
      </c>
      <c r="U350" s="1">
        <v>1</v>
      </c>
    </row>
    <row r="351" spans="1:21" x14ac:dyDescent="0.3">
      <c r="A351" t="s">
        <v>131</v>
      </c>
      <c r="B351" t="s">
        <v>132</v>
      </c>
      <c r="C351" s="2" t="s">
        <v>24</v>
      </c>
      <c r="D351" s="1">
        <v>6117</v>
      </c>
      <c r="E351">
        <v>54</v>
      </c>
      <c r="F351">
        <v>38</v>
      </c>
      <c r="G351">
        <v>14</v>
      </c>
      <c r="H351">
        <v>23</v>
      </c>
      <c r="I351">
        <v>834</v>
      </c>
      <c r="J351" s="1">
        <v>1269</v>
      </c>
      <c r="K351" s="1">
        <v>1494</v>
      </c>
      <c r="L351" s="1">
        <v>1297</v>
      </c>
      <c r="M351">
        <v>666</v>
      </c>
      <c r="N351">
        <v>220</v>
      </c>
      <c r="O351">
        <v>95</v>
      </c>
      <c r="P351">
        <v>69</v>
      </c>
      <c r="Q351">
        <v>28</v>
      </c>
      <c r="R351">
        <v>11</v>
      </c>
      <c r="S351">
        <v>3</v>
      </c>
      <c r="T351">
        <v>1</v>
      </c>
      <c r="U351" s="1">
        <v>1</v>
      </c>
    </row>
    <row r="352" spans="1:21" x14ac:dyDescent="0.3">
      <c r="A352" t="s">
        <v>131</v>
      </c>
      <c r="B352" t="s">
        <v>132</v>
      </c>
      <c r="C352" s="2" t="s">
        <v>25</v>
      </c>
      <c r="D352" s="1">
        <v>1027</v>
      </c>
      <c r="E352">
        <v>48</v>
      </c>
      <c r="F352">
        <v>37</v>
      </c>
      <c r="G352">
        <v>16</v>
      </c>
      <c r="H352">
        <v>13</v>
      </c>
      <c r="I352">
        <v>91</v>
      </c>
      <c r="J352">
        <v>150</v>
      </c>
      <c r="K352">
        <v>185</v>
      </c>
      <c r="L352">
        <v>160</v>
      </c>
      <c r="M352">
        <v>105</v>
      </c>
      <c r="N352">
        <v>76</v>
      </c>
      <c r="O352">
        <v>56</v>
      </c>
      <c r="P352">
        <v>45</v>
      </c>
      <c r="Q352">
        <v>31</v>
      </c>
      <c r="R352">
        <v>8</v>
      </c>
      <c r="S352">
        <v>6</v>
      </c>
      <c r="T352">
        <v>0</v>
      </c>
      <c r="U352" s="1">
        <v>0</v>
      </c>
    </row>
    <row r="353" spans="1:21" x14ac:dyDescent="0.3">
      <c r="A353" t="s">
        <v>131</v>
      </c>
      <c r="B353" t="s">
        <v>133</v>
      </c>
      <c r="C353" s="2" t="s">
        <v>21</v>
      </c>
      <c r="D353" s="1">
        <v>5133</v>
      </c>
      <c r="E353">
        <v>62</v>
      </c>
      <c r="F353">
        <v>40</v>
      </c>
      <c r="G353">
        <v>22</v>
      </c>
      <c r="H353">
        <v>494</v>
      </c>
      <c r="I353" s="1">
        <v>1888</v>
      </c>
      <c r="J353" s="1">
        <v>1239</v>
      </c>
      <c r="K353">
        <v>530</v>
      </c>
      <c r="L353">
        <v>274</v>
      </c>
      <c r="M353">
        <v>172</v>
      </c>
      <c r="N353">
        <v>114</v>
      </c>
      <c r="O353">
        <v>93</v>
      </c>
      <c r="P353">
        <v>80</v>
      </c>
      <c r="Q353">
        <v>70</v>
      </c>
      <c r="R353">
        <v>29</v>
      </c>
      <c r="S353">
        <v>16</v>
      </c>
      <c r="T353">
        <v>6</v>
      </c>
      <c r="U353" s="1">
        <v>4</v>
      </c>
    </row>
    <row r="354" spans="1:21" x14ac:dyDescent="0.3">
      <c r="A354" t="s">
        <v>131</v>
      </c>
      <c r="B354" t="s">
        <v>133</v>
      </c>
      <c r="C354" s="2" t="s">
        <v>24</v>
      </c>
      <c r="D354" s="1">
        <v>2033</v>
      </c>
      <c r="E354">
        <v>27</v>
      </c>
      <c r="F354">
        <v>14</v>
      </c>
      <c r="G354">
        <v>11</v>
      </c>
      <c r="H354">
        <v>234</v>
      </c>
      <c r="I354">
        <v>652</v>
      </c>
      <c r="J354">
        <v>466</v>
      </c>
      <c r="K354">
        <v>251</v>
      </c>
      <c r="L354">
        <v>140</v>
      </c>
      <c r="M354">
        <v>68</v>
      </c>
      <c r="N354">
        <v>49</v>
      </c>
      <c r="O354">
        <v>36</v>
      </c>
      <c r="P354">
        <v>28</v>
      </c>
      <c r="Q354">
        <v>26</v>
      </c>
      <c r="R354">
        <v>16</v>
      </c>
      <c r="S354">
        <v>10</v>
      </c>
      <c r="T354">
        <v>3</v>
      </c>
      <c r="U354" s="1">
        <v>2</v>
      </c>
    </row>
    <row r="355" spans="1:21" x14ac:dyDescent="0.3">
      <c r="A355" t="s">
        <v>131</v>
      </c>
      <c r="B355" t="s">
        <v>133</v>
      </c>
      <c r="C355" s="2" t="s">
        <v>25</v>
      </c>
      <c r="D355" s="1">
        <v>3100</v>
      </c>
      <c r="E355">
        <v>35</v>
      </c>
      <c r="F355">
        <v>26</v>
      </c>
      <c r="G355">
        <v>11</v>
      </c>
      <c r="H355">
        <v>260</v>
      </c>
      <c r="I355" s="1">
        <v>1236</v>
      </c>
      <c r="J355">
        <v>773</v>
      </c>
      <c r="K355">
        <v>279</v>
      </c>
      <c r="L355">
        <v>134</v>
      </c>
      <c r="M355">
        <v>104</v>
      </c>
      <c r="N355">
        <v>65</v>
      </c>
      <c r="O355">
        <v>57</v>
      </c>
      <c r="P355">
        <v>52</v>
      </c>
      <c r="Q355">
        <v>44</v>
      </c>
      <c r="R355">
        <v>13</v>
      </c>
      <c r="S355">
        <v>6</v>
      </c>
      <c r="T355">
        <v>3</v>
      </c>
      <c r="U355" s="1">
        <v>2</v>
      </c>
    </row>
    <row r="356" spans="1:21" x14ac:dyDescent="0.3">
      <c r="A356" t="s">
        <v>131</v>
      </c>
      <c r="B356" t="s">
        <v>134</v>
      </c>
      <c r="C356" s="2" t="s">
        <v>21</v>
      </c>
      <c r="D356" s="1">
        <v>3150</v>
      </c>
      <c r="E356">
        <v>44</v>
      </c>
      <c r="F356">
        <v>34</v>
      </c>
      <c r="G356">
        <v>33</v>
      </c>
      <c r="H356">
        <v>25</v>
      </c>
      <c r="I356">
        <v>345</v>
      </c>
      <c r="J356">
        <v>635</v>
      </c>
      <c r="K356">
        <v>654</v>
      </c>
      <c r="L356">
        <v>620</v>
      </c>
      <c r="M356">
        <v>361</v>
      </c>
      <c r="N356">
        <v>152</v>
      </c>
      <c r="O356">
        <v>99</v>
      </c>
      <c r="P356">
        <v>72</v>
      </c>
      <c r="Q356">
        <v>35</v>
      </c>
      <c r="R356">
        <v>19</v>
      </c>
      <c r="S356">
        <v>7</v>
      </c>
      <c r="T356">
        <v>12</v>
      </c>
      <c r="U356" s="1">
        <v>3</v>
      </c>
    </row>
    <row r="357" spans="1:21" x14ac:dyDescent="0.3">
      <c r="A357" t="s">
        <v>131</v>
      </c>
      <c r="B357" t="s">
        <v>134</v>
      </c>
      <c r="C357" s="2" t="s">
        <v>24</v>
      </c>
      <c r="D357" s="1">
        <v>2236</v>
      </c>
      <c r="E357">
        <v>16</v>
      </c>
      <c r="F357">
        <v>17</v>
      </c>
      <c r="G357">
        <v>20</v>
      </c>
      <c r="H357">
        <v>10</v>
      </c>
      <c r="I357">
        <v>267</v>
      </c>
      <c r="J357">
        <v>483</v>
      </c>
      <c r="K357">
        <v>517</v>
      </c>
      <c r="L357">
        <v>464</v>
      </c>
      <c r="M357">
        <v>226</v>
      </c>
      <c r="N357">
        <v>88</v>
      </c>
      <c r="O357">
        <v>53</v>
      </c>
      <c r="P357">
        <v>40</v>
      </c>
      <c r="Q357">
        <v>17</v>
      </c>
      <c r="R357">
        <v>4</v>
      </c>
      <c r="S357">
        <v>2</v>
      </c>
      <c r="T357">
        <v>9</v>
      </c>
      <c r="U357" s="1">
        <v>3</v>
      </c>
    </row>
    <row r="358" spans="1:21" x14ac:dyDescent="0.3">
      <c r="A358" t="s">
        <v>131</v>
      </c>
      <c r="B358" t="s">
        <v>134</v>
      </c>
      <c r="C358" s="2" t="s">
        <v>25</v>
      </c>
      <c r="D358">
        <v>914</v>
      </c>
      <c r="E358">
        <v>28</v>
      </c>
      <c r="F358">
        <v>17</v>
      </c>
      <c r="G358">
        <v>13</v>
      </c>
      <c r="H358">
        <v>15</v>
      </c>
      <c r="I358">
        <v>78</v>
      </c>
      <c r="J358">
        <v>152</v>
      </c>
      <c r="K358">
        <v>137</v>
      </c>
      <c r="L358">
        <v>156</v>
      </c>
      <c r="M358">
        <v>135</v>
      </c>
      <c r="N358">
        <v>64</v>
      </c>
      <c r="O358">
        <v>46</v>
      </c>
      <c r="P358">
        <v>32</v>
      </c>
      <c r="Q358">
        <v>18</v>
      </c>
      <c r="R358">
        <v>15</v>
      </c>
      <c r="S358">
        <v>5</v>
      </c>
      <c r="T358">
        <v>3</v>
      </c>
      <c r="U358" s="1">
        <v>0</v>
      </c>
    </row>
    <row r="359" spans="1:21" x14ac:dyDescent="0.3">
      <c r="A359" t="s">
        <v>131</v>
      </c>
      <c r="B359" t="s">
        <v>118</v>
      </c>
      <c r="C359" s="2" t="s">
        <v>21</v>
      </c>
      <c r="D359" s="1">
        <v>8068</v>
      </c>
      <c r="E359">
        <v>85</v>
      </c>
      <c r="F359">
        <v>46</v>
      </c>
      <c r="G359">
        <v>35</v>
      </c>
      <c r="H359">
        <v>588</v>
      </c>
      <c r="I359" s="1">
        <v>3426</v>
      </c>
      <c r="J359" s="1">
        <v>2097</v>
      </c>
      <c r="K359">
        <v>743</v>
      </c>
      <c r="L359">
        <v>371</v>
      </c>
      <c r="M359">
        <v>230</v>
      </c>
      <c r="N359">
        <v>130</v>
      </c>
      <c r="O359">
        <v>100</v>
      </c>
      <c r="P359">
        <v>84</v>
      </c>
      <c r="Q359">
        <v>49</v>
      </c>
      <c r="R359">
        <v>41</v>
      </c>
      <c r="S359">
        <v>23</v>
      </c>
      <c r="T359">
        <v>5</v>
      </c>
      <c r="U359" s="1">
        <v>15</v>
      </c>
    </row>
    <row r="360" spans="1:21" x14ac:dyDescent="0.3">
      <c r="A360" t="s">
        <v>131</v>
      </c>
      <c r="B360" t="s">
        <v>118</v>
      </c>
      <c r="C360" s="2" t="s">
        <v>24</v>
      </c>
      <c r="D360" s="1">
        <v>4289</v>
      </c>
      <c r="E360">
        <v>44</v>
      </c>
      <c r="F360">
        <v>30</v>
      </c>
      <c r="G360">
        <v>16</v>
      </c>
      <c r="H360">
        <v>268</v>
      </c>
      <c r="I360" s="1">
        <v>1947</v>
      </c>
      <c r="J360" s="1">
        <v>1148</v>
      </c>
      <c r="K360">
        <v>355</v>
      </c>
      <c r="L360">
        <v>150</v>
      </c>
      <c r="M360">
        <v>110</v>
      </c>
      <c r="N360">
        <v>61</v>
      </c>
      <c r="O360">
        <v>52</v>
      </c>
      <c r="P360">
        <v>40</v>
      </c>
      <c r="Q360">
        <v>23</v>
      </c>
      <c r="R360">
        <v>20</v>
      </c>
      <c r="S360">
        <v>14</v>
      </c>
      <c r="T360">
        <v>3</v>
      </c>
      <c r="U360" s="1">
        <v>8</v>
      </c>
    </row>
    <row r="361" spans="1:21" x14ac:dyDescent="0.3">
      <c r="A361" t="s">
        <v>131</v>
      </c>
      <c r="B361" t="s">
        <v>118</v>
      </c>
      <c r="C361" s="2" t="s">
        <v>25</v>
      </c>
      <c r="D361" s="1">
        <v>3779</v>
      </c>
      <c r="E361">
        <v>41</v>
      </c>
      <c r="F361">
        <v>16</v>
      </c>
      <c r="G361">
        <v>19</v>
      </c>
      <c r="H361">
        <v>320</v>
      </c>
      <c r="I361" s="1">
        <v>1479</v>
      </c>
      <c r="J361">
        <v>949</v>
      </c>
      <c r="K361">
        <v>388</v>
      </c>
      <c r="L361">
        <v>221</v>
      </c>
      <c r="M361">
        <v>120</v>
      </c>
      <c r="N361">
        <v>69</v>
      </c>
      <c r="O361">
        <v>48</v>
      </c>
      <c r="P361">
        <v>44</v>
      </c>
      <c r="Q361">
        <v>26</v>
      </c>
      <c r="R361">
        <v>21</v>
      </c>
      <c r="S361">
        <v>9</v>
      </c>
      <c r="T361">
        <v>2</v>
      </c>
      <c r="U361" s="1">
        <v>7</v>
      </c>
    </row>
    <row r="362" spans="1:21" x14ac:dyDescent="0.3">
      <c r="A362" t="s">
        <v>131</v>
      </c>
      <c r="B362" t="s">
        <v>119</v>
      </c>
      <c r="C362" s="2" t="s">
        <v>21</v>
      </c>
      <c r="D362" s="1">
        <v>1978</v>
      </c>
      <c r="E362">
        <v>36</v>
      </c>
      <c r="F362">
        <v>32</v>
      </c>
      <c r="G362">
        <v>33</v>
      </c>
      <c r="H362">
        <v>48</v>
      </c>
      <c r="I362">
        <v>117</v>
      </c>
      <c r="J362">
        <v>286</v>
      </c>
      <c r="K362">
        <v>303</v>
      </c>
      <c r="L362">
        <v>314</v>
      </c>
      <c r="M362">
        <v>248</v>
      </c>
      <c r="N362">
        <v>177</v>
      </c>
      <c r="O362">
        <v>102</v>
      </c>
      <c r="P362">
        <v>96</v>
      </c>
      <c r="Q362">
        <v>57</v>
      </c>
      <c r="R362">
        <v>57</v>
      </c>
      <c r="S362">
        <v>40</v>
      </c>
      <c r="T362">
        <v>19</v>
      </c>
      <c r="U362" s="1">
        <v>13</v>
      </c>
    </row>
    <row r="363" spans="1:21" x14ac:dyDescent="0.3">
      <c r="A363" t="s">
        <v>131</v>
      </c>
      <c r="B363" t="s">
        <v>119</v>
      </c>
      <c r="C363" s="2" t="s">
        <v>24</v>
      </c>
      <c r="D363">
        <v>922</v>
      </c>
      <c r="E363">
        <v>21</v>
      </c>
      <c r="F363">
        <v>16</v>
      </c>
      <c r="G363">
        <v>19</v>
      </c>
      <c r="H363">
        <v>23</v>
      </c>
      <c r="I363">
        <v>39</v>
      </c>
      <c r="J363">
        <v>115</v>
      </c>
      <c r="K363">
        <v>147</v>
      </c>
      <c r="L363">
        <v>157</v>
      </c>
      <c r="M363">
        <v>126</v>
      </c>
      <c r="N363">
        <v>80</v>
      </c>
      <c r="O363">
        <v>49</v>
      </c>
      <c r="P363">
        <v>37</v>
      </c>
      <c r="Q363">
        <v>28</v>
      </c>
      <c r="R363">
        <v>32</v>
      </c>
      <c r="S363">
        <v>17</v>
      </c>
      <c r="T363">
        <v>13</v>
      </c>
      <c r="U363" s="1">
        <v>3</v>
      </c>
    </row>
    <row r="364" spans="1:21" x14ac:dyDescent="0.3">
      <c r="A364" t="s">
        <v>131</v>
      </c>
      <c r="B364" t="s">
        <v>119</v>
      </c>
      <c r="C364" s="2" t="s">
        <v>25</v>
      </c>
      <c r="D364" s="1">
        <v>1056</v>
      </c>
      <c r="E364">
        <v>15</v>
      </c>
      <c r="F364">
        <v>16</v>
      </c>
      <c r="G364">
        <v>14</v>
      </c>
      <c r="H364">
        <v>25</v>
      </c>
      <c r="I364">
        <v>78</v>
      </c>
      <c r="J364">
        <v>171</v>
      </c>
      <c r="K364">
        <v>156</v>
      </c>
      <c r="L364">
        <v>157</v>
      </c>
      <c r="M364">
        <v>122</v>
      </c>
      <c r="N364">
        <v>97</v>
      </c>
      <c r="O364">
        <v>53</v>
      </c>
      <c r="P364">
        <v>59</v>
      </c>
      <c r="Q364">
        <v>29</v>
      </c>
      <c r="R364">
        <v>25</v>
      </c>
      <c r="S364">
        <v>23</v>
      </c>
      <c r="T364">
        <v>6</v>
      </c>
      <c r="U364" s="1">
        <v>10</v>
      </c>
    </row>
    <row r="365" spans="1:21" x14ac:dyDescent="0.3">
      <c r="A365" t="s">
        <v>131</v>
      </c>
      <c r="B365" t="s">
        <v>135</v>
      </c>
      <c r="C365" s="2" t="s">
        <v>21</v>
      </c>
      <c r="D365" s="1">
        <v>1114</v>
      </c>
      <c r="E365">
        <v>11</v>
      </c>
      <c r="F365">
        <v>18</v>
      </c>
      <c r="G365">
        <v>7</v>
      </c>
      <c r="H365">
        <v>21</v>
      </c>
      <c r="I365">
        <v>115</v>
      </c>
      <c r="J365">
        <v>176</v>
      </c>
      <c r="K365">
        <v>189</v>
      </c>
      <c r="L365">
        <v>160</v>
      </c>
      <c r="M365">
        <v>137</v>
      </c>
      <c r="N365">
        <v>92</v>
      </c>
      <c r="O365">
        <v>59</v>
      </c>
      <c r="P365">
        <v>55</v>
      </c>
      <c r="Q365">
        <v>28</v>
      </c>
      <c r="R365">
        <v>26</v>
      </c>
      <c r="S365">
        <v>15</v>
      </c>
      <c r="T365">
        <v>4</v>
      </c>
      <c r="U365" s="1">
        <v>1</v>
      </c>
    </row>
    <row r="366" spans="1:21" x14ac:dyDescent="0.3">
      <c r="A366" t="s">
        <v>131</v>
      </c>
      <c r="B366" t="s">
        <v>135</v>
      </c>
      <c r="C366" s="2" t="s">
        <v>24</v>
      </c>
      <c r="D366">
        <v>418</v>
      </c>
      <c r="E366">
        <v>5</v>
      </c>
      <c r="F366">
        <v>7</v>
      </c>
      <c r="G366">
        <v>3</v>
      </c>
      <c r="H366">
        <v>13</v>
      </c>
      <c r="I366">
        <v>45</v>
      </c>
      <c r="J366">
        <v>68</v>
      </c>
      <c r="K366">
        <v>67</v>
      </c>
      <c r="L366">
        <v>47</v>
      </c>
      <c r="M366">
        <v>58</v>
      </c>
      <c r="N366">
        <v>34</v>
      </c>
      <c r="O366">
        <v>19</v>
      </c>
      <c r="P366">
        <v>20</v>
      </c>
      <c r="Q366">
        <v>10</v>
      </c>
      <c r="R366">
        <v>13</v>
      </c>
      <c r="S366">
        <v>7</v>
      </c>
      <c r="T366">
        <v>2</v>
      </c>
      <c r="U366" s="1">
        <v>0</v>
      </c>
    </row>
    <row r="367" spans="1:21" x14ac:dyDescent="0.3">
      <c r="A367" t="s">
        <v>131</v>
      </c>
      <c r="B367" t="s">
        <v>135</v>
      </c>
      <c r="C367" s="2" t="s">
        <v>25</v>
      </c>
      <c r="D367">
        <v>696</v>
      </c>
      <c r="E367">
        <v>6</v>
      </c>
      <c r="F367">
        <v>11</v>
      </c>
      <c r="G367">
        <v>4</v>
      </c>
      <c r="H367">
        <v>8</v>
      </c>
      <c r="I367">
        <v>70</v>
      </c>
      <c r="J367">
        <v>108</v>
      </c>
      <c r="K367">
        <v>122</v>
      </c>
      <c r="L367">
        <v>113</v>
      </c>
      <c r="M367">
        <v>79</v>
      </c>
      <c r="N367">
        <v>58</v>
      </c>
      <c r="O367">
        <v>40</v>
      </c>
      <c r="P367">
        <v>35</v>
      </c>
      <c r="Q367">
        <v>18</v>
      </c>
      <c r="R367">
        <v>13</v>
      </c>
      <c r="S367">
        <v>8</v>
      </c>
      <c r="T367">
        <v>2</v>
      </c>
      <c r="U367" s="1">
        <v>1</v>
      </c>
    </row>
    <row r="368" spans="1:21" x14ac:dyDescent="0.3">
      <c r="A368" t="s">
        <v>131</v>
      </c>
      <c r="B368" t="s">
        <v>136</v>
      </c>
      <c r="C368" s="2" t="s">
        <v>21</v>
      </c>
      <c r="D368" s="1">
        <v>3616</v>
      </c>
      <c r="E368">
        <v>25</v>
      </c>
      <c r="F368">
        <v>28</v>
      </c>
      <c r="G368">
        <v>31</v>
      </c>
      <c r="H368">
        <v>290</v>
      </c>
      <c r="I368" s="1">
        <v>1095</v>
      </c>
      <c r="J368">
        <v>590</v>
      </c>
      <c r="K368">
        <v>383</v>
      </c>
      <c r="L368">
        <v>331</v>
      </c>
      <c r="M368">
        <v>237</v>
      </c>
      <c r="N368">
        <v>162</v>
      </c>
      <c r="O368">
        <v>152</v>
      </c>
      <c r="P368">
        <v>120</v>
      </c>
      <c r="Q368">
        <v>74</v>
      </c>
      <c r="R368">
        <v>54</v>
      </c>
      <c r="S368">
        <v>27</v>
      </c>
      <c r="T368">
        <v>6</v>
      </c>
      <c r="U368" s="1">
        <v>11</v>
      </c>
    </row>
    <row r="369" spans="1:21" x14ac:dyDescent="0.3">
      <c r="A369" t="s">
        <v>131</v>
      </c>
      <c r="B369" t="s">
        <v>136</v>
      </c>
      <c r="C369" s="2" t="s">
        <v>24</v>
      </c>
      <c r="D369" s="1">
        <v>1644</v>
      </c>
      <c r="E369">
        <v>13</v>
      </c>
      <c r="F369">
        <v>16</v>
      </c>
      <c r="G369">
        <v>20</v>
      </c>
      <c r="H369">
        <v>155</v>
      </c>
      <c r="I369">
        <v>607</v>
      </c>
      <c r="J369">
        <v>249</v>
      </c>
      <c r="K369">
        <v>119</v>
      </c>
      <c r="L369">
        <v>122</v>
      </c>
      <c r="M369">
        <v>89</v>
      </c>
      <c r="N369">
        <v>55</v>
      </c>
      <c r="O369">
        <v>63</v>
      </c>
      <c r="P369">
        <v>50</v>
      </c>
      <c r="Q369">
        <v>35</v>
      </c>
      <c r="R369">
        <v>27</v>
      </c>
      <c r="S369">
        <v>16</v>
      </c>
      <c r="T369">
        <v>1</v>
      </c>
      <c r="U369" s="1">
        <v>7</v>
      </c>
    </row>
    <row r="370" spans="1:21" x14ac:dyDescent="0.3">
      <c r="A370" t="s">
        <v>131</v>
      </c>
      <c r="B370" t="s">
        <v>136</v>
      </c>
      <c r="C370" s="2" t="s">
        <v>25</v>
      </c>
      <c r="D370" s="1">
        <v>1972</v>
      </c>
      <c r="E370">
        <v>12</v>
      </c>
      <c r="F370">
        <v>12</v>
      </c>
      <c r="G370">
        <v>11</v>
      </c>
      <c r="H370">
        <v>135</v>
      </c>
      <c r="I370">
        <v>488</v>
      </c>
      <c r="J370">
        <v>341</v>
      </c>
      <c r="K370">
        <v>264</v>
      </c>
      <c r="L370">
        <v>209</v>
      </c>
      <c r="M370">
        <v>148</v>
      </c>
      <c r="N370">
        <v>107</v>
      </c>
      <c r="O370">
        <v>89</v>
      </c>
      <c r="P370">
        <v>70</v>
      </c>
      <c r="Q370">
        <v>39</v>
      </c>
      <c r="R370">
        <v>27</v>
      </c>
      <c r="S370">
        <v>11</v>
      </c>
      <c r="T370">
        <v>5</v>
      </c>
      <c r="U370" s="1">
        <v>4</v>
      </c>
    </row>
    <row r="371" spans="1:21" x14ac:dyDescent="0.3">
      <c r="A371" t="s">
        <v>131</v>
      </c>
      <c r="B371" t="s">
        <v>120</v>
      </c>
      <c r="C371" s="2" t="s">
        <v>21</v>
      </c>
      <c r="D371" s="1">
        <v>2353</v>
      </c>
      <c r="E371">
        <v>17</v>
      </c>
      <c r="F371">
        <v>19</v>
      </c>
      <c r="G371">
        <v>13</v>
      </c>
      <c r="H371">
        <v>266</v>
      </c>
      <c r="I371">
        <v>498</v>
      </c>
      <c r="J371">
        <v>497</v>
      </c>
      <c r="K371">
        <v>321</v>
      </c>
      <c r="L371">
        <v>200</v>
      </c>
      <c r="M371">
        <v>139</v>
      </c>
      <c r="N371">
        <v>106</v>
      </c>
      <c r="O371">
        <v>86</v>
      </c>
      <c r="P371">
        <v>91</v>
      </c>
      <c r="Q371">
        <v>57</v>
      </c>
      <c r="R371">
        <v>23</v>
      </c>
      <c r="S371">
        <v>12</v>
      </c>
      <c r="T371">
        <v>3</v>
      </c>
      <c r="U371" s="1">
        <v>5</v>
      </c>
    </row>
    <row r="372" spans="1:21" x14ac:dyDescent="0.3">
      <c r="A372" t="s">
        <v>131</v>
      </c>
      <c r="B372" t="s">
        <v>120</v>
      </c>
      <c r="C372" s="2" t="s">
        <v>24</v>
      </c>
      <c r="D372" s="1">
        <v>1161</v>
      </c>
      <c r="E372">
        <v>10</v>
      </c>
      <c r="F372">
        <v>9</v>
      </c>
      <c r="G372">
        <v>9</v>
      </c>
      <c r="H372">
        <v>171</v>
      </c>
      <c r="I372">
        <v>287</v>
      </c>
      <c r="J372">
        <v>263</v>
      </c>
      <c r="K372">
        <v>172</v>
      </c>
      <c r="L372">
        <v>71</v>
      </c>
      <c r="M372">
        <v>34</v>
      </c>
      <c r="N372">
        <v>34</v>
      </c>
      <c r="O372">
        <v>26</v>
      </c>
      <c r="P372">
        <v>36</v>
      </c>
      <c r="Q372">
        <v>18</v>
      </c>
      <c r="R372">
        <v>12</v>
      </c>
      <c r="S372">
        <v>4</v>
      </c>
      <c r="T372">
        <v>1</v>
      </c>
      <c r="U372" s="1">
        <v>4</v>
      </c>
    </row>
    <row r="373" spans="1:21" x14ac:dyDescent="0.3">
      <c r="A373" t="s">
        <v>131</v>
      </c>
      <c r="B373" t="s">
        <v>120</v>
      </c>
      <c r="C373" s="2" t="s">
        <v>25</v>
      </c>
      <c r="D373" s="1">
        <v>1192</v>
      </c>
      <c r="E373">
        <v>7</v>
      </c>
      <c r="F373">
        <v>10</v>
      </c>
      <c r="G373">
        <v>4</v>
      </c>
      <c r="H373">
        <v>95</v>
      </c>
      <c r="I373">
        <v>211</v>
      </c>
      <c r="J373">
        <v>234</v>
      </c>
      <c r="K373">
        <v>149</v>
      </c>
      <c r="L373">
        <v>129</v>
      </c>
      <c r="M373">
        <v>105</v>
      </c>
      <c r="N373">
        <v>72</v>
      </c>
      <c r="O373">
        <v>60</v>
      </c>
      <c r="P373">
        <v>55</v>
      </c>
      <c r="Q373">
        <v>39</v>
      </c>
      <c r="R373">
        <v>11</v>
      </c>
      <c r="S373">
        <v>8</v>
      </c>
      <c r="T373">
        <v>2</v>
      </c>
      <c r="U373" s="1">
        <v>1</v>
      </c>
    </row>
    <row r="374" spans="1:21" x14ac:dyDescent="0.3">
      <c r="A374" t="s">
        <v>131</v>
      </c>
      <c r="B374" t="s">
        <v>137</v>
      </c>
      <c r="C374" s="2" t="s">
        <v>21</v>
      </c>
      <c r="D374" s="1">
        <v>7563</v>
      </c>
      <c r="E374">
        <v>132</v>
      </c>
      <c r="F374">
        <v>65</v>
      </c>
      <c r="G374">
        <v>36</v>
      </c>
      <c r="H374">
        <v>797</v>
      </c>
      <c r="I374" s="1">
        <v>2744</v>
      </c>
      <c r="J374" s="1">
        <v>1173</v>
      </c>
      <c r="K374">
        <v>737</v>
      </c>
      <c r="L374">
        <v>691</v>
      </c>
      <c r="M374">
        <v>399</v>
      </c>
      <c r="N374">
        <v>210</v>
      </c>
      <c r="O374">
        <v>184</v>
      </c>
      <c r="P374">
        <v>172</v>
      </c>
      <c r="Q374">
        <v>130</v>
      </c>
      <c r="R374">
        <v>48</v>
      </c>
      <c r="S374">
        <v>27</v>
      </c>
      <c r="T374">
        <v>13</v>
      </c>
      <c r="U374" s="1">
        <v>5</v>
      </c>
    </row>
    <row r="375" spans="1:21" x14ac:dyDescent="0.3">
      <c r="A375" t="s">
        <v>131</v>
      </c>
      <c r="B375" t="s">
        <v>137</v>
      </c>
      <c r="C375" s="2" t="s">
        <v>24</v>
      </c>
      <c r="D375" s="1">
        <v>4092</v>
      </c>
      <c r="E375">
        <v>72</v>
      </c>
      <c r="F375">
        <v>38</v>
      </c>
      <c r="G375">
        <v>15</v>
      </c>
      <c r="H375">
        <v>437</v>
      </c>
      <c r="I375" s="1">
        <v>1339</v>
      </c>
      <c r="J375">
        <v>687</v>
      </c>
      <c r="K375">
        <v>482</v>
      </c>
      <c r="L375">
        <v>428</v>
      </c>
      <c r="M375">
        <v>234</v>
      </c>
      <c r="N375">
        <v>109</v>
      </c>
      <c r="O375">
        <v>78</v>
      </c>
      <c r="P375">
        <v>74</v>
      </c>
      <c r="Q375">
        <v>57</v>
      </c>
      <c r="R375">
        <v>21</v>
      </c>
      <c r="S375">
        <v>13</v>
      </c>
      <c r="T375">
        <v>4</v>
      </c>
      <c r="U375" s="1">
        <v>4</v>
      </c>
    </row>
    <row r="376" spans="1:21" x14ac:dyDescent="0.3">
      <c r="A376" t="s">
        <v>131</v>
      </c>
      <c r="B376" t="s">
        <v>137</v>
      </c>
      <c r="C376" s="2" t="s">
        <v>25</v>
      </c>
      <c r="D376" s="1">
        <v>3471</v>
      </c>
      <c r="E376">
        <v>60</v>
      </c>
      <c r="F376">
        <v>27</v>
      </c>
      <c r="G376">
        <v>21</v>
      </c>
      <c r="H376">
        <v>360</v>
      </c>
      <c r="I376" s="1">
        <v>1405</v>
      </c>
      <c r="J376">
        <v>486</v>
      </c>
      <c r="K376">
        <v>255</v>
      </c>
      <c r="L376">
        <v>263</v>
      </c>
      <c r="M376">
        <v>165</v>
      </c>
      <c r="N376">
        <v>101</v>
      </c>
      <c r="O376">
        <v>106</v>
      </c>
      <c r="P376">
        <v>98</v>
      </c>
      <c r="Q376">
        <v>73</v>
      </c>
      <c r="R376">
        <v>27</v>
      </c>
      <c r="S376">
        <v>14</v>
      </c>
      <c r="T376">
        <v>9</v>
      </c>
      <c r="U376" s="1">
        <v>1</v>
      </c>
    </row>
    <row r="377" spans="1:21" x14ac:dyDescent="0.3">
      <c r="A377" t="s">
        <v>131</v>
      </c>
      <c r="B377" t="s">
        <v>138</v>
      </c>
      <c r="C377" s="2" t="s">
        <v>21</v>
      </c>
      <c r="D377" s="1">
        <v>5360</v>
      </c>
      <c r="E377">
        <v>81</v>
      </c>
      <c r="F377">
        <v>82</v>
      </c>
      <c r="G377">
        <v>37</v>
      </c>
      <c r="H377">
        <v>70</v>
      </c>
      <c r="I377">
        <v>839</v>
      </c>
      <c r="J377">
        <v>930</v>
      </c>
      <c r="K377">
        <v>994</v>
      </c>
      <c r="L377">
        <v>867</v>
      </c>
      <c r="M377">
        <v>532</v>
      </c>
      <c r="N377">
        <v>303</v>
      </c>
      <c r="O377">
        <v>223</v>
      </c>
      <c r="P377">
        <v>193</v>
      </c>
      <c r="Q377">
        <v>116</v>
      </c>
      <c r="R377">
        <v>65</v>
      </c>
      <c r="S377">
        <v>22</v>
      </c>
      <c r="T377">
        <v>3</v>
      </c>
      <c r="U377" s="1">
        <v>3</v>
      </c>
    </row>
    <row r="378" spans="1:21" x14ac:dyDescent="0.3">
      <c r="A378" t="s">
        <v>131</v>
      </c>
      <c r="B378" t="s">
        <v>138</v>
      </c>
      <c r="C378" s="2" t="s">
        <v>24</v>
      </c>
      <c r="D378" s="1">
        <v>3422</v>
      </c>
      <c r="E378">
        <v>42</v>
      </c>
      <c r="F378">
        <v>43</v>
      </c>
      <c r="G378">
        <v>16</v>
      </c>
      <c r="H378">
        <v>28</v>
      </c>
      <c r="I378">
        <v>537</v>
      </c>
      <c r="J378">
        <v>633</v>
      </c>
      <c r="K378">
        <v>714</v>
      </c>
      <c r="L378">
        <v>618</v>
      </c>
      <c r="M378">
        <v>339</v>
      </c>
      <c r="N378">
        <v>166</v>
      </c>
      <c r="O378">
        <v>109</v>
      </c>
      <c r="P378">
        <v>79</v>
      </c>
      <c r="Q378">
        <v>55</v>
      </c>
      <c r="R378">
        <v>29</v>
      </c>
      <c r="S378">
        <v>10</v>
      </c>
      <c r="T378">
        <v>1</v>
      </c>
      <c r="U378" s="1">
        <v>3</v>
      </c>
    </row>
    <row r="379" spans="1:21" x14ac:dyDescent="0.3">
      <c r="A379" t="s">
        <v>131</v>
      </c>
      <c r="B379" t="s">
        <v>138</v>
      </c>
      <c r="C379" s="2" t="s">
        <v>25</v>
      </c>
      <c r="D379" s="1">
        <v>1938</v>
      </c>
      <c r="E379">
        <v>39</v>
      </c>
      <c r="F379">
        <v>39</v>
      </c>
      <c r="G379">
        <v>21</v>
      </c>
      <c r="H379">
        <v>42</v>
      </c>
      <c r="I379">
        <v>302</v>
      </c>
      <c r="J379">
        <v>297</v>
      </c>
      <c r="K379">
        <v>280</v>
      </c>
      <c r="L379">
        <v>249</v>
      </c>
      <c r="M379">
        <v>193</v>
      </c>
      <c r="N379">
        <v>137</v>
      </c>
      <c r="O379">
        <v>114</v>
      </c>
      <c r="P379">
        <v>114</v>
      </c>
      <c r="Q379">
        <v>61</v>
      </c>
      <c r="R379">
        <v>36</v>
      </c>
      <c r="S379">
        <v>12</v>
      </c>
      <c r="T379">
        <v>2</v>
      </c>
      <c r="U379" s="1">
        <v>0</v>
      </c>
    </row>
    <row r="380" spans="1:21" x14ac:dyDescent="0.3">
      <c r="A380" t="s">
        <v>131</v>
      </c>
      <c r="B380" t="s">
        <v>121</v>
      </c>
      <c r="C380" s="2" t="s">
        <v>21</v>
      </c>
      <c r="D380" s="1">
        <v>2981</v>
      </c>
      <c r="E380">
        <v>17</v>
      </c>
      <c r="F380">
        <v>14</v>
      </c>
      <c r="G380">
        <v>11</v>
      </c>
      <c r="H380">
        <v>276</v>
      </c>
      <c r="I380">
        <v>933</v>
      </c>
      <c r="J380">
        <v>520</v>
      </c>
      <c r="K380">
        <v>327</v>
      </c>
      <c r="L380">
        <v>293</v>
      </c>
      <c r="M380">
        <v>211</v>
      </c>
      <c r="N380">
        <v>121</v>
      </c>
      <c r="O380">
        <v>97</v>
      </c>
      <c r="P380">
        <v>66</v>
      </c>
      <c r="Q380">
        <v>41</v>
      </c>
      <c r="R380">
        <v>30</v>
      </c>
      <c r="S380">
        <v>15</v>
      </c>
      <c r="T380">
        <v>2</v>
      </c>
      <c r="U380" s="1">
        <v>7</v>
      </c>
    </row>
    <row r="381" spans="1:21" x14ac:dyDescent="0.3">
      <c r="A381" t="s">
        <v>131</v>
      </c>
      <c r="B381" t="s">
        <v>121</v>
      </c>
      <c r="C381" s="2" t="s">
        <v>24</v>
      </c>
      <c r="D381" s="1">
        <v>1580</v>
      </c>
      <c r="E381">
        <v>12</v>
      </c>
      <c r="F381">
        <v>7</v>
      </c>
      <c r="G381">
        <v>5</v>
      </c>
      <c r="H381">
        <v>90</v>
      </c>
      <c r="I381">
        <v>345</v>
      </c>
      <c r="J381">
        <v>290</v>
      </c>
      <c r="K381">
        <v>235</v>
      </c>
      <c r="L381">
        <v>220</v>
      </c>
      <c r="M381">
        <v>158</v>
      </c>
      <c r="N381">
        <v>83</v>
      </c>
      <c r="O381">
        <v>56</v>
      </c>
      <c r="P381">
        <v>31</v>
      </c>
      <c r="Q381">
        <v>20</v>
      </c>
      <c r="R381">
        <v>15</v>
      </c>
      <c r="S381">
        <v>8</v>
      </c>
      <c r="T381">
        <v>1</v>
      </c>
      <c r="U381" s="1">
        <v>4</v>
      </c>
    </row>
    <row r="382" spans="1:21" x14ac:dyDescent="0.3">
      <c r="A382" t="s">
        <v>131</v>
      </c>
      <c r="B382" t="s">
        <v>121</v>
      </c>
      <c r="C382" s="2" t="s">
        <v>25</v>
      </c>
      <c r="D382" s="1">
        <v>1401</v>
      </c>
      <c r="E382">
        <v>5</v>
      </c>
      <c r="F382">
        <v>7</v>
      </c>
      <c r="G382">
        <v>6</v>
      </c>
      <c r="H382">
        <v>186</v>
      </c>
      <c r="I382">
        <v>588</v>
      </c>
      <c r="J382">
        <v>230</v>
      </c>
      <c r="K382">
        <v>92</v>
      </c>
      <c r="L382">
        <v>73</v>
      </c>
      <c r="M382">
        <v>53</v>
      </c>
      <c r="N382">
        <v>38</v>
      </c>
      <c r="O382">
        <v>41</v>
      </c>
      <c r="P382">
        <v>35</v>
      </c>
      <c r="Q382">
        <v>21</v>
      </c>
      <c r="R382">
        <v>15</v>
      </c>
      <c r="S382">
        <v>7</v>
      </c>
      <c r="T382">
        <v>1</v>
      </c>
      <c r="U382" s="1">
        <v>3</v>
      </c>
    </row>
    <row r="383" spans="1:21" x14ac:dyDescent="0.3">
      <c r="A383" t="s">
        <v>131</v>
      </c>
      <c r="B383" t="s">
        <v>139</v>
      </c>
      <c r="C383" s="2" t="s">
        <v>21</v>
      </c>
      <c r="D383" s="1">
        <v>1908</v>
      </c>
      <c r="E383">
        <v>36</v>
      </c>
      <c r="F383">
        <v>38</v>
      </c>
      <c r="G383">
        <v>29</v>
      </c>
      <c r="H383">
        <v>54</v>
      </c>
      <c r="I383">
        <v>276</v>
      </c>
      <c r="J383">
        <v>333</v>
      </c>
      <c r="K383">
        <v>312</v>
      </c>
      <c r="L383">
        <v>254</v>
      </c>
      <c r="M383">
        <v>188</v>
      </c>
      <c r="N383">
        <v>135</v>
      </c>
      <c r="O383">
        <v>98</v>
      </c>
      <c r="P383">
        <v>60</v>
      </c>
      <c r="Q383">
        <v>49</v>
      </c>
      <c r="R383">
        <v>23</v>
      </c>
      <c r="S383">
        <v>9</v>
      </c>
      <c r="T383">
        <v>6</v>
      </c>
      <c r="U383" s="1">
        <v>8</v>
      </c>
    </row>
    <row r="384" spans="1:21" x14ac:dyDescent="0.3">
      <c r="A384" t="s">
        <v>131</v>
      </c>
      <c r="B384" t="s">
        <v>139</v>
      </c>
      <c r="C384" s="2" t="s">
        <v>24</v>
      </c>
      <c r="D384">
        <v>841</v>
      </c>
      <c r="E384">
        <v>18</v>
      </c>
      <c r="F384">
        <v>21</v>
      </c>
      <c r="G384">
        <v>13</v>
      </c>
      <c r="H384">
        <v>17</v>
      </c>
      <c r="I384">
        <v>106</v>
      </c>
      <c r="J384">
        <v>109</v>
      </c>
      <c r="K384">
        <v>125</v>
      </c>
      <c r="L384">
        <v>116</v>
      </c>
      <c r="M384">
        <v>104</v>
      </c>
      <c r="N384">
        <v>73</v>
      </c>
      <c r="O384">
        <v>52</v>
      </c>
      <c r="P384">
        <v>33</v>
      </c>
      <c r="Q384">
        <v>26</v>
      </c>
      <c r="R384">
        <v>14</v>
      </c>
      <c r="S384">
        <v>6</v>
      </c>
      <c r="T384">
        <v>3</v>
      </c>
      <c r="U384" s="1">
        <v>5</v>
      </c>
    </row>
    <row r="385" spans="1:21" x14ac:dyDescent="0.3">
      <c r="A385" t="s">
        <v>131</v>
      </c>
      <c r="B385" t="s">
        <v>139</v>
      </c>
      <c r="C385" s="2" t="s">
        <v>25</v>
      </c>
      <c r="D385" s="1">
        <v>1067</v>
      </c>
      <c r="E385">
        <v>18</v>
      </c>
      <c r="F385">
        <v>17</v>
      </c>
      <c r="G385">
        <v>16</v>
      </c>
      <c r="H385">
        <v>37</v>
      </c>
      <c r="I385">
        <v>170</v>
      </c>
      <c r="J385">
        <v>224</v>
      </c>
      <c r="K385">
        <v>187</v>
      </c>
      <c r="L385">
        <v>138</v>
      </c>
      <c r="M385">
        <v>84</v>
      </c>
      <c r="N385">
        <v>62</v>
      </c>
      <c r="O385">
        <v>46</v>
      </c>
      <c r="P385">
        <v>27</v>
      </c>
      <c r="Q385">
        <v>23</v>
      </c>
      <c r="R385">
        <v>9</v>
      </c>
      <c r="S385">
        <v>3</v>
      </c>
      <c r="T385">
        <v>3</v>
      </c>
      <c r="U385" s="1">
        <v>3</v>
      </c>
    </row>
    <row r="386" spans="1:21" x14ac:dyDescent="0.3">
      <c r="A386" t="s">
        <v>131</v>
      </c>
      <c r="B386" t="s">
        <v>140</v>
      </c>
      <c r="C386" s="2" t="s">
        <v>21</v>
      </c>
      <c r="D386">
        <v>997</v>
      </c>
      <c r="E386">
        <v>15</v>
      </c>
      <c r="F386">
        <v>9</v>
      </c>
      <c r="G386">
        <v>13</v>
      </c>
      <c r="H386">
        <v>18</v>
      </c>
      <c r="I386">
        <v>135</v>
      </c>
      <c r="J386">
        <v>145</v>
      </c>
      <c r="K386">
        <v>128</v>
      </c>
      <c r="L386">
        <v>148</v>
      </c>
      <c r="M386">
        <v>113</v>
      </c>
      <c r="N386">
        <v>92</v>
      </c>
      <c r="O386">
        <v>66</v>
      </c>
      <c r="P386">
        <v>56</v>
      </c>
      <c r="Q386">
        <v>29</v>
      </c>
      <c r="R386">
        <v>21</v>
      </c>
      <c r="S386">
        <v>8</v>
      </c>
      <c r="T386">
        <v>0</v>
      </c>
      <c r="U386" s="1">
        <v>1</v>
      </c>
    </row>
    <row r="387" spans="1:21" x14ac:dyDescent="0.3">
      <c r="A387" t="s">
        <v>131</v>
      </c>
      <c r="B387" t="s">
        <v>140</v>
      </c>
      <c r="C387" s="2" t="s">
        <v>24</v>
      </c>
      <c r="D387">
        <v>371</v>
      </c>
      <c r="E387">
        <v>7</v>
      </c>
      <c r="F387">
        <v>5</v>
      </c>
      <c r="G387">
        <v>7</v>
      </c>
      <c r="H387">
        <v>1</v>
      </c>
      <c r="I387">
        <v>56</v>
      </c>
      <c r="J387">
        <v>48</v>
      </c>
      <c r="K387">
        <v>35</v>
      </c>
      <c r="L387">
        <v>57</v>
      </c>
      <c r="M387">
        <v>41</v>
      </c>
      <c r="N387">
        <v>43</v>
      </c>
      <c r="O387">
        <v>24</v>
      </c>
      <c r="P387">
        <v>24</v>
      </c>
      <c r="Q387">
        <v>9</v>
      </c>
      <c r="R387">
        <v>11</v>
      </c>
      <c r="S387">
        <v>2</v>
      </c>
      <c r="T387">
        <v>0</v>
      </c>
      <c r="U387" s="1">
        <v>1</v>
      </c>
    </row>
    <row r="388" spans="1:21" x14ac:dyDescent="0.3">
      <c r="A388" t="s">
        <v>131</v>
      </c>
      <c r="B388" t="s">
        <v>140</v>
      </c>
      <c r="C388" s="2" t="s">
        <v>25</v>
      </c>
      <c r="D388">
        <v>626</v>
      </c>
      <c r="E388">
        <v>8</v>
      </c>
      <c r="F388">
        <v>4</v>
      </c>
      <c r="G388">
        <v>6</v>
      </c>
      <c r="H388">
        <v>17</v>
      </c>
      <c r="I388">
        <v>79</v>
      </c>
      <c r="J388">
        <v>97</v>
      </c>
      <c r="K388">
        <v>93</v>
      </c>
      <c r="L388">
        <v>91</v>
      </c>
      <c r="M388">
        <v>72</v>
      </c>
      <c r="N388">
        <v>49</v>
      </c>
      <c r="O388">
        <v>42</v>
      </c>
      <c r="P388">
        <v>32</v>
      </c>
      <c r="Q388">
        <v>20</v>
      </c>
      <c r="R388">
        <v>10</v>
      </c>
      <c r="S388">
        <v>6</v>
      </c>
      <c r="T388">
        <v>0</v>
      </c>
      <c r="U388" s="1">
        <v>0</v>
      </c>
    </row>
    <row r="389" spans="1:21" x14ac:dyDescent="0.3">
      <c r="A389" t="s">
        <v>131</v>
      </c>
      <c r="B389" t="s">
        <v>141</v>
      </c>
      <c r="C389" s="2" t="s">
        <v>21</v>
      </c>
      <c r="D389" s="1">
        <v>2412</v>
      </c>
      <c r="E389">
        <v>30</v>
      </c>
      <c r="F389">
        <v>25</v>
      </c>
      <c r="G389">
        <v>14</v>
      </c>
      <c r="H389">
        <v>67</v>
      </c>
      <c r="I389">
        <v>382</v>
      </c>
      <c r="J389">
        <v>386</v>
      </c>
      <c r="K389">
        <v>376</v>
      </c>
      <c r="L389">
        <v>414</v>
      </c>
      <c r="M389">
        <v>289</v>
      </c>
      <c r="N389">
        <v>166</v>
      </c>
      <c r="O389">
        <v>101</v>
      </c>
      <c r="P389">
        <v>65</v>
      </c>
      <c r="Q389">
        <v>57</v>
      </c>
      <c r="R389">
        <v>18</v>
      </c>
      <c r="S389">
        <v>12</v>
      </c>
      <c r="T389">
        <v>4</v>
      </c>
      <c r="U389" s="1">
        <v>6</v>
      </c>
    </row>
    <row r="390" spans="1:21" x14ac:dyDescent="0.3">
      <c r="A390" t="s">
        <v>131</v>
      </c>
      <c r="B390" t="s">
        <v>141</v>
      </c>
      <c r="C390" s="2" t="s">
        <v>24</v>
      </c>
      <c r="D390" s="1">
        <v>1631</v>
      </c>
      <c r="E390">
        <v>16</v>
      </c>
      <c r="F390">
        <v>14</v>
      </c>
      <c r="G390">
        <v>6</v>
      </c>
      <c r="H390">
        <v>37</v>
      </c>
      <c r="I390">
        <v>228</v>
      </c>
      <c r="J390">
        <v>237</v>
      </c>
      <c r="K390">
        <v>271</v>
      </c>
      <c r="L390">
        <v>337</v>
      </c>
      <c r="M390">
        <v>231</v>
      </c>
      <c r="N390">
        <v>116</v>
      </c>
      <c r="O390">
        <v>57</v>
      </c>
      <c r="P390">
        <v>31</v>
      </c>
      <c r="Q390">
        <v>29</v>
      </c>
      <c r="R390">
        <v>9</v>
      </c>
      <c r="S390">
        <v>7</v>
      </c>
      <c r="T390">
        <v>3</v>
      </c>
      <c r="U390" s="1">
        <v>2</v>
      </c>
    </row>
    <row r="391" spans="1:21" x14ac:dyDescent="0.3">
      <c r="A391" t="s">
        <v>131</v>
      </c>
      <c r="B391" t="s">
        <v>141</v>
      </c>
      <c r="C391" s="2" t="s">
        <v>25</v>
      </c>
      <c r="D391">
        <v>781</v>
      </c>
      <c r="E391">
        <v>14</v>
      </c>
      <c r="F391">
        <v>11</v>
      </c>
      <c r="G391">
        <v>8</v>
      </c>
      <c r="H391">
        <v>30</v>
      </c>
      <c r="I391">
        <v>154</v>
      </c>
      <c r="J391">
        <v>149</v>
      </c>
      <c r="K391">
        <v>105</v>
      </c>
      <c r="L391">
        <v>77</v>
      </c>
      <c r="M391">
        <v>58</v>
      </c>
      <c r="N391">
        <v>50</v>
      </c>
      <c r="O391">
        <v>44</v>
      </c>
      <c r="P391">
        <v>34</v>
      </c>
      <c r="Q391">
        <v>28</v>
      </c>
      <c r="R391">
        <v>9</v>
      </c>
      <c r="S391">
        <v>5</v>
      </c>
      <c r="T391">
        <v>1</v>
      </c>
      <c r="U391" s="1">
        <v>4</v>
      </c>
    </row>
    <row r="392" spans="1:21" x14ac:dyDescent="0.3">
      <c r="A392" t="s">
        <v>131</v>
      </c>
      <c r="B392" t="s">
        <v>127</v>
      </c>
      <c r="C392" s="2" t="s">
        <v>21</v>
      </c>
      <c r="D392" s="1">
        <v>2485</v>
      </c>
      <c r="E392">
        <v>13</v>
      </c>
      <c r="F392">
        <v>8</v>
      </c>
      <c r="G392">
        <v>5</v>
      </c>
      <c r="H392">
        <v>198</v>
      </c>
      <c r="I392">
        <v>579</v>
      </c>
      <c r="J392">
        <v>358</v>
      </c>
      <c r="K392">
        <v>378</v>
      </c>
      <c r="L392">
        <v>328</v>
      </c>
      <c r="M392">
        <v>282</v>
      </c>
      <c r="N392">
        <v>123</v>
      </c>
      <c r="O392">
        <v>56</v>
      </c>
      <c r="P392">
        <v>57</v>
      </c>
      <c r="Q392">
        <v>29</v>
      </c>
      <c r="R392">
        <v>28</v>
      </c>
      <c r="S392">
        <v>16</v>
      </c>
      <c r="T392">
        <v>10</v>
      </c>
      <c r="U392" s="1">
        <v>17</v>
      </c>
    </row>
    <row r="393" spans="1:21" x14ac:dyDescent="0.3">
      <c r="A393" t="s">
        <v>131</v>
      </c>
      <c r="B393" t="s">
        <v>127</v>
      </c>
      <c r="C393" s="2" t="s">
        <v>24</v>
      </c>
      <c r="D393" s="1">
        <v>1596</v>
      </c>
      <c r="E393">
        <v>6</v>
      </c>
      <c r="F393">
        <v>4</v>
      </c>
      <c r="G393">
        <v>3</v>
      </c>
      <c r="H393">
        <v>81</v>
      </c>
      <c r="I393">
        <v>225</v>
      </c>
      <c r="J393">
        <v>217</v>
      </c>
      <c r="K393">
        <v>313</v>
      </c>
      <c r="L393">
        <v>295</v>
      </c>
      <c r="M393">
        <v>247</v>
      </c>
      <c r="N393">
        <v>95</v>
      </c>
      <c r="O393">
        <v>34</v>
      </c>
      <c r="P393">
        <v>27</v>
      </c>
      <c r="Q393">
        <v>11</v>
      </c>
      <c r="R393">
        <v>14</v>
      </c>
      <c r="S393">
        <v>10</v>
      </c>
      <c r="T393">
        <v>4</v>
      </c>
      <c r="U393" s="1">
        <v>10</v>
      </c>
    </row>
    <row r="394" spans="1:21" x14ac:dyDescent="0.3">
      <c r="A394" t="s">
        <v>131</v>
      </c>
      <c r="B394" t="s">
        <v>127</v>
      </c>
      <c r="C394" s="2" t="s">
        <v>25</v>
      </c>
      <c r="D394">
        <v>889</v>
      </c>
      <c r="E394">
        <v>7</v>
      </c>
      <c r="F394">
        <v>4</v>
      </c>
      <c r="G394">
        <v>2</v>
      </c>
      <c r="H394">
        <v>117</v>
      </c>
      <c r="I394">
        <v>354</v>
      </c>
      <c r="J394">
        <v>141</v>
      </c>
      <c r="K394">
        <v>65</v>
      </c>
      <c r="L394">
        <v>33</v>
      </c>
      <c r="M394">
        <v>35</v>
      </c>
      <c r="N394">
        <v>28</v>
      </c>
      <c r="O394">
        <v>22</v>
      </c>
      <c r="P394">
        <v>30</v>
      </c>
      <c r="Q394">
        <v>18</v>
      </c>
      <c r="R394">
        <v>14</v>
      </c>
      <c r="S394">
        <v>6</v>
      </c>
      <c r="T394">
        <v>6</v>
      </c>
      <c r="U394" s="1">
        <v>7</v>
      </c>
    </row>
    <row r="395" spans="1:21" x14ac:dyDescent="0.3">
      <c r="A395" t="s">
        <v>131</v>
      </c>
      <c r="B395" t="s">
        <v>142</v>
      </c>
      <c r="C395" s="2" t="s">
        <v>21</v>
      </c>
      <c r="D395" s="1">
        <v>4667</v>
      </c>
      <c r="E395">
        <v>88</v>
      </c>
      <c r="F395">
        <v>134</v>
      </c>
      <c r="G395">
        <v>125</v>
      </c>
      <c r="H395">
        <v>340</v>
      </c>
      <c r="I395">
        <v>950</v>
      </c>
      <c r="J395">
        <v>572</v>
      </c>
      <c r="K395">
        <v>449</v>
      </c>
      <c r="L395">
        <v>458</v>
      </c>
      <c r="M395">
        <v>435</v>
      </c>
      <c r="N395">
        <v>330</v>
      </c>
      <c r="O395">
        <v>263</v>
      </c>
      <c r="P395">
        <v>202</v>
      </c>
      <c r="Q395">
        <v>149</v>
      </c>
      <c r="R395">
        <v>72</v>
      </c>
      <c r="S395">
        <v>49</v>
      </c>
      <c r="T395">
        <v>32</v>
      </c>
      <c r="U395" s="1">
        <v>19</v>
      </c>
    </row>
    <row r="396" spans="1:21" x14ac:dyDescent="0.3">
      <c r="A396" t="s">
        <v>131</v>
      </c>
      <c r="B396" t="s">
        <v>142</v>
      </c>
      <c r="C396" s="2" t="s">
        <v>24</v>
      </c>
      <c r="D396" s="1">
        <v>2301</v>
      </c>
      <c r="E396">
        <v>46</v>
      </c>
      <c r="F396">
        <v>82</v>
      </c>
      <c r="G396">
        <v>63</v>
      </c>
      <c r="H396">
        <v>177</v>
      </c>
      <c r="I396">
        <v>495</v>
      </c>
      <c r="J396">
        <v>243</v>
      </c>
      <c r="K396">
        <v>181</v>
      </c>
      <c r="L396">
        <v>213</v>
      </c>
      <c r="M396">
        <v>206</v>
      </c>
      <c r="N396">
        <v>161</v>
      </c>
      <c r="O396">
        <v>131</v>
      </c>
      <c r="P396">
        <v>111</v>
      </c>
      <c r="Q396">
        <v>79</v>
      </c>
      <c r="R396">
        <v>43</v>
      </c>
      <c r="S396">
        <v>29</v>
      </c>
      <c r="T396">
        <v>24</v>
      </c>
      <c r="U396" s="1">
        <v>17</v>
      </c>
    </row>
    <row r="397" spans="1:21" x14ac:dyDescent="0.3">
      <c r="A397" t="s">
        <v>131</v>
      </c>
      <c r="B397" t="s">
        <v>142</v>
      </c>
      <c r="C397" s="2" t="s">
        <v>25</v>
      </c>
      <c r="D397" s="1">
        <v>2366</v>
      </c>
      <c r="E397">
        <v>42</v>
      </c>
      <c r="F397">
        <v>52</v>
      </c>
      <c r="G397">
        <v>62</v>
      </c>
      <c r="H397">
        <v>163</v>
      </c>
      <c r="I397">
        <v>455</v>
      </c>
      <c r="J397">
        <v>329</v>
      </c>
      <c r="K397">
        <v>268</v>
      </c>
      <c r="L397">
        <v>245</v>
      </c>
      <c r="M397">
        <v>229</v>
      </c>
      <c r="N397">
        <v>169</v>
      </c>
      <c r="O397">
        <v>132</v>
      </c>
      <c r="P397">
        <v>91</v>
      </c>
      <c r="Q397">
        <v>70</v>
      </c>
      <c r="R397">
        <v>29</v>
      </c>
      <c r="S397">
        <v>20</v>
      </c>
      <c r="T397">
        <v>8</v>
      </c>
      <c r="U397" s="1">
        <v>2</v>
      </c>
    </row>
    <row r="398" spans="1:21" x14ac:dyDescent="0.3">
      <c r="A398" t="s">
        <v>143</v>
      </c>
      <c r="B398" t="s">
        <v>21</v>
      </c>
      <c r="C398" s="2" t="s">
        <v>21</v>
      </c>
      <c r="D398" s="1">
        <v>279629</v>
      </c>
      <c r="E398" s="1">
        <v>4234</v>
      </c>
      <c r="F398" s="1">
        <v>5647</v>
      </c>
      <c r="G398" s="1">
        <v>4768</v>
      </c>
      <c r="H398" s="1">
        <v>15171</v>
      </c>
      <c r="I398" s="1">
        <v>56306</v>
      </c>
      <c r="J398" s="1">
        <v>43742</v>
      </c>
      <c r="K398" s="1">
        <v>26104</v>
      </c>
      <c r="L398" s="1">
        <v>23825</v>
      </c>
      <c r="M398" s="1">
        <v>20098</v>
      </c>
      <c r="N398" s="1">
        <v>16594</v>
      </c>
      <c r="O398" s="1">
        <v>17380</v>
      </c>
      <c r="P398" s="1">
        <v>19777</v>
      </c>
      <c r="Q398" s="1">
        <v>13332</v>
      </c>
      <c r="R398" s="1">
        <v>7374</v>
      </c>
      <c r="S398" s="1">
        <v>3169</v>
      </c>
      <c r="T398" s="1">
        <v>1126</v>
      </c>
      <c r="U398" s="1">
        <v>982</v>
      </c>
    </row>
    <row r="399" spans="1:21" x14ac:dyDescent="0.3">
      <c r="A399" t="s">
        <v>143</v>
      </c>
      <c r="B399" t="s">
        <v>21</v>
      </c>
      <c r="C399" s="2" t="s">
        <v>24</v>
      </c>
      <c r="D399" s="1">
        <f>D402+D405+D408+D411+D414+D417+D420+D423+D426+D429+D432+D435+D438+D441+D444+D447+D450+D453+D456+D459+D462+D465+D468+D471+D474</f>
        <v>120183</v>
      </c>
      <c r="E399" s="1">
        <f t="shared" ref="E399:U399" si="16">E402+E405+E408+E411+E414+E417+E420+E423+E426+E429+E432+E435+E438+E441+E444+E447+E450+E453+E456+E459+E462+E465+E468+E471+E474</f>
        <v>2218</v>
      </c>
      <c r="F399" s="1">
        <f t="shared" si="16"/>
        <v>2932</v>
      </c>
      <c r="G399" s="1">
        <f t="shared" si="16"/>
        <v>2476</v>
      </c>
      <c r="H399" s="1">
        <f t="shared" si="16"/>
        <v>5818</v>
      </c>
      <c r="I399" s="1">
        <f t="shared" si="16"/>
        <v>18797</v>
      </c>
      <c r="J399" s="1">
        <f t="shared" si="16"/>
        <v>14600</v>
      </c>
      <c r="K399" s="1">
        <f t="shared" si="16"/>
        <v>10682</v>
      </c>
      <c r="L399" s="1">
        <f t="shared" si="16"/>
        <v>11634</v>
      </c>
      <c r="M399" s="1">
        <f t="shared" si="16"/>
        <v>10149</v>
      </c>
      <c r="N399" s="1">
        <f t="shared" si="16"/>
        <v>8428</v>
      </c>
      <c r="O399" s="1">
        <f t="shared" si="16"/>
        <v>8929</v>
      </c>
      <c r="P399" s="1">
        <f t="shared" si="16"/>
        <v>9883</v>
      </c>
      <c r="Q399" s="1">
        <f t="shared" si="16"/>
        <v>6896</v>
      </c>
      <c r="R399" s="1">
        <f t="shared" si="16"/>
        <v>3875</v>
      </c>
      <c r="S399" s="1">
        <f t="shared" si="16"/>
        <v>1744</v>
      </c>
      <c r="T399" s="1">
        <f t="shared" si="16"/>
        <v>631</v>
      </c>
      <c r="U399" s="1">
        <f t="shared" si="16"/>
        <v>491</v>
      </c>
    </row>
    <row r="400" spans="1:21" x14ac:dyDescent="0.3">
      <c r="A400" t="s">
        <v>143</v>
      </c>
      <c r="B400" t="s">
        <v>21</v>
      </c>
      <c r="C400" s="2" t="s">
        <v>25</v>
      </c>
      <c r="D400" s="1">
        <f>D403+D406+D409+D412+D415+D418+D421+D424+D427+D430+D433+D436+D439+D442+D445+D448+D451+D454+D457+D460+D463+D466+D469+D472+D475</f>
        <v>159446</v>
      </c>
      <c r="E400" s="1">
        <f t="shared" ref="E400:U400" si="17">E403+E406+E409+E412+E415+E418+E421+E424+E427+E430+E433+E436+E439+E442+E445+E448+E451+E454+E457+E460+E463+E466+E469+E472+E475</f>
        <v>2016</v>
      </c>
      <c r="F400" s="1">
        <f t="shared" si="17"/>
        <v>2715</v>
      </c>
      <c r="G400" s="1">
        <f t="shared" si="17"/>
        <v>2292</v>
      </c>
      <c r="H400" s="1">
        <f t="shared" si="17"/>
        <v>9353</v>
      </c>
      <c r="I400" s="1">
        <f t="shared" si="17"/>
        <v>37509</v>
      </c>
      <c r="J400" s="1">
        <f t="shared" si="17"/>
        <v>29142</v>
      </c>
      <c r="K400" s="1">
        <f t="shared" si="17"/>
        <v>15422</v>
      </c>
      <c r="L400" s="1">
        <f t="shared" si="17"/>
        <v>12191</v>
      </c>
      <c r="M400" s="1">
        <f t="shared" si="17"/>
        <v>9949</v>
      </c>
      <c r="N400" s="1">
        <f t="shared" si="17"/>
        <v>8166</v>
      </c>
      <c r="O400" s="1">
        <f t="shared" si="17"/>
        <v>8451</v>
      </c>
      <c r="P400" s="1">
        <f t="shared" si="17"/>
        <v>9894</v>
      </c>
      <c r="Q400" s="1">
        <f t="shared" si="17"/>
        <v>6436</v>
      </c>
      <c r="R400" s="1">
        <f t="shared" si="17"/>
        <v>3499</v>
      </c>
      <c r="S400" s="1">
        <f t="shared" si="17"/>
        <v>1425</v>
      </c>
      <c r="T400" s="1">
        <f t="shared" si="17"/>
        <v>495</v>
      </c>
      <c r="U400" s="1">
        <f t="shared" si="17"/>
        <v>491</v>
      </c>
    </row>
    <row r="401" spans="1:21" x14ac:dyDescent="0.3">
      <c r="A401" t="s">
        <v>143</v>
      </c>
      <c r="B401" t="s">
        <v>144</v>
      </c>
      <c r="C401" s="2" t="s">
        <v>21</v>
      </c>
      <c r="D401" s="1">
        <v>6178</v>
      </c>
      <c r="E401">
        <v>62</v>
      </c>
      <c r="F401">
        <v>77</v>
      </c>
      <c r="G401">
        <v>77</v>
      </c>
      <c r="H401">
        <v>168</v>
      </c>
      <c r="I401">
        <v>669</v>
      </c>
      <c r="J401" s="1">
        <v>1191</v>
      </c>
      <c r="K401" s="1">
        <v>1063</v>
      </c>
      <c r="L401">
        <v>897</v>
      </c>
      <c r="M401">
        <v>641</v>
      </c>
      <c r="N401">
        <v>413</v>
      </c>
      <c r="O401">
        <v>335</v>
      </c>
      <c r="P401">
        <v>255</v>
      </c>
      <c r="Q401">
        <v>149</v>
      </c>
      <c r="R401">
        <v>85</v>
      </c>
      <c r="S401">
        <v>46</v>
      </c>
      <c r="T401">
        <v>26</v>
      </c>
      <c r="U401" s="1">
        <v>24</v>
      </c>
    </row>
    <row r="402" spans="1:21" x14ac:dyDescent="0.3">
      <c r="A402" t="s">
        <v>143</v>
      </c>
      <c r="B402" t="s">
        <v>144</v>
      </c>
      <c r="C402" s="2" t="s">
        <v>24</v>
      </c>
      <c r="D402" s="1">
        <v>2844</v>
      </c>
      <c r="E402">
        <v>31</v>
      </c>
      <c r="F402">
        <v>38</v>
      </c>
      <c r="G402">
        <v>49</v>
      </c>
      <c r="H402">
        <v>85</v>
      </c>
      <c r="I402">
        <v>238</v>
      </c>
      <c r="J402">
        <v>369</v>
      </c>
      <c r="K402">
        <v>431</v>
      </c>
      <c r="L402">
        <v>497</v>
      </c>
      <c r="M402">
        <v>372</v>
      </c>
      <c r="N402">
        <v>246</v>
      </c>
      <c r="O402">
        <v>186</v>
      </c>
      <c r="P402">
        <v>130</v>
      </c>
      <c r="Q402">
        <v>78</v>
      </c>
      <c r="R402">
        <v>42</v>
      </c>
      <c r="S402">
        <v>26</v>
      </c>
      <c r="T402">
        <v>12</v>
      </c>
      <c r="U402" s="1">
        <v>14</v>
      </c>
    </row>
    <row r="403" spans="1:21" x14ac:dyDescent="0.3">
      <c r="A403" t="s">
        <v>143</v>
      </c>
      <c r="B403" t="s">
        <v>144</v>
      </c>
      <c r="C403" s="2" t="s">
        <v>25</v>
      </c>
      <c r="D403" s="1">
        <v>3334</v>
      </c>
      <c r="E403">
        <v>31</v>
      </c>
      <c r="F403">
        <v>39</v>
      </c>
      <c r="G403">
        <v>28</v>
      </c>
      <c r="H403">
        <v>83</v>
      </c>
      <c r="I403">
        <v>431</v>
      </c>
      <c r="J403">
        <v>822</v>
      </c>
      <c r="K403">
        <v>632</v>
      </c>
      <c r="L403">
        <v>400</v>
      </c>
      <c r="M403">
        <v>269</v>
      </c>
      <c r="N403">
        <v>167</v>
      </c>
      <c r="O403">
        <v>149</v>
      </c>
      <c r="P403">
        <v>125</v>
      </c>
      <c r="Q403">
        <v>71</v>
      </c>
      <c r="R403">
        <v>43</v>
      </c>
      <c r="S403">
        <v>20</v>
      </c>
      <c r="T403">
        <v>14</v>
      </c>
      <c r="U403" s="1">
        <v>10</v>
      </c>
    </row>
    <row r="404" spans="1:21" x14ac:dyDescent="0.3">
      <c r="A404" t="s">
        <v>143</v>
      </c>
      <c r="B404" t="s">
        <v>145</v>
      </c>
      <c r="C404" s="2" t="s">
        <v>21</v>
      </c>
      <c r="D404" s="1">
        <v>4870</v>
      </c>
      <c r="E404">
        <v>112</v>
      </c>
      <c r="F404">
        <v>107</v>
      </c>
      <c r="G404">
        <v>102</v>
      </c>
      <c r="H404">
        <v>126</v>
      </c>
      <c r="I404">
        <v>437</v>
      </c>
      <c r="J404">
        <v>644</v>
      </c>
      <c r="K404">
        <v>651</v>
      </c>
      <c r="L404">
        <v>595</v>
      </c>
      <c r="M404">
        <v>494</v>
      </c>
      <c r="N404">
        <v>350</v>
      </c>
      <c r="O404">
        <v>383</v>
      </c>
      <c r="P404">
        <v>384</v>
      </c>
      <c r="Q404">
        <v>244</v>
      </c>
      <c r="R404">
        <v>150</v>
      </c>
      <c r="S404">
        <v>55</v>
      </c>
      <c r="T404">
        <v>26</v>
      </c>
      <c r="U404" s="1">
        <v>10</v>
      </c>
    </row>
    <row r="405" spans="1:21" x14ac:dyDescent="0.3">
      <c r="A405" t="s">
        <v>143</v>
      </c>
      <c r="B405" t="s">
        <v>145</v>
      </c>
      <c r="C405" s="2" t="s">
        <v>24</v>
      </c>
      <c r="D405" s="1">
        <v>2124</v>
      </c>
      <c r="E405">
        <v>58</v>
      </c>
      <c r="F405">
        <v>52</v>
      </c>
      <c r="G405">
        <v>47</v>
      </c>
      <c r="H405">
        <v>80</v>
      </c>
      <c r="I405">
        <v>199</v>
      </c>
      <c r="J405">
        <v>227</v>
      </c>
      <c r="K405">
        <v>275</v>
      </c>
      <c r="L405">
        <v>266</v>
      </c>
      <c r="M405">
        <v>225</v>
      </c>
      <c r="N405">
        <v>152</v>
      </c>
      <c r="O405">
        <v>161</v>
      </c>
      <c r="P405">
        <v>166</v>
      </c>
      <c r="Q405">
        <v>100</v>
      </c>
      <c r="R405">
        <v>71</v>
      </c>
      <c r="S405">
        <v>24</v>
      </c>
      <c r="T405">
        <v>15</v>
      </c>
      <c r="U405" s="1">
        <v>6</v>
      </c>
    </row>
    <row r="406" spans="1:21" x14ac:dyDescent="0.3">
      <c r="A406" t="s">
        <v>143</v>
      </c>
      <c r="B406" t="s">
        <v>145</v>
      </c>
      <c r="C406" s="2" t="s">
        <v>25</v>
      </c>
      <c r="D406" s="1">
        <v>2746</v>
      </c>
      <c r="E406">
        <v>54</v>
      </c>
      <c r="F406">
        <v>55</v>
      </c>
      <c r="G406">
        <v>55</v>
      </c>
      <c r="H406">
        <v>46</v>
      </c>
      <c r="I406">
        <v>238</v>
      </c>
      <c r="J406">
        <v>417</v>
      </c>
      <c r="K406">
        <v>376</v>
      </c>
      <c r="L406">
        <v>329</v>
      </c>
      <c r="M406">
        <v>269</v>
      </c>
      <c r="N406">
        <v>198</v>
      </c>
      <c r="O406">
        <v>222</v>
      </c>
      <c r="P406">
        <v>218</v>
      </c>
      <c r="Q406">
        <v>144</v>
      </c>
      <c r="R406">
        <v>79</v>
      </c>
      <c r="S406">
        <v>31</v>
      </c>
      <c r="T406">
        <v>11</v>
      </c>
      <c r="U406" s="1">
        <v>4</v>
      </c>
    </row>
    <row r="407" spans="1:21" x14ac:dyDescent="0.3">
      <c r="A407" t="s">
        <v>143</v>
      </c>
      <c r="B407" t="s">
        <v>146</v>
      </c>
      <c r="C407" s="2" t="s">
        <v>21</v>
      </c>
      <c r="D407" s="1">
        <v>6972</v>
      </c>
      <c r="E407">
        <v>104</v>
      </c>
      <c r="F407">
        <v>76</v>
      </c>
      <c r="G407">
        <v>50</v>
      </c>
      <c r="H407">
        <v>698</v>
      </c>
      <c r="I407" s="1">
        <v>2243</v>
      </c>
      <c r="J407" s="1">
        <v>1405</v>
      </c>
      <c r="K407">
        <v>584</v>
      </c>
      <c r="L407">
        <v>426</v>
      </c>
      <c r="M407">
        <v>309</v>
      </c>
      <c r="N407">
        <v>249</v>
      </c>
      <c r="O407">
        <v>238</v>
      </c>
      <c r="P407">
        <v>217</v>
      </c>
      <c r="Q407">
        <v>177</v>
      </c>
      <c r="R407">
        <v>112</v>
      </c>
      <c r="S407">
        <v>45</v>
      </c>
      <c r="T407">
        <v>22</v>
      </c>
      <c r="U407" s="1">
        <v>17</v>
      </c>
    </row>
    <row r="408" spans="1:21" x14ac:dyDescent="0.3">
      <c r="A408" t="s">
        <v>143</v>
      </c>
      <c r="B408" t="s">
        <v>146</v>
      </c>
      <c r="C408" s="2" t="s">
        <v>24</v>
      </c>
      <c r="D408" s="1">
        <v>2336</v>
      </c>
      <c r="E408">
        <v>55</v>
      </c>
      <c r="F408">
        <v>41</v>
      </c>
      <c r="G408">
        <v>19</v>
      </c>
      <c r="H408">
        <v>230</v>
      </c>
      <c r="I408">
        <v>713</v>
      </c>
      <c r="J408">
        <v>415</v>
      </c>
      <c r="K408">
        <v>193</v>
      </c>
      <c r="L408">
        <v>159</v>
      </c>
      <c r="M408">
        <v>105</v>
      </c>
      <c r="N408">
        <v>80</v>
      </c>
      <c r="O408">
        <v>91</v>
      </c>
      <c r="P408">
        <v>89</v>
      </c>
      <c r="Q408">
        <v>61</v>
      </c>
      <c r="R408">
        <v>42</v>
      </c>
      <c r="S408">
        <v>20</v>
      </c>
      <c r="T408">
        <v>15</v>
      </c>
      <c r="U408" s="1">
        <v>8</v>
      </c>
    </row>
    <row r="409" spans="1:21" x14ac:dyDescent="0.3">
      <c r="A409" t="s">
        <v>143</v>
      </c>
      <c r="B409" t="s">
        <v>146</v>
      </c>
      <c r="C409" s="2" t="s">
        <v>25</v>
      </c>
      <c r="D409" s="1">
        <v>4636</v>
      </c>
      <c r="E409">
        <v>49</v>
      </c>
      <c r="F409">
        <v>35</v>
      </c>
      <c r="G409">
        <v>31</v>
      </c>
      <c r="H409">
        <v>468</v>
      </c>
      <c r="I409" s="1">
        <v>1530</v>
      </c>
      <c r="J409">
        <v>990</v>
      </c>
      <c r="K409">
        <v>391</v>
      </c>
      <c r="L409">
        <v>267</v>
      </c>
      <c r="M409">
        <v>204</v>
      </c>
      <c r="N409">
        <v>169</v>
      </c>
      <c r="O409">
        <v>147</v>
      </c>
      <c r="P409">
        <v>128</v>
      </c>
      <c r="Q409">
        <v>116</v>
      </c>
      <c r="R409">
        <v>70</v>
      </c>
      <c r="S409">
        <v>25</v>
      </c>
      <c r="T409">
        <v>7</v>
      </c>
      <c r="U409" s="1">
        <v>9</v>
      </c>
    </row>
    <row r="410" spans="1:21" x14ac:dyDescent="0.3">
      <c r="A410" t="s">
        <v>143</v>
      </c>
      <c r="B410" t="s">
        <v>132</v>
      </c>
      <c r="C410" s="2" t="s">
        <v>21</v>
      </c>
      <c r="D410" s="1">
        <v>6659</v>
      </c>
      <c r="E410">
        <v>130</v>
      </c>
      <c r="F410">
        <v>161</v>
      </c>
      <c r="G410">
        <v>109</v>
      </c>
      <c r="H410">
        <v>169</v>
      </c>
      <c r="I410">
        <v>535</v>
      </c>
      <c r="J410">
        <v>889</v>
      </c>
      <c r="K410">
        <v>885</v>
      </c>
      <c r="L410">
        <v>898</v>
      </c>
      <c r="M410">
        <v>686</v>
      </c>
      <c r="N410">
        <v>517</v>
      </c>
      <c r="O410">
        <v>466</v>
      </c>
      <c r="P410">
        <v>491</v>
      </c>
      <c r="Q410">
        <v>369</v>
      </c>
      <c r="R410">
        <v>206</v>
      </c>
      <c r="S410">
        <v>86</v>
      </c>
      <c r="T410">
        <v>38</v>
      </c>
      <c r="U410" s="1">
        <v>24</v>
      </c>
    </row>
    <row r="411" spans="1:21" x14ac:dyDescent="0.3">
      <c r="A411" t="s">
        <v>143</v>
      </c>
      <c r="B411" t="s">
        <v>132</v>
      </c>
      <c r="C411" s="2" t="s">
        <v>24</v>
      </c>
      <c r="D411" s="1">
        <v>2825</v>
      </c>
      <c r="E411">
        <v>66</v>
      </c>
      <c r="F411">
        <v>77</v>
      </c>
      <c r="G411">
        <v>55</v>
      </c>
      <c r="H411">
        <v>66</v>
      </c>
      <c r="I411">
        <v>189</v>
      </c>
      <c r="J411">
        <v>278</v>
      </c>
      <c r="K411">
        <v>289</v>
      </c>
      <c r="L411">
        <v>410</v>
      </c>
      <c r="M411">
        <v>318</v>
      </c>
      <c r="N411">
        <v>231</v>
      </c>
      <c r="O411">
        <v>237</v>
      </c>
      <c r="P411">
        <v>253</v>
      </c>
      <c r="Q411">
        <v>181</v>
      </c>
      <c r="R411">
        <v>94</v>
      </c>
      <c r="S411">
        <v>48</v>
      </c>
      <c r="T411">
        <v>18</v>
      </c>
      <c r="U411" s="1">
        <v>15</v>
      </c>
    </row>
    <row r="412" spans="1:21" x14ac:dyDescent="0.3">
      <c r="A412" t="s">
        <v>143</v>
      </c>
      <c r="B412" t="s">
        <v>132</v>
      </c>
      <c r="C412" s="2" t="s">
        <v>25</v>
      </c>
      <c r="D412" s="1">
        <v>3834</v>
      </c>
      <c r="E412">
        <v>64</v>
      </c>
      <c r="F412">
        <v>84</v>
      </c>
      <c r="G412">
        <v>54</v>
      </c>
      <c r="H412">
        <v>103</v>
      </c>
      <c r="I412">
        <v>346</v>
      </c>
      <c r="J412">
        <v>611</v>
      </c>
      <c r="K412">
        <v>596</v>
      </c>
      <c r="L412">
        <v>488</v>
      </c>
      <c r="M412">
        <v>368</v>
      </c>
      <c r="N412">
        <v>286</v>
      </c>
      <c r="O412">
        <v>229</v>
      </c>
      <c r="P412">
        <v>238</v>
      </c>
      <c r="Q412">
        <v>188</v>
      </c>
      <c r="R412">
        <v>112</v>
      </c>
      <c r="S412">
        <v>38</v>
      </c>
      <c r="T412">
        <v>20</v>
      </c>
      <c r="U412" s="1">
        <v>9</v>
      </c>
    </row>
    <row r="413" spans="1:21" x14ac:dyDescent="0.3">
      <c r="A413" t="s">
        <v>143</v>
      </c>
      <c r="B413" t="s">
        <v>147</v>
      </c>
      <c r="C413" s="2" t="s">
        <v>21</v>
      </c>
      <c r="D413" s="1">
        <v>19786</v>
      </c>
      <c r="E413">
        <v>196</v>
      </c>
      <c r="F413">
        <v>234</v>
      </c>
      <c r="G413">
        <v>174</v>
      </c>
      <c r="H413" s="1">
        <v>1060</v>
      </c>
      <c r="I413" s="1">
        <v>4244</v>
      </c>
      <c r="J413" s="1">
        <v>4156</v>
      </c>
      <c r="K413" s="1">
        <v>2230</v>
      </c>
      <c r="L413" s="1">
        <v>1398</v>
      </c>
      <c r="M413" s="1">
        <v>1053</v>
      </c>
      <c r="N413">
        <v>860</v>
      </c>
      <c r="O413" s="1">
        <v>1009</v>
      </c>
      <c r="P413" s="1">
        <v>1332</v>
      </c>
      <c r="Q413">
        <v>979</v>
      </c>
      <c r="R413">
        <v>534</v>
      </c>
      <c r="S413">
        <v>211</v>
      </c>
      <c r="T413">
        <v>61</v>
      </c>
      <c r="U413" s="1">
        <v>55</v>
      </c>
    </row>
    <row r="414" spans="1:21" x14ac:dyDescent="0.3">
      <c r="A414" t="s">
        <v>143</v>
      </c>
      <c r="B414" t="s">
        <v>147</v>
      </c>
      <c r="C414" s="2" t="s">
        <v>24</v>
      </c>
      <c r="D414" s="1">
        <v>7931</v>
      </c>
      <c r="E414">
        <v>110</v>
      </c>
      <c r="F414">
        <v>123</v>
      </c>
      <c r="G414">
        <v>83</v>
      </c>
      <c r="H414">
        <v>470</v>
      </c>
      <c r="I414" s="1">
        <v>1561</v>
      </c>
      <c r="J414" s="1">
        <v>1216</v>
      </c>
      <c r="K414">
        <v>735</v>
      </c>
      <c r="L414">
        <v>638</v>
      </c>
      <c r="M414">
        <v>510</v>
      </c>
      <c r="N414">
        <v>422</v>
      </c>
      <c r="O414">
        <v>490</v>
      </c>
      <c r="P414">
        <v>629</v>
      </c>
      <c r="Q414">
        <v>489</v>
      </c>
      <c r="R414">
        <v>289</v>
      </c>
      <c r="S414">
        <v>113</v>
      </c>
      <c r="T414">
        <v>31</v>
      </c>
      <c r="U414" s="1">
        <v>22</v>
      </c>
    </row>
    <row r="415" spans="1:21" x14ac:dyDescent="0.3">
      <c r="A415" t="s">
        <v>143</v>
      </c>
      <c r="B415" t="s">
        <v>147</v>
      </c>
      <c r="C415" s="2" t="s">
        <v>25</v>
      </c>
      <c r="D415" s="1">
        <v>11855</v>
      </c>
      <c r="E415">
        <v>86</v>
      </c>
      <c r="F415">
        <v>111</v>
      </c>
      <c r="G415">
        <v>91</v>
      </c>
      <c r="H415">
        <v>590</v>
      </c>
      <c r="I415" s="1">
        <v>2683</v>
      </c>
      <c r="J415" s="1">
        <v>2940</v>
      </c>
      <c r="K415" s="1">
        <v>1495</v>
      </c>
      <c r="L415">
        <v>760</v>
      </c>
      <c r="M415">
        <v>543</v>
      </c>
      <c r="N415">
        <v>438</v>
      </c>
      <c r="O415">
        <v>519</v>
      </c>
      <c r="P415">
        <v>703</v>
      </c>
      <c r="Q415">
        <v>490</v>
      </c>
      <c r="R415">
        <v>245</v>
      </c>
      <c r="S415">
        <v>98</v>
      </c>
      <c r="T415">
        <v>30</v>
      </c>
      <c r="U415" s="1">
        <v>33</v>
      </c>
    </row>
    <row r="416" spans="1:21" x14ac:dyDescent="0.3">
      <c r="A416" t="s">
        <v>143</v>
      </c>
      <c r="B416" t="s">
        <v>148</v>
      </c>
      <c r="C416" s="2" t="s">
        <v>21</v>
      </c>
      <c r="D416" s="1">
        <v>17950</v>
      </c>
      <c r="E416">
        <v>264</v>
      </c>
      <c r="F416">
        <v>273</v>
      </c>
      <c r="G416">
        <v>279</v>
      </c>
      <c r="H416" s="1">
        <v>1362</v>
      </c>
      <c r="I416" s="1">
        <v>5315</v>
      </c>
      <c r="J416" s="1">
        <v>3750</v>
      </c>
      <c r="K416" s="1">
        <v>1461</v>
      </c>
      <c r="L416" s="1">
        <v>1080</v>
      </c>
      <c r="M416">
        <v>837</v>
      </c>
      <c r="N416">
        <v>674</v>
      </c>
      <c r="O416">
        <v>673</v>
      </c>
      <c r="P416">
        <v>947</v>
      </c>
      <c r="Q416">
        <v>569</v>
      </c>
      <c r="R416">
        <v>299</v>
      </c>
      <c r="S416">
        <v>120</v>
      </c>
      <c r="T416">
        <v>24</v>
      </c>
      <c r="U416" s="1">
        <v>23</v>
      </c>
    </row>
    <row r="417" spans="1:21" x14ac:dyDescent="0.3">
      <c r="A417" t="s">
        <v>143</v>
      </c>
      <c r="B417" t="s">
        <v>148</v>
      </c>
      <c r="C417" s="2" t="s">
        <v>24</v>
      </c>
      <c r="D417" s="1">
        <v>7318</v>
      </c>
      <c r="E417">
        <v>153</v>
      </c>
      <c r="F417">
        <v>129</v>
      </c>
      <c r="G417">
        <v>137</v>
      </c>
      <c r="H417">
        <v>519</v>
      </c>
      <c r="I417" s="1">
        <v>1935</v>
      </c>
      <c r="J417" s="1">
        <v>1386</v>
      </c>
      <c r="K417">
        <v>574</v>
      </c>
      <c r="L417">
        <v>522</v>
      </c>
      <c r="M417">
        <v>410</v>
      </c>
      <c r="N417">
        <v>333</v>
      </c>
      <c r="O417">
        <v>306</v>
      </c>
      <c r="P417">
        <v>404</v>
      </c>
      <c r="Q417">
        <v>281</v>
      </c>
      <c r="R417">
        <v>150</v>
      </c>
      <c r="S417">
        <v>58</v>
      </c>
      <c r="T417">
        <v>10</v>
      </c>
      <c r="U417" s="1">
        <v>11</v>
      </c>
    </row>
    <row r="418" spans="1:21" x14ac:dyDescent="0.3">
      <c r="A418" t="s">
        <v>143</v>
      </c>
      <c r="B418" t="s">
        <v>148</v>
      </c>
      <c r="C418" s="2" t="s">
        <v>25</v>
      </c>
      <c r="D418" s="1">
        <v>10632</v>
      </c>
      <c r="E418">
        <v>111</v>
      </c>
      <c r="F418">
        <v>144</v>
      </c>
      <c r="G418">
        <v>142</v>
      </c>
      <c r="H418">
        <v>843</v>
      </c>
      <c r="I418" s="1">
        <v>3380</v>
      </c>
      <c r="J418" s="1">
        <v>2364</v>
      </c>
      <c r="K418">
        <v>887</v>
      </c>
      <c r="L418">
        <v>558</v>
      </c>
      <c r="M418">
        <v>427</v>
      </c>
      <c r="N418">
        <v>341</v>
      </c>
      <c r="O418">
        <v>367</v>
      </c>
      <c r="P418">
        <v>543</v>
      </c>
      <c r="Q418">
        <v>288</v>
      </c>
      <c r="R418">
        <v>149</v>
      </c>
      <c r="S418">
        <v>62</v>
      </c>
      <c r="T418">
        <v>14</v>
      </c>
      <c r="U418" s="1">
        <v>12</v>
      </c>
    </row>
    <row r="419" spans="1:21" x14ac:dyDescent="0.3">
      <c r="A419" t="s">
        <v>143</v>
      </c>
      <c r="B419" t="s">
        <v>149</v>
      </c>
      <c r="C419" s="2" t="s">
        <v>21</v>
      </c>
      <c r="D419" s="1">
        <v>24409</v>
      </c>
      <c r="E419">
        <v>451</v>
      </c>
      <c r="F419">
        <v>744</v>
      </c>
      <c r="G419">
        <v>524</v>
      </c>
      <c r="H419">
        <v>560</v>
      </c>
      <c r="I419">
        <v>935</v>
      </c>
      <c r="J419" s="1">
        <v>1095</v>
      </c>
      <c r="K419" s="1">
        <v>1363</v>
      </c>
      <c r="L419" s="1">
        <v>2427</v>
      </c>
      <c r="M419" s="1">
        <v>2504</v>
      </c>
      <c r="N419" s="1">
        <v>2338</v>
      </c>
      <c r="O419" s="1">
        <v>2937</v>
      </c>
      <c r="P419" s="1">
        <v>3848</v>
      </c>
      <c r="Q419" s="1">
        <v>2510</v>
      </c>
      <c r="R419" s="1">
        <v>1389</v>
      </c>
      <c r="S419">
        <v>546</v>
      </c>
      <c r="T419">
        <v>139</v>
      </c>
      <c r="U419" s="1">
        <v>99</v>
      </c>
    </row>
    <row r="420" spans="1:21" x14ac:dyDescent="0.3">
      <c r="A420" t="s">
        <v>143</v>
      </c>
      <c r="B420" t="s">
        <v>149</v>
      </c>
      <c r="C420" s="2" t="s">
        <v>24</v>
      </c>
      <c r="D420" s="1">
        <v>13083</v>
      </c>
      <c r="E420">
        <v>234</v>
      </c>
      <c r="F420">
        <v>373</v>
      </c>
      <c r="G420">
        <v>260</v>
      </c>
      <c r="H420">
        <v>297</v>
      </c>
      <c r="I420">
        <v>450</v>
      </c>
      <c r="J420">
        <v>473</v>
      </c>
      <c r="K420">
        <v>660</v>
      </c>
      <c r="L420" s="1">
        <v>1272</v>
      </c>
      <c r="M420" s="1">
        <v>1349</v>
      </c>
      <c r="N420" s="1">
        <v>1300</v>
      </c>
      <c r="O420" s="1">
        <v>1599</v>
      </c>
      <c r="P420" s="1">
        <v>2096</v>
      </c>
      <c r="Q420" s="1">
        <v>1453</v>
      </c>
      <c r="R420">
        <v>798</v>
      </c>
      <c r="S420">
        <v>325</v>
      </c>
      <c r="T420">
        <v>82</v>
      </c>
      <c r="U420" s="1">
        <v>62</v>
      </c>
    </row>
    <row r="421" spans="1:21" x14ac:dyDescent="0.3">
      <c r="A421" t="s">
        <v>143</v>
      </c>
      <c r="B421" t="s">
        <v>149</v>
      </c>
      <c r="C421" s="2" t="s">
        <v>25</v>
      </c>
      <c r="D421" s="1">
        <v>11326</v>
      </c>
      <c r="E421">
        <v>217</v>
      </c>
      <c r="F421">
        <v>371</v>
      </c>
      <c r="G421">
        <v>264</v>
      </c>
      <c r="H421">
        <v>263</v>
      </c>
      <c r="I421">
        <v>485</v>
      </c>
      <c r="J421">
        <v>622</v>
      </c>
      <c r="K421">
        <v>703</v>
      </c>
      <c r="L421" s="1">
        <v>1155</v>
      </c>
      <c r="M421" s="1">
        <v>1155</v>
      </c>
      <c r="N421" s="1">
        <v>1038</v>
      </c>
      <c r="O421" s="1">
        <v>1338</v>
      </c>
      <c r="P421" s="1">
        <v>1752</v>
      </c>
      <c r="Q421" s="1">
        <v>1057</v>
      </c>
      <c r="R421">
        <v>591</v>
      </c>
      <c r="S421">
        <v>221</v>
      </c>
      <c r="T421">
        <v>57</v>
      </c>
      <c r="U421" s="1">
        <v>37</v>
      </c>
    </row>
    <row r="422" spans="1:21" x14ac:dyDescent="0.3">
      <c r="A422" t="s">
        <v>143</v>
      </c>
      <c r="B422" t="s">
        <v>150</v>
      </c>
      <c r="C422" s="2" t="s">
        <v>21</v>
      </c>
      <c r="D422" s="1">
        <v>14272</v>
      </c>
      <c r="E422">
        <v>264</v>
      </c>
      <c r="F422">
        <v>427</v>
      </c>
      <c r="G422">
        <v>297</v>
      </c>
      <c r="H422">
        <v>273</v>
      </c>
      <c r="I422">
        <v>530</v>
      </c>
      <c r="J422">
        <v>850</v>
      </c>
      <c r="K422">
        <v>986</v>
      </c>
      <c r="L422" s="1">
        <v>1481</v>
      </c>
      <c r="M422" s="1">
        <v>1388</v>
      </c>
      <c r="N422" s="1">
        <v>1281</v>
      </c>
      <c r="O422" s="1">
        <v>1762</v>
      </c>
      <c r="P422" s="1">
        <v>2203</v>
      </c>
      <c r="Q422" s="1">
        <v>1433</v>
      </c>
      <c r="R422">
        <v>684</v>
      </c>
      <c r="S422">
        <v>277</v>
      </c>
      <c r="T422">
        <v>83</v>
      </c>
      <c r="U422" s="1">
        <v>53</v>
      </c>
    </row>
    <row r="423" spans="1:21" x14ac:dyDescent="0.3">
      <c r="A423" t="s">
        <v>143</v>
      </c>
      <c r="B423" t="s">
        <v>150</v>
      </c>
      <c r="C423" s="2" t="s">
        <v>24</v>
      </c>
      <c r="D423" s="1">
        <v>7481</v>
      </c>
      <c r="E423">
        <v>154</v>
      </c>
      <c r="F423">
        <v>240</v>
      </c>
      <c r="G423">
        <v>159</v>
      </c>
      <c r="H423">
        <v>145</v>
      </c>
      <c r="I423">
        <v>237</v>
      </c>
      <c r="J423">
        <v>342</v>
      </c>
      <c r="K423">
        <v>460</v>
      </c>
      <c r="L423">
        <v>754</v>
      </c>
      <c r="M423">
        <v>744</v>
      </c>
      <c r="N423">
        <v>703</v>
      </c>
      <c r="O423">
        <v>946</v>
      </c>
      <c r="P423" s="1">
        <v>1176</v>
      </c>
      <c r="Q423">
        <v>798</v>
      </c>
      <c r="R423">
        <v>398</v>
      </c>
      <c r="S423">
        <v>153</v>
      </c>
      <c r="T423">
        <v>47</v>
      </c>
      <c r="U423" s="1">
        <v>25</v>
      </c>
    </row>
    <row r="424" spans="1:21" x14ac:dyDescent="0.3">
      <c r="A424" t="s">
        <v>143</v>
      </c>
      <c r="B424" t="s">
        <v>150</v>
      </c>
      <c r="C424" s="2" t="s">
        <v>25</v>
      </c>
      <c r="D424" s="1">
        <v>6791</v>
      </c>
      <c r="E424">
        <v>110</v>
      </c>
      <c r="F424">
        <v>187</v>
      </c>
      <c r="G424">
        <v>138</v>
      </c>
      <c r="H424">
        <v>128</v>
      </c>
      <c r="I424">
        <v>293</v>
      </c>
      <c r="J424">
        <v>508</v>
      </c>
      <c r="K424">
        <v>526</v>
      </c>
      <c r="L424">
        <v>727</v>
      </c>
      <c r="M424">
        <v>644</v>
      </c>
      <c r="N424">
        <v>578</v>
      </c>
      <c r="O424">
        <v>816</v>
      </c>
      <c r="P424" s="1">
        <v>1027</v>
      </c>
      <c r="Q424">
        <v>635</v>
      </c>
      <c r="R424">
        <v>286</v>
      </c>
      <c r="S424">
        <v>124</v>
      </c>
      <c r="T424">
        <v>36</v>
      </c>
      <c r="U424" s="1">
        <v>28</v>
      </c>
    </row>
    <row r="425" spans="1:21" x14ac:dyDescent="0.3">
      <c r="A425" t="s">
        <v>143</v>
      </c>
      <c r="B425" t="s">
        <v>151</v>
      </c>
      <c r="C425" s="2" t="s">
        <v>21</v>
      </c>
      <c r="D425" s="1">
        <v>5462</v>
      </c>
      <c r="E425">
        <v>38</v>
      </c>
      <c r="F425">
        <v>64</v>
      </c>
      <c r="G425">
        <v>48</v>
      </c>
      <c r="H425">
        <v>402</v>
      </c>
      <c r="I425" s="1">
        <v>1602</v>
      </c>
      <c r="J425" s="1">
        <v>1080</v>
      </c>
      <c r="K425">
        <v>622</v>
      </c>
      <c r="L425">
        <v>419</v>
      </c>
      <c r="M425">
        <v>323</v>
      </c>
      <c r="N425">
        <v>226</v>
      </c>
      <c r="O425">
        <v>206</v>
      </c>
      <c r="P425">
        <v>187</v>
      </c>
      <c r="Q425">
        <v>130</v>
      </c>
      <c r="R425">
        <v>59</v>
      </c>
      <c r="S425">
        <v>32</v>
      </c>
      <c r="T425">
        <v>13</v>
      </c>
      <c r="U425" s="1">
        <v>11</v>
      </c>
    </row>
    <row r="426" spans="1:21" x14ac:dyDescent="0.3">
      <c r="A426" t="s">
        <v>143</v>
      </c>
      <c r="B426" t="s">
        <v>151</v>
      </c>
      <c r="C426" s="2" t="s">
        <v>24</v>
      </c>
      <c r="D426" s="1">
        <v>2227</v>
      </c>
      <c r="E426">
        <v>23</v>
      </c>
      <c r="F426">
        <v>25</v>
      </c>
      <c r="G426">
        <v>24</v>
      </c>
      <c r="H426">
        <v>164</v>
      </c>
      <c r="I426">
        <v>559</v>
      </c>
      <c r="J426">
        <v>464</v>
      </c>
      <c r="K426">
        <v>294</v>
      </c>
      <c r="L426">
        <v>187</v>
      </c>
      <c r="M426">
        <v>133</v>
      </c>
      <c r="N426">
        <v>81</v>
      </c>
      <c r="O426">
        <v>93</v>
      </c>
      <c r="P426">
        <v>79</v>
      </c>
      <c r="Q426">
        <v>48</v>
      </c>
      <c r="R426">
        <v>23</v>
      </c>
      <c r="S426">
        <v>18</v>
      </c>
      <c r="T426">
        <v>6</v>
      </c>
      <c r="U426" s="1">
        <v>6</v>
      </c>
    </row>
    <row r="427" spans="1:21" x14ac:dyDescent="0.3">
      <c r="A427" t="s">
        <v>143</v>
      </c>
      <c r="B427" t="s">
        <v>151</v>
      </c>
      <c r="C427" s="2" t="s">
        <v>25</v>
      </c>
      <c r="D427" s="1">
        <v>3235</v>
      </c>
      <c r="E427">
        <v>15</v>
      </c>
      <c r="F427">
        <v>39</v>
      </c>
      <c r="G427">
        <v>24</v>
      </c>
      <c r="H427">
        <v>238</v>
      </c>
      <c r="I427" s="1">
        <v>1043</v>
      </c>
      <c r="J427">
        <v>616</v>
      </c>
      <c r="K427">
        <v>328</v>
      </c>
      <c r="L427">
        <v>232</v>
      </c>
      <c r="M427">
        <v>190</v>
      </c>
      <c r="N427">
        <v>145</v>
      </c>
      <c r="O427">
        <v>113</v>
      </c>
      <c r="P427">
        <v>108</v>
      </c>
      <c r="Q427">
        <v>82</v>
      </c>
      <c r="R427">
        <v>36</v>
      </c>
      <c r="S427">
        <v>14</v>
      </c>
      <c r="T427">
        <v>7</v>
      </c>
      <c r="U427" s="1">
        <v>5</v>
      </c>
    </row>
    <row r="428" spans="1:21" x14ac:dyDescent="0.3">
      <c r="A428" t="s">
        <v>143</v>
      </c>
      <c r="B428" t="s">
        <v>152</v>
      </c>
      <c r="C428" s="2" t="s">
        <v>21</v>
      </c>
      <c r="D428" s="1">
        <v>3152</v>
      </c>
      <c r="E428">
        <v>66</v>
      </c>
      <c r="F428">
        <v>69</v>
      </c>
      <c r="G428">
        <v>39</v>
      </c>
      <c r="H428">
        <v>206</v>
      </c>
      <c r="I428">
        <v>680</v>
      </c>
      <c r="J428">
        <v>512</v>
      </c>
      <c r="K428">
        <v>357</v>
      </c>
      <c r="L428">
        <v>320</v>
      </c>
      <c r="M428">
        <v>250</v>
      </c>
      <c r="N428">
        <v>148</v>
      </c>
      <c r="O428">
        <v>167</v>
      </c>
      <c r="P428">
        <v>160</v>
      </c>
      <c r="Q428">
        <v>87</v>
      </c>
      <c r="R428">
        <v>51</v>
      </c>
      <c r="S428">
        <v>25</v>
      </c>
      <c r="T428">
        <v>10</v>
      </c>
      <c r="U428" s="1">
        <v>5</v>
      </c>
    </row>
    <row r="429" spans="1:21" x14ac:dyDescent="0.3">
      <c r="A429" t="s">
        <v>143</v>
      </c>
      <c r="B429" t="s">
        <v>152</v>
      </c>
      <c r="C429" s="2" t="s">
        <v>24</v>
      </c>
      <c r="D429" s="1">
        <v>1120</v>
      </c>
      <c r="E429">
        <v>37</v>
      </c>
      <c r="F429">
        <v>37</v>
      </c>
      <c r="G429">
        <v>20</v>
      </c>
      <c r="H429">
        <v>54</v>
      </c>
      <c r="I429">
        <v>222</v>
      </c>
      <c r="J429">
        <v>157</v>
      </c>
      <c r="K429">
        <v>121</v>
      </c>
      <c r="L429">
        <v>118</v>
      </c>
      <c r="M429">
        <v>109</v>
      </c>
      <c r="N429">
        <v>58</v>
      </c>
      <c r="O429">
        <v>59</v>
      </c>
      <c r="P429">
        <v>57</v>
      </c>
      <c r="Q429">
        <v>37</v>
      </c>
      <c r="R429">
        <v>19</v>
      </c>
      <c r="S429">
        <v>7</v>
      </c>
      <c r="T429">
        <v>6</v>
      </c>
      <c r="U429" s="1">
        <v>2</v>
      </c>
    </row>
    <row r="430" spans="1:21" x14ac:dyDescent="0.3">
      <c r="A430" t="s">
        <v>143</v>
      </c>
      <c r="B430" t="s">
        <v>152</v>
      </c>
      <c r="C430" s="2" t="s">
        <v>25</v>
      </c>
      <c r="D430" s="1">
        <v>2032</v>
      </c>
      <c r="E430">
        <v>29</v>
      </c>
      <c r="F430">
        <v>32</v>
      </c>
      <c r="G430">
        <v>19</v>
      </c>
      <c r="H430">
        <v>152</v>
      </c>
      <c r="I430">
        <v>458</v>
      </c>
      <c r="J430">
        <v>355</v>
      </c>
      <c r="K430">
        <v>236</v>
      </c>
      <c r="L430">
        <v>202</v>
      </c>
      <c r="M430">
        <v>141</v>
      </c>
      <c r="N430">
        <v>90</v>
      </c>
      <c r="O430">
        <v>108</v>
      </c>
      <c r="P430">
        <v>103</v>
      </c>
      <c r="Q430">
        <v>50</v>
      </c>
      <c r="R430">
        <v>32</v>
      </c>
      <c r="S430">
        <v>18</v>
      </c>
      <c r="T430">
        <v>4</v>
      </c>
      <c r="U430" s="1">
        <v>3</v>
      </c>
    </row>
    <row r="431" spans="1:21" x14ac:dyDescent="0.3">
      <c r="A431" t="s">
        <v>143</v>
      </c>
      <c r="B431" t="s">
        <v>153</v>
      </c>
      <c r="C431" s="2" t="s">
        <v>21</v>
      </c>
      <c r="D431" s="1">
        <v>20682</v>
      </c>
      <c r="E431">
        <v>178</v>
      </c>
      <c r="F431">
        <v>172</v>
      </c>
      <c r="G431">
        <v>131</v>
      </c>
      <c r="H431" s="1">
        <v>1496</v>
      </c>
      <c r="I431" s="1">
        <v>8393</v>
      </c>
      <c r="J431" s="1">
        <v>5177</v>
      </c>
      <c r="K431" s="1">
        <v>1756</v>
      </c>
      <c r="L431">
        <v>937</v>
      </c>
      <c r="M431">
        <v>576</v>
      </c>
      <c r="N431">
        <v>425</v>
      </c>
      <c r="O431">
        <v>406</v>
      </c>
      <c r="P431">
        <v>436</v>
      </c>
      <c r="Q431">
        <v>307</v>
      </c>
      <c r="R431">
        <v>163</v>
      </c>
      <c r="S431">
        <v>72</v>
      </c>
      <c r="T431">
        <v>27</v>
      </c>
      <c r="U431" s="1">
        <v>30</v>
      </c>
    </row>
    <row r="432" spans="1:21" x14ac:dyDescent="0.3">
      <c r="A432" t="s">
        <v>143</v>
      </c>
      <c r="B432" t="s">
        <v>153</v>
      </c>
      <c r="C432" s="2" t="s">
        <v>24</v>
      </c>
      <c r="D432" s="1">
        <v>7540</v>
      </c>
      <c r="E432">
        <v>90</v>
      </c>
      <c r="F432">
        <v>82</v>
      </c>
      <c r="G432">
        <v>71</v>
      </c>
      <c r="H432">
        <v>529</v>
      </c>
      <c r="I432" s="1">
        <v>2663</v>
      </c>
      <c r="J432" s="1">
        <v>1845</v>
      </c>
      <c r="K432">
        <v>749</v>
      </c>
      <c r="L432">
        <v>409</v>
      </c>
      <c r="M432">
        <v>243</v>
      </c>
      <c r="N432">
        <v>207</v>
      </c>
      <c r="O432">
        <v>187</v>
      </c>
      <c r="P432">
        <v>185</v>
      </c>
      <c r="Q432">
        <v>137</v>
      </c>
      <c r="R432">
        <v>80</v>
      </c>
      <c r="S432">
        <v>33</v>
      </c>
      <c r="T432">
        <v>19</v>
      </c>
      <c r="U432" s="1">
        <v>11</v>
      </c>
    </row>
    <row r="433" spans="1:21" x14ac:dyDescent="0.3">
      <c r="A433" t="s">
        <v>143</v>
      </c>
      <c r="B433" t="s">
        <v>153</v>
      </c>
      <c r="C433" s="2" t="s">
        <v>25</v>
      </c>
      <c r="D433" s="1">
        <v>13142</v>
      </c>
      <c r="E433">
        <v>88</v>
      </c>
      <c r="F433">
        <v>90</v>
      </c>
      <c r="G433">
        <v>60</v>
      </c>
      <c r="H433">
        <v>967</v>
      </c>
      <c r="I433" s="1">
        <v>5730</v>
      </c>
      <c r="J433" s="1">
        <v>3332</v>
      </c>
      <c r="K433" s="1">
        <v>1007</v>
      </c>
      <c r="L433">
        <v>528</v>
      </c>
      <c r="M433">
        <v>333</v>
      </c>
      <c r="N433">
        <v>218</v>
      </c>
      <c r="O433">
        <v>219</v>
      </c>
      <c r="P433">
        <v>251</v>
      </c>
      <c r="Q433">
        <v>170</v>
      </c>
      <c r="R433">
        <v>83</v>
      </c>
      <c r="S433">
        <v>39</v>
      </c>
      <c r="T433">
        <v>8</v>
      </c>
      <c r="U433" s="1">
        <v>19</v>
      </c>
    </row>
    <row r="434" spans="1:21" x14ac:dyDescent="0.3">
      <c r="A434" t="s">
        <v>143</v>
      </c>
      <c r="B434" t="s">
        <v>154</v>
      </c>
      <c r="C434" s="2" t="s">
        <v>21</v>
      </c>
      <c r="D434" s="1">
        <v>12357</v>
      </c>
      <c r="E434">
        <v>101</v>
      </c>
      <c r="F434">
        <v>87</v>
      </c>
      <c r="G434">
        <v>93</v>
      </c>
      <c r="H434" s="1">
        <v>1060</v>
      </c>
      <c r="I434" s="1">
        <v>3558</v>
      </c>
      <c r="J434" s="1">
        <v>2208</v>
      </c>
      <c r="K434" s="1">
        <v>1034</v>
      </c>
      <c r="L434">
        <v>780</v>
      </c>
      <c r="M434">
        <v>638</v>
      </c>
      <c r="N434">
        <v>517</v>
      </c>
      <c r="O434">
        <v>576</v>
      </c>
      <c r="P434">
        <v>709</v>
      </c>
      <c r="Q434">
        <v>498</v>
      </c>
      <c r="R434">
        <v>313</v>
      </c>
      <c r="S434">
        <v>120</v>
      </c>
      <c r="T434">
        <v>26</v>
      </c>
      <c r="U434" s="1">
        <v>39</v>
      </c>
    </row>
    <row r="435" spans="1:21" x14ac:dyDescent="0.3">
      <c r="A435" t="s">
        <v>143</v>
      </c>
      <c r="B435" t="s">
        <v>154</v>
      </c>
      <c r="C435" s="2" t="s">
        <v>24</v>
      </c>
      <c r="D435" s="1">
        <v>4945</v>
      </c>
      <c r="E435">
        <v>53</v>
      </c>
      <c r="F435">
        <v>52</v>
      </c>
      <c r="G435">
        <v>49</v>
      </c>
      <c r="H435">
        <v>336</v>
      </c>
      <c r="I435" s="1">
        <v>1153</v>
      </c>
      <c r="J435">
        <v>689</v>
      </c>
      <c r="K435">
        <v>450</v>
      </c>
      <c r="L435">
        <v>417</v>
      </c>
      <c r="M435">
        <v>335</v>
      </c>
      <c r="N435">
        <v>267</v>
      </c>
      <c r="O435">
        <v>310</v>
      </c>
      <c r="P435">
        <v>317</v>
      </c>
      <c r="Q435">
        <v>266</v>
      </c>
      <c r="R435">
        <v>158</v>
      </c>
      <c r="S435">
        <v>60</v>
      </c>
      <c r="T435">
        <v>12</v>
      </c>
      <c r="U435" s="1">
        <v>21</v>
      </c>
    </row>
    <row r="436" spans="1:21" x14ac:dyDescent="0.3">
      <c r="A436" t="s">
        <v>143</v>
      </c>
      <c r="B436" t="s">
        <v>154</v>
      </c>
      <c r="C436" s="2" t="s">
        <v>25</v>
      </c>
      <c r="D436" s="1">
        <v>7412</v>
      </c>
      <c r="E436">
        <v>48</v>
      </c>
      <c r="F436">
        <v>35</v>
      </c>
      <c r="G436">
        <v>44</v>
      </c>
      <c r="H436">
        <v>724</v>
      </c>
      <c r="I436" s="1">
        <v>2405</v>
      </c>
      <c r="J436" s="1">
        <v>1519</v>
      </c>
      <c r="K436">
        <v>584</v>
      </c>
      <c r="L436">
        <v>363</v>
      </c>
      <c r="M436">
        <v>303</v>
      </c>
      <c r="N436">
        <v>250</v>
      </c>
      <c r="O436">
        <v>266</v>
      </c>
      <c r="P436">
        <v>392</v>
      </c>
      <c r="Q436">
        <v>232</v>
      </c>
      <c r="R436">
        <v>155</v>
      </c>
      <c r="S436">
        <v>60</v>
      </c>
      <c r="T436">
        <v>14</v>
      </c>
      <c r="U436" s="1">
        <v>18</v>
      </c>
    </row>
    <row r="437" spans="1:21" x14ac:dyDescent="0.3">
      <c r="A437" t="s">
        <v>143</v>
      </c>
      <c r="B437" t="s">
        <v>155</v>
      </c>
      <c r="C437" s="2" t="s">
        <v>21</v>
      </c>
      <c r="D437" s="1">
        <v>11748</v>
      </c>
      <c r="E437">
        <v>116</v>
      </c>
      <c r="F437">
        <v>187</v>
      </c>
      <c r="G437">
        <v>175</v>
      </c>
      <c r="H437">
        <v>591</v>
      </c>
      <c r="I437" s="1">
        <v>2954</v>
      </c>
      <c r="J437" s="1">
        <v>2399</v>
      </c>
      <c r="K437" s="1">
        <v>1481</v>
      </c>
      <c r="L437" s="1">
        <v>1033</v>
      </c>
      <c r="M437">
        <v>776</v>
      </c>
      <c r="N437">
        <v>514</v>
      </c>
      <c r="O437">
        <v>428</v>
      </c>
      <c r="P437">
        <v>397</v>
      </c>
      <c r="Q437">
        <v>272</v>
      </c>
      <c r="R437">
        <v>186</v>
      </c>
      <c r="S437">
        <v>131</v>
      </c>
      <c r="T437">
        <v>62</v>
      </c>
      <c r="U437" s="1">
        <v>46</v>
      </c>
    </row>
    <row r="438" spans="1:21" x14ac:dyDescent="0.3">
      <c r="A438" t="s">
        <v>143</v>
      </c>
      <c r="B438" t="s">
        <v>155</v>
      </c>
      <c r="C438" s="2" t="s">
        <v>24</v>
      </c>
      <c r="D438" s="1">
        <v>4131</v>
      </c>
      <c r="E438">
        <v>55</v>
      </c>
      <c r="F438">
        <v>90</v>
      </c>
      <c r="G438">
        <v>107</v>
      </c>
      <c r="H438">
        <v>182</v>
      </c>
      <c r="I438">
        <v>713</v>
      </c>
      <c r="J438">
        <v>588</v>
      </c>
      <c r="K438">
        <v>476</v>
      </c>
      <c r="L438">
        <v>469</v>
      </c>
      <c r="M438">
        <v>399</v>
      </c>
      <c r="N438">
        <v>254</v>
      </c>
      <c r="O438">
        <v>245</v>
      </c>
      <c r="P438">
        <v>211</v>
      </c>
      <c r="Q438">
        <v>137</v>
      </c>
      <c r="R438">
        <v>89</v>
      </c>
      <c r="S438">
        <v>70</v>
      </c>
      <c r="T438">
        <v>25</v>
      </c>
      <c r="U438" s="1">
        <v>21</v>
      </c>
    </row>
    <row r="439" spans="1:21" x14ac:dyDescent="0.3">
      <c r="A439" t="s">
        <v>143</v>
      </c>
      <c r="B439" t="s">
        <v>155</v>
      </c>
      <c r="C439" s="2" t="s">
        <v>25</v>
      </c>
      <c r="D439" s="1">
        <v>7617</v>
      </c>
      <c r="E439">
        <v>61</v>
      </c>
      <c r="F439">
        <v>97</v>
      </c>
      <c r="G439">
        <v>68</v>
      </c>
      <c r="H439">
        <v>409</v>
      </c>
      <c r="I439" s="1">
        <v>2241</v>
      </c>
      <c r="J439" s="1">
        <v>1811</v>
      </c>
      <c r="K439" s="1">
        <v>1005</v>
      </c>
      <c r="L439">
        <v>564</v>
      </c>
      <c r="M439">
        <v>377</v>
      </c>
      <c r="N439">
        <v>260</v>
      </c>
      <c r="O439">
        <v>183</v>
      </c>
      <c r="P439">
        <v>186</v>
      </c>
      <c r="Q439">
        <v>135</v>
      </c>
      <c r="R439">
        <v>97</v>
      </c>
      <c r="S439">
        <v>61</v>
      </c>
      <c r="T439">
        <v>37</v>
      </c>
      <c r="U439" s="1">
        <v>25</v>
      </c>
    </row>
    <row r="440" spans="1:21" x14ac:dyDescent="0.3">
      <c r="A440" t="s">
        <v>143</v>
      </c>
      <c r="B440" t="s">
        <v>156</v>
      </c>
      <c r="C440" s="2" t="s">
        <v>21</v>
      </c>
      <c r="D440" s="1">
        <v>16685</v>
      </c>
      <c r="E440">
        <v>92</v>
      </c>
      <c r="F440">
        <v>127</v>
      </c>
      <c r="G440">
        <v>192</v>
      </c>
      <c r="H440" s="1">
        <v>1271</v>
      </c>
      <c r="I440" s="1">
        <v>6125</v>
      </c>
      <c r="J440" s="1">
        <v>3699</v>
      </c>
      <c r="K440" s="1">
        <v>1468</v>
      </c>
      <c r="L440">
        <v>835</v>
      </c>
      <c r="M440">
        <v>674</v>
      </c>
      <c r="N440">
        <v>507</v>
      </c>
      <c r="O440">
        <v>470</v>
      </c>
      <c r="P440">
        <v>358</v>
      </c>
      <c r="Q440">
        <v>298</v>
      </c>
      <c r="R440">
        <v>246</v>
      </c>
      <c r="S440">
        <v>143</v>
      </c>
      <c r="T440">
        <v>78</v>
      </c>
      <c r="U440" s="1">
        <v>102</v>
      </c>
    </row>
    <row r="441" spans="1:21" x14ac:dyDescent="0.3">
      <c r="A441" t="s">
        <v>143</v>
      </c>
      <c r="B441" t="s">
        <v>156</v>
      </c>
      <c r="C441" s="2" t="s">
        <v>24</v>
      </c>
      <c r="D441" s="1">
        <v>5016</v>
      </c>
      <c r="E441">
        <v>52</v>
      </c>
      <c r="F441">
        <v>75</v>
      </c>
      <c r="G441">
        <v>90</v>
      </c>
      <c r="H441">
        <v>336</v>
      </c>
      <c r="I441" s="1">
        <v>1461</v>
      </c>
      <c r="J441">
        <v>845</v>
      </c>
      <c r="K441">
        <v>450</v>
      </c>
      <c r="L441">
        <v>341</v>
      </c>
      <c r="M441">
        <v>301</v>
      </c>
      <c r="N441">
        <v>230</v>
      </c>
      <c r="O441">
        <v>226</v>
      </c>
      <c r="P441">
        <v>172</v>
      </c>
      <c r="Q441">
        <v>154</v>
      </c>
      <c r="R441">
        <v>126</v>
      </c>
      <c r="S441">
        <v>79</v>
      </c>
      <c r="T441">
        <v>41</v>
      </c>
      <c r="U441" s="1">
        <v>37</v>
      </c>
    </row>
    <row r="442" spans="1:21" x14ac:dyDescent="0.3">
      <c r="A442" t="s">
        <v>143</v>
      </c>
      <c r="B442" t="s">
        <v>156</v>
      </c>
      <c r="C442" s="2" t="s">
        <v>25</v>
      </c>
      <c r="D442" s="1">
        <v>11669</v>
      </c>
      <c r="E442">
        <v>40</v>
      </c>
      <c r="F442">
        <v>52</v>
      </c>
      <c r="G442">
        <v>102</v>
      </c>
      <c r="H442">
        <v>935</v>
      </c>
      <c r="I442" s="1">
        <v>4664</v>
      </c>
      <c r="J442" s="1">
        <v>2854</v>
      </c>
      <c r="K442" s="1">
        <v>1018</v>
      </c>
      <c r="L442">
        <v>494</v>
      </c>
      <c r="M442">
        <v>373</v>
      </c>
      <c r="N442">
        <v>277</v>
      </c>
      <c r="O442">
        <v>244</v>
      </c>
      <c r="P442">
        <v>186</v>
      </c>
      <c r="Q442">
        <v>144</v>
      </c>
      <c r="R442">
        <v>120</v>
      </c>
      <c r="S442">
        <v>64</v>
      </c>
      <c r="T442">
        <v>37</v>
      </c>
      <c r="U442" s="1">
        <v>65</v>
      </c>
    </row>
    <row r="443" spans="1:21" x14ac:dyDescent="0.3">
      <c r="A443" t="s">
        <v>143</v>
      </c>
      <c r="B443" t="s">
        <v>157</v>
      </c>
      <c r="C443" s="2" t="s">
        <v>21</v>
      </c>
      <c r="D443" s="1">
        <v>4867</v>
      </c>
      <c r="E443">
        <v>131</v>
      </c>
      <c r="F443">
        <v>203</v>
      </c>
      <c r="G443">
        <v>213</v>
      </c>
      <c r="H443">
        <v>147</v>
      </c>
      <c r="I443">
        <v>305</v>
      </c>
      <c r="J443">
        <v>605</v>
      </c>
      <c r="K443">
        <v>625</v>
      </c>
      <c r="L443">
        <v>646</v>
      </c>
      <c r="M443">
        <v>645</v>
      </c>
      <c r="N443">
        <v>485</v>
      </c>
      <c r="O443">
        <v>337</v>
      </c>
      <c r="P443">
        <v>236</v>
      </c>
      <c r="Q443">
        <v>137</v>
      </c>
      <c r="R443">
        <v>76</v>
      </c>
      <c r="S443">
        <v>39</v>
      </c>
      <c r="T443">
        <v>17</v>
      </c>
      <c r="U443" s="1">
        <v>20</v>
      </c>
    </row>
    <row r="444" spans="1:21" x14ac:dyDescent="0.3">
      <c r="A444" t="s">
        <v>143</v>
      </c>
      <c r="B444" t="s">
        <v>157</v>
      </c>
      <c r="C444" s="2" t="s">
        <v>24</v>
      </c>
      <c r="D444" s="1">
        <v>2324</v>
      </c>
      <c r="E444">
        <v>68</v>
      </c>
      <c r="F444">
        <v>114</v>
      </c>
      <c r="G444">
        <v>119</v>
      </c>
      <c r="H444">
        <v>61</v>
      </c>
      <c r="I444">
        <v>109</v>
      </c>
      <c r="J444">
        <v>198</v>
      </c>
      <c r="K444">
        <v>256</v>
      </c>
      <c r="L444">
        <v>333</v>
      </c>
      <c r="M444">
        <v>349</v>
      </c>
      <c r="N444">
        <v>257</v>
      </c>
      <c r="O444">
        <v>203</v>
      </c>
      <c r="P444">
        <v>121</v>
      </c>
      <c r="Q444">
        <v>66</v>
      </c>
      <c r="R444">
        <v>35</v>
      </c>
      <c r="S444">
        <v>16</v>
      </c>
      <c r="T444">
        <v>11</v>
      </c>
      <c r="U444" s="1">
        <v>8</v>
      </c>
    </row>
    <row r="445" spans="1:21" x14ac:dyDescent="0.3">
      <c r="A445" t="s">
        <v>143</v>
      </c>
      <c r="B445" t="s">
        <v>157</v>
      </c>
      <c r="C445" s="2" t="s">
        <v>25</v>
      </c>
      <c r="D445" s="1">
        <v>2543</v>
      </c>
      <c r="E445">
        <v>63</v>
      </c>
      <c r="F445">
        <v>89</v>
      </c>
      <c r="G445">
        <v>94</v>
      </c>
      <c r="H445">
        <v>86</v>
      </c>
      <c r="I445">
        <v>196</v>
      </c>
      <c r="J445">
        <v>407</v>
      </c>
      <c r="K445">
        <v>369</v>
      </c>
      <c r="L445">
        <v>313</v>
      </c>
      <c r="M445">
        <v>296</v>
      </c>
      <c r="N445">
        <v>228</v>
      </c>
      <c r="O445">
        <v>134</v>
      </c>
      <c r="P445">
        <v>115</v>
      </c>
      <c r="Q445">
        <v>71</v>
      </c>
      <c r="R445">
        <v>41</v>
      </c>
      <c r="S445">
        <v>23</v>
      </c>
      <c r="T445">
        <v>6</v>
      </c>
      <c r="U445" s="1">
        <v>12</v>
      </c>
    </row>
    <row r="446" spans="1:21" x14ac:dyDescent="0.3">
      <c r="A446" t="s">
        <v>143</v>
      </c>
      <c r="B446" t="s">
        <v>158</v>
      </c>
      <c r="C446" s="2" t="s">
        <v>21</v>
      </c>
      <c r="D446" s="1">
        <v>8108</v>
      </c>
      <c r="E446">
        <v>111</v>
      </c>
      <c r="F446">
        <v>84</v>
      </c>
      <c r="G446">
        <v>74</v>
      </c>
      <c r="H446">
        <v>567</v>
      </c>
      <c r="I446" s="1">
        <v>2257</v>
      </c>
      <c r="J446" s="1">
        <v>1679</v>
      </c>
      <c r="K446">
        <v>791</v>
      </c>
      <c r="L446">
        <v>576</v>
      </c>
      <c r="M446">
        <v>420</v>
      </c>
      <c r="N446">
        <v>353</v>
      </c>
      <c r="O446">
        <v>338</v>
      </c>
      <c r="P446">
        <v>398</v>
      </c>
      <c r="Q446">
        <v>247</v>
      </c>
      <c r="R446">
        <v>102</v>
      </c>
      <c r="S446">
        <v>66</v>
      </c>
      <c r="T446">
        <v>24</v>
      </c>
      <c r="U446" s="1">
        <v>21</v>
      </c>
    </row>
    <row r="447" spans="1:21" x14ac:dyDescent="0.3">
      <c r="A447" t="s">
        <v>143</v>
      </c>
      <c r="B447" t="s">
        <v>158</v>
      </c>
      <c r="C447" s="2" t="s">
        <v>24</v>
      </c>
      <c r="D447" s="1">
        <v>3399</v>
      </c>
      <c r="E447">
        <v>57</v>
      </c>
      <c r="F447">
        <v>39</v>
      </c>
      <c r="G447">
        <v>48</v>
      </c>
      <c r="H447">
        <v>207</v>
      </c>
      <c r="I447">
        <v>792</v>
      </c>
      <c r="J447">
        <v>621</v>
      </c>
      <c r="K447">
        <v>359</v>
      </c>
      <c r="L447">
        <v>306</v>
      </c>
      <c r="M447">
        <v>225</v>
      </c>
      <c r="N447">
        <v>173</v>
      </c>
      <c r="O447">
        <v>153</v>
      </c>
      <c r="P447">
        <v>198</v>
      </c>
      <c r="Q447">
        <v>99</v>
      </c>
      <c r="R447">
        <v>50</v>
      </c>
      <c r="S447">
        <v>39</v>
      </c>
      <c r="T447">
        <v>21</v>
      </c>
      <c r="U447" s="1">
        <v>12</v>
      </c>
    </row>
    <row r="448" spans="1:21" x14ac:dyDescent="0.3">
      <c r="A448" t="s">
        <v>143</v>
      </c>
      <c r="B448" t="s">
        <v>158</v>
      </c>
      <c r="C448" s="2" t="s">
        <v>25</v>
      </c>
      <c r="D448" s="1">
        <v>4709</v>
      </c>
      <c r="E448">
        <v>54</v>
      </c>
      <c r="F448">
        <v>45</v>
      </c>
      <c r="G448">
        <v>26</v>
      </c>
      <c r="H448">
        <v>360</v>
      </c>
      <c r="I448" s="1">
        <v>1465</v>
      </c>
      <c r="J448" s="1">
        <v>1058</v>
      </c>
      <c r="K448">
        <v>432</v>
      </c>
      <c r="L448">
        <v>270</v>
      </c>
      <c r="M448">
        <v>195</v>
      </c>
      <c r="N448">
        <v>180</v>
      </c>
      <c r="O448">
        <v>185</v>
      </c>
      <c r="P448">
        <v>200</v>
      </c>
      <c r="Q448">
        <v>148</v>
      </c>
      <c r="R448">
        <v>52</v>
      </c>
      <c r="S448">
        <v>27</v>
      </c>
      <c r="T448">
        <v>3</v>
      </c>
      <c r="U448" s="1">
        <v>9</v>
      </c>
    </row>
    <row r="449" spans="1:21" x14ac:dyDescent="0.3">
      <c r="A449" t="s">
        <v>143</v>
      </c>
      <c r="B449" t="s">
        <v>159</v>
      </c>
      <c r="C449" s="2" t="s">
        <v>21</v>
      </c>
      <c r="D449" s="1">
        <v>14937</v>
      </c>
      <c r="E449">
        <v>145</v>
      </c>
      <c r="F449">
        <v>144</v>
      </c>
      <c r="G449">
        <v>124</v>
      </c>
      <c r="H449" s="1">
        <v>1702</v>
      </c>
      <c r="I449" s="1">
        <v>5464</v>
      </c>
      <c r="J449" s="1">
        <v>3107</v>
      </c>
      <c r="K449" s="1">
        <v>1317</v>
      </c>
      <c r="L449">
        <v>808</v>
      </c>
      <c r="M449">
        <v>624</v>
      </c>
      <c r="N449">
        <v>424</v>
      </c>
      <c r="O449">
        <v>352</v>
      </c>
      <c r="P449">
        <v>288</v>
      </c>
      <c r="Q449">
        <v>198</v>
      </c>
      <c r="R449">
        <v>116</v>
      </c>
      <c r="S449">
        <v>56</v>
      </c>
      <c r="T449">
        <v>35</v>
      </c>
      <c r="U449" s="1">
        <v>33</v>
      </c>
    </row>
    <row r="450" spans="1:21" x14ac:dyDescent="0.3">
      <c r="A450" t="s">
        <v>143</v>
      </c>
      <c r="B450" t="s">
        <v>159</v>
      </c>
      <c r="C450" s="2" t="s">
        <v>24</v>
      </c>
      <c r="D450" s="1">
        <v>5635</v>
      </c>
      <c r="E450">
        <v>83</v>
      </c>
      <c r="F450">
        <v>71</v>
      </c>
      <c r="G450">
        <v>59</v>
      </c>
      <c r="H450">
        <v>556</v>
      </c>
      <c r="I450" s="1">
        <v>1851</v>
      </c>
      <c r="J450" s="1">
        <v>1117</v>
      </c>
      <c r="K450">
        <v>584</v>
      </c>
      <c r="L450">
        <v>365</v>
      </c>
      <c r="M450">
        <v>279</v>
      </c>
      <c r="N450">
        <v>175</v>
      </c>
      <c r="O450">
        <v>160</v>
      </c>
      <c r="P450">
        <v>124</v>
      </c>
      <c r="Q450">
        <v>86</v>
      </c>
      <c r="R450">
        <v>62</v>
      </c>
      <c r="S450">
        <v>25</v>
      </c>
      <c r="T450">
        <v>21</v>
      </c>
      <c r="U450" s="1">
        <v>17</v>
      </c>
    </row>
    <row r="451" spans="1:21" x14ac:dyDescent="0.3">
      <c r="A451" t="s">
        <v>143</v>
      </c>
      <c r="B451" t="s">
        <v>159</v>
      </c>
      <c r="C451" s="2" t="s">
        <v>25</v>
      </c>
      <c r="D451" s="1">
        <v>9302</v>
      </c>
      <c r="E451">
        <v>62</v>
      </c>
      <c r="F451">
        <v>73</v>
      </c>
      <c r="G451">
        <v>65</v>
      </c>
      <c r="H451" s="1">
        <v>1146</v>
      </c>
      <c r="I451" s="1">
        <v>3613</v>
      </c>
      <c r="J451" s="1">
        <v>1990</v>
      </c>
      <c r="K451">
        <v>733</v>
      </c>
      <c r="L451">
        <v>443</v>
      </c>
      <c r="M451">
        <v>345</v>
      </c>
      <c r="N451">
        <v>249</v>
      </c>
      <c r="O451">
        <v>192</v>
      </c>
      <c r="P451">
        <v>164</v>
      </c>
      <c r="Q451">
        <v>112</v>
      </c>
      <c r="R451">
        <v>54</v>
      </c>
      <c r="S451">
        <v>31</v>
      </c>
      <c r="T451">
        <v>14</v>
      </c>
      <c r="U451" s="1">
        <v>16</v>
      </c>
    </row>
    <row r="452" spans="1:21" x14ac:dyDescent="0.3">
      <c r="A452" t="s">
        <v>143</v>
      </c>
      <c r="B452" t="s">
        <v>160</v>
      </c>
      <c r="C452" s="2" t="s">
        <v>21</v>
      </c>
      <c r="D452" s="1">
        <v>6409</v>
      </c>
      <c r="E452">
        <v>135</v>
      </c>
      <c r="F452">
        <v>145</v>
      </c>
      <c r="G452">
        <v>109</v>
      </c>
      <c r="H452">
        <v>174</v>
      </c>
      <c r="I452">
        <v>416</v>
      </c>
      <c r="J452">
        <v>701</v>
      </c>
      <c r="K452">
        <v>844</v>
      </c>
      <c r="L452">
        <v>929</v>
      </c>
      <c r="M452">
        <v>727</v>
      </c>
      <c r="N452">
        <v>483</v>
      </c>
      <c r="O452">
        <v>524</v>
      </c>
      <c r="P452">
        <v>538</v>
      </c>
      <c r="Q452">
        <v>368</v>
      </c>
      <c r="R452">
        <v>183</v>
      </c>
      <c r="S452">
        <v>81</v>
      </c>
      <c r="T452">
        <v>25</v>
      </c>
      <c r="U452" s="1">
        <v>27</v>
      </c>
    </row>
    <row r="453" spans="1:21" x14ac:dyDescent="0.3">
      <c r="A453" t="s">
        <v>143</v>
      </c>
      <c r="B453" t="s">
        <v>160</v>
      </c>
      <c r="C453" s="2" t="s">
        <v>24</v>
      </c>
      <c r="D453" s="1">
        <v>2886</v>
      </c>
      <c r="E453">
        <v>64</v>
      </c>
      <c r="F453">
        <v>75</v>
      </c>
      <c r="G453">
        <v>50</v>
      </c>
      <c r="H453">
        <v>103</v>
      </c>
      <c r="I453">
        <v>173</v>
      </c>
      <c r="J453">
        <v>204</v>
      </c>
      <c r="K453">
        <v>333</v>
      </c>
      <c r="L453">
        <v>450</v>
      </c>
      <c r="M453">
        <v>360</v>
      </c>
      <c r="N453">
        <v>241</v>
      </c>
      <c r="O453">
        <v>257</v>
      </c>
      <c r="P453">
        <v>249</v>
      </c>
      <c r="Q453">
        <v>168</v>
      </c>
      <c r="R453">
        <v>93</v>
      </c>
      <c r="S453">
        <v>41</v>
      </c>
      <c r="T453">
        <v>11</v>
      </c>
      <c r="U453" s="1">
        <v>14</v>
      </c>
    </row>
    <row r="454" spans="1:21" x14ac:dyDescent="0.3">
      <c r="A454" t="s">
        <v>143</v>
      </c>
      <c r="B454" t="s">
        <v>160</v>
      </c>
      <c r="C454" s="2" t="s">
        <v>25</v>
      </c>
      <c r="D454" s="1">
        <v>3523</v>
      </c>
      <c r="E454">
        <v>71</v>
      </c>
      <c r="F454">
        <v>70</v>
      </c>
      <c r="G454">
        <v>59</v>
      </c>
      <c r="H454">
        <v>71</v>
      </c>
      <c r="I454">
        <v>243</v>
      </c>
      <c r="J454">
        <v>497</v>
      </c>
      <c r="K454">
        <v>511</v>
      </c>
      <c r="L454">
        <v>479</v>
      </c>
      <c r="M454">
        <v>367</v>
      </c>
      <c r="N454">
        <v>242</v>
      </c>
      <c r="O454">
        <v>267</v>
      </c>
      <c r="P454">
        <v>289</v>
      </c>
      <c r="Q454">
        <v>200</v>
      </c>
      <c r="R454">
        <v>90</v>
      </c>
      <c r="S454">
        <v>40</v>
      </c>
      <c r="T454">
        <v>14</v>
      </c>
      <c r="U454" s="1">
        <v>13</v>
      </c>
    </row>
    <row r="455" spans="1:21" x14ac:dyDescent="0.3">
      <c r="A455" t="s">
        <v>143</v>
      </c>
      <c r="B455" t="s">
        <v>161</v>
      </c>
      <c r="C455" s="2" t="s">
        <v>21</v>
      </c>
      <c r="D455" s="1">
        <v>3449</v>
      </c>
      <c r="E455">
        <v>50</v>
      </c>
      <c r="F455">
        <v>70</v>
      </c>
      <c r="G455">
        <v>58</v>
      </c>
      <c r="H455">
        <v>90</v>
      </c>
      <c r="I455">
        <v>201</v>
      </c>
      <c r="J455">
        <v>374</v>
      </c>
      <c r="K455">
        <v>369</v>
      </c>
      <c r="L455">
        <v>411</v>
      </c>
      <c r="M455">
        <v>360</v>
      </c>
      <c r="N455">
        <v>308</v>
      </c>
      <c r="O455">
        <v>312</v>
      </c>
      <c r="P455">
        <v>362</v>
      </c>
      <c r="Q455">
        <v>254</v>
      </c>
      <c r="R455">
        <v>121</v>
      </c>
      <c r="S455">
        <v>63</v>
      </c>
      <c r="T455">
        <v>28</v>
      </c>
      <c r="U455" s="1">
        <v>18</v>
      </c>
    </row>
    <row r="456" spans="1:21" x14ac:dyDescent="0.3">
      <c r="A456" t="s">
        <v>143</v>
      </c>
      <c r="B456" t="s">
        <v>161</v>
      </c>
      <c r="C456" s="2" t="s">
        <v>24</v>
      </c>
      <c r="D456" s="1">
        <v>1365</v>
      </c>
      <c r="E456">
        <v>28</v>
      </c>
      <c r="F456">
        <v>34</v>
      </c>
      <c r="G456">
        <v>28</v>
      </c>
      <c r="H456">
        <v>49</v>
      </c>
      <c r="I456">
        <v>58</v>
      </c>
      <c r="J456">
        <v>102</v>
      </c>
      <c r="K456">
        <v>127</v>
      </c>
      <c r="L456">
        <v>156</v>
      </c>
      <c r="M456">
        <v>147</v>
      </c>
      <c r="N456">
        <v>112</v>
      </c>
      <c r="O456">
        <v>140</v>
      </c>
      <c r="P456">
        <v>156</v>
      </c>
      <c r="Q456">
        <v>112</v>
      </c>
      <c r="R456">
        <v>57</v>
      </c>
      <c r="S456">
        <v>32</v>
      </c>
      <c r="T456">
        <v>17</v>
      </c>
      <c r="U456" s="1">
        <v>10</v>
      </c>
    </row>
    <row r="457" spans="1:21" x14ac:dyDescent="0.3">
      <c r="A457" t="s">
        <v>143</v>
      </c>
      <c r="B457" t="s">
        <v>161</v>
      </c>
      <c r="C457" s="2" t="s">
        <v>25</v>
      </c>
      <c r="D457" s="1">
        <v>2084</v>
      </c>
      <c r="E457">
        <v>22</v>
      </c>
      <c r="F457">
        <v>36</v>
      </c>
      <c r="G457">
        <v>30</v>
      </c>
      <c r="H457">
        <v>41</v>
      </c>
      <c r="I457">
        <v>143</v>
      </c>
      <c r="J457">
        <v>272</v>
      </c>
      <c r="K457">
        <v>242</v>
      </c>
      <c r="L457">
        <v>255</v>
      </c>
      <c r="M457">
        <v>213</v>
      </c>
      <c r="N457">
        <v>196</v>
      </c>
      <c r="O457">
        <v>172</v>
      </c>
      <c r="P457">
        <v>206</v>
      </c>
      <c r="Q457">
        <v>142</v>
      </c>
      <c r="R457">
        <v>64</v>
      </c>
      <c r="S457">
        <v>31</v>
      </c>
      <c r="T457">
        <v>11</v>
      </c>
      <c r="U457" s="1">
        <v>8</v>
      </c>
    </row>
    <row r="458" spans="1:21" x14ac:dyDescent="0.3">
      <c r="A458" t="s">
        <v>143</v>
      </c>
      <c r="B458" t="s">
        <v>162</v>
      </c>
      <c r="C458" s="2" t="s">
        <v>21</v>
      </c>
      <c r="D458" s="1">
        <v>23886</v>
      </c>
      <c r="E458">
        <v>382</v>
      </c>
      <c r="F458">
        <v>685</v>
      </c>
      <c r="G458">
        <v>487</v>
      </c>
      <c r="H458">
        <v>493</v>
      </c>
      <c r="I458" s="1">
        <v>1183</v>
      </c>
      <c r="J458" s="1">
        <v>1424</v>
      </c>
      <c r="K458" s="1">
        <v>1501</v>
      </c>
      <c r="L458" s="1">
        <v>2361</v>
      </c>
      <c r="M458" s="1">
        <v>2229</v>
      </c>
      <c r="N458" s="1">
        <v>2185</v>
      </c>
      <c r="O458" s="1">
        <v>2722</v>
      </c>
      <c r="P458" s="1">
        <v>3563</v>
      </c>
      <c r="Q458" s="1">
        <v>2514</v>
      </c>
      <c r="R458" s="1">
        <v>1381</v>
      </c>
      <c r="S458">
        <v>524</v>
      </c>
      <c r="T458">
        <v>136</v>
      </c>
      <c r="U458" s="1">
        <v>116</v>
      </c>
    </row>
    <row r="459" spans="1:21" x14ac:dyDescent="0.3">
      <c r="A459" t="s">
        <v>143</v>
      </c>
      <c r="B459" t="s">
        <v>162</v>
      </c>
      <c r="C459" s="2" t="s">
        <v>24</v>
      </c>
      <c r="D459" s="1">
        <v>12399</v>
      </c>
      <c r="E459">
        <v>193</v>
      </c>
      <c r="F459">
        <v>363</v>
      </c>
      <c r="G459">
        <v>269</v>
      </c>
      <c r="H459">
        <v>246</v>
      </c>
      <c r="I459">
        <v>455</v>
      </c>
      <c r="J459">
        <v>577</v>
      </c>
      <c r="K459">
        <v>738</v>
      </c>
      <c r="L459" s="1">
        <v>1313</v>
      </c>
      <c r="M459" s="1">
        <v>1195</v>
      </c>
      <c r="N459" s="1">
        <v>1168</v>
      </c>
      <c r="O459" s="1">
        <v>1480</v>
      </c>
      <c r="P459" s="1">
        <v>1833</v>
      </c>
      <c r="Q459" s="1">
        <v>1349</v>
      </c>
      <c r="R459">
        <v>780</v>
      </c>
      <c r="S459">
        <v>302</v>
      </c>
      <c r="T459">
        <v>83</v>
      </c>
      <c r="U459" s="1">
        <v>55</v>
      </c>
    </row>
    <row r="460" spans="1:21" x14ac:dyDescent="0.3">
      <c r="A460" t="s">
        <v>143</v>
      </c>
      <c r="B460" t="s">
        <v>162</v>
      </c>
      <c r="C460" s="2" t="s">
        <v>25</v>
      </c>
      <c r="D460" s="1">
        <v>11487</v>
      </c>
      <c r="E460">
        <v>189</v>
      </c>
      <c r="F460">
        <v>322</v>
      </c>
      <c r="G460">
        <v>218</v>
      </c>
      <c r="H460">
        <v>247</v>
      </c>
      <c r="I460">
        <v>728</v>
      </c>
      <c r="J460">
        <v>847</v>
      </c>
      <c r="K460">
        <v>763</v>
      </c>
      <c r="L460" s="1">
        <v>1048</v>
      </c>
      <c r="M460" s="1">
        <v>1034</v>
      </c>
      <c r="N460" s="1">
        <v>1017</v>
      </c>
      <c r="O460" s="1">
        <v>1242</v>
      </c>
      <c r="P460" s="1">
        <v>1730</v>
      </c>
      <c r="Q460" s="1">
        <v>1165</v>
      </c>
      <c r="R460">
        <v>601</v>
      </c>
      <c r="S460">
        <v>222</v>
      </c>
      <c r="T460">
        <v>53</v>
      </c>
      <c r="U460" s="1">
        <v>61</v>
      </c>
    </row>
    <row r="461" spans="1:21" x14ac:dyDescent="0.3">
      <c r="A461" t="s">
        <v>143</v>
      </c>
      <c r="B461" t="s">
        <v>163</v>
      </c>
      <c r="C461" s="2" t="s">
        <v>21</v>
      </c>
      <c r="D461" s="1">
        <v>13090</v>
      </c>
      <c r="E461">
        <v>441</v>
      </c>
      <c r="F461">
        <v>688</v>
      </c>
      <c r="G461">
        <v>690</v>
      </c>
      <c r="H461">
        <v>589</v>
      </c>
      <c r="I461">
        <v>927</v>
      </c>
      <c r="J461" s="1">
        <v>1067</v>
      </c>
      <c r="K461" s="1">
        <v>1459</v>
      </c>
      <c r="L461" s="1">
        <v>1569</v>
      </c>
      <c r="M461" s="1">
        <v>1539</v>
      </c>
      <c r="N461" s="1">
        <v>1368</v>
      </c>
      <c r="O461">
        <v>969</v>
      </c>
      <c r="P461">
        <v>753</v>
      </c>
      <c r="Q461">
        <v>473</v>
      </c>
      <c r="R461">
        <v>263</v>
      </c>
      <c r="S461">
        <v>139</v>
      </c>
      <c r="T461">
        <v>85</v>
      </c>
      <c r="U461" s="1">
        <v>71</v>
      </c>
    </row>
    <row r="462" spans="1:21" x14ac:dyDescent="0.3">
      <c r="A462" t="s">
        <v>143</v>
      </c>
      <c r="B462" t="s">
        <v>163</v>
      </c>
      <c r="C462" s="2" t="s">
        <v>24</v>
      </c>
      <c r="D462" s="1">
        <v>6744</v>
      </c>
      <c r="E462">
        <v>217</v>
      </c>
      <c r="F462">
        <v>357</v>
      </c>
      <c r="G462">
        <v>354</v>
      </c>
      <c r="H462">
        <v>271</v>
      </c>
      <c r="I462">
        <v>316</v>
      </c>
      <c r="J462">
        <v>428</v>
      </c>
      <c r="K462">
        <v>716</v>
      </c>
      <c r="L462">
        <v>861</v>
      </c>
      <c r="M462">
        <v>865</v>
      </c>
      <c r="N462">
        <v>773</v>
      </c>
      <c r="O462">
        <v>552</v>
      </c>
      <c r="P462">
        <v>451</v>
      </c>
      <c r="Q462">
        <v>272</v>
      </c>
      <c r="R462">
        <v>139</v>
      </c>
      <c r="S462">
        <v>77</v>
      </c>
      <c r="T462">
        <v>53</v>
      </c>
      <c r="U462" s="1">
        <v>42</v>
      </c>
    </row>
    <row r="463" spans="1:21" x14ac:dyDescent="0.3">
      <c r="A463" t="s">
        <v>143</v>
      </c>
      <c r="B463" t="s">
        <v>163</v>
      </c>
      <c r="C463" s="2" t="s">
        <v>25</v>
      </c>
      <c r="D463" s="1">
        <v>6346</v>
      </c>
      <c r="E463">
        <v>224</v>
      </c>
      <c r="F463">
        <v>331</v>
      </c>
      <c r="G463">
        <v>336</v>
      </c>
      <c r="H463">
        <v>318</v>
      </c>
      <c r="I463">
        <v>611</v>
      </c>
      <c r="J463">
        <v>639</v>
      </c>
      <c r="K463">
        <v>743</v>
      </c>
      <c r="L463">
        <v>708</v>
      </c>
      <c r="M463">
        <v>674</v>
      </c>
      <c r="N463">
        <v>595</v>
      </c>
      <c r="O463">
        <v>417</v>
      </c>
      <c r="P463">
        <v>302</v>
      </c>
      <c r="Q463">
        <v>201</v>
      </c>
      <c r="R463">
        <v>124</v>
      </c>
      <c r="S463">
        <v>62</v>
      </c>
      <c r="T463">
        <v>32</v>
      </c>
      <c r="U463" s="1">
        <v>29</v>
      </c>
    </row>
    <row r="464" spans="1:21" x14ac:dyDescent="0.3">
      <c r="A464" t="s">
        <v>143</v>
      </c>
      <c r="B464" t="s">
        <v>164</v>
      </c>
      <c r="C464" s="2" t="s">
        <v>21</v>
      </c>
      <c r="D464" s="1">
        <v>4449</v>
      </c>
      <c r="E464">
        <v>64</v>
      </c>
      <c r="F464">
        <v>95</v>
      </c>
      <c r="G464">
        <v>79</v>
      </c>
      <c r="H464">
        <v>191</v>
      </c>
      <c r="I464">
        <v>437</v>
      </c>
      <c r="J464">
        <v>538</v>
      </c>
      <c r="K464">
        <v>532</v>
      </c>
      <c r="L464">
        <v>547</v>
      </c>
      <c r="M464">
        <v>471</v>
      </c>
      <c r="N464">
        <v>340</v>
      </c>
      <c r="O464">
        <v>322</v>
      </c>
      <c r="P464">
        <v>328</v>
      </c>
      <c r="Q464">
        <v>239</v>
      </c>
      <c r="R464">
        <v>136</v>
      </c>
      <c r="S464">
        <v>64</v>
      </c>
      <c r="T464">
        <v>29</v>
      </c>
      <c r="U464" s="1">
        <v>37</v>
      </c>
    </row>
    <row r="465" spans="1:21" x14ac:dyDescent="0.3">
      <c r="A465" t="s">
        <v>143</v>
      </c>
      <c r="B465" t="s">
        <v>164</v>
      </c>
      <c r="C465" s="2" t="s">
        <v>24</v>
      </c>
      <c r="D465" s="1">
        <v>1705</v>
      </c>
      <c r="E465">
        <v>34</v>
      </c>
      <c r="F465">
        <v>52</v>
      </c>
      <c r="G465">
        <v>46</v>
      </c>
      <c r="H465">
        <v>62</v>
      </c>
      <c r="I465">
        <v>156</v>
      </c>
      <c r="J465">
        <v>139</v>
      </c>
      <c r="K465">
        <v>178</v>
      </c>
      <c r="L465">
        <v>203</v>
      </c>
      <c r="M465">
        <v>196</v>
      </c>
      <c r="N465">
        <v>133</v>
      </c>
      <c r="O465">
        <v>143</v>
      </c>
      <c r="P465">
        <v>135</v>
      </c>
      <c r="Q465">
        <v>98</v>
      </c>
      <c r="R465">
        <v>52</v>
      </c>
      <c r="S465">
        <v>39</v>
      </c>
      <c r="T465">
        <v>15</v>
      </c>
      <c r="U465" s="1">
        <v>24</v>
      </c>
    </row>
    <row r="466" spans="1:21" x14ac:dyDescent="0.3">
      <c r="A466" t="s">
        <v>143</v>
      </c>
      <c r="B466" t="s">
        <v>164</v>
      </c>
      <c r="C466" s="2" t="s">
        <v>25</v>
      </c>
      <c r="D466" s="1">
        <v>2744</v>
      </c>
      <c r="E466">
        <v>30</v>
      </c>
      <c r="F466">
        <v>43</v>
      </c>
      <c r="G466">
        <v>33</v>
      </c>
      <c r="H466">
        <v>129</v>
      </c>
      <c r="I466">
        <v>281</v>
      </c>
      <c r="J466">
        <v>399</v>
      </c>
      <c r="K466">
        <v>354</v>
      </c>
      <c r="L466">
        <v>344</v>
      </c>
      <c r="M466">
        <v>275</v>
      </c>
      <c r="N466">
        <v>207</v>
      </c>
      <c r="O466">
        <v>179</v>
      </c>
      <c r="P466">
        <v>193</v>
      </c>
      <c r="Q466">
        <v>141</v>
      </c>
      <c r="R466">
        <v>84</v>
      </c>
      <c r="S466">
        <v>25</v>
      </c>
      <c r="T466">
        <v>14</v>
      </c>
      <c r="U466" s="1">
        <v>13</v>
      </c>
    </row>
    <row r="467" spans="1:21" x14ac:dyDescent="0.3">
      <c r="A467" t="s">
        <v>143</v>
      </c>
      <c r="B467" t="s">
        <v>165</v>
      </c>
      <c r="C467" s="2" t="s">
        <v>21</v>
      </c>
      <c r="D467" s="1">
        <v>11765</v>
      </c>
      <c r="E467">
        <v>208</v>
      </c>
      <c r="F467">
        <v>244</v>
      </c>
      <c r="G467">
        <v>224</v>
      </c>
      <c r="H467">
        <v>769</v>
      </c>
      <c r="I467" s="1">
        <v>3572</v>
      </c>
      <c r="J467" s="1">
        <v>2363</v>
      </c>
      <c r="K467">
        <v>970</v>
      </c>
      <c r="L467">
        <v>790</v>
      </c>
      <c r="M467">
        <v>701</v>
      </c>
      <c r="N467">
        <v>571</v>
      </c>
      <c r="O467">
        <v>451</v>
      </c>
      <c r="P467">
        <v>376</v>
      </c>
      <c r="Q467">
        <v>232</v>
      </c>
      <c r="R467">
        <v>163</v>
      </c>
      <c r="S467">
        <v>62</v>
      </c>
      <c r="T467">
        <v>38</v>
      </c>
      <c r="U467" s="1">
        <v>31</v>
      </c>
    </row>
    <row r="468" spans="1:21" x14ac:dyDescent="0.3">
      <c r="A468" t="s">
        <v>143</v>
      </c>
      <c r="B468" t="s">
        <v>165</v>
      </c>
      <c r="C468" s="2" t="s">
        <v>24</v>
      </c>
      <c r="D468" s="1">
        <v>4967</v>
      </c>
      <c r="E468">
        <v>98</v>
      </c>
      <c r="F468">
        <v>135</v>
      </c>
      <c r="G468">
        <v>110</v>
      </c>
      <c r="H468">
        <v>279</v>
      </c>
      <c r="I468" s="1">
        <v>1236</v>
      </c>
      <c r="J468">
        <v>860</v>
      </c>
      <c r="K468">
        <v>457</v>
      </c>
      <c r="L468">
        <v>383</v>
      </c>
      <c r="M468">
        <v>378</v>
      </c>
      <c r="N468">
        <v>309</v>
      </c>
      <c r="O468">
        <v>238</v>
      </c>
      <c r="P468">
        <v>206</v>
      </c>
      <c r="Q468">
        <v>127</v>
      </c>
      <c r="R468">
        <v>73</v>
      </c>
      <c r="S468">
        <v>39</v>
      </c>
      <c r="T468">
        <v>20</v>
      </c>
      <c r="U468" s="1">
        <v>19</v>
      </c>
    </row>
    <row r="469" spans="1:21" x14ac:dyDescent="0.3">
      <c r="A469" t="s">
        <v>143</v>
      </c>
      <c r="B469" t="s">
        <v>165</v>
      </c>
      <c r="C469" s="2" t="s">
        <v>25</v>
      </c>
      <c r="D469" s="1">
        <v>6798</v>
      </c>
      <c r="E469">
        <v>110</v>
      </c>
      <c r="F469">
        <v>109</v>
      </c>
      <c r="G469">
        <v>114</v>
      </c>
      <c r="H469">
        <v>490</v>
      </c>
      <c r="I469" s="1">
        <v>2336</v>
      </c>
      <c r="J469" s="1">
        <v>1503</v>
      </c>
      <c r="K469">
        <v>513</v>
      </c>
      <c r="L469">
        <v>407</v>
      </c>
      <c r="M469">
        <v>323</v>
      </c>
      <c r="N469">
        <v>262</v>
      </c>
      <c r="O469">
        <v>213</v>
      </c>
      <c r="P469">
        <v>170</v>
      </c>
      <c r="Q469">
        <v>105</v>
      </c>
      <c r="R469">
        <v>90</v>
      </c>
      <c r="S469">
        <v>23</v>
      </c>
      <c r="T469">
        <v>18</v>
      </c>
      <c r="U469" s="1">
        <v>12</v>
      </c>
    </row>
    <row r="470" spans="1:21" x14ac:dyDescent="0.3">
      <c r="A470" t="s">
        <v>143</v>
      </c>
      <c r="B470" t="s">
        <v>127</v>
      </c>
      <c r="C470" s="2" t="s">
        <v>21</v>
      </c>
      <c r="D470" s="1">
        <v>10639</v>
      </c>
      <c r="E470">
        <v>184</v>
      </c>
      <c r="F470">
        <v>295</v>
      </c>
      <c r="G470">
        <v>261</v>
      </c>
      <c r="H470">
        <v>608</v>
      </c>
      <c r="I470" s="1">
        <v>1957</v>
      </c>
      <c r="J470" s="1">
        <v>1770</v>
      </c>
      <c r="K470" s="1">
        <v>1004</v>
      </c>
      <c r="L470">
        <v>979</v>
      </c>
      <c r="M470">
        <v>786</v>
      </c>
      <c r="N470">
        <v>678</v>
      </c>
      <c r="O470">
        <v>643</v>
      </c>
      <c r="P470">
        <v>613</v>
      </c>
      <c r="Q470">
        <v>395</v>
      </c>
      <c r="R470">
        <v>231</v>
      </c>
      <c r="S470">
        <v>120</v>
      </c>
      <c r="T470">
        <v>53</v>
      </c>
      <c r="U470" s="1">
        <v>62</v>
      </c>
    </row>
    <row r="471" spans="1:21" x14ac:dyDescent="0.3">
      <c r="A471" t="s">
        <v>143</v>
      </c>
      <c r="B471" t="s">
        <v>127</v>
      </c>
      <c r="C471" s="2" t="s">
        <v>24</v>
      </c>
      <c r="D471" s="1">
        <v>4954</v>
      </c>
      <c r="E471">
        <v>96</v>
      </c>
      <c r="F471">
        <v>167</v>
      </c>
      <c r="G471">
        <v>134</v>
      </c>
      <c r="H471">
        <v>279</v>
      </c>
      <c r="I471">
        <v>731</v>
      </c>
      <c r="J471">
        <v>667</v>
      </c>
      <c r="K471">
        <v>485</v>
      </c>
      <c r="L471">
        <v>526</v>
      </c>
      <c r="M471">
        <v>420</v>
      </c>
      <c r="N471">
        <v>379</v>
      </c>
      <c r="O471">
        <v>326</v>
      </c>
      <c r="P471">
        <v>306</v>
      </c>
      <c r="Q471">
        <v>198</v>
      </c>
      <c r="R471">
        <v>111</v>
      </c>
      <c r="S471">
        <v>78</v>
      </c>
      <c r="T471">
        <v>27</v>
      </c>
      <c r="U471" s="1">
        <v>24</v>
      </c>
    </row>
    <row r="472" spans="1:21" x14ac:dyDescent="0.3">
      <c r="A472" t="s">
        <v>143</v>
      </c>
      <c r="B472" t="s">
        <v>127</v>
      </c>
      <c r="C472" s="2" t="s">
        <v>25</v>
      </c>
      <c r="D472" s="1">
        <v>5685</v>
      </c>
      <c r="E472">
        <v>88</v>
      </c>
      <c r="F472">
        <v>128</v>
      </c>
      <c r="G472">
        <v>127</v>
      </c>
      <c r="H472">
        <v>329</v>
      </c>
      <c r="I472" s="1">
        <v>1226</v>
      </c>
      <c r="J472" s="1">
        <v>1103</v>
      </c>
      <c r="K472">
        <v>519</v>
      </c>
      <c r="L472">
        <v>453</v>
      </c>
      <c r="M472">
        <v>366</v>
      </c>
      <c r="N472">
        <v>299</v>
      </c>
      <c r="O472">
        <v>317</v>
      </c>
      <c r="P472">
        <v>307</v>
      </c>
      <c r="Q472">
        <v>197</v>
      </c>
      <c r="R472">
        <v>120</v>
      </c>
      <c r="S472">
        <v>42</v>
      </c>
      <c r="T472">
        <v>26</v>
      </c>
      <c r="U472" s="1">
        <v>38</v>
      </c>
    </row>
    <row r="473" spans="1:21" x14ac:dyDescent="0.3">
      <c r="A473" t="s">
        <v>143</v>
      </c>
      <c r="B473" t="s">
        <v>166</v>
      </c>
      <c r="C473" s="2" t="s">
        <v>21</v>
      </c>
      <c r="D473" s="1">
        <v>6848</v>
      </c>
      <c r="E473">
        <v>209</v>
      </c>
      <c r="F473">
        <v>189</v>
      </c>
      <c r="G473">
        <v>159</v>
      </c>
      <c r="H473">
        <v>399</v>
      </c>
      <c r="I473" s="1">
        <v>1367</v>
      </c>
      <c r="J473" s="1">
        <v>1059</v>
      </c>
      <c r="K473">
        <v>751</v>
      </c>
      <c r="L473">
        <v>683</v>
      </c>
      <c r="M473">
        <v>447</v>
      </c>
      <c r="N473">
        <v>380</v>
      </c>
      <c r="O473">
        <v>354</v>
      </c>
      <c r="P473">
        <v>398</v>
      </c>
      <c r="Q473">
        <v>253</v>
      </c>
      <c r="R473">
        <v>125</v>
      </c>
      <c r="S473">
        <v>46</v>
      </c>
      <c r="T473">
        <v>21</v>
      </c>
      <c r="U473" s="1">
        <v>8</v>
      </c>
    </row>
    <row r="474" spans="1:21" x14ac:dyDescent="0.3">
      <c r="A474" t="s">
        <v>143</v>
      </c>
      <c r="B474" t="s">
        <v>166</v>
      </c>
      <c r="C474" s="2" t="s">
        <v>24</v>
      </c>
      <c r="D474" s="1">
        <v>2884</v>
      </c>
      <c r="E474">
        <v>109</v>
      </c>
      <c r="F474">
        <v>91</v>
      </c>
      <c r="G474">
        <v>89</v>
      </c>
      <c r="H474">
        <v>212</v>
      </c>
      <c r="I474">
        <v>627</v>
      </c>
      <c r="J474">
        <v>393</v>
      </c>
      <c r="K474">
        <v>292</v>
      </c>
      <c r="L474">
        <v>279</v>
      </c>
      <c r="M474">
        <v>182</v>
      </c>
      <c r="N474">
        <v>144</v>
      </c>
      <c r="O474">
        <v>141</v>
      </c>
      <c r="P474">
        <v>140</v>
      </c>
      <c r="Q474">
        <v>101</v>
      </c>
      <c r="R474">
        <v>44</v>
      </c>
      <c r="S474">
        <v>22</v>
      </c>
      <c r="T474">
        <v>13</v>
      </c>
      <c r="U474" s="1">
        <v>5</v>
      </c>
    </row>
    <row r="475" spans="1:21" x14ac:dyDescent="0.3">
      <c r="A475" t="s">
        <v>143</v>
      </c>
      <c r="B475" t="s">
        <v>166</v>
      </c>
      <c r="C475" s="2" t="s">
        <v>25</v>
      </c>
      <c r="D475" s="1">
        <v>3964</v>
      </c>
      <c r="E475">
        <v>100</v>
      </c>
      <c r="F475">
        <v>98</v>
      </c>
      <c r="G475">
        <v>70</v>
      </c>
      <c r="H475">
        <v>187</v>
      </c>
      <c r="I475">
        <v>740</v>
      </c>
      <c r="J475">
        <v>666</v>
      </c>
      <c r="K475">
        <v>459</v>
      </c>
      <c r="L475">
        <v>404</v>
      </c>
      <c r="M475">
        <v>265</v>
      </c>
      <c r="N475">
        <v>236</v>
      </c>
      <c r="O475">
        <v>213</v>
      </c>
      <c r="P475">
        <v>258</v>
      </c>
      <c r="Q475">
        <v>152</v>
      </c>
      <c r="R475">
        <v>81</v>
      </c>
      <c r="S475">
        <v>24</v>
      </c>
      <c r="T475">
        <v>8</v>
      </c>
      <c r="U475" s="1">
        <v>3</v>
      </c>
    </row>
    <row r="476" spans="1:21" x14ac:dyDescent="0.3">
      <c r="A476" t="s">
        <v>167</v>
      </c>
      <c r="B476" t="s">
        <v>21</v>
      </c>
      <c r="C476" s="2" t="s">
        <v>21</v>
      </c>
      <c r="D476" s="1">
        <v>6571</v>
      </c>
      <c r="E476">
        <v>93</v>
      </c>
      <c r="F476">
        <v>113</v>
      </c>
      <c r="G476">
        <v>47</v>
      </c>
      <c r="H476">
        <v>208</v>
      </c>
      <c r="I476" s="1">
        <v>1090</v>
      </c>
      <c r="J476" s="1">
        <v>1353</v>
      </c>
      <c r="K476" s="1">
        <v>1205</v>
      </c>
      <c r="L476">
        <v>890</v>
      </c>
      <c r="M476">
        <v>549</v>
      </c>
      <c r="N476">
        <v>330</v>
      </c>
      <c r="O476">
        <v>272</v>
      </c>
      <c r="P476">
        <v>203</v>
      </c>
      <c r="Q476">
        <v>124</v>
      </c>
      <c r="R476">
        <v>53</v>
      </c>
      <c r="S476">
        <v>24</v>
      </c>
      <c r="T476">
        <v>16</v>
      </c>
      <c r="U476" s="1">
        <v>1</v>
      </c>
    </row>
    <row r="477" spans="1:21" x14ac:dyDescent="0.3">
      <c r="A477" t="s">
        <v>167</v>
      </c>
      <c r="B477" t="s">
        <v>21</v>
      </c>
      <c r="C477" s="2" t="s">
        <v>24</v>
      </c>
      <c r="D477" s="1">
        <v>4159</v>
      </c>
      <c r="E477">
        <v>51</v>
      </c>
      <c r="F477">
        <v>56</v>
      </c>
      <c r="G477">
        <v>26</v>
      </c>
      <c r="H477">
        <v>125</v>
      </c>
      <c r="I477">
        <v>678</v>
      </c>
      <c r="J477">
        <v>926</v>
      </c>
      <c r="K477">
        <v>852</v>
      </c>
      <c r="L477">
        <v>636</v>
      </c>
      <c r="M477">
        <v>318</v>
      </c>
      <c r="N477">
        <v>160</v>
      </c>
      <c r="O477">
        <v>137</v>
      </c>
      <c r="P477">
        <v>102</v>
      </c>
      <c r="Q477">
        <v>52</v>
      </c>
      <c r="R477">
        <v>21</v>
      </c>
      <c r="S477">
        <v>9</v>
      </c>
      <c r="T477">
        <v>10</v>
      </c>
      <c r="U477" s="1">
        <v>0</v>
      </c>
    </row>
    <row r="478" spans="1:21" x14ac:dyDescent="0.3">
      <c r="A478" t="s">
        <v>167</v>
      </c>
      <c r="B478" t="s">
        <v>21</v>
      </c>
      <c r="C478" s="2" t="s">
        <v>25</v>
      </c>
      <c r="D478" s="1">
        <v>2412</v>
      </c>
      <c r="E478">
        <v>42</v>
      </c>
      <c r="F478">
        <v>57</v>
      </c>
      <c r="G478">
        <v>21</v>
      </c>
      <c r="H478">
        <v>83</v>
      </c>
      <c r="I478">
        <v>412</v>
      </c>
      <c r="J478">
        <v>427</v>
      </c>
      <c r="K478">
        <v>353</v>
      </c>
      <c r="L478">
        <v>254</v>
      </c>
      <c r="M478">
        <v>231</v>
      </c>
      <c r="N478">
        <v>170</v>
      </c>
      <c r="O478">
        <v>135</v>
      </c>
      <c r="P478">
        <v>101</v>
      </c>
      <c r="Q478">
        <v>72</v>
      </c>
      <c r="R478">
        <v>32</v>
      </c>
      <c r="S478">
        <v>15</v>
      </c>
      <c r="T478">
        <v>6</v>
      </c>
      <c r="U478" s="1">
        <v>1</v>
      </c>
    </row>
    <row r="479" spans="1:21" x14ac:dyDescent="0.3">
      <c r="A479" t="s">
        <v>168</v>
      </c>
      <c r="B479" t="s">
        <v>21</v>
      </c>
      <c r="C479" s="2" t="s">
        <v>21</v>
      </c>
      <c r="D479" s="1">
        <v>30175</v>
      </c>
      <c r="E479">
        <v>530</v>
      </c>
      <c r="F479">
        <v>541</v>
      </c>
      <c r="G479">
        <v>365</v>
      </c>
      <c r="H479">
        <v>541</v>
      </c>
      <c r="I479" s="1">
        <v>3040</v>
      </c>
      <c r="J479" s="1">
        <v>4788</v>
      </c>
      <c r="K479" s="1">
        <v>5791</v>
      </c>
      <c r="L479" s="1">
        <v>5382</v>
      </c>
      <c r="M479" s="1">
        <v>3436</v>
      </c>
      <c r="N479" s="1">
        <v>1743</v>
      </c>
      <c r="O479" s="1">
        <v>1406</v>
      </c>
      <c r="P479" s="1">
        <v>1320</v>
      </c>
      <c r="Q479">
        <v>794</v>
      </c>
      <c r="R479">
        <v>306</v>
      </c>
      <c r="S479">
        <v>113</v>
      </c>
      <c r="T479">
        <v>46</v>
      </c>
      <c r="U479" s="1">
        <v>33</v>
      </c>
    </row>
    <row r="480" spans="1:21" x14ac:dyDescent="0.3">
      <c r="A480" t="s">
        <v>168</v>
      </c>
      <c r="B480" t="s">
        <v>21</v>
      </c>
      <c r="C480" s="2" t="s">
        <v>24</v>
      </c>
      <c r="D480" s="1">
        <f>D483+D486+D489+D492+D495</f>
        <v>21164</v>
      </c>
      <c r="E480" s="1">
        <f t="shared" ref="E480:U480" si="18">E483+E486+E489+E492+E495</f>
        <v>244</v>
      </c>
      <c r="F480" s="1">
        <f t="shared" si="18"/>
        <v>280</v>
      </c>
      <c r="G480" s="1">
        <f t="shared" si="18"/>
        <v>195</v>
      </c>
      <c r="H480" s="1">
        <f t="shared" si="18"/>
        <v>307</v>
      </c>
      <c r="I480" s="1">
        <f t="shared" si="18"/>
        <v>2264</v>
      </c>
      <c r="J480" s="1">
        <f t="shared" si="18"/>
        <v>3634</v>
      </c>
      <c r="K480" s="1">
        <f t="shared" si="18"/>
        <v>4551</v>
      </c>
      <c r="L480" s="1">
        <f t="shared" si="18"/>
        <v>4058</v>
      </c>
      <c r="M480" s="1">
        <f t="shared" si="18"/>
        <v>2497</v>
      </c>
      <c r="N480" s="1">
        <f t="shared" si="18"/>
        <v>1052</v>
      </c>
      <c r="O480" s="1">
        <f t="shared" si="18"/>
        <v>737</v>
      </c>
      <c r="P480" s="1">
        <f t="shared" si="18"/>
        <v>674</v>
      </c>
      <c r="Q480" s="1">
        <f t="shared" si="18"/>
        <v>387</v>
      </c>
      <c r="R480" s="1">
        <f t="shared" si="18"/>
        <v>179</v>
      </c>
      <c r="S480" s="1">
        <f t="shared" si="18"/>
        <v>66</v>
      </c>
      <c r="T480" s="1">
        <f t="shared" si="18"/>
        <v>27</v>
      </c>
      <c r="U480" s="1">
        <f t="shared" si="18"/>
        <v>12</v>
      </c>
    </row>
    <row r="481" spans="1:21" x14ac:dyDescent="0.3">
      <c r="A481" t="s">
        <v>168</v>
      </c>
      <c r="B481" t="s">
        <v>21</v>
      </c>
      <c r="C481" s="2" t="s">
        <v>25</v>
      </c>
      <c r="D481" s="1">
        <f>D484+D487+D490+D493+D496</f>
        <v>9011</v>
      </c>
      <c r="E481" s="1">
        <f t="shared" ref="E481:U481" si="19">E484+E487+E490+E493+E496</f>
        <v>286</v>
      </c>
      <c r="F481" s="1">
        <f t="shared" si="19"/>
        <v>261</v>
      </c>
      <c r="G481" s="1">
        <f t="shared" si="19"/>
        <v>170</v>
      </c>
      <c r="H481" s="1">
        <f t="shared" si="19"/>
        <v>234</v>
      </c>
      <c r="I481" s="1">
        <f t="shared" si="19"/>
        <v>776</v>
      </c>
      <c r="J481" s="1">
        <f t="shared" si="19"/>
        <v>1154</v>
      </c>
      <c r="K481" s="1">
        <f t="shared" si="19"/>
        <v>1240</v>
      </c>
      <c r="L481" s="1">
        <f t="shared" si="19"/>
        <v>1324</v>
      </c>
      <c r="M481" s="1">
        <f t="shared" si="19"/>
        <v>939</v>
      </c>
      <c r="N481" s="1">
        <f t="shared" si="19"/>
        <v>691</v>
      </c>
      <c r="O481" s="1">
        <f t="shared" si="19"/>
        <v>669</v>
      </c>
      <c r="P481" s="1">
        <f t="shared" si="19"/>
        <v>646</v>
      </c>
      <c r="Q481" s="1">
        <f t="shared" si="19"/>
        <v>407</v>
      </c>
      <c r="R481" s="1">
        <f t="shared" si="19"/>
        <v>127</v>
      </c>
      <c r="S481" s="1">
        <f t="shared" si="19"/>
        <v>47</v>
      </c>
      <c r="T481" s="1">
        <f t="shared" si="19"/>
        <v>19</v>
      </c>
      <c r="U481" s="1">
        <f t="shared" si="19"/>
        <v>21</v>
      </c>
    </row>
    <row r="482" spans="1:21" x14ac:dyDescent="0.3">
      <c r="A482" t="s">
        <v>168</v>
      </c>
      <c r="B482" t="s">
        <v>118</v>
      </c>
      <c r="C482" s="2" t="s">
        <v>21</v>
      </c>
      <c r="D482" s="1">
        <v>4880</v>
      </c>
      <c r="E482">
        <v>86</v>
      </c>
      <c r="F482">
        <v>94</v>
      </c>
      <c r="G482">
        <v>68</v>
      </c>
      <c r="H482">
        <v>201</v>
      </c>
      <c r="I482">
        <v>796</v>
      </c>
      <c r="J482">
        <v>726</v>
      </c>
      <c r="K482">
        <v>647</v>
      </c>
      <c r="L482">
        <v>606</v>
      </c>
      <c r="M482">
        <v>427</v>
      </c>
      <c r="N482">
        <v>307</v>
      </c>
      <c r="O482">
        <v>253</v>
      </c>
      <c r="P482">
        <v>311</v>
      </c>
      <c r="Q482">
        <v>203</v>
      </c>
      <c r="R482">
        <v>92</v>
      </c>
      <c r="S482">
        <v>39</v>
      </c>
      <c r="T482">
        <v>9</v>
      </c>
      <c r="U482" s="1">
        <v>15</v>
      </c>
    </row>
    <row r="483" spans="1:21" x14ac:dyDescent="0.3">
      <c r="A483" t="s">
        <v>168</v>
      </c>
      <c r="B483" t="s">
        <v>118</v>
      </c>
      <c r="C483" s="2" t="s">
        <v>24</v>
      </c>
      <c r="D483" s="1">
        <v>2584</v>
      </c>
      <c r="E483">
        <v>40</v>
      </c>
      <c r="F483">
        <v>46</v>
      </c>
      <c r="G483">
        <v>36</v>
      </c>
      <c r="H483">
        <v>115</v>
      </c>
      <c r="I483">
        <v>469</v>
      </c>
      <c r="J483">
        <v>399</v>
      </c>
      <c r="K483">
        <v>360</v>
      </c>
      <c r="L483">
        <v>308</v>
      </c>
      <c r="M483">
        <v>213</v>
      </c>
      <c r="N483">
        <v>145</v>
      </c>
      <c r="O483">
        <v>119</v>
      </c>
      <c r="P483">
        <v>154</v>
      </c>
      <c r="Q483">
        <v>95</v>
      </c>
      <c r="R483">
        <v>57</v>
      </c>
      <c r="S483">
        <v>20</v>
      </c>
      <c r="T483">
        <v>5</v>
      </c>
      <c r="U483" s="1">
        <v>3</v>
      </c>
    </row>
    <row r="484" spans="1:21" x14ac:dyDescent="0.3">
      <c r="A484" t="s">
        <v>168</v>
      </c>
      <c r="B484" t="s">
        <v>118</v>
      </c>
      <c r="C484" s="2" t="s">
        <v>25</v>
      </c>
      <c r="D484" s="1">
        <v>2296</v>
      </c>
      <c r="E484">
        <v>46</v>
      </c>
      <c r="F484">
        <v>48</v>
      </c>
      <c r="G484">
        <v>32</v>
      </c>
      <c r="H484">
        <v>86</v>
      </c>
      <c r="I484">
        <v>327</v>
      </c>
      <c r="J484">
        <v>327</v>
      </c>
      <c r="K484">
        <v>287</v>
      </c>
      <c r="L484">
        <v>298</v>
      </c>
      <c r="M484">
        <v>214</v>
      </c>
      <c r="N484">
        <v>162</v>
      </c>
      <c r="O484">
        <v>134</v>
      </c>
      <c r="P484">
        <v>157</v>
      </c>
      <c r="Q484">
        <v>108</v>
      </c>
      <c r="R484">
        <v>35</v>
      </c>
      <c r="S484">
        <v>19</v>
      </c>
      <c r="T484">
        <v>4</v>
      </c>
      <c r="U484" s="1">
        <v>12</v>
      </c>
    </row>
    <row r="485" spans="1:21" x14ac:dyDescent="0.3">
      <c r="A485" t="s">
        <v>168</v>
      </c>
      <c r="B485" t="s">
        <v>119</v>
      </c>
      <c r="C485" s="2" t="s">
        <v>21</v>
      </c>
      <c r="D485" s="1">
        <v>11114</v>
      </c>
      <c r="E485">
        <v>226</v>
      </c>
      <c r="F485">
        <v>185</v>
      </c>
      <c r="G485">
        <v>119</v>
      </c>
      <c r="H485">
        <v>118</v>
      </c>
      <c r="I485">
        <v>882</v>
      </c>
      <c r="J485" s="1">
        <v>1975</v>
      </c>
      <c r="K485" s="1">
        <v>2465</v>
      </c>
      <c r="L485" s="1">
        <v>2295</v>
      </c>
      <c r="M485" s="1">
        <v>1449</v>
      </c>
      <c r="N485">
        <v>589</v>
      </c>
      <c r="O485">
        <v>364</v>
      </c>
      <c r="P485">
        <v>222</v>
      </c>
      <c r="Q485">
        <v>146</v>
      </c>
      <c r="R485">
        <v>52</v>
      </c>
      <c r="S485">
        <v>17</v>
      </c>
      <c r="T485">
        <v>8</v>
      </c>
      <c r="U485" s="1">
        <v>2</v>
      </c>
    </row>
    <row r="486" spans="1:21" x14ac:dyDescent="0.3">
      <c r="A486" t="s">
        <v>168</v>
      </c>
      <c r="B486" t="s">
        <v>119</v>
      </c>
      <c r="C486" s="2" t="s">
        <v>24</v>
      </c>
      <c r="D486" s="1">
        <v>9060</v>
      </c>
      <c r="E486">
        <v>108</v>
      </c>
      <c r="F486">
        <v>100</v>
      </c>
      <c r="G486">
        <v>64</v>
      </c>
      <c r="H486">
        <v>64</v>
      </c>
      <c r="I486">
        <v>735</v>
      </c>
      <c r="J486" s="1">
        <v>1689</v>
      </c>
      <c r="K486" s="1">
        <v>2138</v>
      </c>
      <c r="L486" s="1">
        <v>1987</v>
      </c>
      <c r="M486" s="1">
        <v>1247</v>
      </c>
      <c r="N486">
        <v>450</v>
      </c>
      <c r="O486">
        <v>222</v>
      </c>
      <c r="P486">
        <v>120</v>
      </c>
      <c r="Q486">
        <v>85</v>
      </c>
      <c r="R486">
        <v>30</v>
      </c>
      <c r="S486">
        <v>13</v>
      </c>
      <c r="T486">
        <v>7</v>
      </c>
      <c r="U486" s="1">
        <v>1</v>
      </c>
    </row>
    <row r="487" spans="1:21" x14ac:dyDescent="0.3">
      <c r="A487" t="s">
        <v>168</v>
      </c>
      <c r="B487" t="s">
        <v>119</v>
      </c>
      <c r="C487" s="2" t="s">
        <v>25</v>
      </c>
      <c r="D487" s="1">
        <v>2054</v>
      </c>
      <c r="E487">
        <v>118</v>
      </c>
      <c r="F487">
        <v>85</v>
      </c>
      <c r="G487">
        <v>55</v>
      </c>
      <c r="H487">
        <v>54</v>
      </c>
      <c r="I487">
        <v>147</v>
      </c>
      <c r="J487">
        <v>286</v>
      </c>
      <c r="K487">
        <v>327</v>
      </c>
      <c r="L487">
        <v>308</v>
      </c>
      <c r="M487">
        <v>202</v>
      </c>
      <c r="N487">
        <v>139</v>
      </c>
      <c r="O487">
        <v>142</v>
      </c>
      <c r="P487">
        <v>102</v>
      </c>
      <c r="Q487">
        <v>61</v>
      </c>
      <c r="R487">
        <v>22</v>
      </c>
      <c r="S487">
        <v>4</v>
      </c>
      <c r="T487">
        <v>1</v>
      </c>
      <c r="U487" s="1">
        <v>1</v>
      </c>
    </row>
    <row r="488" spans="1:21" x14ac:dyDescent="0.3">
      <c r="A488" t="s">
        <v>168</v>
      </c>
      <c r="B488" t="s">
        <v>120</v>
      </c>
      <c r="C488" s="2" t="s">
        <v>21</v>
      </c>
      <c r="D488" s="1">
        <v>2987</v>
      </c>
      <c r="E488">
        <v>38</v>
      </c>
      <c r="F488">
        <v>43</v>
      </c>
      <c r="G488">
        <v>33</v>
      </c>
      <c r="H488">
        <v>30</v>
      </c>
      <c r="I488">
        <v>254</v>
      </c>
      <c r="J488">
        <v>470</v>
      </c>
      <c r="K488">
        <v>624</v>
      </c>
      <c r="L488">
        <v>549</v>
      </c>
      <c r="M488">
        <v>352</v>
      </c>
      <c r="N488">
        <v>187</v>
      </c>
      <c r="O488">
        <v>157</v>
      </c>
      <c r="P488">
        <v>140</v>
      </c>
      <c r="Q488">
        <v>64</v>
      </c>
      <c r="R488">
        <v>30</v>
      </c>
      <c r="S488">
        <v>9</v>
      </c>
      <c r="T488">
        <v>5</v>
      </c>
      <c r="U488" s="1">
        <v>2</v>
      </c>
    </row>
    <row r="489" spans="1:21" x14ac:dyDescent="0.3">
      <c r="A489" t="s">
        <v>168</v>
      </c>
      <c r="B489" t="s">
        <v>120</v>
      </c>
      <c r="C489" s="2" t="s">
        <v>24</v>
      </c>
      <c r="D489" s="1">
        <v>1873</v>
      </c>
      <c r="E489">
        <v>13</v>
      </c>
      <c r="F489">
        <v>22</v>
      </c>
      <c r="G489">
        <v>14</v>
      </c>
      <c r="H489">
        <v>15</v>
      </c>
      <c r="I489">
        <v>185</v>
      </c>
      <c r="J489">
        <v>329</v>
      </c>
      <c r="K489">
        <v>444</v>
      </c>
      <c r="L489">
        <v>359</v>
      </c>
      <c r="M489">
        <v>200</v>
      </c>
      <c r="N489">
        <v>92</v>
      </c>
      <c r="O489">
        <v>71</v>
      </c>
      <c r="P489">
        <v>82</v>
      </c>
      <c r="Q489">
        <v>24</v>
      </c>
      <c r="R489">
        <v>15</v>
      </c>
      <c r="S489">
        <v>3</v>
      </c>
      <c r="T489">
        <v>3</v>
      </c>
      <c r="U489" s="1">
        <v>2</v>
      </c>
    </row>
    <row r="490" spans="1:21" x14ac:dyDescent="0.3">
      <c r="A490" t="s">
        <v>168</v>
      </c>
      <c r="B490" t="s">
        <v>120</v>
      </c>
      <c r="C490" s="2" t="s">
        <v>25</v>
      </c>
      <c r="D490" s="1">
        <v>1114</v>
      </c>
      <c r="E490">
        <v>25</v>
      </c>
      <c r="F490">
        <v>21</v>
      </c>
      <c r="G490">
        <v>19</v>
      </c>
      <c r="H490">
        <v>15</v>
      </c>
      <c r="I490">
        <v>69</v>
      </c>
      <c r="J490">
        <v>141</v>
      </c>
      <c r="K490">
        <v>180</v>
      </c>
      <c r="L490">
        <v>190</v>
      </c>
      <c r="M490">
        <v>152</v>
      </c>
      <c r="N490">
        <v>95</v>
      </c>
      <c r="O490">
        <v>86</v>
      </c>
      <c r="P490">
        <v>58</v>
      </c>
      <c r="Q490">
        <v>40</v>
      </c>
      <c r="R490">
        <v>15</v>
      </c>
      <c r="S490">
        <v>6</v>
      </c>
      <c r="T490">
        <v>2</v>
      </c>
      <c r="U490" s="1">
        <v>0</v>
      </c>
    </row>
    <row r="491" spans="1:21" x14ac:dyDescent="0.3">
      <c r="A491" t="s">
        <v>168</v>
      </c>
      <c r="B491" t="s">
        <v>169</v>
      </c>
      <c r="C491" s="2" t="s">
        <v>21</v>
      </c>
      <c r="D491" s="1">
        <v>9329</v>
      </c>
      <c r="E491">
        <v>156</v>
      </c>
      <c r="F491">
        <v>174</v>
      </c>
      <c r="G491">
        <v>101</v>
      </c>
      <c r="H491">
        <v>156</v>
      </c>
      <c r="I491">
        <v>988</v>
      </c>
      <c r="J491" s="1">
        <v>1427</v>
      </c>
      <c r="K491" s="1">
        <v>1823</v>
      </c>
      <c r="L491" s="1">
        <v>1653</v>
      </c>
      <c r="M491">
        <v>993</v>
      </c>
      <c r="N491">
        <v>488</v>
      </c>
      <c r="O491">
        <v>480</v>
      </c>
      <c r="P491">
        <v>479</v>
      </c>
      <c r="Q491">
        <v>278</v>
      </c>
      <c r="R491">
        <v>85</v>
      </c>
      <c r="S491">
        <v>25</v>
      </c>
      <c r="T491">
        <v>15</v>
      </c>
      <c r="U491" s="1">
        <v>8</v>
      </c>
    </row>
    <row r="492" spans="1:21" x14ac:dyDescent="0.3">
      <c r="A492" t="s">
        <v>168</v>
      </c>
      <c r="B492" t="s">
        <v>169</v>
      </c>
      <c r="C492" s="2" t="s">
        <v>24</v>
      </c>
      <c r="D492" s="1">
        <v>6814</v>
      </c>
      <c r="E492">
        <v>76</v>
      </c>
      <c r="F492">
        <v>89</v>
      </c>
      <c r="G492">
        <v>54</v>
      </c>
      <c r="H492">
        <v>96</v>
      </c>
      <c r="I492">
        <v>817</v>
      </c>
      <c r="J492" s="1">
        <v>1132</v>
      </c>
      <c r="K492" s="1">
        <v>1509</v>
      </c>
      <c r="L492" s="1">
        <v>1297</v>
      </c>
      <c r="M492">
        <v>749</v>
      </c>
      <c r="N492">
        <v>294</v>
      </c>
      <c r="O492">
        <v>251</v>
      </c>
      <c r="P492">
        <v>236</v>
      </c>
      <c r="Q492">
        <v>140</v>
      </c>
      <c r="R492">
        <v>49</v>
      </c>
      <c r="S492">
        <v>15</v>
      </c>
      <c r="T492">
        <v>7</v>
      </c>
      <c r="U492" s="1">
        <v>3</v>
      </c>
    </row>
    <row r="493" spans="1:21" x14ac:dyDescent="0.3">
      <c r="A493" t="s">
        <v>168</v>
      </c>
      <c r="B493" t="s">
        <v>169</v>
      </c>
      <c r="C493" s="2" t="s">
        <v>25</v>
      </c>
      <c r="D493" s="1">
        <v>2515</v>
      </c>
      <c r="E493">
        <v>80</v>
      </c>
      <c r="F493">
        <v>85</v>
      </c>
      <c r="G493">
        <v>47</v>
      </c>
      <c r="H493">
        <v>60</v>
      </c>
      <c r="I493">
        <v>171</v>
      </c>
      <c r="J493">
        <v>295</v>
      </c>
      <c r="K493">
        <v>314</v>
      </c>
      <c r="L493">
        <v>356</v>
      </c>
      <c r="M493">
        <v>244</v>
      </c>
      <c r="N493">
        <v>194</v>
      </c>
      <c r="O493">
        <v>229</v>
      </c>
      <c r="P493">
        <v>243</v>
      </c>
      <c r="Q493">
        <v>138</v>
      </c>
      <c r="R493">
        <v>36</v>
      </c>
      <c r="S493">
        <v>10</v>
      </c>
      <c r="T493">
        <v>8</v>
      </c>
      <c r="U493" s="1">
        <v>5</v>
      </c>
    </row>
    <row r="494" spans="1:21" x14ac:dyDescent="0.3">
      <c r="A494" t="s">
        <v>168</v>
      </c>
      <c r="B494" t="s">
        <v>127</v>
      </c>
      <c r="C494" s="2" t="s">
        <v>21</v>
      </c>
      <c r="D494" s="1">
        <v>1865</v>
      </c>
      <c r="E494">
        <v>24</v>
      </c>
      <c r="F494">
        <v>45</v>
      </c>
      <c r="G494">
        <v>44</v>
      </c>
      <c r="H494">
        <v>36</v>
      </c>
      <c r="I494">
        <v>120</v>
      </c>
      <c r="J494">
        <v>190</v>
      </c>
      <c r="K494">
        <v>232</v>
      </c>
      <c r="L494">
        <v>279</v>
      </c>
      <c r="M494">
        <v>215</v>
      </c>
      <c r="N494">
        <v>172</v>
      </c>
      <c r="O494">
        <v>152</v>
      </c>
      <c r="P494">
        <v>168</v>
      </c>
      <c r="Q494">
        <v>103</v>
      </c>
      <c r="R494">
        <v>47</v>
      </c>
      <c r="S494">
        <v>23</v>
      </c>
      <c r="T494">
        <v>9</v>
      </c>
      <c r="U494" s="1">
        <v>6</v>
      </c>
    </row>
    <row r="495" spans="1:21" x14ac:dyDescent="0.3">
      <c r="A495" t="s">
        <v>168</v>
      </c>
      <c r="B495" t="s">
        <v>127</v>
      </c>
      <c r="C495" s="2" t="s">
        <v>24</v>
      </c>
      <c r="D495">
        <v>833</v>
      </c>
      <c r="E495">
        <v>7</v>
      </c>
      <c r="F495">
        <v>23</v>
      </c>
      <c r="G495">
        <v>27</v>
      </c>
      <c r="H495">
        <v>17</v>
      </c>
      <c r="I495">
        <v>58</v>
      </c>
      <c r="J495">
        <v>85</v>
      </c>
      <c r="K495">
        <v>100</v>
      </c>
      <c r="L495">
        <v>107</v>
      </c>
      <c r="M495">
        <v>88</v>
      </c>
      <c r="N495">
        <v>71</v>
      </c>
      <c r="O495">
        <v>74</v>
      </c>
      <c r="P495">
        <v>82</v>
      </c>
      <c r="Q495">
        <v>43</v>
      </c>
      <c r="R495">
        <v>28</v>
      </c>
      <c r="S495">
        <v>15</v>
      </c>
      <c r="T495">
        <v>5</v>
      </c>
      <c r="U495" s="1">
        <v>3</v>
      </c>
    </row>
    <row r="496" spans="1:21" x14ac:dyDescent="0.3">
      <c r="A496" t="s">
        <v>168</v>
      </c>
      <c r="B496" t="s">
        <v>127</v>
      </c>
      <c r="C496" s="2" t="s">
        <v>25</v>
      </c>
      <c r="D496" s="1">
        <v>1032</v>
      </c>
      <c r="E496">
        <v>17</v>
      </c>
      <c r="F496">
        <v>22</v>
      </c>
      <c r="G496">
        <v>17</v>
      </c>
      <c r="H496">
        <v>19</v>
      </c>
      <c r="I496">
        <v>62</v>
      </c>
      <c r="J496">
        <v>105</v>
      </c>
      <c r="K496">
        <v>132</v>
      </c>
      <c r="L496">
        <v>172</v>
      </c>
      <c r="M496">
        <v>127</v>
      </c>
      <c r="N496">
        <v>101</v>
      </c>
      <c r="O496">
        <v>78</v>
      </c>
      <c r="P496">
        <v>86</v>
      </c>
      <c r="Q496">
        <v>60</v>
      </c>
      <c r="R496">
        <v>19</v>
      </c>
      <c r="S496">
        <v>8</v>
      </c>
      <c r="T496">
        <v>4</v>
      </c>
      <c r="U496" s="1">
        <v>3</v>
      </c>
    </row>
    <row r="497" spans="1:21" x14ac:dyDescent="0.3">
      <c r="A497" t="s">
        <v>170</v>
      </c>
      <c r="B497" t="s">
        <v>21</v>
      </c>
      <c r="C497" s="2" t="s">
        <v>21</v>
      </c>
      <c r="D497" s="1">
        <v>95046</v>
      </c>
      <c r="E497" s="1">
        <v>3908</v>
      </c>
      <c r="F497" s="1">
        <v>4190</v>
      </c>
      <c r="G497" s="1">
        <v>2554</v>
      </c>
      <c r="H497" s="1">
        <v>3184</v>
      </c>
      <c r="I497" s="1">
        <v>8748</v>
      </c>
      <c r="J497" s="1">
        <v>11710</v>
      </c>
      <c r="K497" s="1">
        <v>12135</v>
      </c>
      <c r="L497" s="1">
        <v>13767</v>
      </c>
      <c r="M497" s="1">
        <v>10370</v>
      </c>
      <c r="N497" s="1">
        <v>6470</v>
      </c>
      <c r="O497" s="1">
        <v>5407</v>
      </c>
      <c r="P497" s="1">
        <v>5381</v>
      </c>
      <c r="Q497" s="1">
        <v>3820</v>
      </c>
      <c r="R497" s="1">
        <v>2110</v>
      </c>
      <c r="S497">
        <v>793</v>
      </c>
      <c r="T497">
        <v>303</v>
      </c>
      <c r="U497" s="1">
        <v>196</v>
      </c>
    </row>
    <row r="498" spans="1:21" x14ac:dyDescent="0.3">
      <c r="A498" t="s">
        <v>170</v>
      </c>
      <c r="B498" t="s">
        <v>21</v>
      </c>
      <c r="C498" s="2" t="s">
        <v>24</v>
      </c>
      <c r="D498" s="1">
        <f>D501+D504+D507+D510+D513+D516+D519+D522+D525+D528</f>
        <v>53549</v>
      </c>
      <c r="E498" s="1">
        <f t="shared" ref="E498:U498" si="20">E501+E504+E507+E510+E513+E516+E519+E522+E525+E528</f>
        <v>2012</v>
      </c>
      <c r="F498" s="1">
        <f t="shared" si="20"/>
        <v>2103</v>
      </c>
      <c r="G498" s="1">
        <f t="shared" si="20"/>
        <v>1285</v>
      </c>
      <c r="H498" s="1">
        <f t="shared" si="20"/>
        <v>1599</v>
      </c>
      <c r="I498" s="1">
        <f t="shared" si="20"/>
        <v>4974</v>
      </c>
      <c r="J498" s="1">
        <f t="shared" si="20"/>
        <v>7225</v>
      </c>
      <c r="K498" s="1">
        <f t="shared" si="20"/>
        <v>7602</v>
      </c>
      <c r="L498" s="1">
        <f t="shared" si="20"/>
        <v>8223</v>
      </c>
      <c r="M498" s="1">
        <f t="shared" si="20"/>
        <v>5982</v>
      </c>
      <c r="N498" s="1">
        <f t="shared" si="20"/>
        <v>3427</v>
      </c>
      <c r="O498" s="1">
        <f t="shared" si="20"/>
        <v>2733</v>
      </c>
      <c r="P498" s="1">
        <f t="shared" si="20"/>
        <v>2605</v>
      </c>
      <c r="Q498" s="1">
        <f t="shared" si="20"/>
        <v>1893</v>
      </c>
      <c r="R498" s="1">
        <f t="shared" si="20"/>
        <v>1162</v>
      </c>
      <c r="S498" s="1">
        <f t="shared" si="20"/>
        <v>440</v>
      </c>
      <c r="T498" s="1">
        <f t="shared" si="20"/>
        <v>183</v>
      </c>
      <c r="U498" s="1">
        <f t="shared" si="20"/>
        <v>101</v>
      </c>
    </row>
    <row r="499" spans="1:21" x14ac:dyDescent="0.3">
      <c r="A499" t="s">
        <v>170</v>
      </c>
      <c r="B499" t="s">
        <v>21</v>
      </c>
      <c r="C499" s="2" t="s">
        <v>25</v>
      </c>
      <c r="D499" s="1">
        <f>D502+D505+D508+D511+D514+D517+D520+D523+D526+D529</f>
        <v>41497</v>
      </c>
      <c r="E499" s="1">
        <f t="shared" ref="E499:U499" si="21">E502+E505+E508+E511+E514+E517+E520+E523+E526+E529</f>
        <v>1896</v>
      </c>
      <c r="F499" s="1">
        <f t="shared" si="21"/>
        <v>2087</v>
      </c>
      <c r="G499" s="1">
        <f t="shared" si="21"/>
        <v>1269</v>
      </c>
      <c r="H499" s="1">
        <f t="shared" si="21"/>
        <v>1585</v>
      </c>
      <c r="I499" s="1">
        <f t="shared" si="21"/>
        <v>3774</v>
      </c>
      <c r="J499" s="1">
        <f t="shared" si="21"/>
        <v>4485</v>
      </c>
      <c r="K499" s="1">
        <f t="shared" si="21"/>
        <v>4533</v>
      </c>
      <c r="L499" s="1">
        <f t="shared" si="21"/>
        <v>5544</v>
      </c>
      <c r="M499" s="1">
        <f t="shared" si="21"/>
        <v>4388</v>
      </c>
      <c r="N499" s="1">
        <f t="shared" si="21"/>
        <v>3043</v>
      </c>
      <c r="O499" s="1">
        <f t="shared" si="21"/>
        <v>2674</v>
      </c>
      <c r="P499" s="1">
        <f t="shared" si="21"/>
        <v>2776</v>
      </c>
      <c r="Q499" s="1">
        <f t="shared" si="21"/>
        <v>1927</v>
      </c>
      <c r="R499" s="1">
        <f t="shared" si="21"/>
        <v>948</v>
      </c>
      <c r="S499" s="1">
        <f t="shared" si="21"/>
        <v>353</v>
      </c>
      <c r="T499" s="1">
        <f t="shared" si="21"/>
        <v>120</v>
      </c>
      <c r="U499" s="1">
        <f t="shared" si="21"/>
        <v>95</v>
      </c>
    </row>
    <row r="500" spans="1:21" x14ac:dyDescent="0.3">
      <c r="A500" t="s">
        <v>170</v>
      </c>
      <c r="B500" t="s">
        <v>171</v>
      </c>
      <c r="C500" s="2" t="s">
        <v>21</v>
      </c>
      <c r="D500" s="1">
        <v>1275</v>
      </c>
      <c r="E500">
        <v>9</v>
      </c>
      <c r="F500">
        <v>10</v>
      </c>
      <c r="G500">
        <v>8</v>
      </c>
      <c r="H500">
        <v>18</v>
      </c>
      <c r="I500">
        <v>148</v>
      </c>
      <c r="J500">
        <v>308</v>
      </c>
      <c r="K500">
        <v>278</v>
      </c>
      <c r="L500">
        <v>219</v>
      </c>
      <c r="M500">
        <v>96</v>
      </c>
      <c r="N500">
        <v>43</v>
      </c>
      <c r="O500">
        <v>41</v>
      </c>
      <c r="P500">
        <v>48</v>
      </c>
      <c r="Q500">
        <v>27</v>
      </c>
      <c r="R500">
        <v>12</v>
      </c>
      <c r="S500">
        <v>4</v>
      </c>
      <c r="T500">
        <v>5</v>
      </c>
      <c r="U500" s="1">
        <v>1</v>
      </c>
    </row>
    <row r="501" spans="1:21" x14ac:dyDescent="0.3">
      <c r="A501" t="s">
        <v>170</v>
      </c>
      <c r="B501" t="s">
        <v>171</v>
      </c>
      <c r="C501" s="2" t="s">
        <v>24</v>
      </c>
      <c r="D501">
        <v>899</v>
      </c>
      <c r="E501">
        <v>8</v>
      </c>
      <c r="F501">
        <v>4</v>
      </c>
      <c r="G501">
        <v>5</v>
      </c>
      <c r="H501">
        <v>9</v>
      </c>
      <c r="I501">
        <v>102</v>
      </c>
      <c r="J501">
        <v>246</v>
      </c>
      <c r="K501">
        <v>216</v>
      </c>
      <c r="L501">
        <v>169</v>
      </c>
      <c r="M501">
        <v>62</v>
      </c>
      <c r="N501">
        <v>22</v>
      </c>
      <c r="O501">
        <v>16</v>
      </c>
      <c r="P501">
        <v>19</v>
      </c>
      <c r="Q501">
        <v>10</v>
      </c>
      <c r="R501">
        <v>3</v>
      </c>
      <c r="S501">
        <v>3</v>
      </c>
      <c r="T501">
        <v>4</v>
      </c>
      <c r="U501" s="1">
        <v>1</v>
      </c>
    </row>
    <row r="502" spans="1:21" x14ac:dyDescent="0.3">
      <c r="A502" t="s">
        <v>170</v>
      </c>
      <c r="B502" t="s">
        <v>171</v>
      </c>
      <c r="C502" s="2" t="s">
        <v>25</v>
      </c>
      <c r="D502">
        <v>376</v>
      </c>
      <c r="E502">
        <v>1</v>
      </c>
      <c r="F502">
        <v>6</v>
      </c>
      <c r="G502">
        <v>3</v>
      </c>
      <c r="H502">
        <v>9</v>
      </c>
      <c r="I502">
        <v>46</v>
      </c>
      <c r="J502">
        <v>62</v>
      </c>
      <c r="K502">
        <v>62</v>
      </c>
      <c r="L502">
        <v>50</v>
      </c>
      <c r="M502">
        <v>34</v>
      </c>
      <c r="N502">
        <v>21</v>
      </c>
      <c r="O502">
        <v>25</v>
      </c>
      <c r="P502">
        <v>29</v>
      </c>
      <c r="Q502">
        <v>17</v>
      </c>
      <c r="R502">
        <v>9</v>
      </c>
      <c r="S502">
        <v>1</v>
      </c>
      <c r="T502">
        <v>1</v>
      </c>
      <c r="U502" s="1">
        <v>0</v>
      </c>
    </row>
    <row r="503" spans="1:21" x14ac:dyDescent="0.3">
      <c r="A503" t="s">
        <v>170</v>
      </c>
      <c r="B503" t="s">
        <v>172</v>
      </c>
      <c r="C503" s="2" t="s">
        <v>21</v>
      </c>
      <c r="D503" s="1">
        <v>3928</v>
      </c>
      <c r="E503">
        <v>85</v>
      </c>
      <c r="F503">
        <v>111</v>
      </c>
      <c r="G503">
        <v>62</v>
      </c>
      <c r="H503">
        <v>138</v>
      </c>
      <c r="I503">
        <v>408</v>
      </c>
      <c r="J503">
        <v>501</v>
      </c>
      <c r="K503">
        <v>494</v>
      </c>
      <c r="L503">
        <v>550</v>
      </c>
      <c r="M503">
        <v>418</v>
      </c>
      <c r="N503">
        <v>253</v>
      </c>
      <c r="O503">
        <v>298</v>
      </c>
      <c r="P503">
        <v>261</v>
      </c>
      <c r="Q503">
        <v>188</v>
      </c>
      <c r="R503">
        <v>104</v>
      </c>
      <c r="S503">
        <v>37</v>
      </c>
      <c r="T503">
        <v>15</v>
      </c>
      <c r="U503" s="1">
        <v>5</v>
      </c>
    </row>
    <row r="504" spans="1:21" x14ac:dyDescent="0.3">
      <c r="A504" t="s">
        <v>170</v>
      </c>
      <c r="B504" t="s">
        <v>172</v>
      </c>
      <c r="C504" s="2" t="s">
        <v>24</v>
      </c>
      <c r="D504" s="1">
        <v>1747</v>
      </c>
      <c r="E504">
        <v>44</v>
      </c>
      <c r="F504">
        <v>60</v>
      </c>
      <c r="G504">
        <v>27</v>
      </c>
      <c r="H504">
        <v>37</v>
      </c>
      <c r="I504">
        <v>130</v>
      </c>
      <c r="J504">
        <v>235</v>
      </c>
      <c r="K504">
        <v>255</v>
      </c>
      <c r="L504">
        <v>294</v>
      </c>
      <c r="M504">
        <v>193</v>
      </c>
      <c r="N504">
        <v>97</v>
      </c>
      <c r="O504">
        <v>116</v>
      </c>
      <c r="P504">
        <v>108</v>
      </c>
      <c r="Q504">
        <v>76</v>
      </c>
      <c r="R504">
        <v>47</v>
      </c>
      <c r="S504">
        <v>22</v>
      </c>
      <c r="T504">
        <v>6</v>
      </c>
      <c r="U504" s="1">
        <v>0</v>
      </c>
    </row>
    <row r="505" spans="1:21" x14ac:dyDescent="0.3">
      <c r="A505" t="s">
        <v>170</v>
      </c>
      <c r="B505" t="s">
        <v>172</v>
      </c>
      <c r="C505" s="2" t="s">
        <v>25</v>
      </c>
      <c r="D505" s="1">
        <v>2181</v>
      </c>
      <c r="E505">
        <v>41</v>
      </c>
      <c r="F505">
        <v>51</v>
      </c>
      <c r="G505">
        <v>35</v>
      </c>
      <c r="H505">
        <v>101</v>
      </c>
      <c r="I505">
        <v>278</v>
      </c>
      <c r="J505">
        <v>266</v>
      </c>
      <c r="K505">
        <v>239</v>
      </c>
      <c r="L505">
        <v>256</v>
      </c>
      <c r="M505">
        <v>225</v>
      </c>
      <c r="N505">
        <v>156</v>
      </c>
      <c r="O505">
        <v>182</v>
      </c>
      <c r="P505">
        <v>153</v>
      </c>
      <c r="Q505">
        <v>112</v>
      </c>
      <c r="R505">
        <v>57</v>
      </c>
      <c r="S505">
        <v>15</v>
      </c>
      <c r="T505">
        <v>9</v>
      </c>
      <c r="U505" s="1">
        <v>5</v>
      </c>
    </row>
    <row r="506" spans="1:21" x14ac:dyDescent="0.3">
      <c r="A506" t="s">
        <v>170</v>
      </c>
      <c r="B506" t="s">
        <v>173</v>
      </c>
      <c r="C506" s="2" t="s">
        <v>21</v>
      </c>
      <c r="D506" s="1">
        <v>13897</v>
      </c>
      <c r="E506">
        <v>424</v>
      </c>
      <c r="F506">
        <v>421</v>
      </c>
      <c r="G506">
        <v>248</v>
      </c>
      <c r="H506">
        <v>211</v>
      </c>
      <c r="I506" s="1">
        <v>1001</v>
      </c>
      <c r="J506" s="1">
        <v>2092</v>
      </c>
      <c r="K506" s="1">
        <v>2243</v>
      </c>
      <c r="L506" s="1">
        <v>2225</v>
      </c>
      <c r="M506" s="1">
        <v>1629</v>
      </c>
      <c r="N506">
        <v>935</v>
      </c>
      <c r="O506">
        <v>776</v>
      </c>
      <c r="P506">
        <v>794</v>
      </c>
      <c r="Q506">
        <v>526</v>
      </c>
      <c r="R506">
        <v>262</v>
      </c>
      <c r="S506">
        <v>71</v>
      </c>
      <c r="T506">
        <v>27</v>
      </c>
      <c r="U506" s="1">
        <v>12</v>
      </c>
    </row>
    <row r="507" spans="1:21" x14ac:dyDescent="0.3">
      <c r="A507" t="s">
        <v>170</v>
      </c>
      <c r="B507" t="s">
        <v>173</v>
      </c>
      <c r="C507" s="2" t="s">
        <v>24</v>
      </c>
      <c r="D507" s="1">
        <v>8832</v>
      </c>
      <c r="E507">
        <v>212</v>
      </c>
      <c r="F507">
        <v>221</v>
      </c>
      <c r="G507">
        <v>130</v>
      </c>
      <c r="H507">
        <v>112</v>
      </c>
      <c r="I507">
        <v>695</v>
      </c>
      <c r="J507" s="1">
        <v>1492</v>
      </c>
      <c r="K507" s="1">
        <v>1642</v>
      </c>
      <c r="L507" s="1">
        <v>1499</v>
      </c>
      <c r="M507" s="1">
        <v>1015</v>
      </c>
      <c r="N507">
        <v>534</v>
      </c>
      <c r="O507">
        <v>419</v>
      </c>
      <c r="P507">
        <v>397</v>
      </c>
      <c r="Q507">
        <v>261</v>
      </c>
      <c r="R507">
        <v>148</v>
      </c>
      <c r="S507">
        <v>36</v>
      </c>
      <c r="T507">
        <v>14</v>
      </c>
      <c r="U507" s="1">
        <v>5</v>
      </c>
    </row>
    <row r="508" spans="1:21" x14ac:dyDescent="0.3">
      <c r="A508" t="s">
        <v>170</v>
      </c>
      <c r="B508" t="s">
        <v>173</v>
      </c>
      <c r="C508" s="2" t="s">
        <v>25</v>
      </c>
      <c r="D508" s="1">
        <v>5065</v>
      </c>
      <c r="E508">
        <v>212</v>
      </c>
      <c r="F508">
        <v>200</v>
      </c>
      <c r="G508">
        <v>118</v>
      </c>
      <c r="H508">
        <v>99</v>
      </c>
      <c r="I508">
        <v>306</v>
      </c>
      <c r="J508">
        <v>600</v>
      </c>
      <c r="K508">
        <v>601</v>
      </c>
      <c r="L508">
        <v>726</v>
      </c>
      <c r="M508">
        <v>614</v>
      </c>
      <c r="N508">
        <v>401</v>
      </c>
      <c r="O508">
        <v>357</v>
      </c>
      <c r="P508">
        <v>397</v>
      </c>
      <c r="Q508">
        <v>265</v>
      </c>
      <c r="R508">
        <v>114</v>
      </c>
      <c r="S508">
        <v>35</v>
      </c>
      <c r="T508">
        <v>13</v>
      </c>
      <c r="U508" s="1">
        <v>7</v>
      </c>
    </row>
    <row r="509" spans="1:21" x14ac:dyDescent="0.3">
      <c r="A509" t="s">
        <v>170</v>
      </c>
      <c r="B509" t="s">
        <v>119</v>
      </c>
      <c r="C509" s="2" t="s">
        <v>21</v>
      </c>
      <c r="D509" s="1">
        <v>1045</v>
      </c>
      <c r="E509">
        <v>31</v>
      </c>
      <c r="F509">
        <v>35</v>
      </c>
      <c r="G509">
        <v>26</v>
      </c>
      <c r="H509">
        <v>16</v>
      </c>
      <c r="I509">
        <v>78</v>
      </c>
      <c r="J509">
        <v>104</v>
      </c>
      <c r="K509">
        <v>146</v>
      </c>
      <c r="L509">
        <v>157</v>
      </c>
      <c r="M509">
        <v>126</v>
      </c>
      <c r="N509">
        <v>91</v>
      </c>
      <c r="O509">
        <v>73</v>
      </c>
      <c r="P509">
        <v>73</v>
      </c>
      <c r="Q509">
        <v>47</v>
      </c>
      <c r="R509">
        <v>22</v>
      </c>
      <c r="S509">
        <v>13</v>
      </c>
      <c r="T509">
        <v>4</v>
      </c>
      <c r="U509" s="1">
        <v>3</v>
      </c>
    </row>
    <row r="510" spans="1:21" x14ac:dyDescent="0.3">
      <c r="A510" t="s">
        <v>170</v>
      </c>
      <c r="B510" t="s">
        <v>119</v>
      </c>
      <c r="C510" s="2" t="s">
        <v>24</v>
      </c>
      <c r="D510">
        <v>585</v>
      </c>
      <c r="E510">
        <v>13</v>
      </c>
      <c r="F510">
        <v>12</v>
      </c>
      <c r="G510">
        <v>12</v>
      </c>
      <c r="H510">
        <v>8</v>
      </c>
      <c r="I510">
        <v>50</v>
      </c>
      <c r="J510">
        <v>75</v>
      </c>
      <c r="K510">
        <v>105</v>
      </c>
      <c r="L510">
        <v>96</v>
      </c>
      <c r="M510">
        <v>72</v>
      </c>
      <c r="N510">
        <v>44</v>
      </c>
      <c r="O510">
        <v>30</v>
      </c>
      <c r="P510">
        <v>30</v>
      </c>
      <c r="Q510">
        <v>19</v>
      </c>
      <c r="R510">
        <v>8</v>
      </c>
      <c r="S510">
        <v>7</v>
      </c>
      <c r="T510">
        <v>2</v>
      </c>
      <c r="U510" s="1">
        <v>2</v>
      </c>
    </row>
    <row r="511" spans="1:21" x14ac:dyDescent="0.3">
      <c r="A511" t="s">
        <v>170</v>
      </c>
      <c r="B511" t="s">
        <v>119</v>
      </c>
      <c r="C511" s="2" t="s">
        <v>25</v>
      </c>
      <c r="D511">
        <v>460</v>
      </c>
      <c r="E511">
        <v>18</v>
      </c>
      <c r="F511">
        <v>23</v>
      </c>
      <c r="G511">
        <v>14</v>
      </c>
      <c r="H511">
        <v>8</v>
      </c>
      <c r="I511">
        <v>28</v>
      </c>
      <c r="J511">
        <v>29</v>
      </c>
      <c r="K511">
        <v>41</v>
      </c>
      <c r="L511">
        <v>61</v>
      </c>
      <c r="M511">
        <v>54</v>
      </c>
      <c r="N511">
        <v>47</v>
      </c>
      <c r="O511">
        <v>43</v>
      </c>
      <c r="P511">
        <v>43</v>
      </c>
      <c r="Q511">
        <v>28</v>
      </c>
      <c r="R511">
        <v>14</v>
      </c>
      <c r="S511">
        <v>6</v>
      </c>
      <c r="T511">
        <v>2</v>
      </c>
      <c r="U511" s="1">
        <v>1</v>
      </c>
    </row>
    <row r="512" spans="1:21" x14ac:dyDescent="0.3">
      <c r="A512" t="s">
        <v>170</v>
      </c>
      <c r="B512" t="s">
        <v>174</v>
      </c>
      <c r="C512" s="2" t="s">
        <v>21</v>
      </c>
      <c r="D512" s="1">
        <v>14794</v>
      </c>
      <c r="E512">
        <v>644</v>
      </c>
      <c r="F512">
        <v>634</v>
      </c>
      <c r="G512">
        <v>332</v>
      </c>
      <c r="H512">
        <v>724</v>
      </c>
      <c r="I512" s="1">
        <v>2742</v>
      </c>
      <c r="J512" s="1">
        <v>1928</v>
      </c>
      <c r="K512" s="1">
        <v>1404</v>
      </c>
      <c r="L512" s="1">
        <v>1700</v>
      </c>
      <c r="M512" s="1">
        <v>1343</v>
      </c>
      <c r="N512">
        <v>813</v>
      </c>
      <c r="O512">
        <v>714</v>
      </c>
      <c r="P512">
        <v>721</v>
      </c>
      <c r="Q512">
        <v>569</v>
      </c>
      <c r="R512">
        <v>298</v>
      </c>
      <c r="S512">
        <v>125</v>
      </c>
      <c r="T512">
        <v>59</v>
      </c>
      <c r="U512" s="1">
        <v>44</v>
      </c>
    </row>
    <row r="513" spans="1:21" x14ac:dyDescent="0.3">
      <c r="A513" t="s">
        <v>170</v>
      </c>
      <c r="B513" t="s">
        <v>174</v>
      </c>
      <c r="C513" s="2" t="s">
        <v>24</v>
      </c>
      <c r="D513" s="1">
        <v>7534</v>
      </c>
      <c r="E513">
        <v>320</v>
      </c>
      <c r="F513">
        <v>331</v>
      </c>
      <c r="G513">
        <v>163</v>
      </c>
      <c r="H513">
        <v>392</v>
      </c>
      <c r="I513" s="1">
        <v>1457</v>
      </c>
      <c r="J513">
        <v>943</v>
      </c>
      <c r="K513">
        <v>747</v>
      </c>
      <c r="L513">
        <v>876</v>
      </c>
      <c r="M513">
        <v>708</v>
      </c>
      <c r="N513">
        <v>384</v>
      </c>
      <c r="O513">
        <v>329</v>
      </c>
      <c r="P513">
        <v>343</v>
      </c>
      <c r="Q513">
        <v>270</v>
      </c>
      <c r="R513">
        <v>153</v>
      </c>
      <c r="S513">
        <v>60</v>
      </c>
      <c r="T513">
        <v>34</v>
      </c>
      <c r="U513" s="1">
        <v>24</v>
      </c>
    </row>
    <row r="514" spans="1:21" x14ac:dyDescent="0.3">
      <c r="A514" t="s">
        <v>170</v>
      </c>
      <c r="B514" t="s">
        <v>174</v>
      </c>
      <c r="C514" s="2" t="s">
        <v>25</v>
      </c>
      <c r="D514" s="1">
        <v>7260</v>
      </c>
      <c r="E514">
        <v>324</v>
      </c>
      <c r="F514">
        <v>303</v>
      </c>
      <c r="G514">
        <v>169</v>
      </c>
      <c r="H514">
        <v>332</v>
      </c>
      <c r="I514" s="1">
        <v>1285</v>
      </c>
      <c r="J514">
        <v>985</v>
      </c>
      <c r="K514">
        <v>657</v>
      </c>
      <c r="L514">
        <v>824</v>
      </c>
      <c r="M514">
        <v>635</v>
      </c>
      <c r="N514">
        <v>429</v>
      </c>
      <c r="O514">
        <v>385</v>
      </c>
      <c r="P514">
        <v>378</v>
      </c>
      <c r="Q514">
        <v>299</v>
      </c>
      <c r="R514">
        <v>145</v>
      </c>
      <c r="S514">
        <v>65</v>
      </c>
      <c r="T514">
        <v>25</v>
      </c>
      <c r="U514" s="1">
        <v>20</v>
      </c>
    </row>
    <row r="515" spans="1:21" x14ac:dyDescent="0.3">
      <c r="A515" t="s">
        <v>170</v>
      </c>
      <c r="B515" t="s">
        <v>175</v>
      </c>
      <c r="C515" s="2" t="s">
        <v>21</v>
      </c>
      <c r="D515" s="1">
        <v>18083</v>
      </c>
      <c r="E515">
        <v>746</v>
      </c>
      <c r="F515" s="1">
        <v>1036</v>
      </c>
      <c r="G515">
        <v>532</v>
      </c>
      <c r="H515">
        <v>388</v>
      </c>
      <c r="I515">
        <v>700</v>
      </c>
      <c r="J515" s="1">
        <v>1083</v>
      </c>
      <c r="K515" s="1">
        <v>1620</v>
      </c>
      <c r="L515" s="1">
        <v>2679</v>
      </c>
      <c r="M515" s="1">
        <v>2306</v>
      </c>
      <c r="N515" s="1">
        <v>1407</v>
      </c>
      <c r="O515" s="1">
        <v>1381</v>
      </c>
      <c r="P515" s="1">
        <v>1628</v>
      </c>
      <c r="Q515" s="1">
        <v>1378</v>
      </c>
      <c r="R515">
        <v>816</v>
      </c>
      <c r="S515">
        <v>277</v>
      </c>
      <c r="T515">
        <v>64</v>
      </c>
      <c r="U515" s="1">
        <v>42</v>
      </c>
    </row>
    <row r="516" spans="1:21" x14ac:dyDescent="0.3">
      <c r="A516" t="s">
        <v>170</v>
      </c>
      <c r="B516" t="s">
        <v>175</v>
      </c>
      <c r="C516" s="2" t="s">
        <v>24</v>
      </c>
      <c r="D516" s="1">
        <v>9247</v>
      </c>
      <c r="E516">
        <v>398</v>
      </c>
      <c r="F516">
        <v>521</v>
      </c>
      <c r="G516">
        <v>271</v>
      </c>
      <c r="H516">
        <v>203</v>
      </c>
      <c r="I516">
        <v>319</v>
      </c>
      <c r="J516">
        <v>498</v>
      </c>
      <c r="K516">
        <v>764</v>
      </c>
      <c r="L516" s="1">
        <v>1382</v>
      </c>
      <c r="M516" s="1">
        <v>1242</v>
      </c>
      <c r="N516">
        <v>745</v>
      </c>
      <c r="O516">
        <v>703</v>
      </c>
      <c r="P516">
        <v>765</v>
      </c>
      <c r="Q516">
        <v>743</v>
      </c>
      <c r="R516">
        <v>469</v>
      </c>
      <c r="S516">
        <v>162</v>
      </c>
      <c r="T516">
        <v>39</v>
      </c>
      <c r="U516" s="1">
        <v>23</v>
      </c>
    </row>
    <row r="517" spans="1:21" x14ac:dyDescent="0.3">
      <c r="A517" t="s">
        <v>170</v>
      </c>
      <c r="B517" t="s">
        <v>175</v>
      </c>
      <c r="C517" s="2" t="s">
        <v>25</v>
      </c>
      <c r="D517" s="1">
        <v>8836</v>
      </c>
      <c r="E517">
        <v>348</v>
      </c>
      <c r="F517">
        <v>515</v>
      </c>
      <c r="G517">
        <v>261</v>
      </c>
      <c r="H517">
        <v>185</v>
      </c>
      <c r="I517">
        <v>381</v>
      </c>
      <c r="J517">
        <v>585</v>
      </c>
      <c r="K517">
        <v>856</v>
      </c>
      <c r="L517" s="1">
        <v>1297</v>
      </c>
      <c r="M517" s="1">
        <v>1064</v>
      </c>
      <c r="N517">
        <v>662</v>
      </c>
      <c r="O517">
        <v>678</v>
      </c>
      <c r="P517">
        <v>863</v>
      </c>
      <c r="Q517">
        <v>635</v>
      </c>
      <c r="R517">
        <v>347</v>
      </c>
      <c r="S517">
        <v>115</v>
      </c>
      <c r="T517">
        <v>25</v>
      </c>
      <c r="U517" s="1">
        <v>19</v>
      </c>
    </row>
    <row r="518" spans="1:21" x14ac:dyDescent="0.3">
      <c r="A518" t="s">
        <v>170</v>
      </c>
      <c r="B518" t="s">
        <v>121</v>
      </c>
      <c r="C518" s="2" t="s">
        <v>21</v>
      </c>
      <c r="D518" s="1">
        <v>16642</v>
      </c>
      <c r="E518">
        <v>463</v>
      </c>
      <c r="F518">
        <v>444</v>
      </c>
      <c r="G518">
        <v>275</v>
      </c>
      <c r="H518">
        <v>235</v>
      </c>
      <c r="I518" s="1">
        <v>1177</v>
      </c>
      <c r="J518" s="1">
        <v>2438</v>
      </c>
      <c r="K518" s="1">
        <v>3045</v>
      </c>
      <c r="L518" s="1">
        <v>3039</v>
      </c>
      <c r="M518" s="1">
        <v>1976</v>
      </c>
      <c r="N518" s="1">
        <v>1115</v>
      </c>
      <c r="O518">
        <v>823</v>
      </c>
      <c r="P518">
        <v>794</v>
      </c>
      <c r="Q518">
        <v>470</v>
      </c>
      <c r="R518">
        <v>225</v>
      </c>
      <c r="S518">
        <v>69</v>
      </c>
      <c r="T518">
        <v>31</v>
      </c>
      <c r="U518" s="1">
        <v>23</v>
      </c>
    </row>
    <row r="519" spans="1:21" x14ac:dyDescent="0.3">
      <c r="A519" t="s">
        <v>170</v>
      </c>
      <c r="B519" t="s">
        <v>121</v>
      </c>
      <c r="C519" s="2" t="s">
        <v>24</v>
      </c>
      <c r="D519" s="1">
        <v>10832</v>
      </c>
      <c r="E519">
        <v>215</v>
      </c>
      <c r="F519">
        <v>218</v>
      </c>
      <c r="G519">
        <v>129</v>
      </c>
      <c r="H519">
        <v>113</v>
      </c>
      <c r="I519">
        <v>868</v>
      </c>
      <c r="J519" s="1">
        <v>1843</v>
      </c>
      <c r="K519" s="1">
        <v>2189</v>
      </c>
      <c r="L519" s="1">
        <v>2101</v>
      </c>
      <c r="M519" s="1">
        <v>1296</v>
      </c>
      <c r="N519">
        <v>634</v>
      </c>
      <c r="O519">
        <v>424</v>
      </c>
      <c r="P519">
        <v>414</v>
      </c>
      <c r="Q519">
        <v>210</v>
      </c>
      <c r="R519">
        <v>110</v>
      </c>
      <c r="S519">
        <v>33</v>
      </c>
      <c r="T519">
        <v>17</v>
      </c>
      <c r="U519" s="1">
        <v>18</v>
      </c>
    </row>
    <row r="520" spans="1:21" x14ac:dyDescent="0.3">
      <c r="A520" t="s">
        <v>170</v>
      </c>
      <c r="B520" t="s">
        <v>121</v>
      </c>
      <c r="C520" s="2" t="s">
        <v>25</v>
      </c>
      <c r="D520" s="1">
        <v>5810</v>
      </c>
      <c r="E520">
        <v>248</v>
      </c>
      <c r="F520">
        <v>226</v>
      </c>
      <c r="G520">
        <v>146</v>
      </c>
      <c r="H520">
        <v>122</v>
      </c>
      <c r="I520">
        <v>309</v>
      </c>
      <c r="J520">
        <v>595</v>
      </c>
      <c r="K520">
        <v>856</v>
      </c>
      <c r="L520">
        <v>938</v>
      </c>
      <c r="M520">
        <v>680</v>
      </c>
      <c r="N520">
        <v>481</v>
      </c>
      <c r="O520">
        <v>399</v>
      </c>
      <c r="P520">
        <v>380</v>
      </c>
      <c r="Q520">
        <v>260</v>
      </c>
      <c r="R520">
        <v>115</v>
      </c>
      <c r="S520">
        <v>36</v>
      </c>
      <c r="T520">
        <v>14</v>
      </c>
      <c r="U520" s="1">
        <v>5</v>
      </c>
    </row>
    <row r="521" spans="1:21" x14ac:dyDescent="0.3">
      <c r="A521" t="s">
        <v>170</v>
      </c>
      <c r="B521" t="s">
        <v>176</v>
      </c>
      <c r="C521" s="2" t="s">
        <v>21</v>
      </c>
      <c r="D521" s="1">
        <v>18979</v>
      </c>
      <c r="E521" s="1">
        <v>1337</v>
      </c>
      <c r="F521" s="1">
        <v>1302</v>
      </c>
      <c r="G521">
        <v>933</v>
      </c>
      <c r="H521" s="1">
        <v>1313</v>
      </c>
      <c r="I521" s="1">
        <v>2004</v>
      </c>
      <c r="J521" s="1">
        <v>2493</v>
      </c>
      <c r="K521" s="1">
        <v>2129</v>
      </c>
      <c r="L521" s="1">
        <v>2305</v>
      </c>
      <c r="M521" s="1">
        <v>1811</v>
      </c>
      <c r="N521" s="1">
        <v>1261</v>
      </c>
      <c r="O521">
        <v>879</v>
      </c>
      <c r="P521">
        <v>658</v>
      </c>
      <c r="Q521">
        <v>321</v>
      </c>
      <c r="R521">
        <v>138</v>
      </c>
      <c r="S521">
        <v>57</v>
      </c>
      <c r="T521">
        <v>23</v>
      </c>
      <c r="U521" s="1">
        <v>15</v>
      </c>
    </row>
    <row r="522" spans="1:21" x14ac:dyDescent="0.3">
      <c r="A522" t="s">
        <v>170</v>
      </c>
      <c r="B522" t="s">
        <v>176</v>
      </c>
      <c r="C522" s="2" t="s">
        <v>24</v>
      </c>
      <c r="D522" s="1">
        <v>10381</v>
      </c>
      <c r="E522">
        <v>709</v>
      </c>
      <c r="F522">
        <v>636</v>
      </c>
      <c r="G522">
        <v>486</v>
      </c>
      <c r="H522">
        <v>654</v>
      </c>
      <c r="I522" s="1">
        <v>1031</v>
      </c>
      <c r="J522" s="1">
        <v>1450</v>
      </c>
      <c r="K522" s="1">
        <v>1251</v>
      </c>
      <c r="L522" s="1">
        <v>1311</v>
      </c>
      <c r="M522" s="1">
        <v>1056</v>
      </c>
      <c r="N522">
        <v>699</v>
      </c>
      <c r="O522">
        <v>486</v>
      </c>
      <c r="P522">
        <v>331</v>
      </c>
      <c r="Q522">
        <v>161</v>
      </c>
      <c r="R522">
        <v>70</v>
      </c>
      <c r="S522">
        <v>30</v>
      </c>
      <c r="T522">
        <v>16</v>
      </c>
      <c r="U522" s="1">
        <v>4</v>
      </c>
    </row>
    <row r="523" spans="1:21" x14ac:dyDescent="0.3">
      <c r="A523" t="s">
        <v>170</v>
      </c>
      <c r="B523" t="s">
        <v>176</v>
      </c>
      <c r="C523" s="2" t="s">
        <v>25</v>
      </c>
      <c r="D523" s="1">
        <v>8598</v>
      </c>
      <c r="E523">
        <v>628</v>
      </c>
      <c r="F523">
        <v>666</v>
      </c>
      <c r="G523">
        <v>447</v>
      </c>
      <c r="H523">
        <v>659</v>
      </c>
      <c r="I523">
        <v>973</v>
      </c>
      <c r="J523" s="1">
        <v>1043</v>
      </c>
      <c r="K523">
        <v>878</v>
      </c>
      <c r="L523">
        <v>994</v>
      </c>
      <c r="M523">
        <v>755</v>
      </c>
      <c r="N523">
        <v>562</v>
      </c>
      <c r="O523">
        <v>393</v>
      </c>
      <c r="P523">
        <v>327</v>
      </c>
      <c r="Q523">
        <v>160</v>
      </c>
      <c r="R523">
        <v>68</v>
      </c>
      <c r="S523">
        <v>27</v>
      </c>
      <c r="T523">
        <v>7</v>
      </c>
      <c r="U523" s="1">
        <v>11</v>
      </c>
    </row>
    <row r="524" spans="1:21" x14ac:dyDescent="0.3">
      <c r="A524" t="s">
        <v>170</v>
      </c>
      <c r="B524" t="s">
        <v>177</v>
      </c>
      <c r="C524" s="2" t="s">
        <v>21</v>
      </c>
      <c r="D524">
        <v>670</v>
      </c>
      <c r="E524">
        <v>0</v>
      </c>
      <c r="F524">
        <v>1</v>
      </c>
      <c r="G524">
        <v>2</v>
      </c>
      <c r="H524">
        <v>1</v>
      </c>
      <c r="I524">
        <v>157</v>
      </c>
      <c r="J524">
        <v>222</v>
      </c>
      <c r="K524">
        <v>132</v>
      </c>
      <c r="L524">
        <v>85</v>
      </c>
      <c r="M524">
        <v>32</v>
      </c>
      <c r="N524">
        <v>13</v>
      </c>
      <c r="O524">
        <v>6</v>
      </c>
      <c r="P524">
        <v>10</v>
      </c>
      <c r="Q524">
        <v>6</v>
      </c>
      <c r="R524">
        <v>3</v>
      </c>
      <c r="S524">
        <v>0</v>
      </c>
      <c r="T524">
        <v>0</v>
      </c>
      <c r="U524" s="1">
        <v>0</v>
      </c>
    </row>
    <row r="525" spans="1:21" x14ac:dyDescent="0.3">
      <c r="A525" t="s">
        <v>170</v>
      </c>
      <c r="B525" t="s">
        <v>177</v>
      </c>
      <c r="C525" s="2" t="s">
        <v>24</v>
      </c>
      <c r="D525">
        <v>619</v>
      </c>
      <c r="E525">
        <v>0</v>
      </c>
      <c r="F525">
        <v>1</v>
      </c>
      <c r="G525">
        <v>1</v>
      </c>
      <c r="H525">
        <v>1</v>
      </c>
      <c r="I525">
        <v>155</v>
      </c>
      <c r="J525">
        <v>213</v>
      </c>
      <c r="K525">
        <v>122</v>
      </c>
      <c r="L525">
        <v>77</v>
      </c>
      <c r="M525">
        <v>26</v>
      </c>
      <c r="N525">
        <v>8</v>
      </c>
      <c r="O525">
        <v>5</v>
      </c>
      <c r="P525">
        <v>5</v>
      </c>
      <c r="Q525">
        <v>3</v>
      </c>
      <c r="R525">
        <v>2</v>
      </c>
      <c r="S525">
        <v>0</v>
      </c>
      <c r="T525">
        <v>0</v>
      </c>
      <c r="U525" s="1">
        <v>0</v>
      </c>
    </row>
    <row r="526" spans="1:21" x14ac:dyDescent="0.3">
      <c r="A526" t="s">
        <v>170</v>
      </c>
      <c r="B526" t="s">
        <v>177</v>
      </c>
      <c r="C526" s="2" t="s">
        <v>25</v>
      </c>
      <c r="D526">
        <v>51</v>
      </c>
      <c r="E526">
        <v>0</v>
      </c>
      <c r="F526">
        <v>0</v>
      </c>
      <c r="G526">
        <v>1</v>
      </c>
      <c r="H526">
        <v>0</v>
      </c>
      <c r="I526">
        <v>2</v>
      </c>
      <c r="J526">
        <v>9</v>
      </c>
      <c r="K526">
        <v>10</v>
      </c>
      <c r="L526">
        <v>8</v>
      </c>
      <c r="M526">
        <v>6</v>
      </c>
      <c r="N526">
        <v>5</v>
      </c>
      <c r="O526">
        <v>1</v>
      </c>
      <c r="P526">
        <v>5</v>
      </c>
      <c r="Q526">
        <v>3</v>
      </c>
      <c r="R526">
        <v>1</v>
      </c>
      <c r="S526">
        <v>0</v>
      </c>
      <c r="T526">
        <v>0</v>
      </c>
      <c r="U526" s="1">
        <v>0</v>
      </c>
    </row>
    <row r="527" spans="1:21" x14ac:dyDescent="0.3">
      <c r="A527" t="s">
        <v>170</v>
      </c>
      <c r="B527" t="s">
        <v>127</v>
      </c>
      <c r="C527" s="2" t="s">
        <v>21</v>
      </c>
      <c r="D527" s="1">
        <v>5733</v>
      </c>
      <c r="E527">
        <v>169</v>
      </c>
      <c r="F527">
        <v>196</v>
      </c>
      <c r="G527">
        <v>136</v>
      </c>
      <c r="H527">
        <v>140</v>
      </c>
      <c r="I527">
        <v>333</v>
      </c>
      <c r="J527">
        <v>541</v>
      </c>
      <c r="K527">
        <v>644</v>
      </c>
      <c r="L527">
        <v>808</v>
      </c>
      <c r="M527">
        <v>633</v>
      </c>
      <c r="N527">
        <v>539</v>
      </c>
      <c r="O527">
        <v>416</v>
      </c>
      <c r="P527">
        <v>394</v>
      </c>
      <c r="Q527">
        <v>288</v>
      </c>
      <c r="R527">
        <v>230</v>
      </c>
      <c r="S527">
        <v>140</v>
      </c>
      <c r="T527">
        <v>75</v>
      </c>
      <c r="U527" s="1">
        <v>51</v>
      </c>
    </row>
    <row r="528" spans="1:21" x14ac:dyDescent="0.3">
      <c r="A528" t="s">
        <v>170</v>
      </c>
      <c r="B528" t="s">
        <v>127</v>
      </c>
      <c r="C528" s="2" t="s">
        <v>24</v>
      </c>
      <c r="D528" s="1">
        <v>2873</v>
      </c>
      <c r="E528">
        <v>93</v>
      </c>
      <c r="F528">
        <v>99</v>
      </c>
      <c r="G528">
        <v>61</v>
      </c>
      <c r="H528">
        <v>70</v>
      </c>
      <c r="I528">
        <v>167</v>
      </c>
      <c r="J528">
        <v>230</v>
      </c>
      <c r="K528">
        <v>311</v>
      </c>
      <c r="L528">
        <v>418</v>
      </c>
      <c r="M528">
        <v>312</v>
      </c>
      <c r="N528">
        <v>260</v>
      </c>
      <c r="O528">
        <v>205</v>
      </c>
      <c r="P528">
        <v>193</v>
      </c>
      <c r="Q528">
        <v>140</v>
      </c>
      <c r="R528">
        <v>152</v>
      </c>
      <c r="S528">
        <v>87</v>
      </c>
      <c r="T528">
        <v>51</v>
      </c>
      <c r="U528" s="1">
        <v>24</v>
      </c>
    </row>
    <row r="529" spans="1:21" x14ac:dyDescent="0.3">
      <c r="A529" t="s">
        <v>170</v>
      </c>
      <c r="B529" t="s">
        <v>127</v>
      </c>
      <c r="C529" s="2" t="s">
        <v>25</v>
      </c>
      <c r="D529" s="1">
        <v>2860</v>
      </c>
      <c r="E529">
        <v>76</v>
      </c>
      <c r="F529">
        <v>97</v>
      </c>
      <c r="G529">
        <v>75</v>
      </c>
      <c r="H529">
        <v>70</v>
      </c>
      <c r="I529">
        <v>166</v>
      </c>
      <c r="J529">
        <v>311</v>
      </c>
      <c r="K529">
        <v>333</v>
      </c>
      <c r="L529">
        <v>390</v>
      </c>
      <c r="M529">
        <v>321</v>
      </c>
      <c r="N529">
        <v>279</v>
      </c>
      <c r="O529">
        <v>211</v>
      </c>
      <c r="P529">
        <v>201</v>
      </c>
      <c r="Q529">
        <v>148</v>
      </c>
      <c r="R529">
        <v>78</v>
      </c>
      <c r="S529">
        <v>53</v>
      </c>
      <c r="T529">
        <v>24</v>
      </c>
      <c r="U529" s="1">
        <v>27</v>
      </c>
    </row>
    <row r="530" spans="1:21" x14ac:dyDescent="0.3">
      <c r="A530" t="s">
        <v>178</v>
      </c>
      <c r="B530" t="s">
        <v>21</v>
      </c>
      <c r="C530" s="2" t="s">
        <v>21</v>
      </c>
      <c r="D530" s="1">
        <v>65698</v>
      </c>
      <c r="E530">
        <v>556</v>
      </c>
      <c r="F530">
        <v>409</v>
      </c>
      <c r="G530">
        <v>302</v>
      </c>
      <c r="H530" s="1">
        <v>1102</v>
      </c>
      <c r="I530" s="1">
        <v>8116</v>
      </c>
      <c r="J530" s="1">
        <v>14098</v>
      </c>
      <c r="K530" s="1">
        <v>15184</v>
      </c>
      <c r="L530" s="1">
        <v>11579</v>
      </c>
      <c r="M530" s="1">
        <v>6248</v>
      </c>
      <c r="N530" s="1">
        <v>3050</v>
      </c>
      <c r="O530" s="1">
        <v>1947</v>
      </c>
      <c r="P530" s="1">
        <v>1577</v>
      </c>
      <c r="Q530">
        <v>930</v>
      </c>
      <c r="R530">
        <v>380</v>
      </c>
      <c r="S530">
        <v>128</v>
      </c>
      <c r="T530">
        <v>53</v>
      </c>
      <c r="U530" s="1">
        <v>39</v>
      </c>
    </row>
    <row r="531" spans="1:21" x14ac:dyDescent="0.3">
      <c r="A531" t="s">
        <v>178</v>
      </c>
      <c r="B531" t="s">
        <v>21</v>
      </c>
      <c r="C531" s="2" t="s">
        <v>24</v>
      </c>
      <c r="D531" s="1">
        <f>D534+D537+D540+D543+D546+D549+D552+D555+D558+D561+D564+D567+D570+D573+D576+D579+D582+D585+D588+D591+D594+D597</f>
        <v>46776</v>
      </c>
      <c r="E531" s="1">
        <f t="shared" ref="E531:U531" si="22">E534+E537+E540+E543+E546+E549+E552+E555+E558+E561+E564+E567+E570+E573+E576+E579+E582+E585+E588+E591+E594+E597</f>
        <v>302</v>
      </c>
      <c r="F531" s="1">
        <f t="shared" si="22"/>
        <v>215</v>
      </c>
      <c r="G531" s="1">
        <f t="shared" si="22"/>
        <v>142</v>
      </c>
      <c r="H531" s="1">
        <f t="shared" si="22"/>
        <v>639</v>
      </c>
      <c r="I531" s="1">
        <f t="shared" si="22"/>
        <v>5849</v>
      </c>
      <c r="J531" s="1">
        <f t="shared" si="22"/>
        <v>11054</v>
      </c>
      <c r="K531" s="1">
        <f t="shared" si="22"/>
        <v>11921</v>
      </c>
      <c r="L531" s="1">
        <f t="shared" si="22"/>
        <v>8691</v>
      </c>
      <c r="M531" s="1">
        <f t="shared" si="22"/>
        <v>4260</v>
      </c>
      <c r="N531" s="1">
        <f t="shared" si="22"/>
        <v>1688</v>
      </c>
      <c r="O531" s="1">
        <f t="shared" si="22"/>
        <v>874</v>
      </c>
      <c r="P531" s="1">
        <f t="shared" si="22"/>
        <v>586</v>
      </c>
      <c r="Q531" s="1">
        <f t="shared" si="22"/>
        <v>304</v>
      </c>
      <c r="R531" s="1">
        <f t="shared" si="22"/>
        <v>141</v>
      </c>
      <c r="S531" s="1">
        <f t="shared" si="22"/>
        <v>61</v>
      </c>
      <c r="T531" s="1">
        <f t="shared" si="22"/>
        <v>30</v>
      </c>
      <c r="U531" s="1">
        <f t="shared" si="22"/>
        <v>19</v>
      </c>
    </row>
    <row r="532" spans="1:21" x14ac:dyDescent="0.3">
      <c r="A532" t="s">
        <v>178</v>
      </c>
      <c r="B532" t="s">
        <v>21</v>
      </c>
      <c r="C532" s="2" t="s">
        <v>25</v>
      </c>
      <c r="D532" s="1">
        <f>D535+D538+D541+D544+D547+D550+D553+D556+D559+D562+D565+D568+D571+D574+D577+D580+D583+D586+D589+D592+D595+D598</f>
        <v>18922</v>
      </c>
      <c r="E532" s="1">
        <f t="shared" ref="E532:U532" si="23">E535+E538+E541+E544+E547+E550+E553+E556+E559+E562+E565+E568+E571+E574+E577+E580+E583+E586+E589+E592+E595+E598</f>
        <v>254</v>
      </c>
      <c r="F532" s="1">
        <f t="shared" si="23"/>
        <v>194</v>
      </c>
      <c r="G532" s="1">
        <f t="shared" si="23"/>
        <v>160</v>
      </c>
      <c r="H532" s="1">
        <f t="shared" si="23"/>
        <v>463</v>
      </c>
      <c r="I532" s="1">
        <f t="shared" si="23"/>
        <v>2267</v>
      </c>
      <c r="J532" s="1">
        <f t="shared" si="23"/>
        <v>3044</v>
      </c>
      <c r="K532" s="1">
        <f t="shared" si="23"/>
        <v>3263</v>
      </c>
      <c r="L532" s="1">
        <f t="shared" si="23"/>
        <v>2888</v>
      </c>
      <c r="M532" s="1">
        <f t="shared" si="23"/>
        <v>1988</v>
      </c>
      <c r="N532" s="1">
        <f t="shared" si="23"/>
        <v>1362</v>
      </c>
      <c r="O532" s="1">
        <f t="shared" si="23"/>
        <v>1073</v>
      </c>
      <c r="P532" s="1">
        <f t="shared" si="23"/>
        <v>991</v>
      </c>
      <c r="Q532" s="1">
        <f t="shared" si="23"/>
        <v>626</v>
      </c>
      <c r="R532" s="1">
        <f t="shared" si="23"/>
        <v>239</v>
      </c>
      <c r="S532" s="1">
        <f t="shared" si="23"/>
        <v>67</v>
      </c>
      <c r="T532" s="1">
        <f t="shared" si="23"/>
        <v>23</v>
      </c>
      <c r="U532" s="1">
        <f t="shared" si="23"/>
        <v>20</v>
      </c>
    </row>
    <row r="533" spans="1:21" x14ac:dyDescent="0.3">
      <c r="A533" t="s">
        <v>178</v>
      </c>
      <c r="B533" t="s">
        <v>179</v>
      </c>
      <c r="C533" s="2" t="s">
        <v>21</v>
      </c>
      <c r="D533">
        <v>747</v>
      </c>
      <c r="E533">
        <v>2</v>
      </c>
      <c r="F533">
        <v>4</v>
      </c>
      <c r="G533">
        <v>5</v>
      </c>
      <c r="H533">
        <v>8</v>
      </c>
      <c r="I533">
        <v>64</v>
      </c>
      <c r="J533">
        <v>128</v>
      </c>
      <c r="K533">
        <v>174</v>
      </c>
      <c r="L533">
        <v>150</v>
      </c>
      <c r="M533">
        <v>78</v>
      </c>
      <c r="N533">
        <v>40</v>
      </c>
      <c r="O533">
        <v>31</v>
      </c>
      <c r="P533">
        <v>34</v>
      </c>
      <c r="Q533">
        <v>15</v>
      </c>
      <c r="R533">
        <v>12</v>
      </c>
      <c r="S533">
        <v>1</v>
      </c>
      <c r="T533">
        <v>1</v>
      </c>
      <c r="U533" s="1">
        <v>0</v>
      </c>
    </row>
    <row r="534" spans="1:21" x14ac:dyDescent="0.3">
      <c r="A534" t="s">
        <v>178</v>
      </c>
      <c r="B534" t="s">
        <v>179</v>
      </c>
      <c r="C534" s="2" t="s">
        <v>24</v>
      </c>
      <c r="D534">
        <v>422</v>
      </c>
      <c r="E534">
        <v>0</v>
      </c>
      <c r="F534">
        <v>3</v>
      </c>
      <c r="G534">
        <v>3</v>
      </c>
      <c r="H534">
        <v>2</v>
      </c>
      <c r="I534">
        <v>38</v>
      </c>
      <c r="J534">
        <v>83</v>
      </c>
      <c r="K534">
        <v>124</v>
      </c>
      <c r="L534">
        <v>89</v>
      </c>
      <c r="M534">
        <v>32</v>
      </c>
      <c r="N534">
        <v>18</v>
      </c>
      <c r="O534">
        <v>13</v>
      </c>
      <c r="P534">
        <v>9</v>
      </c>
      <c r="Q534">
        <v>2</v>
      </c>
      <c r="R534">
        <v>5</v>
      </c>
      <c r="S534">
        <v>0</v>
      </c>
      <c r="T534">
        <v>1</v>
      </c>
      <c r="U534" s="1">
        <v>0</v>
      </c>
    </row>
    <row r="535" spans="1:21" x14ac:dyDescent="0.3">
      <c r="A535" t="s">
        <v>178</v>
      </c>
      <c r="B535" t="s">
        <v>179</v>
      </c>
      <c r="C535" s="2" t="s">
        <v>25</v>
      </c>
      <c r="D535">
        <v>325</v>
      </c>
      <c r="E535">
        <v>2</v>
      </c>
      <c r="F535">
        <v>1</v>
      </c>
      <c r="G535">
        <v>2</v>
      </c>
      <c r="H535">
        <v>6</v>
      </c>
      <c r="I535">
        <v>26</v>
      </c>
      <c r="J535">
        <v>45</v>
      </c>
      <c r="K535">
        <v>50</v>
      </c>
      <c r="L535">
        <v>61</v>
      </c>
      <c r="M535">
        <v>46</v>
      </c>
      <c r="N535">
        <v>22</v>
      </c>
      <c r="O535">
        <v>18</v>
      </c>
      <c r="P535">
        <v>25</v>
      </c>
      <c r="Q535">
        <v>13</v>
      </c>
      <c r="R535">
        <v>7</v>
      </c>
      <c r="S535">
        <v>1</v>
      </c>
      <c r="T535">
        <v>0</v>
      </c>
      <c r="U535" s="1">
        <v>0</v>
      </c>
    </row>
    <row r="536" spans="1:21" x14ac:dyDescent="0.3">
      <c r="A536" t="s">
        <v>178</v>
      </c>
      <c r="B536" t="s">
        <v>180</v>
      </c>
      <c r="C536" s="2" t="s">
        <v>21</v>
      </c>
      <c r="D536" s="1">
        <v>2842</v>
      </c>
      <c r="E536">
        <v>5</v>
      </c>
      <c r="F536">
        <v>2</v>
      </c>
      <c r="G536">
        <v>0</v>
      </c>
      <c r="H536">
        <v>7</v>
      </c>
      <c r="I536">
        <v>275</v>
      </c>
      <c r="J536">
        <v>721</v>
      </c>
      <c r="K536">
        <v>822</v>
      </c>
      <c r="L536">
        <v>520</v>
      </c>
      <c r="M536">
        <v>257</v>
      </c>
      <c r="N536">
        <v>110</v>
      </c>
      <c r="O536">
        <v>51</v>
      </c>
      <c r="P536">
        <v>35</v>
      </c>
      <c r="Q536">
        <v>26</v>
      </c>
      <c r="R536">
        <v>5</v>
      </c>
      <c r="S536">
        <v>4</v>
      </c>
      <c r="T536">
        <v>2</v>
      </c>
      <c r="U536" s="1">
        <v>0</v>
      </c>
    </row>
    <row r="537" spans="1:21" x14ac:dyDescent="0.3">
      <c r="A537" t="s">
        <v>178</v>
      </c>
      <c r="B537" t="s">
        <v>180</v>
      </c>
      <c r="C537" s="2" t="s">
        <v>24</v>
      </c>
      <c r="D537" s="1">
        <v>2164</v>
      </c>
      <c r="E537">
        <v>2</v>
      </c>
      <c r="F537">
        <v>0</v>
      </c>
      <c r="G537">
        <v>0</v>
      </c>
      <c r="H537">
        <v>3</v>
      </c>
      <c r="I537">
        <v>255</v>
      </c>
      <c r="J537">
        <v>617</v>
      </c>
      <c r="K537">
        <v>652</v>
      </c>
      <c r="L537">
        <v>364</v>
      </c>
      <c r="M537">
        <v>174</v>
      </c>
      <c r="N537">
        <v>58</v>
      </c>
      <c r="O537">
        <v>21</v>
      </c>
      <c r="P537">
        <v>13</v>
      </c>
      <c r="Q537">
        <v>4</v>
      </c>
      <c r="R537">
        <v>0</v>
      </c>
      <c r="S537">
        <v>0</v>
      </c>
      <c r="T537">
        <v>1</v>
      </c>
      <c r="U537" s="1">
        <v>0</v>
      </c>
    </row>
    <row r="538" spans="1:21" x14ac:dyDescent="0.3">
      <c r="A538" t="s">
        <v>178</v>
      </c>
      <c r="B538" t="s">
        <v>180</v>
      </c>
      <c r="C538" s="2" t="s">
        <v>25</v>
      </c>
      <c r="D538">
        <v>678</v>
      </c>
      <c r="E538">
        <v>3</v>
      </c>
      <c r="F538">
        <v>2</v>
      </c>
      <c r="G538">
        <v>0</v>
      </c>
      <c r="H538">
        <v>4</v>
      </c>
      <c r="I538">
        <v>20</v>
      </c>
      <c r="J538">
        <v>104</v>
      </c>
      <c r="K538">
        <v>170</v>
      </c>
      <c r="L538">
        <v>156</v>
      </c>
      <c r="M538">
        <v>83</v>
      </c>
      <c r="N538">
        <v>52</v>
      </c>
      <c r="O538">
        <v>30</v>
      </c>
      <c r="P538">
        <v>22</v>
      </c>
      <c r="Q538">
        <v>22</v>
      </c>
      <c r="R538">
        <v>5</v>
      </c>
      <c r="S538">
        <v>4</v>
      </c>
      <c r="T538">
        <v>1</v>
      </c>
      <c r="U538" s="1">
        <v>0</v>
      </c>
    </row>
    <row r="539" spans="1:21" x14ac:dyDescent="0.3">
      <c r="A539" t="s">
        <v>178</v>
      </c>
      <c r="B539" t="s">
        <v>181</v>
      </c>
      <c r="C539" s="2" t="s">
        <v>21</v>
      </c>
      <c r="D539">
        <v>646</v>
      </c>
      <c r="E539">
        <v>8</v>
      </c>
      <c r="F539">
        <v>2</v>
      </c>
      <c r="G539">
        <v>3</v>
      </c>
      <c r="H539">
        <v>3</v>
      </c>
      <c r="I539">
        <v>66</v>
      </c>
      <c r="J539">
        <v>180</v>
      </c>
      <c r="K539">
        <v>157</v>
      </c>
      <c r="L539">
        <v>96</v>
      </c>
      <c r="M539">
        <v>41</v>
      </c>
      <c r="N539">
        <v>22</v>
      </c>
      <c r="O539">
        <v>25</v>
      </c>
      <c r="P539">
        <v>19</v>
      </c>
      <c r="Q539">
        <v>11</v>
      </c>
      <c r="R539">
        <v>5</v>
      </c>
      <c r="S539">
        <v>3</v>
      </c>
      <c r="T539">
        <v>2</v>
      </c>
      <c r="U539" s="1">
        <v>3</v>
      </c>
    </row>
    <row r="540" spans="1:21" x14ac:dyDescent="0.3">
      <c r="A540" t="s">
        <v>178</v>
      </c>
      <c r="B540" t="s">
        <v>181</v>
      </c>
      <c r="C540" s="2" t="s">
        <v>24</v>
      </c>
      <c r="D540">
        <v>411</v>
      </c>
      <c r="E540">
        <v>5</v>
      </c>
      <c r="F540">
        <v>0</v>
      </c>
      <c r="G540">
        <v>1</v>
      </c>
      <c r="H540">
        <v>0</v>
      </c>
      <c r="I540">
        <v>44</v>
      </c>
      <c r="J540">
        <v>127</v>
      </c>
      <c r="K540">
        <v>116</v>
      </c>
      <c r="L540">
        <v>64</v>
      </c>
      <c r="M540">
        <v>27</v>
      </c>
      <c r="N540">
        <v>7</v>
      </c>
      <c r="O540">
        <v>7</v>
      </c>
      <c r="P540">
        <v>4</v>
      </c>
      <c r="Q540">
        <v>4</v>
      </c>
      <c r="R540">
        <v>1</v>
      </c>
      <c r="S540">
        <v>1</v>
      </c>
      <c r="T540">
        <v>1</v>
      </c>
      <c r="U540" s="1">
        <v>2</v>
      </c>
    </row>
    <row r="541" spans="1:21" x14ac:dyDescent="0.3">
      <c r="A541" t="s">
        <v>178</v>
      </c>
      <c r="B541" t="s">
        <v>181</v>
      </c>
      <c r="C541" s="2" t="s">
        <v>25</v>
      </c>
      <c r="D541">
        <v>235</v>
      </c>
      <c r="E541">
        <v>3</v>
      </c>
      <c r="F541">
        <v>2</v>
      </c>
      <c r="G541">
        <v>2</v>
      </c>
      <c r="H541">
        <v>3</v>
      </c>
      <c r="I541">
        <v>22</v>
      </c>
      <c r="J541">
        <v>53</v>
      </c>
      <c r="K541">
        <v>41</v>
      </c>
      <c r="L541">
        <v>32</v>
      </c>
      <c r="M541">
        <v>14</v>
      </c>
      <c r="N541">
        <v>15</v>
      </c>
      <c r="O541">
        <v>18</v>
      </c>
      <c r="P541">
        <v>15</v>
      </c>
      <c r="Q541">
        <v>7</v>
      </c>
      <c r="R541">
        <v>4</v>
      </c>
      <c r="S541">
        <v>2</v>
      </c>
      <c r="T541">
        <v>1</v>
      </c>
      <c r="U541" s="1">
        <v>1</v>
      </c>
    </row>
    <row r="542" spans="1:21" x14ac:dyDescent="0.3">
      <c r="A542" t="s">
        <v>178</v>
      </c>
      <c r="B542" t="s">
        <v>182</v>
      </c>
      <c r="C542" s="2" t="s">
        <v>21</v>
      </c>
      <c r="D542" s="1">
        <v>2362</v>
      </c>
      <c r="E542">
        <v>33</v>
      </c>
      <c r="F542">
        <v>27</v>
      </c>
      <c r="G542">
        <v>12</v>
      </c>
      <c r="H542">
        <v>14</v>
      </c>
      <c r="I542">
        <v>203</v>
      </c>
      <c r="J542">
        <v>396</v>
      </c>
      <c r="K542">
        <v>439</v>
      </c>
      <c r="L542">
        <v>421</v>
      </c>
      <c r="M542">
        <v>258</v>
      </c>
      <c r="N542">
        <v>177</v>
      </c>
      <c r="O542">
        <v>136</v>
      </c>
      <c r="P542">
        <v>129</v>
      </c>
      <c r="Q542">
        <v>70</v>
      </c>
      <c r="R542">
        <v>34</v>
      </c>
      <c r="S542">
        <v>9</v>
      </c>
      <c r="T542">
        <v>1</v>
      </c>
      <c r="U542" s="1">
        <v>3</v>
      </c>
    </row>
    <row r="543" spans="1:21" x14ac:dyDescent="0.3">
      <c r="A543" t="s">
        <v>178</v>
      </c>
      <c r="B543" t="s">
        <v>182</v>
      </c>
      <c r="C543" s="2" t="s">
        <v>24</v>
      </c>
      <c r="D543" s="1">
        <v>1373</v>
      </c>
      <c r="E543">
        <v>15</v>
      </c>
      <c r="F543">
        <v>15</v>
      </c>
      <c r="G543">
        <v>7</v>
      </c>
      <c r="H543">
        <v>11</v>
      </c>
      <c r="I543">
        <v>128</v>
      </c>
      <c r="J543">
        <v>260</v>
      </c>
      <c r="K543">
        <v>288</v>
      </c>
      <c r="L543">
        <v>278</v>
      </c>
      <c r="M543">
        <v>142</v>
      </c>
      <c r="N543">
        <v>81</v>
      </c>
      <c r="O543">
        <v>55</v>
      </c>
      <c r="P543">
        <v>43</v>
      </c>
      <c r="Q543">
        <v>29</v>
      </c>
      <c r="R543">
        <v>12</v>
      </c>
      <c r="S543">
        <v>6</v>
      </c>
      <c r="T543">
        <v>1</v>
      </c>
      <c r="U543" s="1">
        <v>2</v>
      </c>
    </row>
    <row r="544" spans="1:21" x14ac:dyDescent="0.3">
      <c r="A544" t="s">
        <v>178</v>
      </c>
      <c r="B544" t="s">
        <v>182</v>
      </c>
      <c r="C544" s="2" t="s">
        <v>25</v>
      </c>
      <c r="D544">
        <v>989</v>
      </c>
      <c r="E544">
        <v>18</v>
      </c>
      <c r="F544">
        <v>12</v>
      </c>
      <c r="G544">
        <v>5</v>
      </c>
      <c r="H544">
        <v>3</v>
      </c>
      <c r="I544">
        <v>75</v>
      </c>
      <c r="J544">
        <v>136</v>
      </c>
      <c r="K544">
        <v>151</v>
      </c>
      <c r="L544">
        <v>143</v>
      </c>
      <c r="M544">
        <v>116</v>
      </c>
      <c r="N544">
        <v>96</v>
      </c>
      <c r="O544">
        <v>81</v>
      </c>
      <c r="P544">
        <v>86</v>
      </c>
      <c r="Q544">
        <v>41</v>
      </c>
      <c r="R544">
        <v>22</v>
      </c>
      <c r="S544">
        <v>3</v>
      </c>
      <c r="T544">
        <v>0</v>
      </c>
      <c r="U544" s="1">
        <v>1</v>
      </c>
    </row>
    <row r="545" spans="1:21" x14ac:dyDescent="0.3">
      <c r="A545" t="s">
        <v>178</v>
      </c>
      <c r="B545" t="s">
        <v>183</v>
      </c>
      <c r="C545" s="2" t="s">
        <v>21</v>
      </c>
      <c r="D545">
        <v>220</v>
      </c>
      <c r="E545">
        <v>1</v>
      </c>
      <c r="F545">
        <v>0</v>
      </c>
      <c r="G545">
        <v>0</v>
      </c>
      <c r="H545">
        <v>0</v>
      </c>
      <c r="I545">
        <v>21</v>
      </c>
      <c r="J545">
        <v>38</v>
      </c>
      <c r="K545">
        <v>30</v>
      </c>
      <c r="L545">
        <v>25</v>
      </c>
      <c r="M545">
        <v>18</v>
      </c>
      <c r="N545">
        <v>23</v>
      </c>
      <c r="O545">
        <v>17</v>
      </c>
      <c r="P545">
        <v>21</v>
      </c>
      <c r="Q545">
        <v>16</v>
      </c>
      <c r="R545">
        <v>6</v>
      </c>
      <c r="S545">
        <v>3</v>
      </c>
      <c r="T545">
        <v>0</v>
      </c>
      <c r="U545" s="1">
        <v>1</v>
      </c>
    </row>
    <row r="546" spans="1:21" x14ac:dyDescent="0.3">
      <c r="A546" t="s">
        <v>178</v>
      </c>
      <c r="B546" t="s">
        <v>183</v>
      </c>
      <c r="C546" s="2" t="s">
        <v>24</v>
      </c>
      <c r="D546">
        <v>88</v>
      </c>
      <c r="E546">
        <v>0</v>
      </c>
      <c r="F546">
        <v>0</v>
      </c>
      <c r="G546">
        <v>0</v>
      </c>
      <c r="H546">
        <v>0</v>
      </c>
      <c r="I546">
        <v>15</v>
      </c>
      <c r="J546">
        <v>20</v>
      </c>
      <c r="K546">
        <v>18</v>
      </c>
      <c r="L546">
        <v>10</v>
      </c>
      <c r="M546">
        <v>3</v>
      </c>
      <c r="N546">
        <v>5</v>
      </c>
      <c r="O546">
        <v>5</v>
      </c>
      <c r="P546">
        <v>5</v>
      </c>
      <c r="Q546">
        <v>4</v>
      </c>
      <c r="R546">
        <v>1</v>
      </c>
      <c r="S546">
        <v>2</v>
      </c>
      <c r="T546">
        <v>0</v>
      </c>
      <c r="U546" s="1">
        <v>0</v>
      </c>
    </row>
    <row r="547" spans="1:21" x14ac:dyDescent="0.3">
      <c r="A547" t="s">
        <v>178</v>
      </c>
      <c r="B547" t="s">
        <v>183</v>
      </c>
      <c r="C547" s="2" t="s">
        <v>25</v>
      </c>
      <c r="D547">
        <v>132</v>
      </c>
      <c r="E547">
        <v>1</v>
      </c>
      <c r="F547">
        <v>0</v>
      </c>
      <c r="G547">
        <v>0</v>
      </c>
      <c r="H547">
        <v>0</v>
      </c>
      <c r="I547">
        <v>6</v>
      </c>
      <c r="J547">
        <v>18</v>
      </c>
      <c r="K547">
        <v>12</v>
      </c>
      <c r="L547">
        <v>15</v>
      </c>
      <c r="M547">
        <v>15</v>
      </c>
      <c r="N547">
        <v>18</v>
      </c>
      <c r="O547">
        <v>12</v>
      </c>
      <c r="P547">
        <v>16</v>
      </c>
      <c r="Q547">
        <v>12</v>
      </c>
      <c r="R547">
        <v>5</v>
      </c>
      <c r="S547">
        <v>1</v>
      </c>
      <c r="T547">
        <v>0</v>
      </c>
      <c r="U547" s="1">
        <v>1</v>
      </c>
    </row>
    <row r="548" spans="1:21" x14ac:dyDescent="0.3">
      <c r="A548" t="s">
        <v>178</v>
      </c>
      <c r="B548" t="s">
        <v>184</v>
      </c>
      <c r="C548" s="2" t="s">
        <v>21</v>
      </c>
      <c r="D548" s="1">
        <v>5624</v>
      </c>
      <c r="E548">
        <v>60</v>
      </c>
      <c r="F548">
        <v>42</v>
      </c>
      <c r="G548">
        <v>24</v>
      </c>
      <c r="H548">
        <v>276</v>
      </c>
      <c r="I548" s="1">
        <v>1390</v>
      </c>
      <c r="J548" s="1">
        <v>1308</v>
      </c>
      <c r="K548" s="1">
        <v>1022</v>
      </c>
      <c r="L548">
        <v>640</v>
      </c>
      <c r="M548">
        <v>334</v>
      </c>
      <c r="N548">
        <v>180</v>
      </c>
      <c r="O548">
        <v>126</v>
      </c>
      <c r="P548">
        <v>122</v>
      </c>
      <c r="Q548">
        <v>60</v>
      </c>
      <c r="R548">
        <v>24</v>
      </c>
      <c r="S548">
        <v>6</v>
      </c>
      <c r="T548">
        <v>6</v>
      </c>
      <c r="U548" s="1">
        <v>4</v>
      </c>
    </row>
    <row r="549" spans="1:21" x14ac:dyDescent="0.3">
      <c r="A549" t="s">
        <v>178</v>
      </c>
      <c r="B549" t="s">
        <v>184</v>
      </c>
      <c r="C549" s="2" t="s">
        <v>24</v>
      </c>
      <c r="D549" s="1">
        <v>3495</v>
      </c>
      <c r="E549">
        <v>33</v>
      </c>
      <c r="F549">
        <v>22</v>
      </c>
      <c r="G549">
        <v>6</v>
      </c>
      <c r="H549">
        <v>156</v>
      </c>
      <c r="I549">
        <v>902</v>
      </c>
      <c r="J549">
        <v>901</v>
      </c>
      <c r="K549">
        <v>653</v>
      </c>
      <c r="L549">
        <v>425</v>
      </c>
      <c r="M549">
        <v>190</v>
      </c>
      <c r="N549">
        <v>87</v>
      </c>
      <c r="O549">
        <v>47</v>
      </c>
      <c r="P549">
        <v>36</v>
      </c>
      <c r="Q549">
        <v>24</v>
      </c>
      <c r="R549">
        <v>6</v>
      </c>
      <c r="S549">
        <v>3</v>
      </c>
      <c r="T549">
        <v>3</v>
      </c>
      <c r="U549" s="1">
        <v>1</v>
      </c>
    </row>
    <row r="550" spans="1:21" x14ac:dyDescent="0.3">
      <c r="A550" t="s">
        <v>178</v>
      </c>
      <c r="B550" t="s">
        <v>184</v>
      </c>
      <c r="C550" s="2" t="s">
        <v>25</v>
      </c>
      <c r="D550" s="1">
        <v>2129</v>
      </c>
      <c r="E550">
        <v>27</v>
      </c>
      <c r="F550">
        <v>20</v>
      </c>
      <c r="G550">
        <v>18</v>
      </c>
      <c r="H550">
        <v>120</v>
      </c>
      <c r="I550">
        <v>488</v>
      </c>
      <c r="J550">
        <v>407</v>
      </c>
      <c r="K550">
        <v>369</v>
      </c>
      <c r="L550">
        <v>215</v>
      </c>
      <c r="M550">
        <v>144</v>
      </c>
      <c r="N550">
        <v>93</v>
      </c>
      <c r="O550">
        <v>79</v>
      </c>
      <c r="P550">
        <v>86</v>
      </c>
      <c r="Q550">
        <v>36</v>
      </c>
      <c r="R550">
        <v>18</v>
      </c>
      <c r="S550">
        <v>3</v>
      </c>
      <c r="T550">
        <v>3</v>
      </c>
      <c r="U550" s="1">
        <v>3</v>
      </c>
    </row>
    <row r="551" spans="1:21" x14ac:dyDescent="0.3">
      <c r="A551" t="s">
        <v>178</v>
      </c>
      <c r="B551" t="s">
        <v>185</v>
      </c>
      <c r="C551" s="2" t="s">
        <v>21</v>
      </c>
      <c r="D551" s="1">
        <v>1408</v>
      </c>
      <c r="E551">
        <v>7</v>
      </c>
      <c r="F551">
        <v>4</v>
      </c>
      <c r="G551">
        <v>1</v>
      </c>
      <c r="H551">
        <v>3</v>
      </c>
      <c r="I551">
        <v>157</v>
      </c>
      <c r="J551">
        <v>339</v>
      </c>
      <c r="K551">
        <v>378</v>
      </c>
      <c r="L551">
        <v>237</v>
      </c>
      <c r="M551">
        <v>120</v>
      </c>
      <c r="N551">
        <v>65</v>
      </c>
      <c r="O551">
        <v>41</v>
      </c>
      <c r="P551">
        <v>38</v>
      </c>
      <c r="Q551">
        <v>10</v>
      </c>
      <c r="R551">
        <v>6</v>
      </c>
      <c r="S551">
        <v>0</v>
      </c>
      <c r="T551">
        <v>2</v>
      </c>
      <c r="U551" s="1">
        <v>0</v>
      </c>
    </row>
    <row r="552" spans="1:21" x14ac:dyDescent="0.3">
      <c r="A552" t="s">
        <v>178</v>
      </c>
      <c r="B552" t="s">
        <v>185</v>
      </c>
      <c r="C552" s="2" t="s">
        <v>24</v>
      </c>
      <c r="D552">
        <v>763</v>
      </c>
      <c r="E552">
        <v>2</v>
      </c>
      <c r="F552">
        <v>2</v>
      </c>
      <c r="G552">
        <v>1</v>
      </c>
      <c r="H552">
        <v>2</v>
      </c>
      <c r="I552">
        <v>121</v>
      </c>
      <c r="J552">
        <v>193</v>
      </c>
      <c r="K552">
        <v>199</v>
      </c>
      <c r="L552">
        <v>128</v>
      </c>
      <c r="M552">
        <v>51</v>
      </c>
      <c r="N552">
        <v>25</v>
      </c>
      <c r="O552">
        <v>18</v>
      </c>
      <c r="P552">
        <v>16</v>
      </c>
      <c r="Q552">
        <v>3</v>
      </c>
      <c r="R552">
        <v>2</v>
      </c>
      <c r="S552">
        <v>0</v>
      </c>
      <c r="T552">
        <v>0</v>
      </c>
      <c r="U552" s="1">
        <v>0</v>
      </c>
    </row>
    <row r="553" spans="1:21" x14ac:dyDescent="0.3">
      <c r="A553" t="s">
        <v>178</v>
      </c>
      <c r="B553" t="s">
        <v>185</v>
      </c>
      <c r="C553" s="2" t="s">
        <v>25</v>
      </c>
      <c r="D553">
        <v>645</v>
      </c>
      <c r="E553">
        <v>5</v>
      </c>
      <c r="F553">
        <v>2</v>
      </c>
      <c r="G553">
        <v>0</v>
      </c>
      <c r="H553">
        <v>1</v>
      </c>
      <c r="I553">
        <v>36</v>
      </c>
      <c r="J553">
        <v>146</v>
      </c>
      <c r="K553">
        <v>179</v>
      </c>
      <c r="L553">
        <v>109</v>
      </c>
      <c r="M553">
        <v>69</v>
      </c>
      <c r="N553">
        <v>40</v>
      </c>
      <c r="O553">
        <v>23</v>
      </c>
      <c r="P553">
        <v>22</v>
      </c>
      <c r="Q553">
        <v>7</v>
      </c>
      <c r="R553">
        <v>4</v>
      </c>
      <c r="S553">
        <v>0</v>
      </c>
      <c r="T553">
        <v>2</v>
      </c>
      <c r="U553" s="1">
        <v>0</v>
      </c>
    </row>
    <row r="554" spans="1:21" x14ac:dyDescent="0.3">
      <c r="A554" t="s">
        <v>178</v>
      </c>
      <c r="B554" t="s">
        <v>186</v>
      </c>
      <c r="C554" s="2" t="s">
        <v>21</v>
      </c>
      <c r="D554" s="1">
        <v>4930</v>
      </c>
      <c r="E554">
        <v>49</v>
      </c>
      <c r="F554">
        <v>54</v>
      </c>
      <c r="G554">
        <v>35</v>
      </c>
      <c r="H554">
        <v>179</v>
      </c>
      <c r="I554">
        <v>704</v>
      </c>
      <c r="J554">
        <v>946</v>
      </c>
      <c r="K554">
        <v>925</v>
      </c>
      <c r="L554">
        <v>785</v>
      </c>
      <c r="M554">
        <v>478</v>
      </c>
      <c r="N554">
        <v>258</v>
      </c>
      <c r="O554">
        <v>187</v>
      </c>
      <c r="P554">
        <v>156</v>
      </c>
      <c r="Q554">
        <v>109</v>
      </c>
      <c r="R554">
        <v>42</v>
      </c>
      <c r="S554">
        <v>16</v>
      </c>
      <c r="T554">
        <v>3</v>
      </c>
      <c r="U554" s="1">
        <v>4</v>
      </c>
    </row>
    <row r="555" spans="1:21" x14ac:dyDescent="0.3">
      <c r="A555" t="s">
        <v>178</v>
      </c>
      <c r="B555" t="s">
        <v>186</v>
      </c>
      <c r="C555" s="2" t="s">
        <v>24</v>
      </c>
      <c r="D555" s="1">
        <v>3302</v>
      </c>
      <c r="E555">
        <v>33</v>
      </c>
      <c r="F555">
        <v>22</v>
      </c>
      <c r="G555">
        <v>21</v>
      </c>
      <c r="H555">
        <v>105</v>
      </c>
      <c r="I555">
        <v>449</v>
      </c>
      <c r="J555">
        <v>670</v>
      </c>
      <c r="K555">
        <v>711</v>
      </c>
      <c r="L555">
        <v>579</v>
      </c>
      <c r="M555">
        <v>347</v>
      </c>
      <c r="N555">
        <v>141</v>
      </c>
      <c r="O555">
        <v>93</v>
      </c>
      <c r="P555">
        <v>61</v>
      </c>
      <c r="Q555">
        <v>42</v>
      </c>
      <c r="R555">
        <v>18</v>
      </c>
      <c r="S555">
        <v>8</v>
      </c>
      <c r="T555">
        <v>0</v>
      </c>
      <c r="U555" s="1">
        <v>2</v>
      </c>
    </row>
    <row r="556" spans="1:21" x14ac:dyDescent="0.3">
      <c r="A556" t="s">
        <v>178</v>
      </c>
      <c r="B556" t="s">
        <v>186</v>
      </c>
      <c r="C556" s="2" t="s">
        <v>25</v>
      </c>
      <c r="D556" s="1">
        <v>1628</v>
      </c>
      <c r="E556">
        <v>16</v>
      </c>
      <c r="F556">
        <v>32</v>
      </c>
      <c r="G556">
        <v>14</v>
      </c>
      <c r="H556">
        <v>74</v>
      </c>
      <c r="I556">
        <v>255</v>
      </c>
      <c r="J556">
        <v>276</v>
      </c>
      <c r="K556">
        <v>214</v>
      </c>
      <c r="L556">
        <v>206</v>
      </c>
      <c r="M556">
        <v>131</v>
      </c>
      <c r="N556">
        <v>117</v>
      </c>
      <c r="O556">
        <v>94</v>
      </c>
      <c r="P556">
        <v>95</v>
      </c>
      <c r="Q556">
        <v>67</v>
      </c>
      <c r="R556">
        <v>24</v>
      </c>
      <c r="S556">
        <v>8</v>
      </c>
      <c r="T556">
        <v>3</v>
      </c>
      <c r="U556" s="1">
        <v>2</v>
      </c>
    </row>
    <row r="557" spans="1:21" x14ac:dyDescent="0.3">
      <c r="A557" t="s">
        <v>178</v>
      </c>
      <c r="B557" t="s">
        <v>187</v>
      </c>
      <c r="C557" s="2" t="s">
        <v>21</v>
      </c>
      <c r="D557" s="1">
        <v>2591</v>
      </c>
      <c r="E557">
        <v>18</v>
      </c>
      <c r="F557">
        <v>15</v>
      </c>
      <c r="G557">
        <v>14</v>
      </c>
      <c r="H557">
        <v>17</v>
      </c>
      <c r="I557">
        <v>386</v>
      </c>
      <c r="J557">
        <v>576</v>
      </c>
      <c r="K557">
        <v>642</v>
      </c>
      <c r="L557">
        <v>422</v>
      </c>
      <c r="M557">
        <v>214</v>
      </c>
      <c r="N557">
        <v>106</v>
      </c>
      <c r="O557">
        <v>63</v>
      </c>
      <c r="P557">
        <v>56</v>
      </c>
      <c r="Q557">
        <v>40</v>
      </c>
      <c r="R557">
        <v>12</v>
      </c>
      <c r="S557">
        <v>6</v>
      </c>
      <c r="T557">
        <v>4</v>
      </c>
      <c r="U557" s="1">
        <v>0</v>
      </c>
    </row>
    <row r="558" spans="1:21" x14ac:dyDescent="0.3">
      <c r="A558" t="s">
        <v>178</v>
      </c>
      <c r="B558" t="s">
        <v>187</v>
      </c>
      <c r="C558" s="2" t="s">
        <v>24</v>
      </c>
      <c r="D558" s="1">
        <v>1708</v>
      </c>
      <c r="E558">
        <v>11</v>
      </c>
      <c r="F558">
        <v>9</v>
      </c>
      <c r="G558">
        <v>5</v>
      </c>
      <c r="H558">
        <v>7</v>
      </c>
      <c r="I558">
        <v>257</v>
      </c>
      <c r="J558">
        <v>426</v>
      </c>
      <c r="K558">
        <v>475</v>
      </c>
      <c r="L558">
        <v>288</v>
      </c>
      <c r="M558">
        <v>119</v>
      </c>
      <c r="N558">
        <v>52</v>
      </c>
      <c r="O558">
        <v>19</v>
      </c>
      <c r="P558">
        <v>21</v>
      </c>
      <c r="Q558">
        <v>10</v>
      </c>
      <c r="R558">
        <v>4</v>
      </c>
      <c r="S558">
        <v>2</v>
      </c>
      <c r="T558">
        <v>3</v>
      </c>
      <c r="U558" s="1">
        <v>0</v>
      </c>
    </row>
    <row r="559" spans="1:21" x14ac:dyDescent="0.3">
      <c r="A559" t="s">
        <v>178</v>
      </c>
      <c r="B559" t="s">
        <v>187</v>
      </c>
      <c r="C559" s="2" t="s">
        <v>25</v>
      </c>
      <c r="D559">
        <v>883</v>
      </c>
      <c r="E559">
        <v>7</v>
      </c>
      <c r="F559">
        <v>6</v>
      </c>
      <c r="G559">
        <v>9</v>
      </c>
      <c r="H559">
        <v>10</v>
      </c>
      <c r="I559">
        <v>129</v>
      </c>
      <c r="J559">
        <v>150</v>
      </c>
      <c r="K559">
        <v>167</v>
      </c>
      <c r="L559">
        <v>134</v>
      </c>
      <c r="M559">
        <v>95</v>
      </c>
      <c r="N559">
        <v>54</v>
      </c>
      <c r="O559">
        <v>44</v>
      </c>
      <c r="P559">
        <v>35</v>
      </c>
      <c r="Q559">
        <v>30</v>
      </c>
      <c r="R559">
        <v>8</v>
      </c>
      <c r="S559">
        <v>4</v>
      </c>
      <c r="T559">
        <v>1</v>
      </c>
      <c r="U559" s="1">
        <v>0</v>
      </c>
    </row>
    <row r="560" spans="1:21" x14ac:dyDescent="0.3">
      <c r="A560" t="s">
        <v>178</v>
      </c>
      <c r="B560" t="s">
        <v>188</v>
      </c>
      <c r="C560" s="2" t="s">
        <v>21</v>
      </c>
      <c r="D560" s="1">
        <v>1199</v>
      </c>
      <c r="E560">
        <v>5</v>
      </c>
      <c r="F560">
        <v>1</v>
      </c>
      <c r="G560">
        <v>5</v>
      </c>
      <c r="H560">
        <v>7</v>
      </c>
      <c r="I560">
        <v>79</v>
      </c>
      <c r="J560">
        <v>234</v>
      </c>
      <c r="K560">
        <v>293</v>
      </c>
      <c r="L560">
        <v>270</v>
      </c>
      <c r="M560">
        <v>138</v>
      </c>
      <c r="N560">
        <v>69</v>
      </c>
      <c r="O560">
        <v>42</v>
      </c>
      <c r="P560">
        <v>25</v>
      </c>
      <c r="Q560">
        <v>22</v>
      </c>
      <c r="R560">
        <v>4</v>
      </c>
      <c r="S560">
        <v>5</v>
      </c>
      <c r="T560">
        <v>0</v>
      </c>
      <c r="U560" s="1">
        <v>0</v>
      </c>
    </row>
    <row r="561" spans="1:21" x14ac:dyDescent="0.3">
      <c r="A561" t="s">
        <v>178</v>
      </c>
      <c r="B561" t="s">
        <v>188</v>
      </c>
      <c r="C561" s="2" t="s">
        <v>24</v>
      </c>
      <c r="D561">
        <v>631</v>
      </c>
      <c r="E561">
        <v>3</v>
      </c>
      <c r="F561">
        <v>0</v>
      </c>
      <c r="G561">
        <v>1</v>
      </c>
      <c r="H561">
        <v>6</v>
      </c>
      <c r="I561">
        <v>42</v>
      </c>
      <c r="J561">
        <v>126</v>
      </c>
      <c r="K561">
        <v>170</v>
      </c>
      <c r="L561">
        <v>149</v>
      </c>
      <c r="M561">
        <v>63</v>
      </c>
      <c r="N561">
        <v>39</v>
      </c>
      <c r="O561">
        <v>18</v>
      </c>
      <c r="P561">
        <v>8</v>
      </c>
      <c r="Q561">
        <v>6</v>
      </c>
      <c r="R561">
        <v>0</v>
      </c>
      <c r="S561">
        <v>0</v>
      </c>
      <c r="T561">
        <v>0</v>
      </c>
      <c r="U561" s="1">
        <v>0</v>
      </c>
    </row>
    <row r="562" spans="1:21" x14ac:dyDescent="0.3">
      <c r="A562" t="s">
        <v>178</v>
      </c>
      <c r="B562" t="s">
        <v>188</v>
      </c>
      <c r="C562" s="2" t="s">
        <v>25</v>
      </c>
      <c r="D562">
        <v>568</v>
      </c>
      <c r="E562">
        <v>2</v>
      </c>
      <c r="F562">
        <v>1</v>
      </c>
      <c r="G562">
        <v>4</v>
      </c>
      <c r="H562">
        <v>1</v>
      </c>
      <c r="I562">
        <v>37</v>
      </c>
      <c r="J562">
        <v>108</v>
      </c>
      <c r="K562">
        <v>123</v>
      </c>
      <c r="L562">
        <v>121</v>
      </c>
      <c r="M562">
        <v>75</v>
      </c>
      <c r="N562">
        <v>30</v>
      </c>
      <c r="O562">
        <v>24</v>
      </c>
      <c r="P562">
        <v>17</v>
      </c>
      <c r="Q562">
        <v>16</v>
      </c>
      <c r="R562">
        <v>4</v>
      </c>
      <c r="S562">
        <v>5</v>
      </c>
      <c r="T562">
        <v>0</v>
      </c>
      <c r="U562" s="1">
        <v>0</v>
      </c>
    </row>
    <row r="563" spans="1:21" x14ac:dyDescent="0.3">
      <c r="A563" t="s">
        <v>178</v>
      </c>
      <c r="B563" t="s">
        <v>189</v>
      </c>
      <c r="C563" s="2" t="s">
        <v>21</v>
      </c>
      <c r="D563" s="1">
        <v>3557</v>
      </c>
      <c r="E563">
        <v>61</v>
      </c>
      <c r="F563">
        <v>37</v>
      </c>
      <c r="G563">
        <v>40</v>
      </c>
      <c r="H563">
        <v>321</v>
      </c>
      <c r="I563">
        <v>825</v>
      </c>
      <c r="J563">
        <v>575</v>
      </c>
      <c r="K563">
        <v>507</v>
      </c>
      <c r="L563">
        <v>377</v>
      </c>
      <c r="M563">
        <v>209</v>
      </c>
      <c r="N563">
        <v>164</v>
      </c>
      <c r="O563">
        <v>162</v>
      </c>
      <c r="P563">
        <v>128</v>
      </c>
      <c r="Q563">
        <v>84</v>
      </c>
      <c r="R563">
        <v>38</v>
      </c>
      <c r="S563">
        <v>17</v>
      </c>
      <c r="T563">
        <v>7</v>
      </c>
      <c r="U563" s="1">
        <v>5</v>
      </c>
    </row>
    <row r="564" spans="1:21" x14ac:dyDescent="0.3">
      <c r="A564" t="s">
        <v>178</v>
      </c>
      <c r="B564" t="s">
        <v>189</v>
      </c>
      <c r="C564" s="2" t="s">
        <v>24</v>
      </c>
      <c r="D564" s="1">
        <v>1894</v>
      </c>
      <c r="E564">
        <v>30</v>
      </c>
      <c r="F564">
        <v>21</v>
      </c>
      <c r="G564">
        <v>18</v>
      </c>
      <c r="H564">
        <v>190</v>
      </c>
      <c r="I564">
        <v>460</v>
      </c>
      <c r="J564">
        <v>355</v>
      </c>
      <c r="K564">
        <v>312</v>
      </c>
      <c r="L564">
        <v>182</v>
      </c>
      <c r="M564">
        <v>94</v>
      </c>
      <c r="N564">
        <v>57</v>
      </c>
      <c r="O564">
        <v>60</v>
      </c>
      <c r="P564">
        <v>55</v>
      </c>
      <c r="Q564">
        <v>29</v>
      </c>
      <c r="R564">
        <v>14</v>
      </c>
      <c r="S564">
        <v>10</v>
      </c>
      <c r="T564">
        <v>6</v>
      </c>
      <c r="U564" s="1">
        <v>1</v>
      </c>
    </row>
    <row r="565" spans="1:21" x14ac:dyDescent="0.3">
      <c r="A565" t="s">
        <v>178</v>
      </c>
      <c r="B565" t="s">
        <v>189</v>
      </c>
      <c r="C565" s="2" t="s">
        <v>25</v>
      </c>
      <c r="D565" s="1">
        <v>1663</v>
      </c>
      <c r="E565">
        <v>31</v>
      </c>
      <c r="F565">
        <v>16</v>
      </c>
      <c r="G565">
        <v>22</v>
      </c>
      <c r="H565">
        <v>131</v>
      </c>
      <c r="I565">
        <v>365</v>
      </c>
      <c r="J565">
        <v>220</v>
      </c>
      <c r="K565">
        <v>195</v>
      </c>
      <c r="L565">
        <v>195</v>
      </c>
      <c r="M565">
        <v>115</v>
      </c>
      <c r="N565">
        <v>107</v>
      </c>
      <c r="O565">
        <v>102</v>
      </c>
      <c r="P565">
        <v>73</v>
      </c>
      <c r="Q565">
        <v>55</v>
      </c>
      <c r="R565">
        <v>24</v>
      </c>
      <c r="S565">
        <v>7</v>
      </c>
      <c r="T565">
        <v>1</v>
      </c>
      <c r="U565" s="1">
        <v>4</v>
      </c>
    </row>
    <row r="566" spans="1:21" x14ac:dyDescent="0.3">
      <c r="A566" t="s">
        <v>178</v>
      </c>
      <c r="B566" t="s">
        <v>190</v>
      </c>
      <c r="C566" s="2" t="s">
        <v>21</v>
      </c>
      <c r="D566" s="1">
        <v>1984</v>
      </c>
      <c r="E566">
        <v>1</v>
      </c>
      <c r="F566">
        <v>3</v>
      </c>
      <c r="G566">
        <v>5</v>
      </c>
      <c r="H566">
        <v>5</v>
      </c>
      <c r="I566">
        <v>172</v>
      </c>
      <c r="J566">
        <v>458</v>
      </c>
      <c r="K566">
        <v>541</v>
      </c>
      <c r="L566">
        <v>441</v>
      </c>
      <c r="M566">
        <v>183</v>
      </c>
      <c r="N566">
        <v>82</v>
      </c>
      <c r="O566">
        <v>40</v>
      </c>
      <c r="P566">
        <v>25</v>
      </c>
      <c r="Q566">
        <v>14</v>
      </c>
      <c r="R566">
        <v>11</v>
      </c>
      <c r="S566">
        <v>1</v>
      </c>
      <c r="T566">
        <v>2</v>
      </c>
      <c r="U566" s="1">
        <v>0</v>
      </c>
    </row>
    <row r="567" spans="1:21" x14ac:dyDescent="0.3">
      <c r="A567" t="s">
        <v>178</v>
      </c>
      <c r="B567" t="s">
        <v>190</v>
      </c>
      <c r="C567" s="2" t="s">
        <v>24</v>
      </c>
      <c r="D567" s="1">
        <v>1631</v>
      </c>
      <c r="E567">
        <v>0</v>
      </c>
      <c r="F567">
        <v>0</v>
      </c>
      <c r="G567">
        <v>3</v>
      </c>
      <c r="H567">
        <v>2</v>
      </c>
      <c r="I567">
        <v>142</v>
      </c>
      <c r="J567">
        <v>408</v>
      </c>
      <c r="K567">
        <v>477</v>
      </c>
      <c r="L567">
        <v>367</v>
      </c>
      <c r="M567">
        <v>143</v>
      </c>
      <c r="N567">
        <v>49</v>
      </c>
      <c r="O567">
        <v>17</v>
      </c>
      <c r="P567">
        <v>11</v>
      </c>
      <c r="Q567">
        <v>4</v>
      </c>
      <c r="R567">
        <v>7</v>
      </c>
      <c r="S567">
        <v>0</v>
      </c>
      <c r="T567">
        <v>1</v>
      </c>
      <c r="U567" s="1">
        <v>0</v>
      </c>
    </row>
    <row r="568" spans="1:21" x14ac:dyDescent="0.3">
      <c r="A568" t="s">
        <v>178</v>
      </c>
      <c r="B568" t="s">
        <v>190</v>
      </c>
      <c r="C568" s="2" t="s">
        <v>25</v>
      </c>
      <c r="D568">
        <v>353</v>
      </c>
      <c r="E568">
        <v>1</v>
      </c>
      <c r="F568">
        <v>3</v>
      </c>
      <c r="G568">
        <v>2</v>
      </c>
      <c r="H568">
        <v>3</v>
      </c>
      <c r="I568">
        <v>30</v>
      </c>
      <c r="J568">
        <v>50</v>
      </c>
      <c r="K568">
        <v>64</v>
      </c>
      <c r="L568">
        <v>74</v>
      </c>
      <c r="M568">
        <v>40</v>
      </c>
      <c r="N568">
        <v>33</v>
      </c>
      <c r="O568">
        <v>23</v>
      </c>
      <c r="P568">
        <v>14</v>
      </c>
      <c r="Q568">
        <v>10</v>
      </c>
      <c r="R568">
        <v>4</v>
      </c>
      <c r="S568">
        <v>1</v>
      </c>
      <c r="T568">
        <v>1</v>
      </c>
      <c r="U568" s="1">
        <v>0</v>
      </c>
    </row>
    <row r="569" spans="1:21" x14ac:dyDescent="0.3">
      <c r="A569" t="s">
        <v>178</v>
      </c>
      <c r="B569" t="s">
        <v>191</v>
      </c>
      <c r="C569" s="2" t="s">
        <v>21</v>
      </c>
      <c r="D569" s="1">
        <v>7570</v>
      </c>
      <c r="E569">
        <v>46</v>
      </c>
      <c r="F569">
        <v>32</v>
      </c>
      <c r="G569">
        <v>20</v>
      </c>
      <c r="H569">
        <v>69</v>
      </c>
      <c r="I569" s="1">
        <v>1211</v>
      </c>
      <c r="J569" s="1">
        <v>1638</v>
      </c>
      <c r="K569" s="1">
        <v>1689</v>
      </c>
      <c r="L569" s="1">
        <v>1223</v>
      </c>
      <c r="M569">
        <v>714</v>
      </c>
      <c r="N569">
        <v>331</v>
      </c>
      <c r="O569">
        <v>244</v>
      </c>
      <c r="P569">
        <v>166</v>
      </c>
      <c r="Q569">
        <v>119</v>
      </c>
      <c r="R569">
        <v>43</v>
      </c>
      <c r="S569">
        <v>17</v>
      </c>
      <c r="T569">
        <v>6</v>
      </c>
      <c r="U569" s="1">
        <v>2</v>
      </c>
    </row>
    <row r="570" spans="1:21" x14ac:dyDescent="0.3">
      <c r="A570" t="s">
        <v>178</v>
      </c>
      <c r="B570" t="s">
        <v>191</v>
      </c>
      <c r="C570" s="2" t="s">
        <v>24</v>
      </c>
      <c r="D570" s="1">
        <v>5721</v>
      </c>
      <c r="E570">
        <v>23</v>
      </c>
      <c r="F570">
        <v>15</v>
      </c>
      <c r="G570">
        <v>8</v>
      </c>
      <c r="H570">
        <v>38</v>
      </c>
      <c r="I570">
        <v>900</v>
      </c>
      <c r="J570" s="1">
        <v>1353</v>
      </c>
      <c r="K570" s="1">
        <v>1396</v>
      </c>
      <c r="L570">
        <v>992</v>
      </c>
      <c r="M570">
        <v>521</v>
      </c>
      <c r="N570">
        <v>223</v>
      </c>
      <c r="O570">
        <v>131</v>
      </c>
      <c r="P570">
        <v>57</v>
      </c>
      <c r="Q570">
        <v>32</v>
      </c>
      <c r="R570">
        <v>17</v>
      </c>
      <c r="S570">
        <v>8</v>
      </c>
      <c r="T570">
        <v>5</v>
      </c>
      <c r="U570" s="1">
        <v>2</v>
      </c>
    </row>
    <row r="571" spans="1:21" x14ac:dyDescent="0.3">
      <c r="A571" t="s">
        <v>178</v>
      </c>
      <c r="B571" t="s">
        <v>191</v>
      </c>
      <c r="C571" s="2" t="s">
        <v>25</v>
      </c>
      <c r="D571" s="1">
        <v>1849</v>
      </c>
      <c r="E571">
        <v>23</v>
      </c>
      <c r="F571">
        <v>17</v>
      </c>
      <c r="G571">
        <v>12</v>
      </c>
      <c r="H571">
        <v>31</v>
      </c>
      <c r="I571">
        <v>311</v>
      </c>
      <c r="J571">
        <v>285</v>
      </c>
      <c r="K571">
        <v>293</v>
      </c>
      <c r="L571">
        <v>231</v>
      </c>
      <c r="M571">
        <v>193</v>
      </c>
      <c r="N571">
        <v>108</v>
      </c>
      <c r="O571">
        <v>113</v>
      </c>
      <c r="P571">
        <v>109</v>
      </c>
      <c r="Q571">
        <v>87</v>
      </c>
      <c r="R571">
        <v>26</v>
      </c>
      <c r="S571">
        <v>9</v>
      </c>
      <c r="T571">
        <v>1</v>
      </c>
      <c r="U571" s="1">
        <v>0</v>
      </c>
    </row>
    <row r="572" spans="1:21" x14ac:dyDescent="0.3">
      <c r="A572" t="s">
        <v>178</v>
      </c>
      <c r="B572" t="s">
        <v>192</v>
      </c>
      <c r="C572" s="2" t="s">
        <v>21</v>
      </c>
      <c r="D572" s="1">
        <v>1330</v>
      </c>
      <c r="E572">
        <v>5</v>
      </c>
      <c r="F572">
        <v>7</v>
      </c>
      <c r="G572">
        <v>6</v>
      </c>
      <c r="H572">
        <v>11</v>
      </c>
      <c r="I572">
        <v>117</v>
      </c>
      <c r="J572">
        <v>272</v>
      </c>
      <c r="K572">
        <v>296</v>
      </c>
      <c r="L572">
        <v>212</v>
      </c>
      <c r="M572">
        <v>136</v>
      </c>
      <c r="N572">
        <v>80</v>
      </c>
      <c r="O572">
        <v>76</v>
      </c>
      <c r="P572">
        <v>62</v>
      </c>
      <c r="Q572">
        <v>27</v>
      </c>
      <c r="R572">
        <v>11</v>
      </c>
      <c r="S572">
        <v>4</v>
      </c>
      <c r="T572">
        <v>5</v>
      </c>
      <c r="U572" s="1">
        <v>3</v>
      </c>
    </row>
    <row r="573" spans="1:21" x14ac:dyDescent="0.3">
      <c r="A573" t="s">
        <v>178</v>
      </c>
      <c r="B573" t="s">
        <v>192</v>
      </c>
      <c r="C573" s="2" t="s">
        <v>24</v>
      </c>
      <c r="D573">
        <v>945</v>
      </c>
      <c r="E573">
        <v>4</v>
      </c>
      <c r="F573">
        <v>4</v>
      </c>
      <c r="G573">
        <v>3</v>
      </c>
      <c r="H573">
        <v>6</v>
      </c>
      <c r="I573">
        <v>97</v>
      </c>
      <c r="J573">
        <v>228</v>
      </c>
      <c r="K573">
        <v>238</v>
      </c>
      <c r="L573">
        <v>141</v>
      </c>
      <c r="M573">
        <v>90</v>
      </c>
      <c r="N573">
        <v>43</v>
      </c>
      <c r="O573">
        <v>40</v>
      </c>
      <c r="P573">
        <v>26</v>
      </c>
      <c r="Q573">
        <v>13</v>
      </c>
      <c r="R573">
        <v>6</v>
      </c>
      <c r="S573">
        <v>1</v>
      </c>
      <c r="T573">
        <v>3</v>
      </c>
      <c r="U573" s="1">
        <v>2</v>
      </c>
    </row>
    <row r="574" spans="1:21" x14ac:dyDescent="0.3">
      <c r="A574" t="s">
        <v>178</v>
      </c>
      <c r="B574" t="s">
        <v>192</v>
      </c>
      <c r="C574" s="2" t="s">
        <v>25</v>
      </c>
      <c r="D574">
        <v>385</v>
      </c>
      <c r="E574">
        <v>1</v>
      </c>
      <c r="F574">
        <v>3</v>
      </c>
      <c r="G574">
        <v>3</v>
      </c>
      <c r="H574">
        <v>5</v>
      </c>
      <c r="I574">
        <v>20</v>
      </c>
      <c r="J574">
        <v>44</v>
      </c>
      <c r="K574">
        <v>58</v>
      </c>
      <c r="L574">
        <v>71</v>
      </c>
      <c r="M574">
        <v>46</v>
      </c>
      <c r="N574">
        <v>37</v>
      </c>
      <c r="O574">
        <v>36</v>
      </c>
      <c r="P574">
        <v>36</v>
      </c>
      <c r="Q574">
        <v>14</v>
      </c>
      <c r="R574">
        <v>5</v>
      </c>
      <c r="S574">
        <v>3</v>
      </c>
      <c r="T574">
        <v>2</v>
      </c>
      <c r="U574" s="1">
        <v>1</v>
      </c>
    </row>
    <row r="575" spans="1:21" x14ac:dyDescent="0.3">
      <c r="A575" t="s">
        <v>178</v>
      </c>
      <c r="B575" t="s">
        <v>193</v>
      </c>
      <c r="C575" s="2" t="s">
        <v>21</v>
      </c>
      <c r="D575" s="1">
        <v>10425</v>
      </c>
      <c r="E575">
        <v>191</v>
      </c>
      <c r="F575">
        <v>138</v>
      </c>
      <c r="G575">
        <v>91</v>
      </c>
      <c r="H575">
        <v>105</v>
      </c>
      <c r="I575">
        <v>916</v>
      </c>
      <c r="J575" s="1">
        <v>2085</v>
      </c>
      <c r="K575" s="1">
        <v>2302</v>
      </c>
      <c r="L575" s="1">
        <v>2090</v>
      </c>
      <c r="M575" s="1">
        <v>1253</v>
      </c>
      <c r="N575">
        <v>561</v>
      </c>
      <c r="O575">
        <v>268</v>
      </c>
      <c r="P575">
        <v>222</v>
      </c>
      <c r="Q575">
        <v>127</v>
      </c>
      <c r="R575">
        <v>52</v>
      </c>
      <c r="S575">
        <v>15</v>
      </c>
      <c r="T575">
        <v>3</v>
      </c>
      <c r="U575" s="1">
        <v>6</v>
      </c>
    </row>
    <row r="576" spans="1:21" x14ac:dyDescent="0.3">
      <c r="A576" t="s">
        <v>178</v>
      </c>
      <c r="B576" t="s">
        <v>193</v>
      </c>
      <c r="C576" s="2" t="s">
        <v>24</v>
      </c>
      <c r="D576" s="1">
        <v>8298</v>
      </c>
      <c r="E576">
        <v>106</v>
      </c>
      <c r="F576">
        <v>85</v>
      </c>
      <c r="G576">
        <v>46</v>
      </c>
      <c r="H576">
        <v>54</v>
      </c>
      <c r="I576">
        <v>763</v>
      </c>
      <c r="J576" s="1">
        <v>1768</v>
      </c>
      <c r="K576" s="1">
        <v>1962</v>
      </c>
      <c r="L576" s="1">
        <v>1756</v>
      </c>
      <c r="M576" s="1">
        <v>1017</v>
      </c>
      <c r="N576">
        <v>379</v>
      </c>
      <c r="O576">
        <v>160</v>
      </c>
      <c r="P576">
        <v>114</v>
      </c>
      <c r="Q576">
        <v>54</v>
      </c>
      <c r="R576">
        <v>21</v>
      </c>
      <c r="S576">
        <v>10</v>
      </c>
      <c r="T576">
        <v>1</v>
      </c>
      <c r="U576" s="1">
        <v>2</v>
      </c>
    </row>
    <row r="577" spans="1:21" x14ac:dyDescent="0.3">
      <c r="A577" t="s">
        <v>178</v>
      </c>
      <c r="B577" t="s">
        <v>193</v>
      </c>
      <c r="C577" s="2" t="s">
        <v>25</v>
      </c>
      <c r="D577" s="1">
        <v>2127</v>
      </c>
      <c r="E577">
        <v>85</v>
      </c>
      <c r="F577">
        <v>53</v>
      </c>
      <c r="G577">
        <v>45</v>
      </c>
      <c r="H577">
        <v>51</v>
      </c>
      <c r="I577">
        <v>153</v>
      </c>
      <c r="J577">
        <v>317</v>
      </c>
      <c r="K577">
        <v>340</v>
      </c>
      <c r="L577">
        <v>334</v>
      </c>
      <c r="M577">
        <v>236</v>
      </c>
      <c r="N577">
        <v>182</v>
      </c>
      <c r="O577">
        <v>108</v>
      </c>
      <c r="P577">
        <v>108</v>
      </c>
      <c r="Q577">
        <v>73</v>
      </c>
      <c r="R577">
        <v>31</v>
      </c>
      <c r="S577">
        <v>5</v>
      </c>
      <c r="T577">
        <v>2</v>
      </c>
      <c r="U577" s="1">
        <v>4</v>
      </c>
    </row>
    <row r="578" spans="1:21" x14ac:dyDescent="0.3">
      <c r="A578" t="s">
        <v>178</v>
      </c>
      <c r="B578" t="s">
        <v>194</v>
      </c>
      <c r="C578" s="2" t="s">
        <v>21</v>
      </c>
      <c r="D578" s="1">
        <v>5800</v>
      </c>
      <c r="E578">
        <v>10</v>
      </c>
      <c r="F578">
        <v>3</v>
      </c>
      <c r="G578">
        <v>7</v>
      </c>
      <c r="H578">
        <v>20</v>
      </c>
      <c r="I578">
        <v>308</v>
      </c>
      <c r="J578" s="1">
        <v>1434</v>
      </c>
      <c r="K578" s="1">
        <v>1850</v>
      </c>
      <c r="L578" s="1">
        <v>1340</v>
      </c>
      <c r="M578">
        <v>514</v>
      </c>
      <c r="N578">
        <v>169</v>
      </c>
      <c r="O578">
        <v>57</v>
      </c>
      <c r="P578">
        <v>46</v>
      </c>
      <c r="Q578">
        <v>26</v>
      </c>
      <c r="R578">
        <v>14</v>
      </c>
      <c r="S578">
        <v>0</v>
      </c>
      <c r="T578">
        <v>1</v>
      </c>
      <c r="U578" s="1">
        <v>1</v>
      </c>
    </row>
    <row r="579" spans="1:21" x14ac:dyDescent="0.3">
      <c r="A579" t="s">
        <v>178</v>
      </c>
      <c r="B579" t="s">
        <v>194</v>
      </c>
      <c r="C579" s="2" t="s">
        <v>24</v>
      </c>
      <c r="D579" s="1">
        <v>5123</v>
      </c>
      <c r="E579">
        <v>5</v>
      </c>
      <c r="F579">
        <v>1</v>
      </c>
      <c r="G579">
        <v>3</v>
      </c>
      <c r="H579">
        <v>16</v>
      </c>
      <c r="I579">
        <v>281</v>
      </c>
      <c r="J579" s="1">
        <v>1311</v>
      </c>
      <c r="K579" s="1">
        <v>1703</v>
      </c>
      <c r="L579" s="1">
        <v>1206</v>
      </c>
      <c r="M579">
        <v>432</v>
      </c>
      <c r="N579">
        <v>109</v>
      </c>
      <c r="O579">
        <v>24</v>
      </c>
      <c r="P579">
        <v>17</v>
      </c>
      <c r="Q579">
        <v>6</v>
      </c>
      <c r="R579">
        <v>9</v>
      </c>
      <c r="S579">
        <v>0</v>
      </c>
      <c r="T579">
        <v>0</v>
      </c>
      <c r="U579" s="1">
        <v>0</v>
      </c>
    </row>
    <row r="580" spans="1:21" x14ac:dyDescent="0.3">
      <c r="A580" t="s">
        <v>178</v>
      </c>
      <c r="B580" t="s">
        <v>194</v>
      </c>
      <c r="C580" s="2" t="s">
        <v>25</v>
      </c>
      <c r="D580">
        <v>677</v>
      </c>
      <c r="E580">
        <v>5</v>
      </c>
      <c r="F580">
        <v>2</v>
      </c>
      <c r="G580">
        <v>4</v>
      </c>
      <c r="H580">
        <v>4</v>
      </c>
      <c r="I580">
        <v>27</v>
      </c>
      <c r="J580">
        <v>123</v>
      </c>
      <c r="K580">
        <v>147</v>
      </c>
      <c r="L580">
        <v>134</v>
      </c>
      <c r="M580">
        <v>82</v>
      </c>
      <c r="N580">
        <v>60</v>
      </c>
      <c r="O580">
        <v>33</v>
      </c>
      <c r="P580">
        <v>29</v>
      </c>
      <c r="Q580">
        <v>20</v>
      </c>
      <c r="R580">
        <v>5</v>
      </c>
      <c r="S580">
        <v>0</v>
      </c>
      <c r="T580">
        <v>1</v>
      </c>
      <c r="U580" s="1">
        <v>1</v>
      </c>
    </row>
    <row r="581" spans="1:21" x14ac:dyDescent="0.3">
      <c r="A581" t="s">
        <v>178</v>
      </c>
      <c r="B581" t="s">
        <v>195</v>
      </c>
      <c r="C581" s="2" t="s">
        <v>21</v>
      </c>
      <c r="D581" s="1">
        <v>1411</v>
      </c>
      <c r="E581">
        <v>9</v>
      </c>
      <c r="F581">
        <v>8</v>
      </c>
      <c r="G581">
        <v>3</v>
      </c>
      <c r="H581">
        <v>8</v>
      </c>
      <c r="I581">
        <v>155</v>
      </c>
      <c r="J581">
        <v>313</v>
      </c>
      <c r="K581">
        <v>318</v>
      </c>
      <c r="L581">
        <v>224</v>
      </c>
      <c r="M581">
        <v>144</v>
      </c>
      <c r="N581">
        <v>66</v>
      </c>
      <c r="O581">
        <v>73</v>
      </c>
      <c r="P581">
        <v>51</v>
      </c>
      <c r="Q581">
        <v>23</v>
      </c>
      <c r="R581">
        <v>8</v>
      </c>
      <c r="S581">
        <v>3</v>
      </c>
      <c r="T581">
        <v>3</v>
      </c>
      <c r="U581" s="1">
        <v>2</v>
      </c>
    </row>
    <row r="582" spans="1:21" x14ac:dyDescent="0.3">
      <c r="A582" t="s">
        <v>178</v>
      </c>
      <c r="B582" t="s">
        <v>195</v>
      </c>
      <c r="C582" s="2" t="s">
        <v>24</v>
      </c>
      <c r="D582">
        <v>923</v>
      </c>
      <c r="E582">
        <v>6</v>
      </c>
      <c r="F582">
        <v>2</v>
      </c>
      <c r="G582">
        <v>2</v>
      </c>
      <c r="H582">
        <v>5</v>
      </c>
      <c r="I582">
        <v>126</v>
      </c>
      <c r="J582">
        <v>223</v>
      </c>
      <c r="K582">
        <v>223</v>
      </c>
      <c r="L582">
        <v>149</v>
      </c>
      <c r="M582">
        <v>87</v>
      </c>
      <c r="N582">
        <v>34</v>
      </c>
      <c r="O582">
        <v>32</v>
      </c>
      <c r="P582">
        <v>19</v>
      </c>
      <c r="Q582">
        <v>7</v>
      </c>
      <c r="R582">
        <v>4</v>
      </c>
      <c r="S582">
        <v>1</v>
      </c>
      <c r="T582">
        <v>1</v>
      </c>
      <c r="U582" s="1">
        <v>2</v>
      </c>
    </row>
    <row r="583" spans="1:21" x14ac:dyDescent="0.3">
      <c r="A583" t="s">
        <v>178</v>
      </c>
      <c r="B583" t="s">
        <v>195</v>
      </c>
      <c r="C583" s="2" t="s">
        <v>25</v>
      </c>
      <c r="D583">
        <v>488</v>
      </c>
      <c r="E583">
        <v>3</v>
      </c>
      <c r="F583">
        <v>6</v>
      </c>
      <c r="G583">
        <v>1</v>
      </c>
      <c r="H583">
        <v>3</v>
      </c>
      <c r="I583">
        <v>29</v>
      </c>
      <c r="J583">
        <v>90</v>
      </c>
      <c r="K583">
        <v>95</v>
      </c>
      <c r="L583">
        <v>75</v>
      </c>
      <c r="M583">
        <v>57</v>
      </c>
      <c r="N583">
        <v>32</v>
      </c>
      <c r="O583">
        <v>41</v>
      </c>
      <c r="P583">
        <v>32</v>
      </c>
      <c r="Q583">
        <v>16</v>
      </c>
      <c r="R583">
        <v>4</v>
      </c>
      <c r="S583">
        <v>2</v>
      </c>
      <c r="T583">
        <v>2</v>
      </c>
      <c r="U583" s="1">
        <v>0</v>
      </c>
    </row>
    <row r="584" spans="1:21" x14ac:dyDescent="0.3">
      <c r="A584" t="s">
        <v>178</v>
      </c>
      <c r="B584" t="s">
        <v>196</v>
      </c>
      <c r="C584" s="2" t="s">
        <v>21</v>
      </c>
      <c r="D584" s="1">
        <v>1109</v>
      </c>
      <c r="E584">
        <v>0</v>
      </c>
      <c r="F584">
        <v>6</v>
      </c>
      <c r="G584">
        <v>1</v>
      </c>
      <c r="H584">
        <v>17</v>
      </c>
      <c r="I584">
        <v>114</v>
      </c>
      <c r="J584">
        <v>216</v>
      </c>
      <c r="K584">
        <v>223</v>
      </c>
      <c r="L584">
        <v>218</v>
      </c>
      <c r="M584">
        <v>129</v>
      </c>
      <c r="N584">
        <v>74</v>
      </c>
      <c r="O584">
        <v>45</v>
      </c>
      <c r="P584">
        <v>36</v>
      </c>
      <c r="Q584">
        <v>13</v>
      </c>
      <c r="R584">
        <v>13</v>
      </c>
      <c r="S584">
        <v>3</v>
      </c>
      <c r="T584">
        <v>0</v>
      </c>
      <c r="U584" s="1">
        <v>1</v>
      </c>
    </row>
    <row r="585" spans="1:21" x14ac:dyDescent="0.3">
      <c r="A585" t="s">
        <v>178</v>
      </c>
      <c r="B585" t="s">
        <v>196</v>
      </c>
      <c r="C585" s="2" t="s">
        <v>24</v>
      </c>
      <c r="D585">
        <v>664</v>
      </c>
      <c r="E585">
        <v>0</v>
      </c>
      <c r="F585">
        <v>3</v>
      </c>
      <c r="G585">
        <v>0</v>
      </c>
      <c r="H585">
        <v>14</v>
      </c>
      <c r="I585">
        <v>60</v>
      </c>
      <c r="J585">
        <v>163</v>
      </c>
      <c r="K585">
        <v>158</v>
      </c>
      <c r="L585">
        <v>138</v>
      </c>
      <c r="M585">
        <v>68</v>
      </c>
      <c r="N585">
        <v>34</v>
      </c>
      <c r="O585">
        <v>9</v>
      </c>
      <c r="P585">
        <v>9</v>
      </c>
      <c r="Q585">
        <v>2</v>
      </c>
      <c r="R585">
        <v>3</v>
      </c>
      <c r="S585">
        <v>2</v>
      </c>
      <c r="T585">
        <v>0</v>
      </c>
      <c r="U585" s="1">
        <v>1</v>
      </c>
    </row>
    <row r="586" spans="1:21" x14ac:dyDescent="0.3">
      <c r="A586" t="s">
        <v>178</v>
      </c>
      <c r="B586" t="s">
        <v>196</v>
      </c>
      <c r="C586" s="2" t="s">
        <v>25</v>
      </c>
      <c r="D586">
        <v>445</v>
      </c>
      <c r="E586">
        <v>0</v>
      </c>
      <c r="F586">
        <v>3</v>
      </c>
      <c r="G586">
        <v>1</v>
      </c>
      <c r="H586">
        <v>3</v>
      </c>
      <c r="I586">
        <v>54</v>
      </c>
      <c r="J586">
        <v>53</v>
      </c>
      <c r="K586">
        <v>65</v>
      </c>
      <c r="L586">
        <v>80</v>
      </c>
      <c r="M586">
        <v>61</v>
      </c>
      <c r="N586">
        <v>40</v>
      </c>
      <c r="O586">
        <v>36</v>
      </c>
      <c r="P586">
        <v>27</v>
      </c>
      <c r="Q586">
        <v>11</v>
      </c>
      <c r="R586">
        <v>10</v>
      </c>
      <c r="S586">
        <v>1</v>
      </c>
      <c r="T586">
        <v>0</v>
      </c>
      <c r="U586" s="1">
        <v>0</v>
      </c>
    </row>
    <row r="587" spans="1:21" x14ac:dyDescent="0.3">
      <c r="A587" t="s">
        <v>178</v>
      </c>
      <c r="B587" t="s">
        <v>197</v>
      </c>
      <c r="C587" s="2" t="s">
        <v>21</v>
      </c>
      <c r="D587" s="1">
        <v>3141</v>
      </c>
      <c r="E587">
        <v>9</v>
      </c>
      <c r="F587">
        <v>2</v>
      </c>
      <c r="G587">
        <v>5</v>
      </c>
      <c r="H587">
        <v>11</v>
      </c>
      <c r="I587">
        <v>309</v>
      </c>
      <c r="J587">
        <v>790</v>
      </c>
      <c r="K587">
        <v>920</v>
      </c>
      <c r="L587">
        <v>582</v>
      </c>
      <c r="M587">
        <v>264</v>
      </c>
      <c r="N587">
        <v>134</v>
      </c>
      <c r="O587">
        <v>59</v>
      </c>
      <c r="P587">
        <v>36</v>
      </c>
      <c r="Q587">
        <v>8</v>
      </c>
      <c r="R587">
        <v>4</v>
      </c>
      <c r="S587">
        <v>3</v>
      </c>
      <c r="T587">
        <v>3</v>
      </c>
      <c r="U587" s="1">
        <v>2</v>
      </c>
    </row>
    <row r="588" spans="1:21" x14ac:dyDescent="0.3">
      <c r="A588" t="s">
        <v>178</v>
      </c>
      <c r="B588" t="s">
        <v>197</v>
      </c>
      <c r="C588" s="2" t="s">
        <v>24</v>
      </c>
      <c r="D588" s="1">
        <v>2603</v>
      </c>
      <c r="E588">
        <v>6</v>
      </c>
      <c r="F588">
        <v>1</v>
      </c>
      <c r="G588">
        <v>1</v>
      </c>
      <c r="H588">
        <v>6</v>
      </c>
      <c r="I588">
        <v>276</v>
      </c>
      <c r="J588">
        <v>716</v>
      </c>
      <c r="K588">
        <v>808</v>
      </c>
      <c r="L588">
        <v>471</v>
      </c>
      <c r="M588">
        <v>191</v>
      </c>
      <c r="N588">
        <v>83</v>
      </c>
      <c r="O588">
        <v>24</v>
      </c>
      <c r="P588">
        <v>14</v>
      </c>
      <c r="Q588">
        <v>2</v>
      </c>
      <c r="R588">
        <v>0</v>
      </c>
      <c r="S588">
        <v>1</v>
      </c>
      <c r="T588">
        <v>2</v>
      </c>
      <c r="U588" s="1">
        <v>1</v>
      </c>
    </row>
    <row r="589" spans="1:21" x14ac:dyDescent="0.3">
      <c r="A589" t="s">
        <v>178</v>
      </c>
      <c r="B589" t="s">
        <v>197</v>
      </c>
      <c r="C589" s="2" t="s">
        <v>25</v>
      </c>
      <c r="D589">
        <v>538</v>
      </c>
      <c r="E589">
        <v>3</v>
      </c>
      <c r="F589">
        <v>1</v>
      </c>
      <c r="G589">
        <v>4</v>
      </c>
      <c r="H589">
        <v>5</v>
      </c>
      <c r="I589">
        <v>33</v>
      </c>
      <c r="J589">
        <v>74</v>
      </c>
      <c r="K589">
        <v>112</v>
      </c>
      <c r="L589">
        <v>111</v>
      </c>
      <c r="M589">
        <v>73</v>
      </c>
      <c r="N589">
        <v>51</v>
      </c>
      <c r="O589">
        <v>35</v>
      </c>
      <c r="P589">
        <v>22</v>
      </c>
      <c r="Q589">
        <v>6</v>
      </c>
      <c r="R589">
        <v>4</v>
      </c>
      <c r="S589">
        <v>2</v>
      </c>
      <c r="T589">
        <v>1</v>
      </c>
      <c r="U589" s="1">
        <v>1</v>
      </c>
    </row>
    <row r="590" spans="1:21" x14ac:dyDescent="0.3">
      <c r="A590" t="s">
        <v>178</v>
      </c>
      <c r="B590" t="s">
        <v>198</v>
      </c>
      <c r="C590" s="2" t="s">
        <v>21</v>
      </c>
      <c r="D590" s="1">
        <v>1366</v>
      </c>
      <c r="E590">
        <v>3</v>
      </c>
      <c r="F590">
        <v>3</v>
      </c>
      <c r="G590">
        <v>2</v>
      </c>
      <c r="H590">
        <v>4</v>
      </c>
      <c r="I590">
        <v>163</v>
      </c>
      <c r="J590">
        <v>353</v>
      </c>
      <c r="K590">
        <v>327</v>
      </c>
      <c r="L590">
        <v>231</v>
      </c>
      <c r="M590">
        <v>110</v>
      </c>
      <c r="N590">
        <v>67</v>
      </c>
      <c r="O590">
        <v>50</v>
      </c>
      <c r="P590">
        <v>35</v>
      </c>
      <c r="Q590">
        <v>11</v>
      </c>
      <c r="R590">
        <v>5</v>
      </c>
      <c r="S590">
        <v>0</v>
      </c>
      <c r="T590">
        <v>1</v>
      </c>
      <c r="U590" s="1">
        <v>1</v>
      </c>
    </row>
    <row r="591" spans="1:21" x14ac:dyDescent="0.3">
      <c r="A591" t="s">
        <v>178</v>
      </c>
      <c r="B591" t="s">
        <v>198</v>
      </c>
      <c r="C591" s="2" t="s">
        <v>24</v>
      </c>
      <c r="D591">
        <v>946</v>
      </c>
      <c r="E591">
        <v>1</v>
      </c>
      <c r="F591">
        <v>0</v>
      </c>
      <c r="G591">
        <v>1</v>
      </c>
      <c r="H591">
        <v>3</v>
      </c>
      <c r="I591">
        <v>124</v>
      </c>
      <c r="J591">
        <v>274</v>
      </c>
      <c r="K591">
        <v>243</v>
      </c>
      <c r="L591">
        <v>160</v>
      </c>
      <c r="M591">
        <v>71</v>
      </c>
      <c r="N591">
        <v>32</v>
      </c>
      <c r="O591">
        <v>20</v>
      </c>
      <c r="P591">
        <v>11</v>
      </c>
      <c r="Q591">
        <v>3</v>
      </c>
      <c r="R591">
        <v>3</v>
      </c>
      <c r="S591">
        <v>0</v>
      </c>
      <c r="T591">
        <v>0</v>
      </c>
      <c r="U591" s="1">
        <v>0</v>
      </c>
    </row>
    <row r="592" spans="1:21" x14ac:dyDescent="0.3">
      <c r="A592" t="s">
        <v>178</v>
      </c>
      <c r="B592" t="s">
        <v>198</v>
      </c>
      <c r="C592" s="2" t="s">
        <v>25</v>
      </c>
      <c r="D592">
        <v>420</v>
      </c>
      <c r="E592">
        <v>2</v>
      </c>
      <c r="F592">
        <v>3</v>
      </c>
      <c r="G592">
        <v>1</v>
      </c>
      <c r="H592">
        <v>1</v>
      </c>
      <c r="I592">
        <v>39</v>
      </c>
      <c r="J592">
        <v>79</v>
      </c>
      <c r="K592">
        <v>84</v>
      </c>
      <c r="L592">
        <v>71</v>
      </c>
      <c r="M592">
        <v>39</v>
      </c>
      <c r="N592">
        <v>35</v>
      </c>
      <c r="O592">
        <v>30</v>
      </c>
      <c r="P592">
        <v>24</v>
      </c>
      <c r="Q592">
        <v>8</v>
      </c>
      <c r="R592">
        <v>2</v>
      </c>
      <c r="S592">
        <v>0</v>
      </c>
      <c r="T592">
        <v>1</v>
      </c>
      <c r="U592" s="1">
        <v>1</v>
      </c>
    </row>
    <row r="593" spans="1:21" x14ac:dyDescent="0.3">
      <c r="A593" t="s">
        <v>178</v>
      </c>
      <c r="B593" t="s">
        <v>199</v>
      </c>
      <c r="C593" s="2" t="s">
        <v>21</v>
      </c>
      <c r="D593" s="1">
        <v>4232</v>
      </c>
      <c r="E593">
        <v>17</v>
      </c>
      <c r="F593">
        <v>10</v>
      </c>
      <c r="G593">
        <v>9</v>
      </c>
      <c r="H593">
        <v>11</v>
      </c>
      <c r="I593">
        <v>380</v>
      </c>
      <c r="J593">
        <v>843</v>
      </c>
      <c r="K593" s="1">
        <v>1043</v>
      </c>
      <c r="L593">
        <v>904</v>
      </c>
      <c r="M593">
        <v>540</v>
      </c>
      <c r="N593">
        <v>219</v>
      </c>
      <c r="O593">
        <v>105</v>
      </c>
      <c r="P593">
        <v>77</v>
      </c>
      <c r="Q593">
        <v>51</v>
      </c>
      <c r="R593">
        <v>15</v>
      </c>
      <c r="S593">
        <v>7</v>
      </c>
      <c r="T593">
        <v>0</v>
      </c>
      <c r="U593" s="1">
        <v>1</v>
      </c>
    </row>
    <row r="594" spans="1:21" x14ac:dyDescent="0.3">
      <c r="A594" t="s">
        <v>178</v>
      </c>
      <c r="B594" t="s">
        <v>199</v>
      </c>
      <c r="C594" s="2" t="s">
        <v>24</v>
      </c>
      <c r="D594" s="1">
        <v>3017</v>
      </c>
      <c r="E594">
        <v>9</v>
      </c>
      <c r="F594">
        <v>6</v>
      </c>
      <c r="G594">
        <v>6</v>
      </c>
      <c r="H594">
        <v>7</v>
      </c>
      <c r="I594">
        <v>296</v>
      </c>
      <c r="J594">
        <v>665</v>
      </c>
      <c r="K594">
        <v>813</v>
      </c>
      <c r="L594">
        <v>661</v>
      </c>
      <c r="M594">
        <v>347</v>
      </c>
      <c r="N594">
        <v>117</v>
      </c>
      <c r="O594">
        <v>45</v>
      </c>
      <c r="P594">
        <v>21</v>
      </c>
      <c r="Q594">
        <v>15</v>
      </c>
      <c r="R594">
        <v>5</v>
      </c>
      <c r="S594">
        <v>3</v>
      </c>
      <c r="T594">
        <v>0</v>
      </c>
      <c r="U594" s="1">
        <v>1</v>
      </c>
    </row>
    <row r="595" spans="1:21" x14ac:dyDescent="0.3">
      <c r="A595" t="s">
        <v>178</v>
      </c>
      <c r="B595" t="s">
        <v>199</v>
      </c>
      <c r="C595" s="2" t="s">
        <v>25</v>
      </c>
      <c r="D595" s="1">
        <v>1215</v>
      </c>
      <c r="E595">
        <v>8</v>
      </c>
      <c r="F595">
        <v>4</v>
      </c>
      <c r="G595">
        <v>3</v>
      </c>
      <c r="H595">
        <v>4</v>
      </c>
      <c r="I595">
        <v>84</v>
      </c>
      <c r="J595">
        <v>178</v>
      </c>
      <c r="K595">
        <v>230</v>
      </c>
      <c r="L595">
        <v>243</v>
      </c>
      <c r="M595">
        <v>193</v>
      </c>
      <c r="N595">
        <v>102</v>
      </c>
      <c r="O595">
        <v>60</v>
      </c>
      <c r="P595">
        <v>56</v>
      </c>
      <c r="Q595">
        <v>36</v>
      </c>
      <c r="R595">
        <v>10</v>
      </c>
      <c r="S595">
        <v>4</v>
      </c>
      <c r="T595">
        <v>0</v>
      </c>
      <c r="U595" s="1">
        <v>0</v>
      </c>
    </row>
    <row r="596" spans="1:21" x14ac:dyDescent="0.3">
      <c r="A596" t="s">
        <v>178</v>
      </c>
      <c r="B596" t="s">
        <v>200</v>
      </c>
      <c r="C596" s="2" t="s">
        <v>21</v>
      </c>
      <c r="D596" s="1">
        <v>1204</v>
      </c>
      <c r="E596">
        <v>16</v>
      </c>
      <c r="F596">
        <v>9</v>
      </c>
      <c r="G596">
        <v>14</v>
      </c>
      <c r="H596">
        <v>6</v>
      </c>
      <c r="I596">
        <v>101</v>
      </c>
      <c r="J596">
        <v>255</v>
      </c>
      <c r="K596">
        <v>286</v>
      </c>
      <c r="L596">
        <v>171</v>
      </c>
      <c r="M596">
        <v>116</v>
      </c>
      <c r="N596">
        <v>53</v>
      </c>
      <c r="O596">
        <v>49</v>
      </c>
      <c r="P596">
        <v>58</v>
      </c>
      <c r="Q596">
        <v>48</v>
      </c>
      <c r="R596">
        <v>16</v>
      </c>
      <c r="S596">
        <v>5</v>
      </c>
      <c r="T596">
        <v>1</v>
      </c>
      <c r="U596" s="1">
        <v>0</v>
      </c>
    </row>
    <row r="597" spans="1:21" x14ac:dyDescent="0.3">
      <c r="A597" t="s">
        <v>178</v>
      </c>
      <c r="B597" t="s">
        <v>200</v>
      </c>
      <c r="C597" s="2" t="s">
        <v>24</v>
      </c>
      <c r="D597">
        <v>654</v>
      </c>
      <c r="E597">
        <v>8</v>
      </c>
      <c r="F597">
        <v>4</v>
      </c>
      <c r="G597">
        <v>6</v>
      </c>
      <c r="H597">
        <v>6</v>
      </c>
      <c r="I597">
        <v>73</v>
      </c>
      <c r="J597">
        <v>167</v>
      </c>
      <c r="K597">
        <v>182</v>
      </c>
      <c r="L597">
        <v>94</v>
      </c>
      <c r="M597">
        <v>51</v>
      </c>
      <c r="N597">
        <v>15</v>
      </c>
      <c r="O597">
        <v>16</v>
      </c>
      <c r="P597">
        <v>16</v>
      </c>
      <c r="Q597">
        <v>9</v>
      </c>
      <c r="R597">
        <v>3</v>
      </c>
      <c r="S597">
        <v>3</v>
      </c>
      <c r="T597">
        <v>1</v>
      </c>
      <c r="U597" s="1">
        <v>0</v>
      </c>
    </row>
    <row r="598" spans="1:21" x14ac:dyDescent="0.3">
      <c r="A598" t="s">
        <v>178</v>
      </c>
      <c r="B598" t="s">
        <v>200</v>
      </c>
      <c r="C598" s="2" t="s">
        <v>25</v>
      </c>
      <c r="D598">
        <v>550</v>
      </c>
      <c r="E598">
        <v>8</v>
      </c>
      <c r="F598">
        <v>5</v>
      </c>
      <c r="G598">
        <v>8</v>
      </c>
      <c r="H598">
        <v>0</v>
      </c>
      <c r="I598">
        <v>28</v>
      </c>
      <c r="J598">
        <v>88</v>
      </c>
      <c r="K598">
        <v>104</v>
      </c>
      <c r="L598">
        <v>77</v>
      </c>
      <c r="M598">
        <v>65</v>
      </c>
      <c r="N598">
        <v>38</v>
      </c>
      <c r="O598">
        <v>33</v>
      </c>
      <c r="P598">
        <v>42</v>
      </c>
      <c r="Q598">
        <v>39</v>
      </c>
      <c r="R598">
        <v>13</v>
      </c>
      <c r="S598">
        <v>2</v>
      </c>
      <c r="T598">
        <v>0</v>
      </c>
      <c r="U598" s="1">
        <v>0</v>
      </c>
    </row>
    <row r="599" spans="1:21" x14ac:dyDescent="0.3">
      <c r="A599" t="s">
        <v>201</v>
      </c>
      <c r="B599" t="s">
        <v>21</v>
      </c>
      <c r="C599" s="2" t="s">
        <v>21</v>
      </c>
      <c r="D599" s="1">
        <v>28508</v>
      </c>
      <c r="E599">
        <v>292</v>
      </c>
      <c r="F599">
        <v>479</v>
      </c>
      <c r="G599">
        <v>570</v>
      </c>
      <c r="H599">
        <v>687</v>
      </c>
      <c r="I599" s="1">
        <v>2667</v>
      </c>
      <c r="J599" s="1">
        <v>4627</v>
      </c>
      <c r="K599" s="1">
        <v>4618</v>
      </c>
      <c r="L599" s="1">
        <v>4559</v>
      </c>
      <c r="M599" s="1">
        <v>3442</v>
      </c>
      <c r="N599" s="1">
        <v>2400</v>
      </c>
      <c r="O599" s="1">
        <v>1601</v>
      </c>
      <c r="P599" s="1">
        <v>1142</v>
      </c>
      <c r="Q599">
        <v>768</v>
      </c>
      <c r="R599">
        <v>369</v>
      </c>
      <c r="S599">
        <v>170</v>
      </c>
      <c r="T599">
        <v>67</v>
      </c>
      <c r="U599" s="1">
        <v>50</v>
      </c>
    </row>
    <row r="600" spans="1:21" x14ac:dyDescent="0.3">
      <c r="A600" t="s">
        <v>201</v>
      </c>
      <c r="B600" t="s">
        <v>21</v>
      </c>
      <c r="C600" s="2" t="s">
        <v>24</v>
      </c>
      <c r="D600" s="1">
        <f>D603+D606</f>
        <v>16867</v>
      </c>
      <c r="E600" s="1">
        <f t="shared" ref="E600:U600" si="24">E603+E606</f>
        <v>149</v>
      </c>
      <c r="F600" s="1">
        <f t="shared" si="24"/>
        <v>252</v>
      </c>
      <c r="G600" s="1">
        <f t="shared" si="24"/>
        <v>295</v>
      </c>
      <c r="H600" s="1">
        <f t="shared" si="24"/>
        <v>350</v>
      </c>
      <c r="I600" s="1">
        <f t="shared" si="24"/>
        <v>1844</v>
      </c>
      <c r="J600" s="1">
        <f t="shared" si="24"/>
        <v>3343</v>
      </c>
      <c r="K600" s="1">
        <f t="shared" si="24"/>
        <v>3217</v>
      </c>
      <c r="L600" s="1">
        <f t="shared" si="24"/>
        <v>2667</v>
      </c>
      <c r="M600" s="1">
        <f t="shared" si="24"/>
        <v>1797</v>
      </c>
      <c r="N600" s="1">
        <f t="shared" si="24"/>
        <v>979</v>
      </c>
      <c r="O600" s="1">
        <f t="shared" si="24"/>
        <v>674</v>
      </c>
      <c r="P600" s="1">
        <f t="shared" si="24"/>
        <v>564</v>
      </c>
      <c r="Q600" s="1">
        <f t="shared" si="24"/>
        <v>375</v>
      </c>
      <c r="R600" s="1">
        <f t="shared" si="24"/>
        <v>196</v>
      </c>
      <c r="S600" s="1">
        <f t="shared" si="24"/>
        <v>98</v>
      </c>
      <c r="T600" s="1">
        <f t="shared" si="24"/>
        <v>36</v>
      </c>
      <c r="U600" s="1">
        <f t="shared" si="24"/>
        <v>31</v>
      </c>
    </row>
    <row r="601" spans="1:21" x14ac:dyDescent="0.3">
      <c r="A601" t="s">
        <v>201</v>
      </c>
      <c r="B601" t="s">
        <v>21</v>
      </c>
      <c r="C601" s="2" t="s">
        <v>25</v>
      </c>
      <c r="D601" s="1">
        <f>D604+D607</f>
        <v>11641</v>
      </c>
      <c r="E601" s="1">
        <f t="shared" ref="E601:U601" si="25">E604+E607</f>
        <v>143</v>
      </c>
      <c r="F601" s="1">
        <f t="shared" si="25"/>
        <v>227</v>
      </c>
      <c r="G601" s="1">
        <f t="shared" si="25"/>
        <v>275</v>
      </c>
      <c r="H601" s="1">
        <f t="shared" si="25"/>
        <v>337</v>
      </c>
      <c r="I601" s="1">
        <f t="shared" si="25"/>
        <v>823</v>
      </c>
      <c r="J601" s="1">
        <f t="shared" si="25"/>
        <v>1284</v>
      </c>
      <c r="K601" s="1">
        <f t="shared" si="25"/>
        <v>1401</v>
      </c>
      <c r="L601" s="1">
        <f t="shared" si="25"/>
        <v>1892</v>
      </c>
      <c r="M601" s="1">
        <f t="shared" si="25"/>
        <v>1645</v>
      </c>
      <c r="N601" s="1">
        <f t="shared" si="25"/>
        <v>1421</v>
      </c>
      <c r="O601" s="1">
        <f t="shared" si="25"/>
        <v>927</v>
      </c>
      <c r="P601" s="1">
        <f t="shared" si="25"/>
        <v>578</v>
      </c>
      <c r="Q601" s="1">
        <f t="shared" si="25"/>
        <v>393</v>
      </c>
      <c r="R601" s="1">
        <f t="shared" si="25"/>
        <v>173</v>
      </c>
      <c r="S601" s="1">
        <f t="shared" si="25"/>
        <v>72</v>
      </c>
      <c r="T601" s="1">
        <f t="shared" si="25"/>
        <v>31</v>
      </c>
      <c r="U601" s="1">
        <f t="shared" si="25"/>
        <v>19</v>
      </c>
    </row>
    <row r="602" spans="1:21" x14ac:dyDescent="0.3">
      <c r="A602" t="s">
        <v>201</v>
      </c>
      <c r="B602" t="s">
        <v>202</v>
      </c>
      <c r="C602" s="2" t="s">
        <v>21</v>
      </c>
      <c r="D602" s="1">
        <v>10083</v>
      </c>
      <c r="E602">
        <v>98</v>
      </c>
      <c r="F602">
        <v>177</v>
      </c>
      <c r="G602">
        <v>266</v>
      </c>
      <c r="H602">
        <v>223</v>
      </c>
      <c r="I602">
        <v>757</v>
      </c>
      <c r="J602" s="1">
        <v>1477</v>
      </c>
      <c r="K602" s="1">
        <v>1685</v>
      </c>
      <c r="L602" s="1">
        <v>1699</v>
      </c>
      <c r="M602" s="1">
        <v>1301</v>
      </c>
      <c r="N602">
        <v>842</v>
      </c>
      <c r="O602">
        <v>592</v>
      </c>
      <c r="P602">
        <v>409</v>
      </c>
      <c r="Q602">
        <v>317</v>
      </c>
      <c r="R602">
        <v>147</v>
      </c>
      <c r="S602">
        <v>61</v>
      </c>
      <c r="T602">
        <v>16</v>
      </c>
      <c r="U602" s="1">
        <v>16</v>
      </c>
    </row>
    <row r="603" spans="1:21" x14ac:dyDescent="0.3">
      <c r="A603" t="s">
        <v>201</v>
      </c>
      <c r="B603" t="s">
        <v>202</v>
      </c>
      <c r="C603" s="2" t="s">
        <v>24</v>
      </c>
      <c r="D603" s="1">
        <v>6407</v>
      </c>
      <c r="E603">
        <v>50</v>
      </c>
      <c r="F603">
        <v>95</v>
      </c>
      <c r="G603">
        <v>137</v>
      </c>
      <c r="H603">
        <v>104</v>
      </c>
      <c r="I603">
        <v>576</v>
      </c>
      <c r="J603" s="1">
        <v>1187</v>
      </c>
      <c r="K603" s="1">
        <v>1245</v>
      </c>
      <c r="L603" s="1">
        <v>1086</v>
      </c>
      <c r="M603">
        <v>776</v>
      </c>
      <c r="N603">
        <v>385</v>
      </c>
      <c r="O603">
        <v>261</v>
      </c>
      <c r="P603">
        <v>214</v>
      </c>
      <c r="Q603">
        <v>160</v>
      </c>
      <c r="R603">
        <v>80</v>
      </c>
      <c r="S603">
        <v>34</v>
      </c>
      <c r="T603">
        <v>6</v>
      </c>
      <c r="U603" s="1">
        <v>11</v>
      </c>
    </row>
    <row r="604" spans="1:21" x14ac:dyDescent="0.3">
      <c r="A604" t="s">
        <v>201</v>
      </c>
      <c r="B604" t="s">
        <v>202</v>
      </c>
      <c r="C604" s="2" t="s">
        <v>25</v>
      </c>
      <c r="D604" s="1">
        <v>3676</v>
      </c>
      <c r="E604">
        <v>48</v>
      </c>
      <c r="F604">
        <v>82</v>
      </c>
      <c r="G604">
        <v>129</v>
      </c>
      <c r="H604">
        <v>119</v>
      </c>
      <c r="I604">
        <v>181</v>
      </c>
      <c r="J604">
        <v>290</v>
      </c>
      <c r="K604">
        <v>440</v>
      </c>
      <c r="L604">
        <v>613</v>
      </c>
      <c r="M604">
        <v>525</v>
      </c>
      <c r="N604">
        <v>457</v>
      </c>
      <c r="O604">
        <v>331</v>
      </c>
      <c r="P604">
        <v>195</v>
      </c>
      <c r="Q604">
        <v>157</v>
      </c>
      <c r="R604">
        <v>67</v>
      </c>
      <c r="S604">
        <v>27</v>
      </c>
      <c r="T604">
        <v>10</v>
      </c>
      <c r="U604" s="1">
        <v>5</v>
      </c>
    </row>
    <row r="605" spans="1:21" x14ac:dyDescent="0.3">
      <c r="A605" t="s">
        <v>201</v>
      </c>
      <c r="B605" t="s">
        <v>203</v>
      </c>
      <c r="C605" s="2" t="s">
        <v>21</v>
      </c>
      <c r="D605" s="1">
        <v>18425</v>
      </c>
      <c r="E605">
        <v>194</v>
      </c>
      <c r="F605">
        <v>302</v>
      </c>
      <c r="G605">
        <v>304</v>
      </c>
      <c r="H605">
        <v>464</v>
      </c>
      <c r="I605" s="1">
        <v>1910</v>
      </c>
      <c r="J605" s="1">
        <v>3150</v>
      </c>
      <c r="K605" s="1">
        <v>2933</v>
      </c>
      <c r="L605" s="1">
        <v>2860</v>
      </c>
      <c r="M605" s="1">
        <v>2141</v>
      </c>
      <c r="N605" s="1">
        <v>1558</v>
      </c>
      <c r="O605" s="1">
        <v>1009</v>
      </c>
      <c r="P605">
        <v>733</v>
      </c>
      <c r="Q605">
        <v>451</v>
      </c>
      <c r="R605">
        <v>222</v>
      </c>
      <c r="S605">
        <v>109</v>
      </c>
      <c r="T605">
        <v>51</v>
      </c>
      <c r="U605" s="1">
        <v>34</v>
      </c>
    </row>
    <row r="606" spans="1:21" x14ac:dyDescent="0.3">
      <c r="A606" t="s">
        <v>201</v>
      </c>
      <c r="B606" t="s">
        <v>203</v>
      </c>
      <c r="C606" s="2" t="s">
        <v>24</v>
      </c>
      <c r="D606" s="1">
        <v>10460</v>
      </c>
      <c r="E606">
        <v>99</v>
      </c>
      <c r="F606">
        <v>157</v>
      </c>
      <c r="G606">
        <v>158</v>
      </c>
      <c r="H606">
        <v>246</v>
      </c>
      <c r="I606" s="1">
        <v>1268</v>
      </c>
      <c r="J606" s="1">
        <v>2156</v>
      </c>
      <c r="K606" s="1">
        <v>1972</v>
      </c>
      <c r="L606" s="1">
        <v>1581</v>
      </c>
      <c r="M606" s="1">
        <v>1021</v>
      </c>
      <c r="N606">
        <v>594</v>
      </c>
      <c r="O606">
        <v>413</v>
      </c>
      <c r="P606">
        <v>350</v>
      </c>
      <c r="Q606">
        <v>215</v>
      </c>
      <c r="R606">
        <v>116</v>
      </c>
      <c r="S606">
        <v>64</v>
      </c>
      <c r="T606">
        <v>30</v>
      </c>
      <c r="U606" s="1">
        <v>20</v>
      </c>
    </row>
    <row r="607" spans="1:21" x14ac:dyDescent="0.3">
      <c r="A607" t="s">
        <v>201</v>
      </c>
      <c r="B607" t="s">
        <v>203</v>
      </c>
      <c r="C607" s="2" t="s">
        <v>25</v>
      </c>
      <c r="D607" s="1">
        <v>7965</v>
      </c>
      <c r="E607">
        <v>95</v>
      </c>
      <c r="F607">
        <v>145</v>
      </c>
      <c r="G607">
        <v>146</v>
      </c>
      <c r="H607">
        <v>218</v>
      </c>
      <c r="I607">
        <v>642</v>
      </c>
      <c r="J607">
        <v>994</v>
      </c>
      <c r="K607">
        <v>961</v>
      </c>
      <c r="L607" s="1">
        <v>1279</v>
      </c>
      <c r="M607" s="1">
        <v>1120</v>
      </c>
      <c r="N607">
        <v>964</v>
      </c>
      <c r="O607">
        <v>596</v>
      </c>
      <c r="P607">
        <v>383</v>
      </c>
      <c r="Q607">
        <v>236</v>
      </c>
      <c r="R607">
        <v>106</v>
      </c>
      <c r="S607">
        <v>45</v>
      </c>
      <c r="T607">
        <v>21</v>
      </c>
      <c r="U607" s="1">
        <v>14</v>
      </c>
    </row>
    <row r="608" spans="1:21" x14ac:dyDescent="0.3">
      <c r="A608" t="s">
        <v>204</v>
      </c>
      <c r="B608" t="s">
        <v>21</v>
      </c>
      <c r="C608" s="2" t="s">
        <v>21</v>
      </c>
      <c r="D608" s="1">
        <v>106749</v>
      </c>
      <c r="E608" s="1">
        <v>2482</v>
      </c>
      <c r="F608" s="1">
        <v>2513</v>
      </c>
      <c r="G608" s="1">
        <v>1485</v>
      </c>
      <c r="H608" s="1">
        <v>4281</v>
      </c>
      <c r="I608" s="1">
        <v>16038</v>
      </c>
      <c r="J608" s="1">
        <v>19345</v>
      </c>
      <c r="K608" s="1">
        <v>18503</v>
      </c>
      <c r="L608" s="1">
        <v>15127</v>
      </c>
      <c r="M608" s="1">
        <v>9680</v>
      </c>
      <c r="N608" s="1">
        <v>5793</v>
      </c>
      <c r="O608" s="1">
        <v>4294</v>
      </c>
      <c r="P608" s="1">
        <v>3645</v>
      </c>
      <c r="Q608" s="1">
        <v>2174</v>
      </c>
      <c r="R608">
        <v>893</v>
      </c>
      <c r="S608">
        <v>299</v>
      </c>
      <c r="T608">
        <v>113</v>
      </c>
      <c r="U608" s="1">
        <v>84</v>
      </c>
    </row>
    <row r="609" spans="1:21" x14ac:dyDescent="0.3">
      <c r="A609" t="s">
        <v>204</v>
      </c>
      <c r="B609" t="s">
        <v>21</v>
      </c>
      <c r="C609" s="2" t="s">
        <v>24</v>
      </c>
      <c r="D609" s="1">
        <f>D612+D615+D618+D621+D624+D627+D630+D633+D636+D639+D642+D645+D648+D651+D654+D657</f>
        <v>66477</v>
      </c>
      <c r="E609" s="1">
        <f t="shared" ref="E609:U609" si="26">E612+E615+E618+E621+E624+E627+E630+E633+E636+E639+E642+E645+E648+E651+E654+E657</f>
        <v>1256</v>
      </c>
      <c r="F609" s="1">
        <f t="shared" si="26"/>
        <v>1216</v>
      </c>
      <c r="G609" s="1">
        <f t="shared" si="26"/>
        <v>758</v>
      </c>
      <c r="H609" s="1">
        <f t="shared" si="26"/>
        <v>2226</v>
      </c>
      <c r="I609" s="1">
        <f t="shared" si="26"/>
        <v>9709</v>
      </c>
      <c r="J609" s="1">
        <f t="shared" si="26"/>
        <v>12916</v>
      </c>
      <c r="K609" s="1">
        <f t="shared" si="26"/>
        <v>13318</v>
      </c>
      <c r="L609" s="1">
        <f t="shared" si="26"/>
        <v>10359</v>
      </c>
      <c r="M609" s="1">
        <f t="shared" si="26"/>
        <v>6050</v>
      </c>
      <c r="N609" s="1">
        <f t="shared" si="26"/>
        <v>3146</v>
      </c>
      <c r="O609" s="1">
        <f t="shared" si="26"/>
        <v>2204</v>
      </c>
      <c r="P609" s="1">
        <f t="shared" si="26"/>
        <v>1686</v>
      </c>
      <c r="Q609" s="1">
        <f t="shared" si="26"/>
        <v>982</v>
      </c>
      <c r="R609" s="1">
        <f t="shared" si="26"/>
        <v>402</v>
      </c>
      <c r="S609" s="1">
        <f t="shared" si="26"/>
        <v>144</v>
      </c>
      <c r="T609" s="1">
        <f t="shared" si="26"/>
        <v>61</v>
      </c>
      <c r="U609" s="1">
        <f t="shared" si="26"/>
        <v>44</v>
      </c>
    </row>
    <row r="610" spans="1:21" x14ac:dyDescent="0.3">
      <c r="A610" t="s">
        <v>204</v>
      </c>
      <c r="B610" t="s">
        <v>21</v>
      </c>
      <c r="C610" s="2" t="s">
        <v>25</v>
      </c>
      <c r="D610" s="1">
        <f>D613+D616+D619+D622+D625+D628+D631+D634+D637+D640+D643+D646+D649+D652+D655+D658</f>
        <v>40272</v>
      </c>
      <c r="E610" s="1">
        <f t="shared" ref="E610:U610" si="27">E613+E616+E619+E622+E625+E628+E631+E634+E637+E640+E643+E646+E649+E652+E655+E658</f>
        <v>1226</v>
      </c>
      <c r="F610" s="1">
        <f t="shared" si="27"/>
        <v>1297</v>
      </c>
      <c r="G610" s="1">
        <f t="shared" si="27"/>
        <v>727</v>
      </c>
      <c r="H610" s="1">
        <f t="shared" si="27"/>
        <v>2055</v>
      </c>
      <c r="I610" s="1">
        <f t="shared" si="27"/>
        <v>6329</v>
      </c>
      <c r="J610" s="1">
        <f t="shared" si="27"/>
        <v>6429</v>
      </c>
      <c r="K610" s="1">
        <f t="shared" si="27"/>
        <v>5185</v>
      </c>
      <c r="L610" s="1">
        <f t="shared" si="27"/>
        <v>4768</v>
      </c>
      <c r="M610" s="1">
        <f t="shared" si="27"/>
        <v>3630</v>
      </c>
      <c r="N610" s="1">
        <f t="shared" si="27"/>
        <v>2647</v>
      </c>
      <c r="O610" s="1">
        <f t="shared" si="27"/>
        <v>2090</v>
      </c>
      <c r="P610" s="1">
        <f t="shared" si="27"/>
        <v>1959</v>
      </c>
      <c r="Q610" s="1">
        <f t="shared" si="27"/>
        <v>1192</v>
      </c>
      <c r="R610" s="1">
        <f t="shared" si="27"/>
        <v>491</v>
      </c>
      <c r="S610" s="1">
        <f t="shared" si="27"/>
        <v>155</v>
      </c>
      <c r="T610" s="1">
        <f t="shared" si="27"/>
        <v>52</v>
      </c>
      <c r="U610" s="1">
        <f t="shared" si="27"/>
        <v>40</v>
      </c>
    </row>
    <row r="611" spans="1:21" x14ac:dyDescent="0.3">
      <c r="A611" t="s">
        <v>204</v>
      </c>
      <c r="B611" t="s">
        <v>205</v>
      </c>
      <c r="C611" s="2" t="s">
        <v>21</v>
      </c>
      <c r="D611">
        <v>284</v>
      </c>
      <c r="E611">
        <v>2</v>
      </c>
      <c r="F611">
        <v>9</v>
      </c>
      <c r="G611">
        <v>4</v>
      </c>
      <c r="H611">
        <v>1</v>
      </c>
      <c r="I611">
        <v>24</v>
      </c>
      <c r="J611">
        <v>43</v>
      </c>
      <c r="K611">
        <v>50</v>
      </c>
      <c r="L611">
        <v>38</v>
      </c>
      <c r="M611">
        <v>29</v>
      </c>
      <c r="N611">
        <v>20</v>
      </c>
      <c r="O611">
        <v>22</v>
      </c>
      <c r="P611">
        <v>18</v>
      </c>
      <c r="Q611">
        <v>14</v>
      </c>
      <c r="R611">
        <v>8</v>
      </c>
      <c r="S611">
        <v>1</v>
      </c>
      <c r="T611">
        <v>1</v>
      </c>
      <c r="U611" s="1">
        <v>0</v>
      </c>
    </row>
    <row r="612" spans="1:21" x14ac:dyDescent="0.3">
      <c r="A612" t="s">
        <v>204</v>
      </c>
      <c r="B612" t="s">
        <v>205</v>
      </c>
      <c r="C612" s="2" t="s">
        <v>24</v>
      </c>
      <c r="D612">
        <v>143</v>
      </c>
      <c r="E612">
        <v>1</v>
      </c>
      <c r="F612">
        <v>7</v>
      </c>
      <c r="G612">
        <v>3</v>
      </c>
      <c r="H612" s="1">
        <v>0</v>
      </c>
      <c r="I612">
        <v>12</v>
      </c>
      <c r="J612">
        <v>30</v>
      </c>
      <c r="K612">
        <v>26</v>
      </c>
      <c r="L612">
        <v>20</v>
      </c>
      <c r="M612">
        <v>9</v>
      </c>
      <c r="N612">
        <v>7</v>
      </c>
      <c r="O612">
        <v>11</v>
      </c>
      <c r="P612">
        <v>7</v>
      </c>
      <c r="Q612">
        <v>4</v>
      </c>
      <c r="R612">
        <v>4</v>
      </c>
      <c r="S612">
        <v>1</v>
      </c>
      <c r="T612">
        <v>1</v>
      </c>
      <c r="U612" s="1">
        <v>0</v>
      </c>
    </row>
    <row r="613" spans="1:21" x14ac:dyDescent="0.3">
      <c r="A613" t="s">
        <v>204</v>
      </c>
      <c r="B613" t="s">
        <v>205</v>
      </c>
      <c r="C613" s="2" t="s">
        <v>25</v>
      </c>
      <c r="D613">
        <v>141</v>
      </c>
      <c r="E613">
        <v>1</v>
      </c>
      <c r="F613">
        <v>2</v>
      </c>
      <c r="G613">
        <v>1</v>
      </c>
      <c r="H613">
        <v>1</v>
      </c>
      <c r="I613">
        <v>12</v>
      </c>
      <c r="J613">
        <v>13</v>
      </c>
      <c r="K613">
        <v>24</v>
      </c>
      <c r="L613">
        <v>18</v>
      </c>
      <c r="M613">
        <v>20</v>
      </c>
      <c r="N613">
        <v>13</v>
      </c>
      <c r="O613">
        <v>11</v>
      </c>
      <c r="P613">
        <v>11</v>
      </c>
      <c r="Q613">
        <v>10</v>
      </c>
      <c r="R613">
        <v>4</v>
      </c>
      <c r="S613">
        <v>0</v>
      </c>
      <c r="T613">
        <v>0</v>
      </c>
      <c r="U613" s="1">
        <v>0</v>
      </c>
    </row>
    <row r="614" spans="1:21" x14ac:dyDescent="0.3">
      <c r="A614" t="s">
        <v>204</v>
      </c>
      <c r="B614" t="s">
        <v>206</v>
      </c>
      <c r="C614" s="2" t="s">
        <v>21</v>
      </c>
      <c r="D614" s="1">
        <v>3237</v>
      </c>
      <c r="E614">
        <v>36</v>
      </c>
      <c r="F614">
        <v>23</v>
      </c>
      <c r="G614">
        <v>15</v>
      </c>
      <c r="H614">
        <v>128</v>
      </c>
      <c r="I614">
        <v>470</v>
      </c>
      <c r="J614">
        <v>695</v>
      </c>
      <c r="K614">
        <v>610</v>
      </c>
      <c r="L614">
        <v>498</v>
      </c>
      <c r="M614">
        <v>286</v>
      </c>
      <c r="N614">
        <v>183</v>
      </c>
      <c r="O614">
        <v>112</v>
      </c>
      <c r="P614">
        <v>77</v>
      </c>
      <c r="Q614">
        <v>60</v>
      </c>
      <c r="R614">
        <v>25</v>
      </c>
      <c r="S614">
        <v>7</v>
      </c>
      <c r="T614">
        <v>8</v>
      </c>
      <c r="U614" s="1">
        <v>4</v>
      </c>
    </row>
    <row r="615" spans="1:21" x14ac:dyDescent="0.3">
      <c r="A615" t="s">
        <v>204</v>
      </c>
      <c r="B615" t="s">
        <v>206</v>
      </c>
      <c r="C615" s="2" t="s">
        <v>24</v>
      </c>
      <c r="D615" s="1">
        <v>1873</v>
      </c>
      <c r="E615">
        <v>18</v>
      </c>
      <c r="F615">
        <v>8</v>
      </c>
      <c r="G615">
        <v>10</v>
      </c>
      <c r="H615">
        <v>72</v>
      </c>
      <c r="I615">
        <v>241</v>
      </c>
      <c r="J615">
        <v>436</v>
      </c>
      <c r="K615">
        <v>417</v>
      </c>
      <c r="L615">
        <v>304</v>
      </c>
      <c r="M615">
        <v>146</v>
      </c>
      <c r="N615">
        <v>88</v>
      </c>
      <c r="O615">
        <v>56</v>
      </c>
      <c r="P615">
        <v>32</v>
      </c>
      <c r="Q615">
        <v>28</v>
      </c>
      <c r="R615">
        <v>11</v>
      </c>
      <c r="S615">
        <v>4</v>
      </c>
      <c r="T615">
        <v>2</v>
      </c>
      <c r="U615" s="1">
        <v>0</v>
      </c>
    </row>
    <row r="616" spans="1:21" x14ac:dyDescent="0.3">
      <c r="A616" t="s">
        <v>204</v>
      </c>
      <c r="B616" t="s">
        <v>206</v>
      </c>
      <c r="C616" s="2" t="s">
        <v>25</v>
      </c>
      <c r="D616" s="1">
        <v>1364</v>
      </c>
      <c r="E616">
        <v>18</v>
      </c>
      <c r="F616">
        <v>15</v>
      </c>
      <c r="G616">
        <v>5</v>
      </c>
      <c r="H616">
        <v>56</v>
      </c>
      <c r="I616">
        <v>229</v>
      </c>
      <c r="J616">
        <v>259</v>
      </c>
      <c r="K616">
        <v>193</v>
      </c>
      <c r="L616">
        <v>194</v>
      </c>
      <c r="M616">
        <v>140</v>
      </c>
      <c r="N616">
        <v>95</v>
      </c>
      <c r="O616">
        <v>56</v>
      </c>
      <c r="P616">
        <v>45</v>
      </c>
      <c r="Q616">
        <v>32</v>
      </c>
      <c r="R616">
        <v>14</v>
      </c>
      <c r="S616">
        <v>3</v>
      </c>
      <c r="T616">
        <v>6</v>
      </c>
      <c r="U616" s="1">
        <v>4</v>
      </c>
    </row>
    <row r="617" spans="1:21" x14ac:dyDescent="0.3">
      <c r="A617" t="s">
        <v>204</v>
      </c>
      <c r="B617" t="s">
        <v>207</v>
      </c>
      <c r="C617" s="2" t="s">
        <v>21</v>
      </c>
      <c r="D617" s="1">
        <v>3467</v>
      </c>
      <c r="E617">
        <v>58</v>
      </c>
      <c r="F617">
        <v>18</v>
      </c>
      <c r="G617">
        <v>15</v>
      </c>
      <c r="H617">
        <v>137</v>
      </c>
      <c r="I617">
        <v>688</v>
      </c>
      <c r="J617">
        <v>934</v>
      </c>
      <c r="K617">
        <v>672</v>
      </c>
      <c r="L617">
        <v>394</v>
      </c>
      <c r="M617">
        <v>224</v>
      </c>
      <c r="N617">
        <v>116</v>
      </c>
      <c r="O617">
        <v>81</v>
      </c>
      <c r="P617">
        <v>56</v>
      </c>
      <c r="Q617">
        <v>41</v>
      </c>
      <c r="R617">
        <v>22</v>
      </c>
      <c r="S617">
        <v>6</v>
      </c>
      <c r="T617">
        <v>3</v>
      </c>
      <c r="U617" s="1">
        <v>2</v>
      </c>
    </row>
    <row r="618" spans="1:21" x14ac:dyDescent="0.3">
      <c r="A618" t="s">
        <v>204</v>
      </c>
      <c r="B618" t="s">
        <v>207</v>
      </c>
      <c r="C618" s="2" t="s">
        <v>24</v>
      </c>
      <c r="D618" s="1">
        <v>1870</v>
      </c>
      <c r="E618">
        <v>32</v>
      </c>
      <c r="F618">
        <v>11</v>
      </c>
      <c r="G618">
        <v>10</v>
      </c>
      <c r="H618">
        <v>59</v>
      </c>
      <c r="I618">
        <v>374</v>
      </c>
      <c r="J618">
        <v>504</v>
      </c>
      <c r="K618">
        <v>405</v>
      </c>
      <c r="L618">
        <v>230</v>
      </c>
      <c r="M618">
        <v>115</v>
      </c>
      <c r="N618">
        <v>47</v>
      </c>
      <c r="O618">
        <v>35</v>
      </c>
      <c r="P618">
        <v>26</v>
      </c>
      <c r="Q618">
        <v>12</v>
      </c>
      <c r="R618">
        <v>7</v>
      </c>
      <c r="S618">
        <v>1</v>
      </c>
      <c r="T618">
        <v>1</v>
      </c>
      <c r="U618" s="1">
        <v>1</v>
      </c>
    </row>
    <row r="619" spans="1:21" x14ac:dyDescent="0.3">
      <c r="A619" t="s">
        <v>204</v>
      </c>
      <c r="B619" t="s">
        <v>207</v>
      </c>
      <c r="C619" s="2" t="s">
        <v>25</v>
      </c>
      <c r="D619" s="1">
        <v>1597</v>
      </c>
      <c r="E619">
        <v>26</v>
      </c>
      <c r="F619">
        <v>7</v>
      </c>
      <c r="G619">
        <v>5</v>
      </c>
      <c r="H619">
        <v>78</v>
      </c>
      <c r="I619">
        <v>314</v>
      </c>
      <c r="J619">
        <v>430</v>
      </c>
      <c r="K619">
        <v>267</v>
      </c>
      <c r="L619">
        <v>164</v>
      </c>
      <c r="M619">
        <v>109</v>
      </c>
      <c r="N619">
        <v>69</v>
      </c>
      <c r="O619">
        <v>46</v>
      </c>
      <c r="P619">
        <v>30</v>
      </c>
      <c r="Q619">
        <v>29</v>
      </c>
      <c r="R619">
        <v>15</v>
      </c>
      <c r="S619">
        <v>5</v>
      </c>
      <c r="T619">
        <v>2</v>
      </c>
      <c r="U619" s="1">
        <v>1</v>
      </c>
    </row>
    <row r="620" spans="1:21" x14ac:dyDescent="0.3">
      <c r="A620" t="s">
        <v>204</v>
      </c>
      <c r="B620" t="s">
        <v>208</v>
      </c>
      <c r="C620" s="2" t="s">
        <v>21</v>
      </c>
      <c r="D620" s="1">
        <v>7445</v>
      </c>
      <c r="E620">
        <v>87</v>
      </c>
      <c r="F620">
        <v>91</v>
      </c>
      <c r="G620">
        <v>42</v>
      </c>
      <c r="H620">
        <v>292</v>
      </c>
      <c r="I620" s="1">
        <v>1455</v>
      </c>
      <c r="J620" s="1">
        <v>1719</v>
      </c>
      <c r="K620" s="1">
        <v>1436</v>
      </c>
      <c r="L620" s="1">
        <v>1014</v>
      </c>
      <c r="M620">
        <v>550</v>
      </c>
      <c r="N620">
        <v>310</v>
      </c>
      <c r="O620">
        <v>177</v>
      </c>
      <c r="P620">
        <v>138</v>
      </c>
      <c r="Q620">
        <v>72</v>
      </c>
      <c r="R620">
        <v>40</v>
      </c>
      <c r="S620">
        <v>12</v>
      </c>
      <c r="T620">
        <v>3</v>
      </c>
      <c r="U620" s="1">
        <v>7</v>
      </c>
    </row>
    <row r="621" spans="1:21" x14ac:dyDescent="0.3">
      <c r="A621" t="s">
        <v>204</v>
      </c>
      <c r="B621" t="s">
        <v>208</v>
      </c>
      <c r="C621" s="2" t="s">
        <v>24</v>
      </c>
      <c r="D621" s="1">
        <v>4014</v>
      </c>
      <c r="E621">
        <v>41</v>
      </c>
      <c r="F621">
        <v>46</v>
      </c>
      <c r="G621">
        <v>20</v>
      </c>
      <c r="H621">
        <v>158</v>
      </c>
      <c r="I621">
        <v>760</v>
      </c>
      <c r="J621">
        <v>836</v>
      </c>
      <c r="K621">
        <v>853</v>
      </c>
      <c r="L621">
        <v>636</v>
      </c>
      <c r="M621">
        <v>322</v>
      </c>
      <c r="N621">
        <v>151</v>
      </c>
      <c r="O621">
        <v>79</v>
      </c>
      <c r="P621">
        <v>58</v>
      </c>
      <c r="Q621">
        <v>27</v>
      </c>
      <c r="R621">
        <v>16</v>
      </c>
      <c r="S621">
        <v>6</v>
      </c>
      <c r="T621">
        <v>1</v>
      </c>
      <c r="U621" s="1">
        <v>4</v>
      </c>
    </row>
    <row r="622" spans="1:21" x14ac:dyDescent="0.3">
      <c r="A622" t="s">
        <v>204</v>
      </c>
      <c r="B622" t="s">
        <v>208</v>
      </c>
      <c r="C622" s="2" t="s">
        <v>25</v>
      </c>
      <c r="D622" s="1">
        <v>3431</v>
      </c>
      <c r="E622">
        <v>46</v>
      </c>
      <c r="F622">
        <v>45</v>
      </c>
      <c r="G622">
        <v>22</v>
      </c>
      <c r="H622">
        <v>134</v>
      </c>
      <c r="I622">
        <v>695</v>
      </c>
      <c r="J622">
        <v>883</v>
      </c>
      <c r="K622">
        <v>583</v>
      </c>
      <c r="L622">
        <v>378</v>
      </c>
      <c r="M622">
        <v>228</v>
      </c>
      <c r="N622">
        <v>159</v>
      </c>
      <c r="O622">
        <v>98</v>
      </c>
      <c r="P622">
        <v>80</v>
      </c>
      <c r="Q622">
        <v>45</v>
      </c>
      <c r="R622">
        <v>24</v>
      </c>
      <c r="S622">
        <v>6</v>
      </c>
      <c r="T622">
        <v>2</v>
      </c>
      <c r="U622" s="1">
        <v>3</v>
      </c>
    </row>
    <row r="623" spans="1:21" x14ac:dyDescent="0.3">
      <c r="A623" t="s">
        <v>204</v>
      </c>
      <c r="B623" t="s">
        <v>209</v>
      </c>
      <c r="C623" s="2" t="s">
        <v>21</v>
      </c>
      <c r="D623" s="1">
        <v>9019</v>
      </c>
      <c r="E623">
        <v>206</v>
      </c>
      <c r="F623">
        <v>195</v>
      </c>
      <c r="G623">
        <v>126</v>
      </c>
      <c r="H623">
        <v>266</v>
      </c>
      <c r="I623" s="1">
        <v>1016</v>
      </c>
      <c r="J623" s="1">
        <v>1402</v>
      </c>
      <c r="K623" s="1">
        <v>1580</v>
      </c>
      <c r="L623" s="1">
        <v>1399</v>
      </c>
      <c r="M623" s="1">
        <v>1013</v>
      </c>
      <c r="N623">
        <v>588</v>
      </c>
      <c r="O623">
        <v>446</v>
      </c>
      <c r="P623">
        <v>401</v>
      </c>
      <c r="Q623">
        <v>248</v>
      </c>
      <c r="R623">
        <v>93</v>
      </c>
      <c r="S623">
        <v>28</v>
      </c>
      <c r="T623">
        <v>6</v>
      </c>
      <c r="U623" s="1">
        <v>6</v>
      </c>
    </row>
    <row r="624" spans="1:21" x14ac:dyDescent="0.3">
      <c r="A624" t="s">
        <v>204</v>
      </c>
      <c r="B624" t="s">
        <v>209</v>
      </c>
      <c r="C624" s="2" t="s">
        <v>24</v>
      </c>
      <c r="D624" s="1">
        <v>6018</v>
      </c>
      <c r="E624">
        <v>115</v>
      </c>
      <c r="F624">
        <v>97</v>
      </c>
      <c r="G624">
        <v>67</v>
      </c>
      <c r="H624">
        <v>176</v>
      </c>
      <c r="I624">
        <v>780</v>
      </c>
      <c r="J624" s="1">
        <v>1045</v>
      </c>
      <c r="K624" s="1">
        <v>1238</v>
      </c>
      <c r="L624">
        <v>963</v>
      </c>
      <c r="M624">
        <v>650</v>
      </c>
      <c r="N624">
        <v>296</v>
      </c>
      <c r="O624">
        <v>222</v>
      </c>
      <c r="P624">
        <v>186</v>
      </c>
      <c r="Q624">
        <v>124</v>
      </c>
      <c r="R624">
        <v>41</v>
      </c>
      <c r="S624">
        <v>11</v>
      </c>
      <c r="T624">
        <v>3</v>
      </c>
      <c r="U624" s="1">
        <v>4</v>
      </c>
    </row>
    <row r="625" spans="1:21" x14ac:dyDescent="0.3">
      <c r="A625" t="s">
        <v>204</v>
      </c>
      <c r="B625" t="s">
        <v>209</v>
      </c>
      <c r="C625" s="2" t="s">
        <v>25</v>
      </c>
      <c r="D625" s="1">
        <v>3001</v>
      </c>
      <c r="E625">
        <v>91</v>
      </c>
      <c r="F625">
        <v>98</v>
      </c>
      <c r="G625">
        <v>59</v>
      </c>
      <c r="H625">
        <v>90</v>
      </c>
      <c r="I625">
        <v>236</v>
      </c>
      <c r="J625">
        <v>357</v>
      </c>
      <c r="K625">
        <v>342</v>
      </c>
      <c r="L625">
        <v>436</v>
      </c>
      <c r="M625">
        <v>363</v>
      </c>
      <c r="N625">
        <v>292</v>
      </c>
      <c r="O625">
        <v>224</v>
      </c>
      <c r="P625">
        <v>215</v>
      </c>
      <c r="Q625">
        <v>124</v>
      </c>
      <c r="R625">
        <v>52</v>
      </c>
      <c r="S625">
        <v>17</v>
      </c>
      <c r="T625">
        <v>3</v>
      </c>
      <c r="U625" s="1">
        <v>2</v>
      </c>
    </row>
    <row r="626" spans="1:21" x14ac:dyDescent="0.3">
      <c r="A626" t="s">
        <v>204</v>
      </c>
      <c r="B626" t="s">
        <v>210</v>
      </c>
      <c r="C626" s="2" t="s">
        <v>21</v>
      </c>
      <c r="D626" s="1">
        <v>5152</v>
      </c>
      <c r="E626">
        <v>42</v>
      </c>
      <c r="F626">
        <v>24</v>
      </c>
      <c r="G626">
        <v>18</v>
      </c>
      <c r="H626">
        <v>103</v>
      </c>
      <c r="I626">
        <v>907</v>
      </c>
      <c r="J626" s="1">
        <v>1061</v>
      </c>
      <c r="K626" s="1">
        <v>1129</v>
      </c>
      <c r="L626">
        <v>906</v>
      </c>
      <c r="M626">
        <v>439</v>
      </c>
      <c r="N626">
        <v>223</v>
      </c>
      <c r="O626">
        <v>138</v>
      </c>
      <c r="P626">
        <v>72</v>
      </c>
      <c r="Q626">
        <v>51</v>
      </c>
      <c r="R626">
        <v>20</v>
      </c>
      <c r="S626">
        <v>11</v>
      </c>
      <c r="T626">
        <v>3</v>
      </c>
      <c r="U626" s="1">
        <v>5</v>
      </c>
    </row>
    <row r="627" spans="1:21" x14ac:dyDescent="0.3">
      <c r="A627" t="s">
        <v>204</v>
      </c>
      <c r="B627" t="s">
        <v>210</v>
      </c>
      <c r="C627" s="2" t="s">
        <v>24</v>
      </c>
      <c r="D627" s="1">
        <v>4052</v>
      </c>
      <c r="E627">
        <v>21</v>
      </c>
      <c r="F627">
        <v>9</v>
      </c>
      <c r="G627">
        <v>10</v>
      </c>
      <c r="H627">
        <v>69</v>
      </c>
      <c r="I627">
        <v>703</v>
      </c>
      <c r="J627">
        <v>848</v>
      </c>
      <c r="K627">
        <v>954</v>
      </c>
      <c r="L627">
        <v>783</v>
      </c>
      <c r="M627">
        <v>357</v>
      </c>
      <c r="N627">
        <v>155</v>
      </c>
      <c r="O627">
        <v>76</v>
      </c>
      <c r="P627">
        <v>30</v>
      </c>
      <c r="Q627">
        <v>21</v>
      </c>
      <c r="R627">
        <v>6</v>
      </c>
      <c r="S627">
        <v>4</v>
      </c>
      <c r="T627">
        <v>1</v>
      </c>
      <c r="U627" s="1">
        <v>5</v>
      </c>
    </row>
    <row r="628" spans="1:21" x14ac:dyDescent="0.3">
      <c r="A628" t="s">
        <v>204</v>
      </c>
      <c r="B628" t="s">
        <v>210</v>
      </c>
      <c r="C628" s="2" t="s">
        <v>25</v>
      </c>
      <c r="D628" s="1">
        <v>1100</v>
      </c>
      <c r="E628">
        <v>21</v>
      </c>
      <c r="F628">
        <v>15</v>
      </c>
      <c r="G628">
        <v>8</v>
      </c>
      <c r="H628">
        <v>34</v>
      </c>
      <c r="I628">
        <v>204</v>
      </c>
      <c r="J628">
        <v>213</v>
      </c>
      <c r="K628">
        <v>175</v>
      </c>
      <c r="L628">
        <v>123</v>
      </c>
      <c r="M628">
        <v>82</v>
      </c>
      <c r="N628">
        <v>68</v>
      </c>
      <c r="O628">
        <v>62</v>
      </c>
      <c r="P628">
        <v>42</v>
      </c>
      <c r="Q628">
        <v>30</v>
      </c>
      <c r="R628">
        <v>14</v>
      </c>
      <c r="S628">
        <v>7</v>
      </c>
      <c r="T628">
        <v>2</v>
      </c>
      <c r="U628" s="1">
        <v>0</v>
      </c>
    </row>
    <row r="629" spans="1:21" x14ac:dyDescent="0.3">
      <c r="A629" t="s">
        <v>204</v>
      </c>
      <c r="B629" t="s">
        <v>211</v>
      </c>
      <c r="C629" s="2" t="s">
        <v>21</v>
      </c>
      <c r="D629" s="1">
        <v>2145</v>
      </c>
      <c r="E629">
        <v>1</v>
      </c>
      <c r="F629">
        <v>3</v>
      </c>
      <c r="G629">
        <v>3</v>
      </c>
      <c r="H629">
        <v>27</v>
      </c>
      <c r="I629">
        <v>254</v>
      </c>
      <c r="J629">
        <v>467</v>
      </c>
      <c r="K629">
        <v>485</v>
      </c>
      <c r="L629">
        <v>405</v>
      </c>
      <c r="M629">
        <v>227</v>
      </c>
      <c r="N629">
        <v>106</v>
      </c>
      <c r="O629">
        <v>71</v>
      </c>
      <c r="P629">
        <v>52</v>
      </c>
      <c r="Q629">
        <v>27</v>
      </c>
      <c r="R629">
        <v>11</v>
      </c>
      <c r="S629">
        <v>2</v>
      </c>
      <c r="T629">
        <v>1</v>
      </c>
      <c r="U629" s="1">
        <v>3</v>
      </c>
    </row>
    <row r="630" spans="1:21" x14ac:dyDescent="0.3">
      <c r="A630" t="s">
        <v>204</v>
      </c>
      <c r="B630" t="s">
        <v>211</v>
      </c>
      <c r="C630" s="2" t="s">
        <v>24</v>
      </c>
      <c r="D630" s="1">
        <v>1203</v>
      </c>
      <c r="E630">
        <v>1</v>
      </c>
      <c r="F630">
        <v>2</v>
      </c>
      <c r="G630">
        <v>2</v>
      </c>
      <c r="H630">
        <v>17</v>
      </c>
      <c r="I630">
        <v>153</v>
      </c>
      <c r="J630">
        <v>269</v>
      </c>
      <c r="K630">
        <v>287</v>
      </c>
      <c r="L630">
        <v>243</v>
      </c>
      <c r="M630">
        <v>124</v>
      </c>
      <c r="N630">
        <v>49</v>
      </c>
      <c r="O630">
        <v>18</v>
      </c>
      <c r="P630">
        <v>21</v>
      </c>
      <c r="Q630">
        <v>8</v>
      </c>
      <c r="R630">
        <v>5</v>
      </c>
      <c r="S630">
        <v>2</v>
      </c>
      <c r="T630">
        <v>1</v>
      </c>
      <c r="U630" s="1">
        <v>1</v>
      </c>
    </row>
    <row r="631" spans="1:21" x14ac:dyDescent="0.3">
      <c r="A631" t="s">
        <v>204</v>
      </c>
      <c r="B631" t="s">
        <v>211</v>
      </c>
      <c r="C631" s="2" t="s">
        <v>25</v>
      </c>
      <c r="D631">
        <v>942</v>
      </c>
      <c r="E631">
        <v>0</v>
      </c>
      <c r="F631">
        <v>1</v>
      </c>
      <c r="G631">
        <v>1</v>
      </c>
      <c r="H631">
        <v>10</v>
      </c>
      <c r="I631">
        <v>101</v>
      </c>
      <c r="J631">
        <v>198</v>
      </c>
      <c r="K631">
        <v>198</v>
      </c>
      <c r="L631">
        <v>162</v>
      </c>
      <c r="M631">
        <v>103</v>
      </c>
      <c r="N631">
        <v>57</v>
      </c>
      <c r="O631">
        <v>53</v>
      </c>
      <c r="P631">
        <v>31</v>
      </c>
      <c r="Q631">
        <v>19</v>
      </c>
      <c r="R631">
        <v>6</v>
      </c>
      <c r="S631">
        <v>0</v>
      </c>
      <c r="T631">
        <v>0</v>
      </c>
      <c r="U631" s="1">
        <v>2</v>
      </c>
    </row>
    <row r="632" spans="1:21" x14ac:dyDescent="0.3">
      <c r="A632" t="s">
        <v>204</v>
      </c>
      <c r="B632" t="s">
        <v>212</v>
      </c>
      <c r="C632" s="2" t="s">
        <v>21</v>
      </c>
      <c r="D632" s="1">
        <v>6217</v>
      </c>
      <c r="E632">
        <v>115</v>
      </c>
      <c r="F632">
        <v>138</v>
      </c>
      <c r="G632">
        <v>96</v>
      </c>
      <c r="H632">
        <v>150</v>
      </c>
      <c r="I632">
        <v>733</v>
      </c>
      <c r="J632" s="1">
        <v>1033</v>
      </c>
      <c r="K632">
        <v>956</v>
      </c>
      <c r="L632">
        <v>882</v>
      </c>
      <c r="M632">
        <v>704</v>
      </c>
      <c r="N632">
        <v>478</v>
      </c>
      <c r="O632">
        <v>375</v>
      </c>
      <c r="P632">
        <v>287</v>
      </c>
      <c r="Q632">
        <v>159</v>
      </c>
      <c r="R632">
        <v>65</v>
      </c>
      <c r="S632">
        <v>28</v>
      </c>
      <c r="T632">
        <v>11</v>
      </c>
      <c r="U632" s="1">
        <v>7</v>
      </c>
    </row>
    <row r="633" spans="1:21" x14ac:dyDescent="0.3">
      <c r="A633" t="s">
        <v>204</v>
      </c>
      <c r="B633" t="s">
        <v>212</v>
      </c>
      <c r="C633" s="2" t="s">
        <v>24</v>
      </c>
      <c r="D633" s="1">
        <v>3753</v>
      </c>
      <c r="E633">
        <v>61</v>
      </c>
      <c r="F633">
        <v>66</v>
      </c>
      <c r="G633">
        <v>41</v>
      </c>
      <c r="H633">
        <v>82</v>
      </c>
      <c r="I633">
        <v>468</v>
      </c>
      <c r="J633">
        <v>711</v>
      </c>
      <c r="K633">
        <v>669</v>
      </c>
      <c r="L633">
        <v>559</v>
      </c>
      <c r="M633">
        <v>402</v>
      </c>
      <c r="N633">
        <v>237</v>
      </c>
      <c r="O633">
        <v>198</v>
      </c>
      <c r="P633">
        <v>130</v>
      </c>
      <c r="Q633">
        <v>75</v>
      </c>
      <c r="R633">
        <v>28</v>
      </c>
      <c r="S633">
        <v>13</v>
      </c>
      <c r="T633">
        <v>9</v>
      </c>
      <c r="U633" s="1">
        <v>4</v>
      </c>
    </row>
    <row r="634" spans="1:21" x14ac:dyDescent="0.3">
      <c r="A634" t="s">
        <v>204</v>
      </c>
      <c r="B634" t="s">
        <v>212</v>
      </c>
      <c r="C634" s="2" t="s">
        <v>25</v>
      </c>
      <c r="D634" s="1">
        <v>2464</v>
      </c>
      <c r="E634">
        <v>54</v>
      </c>
      <c r="F634">
        <v>72</v>
      </c>
      <c r="G634">
        <v>55</v>
      </c>
      <c r="H634">
        <v>68</v>
      </c>
      <c r="I634">
        <v>265</v>
      </c>
      <c r="J634">
        <v>322</v>
      </c>
      <c r="K634">
        <v>287</v>
      </c>
      <c r="L634">
        <v>323</v>
      </c>
      <c r="M634">
        <v>302</v>
      </c>
      <c r="N634">
        <v>241</v>
      </c>
      <c r="O634">
        <v>177</v>
      </c>
      <c r="P634">
        <v>157</v>
      </c>
      <c r="Q634">
        <v>84</v>
      </c>
      <c r="R634">
        <v>37</v>
      </c>
      <c r="S634">
        <v>15</v>
      </c>
      <c r="T634">
        <v>2</v>
      </c>
      <c r="U634" s="1">
        <v>3</v>
      </c>
    </row>
    <row r="635" spans="1:21" x14ac:dyDescent="0.3">
      <c r="A635" t="s">
        <v>204</v>
      </c>
      <c r="B635" t="s">
        <v>213</v>
      </c>
      <c r="C635" s="2" t="s">
        <v>21</v>
      </c>
      <c r="D635" s="1">
        <v>2788</v>
      </c>
      <c r="E635">
        <v>8</v>
      </c>
      <c r="F635">
        <v>2</v>
      </c>
      <c r="G635">
        <v>3</v>
      </c>
      <c r="H635">
        <v>7</v>
      </c>
      <c r="I635">
        <v>278</v>
      </c>
      <c r="J635">
        <v>682</v>
      </c>
      <c r="K635">
        <v>742</v>
      </c>
      <c r="L635">
        <v>518</v>
      </c>
      <c r="M635">
        <v>280</v>
      </c>
      <c r="N635">
        <v>124</v>
      </c>
      <c r="O635">
        <v>65</v>
      </c>
      <c r="P635">
        <v>37</v>
      </c>
      <c r="Q635">
        <v>21</v>
      </c>
      <c r="R635">
        <v>12</v>
      </c>
      <c r="S635">
        <v>4</v>
      </c>
      <c r="T635">
        <v>3</v>
      </c>
      <c r="U635" s="1">
        <v>2</v>
      </c>
    </row>
    <row r="636" spans="1:21" x14ac:dyDescent="0.3">
      <c r="A636" t="s">
        <v>204</v>
      </c>
      <c r="B636" t="s">
        <v>213</v>
      </c>
      <c r="C636" s="2" t="s">
        <v>24</v>
      </c>
      <c r="D636" s="1">
        <v>2054</v>
      </c>
      <c r="E636">
        <v>2</v>
      </c>
      <c r="F636">
        <v>0</v>
      </c>
      <c r="G636">
        <v>2</v>
      </c>
      <c r="H636">
        <v>4</v>
      </c>
      <c r="I636">
        <v>220</v>
      </c>
      <c r="J636">
        <v>513</v>
      </c>
      <c r="K636">
        <v>589</v>
      </c>
      <c r="L636">
        <v>392</v>
      </c>
      <c r="M636">
        <v>196</v>
      </c>
      <c r="N636">
        <v>75</v>
      </c>
      <c r="O636">
        <v>30</v>
      </c>
      <c r="P636">
        <v>12</v>
      </c>
      <c r="Q636">
        <v>9</v>
      </c>
      <c r="R636">
        <v>5</v>
      </c>
      <c r="S636">
        <v>3</v>
      </c>
      <c r="T636">
        <v>1</v>
      </c>
      <c r="U636" s="1">
        <v>1</v>
      </c>
    </row>
    <row r="637" spans="1:21" x14ac:dyDescent="0.3">
      <c r="A637" t="s">
        <v>204</v>
      </c>
      <c r="B637" t="s">
        <v>213</v>
      </c>
      <c r="C637" s="2" t="s">
        <v>25</v>
      </c>
      <c r="D637">
        <v>734</v>
      </c>
      <c r="E637">
        <v>6</v>
      </c>
      <c r="F637">
        <v>2</v>
      </c>
      <c r="G637">
        <v>1</v>
      </c>
      <c r="H637">
        <v>3</v>
      </c>
      <c r="I637">
        <v>58</v>
      </c>
      <c r="J637">
        <v>169</v>
      </c>
      <c r="K637">
        <v>153</v>
      </c>
      <c r="L637">
        <v>126</v>
      </c>
      <c r="M637">
        <v>84</v>
      </c>
      <c r="N637">
        <v>49</v>
      </c>
      <c r="O637">
        <v>35</v>
      </c>
      <c r="P637">
        <v>25</v>
      </c>
      <c r="Q637">
        <v>12</v>
      </c>
      <c r="R637">
        <v>7</v>
      </c>
      <c r="S637">
        <v>1</v>
      </c>
      <c r="T637">
        <v>2</v>
      </c>
      <c r="U637" s="1">
        <v>1</v>
      </c>
    </row>
    <row r="638" spans="1:21" x14ac:dyDescent="0.3">
      <c r="A638" t="s">
        <v>204</v>
      </c>
      <c r="B638" t="s">
        <v>214</v>
      </c>
      <c r="C638" s="2" t="s">
        <v>21</v>
      </c>
      <c r="D638" s="1">
        <v>25323</v>
      </c>
      <c r="E638" s="1">
        <v>1120</v>
      </c>
      <c r="F638" s="1">
        <v>1175</v>
      </c>
      <c r="G638">
        <v>721</v>
      </c>
      <c r="H638" s="1">
        <v>1090</v>
      </c>
      <c r="I638" s="1">
        <v>3357</v>
      </c>
      <c r="J638" s="1">
        <v>3772</v>
      </c>
      <c r="K638" s="1">
        <v>3768</v>
      </c>
      <c r="L638" s="1">
        <v>3441</v>
      </c>
      <c r="M638" s="1">
        <v>2422</v>
      </c>
      <c r="N638" s="1">
        <v>1490</v>
      </c>
      <c r="O638" s="1">
        <v>1101</v>
      </c>
      <c r="P638">
        <v>967</v>
      </c>
      <c r="Q638">
        <v>562</v>
      </c>
      <c r="R638">
        <v>206</v>
      </c>
      <c r="S638">
        <v>78</v>
      </c>
      <c r="T638">
        <v>32</v>
      </c>
      <c r="U638" s="1">
        <v>21</v>
      </c>
    </row>
    <row r="639" spans="1:21" x14ac:dyDescent="0.3">
      <c r="A639" t="s">
        <v>204</v>
      </c>
      <c r="B639" t="s">
        <v>214</v>
      </c>
      <c r="C639" s="2" t="s">
        <v>24</v>
      </c>
      <c r="D639" s="1">
        <v>15536</v>
      </c>
      <c r="E639">
        <v>559</v>
      </c>
      <c r="F639">
        <v>574</v>
      </c>
      <c r="G639">
        <v>368</v>
      </c>
      <c r="H639">
        <v>549</v>
      </c>
      <c r="I639" s="1">
        <v>2016</v>
      </c>
      <c r="J639" s="1">
        <v>2646</v>
      </c>
      <c r="K639" s="1">
        <v>2687</v>
      </c>
      <c r="L639" s="1">
        <v>2283</v>
      </c>
      <c r="M639" s="1">
        <v>1510</v>
      </c>
      <c r="N639">
        <v>847</v>
      </c>
      <c r="O639">
        <v>580</v>
      </c>
      <c r="P639">
        <v>463</v>
      </c>
      <c r="Q639">
        <v>277</v>
      </c>
      <c r="R639">
        <v>99</v>
      </c>
      <c r="S639">
        <v>45</v>
      </c>
      <c r="T639">
        <v>21</v>
      </c>
      <c r="U639" s="1">
        <v>12</v>
      </c>
    </row>
    <row r="640" spans="1:21" x14ac:dyDescent="0.3">
      <c r="A640" t="s">
        <v>204</v>
      </c>
      <c r="B640" t="s">
        <v>214</v>
      </c>
      <c r="C640" s="2" t="s">
        <v>25</v>
      </c>
      <c r="D640" s="1">
        <v>9787</v>
      </c>
      <c r="E640">
        <v>561</v>
      </c>
      <c r="F640">
        <v>601</v>
      </c>
      <c r="G640">
        <v>353</v>
      </c>
      <c r="H640">
        <v>541</v>
      </c>
      <c r="I640" s="1">
        <v>1341</v>
      </c>
      <c r="J640" s="1">
        <v>1126</v>
      </c>
      <c r="K640" s="1">
        <v>1081</v>
      </c>
      <c r="L640" s="1">
        <v>1158</v>
      </c>
      <c r="M640">
        <v>912</v>
      </c>
      <c r="N640">
        <v>643</v>
      </c>
      <c r="O640">
        <v>521</v>
      </c>
      <c r="P640">
        <v>504</v>
      </c>
      <c r="Q640">
        <v>285</v>
      </c>
      <c r="R640">
        <v>107</v>
      </c>
      <c r="S640">
        <v>33</v>
      </c>
      <c r="T640">
        <v>11</v>
      </c>
      <c r="U640" s="1">
        <v>9</v>
      </c>
    </row>
    <row r="641" spans="1:21" x14ac:dyDescent="0.3">
      <c r="A641" t="s">
        <v>204</v>
      </c>
      <c r="B641" t="s">
        <v>215</v>
      </c>
      <c r="C641" s="2" t="s">
        <v>21</v>
      </c>
      <c r="D641" s="1">
        <v>4007</v>
      </c>
      <c r="E641">
        <v>59</v>
      </c>
      <c r="F641">
        <v>61</v>
      </c>
      <c r="G641">
        <v>39</v>
      </c>
      <c r="H641">
        <v>37</v>
      </c>
      <c r="I641">
        <v>318</v>
      </c>
      <c r="J641">
        <v>824</v>
      </c>
      <c r="K641">
        <v>934</v>
      </c>
      <c r="L641">
        <v>775</v>
      </c>
      <c r="M641">
        <v>393</v>
      </c>
      <c r="N641">
        <v>210</v>
      </c>
      <c r="O641">
        <v>138</v>
      </c>
      <c r="P641">
        <v>97</v>
      </c>
      <c r="Q641">
        <v>85</v>
      </c>
      <c r="R641">
        <v>27</v>
      </c>
      <c r="S641">
        <v>6</v>
      </c>
      <c r="T641">
        <v>2</v>
      </c>
      <c r="U641" s="1">
        <v>2</v>
      </c>
    </row>
    <row r="642" spans="1:21" x14ac:dyDescent="0.3">
      <c r="A642" t="s">
        <v>204</v>
      </c>
      <c r="B642" t="s">
        <v>215</v>
      </c>
      <c r="C642" s="2" t="s">
        <v>24</v>
      </c>
      <c r="D642" s="1">
        <v>2775</v>
      </c>
      <c r="E642">
        <v>26</v>
      </c>
      <c r="F642">
        <v>27</v>
      </c>
      <c r="G642">
        <v>22</v>
      </c>
      <c r="H642">
        <v>16</v>
      </c>
      <c r="I642">
        <v>234</v>
      </c>
      <c r="J642">
        <v>618</v>
      </c>
      <c r="K642">
        <v>736</v>
      </c>
      <c r="L642">
        <v>556</v>
      </c>
      <c r="M642">
        <v>255</v>
      </c>
      <c r="N642">
        <v>126</v>
      </c>
      <c r="O642">
        <v>72</v>
      </c>
      <c r="P642">
        <v>42</v>
      </c>
      <c r="Q642">
        <v>29</v>
      </c>
      <c r="R642">
        <v>9</v>
      </c>
      <c r="S642">
        <v>4</v>
      </c>
      <c r="T642">
        <v>2</v>
      </c>
      <c r="U642" s="1">
        <v>1</v>
      </c>
    </row>
    <row r="643" spans="1:21" x14ac:dyDescent="0.3">
      <c r="A643" t="s">
        <v>204</v>
      </c>
      <c r="B643" t="s">
        <v>215</v>
      </c>
      <c r="C643" s="2" t="s">
        <v>25</v>
      </c>
      <c r="D643" s="1">
        <v>1232</v>
      </c>
      <c r="E643">
        <v>33</v>
      </c>
      <c r="F643">
        <v>34</v>
      </c>
      <c r="G643">
        <v>17</v>
      </c>
      <c r="H643">
        <v>21</v>
      </c>
      <c r="I643">
        <v>84</v>
      </c>
      <c r="J643">
        <v>206</v>
      </c>
      <c r="K643">
        <v>198</v>
      </c>
      <c r="L643">
        <v>219</v>
      </c>
      <c r="M643">
        <v>138</v>
      </c>
      <c r="N643">
        <v>84</v>
      </c>
      <c r="O643">
        <v>66</v>
      </c>
      <c r="P643">
        <v>55</v>
      </c>
      <c r="Q643">
        <v>56</v>
      </c>
      <c r="R643">
        <v>18</v>
      </c>
      <c r="S643">
        <v>2</v>
      </c>
      <c r="T643">
        <v>0</v>
      </c>
      <c r="U643" s="1">
        <v>1</v>
      </c>
    </row>
    <row r="644" spans="1:21" x14ac:dyDescent="0.3">
      <c r="A644" t="s">
        <v>204</v>
      </c>
      <c r="B644" t="s">
        <v>216</v>
      </c>
      <c r="C644" s="2" t="s">
        <v>21</v>
      </c>
      <c r="D644" s="1">
        <v>11889</v>
      </c>
      <c r="E644">
        <v>271</v>
      </c>
      <c r="F644">
        <v>321</v>
      </c>
      <c r="G644">
        <v>183</v>
      </c>
      <c r="H644">
        <v>565</v>
      </c>
      <c r="I644" s="1">
        <v>1757</v>
      </c>
      <c r="J644" s="1">
        <v>1917</v>
      </c>
      <c r="K644" s="1">
        <v>1901</v>
      </c>
      <c r="L644" s="1">
        <v>1587</v>
      </c>
      <c r="M644" s="1">
        <v>1017</v>
      </c>
      <c r="N644">
        <v>691</v>
      </c>
      <c r="O644">
        <v>571</v>
      </c>
      <c r="P644">
        <v>564</v>
      </c>
      <c r="Q644">
        <v>342</v>
      </c>
      <c r="R644">
        <v>128</v>
      </c>
      <c r="S644">
        <v>45</v>
      </c>
      <c r="T644">
        <v>18</v>
      </c>
      <c r="U644" s="1">
        <v>11</v>
      </c>
    </row>
    <row r="645" spans="1:21" x14ac:dyDescent="0.3">
      <c r="A645" t="s">
        <v>204</v>
      </c>
      <c r="B645" t="s">
        <v>216</v>
      </c>
      <c r="C645" s="2" t="s">
        <v>24</v>
      </c>
      <c r="D645" s="1">
        <v>7485</v>
      </c>
      <c r="E645">
        <v>141</v>
      </c>
      <c r="F645">
        <v>148</v>
      </c>
      <c r="G645">
        <v>91</v>
      </c>
      <c r="H645">
        <v>340</v>
      </c>
      <c r="I645" s="1">
        <v>1149</v>
      </c>
      <c r="J645" s="1">
        <v>1317</v>
      </c>
      <c r="K645" s="1">
        <v>1379</v>
      </c>
      <c r="L645" s="1">
        <v>1073</v>
      </c>
      <c r="M645">
        <v>633</v>
      </c>
      <c r="N645">
        <v>391</v>
      </c>
      <c r="O645">
        <v>292</v>
      </c>
      <c r="P645">
        <v>294</v>
      </c>
      <c r="Q645">
        <v>146</v>
      </c>
      <c r="R645">
        <v>55</v>
      </c>
      <c r="S645">
        <v>24</v>
      </c>
      <c r="T645">
        <v>7</v>
      </c>
      <c r="U645" s="1">
        <v>5</v>
      </c>
    </row>
    <row r="646" spans="1:21" x14ac:dyDescent="0.3">
      <c r="A646" t="s">
        <v>204</v>
      </c>
      <c r="B646" t="s">
        <v>216</v>
      </c>
      <c r="C646" s="2" t="s">
        <v>25</v>
      </c>
      <c r="D646" s="1">
        <v>4404</v>
      </c>
      <c r="E646">
        <v>130</v>
      </c>
      <c r="F646">
        <v>173</v>
      </c>
      <c r="G646">
        <v>92</v>
      </c>
      <c r="H646">
        <v>225</v>
      </c>
      <c r="I646">
        <v>608</v>
      </c>
      <c r="J646">
        <v>600</v>
      </c>
      <c r="K646">
        <v>522</v>
      </c>
      <c r="L646">
        <v>514</v>
      </c>
      <c r="M646">
        <v>384</v>
      </c>
      <c r="N646">
        <v>300</v>
      </c>
      <c r="O646">
        <v>279</v>
      </c>
      <c r="P646">
        <v>270</v>
      </c>
      <c r="Q646">
        <v>196</v>
      </c>
      <c r="R646">
        <v>73</v>
      </c>
      <c r="S646">
        <v>21</v>
      </c>
      <c r="T646">
        <v>11</v>
      </c>
      <c r="U646" s="1">
        <v>6</v>
      </c>
    </row>
    <row r="647" spans="1:21" x14ac:dyDescent="0.3">
      <c r="A647" t="s">
        <v>204</v>
      </c>
      <c r="B647" t="s">
        <v>217</v>
      </c>
      <c r="C647" s="2" t="s">
        <v>21</v>
      </c>
      <c r="D647" s="1">
        <v>17859</v>
      </c>
      <c r="E647">
        <v>414</v>
      </c>
      <c r="F647">
        <v>406</v>
      </c>
      <c r="G647">
        <v>181</v>
      </c>
      <c r="H647" s="1">
        <v>1203</v>
      </c>
      <c r="I647" s="1">
        <v>3713</v>
      </c>
      <c r="J647" s="1">
        <v>3272</v>
      </c>
      <c r="K647" s="1">
        <v>2486</v>
      </c>
      <c r="L647" s="1">
        <v>1973</v>
      </c>
      <c r="M647" s="1">
        <v>1338</v>
      </c>
      <c r="N647">
        <v>861</v>
      </c>
      <c r="O647">
        <v>746</v>
      </c>
      <c r="P647">
        <v>653</v>
      </c>
      <c r="Q647">
        <v>372</v>
      </c>
      <c r="R647">
        <v>167</v>
      </c>
      <c r="S647">
        <v>51</v>
      </c>
      <c r="T647">
        <v>14</v>
      </c>
      <c r="U647" s="1">
        <v>9</v>
      </c>
    </row>
    <row r="648" spans="1:21" x14ac:dyDescent="0.3">
      <c r="A648" t="s">
        <v>204</v>
      </c>
      <c r="B648" t="s">
        <v>217</v>
      </c>
      <c r="C648" s="2" t="s">
        <v>24</v>
      </c>
      <c r="D648" s="1">
        <v>10173</v>
      </c>
      <c r="E648">
        <v>203</v>
      </c>
      <c r="F648">
        <v>192</v>
      </c>
      <c r="G648">
        <v>87</v>
      </c>
      <c r="H648">
        <v>515</v>
      </c>
      <c r="I648" s="1">
        <v>1884</v>
      </c>
      <c r="J648" s="1">
        <v>2021</v>
      </c>
      <c r="K648" s="1">
        <v>1712</v>
      </c>
      <c r="L648" s="1">
        <v>1305</v>
      </c>
      <c r="M648">
        <v>805</v>
      </c>
      <c r="N648">
        <v>468</v>
      </c>
      <c r="O648">
        <v>398</v>
      </c>
      <c r="P648">
        <v>289</v>
      </c>
      <c r="Q648">
        <v>181</v>
      </c>
      <c r="R648">
        <v>79</v>
      </c>
      <c r="S648">
        <v>21</v>
      </c>
      <c r="T648">
        <v>8</v>
      </c>
      <c r="U648" s="1">
        <v>5</v>
      </c>
    </row>
    <row r="649" spans="1:21" x14ac:dyDescent="0.3">
      <c r="A649" t="s">
        <v>204</v>
      </c>
      <c r="B649" t="s">
        <v>217</v>
      </c>
      <c r="C649" s="2" t="s">
        <v>25</v>
      </c>
      <c r="D649" s="1">
        <v>7686</v>
      </c>
      <c r="E649">
        <v>211</v>
      </c>
      <c r="F649">
        <v>214</v>
      </c>
      <c r="G649">
        <v>94</v>
      </c>
      <c r="H649">
        <v>688</v>
      </c>
      <c r="I649" s="1">
        <v>1829</v>
      </c>
      <c r="J649" s="1">
        <v>1251</v>
      </c>
      <c r="K649">
        <v>774</v>
      </c>
      <c r="L649">
        <v>668</v>
      </c>
      <c r="M649">
        <v>533</v>
      </c>
      <c r="N649">
        <v>393</v>
      </c>
      <c r="O649">
        <v>348</v>
      </c>
      <c r="P649">
        <v>364</v>
      </c>
      <c r="Q649">
        <v>191</v>
      </c>
      <c r="R649">
        <v>88</v>
      </c>
      <c r="S649">
        <v>30</v>
      </c>
      <c r="T649">
        <v>6</v>
      </c>
      <c r="U649" s="1">
        <v>4</v>
      </c>
    </row>
    <row r="650" spans="1:21" x14ac:dyDescent="0.3">
      <c r="A650" t="s">
        <v>204</v>
      </c>
      <c r="B650" t="s">
        <v>218</v>
      </c>
      <c r="C650" s="2" t="s">
        <v>21</v>
      </c>
      <c r="D650" s="1">
        <v>1108</v>
      </c>
      <c r="E650">
        <v>7</v>
      </c>
      <c r="F650">
        <v>8</v>
      </c>
      <c r="G650">
        <v>3</v>
      </c>
      <c r="H650">
        <v>6</v>
      </c>
      <c r="I650">
        <v>103</v>
      </c>
      <c r="J650">
        <v>252</v>
      </c>
      <c r="K650">
        <v>291</v>
      </c>
      <c r="L650">
        <v>195</v>
      </c>
      <c r="M650">
        <v>94</v>
      </c>
      <c r="N650">
        <v>48</v>
      </c>
      <c r="O650">
        <v>25</v>
      </c>
      <c r="P650">
        <v>39</v>
      </c>
      <c r="Q650">
        <v>18</v>
      </c>
      <c r="R650">
        <v>14</v>
      </c>
      <c r="S650">
        <v>2</v>
      </c>
      <c r="T650">
        <v>2</v>
      </c>
      <c r="U650" s="1">
        <v>1</v>
      </c>
    </row>
    <row r="651" spans="1:21" x14ac:dyDescent="0.3">
      <c r="A651" t="s">
        <v>204</v>
      </c>
      <c r="B651" t="s">
        <v>218</v>
      </c>
      <c r="C651" s="2" t="s">
        <v>24</v>
      </c>
      <c r="D651">
        <v>652</v>
      </c>
      <c r="E651">
        <v>4</v>
      </c>
      <c r="F651">
        <v>6</v>
      </c>
      <c r="G651">
        <v>2</v>
      </c>
      <c r="H651">
        <v>4</v>
      </c>
      <c r="I651">
        <v>55</v>
      </c>
      <c r="J651">
        <v>149</v>
      </c>
      <c r="K651">
        <v>184</v>
      </c>
      <c r="L651">
        <v>130</v>
      </c>
      <c r="M651">
        <v>59</v>
      </c>
      <c r="N651">
        <v>23</v>
      </c>
      <c r="O651">
        <v>13</v>
      </c>
      <c r="P651">
        <v>13</v>
      </c>
      <c r="Q651">
        <v>4</v>
      </c>
      <c r="R651">
        <v>5</v>
      </c>
      <c r="S651">
        <v>0</v>
      </c>
      <c r="T651">
        <v>1</v>
      </c>
      <c r="U651" s="1">
        <v>0</v>
      </c>
    </row>
    <row r="652" spans="1:21" x14ac:dyDescent="0.3">
      <c r="A652" t="s">
        <v>204</v>
      </c>
      <c r="B652" t="s">
        <v>218</v>
      </c>
      <c r="C652" s="2" t="s">
        <v>25</v>
      </c>
      <c r="D652">
        <v>456</v>
      </c>
      <c r="E652">
        <v>3</v>
      </c>
      <c r="F652">
        <v>2</v>
      </c>
      <c r="G652">
        <v>1</v>
      </c>
      <c r="H652">
        <v>2</v>
      </c>
      <c r="I652">
        <v>48</v>
      </c>
      <c r="J652">
        <v>103</v>
      </c>
      <c r="K652">
        <v>107</v>
      </c>
      <c r="L652">
        <v>65</v>
      </c>
      <c r="M652">
        <v>35</v>
      </c>
      <c r="N652">
        <v>25</v>
      </c>
      <c r="O652">
        <v>12</v>
      </c>
      <c r="P652">
        <v>26</v>
      </c>
      <c r="Q652">
        <v>14</v>
      </c>
      <c r="R652">
        <v>9</v>
      </c>
      <c r="S652">
        <v>2</v>
      </c>
      <c r="T652">
        <v>1</v>
      </c>
      <c r="U652" s="1">
        <v>1</v>
      </c>
    </row>
    <row r="653" spans="1:21" x14ac:dyDescent="0.3">
      <c r="A653" t="s">
        <v>204</v>
      </c>
      <c r="B653" t="s">
        <v>219</v>
      </c>
      <c r="C653" s="2" t="s">
        <v>21</v>
      </c>
      <c r="D653" s="1">
        <v>2469</v>
      </c>
      <c r="E653">
        <v>5</v>
      </c>
      <c r="F653">
        <v>4</v>
      </c>
      <c r="G653">
        <v>10</v>
      </c>
      <c r="H653">
        <v>9</v>
      </c>
      <c r="I653">
        <v>164</v>
      </c>
      <c r="J653">
        <v>459</v>
      </c>
      <c r="K653">
        <v>617</v>
      </c>
      <c r="L653">
        <v>516</v>
      </c>
      <c r="M653">
        <v>300</v>
      </c>
      <c r="N653">
        <v>150</v>
      </c>
      <c r="O653">
        <v>105</v>
      </c>
      <c r="P653">
        <v>73</v>
      </c>
      <c r="Q653">
        <v>28</v>
      </c>
      <c r="R653">
        <v>22</v>
      </c>
      <c r="S653">
        <v>3</v>
      </c>
      <c r="T653">
        <v>3</v>
      </c>
      <c r="U653" s="1">
        <v>1</v>
      </c>
    </row>
    <row r="654" spans="1:21" x14ac:dyDescent="0.3">
      <c r="A654" t="s">
        <v>204</v>
      </c>
      <c r="B654" t="s">
        <v>219</v>
      </c>
      <c r="C654" s="2" t="s">
        <v>24</v>
      </c>
      <c r="D654" s="1">
        <v>1954</v>
      </c>
      <c r="E654">
        <v>3</v>
      </c>
      <c r="F654">
        <v>3</v>
      </c>
      <c r="G654">
        <v>6</v>
      </c>
      <c r="H654">
        <v>3</v>
      </c>
      <c r="I654">
        <v>140</v>
      </c>
      <c r="J654">
        <v>392</v>
      </c>
      <c r="K654">
        <v>534</v>
      </c>
      <c r="L654">
        <v>443</v>
      </c>
      <c r="M654">
        <v>227</v>
      </c>
      <c r="N654">
        <v>89</v>
      </c>
      <c r="O654">
        <v>60</v>
      </c>
      <c r="P654">
        <v>31</v>
      </c>
      <c r="Q654">
        <v>11</v>
      </c>
      <c r="R654">
        <v>10</v>
      </c>
      <c r="S654">
        <v>2</v>
      </c>
      <c r="T654">
        <v>0</v>
      </c>
      <c r="U654" s="1">
        <v>0</v>
      </c>
    </row>
    <row r="655" spans="1:21" x14ac:dyDescent="0.3">
      <c r="A655" t="s">
        <v>204</v>
      </c>
      <c r="B655" t="s">
        <v>219</v>
      </c>
      <c r="C655" s="2" t="s">
        <v>25</v>
      </c>
      <c r="D655">
        <v>515</v>
      </c>
      <c r="E655">
        <v>2</v>
      </c>
      <c r="F655">
        <v>1</v>
      </c>
      <c r="G655">
        <v>4</v>
      </c>
      <c r="H655">
        <v>6</v>
      </c>
      <c r="I655">
        <v>24</v>
      </c>
      <c r="J655">
        <v>67</v>
      </c>
      <c r="K655">
        <v>83</v>
      </c>
      <c r="L655">
        <v>73</v>
      </c>
      <c r="M655">
        <v>73</v>
      </c>
      <c r="N655">
        <v>61</v>
      </c>
      <c r="O655">
        <v>45</v>
      </c>
      <c r="P655">
        <v>42</v>
      </c>
      <c r="Q655">
        <v>17</v>
      </c>
      <c r="R655">
        <v>12</v>
      </c>
      <c r="S655">
        <v>1</v>
      </c>
      <c r="T655">
        <v>3</v>
      </c>
      <c r="U655" s="1">
        <v>1</v>
      </c>
    </row>
    <row r="656" spans="1:21" x14ac:dyDescent="0.3">
      <c r="A656" t="s">
        <v>204</v>
      </c>
      <c r="B656" t="s">
        <v>220</v>
      </c>
      <c r="C656" s="2" t="s">
        <v>21</v>
      </c>
      <c r="D656" s="1">
        <v>4340</v>
      </c>
      <c r="E656">
        <v>51</v>
      </c>
      <c r="F656">
        <v>35</v>
      </c>
      <c r="G656">
        <v>26</v>
      </c>
      <c r="H656">
        <v>260</v>
      </c>
      <c r="I656">
        <v>801</v>
      </c>
      <c r="J656">
        <v>813</v>
      </c>
      <c r="K656">
        <v>846</v>
      </c>
      <c r="L656">
        <v>586</v>
      </c>
      <c r="M656">
        <v>364</v>
      </c>
      <c r="N656">
        <v>195</v>
      </c>
      <c r="O656">
        <v>121</v>
      </c>
      <c r="P656">
        <v>114</v>
      </c>
      <c r="Q656">
        <v>74</v>
      </c>
      <c r="R656">
        <v>33</v>
      </c>
      <c r="S656">
        <v>15</v>
      </c>
      <c r="T656">
        <v>3</v>
      </c>
      <c r="U656" s="1">
        <v>3</v>
      </c>
    </row>
    <row r="657" spans="1:21" x14ac:dyDescent="0.3">
      <c r="A657" t="s">
        <v>204</v>
      </c>
      <c r="B657" t="s">
        <v>220</v>
      </c>
      <c r="C657" s="2" t="s">
        <v>24</v>
      </c>
      <c r="D657" s="1">
        <v>2922</v>
      </c>
      <c r="E657">
        <v>28</v>
      </c>
      <c r="F657">
        <v>20</v>
      </c>
      <c r="G657">
        <v>17</v>
      </c>
      <c r="H657">
        <v>162</v>
      </c>
      <c r="I657">
        <v>520</v>
      </c>
      <c r="J657">
        <v>581</v>
      </c>
      <c r="K657">
        <v>648</v>
      </c>
      <c r="L657">
        <v>439</v>
      </c>
      <c r="M657">
        <v>240</v>
      </c>
      <c r="N657">
        <v>97</v>
      </c>
      <c r="O657">
        <v>64</v>
      </c>
      <c r="P657">
        <v>52</v>
      </c>
      <c r="Q657">
        <v>26</v>
      </c>
      <c r="R657">
        <v>22</v>
      </c>
      <c r="S657">
        <v>3</v>
      </c>
      <c r="T657">
        <v>2</v>
      </c>
      <c r="U657" s="1">
        <v>1</v>
      </c>
    </row>
    <row r="658" spans="1:21" x14ac:dyDescent="0.3">
      <c r="A658" t="s">
        <v>204</v>
      </c>
      <c r="B658" t="s">
        <v>220</v>
      </c>
      <c r="C658" s="2" t="s">
        <v>25</v>
      </c>
      <c r="D658" s="1">
        <v>1418</v>
      </c>
      <c r="E658">
        <v>23</v>
      </c>
      <c r="F658">
        <v>15</v>
      </c>
      <c r="G658">
        <v>9</v>
      </c>
      <c r="H658">
        <v>98</v>
      </c>
      <c r="I658">
        <v>281</v>
      </c>
      <c r="J658">
        <v>232</v>
      </c>
      <c r="K658">
        <v>198</v>
      </c>
      <c r="L658">
        <v>147</v>
      </c>
      <c r="M658">
        <v>124</v>
      </c>
      <c r="N658">
        <v>98</v>
      </c>
      <c r="O658">
        <v>57</v>
      </c>
      <c r="P658">
        <v>62</v>
      </c>
      <c r="Q658">
        <v>48</v>
      </c>
      <c r="R658">
        <v>11</v>
      </c>
      <c r="S658">
        <v>12</v>
      </c>
      <c r="T658">
        <v>1</v>
      </c>
      <c r="U658" s="1">
        <v>2</v>
      </c>
    </row>
    <row r="659" spans="1:21" x14ac:dyDescent="0.3">
      <c r="A659" t="s">
        <v>221</v>
      </c>
      <c r="B659" t="s">
        <v>21</v>
      </c>
      <c r="C659" s="2" t="s">
        <v>21</v>
      </c>
      <c r="D659" s="1">
        <v>62213</v>
      </c>
      <c r="E659" s="1">
        <v>1344</v>
      </c>
      <c r="F659" s="1">
        <v>1206</v>
      </c>
      <c r="G659">
        <v>784</v>
      </c>
      <c r="H659" s="1">
        <v>2294</v>
      </c>
      <c r="I659" s="1">
        <v>11147</v>
      </c>
      <c r="J659" s="1">
        <v>12427</v>
      </c>
      <c r="K659" s="1">
        <v>10637</v>
      </c>
      <c r="L659" s="1">
        <v>8176</v>
      </c>
      <c r="M659" s="1">
        <v>5033</v>
      </c>
      <c r="N659" s="1">
        <v>2877</v>
      </c>
      <c r="O659" s="1">
        <v>2308</v>
      </c>
      <c r="P659" s="1">
        <v>2098</v>
      </c>
      <c r="Q659" s="1">
        <v>1124</v>
      </c>
      <c r="R659">
        <v>487</v>
      </c>
      <c r="S659">
        <v>162</v>
      </c>
      <c r="T659">
        <v>66</v>
      </c>
      <c r="U659" s="1">
        <v>43</v>
      </c>
    </row>
    <row r="660" spans="1:21" x14ac:dyDescent="0.3">
      <c r="A660" t="s">
        <v>221</v>
      </c>
      <c r="B660" t="s">
        <v>21</v>
      </c>
      <c r="C660" s="2" t="s">
        <v>24</v>
      </c>
      <c r="D660" s="1">
        <f>D663+D666+D669+D672+D675+D678+D681+D684+D687+D690+D693+D696+D699+D702</f>
        <v>40187</v>
      </c>
      <c r="E660" s="1">
        <f t="shared" ref="E660:U660" si="28">E663+E666+E669+E672+E675+E678+E681+E684+E687+E690+E693+E696+E699+E702</f>
        <v>695</v>
      </c>
      <c r="F660" s="1">
        <f t="shared" si="28"/>
        <v>637</v>
      </c>
      <c r="G660" s="1">
        <f t="shared" si="28"/>
        <v>370</v>
      </c>
      <c r="H660" s="1">
        <f t="shared" si="28"/>
        <v>1434</v>
      </c>
      <c r="I660" s="1">
        <f t="shared" si="28"/>
        <v>7436</v>
      </c>
      <c r="J660" s="1">
        <f t="shared" si="28"/>
        <v>8588</v>
      </c>
      <c r="K660" s="1">
        <f t="shared" si="28"/>
        <v>7703</v>
      </c>
      <c r="L660" s="1">
        <f t="shared" si="28"/>
        <v>5689</v>
      </c>
      <c r="M660" s="1">
        <f t="shared" si="28"/>
        <v>3190</v>
      </c>
      <c r="N660" s="1">
        <f t="shared" si="28"/>
        <v>1574</v>
      </c>
      <c r="O660" s="1">
        <f t="shared" si="28"/>
        <v>1075</v>
      </c>
      <c r="P660" s="1">
        <f t="shared" si="28"/>
        <v>957</v>
      </c>
      <c r="Q660" s="1">
        <f t="shared" si="28"/>
        <v>491</v>
      </c>
      <c r="R660" s="1">
        <f t="shared" si="28"/>
        <v>214</v>
      </c>
      <c r="S660" s="1">
        <f t="shared" si="28"/>
        <v>84</v>
      </c>
      <c r="T660" s="1">
        <f t="shared" si="28"/>
        <v>37</v>
      </c>
      <c r="U660" s="1">
        <f t="shared" si="28"/>
        <v>13</v>
      </c>
    </row>
    <row r="661" spans="1:21" x14ac:dyDescent="0.3">
      <c r="A661" t="s">
        <v>221</v>
      </c>
      <c r="B661" t="s">
        <v>21</v>
      </c>
      <c r="C661" s="2" t="s">
        <v>25</v>
      </c>
      <c r="D661" s="1">
        <f>D664+D667+D670+D673+D676+D679+D682+D685+D688+D691+D694+D697+D700+D703</f>
        <v>22026</v>
      </c>
      <c r="E661" s="1">
        <f t="shared" ref="E661:U661" si="29">E664+E667+E670+E673+E676+E679+E682+E685+E688+E691+E694+E697+E700+E703</f>
        <v>649</v>
      </c>
      <c r="F661" s="1">
        <f t="shared" si="29"/>
        <v>569</v>
      </c>
      <c r="G661" s="1">
        <f t="shared" si="29"/>
        <v>414</v>
      </c>
      <c r="H661" s="1">
        <f t="shared" si="29"/>
        <v>860</v>
      </c>
      <c r="I661" s="1">
        <f t="shared" si="29"/>
        <v>3711</v>
      </c>
      <c r="J661" s="1">
        <f t="shared" si="29"/>
        <v>3839</v>
      </c>
      <c r="K661" s="1">
        <f t="shared" si="29"/>
        <v>2934</v>
      </c>
      <c r="L661" s="1">
        <f t="shared" si="29"/>
        <v>2487</v>
      </c>
      <c r="M661" s="1">
        <f t="shared" si="29"/>
        <v>1843</v>
      </c>
      <c r="N661" s="1">
        <f t="shared" si="29"/>
        <v>1303</v>
      </c>
      <c r="O661" s="1">
        <f t="shared" si="29"/>
        <v>1233</v>
      </c>
      <c r="P661" s="1">
        <f t="shared" si="29"/>
        <v>1141</v>
      </c>
      <c r="Q661" s="1">
        <f t="shared" si="29"/>
        <v>633</v>
      </c>
      <c r="R661" s="1">
        <f t="shared" si="29"/>
        <v>273</v>
      </c>
      <c r="S661" s="1">
        <f t="shared" si="29"/>
        <v>78</v>
      </c>
      <c r="T661" s="1">
        <f t="shared" si="29"/>
        <v>29</v>
      </c>
      <c r="U661" s="1">
        <f t="shared" si="29"/>
        <v>30</v>
      </c>
    </row>
    <row r="662" spans="1:21" x14ac:dyDescent="0.3">
      <c r="A662" t="s">
        <v>221</v>
      </c>
      <c r="B662" t="s">
        <v>222</v>
      </c>
      <c r="C662" s="2" t="s">
        <v>21</v>
      </c>
      <c r="D662" s="1">
        <v>1164</v>
      </c>
      <c r="E662">
        <v>8</v>
      </c>
      <c r="F662">
        <v>5</v>
      </c>
      <c r="G662">
        <v>4</v>
      </c>
      <c r="H662">
        <v>19</v>
      </c>
      <c r="I662">
        <v>167</v>
      </c>
      <c r="J662">
        <v>276</v>
      </c>
      <c r="K662">
        <v>231</v>
      </c>
      <c r="L662">
        <v>166</v>
      </c>
      <c r="M662">
        <v>139</v>
      </c>
      <c r="N662">
        <v>42</v>
      </c>
      <c r="O662">
        <v>31</v>
      </c>
      <c r="P662">
        <v>35</v>
      </c>
      <c r="Q662">
        <v>21</v>
      </c>
      <c r="R662">
        <v>11</v>
      </c>
      <c r="S662">
        <v>7</v>
      </c>
      <c r="T662">
        <v>1</v>
      </c>
      <c r="U662" s="1">
        <v>1</v>
      </c>
    </row>
    <row r="663" spans="1:21" x14ac:dyDescent="0.3">
      <c r="A663" t="s">
        <v>221</v>
      </c>
      <c r="B663" t="s">
        <v>222</v>
      </c>
      <c r="C663" s="2" t="s">
        <v>24</v>
      </c>
      <c r="D663">
        <v>792</v>
      </c>
      <c r="E663">
        <v>2</v>
      </c>
      <c r="F663">
        <v>2</v>
      </c>
      <c r="G663">
        <v>1</v>
      </c>
      <c r="H663">
        <v>9</v>
      </c>
      <c r="I663">
        <v>123</v>
      </c>
      <c r="J663">
        <v>198</v>
      </c>
      <c r="K663">
        <v>174</v>
      </c>
      <c r="L663">
        <v>119</v>
      </c>
      <c r="M663">
        <v>98</v>
      </c>
      <c r="N663">
        <v>24</v>
      </c>
      <c r="O663">
        <v>9</v>
      </c>
      <c r="P663">
        <v>17</v>
      </c>
      <c r="Q663">
        <v>5</v>
      </c>
      <c r="R663">
        <v>3</v>
      </c>
      <c r="S663">
        <v>6</v>
      </c>
      <c r="T663">
        <v>1</v>
      </c>
      <c r="U663" s="1">
        <v>1</v>
      </c>
    </row>
    <row r="664" spans="1:21" x14ac:dyDescent="0.3">
      <c r="A664" t="s">
        <v>221</v>
      </c>
      <c r="B664" t="s">
        <v>222</v>
      </c>
      <c r="C664" s="2" t="s">
        <v>25</v>
      </c>
      <c r="D664">
        <v>372</v>
      </c>
      <c r="E664">
        <v>6</v>
      </c>
      <c r="F664">
        <v>3</v>
      </c>
      <c r="G664">
        <v>3</v>
      </c>
      <c r="H664">
        <v>10</v>
      </c>
      <c r="I664">
        <v>44</v>
      </c>
      <c r="J664">
        <v>78</v>
      </c>
      <c r="K664">
        <v>57</v>
      </c>
      <c r="L664">
        <v>47</v>
      </c>
      <c r="M664">
        <v>41</v>
      </c>
      <c r="N664">
        <v>18</v>
      </c>
      <c r="O664">
        <v>22</v>
      </c>
      <c r="P664">
        <v>18</v>
      </c>
      <c r="Q664">
        <v>16</v>
      </c>
      <c r="R664">
        <v>8</v>
      </c>
      <c r="S664">
        <v>1</v>
      </c>
      <c r="T664">
        <v>0</v>
      </c>
      <c r="U664" s="1">
        <v>0</v>
      </c>
    </row>
    <row r="665" spans="1:21" x14ac:dyDescent="0.3">
      <c r="A665" t="s">
        <v>221</v>
      </c>
      <c r="B665" t="s">
        <v>223</v>
      </c>
      <c r="C665" s="2" t="s">
        <v>21</v>
      </c>
      <c r="D665">
        <v>439</v>
      </c>
      <c r="E665">
        <v>14</v>
      </c>
      <c r="F665">
        <v>6</v>
      </c>
      <c r="G665">
        <v>4</v>
      </c>
      <c r="H665">
        <v>2</v>
      </c>
      <c r="I665">
        <v>46</v>
      </c>
      <c r="J665">
        <v>92</v>
      </c>
      <c r="K665">
        <v>65</v>
      </c>
      <c r="L665">
        <v>75</v>
      </c>
      <c r="M665">
        <v>45</v>
      </c>
      <c r="N665">
        <v>31</v>
      </c>
      <c r="O665">
        <v>22</v>
      </c>
      <c r="P665">
        <v>16</v>
      </c>
      <c r="Q665">
        <v>12</v>
      </c>
      <c r="R665">
        <v>4</v>
      </c>
      <c r="S665">
        <v>3</v>
      </c>
      <c r="T665">
        <v>1</v>
      </c>
      <c r="U665" s="1">
        <v>1</v>
      </c>
    </row>
    <row r="666" spans="1:21" x14ac:dyDescent="0.3">
      <c r="A666" t="s">
        <v>221</v>
      </c>
      <c r="B666" t="s">
        <v>223</v>
      </c>
      <c r="C666" s="2" t="s">
        <v>24</v>
      </c>
      <c r="D666">
        <v>242</v>
      </c>
      <c r="E666">
        <v>8</v>
      </c>
      <c r="F666">
        <v>4</v>
      </c>
      <c r="G666">
        <v>1</v>
      </c>
      <c r="H666">
        <v>0</v>
      </c>
      <c r="I666">
        <v>28</v>
      </c>
      <c r="J666">
        <v>52</v>
      </c>
      <c r="K666">
        <v>40</v>
      </c>
      <c r="L666">
        <v>51</v>
      </c>
      <c r="M666">
        <v>23</v>
      </c>
      <c r="N666">
        <v>10</v>
      </c>
      <c r="O666">
        <v>8</v>
      </c>
      <c r="P666">
        <v>5</v>
      </c>
      <c r="Q666">
        <v>6</v>
      </c>
      <c r="R666">
        <v>3</v>
      </c>
      <c r="S666">
        <v>2</v>
      </c>
      <c r="T666">
        <v>1</v>
      </c>
      <c r="U666" s="1">
        <v>0</v>
      </c>
    </row>
    <row r="667" spans="1:21" x14ac:dyDescent="0.3">
      <c r="A667" t="s">
        <v>221</v>
      </c>
      <c r="B667" t="s">
        <v>223</v>
      </c>
      <c r="C667" s="2" t="s">
        <v>25</v>
      </c>
      <c r="D667">
        <v>197</v>
      </c>
      <c r="E667">
        <v>6</v>
      </c>
      <c r="F667">
        <v>2</v>
      </c>
      <c r="G667">
        <v>3</v>
      </c>
      <c r="H667">
        <v>2</v>
      </c>
      <c r="I667">
        <v>18</v>
      </c>
      <c r="J667">
        <v>40</v>
      </c>
      <c r="K667">
        <v>25</v>
      </c>
      <c r="L667">
        <v>24</v>
      </c>
      <c r="M667">
        <v>22</v>
      </c>
      <c r="N667">
        <v>21</v>
      </c>
      <c r="O667">
        <v>14</v>
      </c>
      <c r="P667">
        <v>11</v>
      </c>
      <c r="Q667">
        <v>6</v>
      </c>
      <c r="R667">
        <v>1</v>
      </c>
      <c r="S667">
        <v>1</v>
      </c>
      <c r="T667">
        <v>0</v>
      </c>
      <c r="U667" s="1">
        <v>1</v>
      </c>
    </row>
    <row r="668" spans="1:21" x14ac:dyDescent="0.3">
      <c r="A668" t="s">
        <v>221</v>
      </c>
      <c r="B668" t="s">
        <v>224</v>
      </c>
      <c r="C668" s="2" t="s">
        <v>21</v>
      </c>
      <c r="D668">
        <v>830</v>
      </c>
      <c r="E668">
        <v>19</v>
      </c>
      <c r="F668">
        <v>13</v>
      </c>
      <c r="G668">
        <v>4</v>
      </c>
      <c r="H668">
        <v>9</v>
      </c>
      <c r="I668">
        <v>62</v>
      </c>
      <c r="J668">
        <v>193</v>
      </c>
      <c r="K668">
        <v>192</v>
      </c>
      <c r="L668">
        <v>106</v>
      </c>
      <c r="M668">
        <v>71</v>
      </c>
      <c r="N668">
        <v>40</v>
      </c>
      <c r="O668">
        <v>37</v>
      </c>
      <c r="P668">
        <v>39</v>
      </c>
      <c r="Q668">
        <v>25</v>
      </c>
      <c r="R668">
        <v>10</v>
      </c>
      <c r="S668">
        <v>3</v>
      </c>
      <c r="T668">
        <v>4</v>
      </c>
      <c r="U668" s="1">
        <v>3</v>
      </c>
    </row>
    <row r="669" spans="1:21" x14ac:dyDescent="0.3">
      <c r="A669" t="s">
        <v>221</v>
      </c>
      <c r="B669" t="s">
        <v>224</v>
      </c>
      <c r="C669" s="2" t="s">
        <v>24</v>
      </c>
      <c r="D669">
        <v>489</v>
      </c>
      <c r="E669">
        <v>11</v>
      </c>
      <c r="F669">
        <v>4</v>
      </c>
      <c r="G669">
        <v>0</v>
      </c>
      <c r="H669">
        <v>6</v>
      </c>
      <c r="I669">
        <v>32</v>
      </c>
      <c r="J669">
        <v>132</v>
      </c>
      <c r="K669">
        <v>133</v>
      </c>
      <c r="L669">
        <v>67</v>
      </c>
      <c r="M669">
        <v>47</v>
      </c>
      <c r="N669">
        <v>16</v>
      </c>
      <c r="O669">
        <v>13</v>
      </c>
      <c r="P669">
        <v>12</v>
      </c>
      <c r="Q669">
        <v>9</v>
      </c>
      <c r="R669">
        <v>4</v>
      </c>
      <c r="S669">
        <v>0</v>
      </c>
      <c r="T669">
        <v>3</v>
      </c>
      <c r="U669" s="1">
        <v>0</v>
      </c>
    </row>
    <row r="670" spans="1:21" x14ac:dyDescent="0.3">
      <c r="A670" t="s">
        <v>221</v>
      </c>
      <c r="B670" t="s">
        <v>224</v>
      </c>
      <c r="C670" s="2" t="s">
        <v>25</v>
      </c>
      <c r="D670">
        <v>341</v>
      </c>
      <c r="E670">
        <v>8</v>
      </c>
      <c r="F670">
        <v>9</v>
      </c>
      <c r="G670">
        <v>4</v>
      </c>
      <c r="H670">
        <v>3</v>
      </c>
      <c r="I670">
        <v>30</v>
      </c>
      <c r="J670">
        <v>61</v>
      </c>
      <c r="K670">
        <v>59</v>
      </c>
      <c r="L670">
        <v>39</v>
      </c>
      <c r="M670">
        <v>24</v>
      </c>
      <c r="N670">
        <v>24</v>
      </c>
      <c r="O670">
        <v>24</v>
      </c>
      <c r="P670">
        <v>27</v>
      </c>
      <c r="Q670">
        <v>16</v>
      </c>
      <c r="R670">
        <v>6</v>
      </c>
      <c r="S670">
        <v>3</v>
      </c>
      <c r="T670">
        <v>1</v>
      </c>
      <c r="U670" s="1">
        <v>3</v>
      </c>
    </row>
    <row r="671" spans="1:21" x14ac:dyDescent="0.3">
      <c r="A671" t="s">
        <v>221</v>
      </c>
      <c r="B671" t="s">
        <v>225</v>
      </c>
      <c r="C671" s="2" t="s">
        <v>21</v>
      </c>
      <c r="D671" s="1">
        <v>1057</v>
      </c>
      <c r="E671">
        <v>12</v>
      </c>
      <c r="F671">
        <v>7</v>
      </c>
      <c r="G671">
        <v>3</v>
      </c>
      <c r="H671">
        <v>13</v>
      </c>
      <c r="I671">
        <v>256</v>
      </c>
      <c r="J671">
        <v>244</v>
      </c>
      <c r="K671">
        <v>166</v>
      </c>
      <c r="L671">
        <v>116</v>
      </c>
      <c r="M671">
        <v>68</v>
      </c>
      <c r="N671">
        <v>43</v>
      </c>
      <c r="O671">
        <v>36</v>
      </c>
      <c r="P671">
        <v>50</v>
      </c>
      <c r="Q671">
        <v>18</v>
      </c>
      <c r="R671">
        <v>17</v>
      </c>
      <c r="S671">
        <v>6</v>
      </c>
      <c r="T671">
        <v>2</v>
      </c>
      <c r="U671" s="1">
        <v>0</v>
      </c>
    </row>
    <row r="672" spans="1:21" x14ac:dyDescent="0.3">
      <c r="A672" t="s">
        <v>221</v>
      </c>
      <c r="B672" t="s">
        <v>225</v>
      </c>
      <c r="C672" s="2" t="s">
        <v>24</v>
      </c>
      <c r="D672">
        <v>673</v>
      </c>
      <c r="E672">
        <v>8</v>
      </c>
      <c r="F672">
        <v>4</v>
      </c>
      <c r="G672">
        <v>0</v>
      </c>
      <c r="H672">
        <v>11</v>
      </c>
      <c r="I672">
        <v>156</v>
      </c>
      <c r="J672">
        <v>206</v>
      </c>
      <c r="K672">
        <v>115</v>
      </c>
      <c r="L672">
        <v>71</v>
      </c>
      <c r="M672">
        <v>36</v>
      </c>
      <c r="N672">
        <v>16</v>
      </c>
      <c r="O672">
        <v>13</v>
      </c>
      <c r="P672">
        <v>17</v>
      </c>
      <c r="Q672">
        <v>5</v>
      </c>
      <c r="R672">
        <v>10</v>
      </c>
      <c r="S672">
        <v>3</v>
      </c>
      <c r="T672">
        <v>2</v>
      </c>
      <c r="U672" s="1">
        <v>0</v>
      </c>
    </row>
    <row r="673" spans="1:21" x14ac:dyDescent="0.3">
      <c r="A673" t="s">
        <v>221</v>
      </c>
      <c r="B673" t="s">
        <v>225</v>
      </c>
      <c r="C673" s="2" t="s">
        <v>25</v>
      </c>
      <c r="D673">
        <v>384</v>
      </c>
      <c r="E673">
        <v>4</v>
      </c>
      <c r="F673">
        <v>3</v>
      </c>
      <c r="G673">
        <v>3</v>
      </c>
      <c r="H673">
        <v>2</v>
      </c>
      <c r="I673">
        <v>100</v>
      </c>
      <c r="J673">
        <v>38</v>
      </c>
      <c r="K673">
        <v>51</v>
      </c>
      <c r="L673">
        <v>45</v>
      </c>
      <c r="M673">
        <v>32</v>
      </c>
      <c r="N673">
        <v>27</v>
      </c>
      <c r="O673">
        <v>23</v>
      </c>
      <c r="P673">
        <v>33</v>
      </c>
      <c r="Q673">
        <v>13</v>
      </c>
      <c r="R673">
        <v>7</v>
      </c>
      <c r="S673">
        <v>3</v>
      </c>
      <c r="T673">
        <v>0</v>
      </c>
      <c r="U673" s="1">
        <v>0</v>
      </c>
    </row>
    <row r="674" spans="1:21" x14ac:dyDescent="0.3">
      <c r="A674" t="s">
        <v>221</v>
      </c>
      <c r="B674" t="s">
        <v>226</v>
      </c>
      <c r="C674" s="2" t="s">
        <v>21</v>
      </c>
      <c r="D674" s="1">
        <v>1383</v>
      </c>
      <c r="E674">
        <v>20</v>
      </c>
      <c r="F674">
        <v>13</v>
      </c>
      <c r="G674">
        <v>8</v>
      </c>
      <c r="H674">
        <v>47</v>
      </c>
      <c r="I674">
        <v>182</v>
      </c>
      <c r="J674">
        <v>307</v>
      </c>
      <c r="K674">
        <v>268</v>
      </c>
      <c r="L674">
        <v>190</v>
      </c>
      <c r="M674">
        <v>132</v>
      </c>
      <c r="N674">
        <v>62</v>
      </c>
      <c r="O674">
        <v>45</v>
      </c>
      <c r="P674">
        <v>53</v>
      </c>
      <c r="Q674">
        <v>31</v>
      </c>
      <c r="R674">
        <v>10</v>
      </c>
      <c r="S674">
        <v>6</v>
      </c>
      <c r="T674">
        <v>9</v>
      </c>
      <c r="U674" s="1">
        <v>0</v>
      </c>
    </row>
    <row r="675" spans="1:21" x14ac:dyDescent="0.3">
      <c r="A675" t="s">
        <v>221</v>
      </c>
      <c r="B675" t="s">
        <v>226</v>
      </c>
      <c r="C675" s="2" t="s">
        <v>24</v>
      </c>
      <c r="D675">
        <v>962</v>
      </c>
      <c r="E675">
        <v>13</v>
      </c>
      <c r="F675">
        <v>6</v>
      </c>
      <c r="G675">
        <v>4</v>
      </c>
      <c r="H675">
        <v>32</v>
      </c>
      <c r="I675">
        <v>134</v>
      </c>
      <c r="J675">
        <v>235</v>
      </c>
      <c r="K675">
        <v>205</v>
      </c>
      <c r="L675">
        <v>145</v>
      </c>
      <c r="M675">
        <v>88</v>
      </c>
      <c r="N675">
        <v>37</v>
      </c>
      <c r="O675">
        <v>22</v>
      </c>
      <c r="P675">
        <v>18</v>
      </c>
      <c r="Q675">
        <v>10</v>
      </c>
      <c r="R675">
        <v>4</v>
      </c>
      <c r="S675">
        <v>4</v>
      </c>
      <c r="T675">
        <v>5</v>
      </c>
      <c r="U675" s="1">
        <v>0</v>
      </c>
    </row>
    <row r="676" spans="1:21" x14ac:dyDescent="0.3">
      <c r="A676" t="s">
        <v>221</v>
      </c>
      <c r="B676" t="s">
        <v>226</v>
      </c>
      <c r="C676" s="2" t="s">
        <v>25</v>
      </c>
      <c r="D676">
        <v>421</v>
      </c>
      <c r="E676">
        <v>7</v>
      </c>
      <c r="F676">
        <v>7</v>
      </c>
      <c r="G676">
        <v>4</v>
      </c>
      <c r="H676">
        <v>15</v>
      </c>
      <c r="I676">
        <v>48</v>
      </c>
      <c r="J676">
        <v>72</v>
      </c>
      <c r="K676">
        <v>63</v>
      </c>
      <c r="L676">
        <v>45</v>
      </c>
      <c r="M676">
        <v>44</v>
      </c>
      <c r="N676">
        <v>25</v>
      </c>
      <c r="O676">
        <v>23</v>
      </c>
      <c r="P676">
        <v>35</v>
      </c>
      <c r="Q676">
        <v>21</v>
      </c>
      <c r="R676">
        <v>6</v>
      </c>
      <c r="S676">
        <v>2</v>
      </c>
      <c r="T676">
        <v>4</v>
      </c>
      <c r="U676" s="1">
        <v>0</v>
      </c>
    </row>
    <row r="677" spans="1:21" x14ac:dyDescent="0.3">
      <c r="A677" t="s">
        <v>221</v>
      </c>
      <c r="B677" t="s">
        <v>227</v>
      </c>
      <c r="C677" s="2" t="s">
        <v>21</v>
      </c>
      <c r="D677" s="1">
        <v>15313</v>
      </c>
      <c r="E677">
        <v>232</v>
      </c>
      <c r="F677">
        <v>221</v>
      </c>
      <c r="G677">
        <v>128</v>
      </c>
      <c r="H677">
        <v>361</v>
      </c>
      <c r="I677" s="1">
        <v>2225</v>
      </c>
      <c r="J677" s="1">
        <v>3347</v>
      </c>
      <c r="K677" s="1">
        <v>3159</v>
      </c>
      <c r="L677" s="1">
        <v>2349</v>
      </c>
      <c r="M677" s="1">
        <v>1267</v>
      </c>
      <c r="N677">
        <v>692</v>
      </c>
      <c r="O677">
        <v>511</v>
      </c>
      <c r="P677">
        <v>474</v>
      </c>
      <c r="Q677">
        <v>233</v>
      </c>
      <c r="R677">
        <v>79</v>
      </c>
      <c r="S677">
        <v>23</v>
      </c>
      <c r="T677">
        <v>9</v>
      </c>
      <c r="U677" s="1">
        <v>3</v>
      </c>
    </row>
    <row r="678" spans="1:21" x14ac:dyDescent="0.3">
      <c r="A678" t="s">
        <v>221</v>
      </c>
      <c r="B678" t="s">
        <v>227</v>
      </c>
      <c r="C678" s="2" t="s">
        <v>24</v>
      </c>
      <c r="D678" s="1">
        <v>11378</v>
      </c>
      <c r="E678">
        <v>106</v>
      </c>
      <c r="F678">
        <v>117</v>
      </c>
      <c r="G678">
        <v>56</v>
      </c>
      <c r="H678">
        <v>245</v>
      </c>
      <c r="I678" s="1">
        <v>1796</v>
      </c>
      <c r="J678" s="1">
        <v>2625</v>
      </c>
      <c r="K678" s="1">
        <v>2537</v>
      </c>
      <c r="L678" s="1">
        <v>1852</v>
      </c>
      <c r="M678">
        <v>947</v>
      </c>
      <c r="N678">
        <v>441</v>
      </c>
      <c r="O678">
        <v>249</v>
      </c>
      <c r="P678">
        <v>238</v>
      </c>
      <c r="Q678">
        <v>112</v>
      </c>
      <c r="R678">
        <v>37</v>
      </c>
      <c r="S678">
        <v>14</v>
      </c>
      <c r="T678">
        <v>5</v>
      </c>
      <c r="U678" s="1">
        <v>1</v>
      </c>
    </row>
    <row r="679" spans="1:21" x14ac:dyDescent="0.3">
      <c r="A679" t="s">
        <v>221</v>
      </c>
      <c r="B679" t="s">
        <v>227</v>
      </c>
      <c r="C679" s="2" t="s">
        <v>25</v>
      </c>
      <c r="D679" s="1">
        <v>3935</v>
      </c>
      <c r="E679">
        <v>126</v>
      </c>
      <c r="F679">
        <v>104</v>
      </c>
      <c r="G679">
        <v>72</v>
      </c>
      <c r="H679">
        <v>116</v>
      </c>
      <c r="I679">
        <v>429</v>
      </c>
      <c r="J679">
        <v>722</v>
      </c>
      <c r="K679">
        <v>622</v>
      </c>
      <c r="L679">
        <v>497</v>
      </c>
      <c r="M679">
        <v>320</v>
      </c>
      <c r="N679">
        <v>251</v>
      </c>
      <c r="O679">
        <v>262</v>
      </c>
      <c r="P679">
        <v>236</v>
      </c>
      <c r="Q679">
        <v>121</v>
      </c>
      <c r="R679">
        <v>42</v>
      </c>
      <c r="S679">
        <v>9</v>
      </c>
      <c r="T679">
        <v>4</v>
      </c>
      <c r="U679" s="1">
        <v>2</v>
      </c>
    </row>
    <row r="680" spans="1:21" x14ac:dyDescent="0.3">
      <c r="A680" t="s">
        <v>221</v>
      </c>
      <c r="B680" t="s">
        <v>228</v>
      </c>
      <c r="C680" s="2" t="s">
        <v>21</v>
      </c>
      <c r="D680" s="1">
        <v>3474</v>
      </c>
      <c r="E680">
        <v>89</v>
      </c>
      <c r="F680">
        <v>39</v>
      </c>
      <c r="G680">
        <v>23</v>
      </c>
      <c r="H680">
        <v>305</v>
      </c>
      <c r="I680" s="1">
        <v>1005</v>
      </c>
      <c r="J680">
        <v>636</v>
      </c>
      <c r="K680">
        <v>424</v>
      </c>
      <c r="L680">
        <v>332</v>
      </c>
      <c r="M680">
        <v>209</v>
      </c>
      <c r="N680">
        <v>111</v>
      </c>
      <c r="O680">
        <v>96</v>
      </c>
      <c r="P680">
        <v>93</v>
      </c>
      <c r="Q680">
        <v>60</v>
      </c>
      <c r="R680">
        <v>31</v>
      </c>
      <c r="S680">
        <v>10</v>
      </c>
      <c r="T680">
        <v>5</v>
      </c>
      <c r="U680" s="1">
        <v>6</v>
      </c>
    </row>
    <row r="681" spans="1:21" x14ac:dyDescent="0.3">
      <c r="A681" t="s">
        <v>221</v>
      </c>
      <c r="B681" t="s">
        <v>228</v>
      </c>
      <c r="C681" s="2" t="s">
        <v>24</v>
      </c>
      <c r="D681" s="1">
        <v>1980</v>
      </c>
      <c r="E681">
        <v>52</v>
      </c>
      <c r="F681">
        <v>23</v>
      </c>
      <c r="G681">
        <v>7</v>
      </c>
      <c r="H681">
        <v>198</v>
      </c>
      <c r="I681">
        <v>580</v>
      </c>
      <c r="J681">
        <v>366</v>
      </c>
      <c r="K681">
        <v>270</v>
      </c>
      <c r="L681">
        <v>193</v>
      </c>
      <c r="M681">
        <v>119</v>
      </c>
      <c r="N681">
        <v>56</v>
      </c>
      <c r="O681">
        <v>36</v>
      </c>
      <c r="P681">
        <v>39</v>
      </c>
      <c r="Q681">
        <v>20</v>
      </c>
      <c r="R681">
        <v>13</v>
      </c>
      <c r="S681">
        <v>5</v>
      </c>
      <c r="T681">
        <v>2</v>
      </c>
      <c r="U681" s="1">
        <v>1</v>
      </c>
    </row>
    <row r="682" spans="1:21" x14ac:dyDescent="0.3">
      <c r="A682" t="s">
        <v>221</v>
      </c>
      <c r="B682" t="s">
        <v>228</v>
      </c>
      <c r="C682" s="2" t="s">
        <v>25</v>
      </c>
      <c r="D682" s="1">
        <v>1494</v>
      </c>
      <c r="E682">
        <v>37</v>
      </c>
      <c r="F682">
        <v>16</v>
      </c>
      <c r="G682">
        <v>16</v>
      </c>
      <c r="H682">
        <v>107</v>
      </c>
      <c r="I682">
        <v>425</v>
      </c>
      <c r="J682">
        <v>270</v>
      </c>
      <c r="K682">
        <v>154</v>
      </c>
      <c r="L682">
        <v>139</v>
      </c>
      <c r="M682">
        <v>90</v>
      </c>
      <c r="N682">
        <v>55</v>
      </c>
      <c r="O682">
        <v>60</v>
      </c>
      <c r="P682">
        <v>54</v>
      </c>
      <c r="Q682">
        <v>40</v>
      </c>
      <c r="R682">
        <v>18</v>
      </c>
      <c r="S682">
        <v>5</v>
      </c>
      <c r="T682">
        <v>3</v>
      </c>
      <c r="U682" s="1">
        <v>5</v>
      </c>
    </row>
    <row r="683" spans="1:21" x14ac:dyDescent="0.3">
      <c r="A683" t="s">
        <v>221</v>
      </c>
      <c r="B683" t="s">
        <v>229</v>
      </c>
      <c r="C683" s="2" t="s">
        <v>21</v>
      </c>
      <c r="D683" s="1">
        <v>1450</v>
      </c>
      <c r="E683">
        <v>39</v>
      </c>
      <c r="F683">
        <v>43</v>
      </c>
      <c r="G683">
        <v>20</v>
      </c>
      <c r="H683">
        <v>42</v>
      </c>
      <c r="I683">
        <v>199</v>
      </c>
      <c r="J683">
        <v>239</v>
      </c>
      <c r="K683">
        <v>238</v>
      </c>
      <c r="L683">
        <v>204</v>
      </c>
      <c r="M683">
        <v>136</v>
      </c>
      <c r="N683">
        <v>95</v>
      </c>
      <c r="O683">
        <v>60</v>
      </c>
      <c r="P683">
        <v>73</v>
      </c>
      <c r="Q683">
        <v>40</v>
      </c>
      <c r="R683">
        <v>12</v>
      </c>
      <c r="S683">
        <v>7</v>
      </c>
      <c r="T683">
        <v>3</v>
      </c>
      <c r="U683" s="1">
        <v>0</v>
      </c>
    </row>
    <row r="684" spans="1:21" x14ac:dyDescent="0.3">
      <c r="A684" t="s">
        <v>221</v>
      </c>
      <c r="B684" t="s">
        <v>229</v>
      </c>
      <c r="C684" s="2" t="s">
        <v>24</v>
      </c>
      <c r="D684">
        <v>935</v>
      </c>
      <c r="E684">
        <v>21</v>
      </c>
      <c r="F684">
        <v>22</v>
      </c>
      <c r="G684">
        <v>12</v>
      </c>
      <c r="H684">
        <v>36</v>
      </c>
      <c r="I684">
        <v>160</v>
      </c>
      <c r="J684">
        <v>173</v>
      </c>
      <c r="K684">
        <v>165</v>
      </c>
      <c r="L684">
        <v>134</v>
      </c>
      <c r="M684">
        <v>74</v>
      </c>
      <c r="N684">
        <v>50</v>
      </c>
      <c r="O684">
        <v>27</v>
      </c>
      <c r="P684">
        <v>32</v>
      </c>
      <c r="Q684">
        <v>19</v>
      </c>
      <c r="R684">
        <v>4</v>
      </c>
      <c r="S684">
        <v>4</v>
      </c>
      <c r="T684">
        <v>2</v>
      </c>
      <c r="U684" s="1">
        <v>0</v>
      </c>
    </row>
    <row r="685" spans="1:21" x14ac:dyDescent="0.3">
      <c r="A685" t="s">
        <v>221</v>
      </c>
      <c r="B685" t="s">
        <v>229</v>
      </c>
      <c r="C685" s="2" t="s">
        <v>25</v>
      </c>
      <c r="D685">
        <v>515</v>
      </c>
      <c r="E685">
        <v>18</v>
      </c>
      <c r="F685">
        <v>21</v>
      </c>
      <c r="G685">
        <v>8</v>
      </c>
      <c r="H685">
        <v>6</v>
      </c>
      <c r="I685">
        <v>39</v>
      </c>
      <c r="J685">
        <v>66</v>
      </c>
      <c r="K685">
        <v>73</v>
      </c>
      <c r="L685">
        <v>70</v>
      </c>
      <c r="M685">
        <v>62</v>
      </c>
      <c r="N685">
        <v>45</v>
      </c>
      <c r="O685">
        <v>33</v>
      </c>
      <c r="P685">
        <v>41</v>
      </c>
      <c r="Q685">
        <v>21</v>
      </c>
      <c r="R685">
        <v>8</v>
      </c>
      <c r="S685">
        <v>3</v>
      </c>
      <c r="T685">
        <v>1</v>
      </c>
      <c r="U685" s="1">
        <v>0</v>
      </c>
    </row>
    <row r="686" spans="1:21" x14ac:dyDescent="0.3">
      <c r="A686" t="s">
        <v>221</v>
      </c>
      <c r="B686" t="s">
        <v>230</v>
      </c>
      <c r="C686" s="2" t="s">
        <v>21</v>
      </c>
      <c r="D686" s="1">
        <v>9014</v>
      </c>
      <c r="E686">
        <v>249</v>
      </c>
      <c r="F686">
        <v>227</v>
      </c>
      <c r="G686">
        <v>143</v>
      </c>
      <c r="H686">
        <v>163</v>
      </c>
      <c r="I686">
        <v>920</v>
      </c>
      <c r="J686" s="1">
        <v>1568</v>
      </c>
      <c r="K686" s="1">
        <v>1769</v>
      </c>
      <c r="L686" s="1">
        <v>1483</v>
      </c>
      <c r="M686">
        <v>910</v>
      </c>
      <c r="N686">
        <v>543</v>
      </c>
      <c r="O686">
        <v>433</v>
      </c>
      <c r="P686">
        <v>355</v>
      </c>
      <c r="Q686">
        <v>169</v>
      </c>
      <c r="R686">
        <v>67</v>
      </c>
      <c r="S686">
        <v>10</v>
      </c>
      <c r="T686">
        <v>2</v>
      </c>
      <c r="U686" s="1">
        <v>3</v>
      </c>
    </row>
    <row r="687" spans="1:21" x14ac:dyDescent="0.3">
      <c r="A687" t="s">
        <v>221</v>
      </c>
      <c r="B687" t="s">
        <v>230</v>
      </c>
      <c r="C687" s="2" t="s">
        <v>24</v>
      </c>
      <c r="D687" s="1">
        <v>6362</v>
      </c>
      <c r="E687">
        <v>144</v>
      </c>
      <c r="F687">
        <v>110</v>
      </c>
      <c r="G687">
        <v>68</v>
      </c>
      <c r="H687">
        <v>103</v>
      </c>
      <c r="I687">
        <v>721</v>
      </c>
      <c r="J687" s="1">
        <v>1217</v>
      </c>
      <c r="K687" s="1">
        <v>1400</v>
      </c>
      <c r="L687" s="1">
        <v>1127</v>
      </c>
      <c r="M687">
        <v>637</v>
      </c>
      <c r="N687">
        <v>333</v>
      </c>
      <c r="O687">
        <v>219</v>
      </c>
      <c r="P687">
        <v>165</v>
      </c>
      <c r="Q687">
        <v>81</v>
      </c>
      <c r="R687">
        <v>30</v>
      </c>
      <c r="S687">
        <v>3</v>
      </c>
      <c r="T687">
        <v>2</v>
      </c>
      <c r="U687" s="1">
        <v>2</v>
      </c>
    </row>
    <row r="688" spans="1:21" x14ac:dyDescent="0.3">
      <c r="A688" t="s">
        <v>221</v>
      </c>
      <c r="B688" t="s">
        <v>230</v>
      </c>
      <c r="C688" s="2" t="s">
        <v>25</v>
      </c>
      <c r="D688" s="1">
        <v>2652</v>
      </c>
      <c r="E688">
        <v>105</v>
      </c>
      <c r="F688">
        <v>117</v>
      </c>
      <c r="G688">
        <v>75</v>
      </c>
      <c r="H688">
        <v>60</v>
      </c>
      <c r="I688">
        <v>199</v>
      </c>
      <c r="J688">
        <v>351</v>
      </c>
      <c r="K688">
        <v>369</v>
      </c>
      <c r="L688">
        <v>356</v>
      </c>
      <c r="M688">
        <v>273</v>
      </c>
      <c r="N688">
        <v>210</v>
      </c>
      <c r="O688">
        <v>214</v>
      </c>
      <c r="P688">
        <v>190</v>
      </c>
      <c r="Q688">
        <v>88</v>
      </c>
      <c r="R688">
        <v>37</v>
      </c>
      <c r="S688">
        <v>7</v>
      </c>
      <c r="T688">
        <v>0</v>
      </c>
      <c r="U688" s="1">
        <v>1</v>
      </c>
    </row>
    <row r="689" spans="1:21" x14ac:dyDescent="0.3">
      <c r="A689" t="s">
        <v>221</v>
      </c>
      <c r="B689" t="s">
        <v>231</v>
      </c>
      <c r="C689" s="2" t="s">
        <v>21</v>
      </c>
      <c r="D689" s="1">
        <v>1720</v>
      </c>
      <c r="E689">
        <v>37</v>
      </c>
      <c r="F689">
        <v>34</v>
      </c>
      <c r="G689">
        <v>26</v>
      </c>
      <c r="H689">
        <v>45</v>
      </c>
      <c r="I689">
        <v>248</v>
      </c>
      <c r="J689">
        <v>242</v>
      </c>
      <c r="K689">
        <v>250</v>
      </c>
      <c r="L689">
        <v>224</v>
      </c>
      <c r="M689">
        <v>145</v>
      </c>
      <c r="N689">
        <v>118</v>
      </c>
      <c r="O689">
        <v>107</v>
      </c>
      <c r="P689">
        <v>108</v>
      </c>
      <c r="Q689">
        <v>70</v>
      </c>
      <c r="R689">
        <v>41</v>
      </c>
      <c r="S689">
        <v>13</v>
      </c>
      <c r="T689">
        <v>7</v>
      </c>
      <c r="U689" s="1">
        <v>5</v>
      </c>
    </row>
    <row r="690" spans="1:21" x14ac:dyDescent="0.3">
      <c r="A690" t="s">
        <v>221</v>
      </c>
      <c r="B690" t="s">
        <v>231</v>
      </c>
      <c r="C690" s="2" t="s">
        <v>24</v>
      </c>
      <c r="D690">
        <v>790</v>
      </c>
      <c r="E690">
        <v>21</v>
      </c>
      <c r="F690">
        <v>21</v>
      </c>
      <c r="G690">
        <v>15</v>
      </c>
      <c r="H690">
        <v>31</v>
      </c>
      <c r="I690">
        <v>166</v>
      </c>
      <c r="J690">
        <v>118</v>
      </c>
      <c r="K690">
        <v>103</v>
      </c>
      <c r="L690">
        <v>86</v>
      </c>
      <c r="M690">
        <v>58</v>
      </c>
      <c r="N690">
        <v>42</v>
      </c>
      <c r="O690">
        <v>38</v>
      </c>
      <c r="P690">
        <v>35</v>
      </c>
      <c r="Q690">
        <v>27</v>
      </c>
      <c r="R690">
        <v>18</v>
      </c>
      <c r="S690">
        <v>8</v>
      </c>
      <c r="T690">
        <v>2</v>
      </c>
      <c r="U690" s="1">
        <v>1</v>
      </c>
    </row>
    <row r="691" spans="1:21" x14ac:dyDescent="0.3">
      <c r="A691" t="s">
        <v>221</v>
      </c>
      <c r="B691" t="s">
        <v>231</v>
      </c>
      <c r="C691" s="2" t="s">
        <v>25</v>
      </c>
      <c r="D691">
        <v>930</v>
      </c>
      <c r="E691">
        <v>16</v>
      </c>
      <c r="F691">
        <v>13</v>
      </c>
      <c r="G691">
        <v>11</v>
      </c>
      <c r="H691">
        <v>14</v>
      </c>
      <c r="I691">
        <v>82</v>
      </c>
      <c r="J691">
        <v>124</v>
      </c>
      <c r="K691">
        <v>147</v>
      </c>
      <c r="L691">
        <v>138</v>
      </c>
      <c r="M691">
        <v>87</v>
      </c>
      <c r="N691">
        <v>76</v>
      </c>
      <c r="O691">
        <v>69</v>
      </c>
      <c r="P691">
        <v>73</v>
      </c>
      <c r="Q691">
        <v>43</v>
      </c>
      <c r="R691">
        <v>23</v>
      </c>
      <c r="S691">
        <v>5</v>
      </c>
      <c r="T691">
        <v>5</v>
      </c>
      <c r="U691" s="1">
        <v>4</v>
      </c>
    </row>
    <row r="692" spans="1:21" x14ac:dyDescent="0.3">
      <c r="A692" t="s">
        <v>221</v>
      </c>
      <c r="B692" t="s">
        <v>232</v>
      </c>
      <c r="C692" s="2" t="s">
        <v>21</v>
      </c>
      <c r="D692" s="1">
        <v>4322</v>
      </c>
      <c r="E692">
        <v>147</v>
      </c>
      <c r="F692">
        <v>163</v>
      </c>
      <c r="G692">
        <v>103</v>
      </c>
      <c r="H692">
        <v>292</v>
      </c>
      <c r="I692" s="1">
        <v>1000</v>
      </c>
      <c r="J692">
        <v>764</v>
      </c>
      <c r="K692">
        <v>508</v>
      </c>
      <c r="L692">
        <v>390</v>
      </c>
      <c r="M692">
        <v>320</v>
      </c>
      <c r="N692">
        <v>204</v>
      </c>
      <c r="O692">
        <v>156</v>
      </c>
      <c r="P692">
        <v>139</v>
      </c>
      <c r="Q692">
        <v>77</v>
      </c>
      <c r="R692">
        <v>35</v>
      </c>
      <c r="S692">
        <v>16</v>
      </c>
      <c r="T692">
        <v>4</v>
      </c>
      <c r="U692" s="1">
        <v>4</v>
      </c>
    </row>
    <row r="693" spans="1:21" x14ac:dyDescent="0.3">
      <c r="A693" t="s">
        <v>221</v>
      </c>
      <c r="B693" t="s">
        <v>232</v>
      </c>
      <c r="C693" s="2" t="s">
        <v>24</v>
      </c>
      <c r="D693" s="1">
        <v>2334</v>
      </c>
      <c r="E693">
        <v>70</v>
      </c>
      <c r="F693">
        <v>97</v>
      </c>
      <c r="G693">
        <v>48</v>
      </c>
      <c r="H693">
        <v>163</v>
      </c>
      <c r="I693">
        <v>568</v>
      </c>
      <c r="J693">
        <v>453</v>
      </c>
      <c r="K693">
        <v>275</v>
      </c>
      <c r="L693">
        <v>206</v>
      </c>
      <c r="M693">
        <v>161</v>
      </c>
      <c r="N693">
        <v>99</v>
      </c>
      <c r="O693">
        <v>75</v>
      </c>
      <c r="P693">
        <v>68</v>
      </c>
      <c r="Q693">
        <v>29</v>
      </c>
      <c r="R693">
        <v>14</v>
      </c>
      <c r="S693">
        <v>5</v>
      </c>
      <c r="T693">
        <v>1</v>
      </c>
      <c r="U693" s="1">
        <v>2</v>
      </c>
    </row>
    <row r="694" spans="1:21" x14ac:dyDescent="0.3">
      <c r="A694" t="s">
        <v>221</v>
      </c>
      <c r="B694" t="s">
        <v>232</v>
      </c>
      <c r="C694" s="2" t="s">
        <v>25</v>
      </c>
      <c r="D694" s="1">
        <v>1988</v>
      </c>
      <c r="E694">
        <v>77</v>
      </c>
      <c r="F694">
        <v>66</v>
      </c>
      <c r="G694">
        <v>55</v>
      </c>
      <c r="H694">
        <v>129</v>
      </c>
      <c r="I694">
        <v>432</v>
      </c>
      <c r="J694">
        <v>311</v>
      </c>
      <c r="K694">
        <v>233</v>
      </c>
      <c r="L694">
        <v>184</v>
      </c>
      <c r="M694">
        <v>159</v>
      </c>
      <c r="N694">
        <v>105</v>
      </c>
      <c r="O694">
        <v>81</v>
      </c>
      <c r="P694">
        <v>71</v>
      </c>
      <c r="Q694">
        <v>48</v>
      </c>
      <c r="R694">
        <v>21</v>
      </c>
      <c r="S694">
        <v>11</v>
      </c>
      <c r="T694">
        <v>3</v>
      </c>
      <c r="U694" s="1">
        <v>2</v>
      </c>
    </row>
    <row r="695" spans="1:21" x14ac:dyDescent="0.3">
      <c r="A695" t="s">
        <v>221</v>
      </c>
      <c r="B695" t="s">
        <v>233</v>
      </c>
      <c r="C695" s="2" t="s">
        <v>21</v>
      </c>
      <c r="D695" s="1">
        <v>7899</v>
      </c>
      <c r="E695">
        <v>92</v>
      </c>
      <c r="F695">
        <v>89</v>
      </c>
      <c r="G695">
        <v>71</v>
      </c>
      <c r="H695">
        <v>345</v>
      </c>
      <c r="I695" s="1">
        <v>2566</v>
      </c>
      <c r="J695" s="1">
        <v>1599</v>
      </c>
      <c r="K695" s="1">
        <v>1062</v>
      </c>
      <c r="L695">
        <v>786</v>
      </c>
      <c r="M695">
        <v>470</v>
      </c>
      <c r="N695">
        <v>257</v>
      </c>
      <c r="O695">
        <v>203</v>
      </c>
      <c r="P695">
        <v>173</v>
      </c>
      <c r="Q695">
        <v>115</v>
      </c>
      <c r="R695">
        <v>46</v>
      </c>
      <c r="S695">
        <v>17</v>
      </c>
      <c r="T695">
        <v>5</v>
      </c>
      <c r="U695" s="1">
        <v>3</v>
      </c>
    </row>
    <row r="696" spans="1:21" x14ac:dyDescent="0.3">
      <c r="A696" t="s">
        <v>221</v>
      </c>
      <c r="B696" t="s">
        <v>233</v>
      </c>
      <c r="C696" s="2" t="s">
        <v>24</v>
      </c>
      <c r="D696" s="1">
        <v>4810</v>
      </c>
      <c r="E696">
        <v>42</v>
      </c>
      <c r="F696">
        <v>54</v>
      </c>
      <c r="G696">
        <v>39</v>
      </c>
      <c r="H696">
        <v>209</v>
      </c>
      <c r="I696" s="1">
        <v>1589</v>
      </c>
      <c r="J696">
        <v>984</v>
      </c>
      <c r="K696">
        <v>724</v>
      </c>
      <c r="L696">
        <v>511</v>
      </c>
      <c r="M696">
        <v>266</v>
      </c>
      <c r="N696">
        <v>126</v>
      </c>
      <c r="O696">
        <v>95</v>
      </c>
      <c r="P696">
        <v>87</v>
      </c>
      <c r="Q696">
        <v>51</v>
      </c>
      <c r="R696">
        <v>19</v>
      </c>
      <c r="S696">
        <v>11</v>
      </c>
      <c r="T696">
        <v>2</v>
      </c>
      <c r="U696" s="1">
        <v>1</v>
      </c>
    </row>
    <row r="697" spans="1:21" x14ac:dyDescent="0.3">
      <c r="A697" t="s">
        <v>221</v>
      </c>
      <c r="B697" t="s">
        <v>233</v>
      </c>
      <c r="C697" s="2" t="s">
        <v>25</v>
      </c>
      <c r="D697" s="1">
        <v>3089</v>
      </c>
      <c r="E697">
        <v>50</v>
      </c>
      <c r="F697">
        <v>35</v>
      </c>
      <c r="G697">
        <v>32</v>
      </c>
      <c r="H697">
        <v>136</v>
      </c>
      <c r="I697">
        <v>977</v>
      </c>
      <c r="J697">
        <v>615</v>
      </c>
      <c r="K697">
        <v>338</v>
      </c>
      <c r="L697">
        <v>275</v>
      </c>
      <c r="M697">
        <v>204</v>
      </c>
      <c r="N697">
        <v>131</v>
      </c>
      <c r="O697">
        <v>108</v>
      </c>
      <c r="P697">
        <v>86</v>
      </c>
      <c r="Q697">
        <v>64</v>
      </c>
      <c r="R697">
        <v>27</v>
      </c>
      <c r="S697">
        <v>6</v>
      </c>
      <c r="T697">
        <v>3</v>
      </c>
      <c r="U697" s="1">
        <v>2</v>
      </c>
    </row>
    <row r="698" spans="1:21" x14ac:dyDescent="0.3">
      <c r="A698" t="s">
        <v>221</v>
      </c>
      <c r="B698" t="s">
        <v>234</v>
      </c>
      <c r="C698" s="2" t="s">
        <v>21</v>
      </c>
      <c r="D698" s="1">
        <v>7598</v>
      </c>
      <c r="E698">
        <v>271</v>
      </c>
      <c r="F698">
        <v>272</v>
      </c>
      <c r="G698">
        <v>195</v>
      </c>
      <c r="H698">
        <v>491</v>
      </c>
      <c r="I698" s="1">
        <v>1319</v>
      </c>
      <c r="J698" s="1">
        <v>1353</v>
      </c>
      <c r="K698">
        <v>980</v>
      </c>
      <c r="L698">
        <v>895</v>
      </c>
      <c r="M698">
        <v>601</v>
      </c>
      <c r="N698">
        <v>349</v>
      </c>
      <c r="O698">
        <v>321</v>
      </c>
      <c r="P698">
        <v>297</v>
      </c>
      <c r="Q698">
        <v>145</v>
      </c>
      <c r="R698">
        <v>72</v>
      </c>
      <c r="S698">
        <v>25</v>
      </c>
      <c r="T698">
        <v>6</v>
      </c>
      <c r="U698" s="1">
        <v>6</v>
      </c>
    </row>
    <row r="699" spans="1:21" x14ac:dyDescent="0.3">
      <c r="A699" t="s">
        <v>221</v>
      </c>
      <c r="B699" t="s">
        <v>234</v>
      </c>
      <c r="C699" s="2" t="s">
        <v>24</v>
      </c>
      <c r="D699" s="1">
        <v>4266</v>
      </c>
      <c r="E699">
        <v>135</v>
      </c>
      <c r="F699">
        <v>138</v>
      </c>
      <c r="G699">
        <v>97</v>
      </c>
      <c r="H699">
        <v>324</v>
      </c>
      <c r="I699">
        <v>791</v>
      </c>
      <c r="J699">
        <v>776</v>
      </c>
      <c r="K699">
        <v>590</v>
      </c>
      <c r="L699">
        <v>538</v>
      </c>
      <c r="M699">
        <v>313</v>
      </c>
      <c r="N699">
        <v>166</v>
      </c>
      <c r="O699">
        <v>147</v>
      </c>
      <c r="P699">
        <v>136</v>
      </c>
      <c r="Q699">
        <v>66</v>
      </c>
      <c r="R699">
        <v>29</v>
      </c>
      <c r="S699">
        <v>14</v>
      </c>
      <c r="T699">
        <v>4</v>
      </c>
      <c r="U699" s="1">
        <v>2</v>
      </c>
    </row>
    <row r="700" spans="1:21" x14ac:dyDescent="0.3">
      <c r="A700" t="s">
        <v>221</v>
      </c>
      <c r="B700" t="s">
        <v>234</v>
      </c>
      <c r="C700" s="2" t="s">
        <v>25</v>
      </c>
      <c r="D700" s="1">
        <v>3332</v>
      </c>
      <c r="E700">
        <v>136</v>
      </c>
      <c r="F700">
        <v>134</v>
      </c>
      <c r="G700">
        <v>98</v>
      </c>
      <c r="H700">
        <v>167</v>
      </c>
      <c r="I700">
        <v>528</v>
      </c>
      <c r="J700">
        <v>577</v>
      </c>
      <c r="K700">
        <v>390</v>
      </c>
      <c r="L700">
        <v>357</v>
      </c>
      <c r="M700">
        <v>288</v>
      </c>
      <c r="N700">
        <v>183</v>
      </c>
      <c r="O700">
        <v>174</v>
      </c>
      <c r="P700">
        <v>161</v>
      </c>
      <c r="Q700">
        <v>79</v>
      </c>
      <c r="R700">
        <v>43</v>
      </c>
      <c r="S700">
        <v>11</v>
      </c>
      <c r="T700">
        <v>2</v>
      </c>
      <c r="U700" s="1">
        <v>4</v>
      </c>
    </row>
    <row r="701" spans="1:21" x14ac:dyDescent="0.3">
      <c r="A701" t="s">
        <v>221</v>
      </c>
      <c r="B701" t="s">
        <v>235</v>
      </c>
      <c r="C701" s="2" t="s">
        <v>21</v>
      </c>
      <c r="D701" s="1">
        <v>6550</v>
      </c>
      <c r="E701">
        <v>115</v>
      </c>
      <c r="F701">
        <v>74</v>
      </c>
      <c r="G701">
        <v>52</v>
      </c>
      <c r="H701">
        <v>160</v>
      </c>
      <c r="I701">
        <v>952</v>
      </c>
      <c r="J701" s="1">
        <v>1567</v>
      </c>
      <c r="K701" s="1">
        <v>1325</v>
      </c>
      <c r="L701">
        <v>860</v>
      </c>
      <c r="M701">
        <v>520</v>
      </c>
      <c r="N701">
        <v>290</v>
      </c>
      <c r="O701">
        <v>250</v>
      </c>
      <c r="P701">
        <v>193</v>
      </c>
      <c r="Q701">
        <v>108</v>
      </c>
      <c r="R701">
        <v>52</v>
      </c>
      <c r="S701">
        <v>16</v>
      </c>
      <c r="T701">
        <v>8</v>
      </c>
      <c r="U701" s="1">
        <v>8</v>
      </c>
    </row>
    <row r="702" spans="1:21" x14ac:dyDescent="0.3">
      <c r="A702" t="s">
        <v>221</v>
      </c>
      <c r="B702" t="s">
        <v>235</v>
      </c>
      <c r="C702" s="2" t="s">
        <v>24</v>
      </c>
      <c r="D702" s="1">
        <v>4174</v>
      </c>
      <c r="E702">
        <v>62</v>
      </c>
      <c r="F702">
        <v>35</v>
      </c>
      <c r="G702">
        <v>22</v>
      </c>
      <c r="H702">
        <v>67</v>
      </c>
      <c r="I702">
        <v>592</v>
      </c>
      <c r="J702" s="1">
        <v>1053</v>
      </c>
      <c r="K702">
        <v>972</v>
      </c>
      <c r="L702">
        <v>589</v>
      </c>
      <c r="M702">
        <v>323</v>
      </c>
      <c r="N702">
        <v>158</v>
      </c>
      <c r="O702">
        <v>124</v>
      </c>
      <c r="P702">
        <v>88</v>
      </c>
      <c r="Q702">
        <v>51</v>
      </c>
      <c r="R702">
        <v>26</v>
      </c>
      <c r="S702">
        <v>5</v>
      </c>
      <c r="T702">
        <v>5</v>
      </c>
      <c r="U702" s="1">
        <v>2</v>
      </c>
    </row>
    <row r="703" spans="1:21" x14ac:dyDescent="0.3">
      <c r="A703" t="s">
        <v>221</v>
      </c>
      <c r="B703" t="s">
        <v>235</v>
      </c>
      <c r="C703" s="2" t="s">
        <v>25</v>
      </c>
      <c r="D703" s="1">
        <v>2376</v>
      </c>
      <c r="E703">
        <v>53</v>
      </c>
      <c r="F703">
        <v>39</v>
      </c>
      <c r="G703">
        <v>30</v>
      </c>
      <c r="H703">
        <v>93</v>
      </c>
      <c r="I703">
        <v>360</v>
      </c>
      <c r="J703">
        <v>514</v>
      </c>
      <c r="K703">
        <v>353</v>
      </c>
      <c r="L703">
        <v>271</v>
      </c>
      <c r="M703">
        <v>197</v>
      </c>
      <c r="N703">
        <v>132</v>
      </c>
      <c r="O703">
        <v>126</v>
      </c>
      <c r="P703">
        <v>105</v>
      </c>
      <c r="Q703">
        <v>57</v>
      </c>
      <c r="R703">
        <v>26</v>
      </c>
      <c r="S703">
        <v>11</v>
      </c>
      <c r="T703">
        <v>3</v>
      </c>
      <c r="U703" s="1">
        <v>6</v>
      </c>
    </row>
    <row r="704" spans="1:21" x14ac:dyDescent="0.3">
      <c r="A704" t="s">
        <v>236</v>
      </c>
      <c r="B704" t="s">
        <v>21</v>
      </c>
      <c r="C704" s="2" t="s">
        <v>21</v>
      </c>
      <c r="D704" s="1">
        <v>29495</v>
      </c>
      <c r="E704">
        <v>308</v>
      </c>
      <c r="F704">
        <v>211</v>
      </c>
      <c r="G704">
        <v>160</v>
      </c>
      <c r="H704" s="1">
        <v>1556</v>
      </c>
      <c r="I704" s="1">
        <v>6660</v>
      </c>
      <c r="J704" s="1">
        <v>5571</v>
      </c>
      <c r="K704" s="1">
        <v>4835</v>
      </c>
      <c r="L704" s="1">
        <v>3694</v>
      </c>
      <c r="M704" s="1">
        <v>2312</v>
      </c>
      <c r="N704" s="1">
        <v>1278</v>
      </c>
      <c r="O704">
        <v>989</v>
      </c>
      <c r="P704">
        <v>901</v>
      </c>
      <c r="Q704">
        <v>593</v>
      </c>
      <c r="R704">
        <v>236</v>
      </c>
      <c r="S704">
        <v>94</v>
      </c>
      <c r="T704">
        <v>44</v>
      </c>
      <c r="U704" s="1">
        <v>53</v>
      </c>
    </row>
    <row r="705" spans="1:21" x14ac:dyDescent="0.3">
      <c r="A705" t="s">
        <v>236</v>
      </c>
      <c r="B705" t="s">
        <v>21</v>
      </c>
      <c r="C705" s="2" t="s">
        <v>24</v>
      </c>
      <c r="D705" s="1">
        <f>D708+D711+D714+D717+D720+D723+D726+D729+D732+D735+D738+D741+D744+D747+D750+D753+D756+D759</f>
        <v>17160</v>
      </c>
      <c r="E705" s="1">
        <f t="shared" ref="E705:U705" si="30">E708+E711+E714+E717+E720+E723+E726+E729+E732+E735+E738+E741+E744+E747+E750+E753+E756+E759</f>
        <v>158</v>
      </c>
      <c r="F705" s="1">
        <f t="shared" si="30"/>
        <v>112</v>
      </c>
      <c r="G705" s="1">
        <f t="shared" si="30"/>
        <v>75</v>
      </c>
      <c r="H705" s="1">
        <f t="shared" si="30"/>
        <v>849</v>
      </c>
      <c r="I705" s="1">
        <f t="shared" si="30"/>
        <v>3829</v>
      </c>
      <c r="J705" s="1">
        <f t="shared" si="30"/>
        <v>3531</v>
      </c>
      <c r="K705" s="1">
        <f t="shared" si="30"/>
        <v>3210</v>
      </c>
      <c r="L705" s="1">
        <f t="shared" si="30"/>
        <v>2331</v>
      </c>
      <c r="M705" s="1">
        <f t="shared" si="30"/>
        <v>1350</v>
      </c>
      <c r="N705" s="1">
        <f t="shared" si="30"/>
        <v>605</v>
      </c>
      <c r="O705" s="1">
        <f t="shared" si="30"/>
        <v>373</v>
      </c>
      <c r="P705" s="1">
        <f t="shared" si="30"/>
        <v>331</v>
      </c>
      <c r="Q705" s="1">
        <f t="shared" si="30"/>
        <v>200</v>
      </c>
      <c r="R705" s="1">
        <f t="shared" si="30"/>
        <v>100</v>
      </c>
      <c r="S705" s="1">
        <f t="shared" si="30"/>
        <v>56</v>
      </c>
      <c r="T705" s="1">
        <f t="shared" si="30"/>
        <v>28</v>
      </c>
      <c r="U705" s="1">
        <f t="shared" si="30"/>
        <v>22</v>
      </c>
    </row>
    <row r="706" spans="1:21" x14ac:dyDescent="0.3">
      <c r="A706" t="s">
        <v>236</v>
      </c>
      <c r="B706" t="s">
        <v>21</v>
      </c>
      <c r="C706" s="2" t="s">
        <v>25</v>
      </c>
      <c r="D706" s="1">
        <f>D709+D712+D715+D718+D721+D724+D727+D730+D733+D736+D739+D742+D745+D748+D751+D754+D757+D760</f>
        <v>12335</v>
      </c>
      <c r="E706" s="1">
        <f t="shared" ref="E706:U706" si="31">E709+E712+E715+E718+E721+E724+E727+E730+E733+E736+E739+E742+E745+E748+E751+E754+E757+E760</f>
        <v>150</v>
      </c>
      <c r="F706" s="1">
        <f t="shared" si="31"/>
        <v>99</v>
      </c>
      <c r="G706" s="1">
        <f t="shared" si="31"/>
        <v>85</v>
      </c>
      <c r="H706" s="1">
        <f t="shared" si="31"/>
        <v>707</v>
      </c>
      <c r="I706" s="1">
        <f t="shared" si="31"/>
        <v>2831</v>
      </c>
      <c r="J706" s="1">
        <f t="shared" si="31"/>
        <v>2040</v>
      </c>
      <c r="K706" s="1">
        <f t="shared" si="31"/>
        <v>1625</v>
      </c>
      <c r="L706" s="1">
        <f t="shared" si="31"/>
        <v>1363</v>
      </c>
      <c r="M706" s="1">
        <f t="shared" si="31"/>
        <v>962</v>
      </c>
      <c r="N706" s="1">
        <f t="shared" si="31"/>
        <v>673</v>
      </c>
      <c r="O706" s="1">
        <f t="shared" si="31"/>
        <v>616</v>
      </c>
      <c r="P706" s="1">
        <f t="shared" si="31"/>
        <v>570</v>
      </c>
      <c r="Q706" s="1">
        <f t="shared" si="31"/>
        <v>393</v>
      </c>
      <c r="R706" s="1">
        <f t="shared" si="31"/>
        <v>136</v>
      </c>
      <c r="S706" s="1">
        <f t="shared" si="31"/>
        <v>38</v>
      </c>
      <c r="T706" s="1">
        <f t="shared" si="31"/>
        <v>16</v>
      </c>
      <c r="U706" s="1">
        <f t="shared" si="31"/>
        <v>31</v>
      </c>
    </row>
    <row r="707" spans="1:21" x14ac:dyDescent="0.3">
      <c r="A707" t="s">
        <v>236</v>
      </c>
      <c r="B707" t="s">
        <v>237</v>
      </c>
      <c r="C707" s="2" t="s">
        <v>21</v>
      </c>
      <c r="D707" s="1">
        <v>4157</v>
      </c>
      <c r="E707">
        <v>52</v>
      </c>
      <c r="F707">
        <v>43</v>
      </c>
      <c r="G707">
        <v>40</v>
      </c>
      <c r="H707">
        <v>373</v>
      </c>
      <c r="I707" s="1">
        <v>1079</v>
      </c>
      <c r="J707">
        <v>710</v>
      </c>
      <c r="K707">
        <v>524</v>
      </c>
      <c r="L707">
        <v>451</v>
      </c>
      <c r="M707">
        <v>301</v>
      </c>
      <c r="N707">
        <v>194</v>
      </c>
      <c r="O707">
        <v>150</v>
      </c>
      <c r="P707">
        <v>119</v>
      </c>
      <c r="Q707">
        <v>65</v>
      </c>
      <c r="R707">
        <v>31</v>
      </c>
      <c r="S707">
        <v>10</v>
      </c>
      <c r="T707">
        <v>3</v>
      </c>
      <c r="U707" s="1">
        <v>12</v>
      </c>
    </row>
    <row r="708" spans="1:21" x14ac:dyDescent="0.3">
      <c r="A708" t="s">
        <v>236</v>
      </c>
      <c r="B708" t="s">
        <v>237</v>
      </c>
      <c r="C708" s="2" t="s">
        <v>24</v>
      </c>
      <c r="D708" s="1">
        <v>2323</v>
      </c>
      <c r="E708">
        <v>26</v>
      </c>
      <c r="F708">
        <v>16</v>
      </c>
      <c r="G708">
        <v>18</v>
      </c>
      <c r="H708">
        <v>174</v>
      </c>
      <c r="I708">
        <v>574</v>
      </c>
      <c r="J708">
        <v>445</v>
      </c>
      <c r="K708">
        <v>341</v>
      </c>
      <c r="L708">
        <v>304</v>
      </c>
      <c r="M708">
        <v>163</v>
      </c>
      <c r="N708">
        <v>92</v>
      </c>
      <c r="O708">
        <v>64</v>
      </c>
      <c r="P708">
        <v>52</v>
      </c>
      <c r="Q708">
        <v>23</v>
      </c>
      <c r="R708">
        <v>17</v>
      </c>
      <c r="S708">
        <v>8</v>
      </c>
      <c r="T708">
        <v>1</v>
      </c>
      <c r="U708" s="1">
        <v>5</v>
      </c>
    </row>
    <row r="709" spans="1:21" x14ac:dyDescent="0.3">
      <c r="A709" t="s">
        <v>236</v>
      </c>
      <c r="B709" t="s">
        <v>237</v>
      </c>
      <c r="C709" s="2" t="s">
        <v>25</v>
      </c>
      <c r="D709" s="1">
        <v>1834</v>
      </c>
      <c r="E709">
        <v>26</v>
      </c>
      <c r="F709">
        <v>27</v>
      </c>
      <c r="G709">
        <v>22</v>
      </c>
      <c r="H709">
        <v>199</v>
      </c>
      <c r="I709">
        <v>505</v>
      </c>
      <c r="J709">
        <v>265</v>
      </c>
      <c r="K709">
        <v>183</v>
      </c>
      <c r="L709">
        <v>147</v>
      </c>
      <c r="M709">
        <v>138</v>
      </c>
      <c r="N709">
        <v>102</v>
      </c>
      <c r="O709">
        <v>86</v>
      </c>
      <c r="P709">
        <v>67</v>
      </c>
      <c r="Q709">
        <v>42</v>
      </c>
      <c r="R709">
        <v>14</v>
      </c>
      <c r="S709">
        <v>2</v>
      </c>
      <c r="T709">
        <v>2</v>
      </c>
      <c r="U709" s="1">
        <v>7</v>
      </c>
    </row>
    <row r="710" spans="1:21" x14ac:dyDescent="0.3">
      <c r="A710" t="s">
        <v>236</v>
      </c>
      <c r="B710" t="s">
        <v>72</v>
      </c>
      <c r="C710" s="2" t="s">
        <v>21</v>
      </c>
      <c r="D710" s="1">
        <v>2181</v>
      </c>
      <c r="E710">
        <v>2</v>
      </c>
      <c r="F710">
        <v>1</v>
      </c>
      <c r="G710">
        <v>2</v>
      </c>
      <c r="H710">
        <v>143</v>
      </c>
      <c r="I710" s="1">
        <v>1068</v>
      </c>
      <c r="J710">
        <v>422</v>
      </c>
      <c r="K710">
        <v>234</v>
      </c>
      <c r="L710">
        <v>141</v>
      </c>
      <c r="M710">
        <v>86</v>
      </c>
      <c r="N710">
        <v>28</v>
      </c>
      <c r="O710">
        <v>21</v>
      </c>
      <c r="P710">
        <v>16</v>
      </c>
      <c r="Q710">
        <v>13</v>
      </c>
      <c r="R710">
        <v>1</v>
      </c>
      <c r="S710">
        <v>2</v>
      </c>
      <c r="T710">
        <v>0</v>
      </c>
      <c r="U710" s="1">
        <v>1</v>
      </c>
    </row>
    <row r="711" spans="1:21" x14ac:dyDescent="0.3">
      <c r="A711" t="s">
        <v>236</v>
      </c>
      <c r="B711" t="s">
        <v>72</v>
      </c>
      <c r="C711" s="2" t="s">
        <v>24</v>
      </c>
      <c r="D711" s="1">
        <v>1581</v>
      </c>
      <c r="E711">
        <v>0</v>
      </c>
      <c r="F711">
        <v>0</v>
      </c>
      <c r="G711">
        <v>0</v>
      </c>
      <c r="H711">
        <v>87</v>
      </c>
      <c r="I711">
        <v>718</v>
      </c>
      <c r="J711">
        <v>341</v>
      </c>
      <c r="K711">
        <v>207</v>
      </c>
      <c r="L711">
        <v>126</v>
      </c>
      <c r="M711">
        <v>66</v>
      </c>
      <c r="N711">
        <v>19</v>
      </c>
      <c r="O711">
        <v>4</v>
      </c>
      <c r="P711">
        <v>9</v>
      </c>
      <c r="Q711">
        <v>2</v>
      </c>
      <c r="R711">
        <v>0</v>
      </c>
      <c r="S711">
        <v>1</v>
      </c>
      <c r="T711">
        <v>0</v>
      </c>
      <c r="U711" s="1">
        <v>1</v>
      </c>
    </row>
    <row r="712" spans="1:21" x14ac:dyDescent="0.3">
      <c r="A712" t="s">
        <v>236</v>
      </c>
      <c r="B712" t="s">
        <v>72</v>
      </c>
      <c r="C712" s="2" t="s">
        <v>25</v>
      </c>
      <c r="D712">
        <v>600</v>
      </c>
      <c r="E712">
        <v>2</v>
      </c>
      <c r="F712">
        <v>1</v>
      </c>
      <c r="G712">
        <v>2</v>
      </c>
      <c r="H712">
        <v>56</v>
      </c>
      <c r="I712">
        <v>350</v>
      </c>
      <c r="J712">
        <v>81</v>
      </c>
      <c r="K712">
        <v>27</v>
      </c>
      <c r="L712">
        <v>15</v>
      </c>
      <c r="M712">
        <v>20</v>
      </c>
      <c r="N712">
        <v>9</v>
      </c>
      <c r="O712">
        <v>17</v>
      </c>
      <c r="P712">
        <v>7</v>
      </c>
      <c r="Q712">
        <v>11</v>
      </c>
      <c r="R712">
        <v>1</v>
      </c>
      <c r="S712">
        <v>1</v>
      </c>
      <c r="T712">
        <v>0</v>
      </c>
      <c r="U712" s="1">
        <v>0</v>
      </c>
    </row>
    <row r="713" spans="1:21" x14ac:dyDescent="0.3">
      <c r="A713" t="s">
        <v>236</v>
      </c>
      <c r="B713" t="s">
        <v>238</v>
      </c>
      <c r="C713" s="2" t="s">
        <v>21</v>
      </c>
      <c r="D713">
        <v>973</v>
      </c>
      <c r="E713">
        <v>6</v>
      </c>
      <c r="F713">
        <v>8</v>
      </c>
      <c r="G713">
        <v>8</v>
      </c>
      <c r="H713">
        <v>12</v>
      </c>
      <c r="I713">
        <v>126</v>
      </c>
      <c r="J713">
        <v>143</v>
      </c>
      <c r="K713">
        <v>176</v>
      </c>
      <c r="L713">
        <v>160</v>
      </c>
      <c r="M713">
        <v>120</v>
      </c>
      <c r="N713">
        <v>61</v>
      </c>
      <c r="O713">
        <v>65</v>
      </c>
      <c r="P713">
        <v>48</v>
      </c>
      <c r="Q713">
        <v>26</v>
      </c>
      <c r="R713">
        <v>8</v>
      </c>
      <c r="S713">
        <v>3</v>
      </c>
      <c r="T713">
        <v>1</v>
      </c>
      <c r="U713" s="1">
        <v>2</v>
      </c>
    </row>
    <row r="714" spans="1:21" x14ac:dyDescent="0.3">
      <c r="A714" t="s">
        <v>236</v>
      </c>
      <c r="B714" t="s">
        <v>238</v>
      </c>
      <c r="C714" s="2" t="s">
        <v>24</v>
      </c>
      <c r="D714">
        <v>586</v>
      </c>
      <c r="E714">
        <v>4</v>
      </c>
      <c r="F714">
        <v>7</v>
      </c>
      <c r="G714">
        <v>4</v>
      </c>
      <c r="H714">
        <v>6</v>
      </c>
      <c r="I714">
        <v>94</v>
      </c>
      <c r="J714">
        <v>93</v>
      </c>
      <c r="K714">
        <v>130</v>
      </c>
      <c r="L714">
        <v>91</v>
      </c>
      <c r="M714">
        <v>68</v>
      </c>
      <c r="N714">
        <v>30</v>
      </c>
      <c r="O714">
        <v>24</v>
      </c>
      <c r="P714">
        <v>18</v>
      </c>
      <c r="Q714">
        <v>10</v>
      </c>
      <c r="R714">
        <v>4</v>
      </c>
      <c r="S714">
        <v>2</v>
      </c>
      <c r="T714">
        <v>0</v>
      </c>
      <c r="U714" s="1">
        <v>1</v>
      </c>
    </row>
    <row r="715" spans="1:21" x14ac:dyDescent="0.3">
      <c r="A715" t="s">
        <v>236</v>
      </c>
      <c r="B715" t="s">
        <v>238</v>
      </c>
      <c r="C715" s="2" t="s">
        <v>25</v>
      </c>
      <c r="D715">
        <v>387</v>
      </c>
      <c r="E715">
        <v>2</v>
      </c>
      <c r="F715">
        <v>1</v>
      </c>
      <c r="G715">
        <v>4</v>
      </c>
      <c r="H715">
        <v>6</v>
      </c>
      <c r="I715">
        <v>32</v>
      </c>
      <c r="J715">
        <v>50</v>
      </c>
      <c r="K715">
        <v>46</v>
      </c>
      <c r="L715">
        <v>69</v>
      </c>
      <c r="M715">
        <v>52</v>
      </c>
      <c r="N715">
        <v>31</v>
      </c>
      <c r="O715">
        <v>41</v>
      </c>
      <c r="P715">
        <v>30</v>
      </c>
      <c r="Q715">
        <v>16</v>
      </c>
      <c r="R715">
        <v>4</v>
      </c>
      <c r="S715">
        <v>1</v>
      </c>
      <c r="T715">
        <v>1</v>
      </c>
      <c r="U715" s="1">
        <v>1</v>
      </c>
    </row>
    <row r="716" spans="1:21" x14ac:dyDescent="0.3">
      <c r="A716" t="s">
        <v>236</v>
      </c>
      <c r="B716" t="s">
        <v>239</v>
      </c>
      <c r="C716" s="2" t="s">
        <v>21</v>
      </c>
      <c r="D716" s="1">
        <v>1298</v>
      </c>
      <c r="E716">
        <v>2</v>
      </c>
      <c r="F716">
        <v>1</v>
      </c>
      <c r="G716">
        <v>2</v>
      </c>
      <c r="H716">
        <v>20</v>
      </c>
      <c r="I716">
        <v>478</v>
      </c>
      <c r="J716">
        <v>216</v>
      </c>
      <c r="K716">
        <v>206</v>
      </c>
      <c r="L716">
        <v>136</v>
      </c>
      <c r="M716">
        <v>77</v>
      </c>
      <c r="N716">
        <v>56</v>
      </c>
      <c r="O716">
        <v>44</v>
      </c>
      <c r="P716">
        <v>33</v>
      </c>
      <c r="Q716">
        <v>14</v>
      </c>
      <c r="R716">
        <v>8</v>
      </c>
      <c r="S716">
        <v>3</v>
      </c>
      <c r="T716">
        <v>1</v>
      </c>
      <c r="U716" s="1">
        <v>1</v>
      </c>
    </row>
    <row r="717" spans="1:21" x14ac:dyDescent="0.3">
      <c r="A717" t="s">
        <v>236</v>
      </c>
      <c r="B717" t="s">
        <v>239</v>
      </c>
      <c r="C717" s="2" t="s">
        <v>24</v>
      </c>
      <c r="D717">
        <v>763</v>
      </c>
      <c r="E717">
        <v>1</v>
      </c>
      <c r="F717">
        <v>1</v>
      </c>
      <c r="G717">
        <v>0</v>
      </c>
      <c r="H717">
        <v>13</v>
      </c>
      <c r="I717">
        <v>229</v>
      </c>
      <c r="J717">
        <v>162</v>
      </c>
      <c r="K717">
        <v>154</v>
      </c>
      <c r="L717">
        <v>94</v>
      </c>
      <c r="M717">
        <v>48</v>
      </c>
      <c r="N717">
        <v>26</v>
      </c>
      <c r="O717">
        <v>18</v>
      </c>
      <c r="P717">
        <v>11</v>
      </c>
      <c r="Q717">
        <v>3</v>
      </c>
      <c r="R717">
        <v>1</v>
      </c>
      <c r="S717">
        <v>1</v>
      </c>
      <c r="T717">
        <v>1</v>
      </c>
      <c r="U717" s="1">
        <v>0</v>
      </c>
    </row>
    <row r="718" spans="1:21" x14ac:dyDescent="0.3">
      <c r="A718" t="s">
        <v>236</v>
      </c>
      <c r="B718" t="s">
        <v>239</v>
      </c>
      <c r="C718" s="2" t="s">
        <v>25</v>
      </c>
      <c r="D718">
        <v>535</v>
      </c>
      <c r="E718">
        <v>1</v>
      </c>
      <c r="F718">
        <v>0</v>
      </c>
      <c r="G718">
        <v>2</v>
      </c>
      <c r="H718">
        <v>7</v>
      </c>
      <c r="I718">
        <v>249</v>
      </c>
      <c r="J718">
        <v>54</v>
      </c>
      <c r="K718">
        <v>52</v>
      </c>
      <c r="L718">
        <v>42</v>
      </c>
      <c r="M718">
        <v>29</v>
      </c>
      <c r="N718">
        <v>30</v>
      </c>
      <c r="O718">
        <v>26</v>
      </c>
      <c r="P718">
        <v>22</v>
      </c>
      <c r="Q718">
        <v>11</v>
      </c>
      <c r="R718">
        <v>7</v>
      </c>
      <c r="S718">
        <v>2</v>
      </c>
      <c r="T718">
        <v>0</v>
      </c>
      <c r="U718" s="1">
        <v>1</v>
      </c>
    </row>
    <row r="719" spans="1:21" x14ac:dyDescent="0.3">
      <c r="A719" t="s">
        <v>236</v>
      </c>
      <c r="B719" t="s">
        <v>240</v>
      </c>
      <c r="C719" s="2" t="s">
        <v>21</v>
      </c>
      <c r="D719" s="1">
        <v>1873</v>
      </c>
      <c r="E719">
        <v>17</v>
      </c>
      <c r="F719">
        <v>11</v>
      </c>
      <c r="G719">
        <v>6</v>
      </c>
      <c r="H719">
        <v>24</v>
      </c>
      <c r="I719">
        <v>370</v>
      </c>
      <c r="J719">
        <v>448</v>
      </c>
      <c r="K719">
        <v>357</v>
      </c>
      <c r="L719">
        <v>279</v>
      </c>
      <c r="M719">
        <v>135</v>
      </c>
      <c r="N719">
        <v>71</v>
      </c>
      <c r="O719">
        <v>55</v>
      </c>
      <c r="P719">
        <v>34</v>
      </c>
      <c r="Q719">
        <v>39</v>
      </c>
      <c r="R719">
        <v>15</v>
      </c>
      <c r="S719">
        <v>4</v>
      </c>
      <c r="T719">
        <v>5</v>
      </c>
      <c r="U719" s="1">
        <v>3</v>
      </c>
    </row>
    <row r="720" spans="1:21" x14ac:dyDescent="0.3">
      <c r="A720" t="s">
        <v>236</v>
      </c>
      <c r="B720" t="s">
        <v>240</v>
      </c>
      <c r="C720" s="2" t="s">
        <v>24</v>
      </c>
      <c r="D720" s="1">
        <v>1247</v>
      </c>
      <c r="E720">
        <v>12</v>
      </c>
      <c r="F720">
        <v>9</v>
      </c>
      <c r="G720">
        <v>1</v>
      </c>
      <c r="H720">
        <v>18</v>
      </c>
      <c r="I720">
        <v>248</v>
      </c>
      <c r="J720">
        <v>300</v>
      </c>
      <c r="K720">
        <v>255</v>
      </c>
      <c r="L720">
        <v>196</v>
      </c>
      <c r="M720">
        <v>95</v>
      </c>
      <c r="N720">
        <v>46</v>
      </c>
      <c r="O720">
        <v>33</v>
      </c>
      <c r="P720">
        <v>14</v>
      </c>
      <c r="Q720">
        <v>4</v>
      </c>
      <c r="R720">
        <v>10</v>
      </c>
      <c r="S720">
        <v>1</v>
      </c>
      <c r="T720">
        <v>5</v>
      </c>
      <c r="U720" s="1">
        <v>0</v>
      </c>
    </row>
    <row r="721" spans="1:21" x14ac:dyDescent="0.3">
      <c r="A721" t="s">
        <v>236</v>
      </c>
      <c r="B721" t="s">
        <v>240</v>
      </c>
      <c r="C721" s="2" t="s">
        <v>25</v>
      </c>
      <c r="D721">
        <v>626</v>
      </c>
      <c r="E721">
        <v>5</v>
      </c>
      <c r="F721">
        <v>2</v>
      </c>
      <c r="G721">
        <v>5</v>
      </c>
      <c r="H721">
        <v>6</v>
      </c>
      <c r="I721">
        <v>122</v>
      </c>
      <c r="J721">
        <v>148</v>
      </c>
      <c r="K721">
        <v>102</v>
      </c>
      <c r="L721">
        <v>83</v>
      </c>
      <c r="M721">
        <v>40</v>
      </c>
      <c r="N721">
        <v>25</v>
      </c>
      <c r="O721">
        <v>22</v>
      </c>
      <c r="P721">
        <v>20</v>
      </c>
      <c r="Q721">
        <v>35</v>
      </c>
      <c r="R721">
        <v>5</v>
      </c>
      <c r="S721">
        <v>3</v>
      </c>
      <c r="T721">
        <v>0</v>
      </c>
      <c r="U721" s="1">
        <v>3</v>
      </c>
    </row>
    <row r="722" spans="1:21" x14ac:dyDescent="0.3">
      <c r="A722" t="s">
        <v>236</v>
      </c>
      <c r="B722" t="s">
        <v>241</v>
      </c>
      <c r="C722" s="2" t="s">
        <v>21</v>
      </c>
      <c r="D722">
        <v>526</v>
      </c>
      <c r="E722">
        <v>1</v>
      </c>
      <c r="F722">
        <v>1</v>
      </c>
      <c r="G722">
        <v>4</v>
      </c>
      <c r="H722">
        <v>3</v>
      </c>
      <c r="I722">
        <v>27</v>
      </c>
      <c r="J722">
        <v>79</v>
      </c>
      <c r="K722">
        <v>93</v>
      </c>
      <c r="L722">
        <v>121</v>
      </c>
      <c r="M722">
        <v>100</v>
      </c>
      <c r="N722">
        <v>41</v>
      </c>
      <c r="O722">
        <v>21</v>
      </c>
      <c r="P722">
        <v>17</v>
      </c>
      <c r="Q722">
        <v>15</v>
      </c>
      <c r="R722">
        <v>1</v>
      </c>
      <c r="S722">
        <v>1</v>
      </c>
      <c r="T722">
        <v>0</v>
      </c>
      <c r="U722" s="1">
        <v>1</v>
      </c>
    </row>
    <row r="723" spans="1:21" x14ac:dyDescent="0.3">
      <c r="A723" t="s">
        <v>236</v>
      </c>
      <c r="B723" t="s">
        <v>241</v>
      </c>
      <c r="C723" s="2" t="s">
        <v>24</v>
      </c>
      <c r="D723">
        <v>342</v>
      </c>
      <c r="E723">
        <v>1</v>
      </c>
      <c r="F723">
        <v>0</v>
      </c>
      <c r="G723">
        <v>3</v>
      </c>
      <c r="H723">
        <v>2</v>
      </c>
      <c r="I723">
        <v>10</v>
      </c>
      <c r="J723">
        <v>53</v>
      </c>
      <c r="K723">
        <v>67</v>
      </c>
      <c r="L723">
        <v>87</v>
      </c>
      <c r="M723">
        <v>78</v>
      </c>
      <c r="N723">
        <v>27</v>
      </c>
      <c r="O723">
        <v>5</v>
      </c>
      <c r="P723">
        <v>4</v>
      </c>
      <c r="Q723">
        <v>3</v>
      </c>
      <c r="R723">
        <v>0</v>
      </c>
      <c r="S723">
        <v>1</v>
      </c>
      <c r="T723">
        <v>0</v>
      </c>
      <c r="U723" s="1">
        <v>1</v>
      </c>
    </row>
    <row r="724" spans="1:21" x14ac:dyDescent="0.3">
      <c r="A724" t="s">
        <v>236</v>
      </c>
      <c r="B724" t="s">
        <v>241</v>
      </c>
      <c r="C724" s="2" t="s">
        <v>25</v>
      </c>
      <c r="D724">
        <v>184</v>
      </c>
      <c r="E724">
        <v>0</v>
      </c>
      <c r="F724">
        <v>1</v>
      </c>
      <c r="G724">
        <v>1</v>
      </c>
      <c r="H724">
        <v>1</v>
      </c>
      <c r="I724">
        <v>17</v>
      </c>
      <c r="J724">
        <v>26</v>
      </c>
      <c r="K724">
        <v>26</v>
      </c>
      <c r="L724">
        <v>34</v>
      </c>
      <c r="M724">
        <v>22</v>
      </c>
      <c r="N724">
        <v>14</v>
      </c>
      <c r="O724">
        <v>16</v>
      </c>
      <c r="P724">
        <v>13</v>
      </c>
      <c r="Q724">
        <v>12</v>
      </c>
      <c r="R724">
        <v>1</v>
      </c>
      <c r="S724">
        <v>0</v>
      </c>
      <c r="T724">
        <v>0</v>
      </c>
      <c r="U724" s="1">
        <v>0</v>
      </c>
    </row>
    <row r="725" spans="1:21" x14ac:dyDescent="0.3">
      <c r="A725" t="s">
        <v>236</v>
      </c>
      <c r="B725" t="s">
        <v>242</v>
      </c>
      <c r="C725" s="2" t="s">
        <v>21</v>
      </c>
      <c r="D725">
        <v>523</v>
      </c>
      <c r="E725">
        <v>3</v>
      </c>
      <c r="F725">
        <v>1</v>
      </c>
      <c r="G725">
        <v>1</v>
      </c>
      <c r="H725">
        <v>0</v>
      </c>
      <c r="I725">
        <v>35</v>
      </c>
      <c r="J725">
        <v>107</v>
      </c>
      <c r="K725">
        <v>133</v>
      </c>
      <c r="L725">
        <v>105</v>
      </c>
      <c r="M725">
        <v>53</v>
      </c>
      <c r="N725">
        <v>16</v>
      </c>
      <c r="O725">
        <v>23</v>
      </c>
      <c r="P725">
        <v>21</v>
      </c>
      <c r="Q725">
        <v>18</v>
      </c>
      <c r="R725">
        <v>6</v>
      </c>
      <c r="S725">
        <v>1</v>
      </c>
      <c r="T725">
        <v>0</v>
      </c>
      <c r="U725" s="1">
        <v>0</v>
      </c>
    </row>
    <row r="726" spans="1:21" x14ac:dyDescent="0.3">
      <c r="A726" t="s">
        <v>236</v>
      </c>
      <c r="B726" t="s">
        <v>242</v>
      </c>
      <c r="C726" s="2" t="s">
        <v>24</v>
      </c>
      <c r="D726">
        <v>363</v>
      </c>
      <c r="E726">
        <v>2</v>
      </c>
      <c r="F726">
        <v>1</v>
      </c>
      <c r="G726">
        <v>0</v>
      </c>
      <c r="H726">
        <v>0</v>
      </c>
      <c r="I726">
        <v>26</v>
      </c>
      <c r="J726">
        <v>78</v>
      </c>
      <c r="K726">
        <v>101</v>
      </c>
      <c r="L726">
        <v>84</v>
      </c>
      <c r="M726">
        <v>40</v>
      </c>
      <c r="N726">
        <v>6</v>
      </c>
      <c r="O726">
        <v>12</v>
      </c>
      <c r="P726">
        <v>5</v>
      </c>
      <c r="Q726">
        <v>6</v>
      </c>
      <c r="R726">
        <v>2</v>
      </c>
      <c r="S726">
        <v>0</v>
      </c>
      <c r="T726">
        <v>0</v>
      </c>
      <c r="U726" s="1">
        <v>0</v>
      </c>
    </row>
    <row r="727" spans="1:21" x14ac:dyDescent="0.3">
      <c r="A727" t="s">
        <v>236</v>
      </c>
      <c r="B727" t="s">
        <v>242</v>
      </c>
      <c r="C727" s="2" t="s">
        <v>25</v>
      </c>
      <c r="D727">
        <v>160</v>
      </c>
      <c r="E727">
        <v>1</v>
      </c>
      <c r="F727">
        <v>0</v>
      </c>
      <c r="G727">
        <v>1</v>
      </c>
      <c r="H727">
        <v>0</v>
      </c>
      <c r="I727">
        <v>9</v>
      </c>
      <c r="J727">
        <v>29</v>
      </c>
      <c r="K727">
        <v>32</v>
      </c>
      <c r="L727">
        <v>21</v>
      </c>
      <c r="M727">
        <v>13</v>
      </c>
      <c r="N727">
        <v>10</v>
      </c>
      <c r="O727">
        <v>11</v>
      </c>
      <c r="P727">
        <v>16</v>
      </c>
      <c r="Q727">
        <v>12</v>
      </c>
      <c r="R727">
        <v>4</v>
      </c>
      <c r="S727">
        <v>1</v>
      </c>
      <c r="T727">
        <v>0</v>
      </c>
      <c r="U727" s="1">
        <v>0</v>
      </c>
    </row>
    <row r="728" spans="1:21" x14ac:dyDescent="0.3">
      <c r="A728" t="s">
        <v>236</v>
      </c>
      <c r="B728" t="s">
        <v>243</v>
      </c>
      <c r="C728" s="2" t="s">
        <v>21</v>
      </c>
      <c r="D728">
        <v>636</v>
      </c>
      <c r="E728">
        <v>4</v>
      </c>
      <c r="F728">
        <v>4</v>
      </c>
      <c r="G728">
        <v>1</v>
      </c>
      <c r="H728">
        <v>65</v>
      </c>
      <c r="I728">
        <v>128</v>
      </c>
      <c r="J728">
        <v>82</v>
      </c>
      <c r="K728">
        <v>103</v>
      </c>
      <c r="L728">
        <v>80</v>
      </c>
      <c r="M728">
        <v>53</v>
      </c>
      <c r="N728">
        <v>34</v>
      </c>
      <c r="O728">
        <v>28</v>
      </c>
      <c r="P728">
        <v>25</v>
      </c>
      <c r="Q728">
        <v>13</v>
      </c>
      <c r="R728">
        <v>8</v>
      </c>
      <c r="S728">
        <v>5</v>
      </c>
      <c r="T728">
        <v>2</v>
      </c>
      <c r="U728" s="1">
        <v>1</v>
      </c>
    </row>
    <row r="729" spans="1:21" x14ac:dyDescent="0.3">
      <c r="A729" t="s">
        <v>236</v>
      </c>
      <c r="B729" t="s">
        <v>243</v>
      </c>
      <c r="C729" s="2" t="s">
        <v>24</v>
      </c>
      <c r="D729">
        <v>400</v>
      </c>
      <c r="E729">
        <v>3</v>
      </c>
      <c r="F729">
        <v>2</v>
      </c>
      <c r="G729">
        <v>0</v>
      </c>
      <c r="H729">
        <v>44</v>
      </c>
      <c r="I729">
        <v>93</v>
      </c>
      <c r="J729">
        <v>56</v>
      </c>
      <c r="K729">
        <v>71</v>
      </c>
      <c r="L729">
        <v>54</v>
      </c>
      <c r="M729">
        <v>25</v>
      </c>
      <c r="N729">
        <v>16</v>
      </c>
      <c r="O729">
        <v>11</v>
      </c>
      <c r="P729">
        <v>12</v>
      </c>
      <c r="Q729">
        <v>4</v>
      </c>
      <c r="R729">
        <v>3</v>
      </c>
      <c r="S729">
        <v>3</v>
      </c>
      <c r="T729">
        <v>2</v>
      </c>
      <c r="U729" s="1">
        <v>1</v>
      </c>
    </row>
    <row r="730" spans="1:21" x14ac:dyDescent="0.3">
      <c r="A730" t="s">
        <v>236</v>
      </c>
      <c r="B730" t="s">
        <v>243</v>
      </c>
      <c r="C730" s="2" t="s">
        <v>25</v>
      </c>
      <c r="D730">
        <v>236</v>
      </c>
      <c r="E730">
        <v>1</v>
      </c>
      <c r="F730">
        <v>2</v>
      </c>
      <c r="G730">
        <v>1</v>
      </c>
      <c r="H730">
        <v>21</v>
      </c>
      <c r="I730">
        <v>35</v>
      </c>
      <c r="J730">
        <v>26</v>
      </c>
      <c r="K730">
        <v>32</v>
      </c>
      <c r="L730">
        <v>26</v>
      </c>
      <c r="M730">
        <v>28</v>
      </c>
      <c r="N730">
        <v>18</v>
      </c>
      <c r="O730">
        <v>17</v>
      </c>
      <c r="P730">
        <v>13</v>
      </c>
      <c r="Q730">
        <v>9</v>
      </c>
      <c r="R730">
        <v>5</v>
      </c>
      <c r="S730">
        <v>2</v>
      </c>
      <c r="T730">
        <v>0</v>
      </c>
      <c r="U730" s="1">
        <v>0</v>
      </c>
    </row>
    <row r="731" spans="1:21" x14ac:dyDescent="0.3">
      <c r="A731" t="s">
        <v>236</v>
      </c>
      <c r="B731" t="s">
        <v>244</v>
      </c>
      <c r="C731" s="2" t="s">
        <v>21</v>
      </c>
      <c r="D731" s="1">
        <v>5709</v>
      </c>
      <c r="E731">
        <v>68</v>
      </c>
      <c r="F731">
        <v>49</v>
      </c>
      <c r="G731">
        <v>29</v>
      </c>
      <c r="H731">
        <v>287</v>
      </c>
      <c r="I731" s="1">
        <v>1441</v>
      </c>
      <c r="J731" s="1">
        <v>1019</v>
      </c>
      <c r="K731">
        <v>820</v>
      </c>
      <c r="L731">
        <v>662</v>
      </c>
      <c r="M731">
        <v>407</v>
      </c>
      <c r="N731">
        <v>271</v>
      </c>
      <c r="O731">
        <v>213</v>
      </c>
      <c r="P731">
        <v>211</v>
      </c>
      <c r="Q731">
        <v>130</v>
      </c>
      <c r="R731">
        <v>45</v>
      </c>
      <c r="S731">
        <v>27</v>
      </c>
      <c r="T731">
        <v>18</v>
      </c>
      <c r="U731" s="1">
        <v>12</v>
      </c>
    </row>
    <row r="732" spans="1:21" x14ac:dyDescent="0.3">
      <c r="A732" t="s">
        <v>236</v>
      </c>
      <c r="B732" t="s">
        <v>244</v>
      </c>
      <c r="C732" s="2" t="s">
        <v>24</v>
      </c>
      <c r="D732" s="1">
        <v>3154</v>
      </c>
      <c r="E732">
        <v>37</v>
      </c>
      <c r="F732">
        <v>25</v>
      </c>
      <c r="G732">
        <v>15</v>
      </c>
      <c r="H732">
        <v>159</v>
      </c>
      <c r="I732">
        <v>855</v>
      </c>
      <c r="J732">
        <v>568</v>
      </c>
      <c r="K732">
        <v>500</v>
      </c>
      <c r="L732">
        <v>389</v>
      </c>
      <c r="M732">
        <v>216</v>
      </c>
      <c r="N732">
        <v>121</v>
      </c>
      <c r="O732">
        <v>75</v>
      </c>
      <c r="P732">
        <v>85</v>
      </c>
      <c r="Q732">
        <v>58</v>
      </c>
      <c r="R732">
        <v>20</v>
      </c>
      <c r="S732">
        <v>16</v>
      </c>
      <c r="T732">
        <v>12</v>
      </c>
      <c r="U732" s="1">
        <v>3</v>
      </c>
    </row>
    <row r="733" spans="1:21" x14ac:dyDescent="0.3">
      <c r="A733" t="s">
        <v>236</v>
      </c>
      <c r="B733" t="s">
        <v>244</v>
      </c>
      <c r="C733" s="2" t="s">
        <v>25</v>
      </c>
      <c r="D733" s="1">
        <v>2555</v>
      </c>
      <c r="E733">
        <v>31</v>
      </c>
      <c r="F733">
        <v>24</v>
      </c>
      <c r="G733">
        <v>14</v>
      </c>
      <c r="H733">
        <v>128</v>
      </c>
      <c r="I733">
        <v>586</v>
      </c>
      <c r="J733">
        <v>451</v>
      </c>
      <c r="K733">
        <v>320</v>
      </c>
      <c r="L733">
        <v>273</v>
      </c>
      <c r="M733">
        <v>191</v>
      </c>
      <c r="N733">
        <v>150</v>
      </c>
      <c r="O733">
        <v>138</v>
      </c>
      <c r="P733">
        <v>126</v>
      </c>
      <c r="Q733">
        <v>72</v>
      </c>
      <c r="R733">
        <v>25</v>
      </c>
      <c r="S733">
        <v>11</v>
      </c>
      <c r="T733">
        <v>6</v>
      </c>
      <c r="U733" s="1">
        <v>9</v>
      </c>
    </row>
    <row r="734" spans="1:21" x14ac:dyDescent="0.3">
      <c r="A734" t="s">
        <v>236</v>
      </c>
      <c r="B734" t="s">
        <v>245</v>
      </c>
      <c r="C734" s="2" t="s">
        <v>21</v>
      </c>
      <c r="D734">
        <v>576</v>
      </c>
      <c r="E734">
        <v>2</v>
      </c>
      <c r="F734">
        <v>0</v>
      </c>
      <c r="G734">
        <v>0</v>
      </c>
      <c r="H734">
        <v>0</v>
      </c>
      <c r="I734">
        <v>38</v>
      </c>
      <c r="J734">
        <v>91</v>
      </c>
      <c r="K734">
        <v>111</v>
      </c>
      <c r="L734">
        <v>131</v>
      </c>
      <c r="M734">
        <v>104</v>
      </c>
      <c r="N734">
        <v>49</v>
      </c>
      <c r="O734">
        <v>17</v>
      </c>
      <c r="P734">
        <v>15</v>
      </c>
      <c r="Q734">
        <v>11</v>
      </c>
      <c r="R734">
        <v>3</v>
      </c>
      <c r="S734">
        <v>3</v>
      </c>
      <c r="T734">
        <v>0</v>
      </c>
      <c r="U734" s="1">
        <v>1</v>
      </c>
    </row>
    <row r="735" spans="1:21" x14ac:dyDescent="0.3">
      <c r="A735" t="s">
        <v>236</v>
      </c>
      <c r="B735" t="s">
        <v>245</v>
      </c>
      <c r="C735" s="2" t="s">
        <v>24</v>
      </c>
      <c r="D735">
        <v>347</v>
      </c>
      <c r="E735">
        <v>2</v>
      </c>
      <c r="F735">
        <v>0</v>
      </c>
      <c r="G735">
        <v>0</v>
      </c>
      <c r="H735">
        <v>0</v>
      </c>
      <c r="I735">
        <v>23</v>
      </c>
      <c r="J735">
        <v>50</v>
      </c>
      <c r="K735">
        <v>68</v>
      </c>
      <c r="L735">
        <v>87</v>
      </c>
      <c r="M735">
        <v>65</v>
      </c>
      <c r="N735">
        <v>32</v>
      </c>
      <c r="O735">
        <v>5</v>
      </c>
      <c r="P735">
        <v>7</v>
      </c>
      <c r="Q735">
        <v>5</v>
      </c>
      <c r="R735">
        <v>0</v>
      </c>
      <c r="S735">
        <v>2</v>
      </c>
      <c r="T735">
        <v>0</v>
      </c>
      <c r="U735" s="1">
        <v>1</v>
      </c>
    </row>
    <row r="736" spans="1:21" x14ac:dyDescent="0.3">
      <c r="A736" t="s">
        <v>236</v>
      </c>
      <c r="B736" t="s">
        <v>245</v>
      </c>
      <c r="C736" s="2" t="s">
        <v>25</v>
      </c>
      <c r="D736">
        <v>229</v>
      </c>
      <c r="E736">
        <v>0</v>
      </c>
      <c r="F736">
        <v>0</v>
      </c>
      <c r="G736">
        <v>0</v>
      </c>
      <c r="H736">
        <v>0</v>
      </c>
      <c r="I736">
        <v>15</v>
      </c>
      <c r="J736">
        <v>41</v>
      </c>
      <c r="K736">
        <v>43</v>
      </c>
      <c r="L736">
        <v>44</v>
      </c>
      <c r="M736">
        <v>39</v>
      </c>
      <c r="N736">
        <v>17</v>
      </c>
      <c r="O736">
        <v>12</v>
      </c>
      <c r="P736">
        <v>8</v>
      </c>
      <c r="Q736">
        <v>6</v>
      </c>
      <c r="R736">
        <v>3</v>
      </c>
      <c r="S736">
        <v>1</v>
      </c>
      <c r="T736">
        <v>0</v>
      </c>
      <c r="U736" s="1">
        <v>0</v>
      </c>
    </row>
    <row r="737" spans="1:21" x14ac:dyDescent="0.3">
      <c r="A737" t="s">
        <v>236</v>
      </c>
      <c r="B737" t="s">
        <v>246</v>
      </c>
      <c r="C737" s="2" t="s">
        <v>21</v>
      </c>
      <c r="D737">
        <v>376</v>
      </c>
      <c r="E737">
        <v>1</v>
      </c>
      <c r="F737">
        <v>0</v>
      </c>
      <c r="G737">
        <v>0</v>
      </c>
      <c r="H737">
        <v>9</v>
      </c>
      <c r="I737">
        <v>19</v>
      </c>
      <c r="J737">
        <v>53</v>
      </c>
      <c r="K737">
        <v>81</v>
      </c>
      <c r="L737">
        <v>68</v>
      </c>
      <c r="M737">
        <v>42</v>
      </c>
      <c r="N737">
        <v>20</v>
      </c>
      <c r="O737">
        <v>22</v>
      </c>
      <c r="P737">
        <v>30</v>
      </c>
      <c r="Q737">
        <v>17</v>
      </c>
      <c r="R737">
        <v>10</v>
      </c>
      <c r="S737">
        <v>3</v>
      </c>
      <c r="T737">
        <v>1</v>
      </c>
      <c r="U737" s="1">
        <v>0</v>
      </c>
    </row>
    <row r="738" spans="1:21" x14ac:dyDescent="0.3">
      <c r="A738" t="s">
        <v>236</v>
      </c>
      <c r="B738" t="s">
        <v>246</v>
      </c>
      <c r="C738" s="2" t="s">
        <v>24</v>
      </c>
      <c r="D738">
        <v>165</v>
      </c>
      <c r="E738">
        <v>1</v>
      </c>
      <c r="F738">
        <v>0</v>
      </c>
      <c r="G738">
        <v>0</v>
      </c>
      <c r="H738">
        <v>3</v>
      </c>
      <c r="I738">
        <v>8</v>
      </c>
      <c r="J738">
        <v>25</v>
      </c>
      <c r="K738">
        <v>50</v>
      </c>
      <c r="L738">
        <v>30</v>
      </c>
      <c r="M738">
        <v>23</v>
      </c>
      <c r="N738">
        <v>5</v>
      </c>
      <c r="O738">
        <v>4</v>
      </c>
      <c r="P738">
        <v>7</v>
      </c>
      <c r="Q738">
        <v>5</v>
      </c>
      <c r="R738">
        <v>2</v>
      </c>
      <c r="S738">
        <v>2</v>
      </c>
      <c r="T738">
        <v>0</v>
      </c>
      <c r="U738" s="1">
        <v>0</v>
      </c>
    </row>
    <row r="739" spans="1:21" x14ac:dyDescent="0.3">
      <c r="A739" t="s">
        <v>236</v>
      </c>
      <c r="B739" t="s">
        <v>246</v>
      </c>
      <c r="C739" s="2" t="s">
        <v>25</v>
      </c>
      <c r="D739">
        <v>211</v>
      </c>
      <c r="E739">
        <v>0</v>
      </c>
      <c r="F739">
        <v>0</v>
      </c>
      <c r="G739">
        <v>0</v>
      </c>
      <c r="H739">
        <v>6</v>
      </c>
      <c r="I739">
        <v>11</v>
      </c>
      <c r="J739">
        <v>28</v>
      </c>
      <c r="K739">
        <v>31</v>
      </c>
      <c r="L739">
        <v>38</v>
      </c>
      <c r="M739">
        <v>19</v>
      </c>
      <c r="N739">
        <v>15</v>
      </c>
      <c r="O739">
        <v>18</v>
      </c>
      <c r="P739">
        <v>23</v>
      </c>
      <c r="Q739">
        <v>12</v>
      </c>
      <c r="R739">
        <v>8</v>
      </c>
      <c r="S739">
        <v>1</v>
      </c>
      <c r="T739">
        <v>1</v>
      </c>
      <c r="U739" s="1">
        <v>0</v>
      </c>
    </row>
    <row r="740" spans="1:21" x14ac:dyDescent="0.3">
      <c r="A740" t="s">
        <v>236</v>
      </c>
      <c r="B740" t="s">
        <v>247</v>
      </c>
      <c r="C740" s="2" t="s">
        <v>21</v>
      </c>
      <c r="D740">
        <v>959</v>
      </c>
      <c r="E740">
        <v>7</v>
      </c>
      <c r="F740">
        <v>7</v>
      </c>
      <c r="G740">
        <v>1</v>
      </c>
      <c r="H740">
        <v>4</v>
      </c>
      <c r="I740">
        <v>99</v>
      </c>
      <c r="J740">
        <v>231</v>
      </c>
      <c r="K740">
        <v>250</v>
      </c>
      <c r="L740">
        <v>161</v>
      </c>
      <c r="M740">
        <v>79</v>
      </c>
      <c r="N740">
        <v>39</v>
      </c>
      <c r="O740">
        <v>18</v>
      </c>
      <c r="P740">
        <v>29</v>
      </c>
      <c r="Q740">
        <v>20</v>
      </c>
      <c r="R740">
        <v>11</v>
      </c>
      <c r="S740">
        <v>1</v>
      </c>
      <c r="T740">
        <v>1</v>
      </c>
      <c r="U740" s="1">
        <v>1</v>
      </c>
    </row>
    <row r="741" spans="1:21" x14ac:dyDescent="0.3">
      <c r="A741" t="s">
        <v>236</v>
      </c>
      <c r="B741" t="s">
        <v>247</v>
      </c>
      <c r="C741" s="2" t="s">
        <v>24</v>
      </c>
      <c r="D741">
        <v>613</v>
      </c>
      <c r="E741">
        <v>4</v>
      </c>
      <c r="F741">
        <v>4</v>
      </c>
      <c r="G741">
        <v>0</v>
      </c>
      <c r="H741">
        <v>0</v>
      </c>
      <c r="I741">
        <v>69</v>
      </c>
      <c r="J741">
        <v>158</v>
      </c>
      <c r="K741">
        <v>176</v>
      </c>
      <c r="L741">
        <v>108</v>
      </c>
      <c r="M741">
        <v>52</v>
      </c>
      <c r="N741">
        <v>16</v>
      </c>
      <c r="O741">
        <v>6</v>
      </c>
      <c r="P741">
        <v>9</v>
      </c>
      <c r="Q741">
        <v>6</v>
      </c>
      <c r="R741">
        <v>5</v>
      </c>
      <c r="S741">
        <v>0</v>
      </c>
      <c r="T741">
        <v>0</v>
      </c>
      <c r="U741" s="1">
        <v>0</v>
      </c>
    </row>
    <row r="742" spans="1:21" x14ac:dyDescent="0.3">
      <c r="A742" t="s">
        <v>236</v>
      </c>
      <c r="B742" t="s">
        <v>247</v>
      </c>
      <c r="C742" s="2" t="s">
        <v>25</v>
      </c>
      <c r="D742">
        <v>346</v>
      </c>
      <c r="E742">
        <v>3</v>
      </c>
      <c r="F742">
        <v>3</v>
      </c>
      <c r="G742">
        <v>1</v>
      </c>
      <c r="H742">
        <v>4</v>
      </c>
      <c r="I742">
        <v>30</v>
      </c>
      <c r="J742">
        <v>73</v>
      </c>
      <c r="K742">
        <v>74</v>
      </c>
      <c r="L742">
        <v>53</v>
      </c>
      <c r="M742">
        <v>27</v>
      </c>
      <c r="N742">
        <v>23</v>
      </c>
      <c r="O742">
        <v>12</v>
      </c>
      <c r="P742">
        <v>20</v>
      </c>
      <c r="Q742">
        <v>14</v>
      </c>
      <c r="R742">
        <v>6</v>
      </c>
      <c r="S742">
        <v>1</v>
      </c>
      <c r="T742">
        <v>1</v>
      </c>
      <c r="U742" s="1">
        <v>1</v>
      </c>
    </row>
    <row r="743" spans="1:21" x14ac:dyDescent="0.3">
      <c r="A743" t="s">
        <v>236</v>
      </c>
      <c r="B743" t="s">
        <v>248</v>
      </c>
      <c r="C743" s="2" t="s">
        <v>21</v>
      </c>
      <c r="D743" s="1">
        <v>5637</v>
      </c>
      <c r="E743">
        <v>109</v>
      </c>
      <c r="F743">
        <v>59</v>
      </c>
      <c r="G743">
        <v>36</v>
      </c>
      <c r="H743">
        <v>544</v>
      </c>
      <c r="I743" s="1">
        <v>1371</v>
      </c>
      <c r="J743" s="1">
        <v>1180</v>
      </c>
      <c r="K743">
        <v>879</v>
      </c>
      <c r="L743">
        <v>526</v>
      </c>
      <c r="M743">
        <v>306</v>
      </c>
      <c r="N743">
        <v>173</v>
      </c>
      <c r="O743">
        <v>142</v>
      </c>
      <c r="P743">
        <v>139</v>
      </c>
      <c r="Q743">
        <v>90</v>
      </c>
      <c r="R743">
        <v>48</v>
      </c>
      <c r="S743">
        <v>17</v>
      </c>
      <c r="T743">
        <v>8</v>
      </c>
      <c r="U743" s="1">
        <v>10</v>
      </c>
    </row>
    <row r="744" spans="1:21" x14ac:dyDescent="0.3">
      <c r="A744" t="s">
        <v>236</v>
      </c>
      <c r="B744" t="s">
        <v>248</v>
      </c>
      <c r="C744" s="2" t="s">
        <v>24</v>
      </c>
      <c r="D744" s="1">
        <v>2869</v>
      </c>
      <c r="E744">
        <v>53</v>
      </c>
      <c r="F744">
        <v>33</v>
      </c>
      <c r="G744">
        <v>18</v>
      </c>
      <c r="H744">
        <v>295</v>
      </c>
      <c r="I744">
        <v>653</v>
      </c>
      <c r="J744">
        <v>673</v>
      </c>
      <c r="K744">
        <v>493</v>
      </c>
      <c r="L744">
        <v>249</v>
      </c>
      <c r="M744">
        <v>146</v>
      </c>
      <c r="N744">
        <v>81</v>
      </c>
      <c r="O744">
        <v>54</v>
      </c>
      <c r="P744">
        <v>50</v>
      </c>
      <c r="Q744">
        <v>30</v>
      </c>
      <c r="R744">
        <v>19</v>
      </c>
      <c r="S744">
        <v>11</v>
      </c>
      <c r="T744">
        <v>5</v>
      </c>
      <c r="U744" s="1">
        <v>6</v>
      </c>
    </row>
    <row r="745" spans="1:21" x14ac:dyDescent="0.3">
      <c r="A745" t="s">
        <v>236</v>
      </c>
      <c r="B745" t="s">
        <v>248</v>
      </c>
      <c r="C745" s="2" t="s">
        <v>25</v>
      </c>
      <c r="D745" s="1">
        <v>2768</v>
      </c>
      <c r="E745">
        <v>56</v>
      </c>
      <c r="F745">
        <v>26</v>
      </c>
      <c r="G745">
        <v>18</v>
      </c>
      <c r="H745">
        <v>249</v>
      </c>
      <c r="I745">
        <v>718</v>
      </c>
      <c r="J745">
        <v>507</v>
      </c>
      <c r="K745">
        <v>386</v>
      </c>
      <c r="L745">
        <v>277</v>
      </c>
      <c r="M745">
        <v>160</v>
      </c>
      <c r="N745">
        <v>92</v>
      </c>
      <c r="O745">
        <v>88</v>
      </c>
      <c r="P745">
        <v>89</v>
      </c>
      <c r="Q745">
        <v>60</v>
      </c>
      <c r="R745">
        <v>29</v>
      </c>
      <c r="S745">
        <v>6</v>
      </c>
      <c r="T745">
        <v>3</v>
      </c>
      <c r="U745" s="1">
        <v>4</v>
      </c>
    </row>
    <row r="746" spans="1:21" x14ac:dyDescent="0.3">
      <c r="A746" t="s">
        <v>236</v>
      </c>
      <c r="B746" t="s">
        <v>249</v>
      </c>
      <c r="C746" s="2" t="s">
        <v>21</v>
      </c>
      <c r="D746">
        <v>341</v>
      </c>
      <c r="E746">
        <v>3</v>
      </c>
      <c r="F746">
        <v>2</v>
      </c>
      <c r="G746">
        <v>4</v>
      </c>
      <c r="H746">
        <v>7</v>
      </c>
      <c r="I746">
        <v>17</v>
      </c>
      <c r="J746">
        <v>54</v>
      </c>
      <c r="K746">
        <v>72</v>
      </c>
      <c r="L746">
        <v>53</v>
      </c>
      <c r="M746">
        <v>41</v>
      </c>
      <c r="N746">
        <v>23</v>
      </c>
      <c r="O746">
        <v>23</v>
      </c>
      <c r="P746">
        <v>20</v>
      </c>
      <c r="Q746">
        <v>16</v>
      </c>
      <c r="R746">
        <v>0</v>
      </c>
      <c r="S746">
        <v>2</v>
      </c>
      <c r="T746">
        <v>1</v>
      </c>
      <c r="U746" s="1">
        <v>3</v>
      </c>
    </row>
    <row r="747" spans="1:21" x14ac:dyDescent="0.3">
      <c r="A747" t="s">
        <v>236</v>
      </c>
      <c r="B747" t="s">
        <v>249</v>
      </c>
      <c r="C747" s="2" t="s">
        <v>24</v>
      </c>
      <c r="D747">
        <v>135</v>
      </c>
      <c r="E747">
        <v>2</v>
      </c>
      <c r="F747">
        <v>1</v>
      </c>
      <c r="G747">
        <v>1</v>
      </c>
      <c r="H747">
        <v>2</v>
      </c>
      <c r="I747">
        <v>4</v>
      </c>
      <c r="J747">
        <v>26</v>
      </c>
      <c r="K747">
        <v>38</v>
      </c>
      <c r="L747">
        <v>22</v>
      </c>
      <c r="M747">
        <v>12</v>
      </c>
      <c r="N747">
        <v>4</v>
      </c>
      <c r="O747">
        <v>6</v>
      </c>
      <c r="P747">
        <v>8</v>
      </c>
      <c r="Q747">
        <v>5</v>
      </c>
      <c r="R747">
        <v>0</v>
      </c>
      <c r="S747">
        <v>1</v>
      </c>
      <c r="T747">
        <v>1</v>
      </c>
      <c r="U747" s="1">
        <v>2</v>
      </c>
    </row>
    <row r="748" spans="1:21" x14ac:dyDescent="0.3">
      <c r="A748" t="s">
        <v>236</v>
      </c>
      <c r="B748" t="s">
        <v>249</v>
      </c>
      <c r="C748" s="2" t="s">
        <v>25</v>
      </c>
      <c r="D748">
        <v>206</v>
      </c>
      <c r="E748">
        <v>1</v>
      </c>
      <c r="F748">
        <v>1</v>
      </c>
      <c r="G748">
        <v>3</v>
      </c>
      <c r="H748">
        <v>5</v>
      </c>
      <c r="I748">
        <v>13</v>
      </c>
      <c r="J748">
        <v>28</v>
      </c>
      <c r="K748">
        <v>34</v>
      </c>
      <c r="L748">
        <v>31</v>
      </c>
      <c r="M748">
        <v>29</v>
      </c>
      <c r="N748">
        <v>19</v>
      </c>
      <c r="O748">
        <v>17</v>
      </c>
      <c r="P748">
        <v>12</v>
      </c>
      <c r="Q748">
        <v>11</v>
      </c>
      <c r="R748">
        <v>0</v>
      </c>
      <c r="S748">
        <v>1</v>
      </c>
      <c r="T748">
        <v>0</v>
      </c>
      <c r="U748" s="1">
        <v>1</v>
      </c>
    </row>
    <row r="749" spans="1:21" x14ac:dyDescent="0.3">
      <c r="A749" t="s">
        <v>236</v>
      </c>
      <c r="B749" t="s">
        <v>250</v>
      </c>
      <c r="C749" s="2" t="s">
        <v>21</v>
      </c>
      <c r="D749">
        <v>739</v>
      </c>
      <c r="E749">
        <v>6</v>
      </c>
      <c r="F749">
        <v>8</v>
      </c>
      <c r="G749">
        <v>13</v>
      </c>
      <c r="H749">
        <v>11</v>
      </c>
      <c r="I749">
        <v>72</v>
      </c>
      <c r="J749">
        <v>130</v>
      </c>
      <c r="K749">
        <v>128</v>
      </c>
      <c r="L749">
        <v>125</v>
      </c>
      <c r="M749">
        <v>77</v>
      </c>
      <c r="N749">
        <v>46</v>
      </c>
      <c r="O749">
        <v>46</v>
      </c>
      <c r="P749">
        <v>40</v>
      </c>
      <c r="Q749">
        <v>23</v>
      </c>
      <c r="R749">
        <v>8</v>
      </c>
      <c r="S749">
        <v>4</v>
      </c>
      <c r="T749">
        <v>2</v>
      </c>
      <c r="U749" s="1">
        <v>0</v>
      </c>
    </row>
    <row r="750" spans="1:21" x14ac:dyDescent="0.3">
      <c r="A750" t="s">
        <v>236</v>
      </c>
      <c r="B750" t="s">
        <v>250</v>
      </c>
      <c r="C750" s="2" t="s">
        <v>24</v>
      </c>
      <c r="D750">
        <v>362</v>
      </c>
      <c r="E750">
        <v>1</v>
      </c>
      <c r="F750">
        <v>5</v>
      </c>
      <c r="G750">
        <v>9</v>
      </c>
      <c r="H750">
        <v>7</v>
      </c>
      <c r="I750">
        <v>38</v>
      </c>
      <c r="J750">
        <v>73</v>
      </c>
      <c r="K750">
        <v>74</v>
      </c>
      <c r="L750">
        <v>67</v>
      </c>
      <c r="M750">
        <v>36</v>
      </c>
      <c r="N750">
        <v>15</v>
      </c>
      <c r="O750">
        <v>15</v>
      </c>
      <c r="P750">
        <v>6</v>
      </c>
      <c r="Q750">
        <v>9</v>
      </c>
      <c r="R750">
        <v>3</v>
      </c>
      <c r="S750">
        <v>3</v>
      </c>
      <c r="T750">
        <v>1</v>
      </c>
      <c r="U750" s="1">
        <v>0</v>
      </c>
    </row>
    <row r="751" spans="1:21" x14ac:dyDescent="0.3">
      <c r="A751" t="s">
        <v>236</v>
      </c>
      <c r="B751" t="s">
        <v>250</v>
      </c>
      <c r="C751" s="2" t="s">
        <v>25</v>
      </c>
      <c r="D751">
        <v>377</v>
      </c>
      <c r="E751">
        <v>5</v>
      </c>
      <c r="F751">
        <v>3</v>
      </c>
      <c r="G751">
        <v>4</v>
      </c>
      <c r="H751">
        <v>4</v>
      </c>
      <c r="I751">
        <v>34</v>
      </c>
      <c r="J751">
        <v>57</v>
      </c>
      <c r="K751">
        <v>54</v>
      </c>
      <c r="L751">
        <v>58</v>
      </c>
      <c r="M751">
        <v>41</v>
      </c>
      <c r="N751">
        <v>31</v>
      </c>
      <c r="O751">
        <v>31</v>
      </c>
      <c r="P751">
        <v>34</v>
      </c>
      <c r="Q751">
        <v>14</v>
      </c>
      <c r="R751">
        <v>5</v>
      </c>
      <c r="S751">
        <v>1</v>
      </c>
      <c r="T751">
        <v>1</v>
      </c>
      <c r="U751" s="1">
        <v>0</v>
      </c>
    </row>
    <row r="752" spans="1:21" x14ac:dyDescent="0.3">
      <c r="A752" t="s">
        <v>236</v>
      </c>
      <c r="B752" t="s">
        <v>251</v>
      </c>
      <c r="C752" s="2" t="s">
        <v>21</v>
      </c>
      <c r="D752" s="1">
        <v>1212</v>
      </c>
      <c r="E752">
        <v>10</v>
      </c>
      <c r="F752">
        <v>5</v>
      </c>
      <c r="G752">
        <v>5</v>
      </c>
      <c r="H752">
        <v>7</v>
      </c>
      <c r="I752">
        <v>90</v>
      </c>
      <c r="J752">
        <v>214</v>
      </c>
      <c r="K752">
        <v>287</v>
      </c>
      <c r="L752">
        <v>224</v>
      </c>
      <c r="M752">
        <v>159</v>
      </c>
      <c r="N752">
        <v>64</v>
      </c>
      <c r="O752">
        <v>45</v>
      </c>
      <c r="P752">
        <v>47</v>
      </c>
      <c r="Q752">
        <v>39</v>
      </c>
      <c r="R752">
        <v>11</v>
      </c>
      <c r="S752">
        <v>2</v>
      </c>
      <c r="T752">
        <v>1</v>
      </c>
      <c r="U752" s="1">
        <v>2</v>
      </c>
    </row>
    <row r="753" spans="1:21" x14ac:dyDescent="0.3">
      <c r="A753" t="s">
        <v>236</v>
      </c>
      <c r="B753" t="s">
        <v>251</v>
      </c>
      <c r="C753" s="2" t="s">
        <v>24</v>
      </c>
      <c r="D753">
        <v>739</v>
      </c>
      <c r="E753">
        <v>4</v>
      </c>
      <c r="F753">
        <v>2</v>
      </c>
      <c r="G753">
        <v>3</v>
      </c>
      <c r="H753">
        <v>4</v>
      </c>
      <c r="I753">
        <v>45</v>
      </c>
      <c r="J753">
        <v>139</v>
      </c>
      <c r="K753">
        <v>198</v>
      </c>
      <c r="L753">
        <v>155</v>
      </c>
      <c r="M753">
        <v>109</v>
      </c>
      <c r="N753">
        <v>33</v>
      </c>
      <c r="O753">
        <v>15</v>
      </c>
      <c r="P753">
        <v>13</v>
      </c>
      <c r="Q753">
        <v>13</v>
      </c>
      <c r="R753">
        <v>3</v>
      </c>
      <c r="S753">
        <v>2</v>
      </c>
      <c r="T753">
        <v>0</v>
      </c>
      <c r="U753" s="1">
        <v>1</v>
      </c>
    </row>
    <row r="754" spans="1:21" x14ac:dyDescent="0.3">
      <c r="A754" t="s">
        <v>236</v>
      </c>
      <c r="B754" t="s">
        <v>251</v>
      </c>
      <c r="C754" s="2" t="s">
        <v>25</v>
      </c>
      <c r="D754">
        <v>473</v>
      </c>
      <c r="E754">
        <v>6</v>
      </c>
      <c r="F754">
        <v>3</v>
      </c>
      <c r="G754">
        <v>2</v>
      </c>
      <c r="H754">
        <v>3</v>
      </c>
      <c r="I754">
        <v>45</v>
      </c>
      <c r="J754">
        <v>75</v>
      </c>
      <c r="K754">
        <v>89</v>
      </c>
      <c r="L754">
        <v>69</v>
      </c>
      <c r="M754">
        <v>50</v>
      </c>
      <c r="N754">
        <v>31</v>
      </c>
      <c r="O754">
        <v>30</v>
      </c>
      <c r="P754">
        <v>34</v>
      </c>
      <c r="Q754">
        <v>26</v>
      </c>
      <c r="R754">
        <v>8</v>
      </c>
      <c r="S754">
        <v>0</v>
      </c>
      <c r="T754">
        <v>1</v>
      </c>
      <c r="U754" s="1">
        <v>1</v>
      </c>
    </row>
    <row r="755" spans="1:21" x14ac:dyDescent="0.3">
      <c r="A755" t="s">
        <v>236</v>
      </c>
      <c r="B755" t="s">
        <v>252</v>
      </c>
      <c r="C755" s="2" t="s">
        <v>21</v>
      </c>
      <c r="D755">
        <v>308</v>
      </c>
      <c r="E755">
        <v>0</v>
      </c>
      <c r="F755">
        <v>0</v>
      </c>
      <c r="G755">
        <v>1</v>
      </c>
      <c r="H755">
        <v>3</v>
      </c>
      <c r="I755">
        <v>20</v>
      </c>
      <c r="J755">
        <v>60</v>
      </c>
      <c r="K755">
        <v>67</v>
      </c>
      <c r="L755">
        <v>60</v>
      </c>
      <c r="M755">
        <v>33</v>
      </c>
      <c r="N755">
        <v>19</v>
      </c>
      <c r="O755">
        <v>13</v>
      </c>
      <c r="P755">
        <v>8</v>
      </c>
      <c r="Q755">
        <v>14</v>
      </c>
      <c r="R755">
        <v>5</v>
      </c>
      <c r="S755">
        <v>3</v>
      </c>
      <c r="T755">
        <v>0</v>
      </c>
      <c r="U755" s="1">
        <v>2</v>
      </c>
    </row>
    <row r="756" spans="1:21" x14ac:dyDescent="0.3">
      <c r="A756" t="s">
        <v>236</v>
      </c>
      <c r="B756" t="s">
        <v>252</v>
      </c>
      <c r="C756" s="2" t="s">
        <v>24</v>
      </c>
      <c r="D756">
        <v>186</v>
      </c>
      <c r="E756">
        <v>0</v>
      </c>
      <c r="F756">
        <v>0</v>
      </c>
      <c r="G756">
        <v>0</v>
      </c>
      <c r="H756">
        <v>2</v>
      </c>
      <c r="I756">
        <v>16</v>
      </c>
      <c r="J756">
        <v>41</v>
      </c>
      <c r="K756">
        <v>46</v>
      </c>
      <c r="L756">
        <v>41</v>
      </c>
      <c r="M756">
        <v>18</v>
      </c>
      <c r="N756">
        <v>9</v>
      </c>
      <c r="O756">
        <v>4</v>
      </c>
      <c r="P756">
        <v>2</v>
      </c>
      <c r="Q756">
        <v>3</v>
      </c>
      <c r="R756">
        <v>3</v>
      </c>
      <c r="S756">
        <v>1</v>
      </c>
      <c r="T756">
        <v>0</v>
      </c>
      <c r="U756" s="1">
        <v>0</v>
      </c>
    </row>
    <row r="757" spans="1:21" x14ac:dyDescent="0.3">
      <c r="A757" t="s">
        <v>236</v>
      </c>
      <c r="B757" t="s">
        <v>252</v>
      </c>
      <c r="C757" s="2" t="s">
        <v>25</v>
      </c>
      <c r="D757">
        <v>122</v>
      </c>
      <c r="E757">
        <v>0</v>
      </c>
      <c r="F757">
        <v>0</v>
      </c>
      <c r="G757">
        <v>1</v>
      </c>
      <c r="H757">
        <v>1</v>
      </c>
      <c r="I757">
        <v>4</v>
      </c>
      <c r="J757">
        <v>19</v>
      </c>
      <c r="K757">
        <v>21</v>
      </c>
      <c r="L757">
        <v>19</v>
      </c>
      <c r="M757">
        <v>15</v>
      </c>
      <c r="N757">
        <v>10</v>
      </c>
      <c r="O757">
        <v>9</v>
      </c>
      <c r="P757">
        <v>6</v>
      </c>
      <c r="Q757">
        <v>11</v>
      </c>
      <c r="R757">
        <v>2</v>
      </c>
      <c r="S757">
        <v>2</v>
      </c>
      <c r="T757">
        <v>0</v>
      </c>
      <c r="U757" s="1">
        <v>2</v>
      </c>
    </row>
    <row r="758" spans="1:21" x14ac:dyDescent="0.3">
      <c r="A758" t="s">
        <v>236</v>
      </c>
      <c r="B758" t="s">
        <v>253</v>
      </c>
      <c r="C758" s="2" t="s">
        <v>21</v>
      </c>
      <c r="D758" s="1">
        <v>1471</v>
      </c>
      <c r="E758">
        <v>15</v>
      </c>
      <c r="F758">
        <v>11</v>
      </c>
      <c r="G758">
        <v>7</v>
      </c>
      <c r="H758">
        <v>44</v>
      </c>
      <c r="I758">
        <v>182</v>
      </c>
      <c r="J758">
        <v>332</v>
      </c>
      <c r="K758">
        <v>314</v>
      </c>
      <c r="L758">
        <v>211</v>
      </c>
      <c r="M758">
        <v>139</v>
      </c>
      <c r="N758">
        <v>73</v>
      </c>
      <c r="O758">
        <v>43</v>
      </c>
      <c r="P758">
        <v>49</v>
      </c>
      <c r="Q758">
        <v>30</v>
      </c>
      <c r="R758">
        <v>17</v>
      </c>
      <c r="S758">
        <v>3</v>
      </c>
      <c r="T758">
        <v>0</v>
      </c>
      <c r="U758" s="1">
        <v>1</v>
      </c>
    </row>
    <row r="759" spans="1:21" x14ac:dyDescent="0.3">
      <c r="A759" t="s">
        <v>236</v>
      </c>
      <c r="B759" t="s">
        <v>253</v>
      </c>
      <c r="C759" s="2" t="s">
        <v>24</v>
      </c>
      <c r="D759">
        <v>985</v>
      </c>
      <c r="E759">
        <v>5</v>
      </c>
      <c r="F759">
        <v>6</v>
      </c>
      <c r="G759">
        <v>3</v>
      </c>
      <c r="H759">
        <v>33</v>
      </c>
      <c r="I759">
        <v>126</v>
      </c>
      <c r="J759">
        <v>250</v>
      </c>
      <c r="K759">
        <v>241</v>
      </c>
      <c r="L759">
        <v>147</v>
      </c>
      <c r="M759">
        <v>90</v>
      </c>
      <c r="N759">
        <v>27</v>
      </c>
      <c r="O759">
        <v>18</v>
      </c>
      <c r="P759">
        <v>19</v>
      </c>
      <c r="Q759">
        <v>11</v>
      </c>
      <c r="R759">
        <v>8</v>
      </c>
      <c r="S759">
        <v>1</v>
      </c>
      <c r="T759">
        <v>0</v>
      </c>
      <c r="U759" s="1">
        <v>0</v>
      </c>
    </row>
    <row r="760" spans="1:21" x14ac:dyDescent="0.3">
      <c r="A760" t="s">
        <v>236</v>
      </c>
      <c r="B760" t="s">
        <v>253</v>
      </c>
      <c r="C760" s="2" t="s">
        <v>25</v>
      </c>
      <c r="D760">
        <v>486</v>
      </c>
      <c r="E760">
        <v>10</v>
      </c>
      <c r="F760">
        <v>5</v>
      </c>
      <c r="G760">
        <v>4</v>
      </c>
      <c r="H760">
        <v>11</v>
      </c>
      <c r="I760">
        <v>56</v>
      </c>
      <c r="J760">
        <v>82</v>
      </c>
      <c r="K760">
        <v>73</v>
      </c>
      <c r="L760">
        <v>64</v>
      </c>
      <c r="M760">
        <v>49</v>
      </c>
      <c r="N760">
        <v>46</v>
      </c>
      <c r="O760">
        <v>25</v>
      </c>
      <c r="P760">
        <v>30</v>
      </c>
      <c r="Q760">
        <v>19</v>
      </c>
      <c r="R760">
        <v>9</v>
      </c>
      <c r="S760">
        <v>2</v>
      </c>
      <c r="T760">
        <v>0</v>
      </c>
      <c r="U760" s="1">
        <v>1</v>
      </c>
    </row>
    <row r="761" spans="1:21" x14ac:dyDescent="0.3">
      <c r="A761" t="s">
        <v>254</v>
      </c>
      <c r="B761" t="s">
        <v>21</v>
      </c>
      <c r="C761" s="2" t="s">
        <v>21</v>
      </c>
      <c r="D761" s="1">
        <v>49077</v>
      </c>
      <c r="E761">
        <v>788</v>
      </c>
      <c r="F761">
        <v>510</v>
      </c>
      <c r="G761">
        <v>304</v>
      </c>
      <c r="H761" s="1">
        <v>1839</v>
      </c>
      <c r="I761" s="1">
        <v>9632</v>
      </c>
      <c r="J761" s="1">
        <v>10942</v>
      </c>
      <c r="K761" s="1">
        <v>8785</v>
      </c>
      <c r="L761" s="1">
        <v>6334</v>
      </c>
      <c r="M761" s="1">
        <v>3556</v>
      </c>
      <c r="N761" s="1">
        <v>1984</v>
      </c>
      <c r="O761" s="1">
        <v>1484</v>
      </c>
      <c r="P761" s="1">
        <v>1420</v>
      </c>
      <c r="Q761">
        <v>898</v>
      </c>
      <c r="R761">
        <v>354</v>
      </c>
      <c r="S761">
        <v>141</v>
      </c>
      <c r="T761">
        <v>57</v>
      </c>
      <c r="U761" s="1">
        <v>49</v>
      </c>
    </row>
    <row r="762" spans="1:21" x14ac:dyDescent="0.3">
      <c r="A762" t="s">
        <v>254</v>
      </c>
      <c r="B762" t="s">
        <v>21</v>
      </c>
      <c r="C762" s="2" t="s">
        <v>24</v>
      </c>
      <c r="D762" s="1">
        <f>D765+D768+D771+D774+D777+D780+D783+D786+D789+D792+D795+D798+D801+D804+D807</f>
        <v>29316</v>
      </c>
      <c r="E762" s="1">
        <f t="shared" ref="E762:U762" si="32">E765+E768+E771+E774+E777+E780+E783+E786+E789+E792+E795+E798+E801+E804+E807</f>
        <v>387</v>
      </c>
      <c r="F762" s="1">
        <f t="shared" si="32"/>
        <v>283</v>
      </c>
      <c r="G762" s="1">
        <f t="shared" si="32"/>
        <v>157</v>
      </c>
      <c r="H762" s="1">
        <f t="shared" si="32"/>
        <v>1109</v>
      </c>
      <c r="I762" s="1">
        <f t="shared" si="32"/>
        <v>5653</v>
      </c>
      <c r="J762" s="1">
        <f t="shared" si="32"/>
        <v>7024</v>
      </c>
      <c r="K762" s="1">
        <f t="shared" si="32"/>
        <v>5893</v>
      </c>
      <c r="L762" s="1">
        <f t="shared" si="32"/>
        <v>4177</v>
      </c>
      <c r="M762" s="1">
        <f t="shared" si="32"/>
        <v>2027</v>
      </c>
      <c r="N762" s="1">
        <f t="shared" si="32"/>
        <v>924</v>
      </c>
      <c r="O762" s="1">
        <f t="shared" si="32"/>
        <v>589</v>
      </c>
      <c r="P762" s="1">
        <f t="shared" si="32"/>
        <v>521</v>
      </c>
      <c r="Q762" s="1">
        <f t="shared" si="32"/>
        <v>311</v>
      </c>
      <c r="R762" s="1">
        <f t="shared" si="32"/>
        <v>139</v>
      </c>
      <c r="S762" s="1">
        <f t="shared" si="32"/>
        <v>66</v>
      </c>
      <c r="T762" s="1">
        <f t="shared" si="32"/>
        <v>28</v>
      </c>
      <c r="U762" s="1">
        <f t="shared" si="32"/>
        <v>28</v>
      </c>
    </row>
    <row r="763" spans="1:21" x14ac:dyDescent="0.3">
      <c r="A763" t="s">
        <v>254</v>
      </c>
      <c r="B763" t="s">
        <v>21</v>
      </c>
      <c r="C763" s="2" t="s">
        <v>25</v>
      </c>
      <c r="D763" s="1">
        <f>D766+D769+D772+D775+D778+D781+D784+D787+D790+D793+D796+D799+D802+D805+D808</f>
        <v>19761</v>
      </c>
      <c r="E763" s="1">
        <f t="shared" ref="E763:U763" si="33">E766+E769+E772+E775+E778+E781+E784+E787+E790+E793+E796+E799+E802+E805+E808</f>
        <v>401</v>
      </c>
      <c r="F763" s="1">
        <f t="shared" si="33"/>
        <v>227</v>
      </c>
      <c r="G763" s="1">
        <f t="shared" si="33"/>
        <v>147</v>
      </c>
      <c r="H763" s="1">
        <f t="shared" si="33"/>
        <v>730</v>
      </c>
      <c r="I763" s="1">
        <f t="shared" si="33"/>
        <v>3979</v>
      </c>
      <c r="J763" s="1">
        <f t="shared" si="33"/>
        <v>3918</v>
      </c>
      <c r="K763" s="1">
        <f t="shared" si="33"/>
        <v>2892</v>
      </c>
      <c r="L763" s="1">
        <f t="shared" si="33"/>
        <v>2157</v>
      </c>
      <c r="M763" s="1">
        <f t="shared" si="33"/>
        <v>1529</v>
      </c>
      <c r="N763" s="1">
        <f t="shared" si="33"/>
        <v>1060</v>
      </c>
      <c r="O763" s="1">
        <f t="shared" si="33"/>
        <v>895</v>
      </c>
      <c r="P763" s="1">
        <f t="shared" si="33"/>
        <v>899</v>
      </c>
      <c r="Q763" s="1">
        <f t="shared" si="33"/>
        <v>587</v>
      </c>
      <c r="R763" s="1">
        <f t="shared" si="33"/>
        <v>215</v>
      </c>
      <c r="S763" s="1">
        <f t="shared" si="33"/>
        <v>75</v>
      </c>
      <c r="T763" s="1">
        <f t="shared" si="33"/>
        <v>29</v>
      </c>
      <c r="U763" s="1">
        <f t="shared" si="33"/>
        <v>21</v>
      </c>
    </row>
    <row r="764" spans="1:21" x14ac:dyDescent="0.3">
      <c r="A764" t="s">
        <v>254</v>
      </c>
      <c r="B764" t="s">
        <v>255</v>
      </c>
      <c r="C764" s="2" t="s">
        <v>21</v>
      </c>
      <c r="D764" s="1">
        <v>2081</v>
      </c>
      <c r="E764">
        <v>25</v>
      </c>
      <c r="F764">
        <v>16</v>
      </c>
      <c r="G764">
        <v>7</v>
      </c>
      <c r="H764">
        <v>10</v>
      </c>
      <c r="I764">
        <v>105</v>
      </c>
      <c r="J764">
        <v>339</v>
      </c>
      <c r="K764">
        <v>502</v>
      </c>
      <c r="L764">
        <v>496</v>
      </c>
      <c r="M764">
        <v>310</v>
      </c>
      <c r="N764">
        <v>116</v>
      </c>
      <c r="O764">
        <v>64</v>
      </c>
      <c r="P764">
        <v>46</v>
      </c>
      <c r="Q764">
        <v>31</v>
      </c>
      <c r="R764">
        <v>9</v>
      </c>
      <c r="S764">
        <v>4</v>
      </c>
      <c r="T764">
        <v>0</v>
      </c>
      <c r="U764" s="1">
        <v>1</v>
      </c>
    </row>
    <row r="765" spans="1:21" x14ac:dyDescent="0.3">
      <c r="A765" t="s">
        <v>254</v>
      </c>
      <c r="B765" t="s">
        <v>255</v>
      </c>
      <c r="C765" s="2" t="s">
        <v>24</v>
      </c>
      <c r="D765" s="1">
        <v>1184</v>
      </c>
      <c r="E765">
        <v>8</v>
      </c>
      <c r="F765">
        <v>8</v>
      </c>
      <c r="G765">
        <v>4</v>
      </c>
      <c r="H765">
        <v>9</v>
      </c>
      <c r="I765">
        <v>66</v>
      </c>
      <c r="J765">
        <v>203</v>
      </c>
      <c r="K765">
        <v>312</v>
      </c>
      <c r="L765">
        <v>302</v>
      </c>
      <c r="M765">
        <v>166</v>
      </c>
      <c r="N765">
        <v>60</v>
      </c>
      <c r="O765">
        <v>21</v>
      </c>
      <c r="P765">
        <v>14</v>
      </c>
      <c r="Q765">
        <v>9</v>
      </c>
      <c r="R765">
        <v>2</v>
      </c>
      <c r="S765">
        <v>0</v>
      </c>
      <c r="T765">
        <v>0</v>
      </c>
      <c r="U765" s="1">
        <v>0</v>
      </c>
    </row>
    <row r="766" spans="1:21" x14ac:dyDescent="0.3">
      <c r="A766" t="s">
        <v>254</v>
      </c>
      <c r="B766" t="s">
        <v>255</v>
      </c>
      <c r="C766" s="2" t="s">
        <v>25</v>
      </c>
      <c r="D766">
        <v>897</v>
      </c>
      <c r="E766">
        <v>17</v>
      </c>
      <c r="F766">
        <v>8</v>
      </c>
      <c r="G766">
        <v>3</v>
      </c>
      <c r="H766">
        <v>1</v>
      </c>
      <c r="I766">
        <v>39</v>
      </c>
      <c r="J766">
        <v>136</v>
      </c>
      <c r="K766">
        <v>190</v>
      </c>
      <c r="L766">
        <v>194</v>
      </c>
      <c r="M766">
        <v>144</v>
      </c>
      <c r="N766">
        <v>56</v>
      </c>
      <c r="O766">
        <v>43</v>
      </c>
      <c r="P766">
        <v>32</v>
      </c>
      <c r="Q766">
        <v>22</v>
      </c>
      <c r="R766">
        <v>7</v>
      </c>
      <c r="S766">
        <v>4</v>
      </c>
      <c r="T766">
        <v>0</v>
      </c>
      <c r="U766" s="1">
        <v>1</v>
      </c>
    </row>
    <row r="767" spans="1:21" x14ac:dyDescent="0.3">
      <c r="A767" t="s">
        <v>254</v>
      </c>
      <c r="B767" t="s">
        <v>256</v>
      </c>
      <c r="C767" s="2" t="s">
        <v>21</v>
      </c>
      <c r="D767" s="1">
        <v>10307</v>
      </c>
      <c r="E767">
        <v>139</v>
      </c>
      <c r="F767">
        <v>103</v>
      </c>
      <c r="G767">
        <v>72</v>
      </c>
      <c r="H767">
        <v>484</v>
      </c>
      <c r="I767" s="1">
        <v>1949</v>
      </c>
      <c r="J767" s="1">
        <v>1994</v>
      </c>
      <c r="K767" s="1">
        <v>1794</v>
      </c>
      <c r="L767" s="1">
        <v>1457</v>
      </c>
      <c r="M767">
        <v>822</v>
      </c>
      <c r="N767">
        <v>461</v>
      </c>
      <c r="O767">
        <v>371</v>
      </c>
      <c r="P767">
        <v>319</v>
      </c>
      <c r="Q767">
        <v>195</v>
      </c>
      <c r="R767">
        <v>78</v>
      </c>
      <c r="S767">
        <v>38</v>
      </c>
      <c r="T767">
        <v>17</v>
      </c>
      <c r="U767" s="1">
        <v>14</v>
      </c>
    </row>
    <row r="768" spans="1:21" x14ac:dyDescent="0.3">
      <c r="A768" t="s">
        <v>254</v>
      </c>
      <c r="B768" t="s">
        <v>256</v>
      </c>
      <c r="C768" s="2" t="s">
        <v>24</v>
      </c>
      <c r="D768" s="1">
        <v>7186</v>
      </c>
      <c r="E768">
        <v>72</v>
      </c>
      <c r="F768">
        <v>54</v>
      </c>
      <c r="G768">
        <v>44</v>
      </c>
      <c r="H768">
        <v>357</v>
      </c>
      <c r="I768" s="1">
        <v>1293</v>
      </c>
      <c r="J768" s="1">
        <v>1514</v>
      </c>
      <c r="K768" s="1">
        <v>1421</v>
      </c>
      <c r="L768" s="1">
        <v>1127</v>
      </c>
      <c r="M768">
        <v>576</v>
      </c>
      <c r="N768">
        <v>248</v>
      </c>
      <c r="O768">
        <v>176</v>
      </c>
      <c r="P768">
        <v>140</v>
      </c>
      <c r="Q768">
        <v>86</v>
      </c>
      <c r="R768">
        <v>36</v>
      </c>
      <c r="S768">
        <v>21</v>
      </c>
      <c r="T768">
        <v>10</v>
      </c>
      <c r="U768" s="1">
        <v>11</v>
      </c>
    </row>
    <row r="769" spans="1:21" x14ac:dyDescent="0.3">
      <c r="A769" t="s">
        <v>254</v>
      </c>
      <c r="B769" t="s">
        <v>256</v>
      </c>
      <c r="C769" s="2" t="s">
        <v>25</v>
      </c>
      <c r="D769" s="1">
        <v>3121</v>
      </c>
      <c r="E769">
        <v>67</v>
      </c>
      <c r="F769">
        <v>49</v>
      </c>
      <c r="G769">
        <v>28</v>
      </c>
      <c r="H769">
        <v>127</v>
      </c>
      <c r="I769">
        <v>656</v>
      </c>
      <c r="J769">
        <v>480</v>
      </c>
      <c r="K769">
        <v>373</v>
      </c>
      <c r="L769">
        <v>330</v>
      </c>
      <c r="M769">
        <v>246</v>
      </c>
      <c r="N769">
        <v>213</v>
      </c>
      <c r="O769">
        <v>195</v>
      </c>
      <c r="P769">
        <v>179</v>
      </c>
      <c r="Q769">
        <v>109</v>
      </c>
      <c r="R769">
        <v>42</v>
      </c>
      <c r="S769">
        <v>17</v>
      </c>
      <c r="T769">
        <v>7</v>
      </c>
      <c r="U769" s="1">
        <v>3</v>
      </c>
    </row>
    <row r="770" spans="1:21" x14ac:dyDescent="0.3">
      <c r="A770" t="s">
        <v>254</v>
      </c>
      <c r="B770" t="s">
        <v>257</v>
      </c>
      <c r="C770" s="2" t="s">
        <v>21</v>
      </c>
      <c r="D770" s="1">
        <v>3564</v>
      </c>
      <c r="E770">
        <v>90</v>
      </c>
      <c r="F770">
        <v>54</v>
      </c>
      <c r="G770">
        <v>27</v>
      </c>
      <c r="H770">
        <v>29</v>
      </c>
      <c r="I770">
        <v>304</v>
      </c>
      <c r="J770">
        <v>832</v>
      </c>
      <c r="K770">
        <v>933</v>
      </c>
      <c r="L770">
        <v>609</v>
      </c>
      <c r="M770">
        <v>330</v>
      </c>
      <c r="N770">
        <v>151</v>
      </c>
      <c r="O770">
        <v>58</v>
      </c>
      <c r="P770">
        <v>70</v>
      </c>
      <c r="Q770">
        <v>54</v>
      </c>
      <c r="R770">
        <v>14</v>
      </c>
      <c r="S770">
        <v>4</v>
      </c>
      <c r="T770">
        <v>3</v>
      </c>
      <c r="U770" s="1">
        <v>2</v>
      </c>
    </row>
    <row r="771" spans="1:21" x14ac:dyDescent="0.3">
      <c r="A771" t="s">
        <v>254</v>
      </c>
      <c r="B771" t="s">
        <v>257</v>
      </c>
      <c r="C771" s="2" t="s">
        <v>24</v>
      </c>
      <c r="D771" s="1">
        <v>2390</v>
      </c>
      <c r="E771">
        <v>40</v>
      </c>
      <c r="F771">
        <v>28</v>
      </c>
      <c r="G771">
        <v>10</v>
      </c>
      <c r="H771">
        <v>13</v>
      </c>
      <c r="I771">
        <v>185</v>
      </c>
      <c r="J771">
        <v>560</v>
      </c>
      <c r="K771">
        <v>710</v>
      </c>
      <c r="L771">
        <v>461</v>
      </c>
      <c r="M771">
        <v>224</v>
      </c>
      <c r="N771">
        <v>86</v>
      </c>
      <c r="O771">
        <v>24</v>
      </c>
      <c r="P771">
        <v>22</v>
      </c>
      <c r="Q771">
        <v>18</v>
      </c>
      <c r="R771">
        <v>5</v>
      </c>
      <c r="S771">
        <v>2</v>
      </c>
      <c r="T771">
        <v>1</v>
      </c>
      <c r="U771" s="1">
        <v>1</v>
      </c>
    </row>
    <row r="772" spans="1:21" x14ac:dyDescent="0.3">
      <c r="A772" t="s">
        <v>254</v>
      </c>
      <c r="B772" t="s">
        <v>257</v>
      </c>
      <c r="C772" s="2" t="s">
        <v>25</v>
      </c>
      <c r="D772" s="1">
        <v>1174</v>
      </c>
      <c r="E772">
        <v>50</v>
      </c>
      <c r="F772">
        <v>26</v>
      </c>
      <c r="G772">
        <v>17</v>
      </c>
      <c r="H772">
        <v>16</v>
      </c>
      <c r="I772">
        <v>119</v>
      </c>
      <c r="J772">
        <v>272</v>
      </c>
      <c r="K772">
        <v>223</v>
      </c>
      <c r="L772">
        <v>148</v>
      </c>
      <c r="M772">
        <v>106</v>
      </c>
      <c r="N772">
        <v>65</v>
      </c>
      <c r="O772">
        <v>34</v>
      </c>
      <c r="P772">
        <v>48</v>
      </c>
      <c r="Q772">
        <v>36</v>
      </c>
      <c r="R772">
        <v>9</v>
      </c>
      <c r="S772">
        <v>2</v>
      </c>
      <c r="T772">
        <v>2</v>
      </c>
      <c r="U772" s="1">
        <v>1</v>
      </c>
    </row>
    <row r="773" spans="1:21" x14ac:dyDescent="0.3">
      <c r="A773" t="s">
        <v>254</v>
      </c>
      <c r="B773" t="s">
        <v>258</v>
      </c>
      <c r="C773" s="2" t="s">
        <v>21</v>
      </c>
      <c r="D773" s="1">
        <v>1543</v>
      </c>
      <c r="E773">
        <v>17</v>
      </c>
      <c r="F773">
        <v>13</v>
      </c>
      <c r="G773">
        <v>10</v>
      </c>
      <c r="H773">
        <v>15</v>
      </c>
      <c r="I773">
        <v>126</v>
      </c>
      <c r="J773">
        <v>290</v>
      </c>
      <c r="K773">
        <v>312</v>
      </c>
      <c r="L773">
        <v>228</v>
      </c>
      <c r="M773">
        <v>145</v>
      </c>
      <c r="N773">
        <v>110</v>
      </c>
      <c r="O773">
        <v>118</v>
      </c>
      <c r="P773">
        <v>80</v>
      </c>
      <c r="Q773">
        <v>50</v>
      </c>
      <c r="R773">
        <v>20</v>
      </c>
      <c r="S773">
        <v>7</v>
      </c>
      <c r="T773">
        <v>1</v>
      </c>
      <c r="U773" s="1">
        <v>1</v>
      </c>
    </row>
    <row r="774" spans="1:21" x14ac:dyDescent="0.3">
      <c r="A774" t="s">
        <v>254</v>
      </c>
      <c r="B774" t="s">
        <v>258</v>
      </c>
      <c r="C774" s="2" t="s">
        <v>24</v>
      </c>
      <c r="D774">
        <v>733</v>
      </c>
      <c r="E774">
        <v>9</v>
      </c>
      <c r="F774">
        <v>6</v>
      </c>
      <c r="G774">
        <v>8</v>
      </c>
      <c r="H774">
        <v>10</v>
      </c>
      <c r="I774">
        <v>51</v>
      </c>
      <c r="J774">
        <v>151</v>
      </c>
      <c r="K774">
        <v>179</v>
      </c>
      <c r="L774">
        <v>120</v>
      </c>
      <c r="M774">
        <v>52</v>
      </c>
      <c r="N774">
        <v>39</v>
      </c>
      <c r="O774">
        <v>45</v>
      </c>
      <c r="P774">
        <v>34</v>
      </c>
      <c r="Q774">
        <v>17</v>
      </c>
      <c r="R774">
        <v>8</v>
      </c>
      <c r="S774">
        <v>3</v>
      </c>
      <c r="T774">
        <v>1</v>
      </c>
      <c r="U774" s="1">
        <v>0</v>
      </c>
    </row>
    <row r="775" spans="1:21" x14ac:dyDescent="0.3">
      <c r="A775" t="s">
        <v>254</v>
      </c>
      <c r="B775" t="s">
        <v>258</v>
      </c>
      <c r="C775" s="2" t="s">
        <v>25</v>
      </c>
      <c r="D775">
        <v>810</v>
      </c>
      <c r="E775">
        <v>8</v>
      </c>
      <c r="F775">
        <v>7</v>
      </c>
      <c r="G775">
        <v>2</v>
      </c>
      <c r="H775">
        <v>5</v>
      </c>
      <c r="I775">
        <v>75</v>
      </c>
      <c r="J775">
        <v>139</v>
      </c>
      <c r="K775">
        <v>133</v>
      </c>
      <c r="L775">
        <v>108</v>
      </c>
      <c r="M775">
        <v>93</v>
      </c>
      <c r="N775">
        <v>71</v>
      </c>
      <c r="O775">
        <v>73</v>
      </c>
      <c r="P775">
        <v>46</v>
      </c>
      <c r="Q775">
        <v>33</v>
      </c>
      <c r="R775">
        <v>12</v>
      </c>
      <c r="S775">
        <v>4</v>
      </c>
      <c r="T775">
        <v>0</v>
      </c>
      <c r="U775" s="1">
        <v>1</v>
      </c>
    </row>
    <row r="776" spans="1:21" x14ac:dyDescent="0.3">
      <c r="A776" t="s">
        <v>254</v>
      </c>
      <c r="B776" t="s">
        <v>259</v>
      </c>
      <c r="C776" s="2" t="s">
        <v>21</v>
      </c>
      <c r="D776">
        <v>375</v>
      </c>
      <c r="E776">
        <v>2</v>
      </c>
      <c r="F776">
        <v>0</v>
      </c>
      <c r="G776">
        <v>2</v>
      </c>
      <c r="H776">
        <v>3</v>
      </c>
      <c r="I776">
        <v>36</v>
      </c>
      <c r="J776">
        <v>49</v>
      </c>
      <c r="K776">
        <v>67</v>
      </c>
      <c r="L776">
        <v>60</v>
      </c>
      <c r="M776">
        <v>66</v>
      </c>
      <c r="N776">
        <v>34</v>
      </c>
      <c r="O776">
        <v>24</v>
      </c>
      <c r="P776">
        <v>18</v>
      </c>
      <c r="Q776">
        <v>4</v>
      </c>
      <c r="R776">
        <v>4</v>
      </c>
      <c r="S776">
        <v>5</v>
      </c>
      <c r="T776">
        <v>0</v>
      </c>
      <c r="U776" s="1">
        <v>1</v>
      </c>
    </row>
    <row r="777" spans="1:21" x14ac:dyDescent="0.3">
      <c r="A777" t="s">
        <v>254</v>
      </c>
      <c r="B777" t="s">
        <v>259</v>
      </c>
      <c r="C777" s="2" t="s">
        <v>24</v>
      </c>
      <c r="D777">
        <v>200</v>
      </c>
      <c r="E777">
        <v>0</v>
      </c>
      <c r="F777">
        <v>0</v>
      </c>
      <c r="G777">
        <v>0</v>
      </c>
      <c r="H777">
        <v>0</v>
      </c>
      <c r="I777">
        <v>27</v>
      </c>
      <c r="J777">
        <v>29</v>
      </c>
      <c r="K777">
        <v>36</v>
      </c>
      <c r="L777">
        <v>39</v>
      </c>
      <c r="M777">
        <v>35</v>
      </c>
      <c r="N777">
        <v>14</v>
      </c>
      <c r="O777">
        <v>9</v>
      </c>
      <c r="P777">
        <v>5</v>
      </c>
      <c r="Q777">
        <v>0</v>
      </c>
      <c r="R777">
        <v>2</v>
      </c>
      <c r="S777">
        <v>3</v>
      </c>
      <c r="T777">
        <v>0</v>
      </c>
      <c r="U777" s="1">
        <v>1</v>
      </c>
    </row>
    <row r="778" spans="1:21" x14ac:dyDescent="0.3">
      <c r="A778" t="s">
        <v>254</v>
      </c>
      <c r="B778" t="s">
        <v>259</v>
      </c>
      <c r="C778" s="2" t="s">
        <v>25</v>
      </c>
      <c r="D778">
        <v>175</v>
      </c>
      <c r="E778">
        <v>2</v>
      </c>
      <c r="F778">
        <v>0</v>
      </c>
      <c r="G778">
        <v>2</v>
      </c>
      <c r="H778">
        <v>3</v>
      </c>
      <c r="I778">
        <v>9</v>
      </c>
      <c r="J778">
        <v>20</v>
      </c>
      <c r="K778">
        <v>31</v>
      </c>
      <c r="L778">
        <v>21</v>
      </c>
      <c r="M778">
        <v>31</v>
      </c>
      <c r="N778">
        <v>20</v>
      </c>
      <c r="O778">
        <v>15</v>
      </c>
      <c r="P778">
        <v>13</v>
      </c>
      <c r="Q778">
        <v>4</v>
      </c>
      <c r="R778">
        <v>2</v>
      </c>
      <c r="S778">
        <v>2</v>
      </c>
      <c r="T778">
        <v>0</v>
      </c>
      <c r="U778" s="1">
        <v>0</v>
      </c>
    </row>
    <row r="779" spans="1:21" x14ac:dyDescent="0.3">
      <c r="A779" t="s">
        <v>254</v>
      </c>
      <c r="B779" t="s">
        <v>260</v>
      </c>
      <c r="C779" s="2" t="s">
        <v>21</v>
      </c>
      <c r="D779" s="1">
        <v>1492</v>
      </c>
      <c r="E779">
        <v>16</v>
      </c>
      <c r="F779">
        <v>9</v>
      </c>
      <c r="G779">
        <v>6</v>
      </c>
      <c r="H779">
        <v>6</v>
      </c>
      <c r="I779">
        <v>136</v>
      </c>
      <c r="J779">
        <v>316</v>
      </c>
      <c r="K779">
        <v>377</v>
      </c>
      <c r="L779">
        <v>273</v>
      </c>
      <c r="M779">
        <v>138</v>
      </c>
      <c r="N779">
        <v>76</v>
      </c>
      <c r="O779">
        <v>51</v>
      </c>
      <c r="P779">
        <v>40</v>
      </c>
      <c r="Q779">
        <v>33</v>
      </c>
      <c r="R779">
        <v>11</v>
      </c>
      <c r="S779">
        <v>1</v>
      </c>
      <c r="T779">
        <v>2</v>
      </c>
      <c r="U779" s="1">
        <v>1</v>
      </c>
    </row>
    <row r="780" spans="1:21" x14ac:dyDescent="0.3">
      <c r="A780" t="s">
        <v>254</v>
      </c>
      <c r="B780" t="s">
        <v>260</v>
      </c>
      <c r="C780" s="2" t="s">
        <v>24</v>
      </c>
      <c r="D780" s="1">
        <v>1007</v>
      </c>
      <c r="E780">
        <v>7</v>
      </c>
      <c r="F780">
        <v>8</v>
      </c>
      <c r="G780">
        <v>4</v>
      </c>
      <c r="H780">
        <v>4</v>
      </c>
      <c r="I780">
        <v>106</v>
      </c>
      <c r="J780">
        <v>225</v>
      </c>
      <c r="K780">
        <v>280</v>
      </c>
      <c r="L780">
        <v>213</v>
      </c>
      <c r="M780">
        <v>86</v>
      </c>
      <c r="N780">
        <v>33</v>
      </c>
      <c r="O780">
        <v>18</v>
      </c>
      <c r="P780">
        <v>12</v>
      </c>
      <c r="Q780">
        <v>9</v>
      </c>
      <c r="R780">
        <v>1</v>
      </c>
      <c r="S780">
        <v>1</v>
      </c>
      <c r="T780">
        <v>0</v>
      </c>
      <c r="U780" s="1">
        <v>0</v>
      </c>
    </row>
    <row r="781" spans="1:21" x14ac:dyDescent="0.3">
      <c r="A781" t="s">
        <v>254</v>
      </c>
      <c r="B781" t="s">
        <v>260</v>
      </c>
      <c r="C781" s="2" t="s">
        <v>25</v>
      </c>
      <c r="D781">
        <v>485</v>
      </c>
      <c r="E781">
        <v>9</v>
      </c>
      <c r="F781">
        <v>1</v>
      </c>
      <c r="G781">
        <v>2</v>
      </c>
      <c r="H781">
        <v>2</v>
      </c>
      <c r="I781">
        <v>30</v>
      </c>
      <c r="J781">
        <v>91</v>
      </c>
      <c r="K781">
        <v>97</v>
      </c>
      <c r="L781">
        <v>60</v>
      </c>
      <c r="M781">
        <v>52</v>
      </c>
      <c r="N781">
        <v>43</v>
      </c>
      <c r="O781">
        <v>33</v>
      </c>
      <c r="P781">
        <v>28</v>
      </c>
      <c r="Q781">
        <v>24</v>
      </c>
      <c r="R781">
        <v>10</v>
      </c>
      <c r="S781">
        <v>0</v>
      </c>
      <c r="T781">
        <v>2</v>
      </c>
      <c r="U781" s="1">
        <v>1</v>
      </c>
    </row>
    <row r="782" spans="1:21" x14ac:dyDescent="0.3">
      <c r="A782" t="s">
        <v>254</v>
      </c>
      <c r="B782" t="s">
        <v>261</v>
      </c>
      <c r="C782" s="2" t="s">
        <v>21</v>
      </c>
      <c r="D782">
        <v>499</v>
      </c>
      <c r="E782">
        <v>7</v>
      </c>
      <c r="F782">
        <v>9</v>
      </c>
      <c r="G782">
        <v>1</v>
      </c>
      <c r="H782">
        <v>5</v>
      </c>
      <c r="I782">
        <v>39</v>
      </c>
      <c r="J782">
        <v>102</v>
      </c>
      <c r="K782">
        <v>107</v>
      </c>
      <c r="L782">
        <v>73</v>
      </c>
      <c r="M782">
        <v>41</v>
      </c>
      <c r="N782">
        <v>30</v>
      </c>
      <c r="O782">
        <v>28</v>
      </c>
      <c r="P782">
        <v>22</v>
      </c>
      <c r="Q782">
        <v>24</v>
      </c>
      <c r="R782">
        <v>8</v>
      </c>
      <c r="S782">
        <v>1</v>
      </c>
      <c r="T782">
        <v>2</v>
      </c>
      <c r="U782" s="1">
        <v>0</v>
      </c>
    </row>
    <row r="783" spans="1:21" x14ac:dyDescent="0.3">
      <c r="A783" t="s">
        <v>254</v>
      </c>
      <c r="B783" t="s">
        <v>261</v>
      </c>
      <c r="C783" s="2" t="s">
        <v>24</v>
      </c>
      <c r="D783">
        <v>253</v>
      </c>
      <c r="E783">
        <v>3</v>
      </c>
      <c r="F783">
        <v>4</v>
      </c>
      <c r="G783">
        <v>0</v>
      </c>
      <c r="H783">
        <v>2</v>
      </c>
      <c r="I783">
        <v>22</v>
      </c>
      <c r="J783">
        <v>62</v>
      </c>
      <c r="K783">
        <v>68</v>
      </c>
      <c r="L783">
        <v>41</v>
      </c>
      <c r="M783">
        <v>20</v>
      </c>
      <c r="N783">
        <v>7</v>
      </c>
      <c r="O783">
        <v>9</v>
      </c>
      <c r="P783">
        <v>5</v>
      </c>
      <c r="Q783">
        <v>5</v>
      </c>
      <c r="R783">
        <v>4</v>
      </c>
      <c r="S783">
        <v>0</v>
      </c>
      <c r="T783">
        <v>1</v>
      </c>
      <c r="U783" s="1">
        <v>0</v>
      </c>
    </row>
    <row r="784" spans="1:21" x14ac:dyDescent="0.3">
      <c r="A784" t="s">
        <v>254</v>
      </c>
      <c r="B784" t="s">
        <v>261</v>
      </c>
      <c r="C784" s="2" t="s">
        <v>25</v>
      </c>
      <c r="D784">
        <v>246</v>
      </c>
      <c r="E784">
        <v>4</v>
      </c>
      <c r="F784">
        <v>5</v>
      </c>
      <c r="G784">
        <v>1</v>
      </c>
      <c r="H784">
        <v>3</v>
      </c>
      <c r="I784">
        <v>17</v>
      </c>
      <c r="J784">
        <v>40</v>
      </c>
      <c r="K784">
        <v>39</v>
      </c>
      <c r="L784">
        <v>32</v>
      </c>
      <c r="M784">
        <v>21</v>
      </c>
      <c r="N784">
        <v>23</v>
      </c>
      <c r="O784">
        <v>19</v>
      </c>
      <c r="P784">
        <v>17</v>
      </c>
      <c r="Q784">
        <v>19</v>
      </c>
      <c r="R784">
        <v>4</v>
      </c>
      <c r="S784">
        <v>1</v>
      </c>
      <c r="T784">
        <v>1</v>
      </c>
      <c r="U784" s="1">
        <v>0</v>
      </c>
    </row>
    <row r="785" spans="1:21" x14ac:dyDescent="0.3">
      <c r="A785" t="s">
        <v>254</v>
      </c>
      <c r="B785" t="s">
        <v>262</v>
      </c>
      <c r="C785" s="2" t="s">
        <v>21</v>
      </c>
      <c r="D785" s="1">
        <v>5334</v>
      </c>
      <c r="E785">
        <v>61</v>
      </c>
      <c r="F785">
        <v>39</v>
      </c>
      <c r="G785">
        <v>16</v>
      </c>
      <c r="H785">
        <v>193</v>
      </c>
      <c r="I785" s="1">
        <v>1384</v>
      </c>
      <c r="J785" s="1">
        <v>1475</v>
      </c>
      <c r="K785">
        <v>949</v>
      </c>
      <c r="L785">
        <v>545</v>
      </c>
      <c r="M785">
        <v>274</v>
      </c>
      <c r="N785">
        <v>115</v>
      </c>
      <c r="O785">
        <v>94</v>
      </c>
      <c r="P785">
        <v>105</v>
      </c>
      <c r="Q785">
        <v>61</v>
      </c>
      <c r="R785">
        <v>14</v>
      </c>
      <c r="S785">
        <v>5</v>
      </c>
      <c r="T785">
        <v>3</v>
      </c>
      <c r="U785" s="1">
        <v>1</v>
      </c>
    </row>
    <row r="786" spans="1:21" x14ac:dyDescent="0.3">
      <c r="A786" t="s">
        <v>254</v>
      </c>
      <c r="B786" t="s">
        <v>262</v>
      </c>
      <c r="C786" s="2" t="s">
        <v>24</v>
      </c>
      <c r="D786" s="1">
        <v>3438</v>
      </c>
      <c r="E786">
        <v>31</v>
      </c>
      <c r="F786">
        <v>21</v>
      </c>
      <c r="G786">
        <v>14</v>
      </c>
      <c r="H786">
        <v>147</v>
      </c>
      <c r="I786">
        <v>904</v>
      </c>
      <c r="J786" s="1">
        <v>1042</v>
      </c>
      <c r="K786">
        <v>633</v>
      </c>
      <c r="L786">
        <v>344</v>
      </c>
      <c r="M786">
        <v>149</v>
      </c>
      <c r="N786">
        <v>51</v>
      </c>
      <c r="O786">
        <v>32</v>
      </c>
      <c r="P786">
        <v>41</v>
      </c>
      <c r="Q786">
        <v>19</v>
      </c>
      <c r="R786">
        <v>7</v>
      </c>
      <c r="S786">
        <v>2</v>
      </c>
      <c r="T786">
        <v>1</v>
      </c>
      <c r="U786" s="1">
        <v>0</v>
      </c>
    </row>
    <row r="787" spans="1:21" x14ac:dyDescent="0.3">
      <c r="A787" t="s">
        <v>254</v>
      </c>
      <c r="B787" t="s">
        <v>262</v>
      </c>
      <c r="C787" s="2" t="s">
        <v>25</v>
      </c>
      <c r="D787" s="1">
        <v>1896</v>
      </c>
      <c r="E787">
        <v>30</v>
      </c>
      <c r="F787">
        <v>18</v>
      </c>
      <c r="G787">
        <v>2</v>
      </c>
      <c r="H787">
        <v>46</v>
      </c>
      <c r="I787">
        <v>480</v>
      </c>
      <c r="J787">
        <v>433</v>
      </c>
      <c r="K787">
        <v>316</v>
      </c>
      <c r="L787">
        <v>201</v>
      </c>
      <c r="M787">
        <v>125</v>
      </c>
      <c r="N787">
        <v>64</v>
      </c>
      <c r="O787">
        <v>62</v>
      </c>
      <c r="P787">
        <v>64</v>
      </c>
      <c r="Q787">
        <v>42</v>
      </c>
      <c r="R787">
        <v>7</v>
      </c>
      <c r="S787">
        <v>3</v>
      </c>
      <c r="T787">
        <v>2</v>
      </c>
      <c r="U787" s="1">
        <v>1</v>
      </c>
    </row>
    <row r="788" spans="1:21" x14ac:dyDescent="0.3">
      <c r="A788" t="s">
        <v>254</v>
      </c>
      <c r="B788" t="s">
        <v>263</v>
      </c>
      <c r="C788" s="2" t="s">
        <v>21</v>
      </c>
      <c r="D788" s="1">
        <v>7268</v>
      </c>
      <c r="E788">
        <v>113</v>
      </c>
      <c r="F788">
        <v>61</v>
      </c>
      <c r="G788">
        <v>40</v>
      </c>
      <c r="H788">
        <v>280</v>
      </c>
      <c r="I788" s="1">
        <v>1703</v>
      </c>
      <c r="J788" s="1">
        <v>1692</v>
      </c>
      <c r="K788" s="1">
        <v>1217</v>
      </c>
      <c r="L788">
        <v>746</v>
      </c>
      <c r="M788">
        <v>425</v>
      </c>
      <c r="N788">
        <v>280</v>
      </c>
      <c r="O788">
        <v>207</v>
      </c>
      <c r="P788">
        <v>222</v>
      </c>
      <c r="Q788">
        <v>155</v>
      </c>
      <c r="R788">
        <v>74</v>
      </c>
      <c r="S788">
        <v>30</v>
      </c>
      <c r="T788">
        <v>12</v>
      </c>
      <c r="U788" s="1">
        <v>11</v>
      </c>
    </row>
    <row r="789" spans="1:21" x14ac:dyDescent="0.3">
      <c r="A789" t="s">
        <v>254</v>
      </c>
      <c r="B789" t="s">
        <v>263</v>
      </c>
      <c r="C789" s="2" t="s">
        <v>24</v>
      </c>
      <c r="D789" s="1">
        <v>4081</v>
      </c>
      <c r="E789">
        <v>54</v>
      </c>
      <c r="F789">
        <v>34</v>
      </c>
      <c r="G789">
        <v>19</v>
      </c>
      <c r="H789">
        <v>158</v>
      </c>
      <c r="I789">
        <v>946</v>
      </c>
      <c r="J789" s="1">
        <v>1020</v>
      </c>
      <c r="K789">
        <v>764</v>
      </c>
      <c r="L789">
        <v>469</v>
      </c>
      <c r="M789">
        <v>228</v>
      </c>
      <c r="N789">
        <v>130</v>
      </c>
      <c r="O789">
        <v>68</v>
      </c>
      <c r="P789">
        <v>84</v>
      </c>
      <c r="Q789">
        <v>53</v>
      </c>
      <c r="R789">
        <v>32</v>
      </c>
      <c r="S789">
        <v>13</v>
      </c>
      <c r="T789">
        <v>5</v>
      </c>
      <c r="U789" s="1">
        <v>4</v>
      </c>
    </row>
    <row r="790" spans="1:21" x14ac:dyDescent="0.3">
      <c r="A790" t="s">
        <v>254</v>
      </c>
      <c r="B790" t="s">
        <v>263</v>
      </c>
      <c r="C790" s="2" t="s">
        <v>25</v>
      </c>
      <c r="D790" s="1">
        <v>3187</v>
      </c>
      <c r="E790">
        <v>59</v>
      </c>
      <c r="F790">
        <v>27</v>
      </c>
      <c r="G790">
        <v>21</v>
      </c>
      <c r="H790">
        <v>122</v>
      </c>
      <c r="I790">
        <v>757</v>
      </c>
      <c r="J790">
        <v>672</v>
      </c>
      <c r="K790">
        <v>453</v>
      </c>
      <c r="L790">
        <v>277</v>
      </c>
      <c r="M790">
        <v>197</v>
      </c>
      <c r="N790">
        <v>150</v>
      </c>
      <c r="O790">
        <v>139</v>
      </c>
      <c r="P790">
        <v>138</v>
      </c>
      <c r="Q790">
        <v>102</v>
      </c>
      <c r="R790">
        <v>42</v>
      </c>
      <c r="S790">
        <v>17</v>
      </c>
      <c r="T790">
        <v>7</v>
      </c>
      <c r="U790" s="1">
        <v>7</v>
      </c>
    </row>
    <row r="791" spans="1:21" x14ac:dyDescent="0.3">
      <c r="A791" t="s">
        <v>254</v>
      </c>
      <c r="B791" t="s">
        <v>264</v>
      </c>
      <c r="C791" s="2" t="s">
        <v>21</v>
      </c>
      <c r="D791">
        <v>464</v>
      </c>
      <c r="E791">
        <v>2</v>
      </c>
      <c r="F791">
        <v>2</v>
      </c>
      <c r="G791">
        <v>1</v>
      </c>
      <c r="H791">
        <v>0</v>
      </c>
      <c r="I791">
        <v>41</v>
      </c>
      <c r="J791">
        <v>91</v>
      </c>
      <c r="K791">
        <v>111</v>
      </c>
      <c r="L791">
        <v>77</v>
      </c>
      <c r="M791">
        <v>48</v>
      </c>
      <c r="N791">
        <v>27</v>
      </c>
      <c r="O791">
        <v>23</v>
      </c>
      <c r="P791">
        <v>25</v>
      </c>
      <c r="Q791">
        <v>9</v>
      </c>
      <c r="R791">
        <v>4</v>
      </c>
      <c r="S791">
        <v>1</v>
      </c>
      <c r="T791">
        <v>0</v>
      </c>
      <c r="U791" s="1">
        <v>2</v>
      </c>
    </row>
    <row r="792" spans="1:21" x14ac:dyDescent="0.3">
      <c r="A792" t="s">
        <v>254</v>
      </c>
      <c r="B792" t="s">
        <v>264</v>
      </c>
      <c r="C792" s="2" t="s">
        <v>24</v>
      </c>
      <c r="D792">
        <v>239</v>
      </c>
      <c r="E792">
        <v>0</v>
      </c>
      <c r="F792">
        <v>2</v>
      </c>
      <c r="G792">
        <v>0</v>
      </c>
      <c r="H792">
        <v>0</v>
      </c>
      <c r="I792">
        <v>13</v>
      </c>
      <c r="J792">
        <v>47</v>
      </c>
      <c r="K792">
        <v>82</v>
      </c>
      <c r="L792">
        <v>45</v>
      </c>
      <c r="M792">
        <v>17</v>
      </c>
      <c r="N792">
        <v>10</v>
      </c>
      <c r="O792">
        <v>7</v>
      </c>
      <c r="P792">
        <v>8</v>
      </c>
      <c r="Q792">
        <v>4</v>
      </c>
      <c r="R792">
        <v>2</v>
      </c>
      <c r="S792">
        <v>1</v>
      </c>
      <c r="T792">
        <v>0</v>
      </c>
      <c r="U792" s="1">
        <v>1</v>
      </c>
    </row>
    <row r="793" spans="1:21" x14ac:dyDescent="0.3">
      <c r="A793" t="s">
        <v>254</v>
      </c>
      <c r="B793" t="s">
        <v>264</v>
      </c>
      <c r="C793" s="2" t="s">
        <v>25</v>
      </c>
      <c r="D793">
        <v>225</v>
      </c>
      <c r="E793">
        <v>2</v>
      </c>
      <c r="F793">
        <v>0</v>
      </c>
      <c r="G793">
        <v>1</v>
      </c>
      <c r="H793">
        <v>0</v>
      </c>
      <c r="I793">
        <v>28</v>
      </c>
      <c r="J793">
        <v>44</v>
      </c>
      <c r="K793">
        <v>29</v>
      </c>
      <c r="L793">
        <v>32</v>
      </c>
      <c r="M793">
        <v>31</v>
      </c>
      <c r="N793">
        <v>17</v>
      </c>
      <c r="O793">
        <v>16</v>
      </c>
      <c r="P793">
        <v>17</v>
      </c>
      <c r="Q793">
        <v>5</v>
      </c>
      <c r="R793">
        <v>2</v>
      </c>
      <c r="S793">
        <v>0</v>
      </c>
      <c r="T793">
        <v>0</v>
      </c>
      <c r="U793" s="1">
        <v>1</v>
      </c>
    </row>
    <row r="794" spans="1:21" x14ac:dyDescent="0.3">
      <c r="A794" t="s">
        <v>254</v>
      </c>
      <c r="B794" t="s">
        <v>265</v>
      </c>
      <c r="C794" s="2" t="s">
        <v>21</v>
      </c>
      <c r="D794">
        <v>514</v>
      </c>
      <c r="E794">
        <v>4</v>
      </c>
      <c r="F794">
        <v>5</v>
      </c>
      <c r="G794">
        <v>0</v>
      </c>
      <c r="H794">
        <v>4</v>
      </c>
      <c r="I794">
        <v>47</v>
      </c>
      <c r="J794">
        <v>121</v>
      </c>
      <c r="K794">
        <v>82</v>
      </c>
      <c r="L794">
        <v>85</v>
      </c>
      <c r="M794">
        <v>67</v>
      </c>
      <c r="N794">
        <v>36</v>
      </c>
      <c r="O794">
        <v>11</v>
      </c>
      <c r="P794">
        <v>27</v>
      </c>
      <c r="Q794">
        <v>18</v>
      </c>
      <c r="R794">
        <v>6</v>
      </c>
      <c r="S794">
        <v>1</v>
      </c>
      <c r="T794">
        <v>0</v>
      </c>
      <c r="U794" s="1">
        <v>0</v>
      </c>
    </row>
    <row r="795" spans="1:21" x14ac:dyDescent="0.3">
      <c r="A795" t="s">
        <v>254</v>
      </c>
      <c r="B795" t="s">
        <v>265</v>
      </c>
      <c r="C795" s="2" t="s">
        <v>24</v>
      </c>
      <c r="D795">
        <v>275</v>
      </c>
      <c r="E795">
        <v>1</v>
      </c>
      <c r="F795">
        <v>4</v>
      </c>
      <c r="G795">
        <v>0</v>
      </c>
      <c r="H795">
        <v>2</v>
      </c>
      <c r="I795">
        <v>25</v>
      </c>
      <c r="J795">
        <v>70</v>
      </c>
      <c r="K795">
        <v>48</v>
      </c>
      <c r="L795">
        <v>54</v>
      </c>
      <c r="M795">
        <v>32</v>
      </c>
      <c r="N795">
        <v>22</v>
      </c>
      <c r="O795">
        <v>5</v>
      </c>
      <c r="P795">
        <v>6</v>
      </c>
      <c r="Q795">
        <v>5</v>
      </c>
      <c r="R795">
        <v>0</v>
      </c>
      <c r="S795">
        <v>1</v>
      </c>
      <c r="T795">
        <v>0</v>
      </c>
      <c r="U795" s="1">
        <v>0</v>
      </c>
    </row>
    <row r="796" spans="1:21" x14ac:dyDescent="0.3">
      <c r="A796" t="s">
        <v>254</v>
      </c>
      <c r="B796" t="s">
        <v>265</v>
      </c>
      <c r="C796" s="2" t="s">
        <v>25</v>
      </c>
      <c r="D796">
        <v>239</v>
      </c>
      <c r="E796">
        <v>3</v>
      </c>
      <c r="F796">
        <v>1</v>
      </c>
      <c r="G796">
        <v>0</v>
      </c>
      <c r="H796">
        <v>2</v>
      </c>
      <c r="I796">
        <v>22</v>
      </c>
      <c r="J796">
        <v>51</v>
      </c>
      <c r="K796">
        <v>34</v>
      </c>
      <c r="L796">
        <v>31</v>
      </c>
      <c r="M796">
        <v>35</v>
      </c>
      <c r="N796">
        <v>14</v>
      </c>
      <c r="O796">
        <v>6</v>
      </c>
      <c r="P796">
        <v>21</v>
      </c>
      <c r="Q796">
        <v>13</v>
      </c>
      <c r="R796">
        <v>6</v>
      </c>
      <c r="S796">
        <v>0</v>
      </c>
      <c r="T796">
        <v>0</v>
      </c>
      <c r="U796" s="1">
        <v>0</v>
      </c>
    </row>
    <row r="797" spans="1:21" x14ac:dyDescent="0.3">
      <c r="A797" t="s">
        <v>254</v>
      </c>
      <c r="B797" t="s">
        <v>266</v>
      </c>
      <c r="C797" s="2" t="s">
        <v>21</v>
      </c>
      <c r="D797" s="1">
        <v>6231</v>
      </c>
      <c r="E797">
        <v>157</v>
      </c>
      <c r="F797">
        <v>115</v>
      </c>
      <c r="G797">
        <v>78</v>
      </c>
      <c r="H797">
        <v>292</v>
      </c>
      <c r="I797" s="1">
        <v>1492</v>
      </c>
      <c r="J797" s="1">
        <v>1563</v>
      </c>
      <c r="K797">
        <v>954</v>
      </c>
      <c r="L797">
        <v>608</v>
      </c>
      <c r="M797">
        <v>270</v>
      </c>
      <c r="N797">
        <v>212</v>
      </c>
      <c r="O797">
        <v>147</v>
      </c>
      <c r="P797">
        <v>184</v>
      </c>
      <c r="Q797">
        <v>93</v>
      </c>
      <c r="R797">
        <v>41</v>
      </c>
      <c r="S797">
        <v>15</v>
      </c>
      <c r="T797">
        <v>7</v>
      </c>
      <c r="U797" s="1">
        <v>3</v>
      </c>
    </row>
    <row r="798" spans="1:21" x14ac:dyDescent="0.3">
      <c r="A798" t="s">
        <v>254</v>
      </c>
      <c r="B798" t="s">
        <v>266</v>
      </c>
      <c r="C798" s="2" t="s">
        <v>24</v>
      </c>
      <c r="D798" s="1">
        <v>3080</v>
      </c>
      <c r="E798">
        <v>74</v>
      </c>
      <c r="F798">
        <v>65</v>
      </c>
      <c r="G798">
        <v>34</v>
      </c>
      <c r="H798">
        <v>145</v>
      </c>
      <c r="I798">
        <v>767</v>
      </c>
      <c r="J798">
        <v>826</v>
      </c>
      <c r="K798">
        <v>508</v>
      </c>
      <c r="L798">
        <v>299</v>
      </c>
      <c r="M798">
        <v>108</v>
      </c>
      <c r="N798">
        <v>79</v>
      </c>
      <c r="O798">
        <v>59</v>
      </c>
      <c r="P798">
        <v>57</v>
      </c>
      <c r="Q798">
        <v>35</v>
      </c>
      <c r="R798">
        <v>13</v>
      </c>
      <c r="S798">
        <v>6</v>
      </c>
      <c r="T798">
        <v>2</v>
      </c>
      <c r="U798" s="1">
        <v>3</v>
      </c>
    </row>
    <row r="799" spans="1:21" x14ac:dyDescent="0.3">
      <c r="A799" t="s">
        <v>254</v>
      </c>
      <c r="B799" t="s">
        <v>266</v>
      </c>
      <c r="C799" s="2" t="s">
        <v>25</v>
      </c>
      <c r="D799" s="1">
        <v>3151</v>
      </c>
      <c r="E799">
        <v>83</v>
      </c>
      <c r="F799">
        <v>50</v>
      </c>
      <c r="G799">
        <v>44</v>
      </c>
      <c r="H799">
        <v>147</v>
      </c>
      <c r="I799">
        <v>725</v>
      </c>
      <c r="J799">
        <v>737</v>
      </c>
      <c r="K799">
        <v>446</v>
      </c>
      <c r="L799">
        <v>309</v>
      </c>
      <c r="M799">
        <v>162</v>
      </c>
      <c r="N799">
        <v>133</v>
      </c>
      <c r="O799">
        <v>88</v>
      </c>
      <c r="P799">
        <v>127</v>
      </c>
      <c r="Q799">
        <v>58</v>
      </c>
      <c r="R799">
        <v>28</v>
      </c>
      <c r="S799">
        <v>9</v>
      </c>
      <c r="T799">
        <v>5</v>
      </c>
      <c r="U799" s="1">
        <v>0</v>
      </c>
    </row>
    <row r="800" spans="1:21" x14ac:dyDescent="0.3">
      <c r="A800" t="s">
        <v>254</v>
      </c>
      <c r="B800" t="s">
        <v>267</v>
      </c>
      <c r="C800" s="2" t="s">
        <v>21</v>
      </c>
      <c r="D800" s="1">
        <v>5002</v>
      </c>
      <c r="E800">
        <v>77</v>
      </c>
      <c r="F800">
        <v>48</v>
      </c>
      <c r="G800">
        <v>23</v>
      </c>
      <c r="H800">
        <v>440</v>
      </c>
      <c r="I800" s="1">
        <v>1773</v>
      </c>
      <c r="J800" s="1">
        <v>1143</v>
      </c>
      <c r="K800">
        <v>441</v>
      </c>
      <c r="L800">
        <v>311</v>
      </c>
      <c r="M800">
        <v>180</v>
      </c>
      <c r="N800">
        <v>145</v>
      </c>
      <c r="O800">
        <v>146</v>
      </c>
      <c r="P800">
        <v>120</v>
      </c>
      <c r="Q800">
        <v>90</v>
      </c>
      <c r="R800">
        <v>31</v>
      </c>
      <c r="S800">
        <v>17</v>
      </c>
      <c r="T800">
        <v>6</v>
      </c>
      <c r="U800" s="1">
        <v>11</v>
      </c>
    </row>
    <row r="801" spans="1:21" x14ac:dyDescent="0.3">
      <c r="A801" t="s">
        <v>254</v>
      </c>
      <c r="B801" t="s">
        <v>267</v>
      </c>
      <c r="C801" s="2" t="s">
        <v>24</v>
      </c>
      <c r="D801" s="1">
        <v>2437</v>
      </c>
      <c r="E801">
        <v>52</v>
      </c>
      <c r="F801">
        <v>31</v>
      </c>
      <c r="G801">
        <v>9</v>
      </c>
      <c r="H801">
        <v>241</v>
      </c>
      <c r="I801">
        <v>942</v>
      </c>
      <c r="J801">
        <v>599</v>
      </c>
      <c r="K801">
        <v>171</v>
      </c>
      <c r="L801">
        <v>124</v>
      </c>
      <c r="M801">
        <v>68</v>
      </c>
      <c r="N801">
        <v>51</v>
      </c>
      <c r="O801">
        <v>55</v>
      </c>
      <c r="P801">
        <v>39</v>
      </c>
      <c r="Q801">
        <v>24</v>
      </c>
      <c r="R801">
        <v>14</v>
      </c>
      <c r="S801">
        <v>7</v>
      </c>
      <c r="T801">
        <v>3</v>
      </c>
      <c r="U801" s="1">
        <v>7</v>
      </c>
    </row>
    <row r="802" spans="1:21" x14ac:dyDescent="0.3">
      <c r="A802" t="s">
        <v>254</v>
      </c>
      <c r="B802" t="s">
        <v>267</v>
      </c>
      <c r="C802" s="2" t="s">
        <v>25</v>
      </c>
      <c r="D802" s="1">
        <v>2565</v>
      </c>
      <c r="E802">
        <v>25</v>
      </c>
      <c r="F802">
        <v>17</v>
      </c>
      <c r="G802">
        <v>14</v>
      </c>
      <c r="H802">
        <v>199</v>
      </c>
      <c r="I802">
        <v>831</v>
      </c>
      <c r="J802">
        <v>544</v>
      </c>
      <c r="K802">
        <v>270</v>
      </c>
      <c r="L802">
        <v>187</v>
      </c>
      <c r="M802">
        <v>112</v>
      </c>
      <c r="N802">
        <v>94</v>
      </c>
      <c r="O802">
        <v>91</v>
      </c>
      <c r="P802">
        <v>81</v>
      </c>
      <c r="Q802">
        <v>66</v>
      </c>
      <c r="R802">
        <v>17</v>
      </c>
      <c r="S802">
        <v>10</v>
      </c>
      <c r="T802">
        <v>3</v>
      </c>
      <c r="U802" s="1">
        <v>4</v>
      </c>
    </row>
    <row r="803" spans="1:21" x14ac:dyDescent="0.3">
      <c r="A803" t="s">
        <v>254</v>
      </c>
      <c r="B803" t="s">
        <v>268</v>
      </c>
      <c r="C803" s="2" t="s">
        <v>21</v>
      </c>
      <c r="D803" s="1">
        <v>3783</v>
      </c>
      <c r="E803">
        <v>74</v>
      </c>
      <c r="F803">
        <v>34</v>
      </c>
      <c r="G803">
        <v>20</v>
      </c>
      <c r="H803">
        <v>75</v>
      </c>
      <c r="I803">
        <v>451</v>
      </c>
      <c r="J803">
        <v>845</v>
      </c>
      <c r="K803">
        <v>790</v>
      </c>
      <c r="L803">
        <v>619</v>
      </c>
      <c r="M803">
        <v>358</v>
      </c>
      <c r="N803">
        <v>163</v>
      </c>
      <c r="O803">
        <v>119</v>
      </c>
      <c r="P803">
        <v>124</v>
      </c>
      <c r="Q803">
        <v>62</v>
      </c>
      <c r="R803">
        <v>33</v>
      </c>
      <c r="S803">
        <v>12</v>
      </c>
      <c r="T803">
        <v>3</v>
      </c>
      <c r="U803" s="1">
        <v>1</v>
      </c>
    </row>
    <row r="804" spans="1:21" x14ac:dyDescent="0.3">
      <c r="A804" t="s">
        <v>254</v>
      </c>
      <c r="B804" t="s">
        <v>268</v>
      </c>
      <c r="C804" s="2" t="s">
        <v>24</v>
      </c>
      <c r="D804" s="1">
        <v>2450</v>
      </c>
      <c r="E804">
        <v>33</v>
      </c>
      <c r="F804">
        <v>18</v>
      </c>
      <c r="G804">
        <v>11</v>
      </c>
      <c r="H804">
        <v>20</v>
      </c>
      <c r="I804">
        <v>276</v>
      </c>
      <c r="J804">
        <v>623</v>
      </c>
      <c r="K804">
        <v>585</v>
      </c>
      <c r="L804">
        <v>436</v>
      </c>
      <c r="M804">
        <v>216</v>
      </c>
      <c r="N804">
        <v>87</v>
      </c>
      <c r="O804">
        <v>53</v>
      </c>
      <c r="P804">
        <v>50</v>
      </c>
      <c r="Q804">
        <v>24</v>
      </c>
      <c r="R804">
        <v>9</v>
      </c>
      <c r="S804">
        <v>6</v>
      </c>
      <c r="T804">
        <v>3</v>
      </c>
      <c r="U804" s="1">
        <v>0</v>
      </c>
    </row>
    <row r="805" spans="1:21" x14ac:dyDescent="0.3">
      <c r="A805" t="s">
        <v>254</v>
      </c>
      <c r="B805" t="s">
        <v>268</v>
      </c>
      <c r="C805" s="2" t="s">
        <v>25</v>
      </c>
      <c r="D805" s="1">
        <v>1333</v>
      </c>
      <c r="E805">
        <v>41</v>
      </c>
      <c r="F805">
        <v>16</v>
      </c>
      <c r="G805">
        <v>9</v>
      </c>
      <c r="H805">
        <v>55</v>
      </c>
      <c r="I805">
        <v>175</v>
      </c>
      <c r="J805">
        <v>222</v>
      </c>
      <c r="K805">
        <v>205</v>
      </c>
      <c r="L805">
        <v>183</v>
      </c>
      <c r="M805">
        <v>142</v>
      </c>
      <c r="N805">
        <v>76</v>
      </c>
      <c r="O805">
        <v>66</v>
      </c>
      <c r="P805">
        <v>74</v>
      </c>
      <c r="Q805">
        <v>38</v>
      </c>
      <c r="R805">
        <v>24</v>
      </c>
      <c r="S805">
        <v>6</v>
      </c>
      <c r="T805">
        <v>0</v>
      </c>
      <c r="U805" s="1">
        <v>1</v>
      </c>
    </row>
    <row r="806" spans="1:21" x14ac:dyDescent="0.3">
      <c r="A806" t="s">
        <v>254</v>
      </c>
      <c r="B806" t="s">
        <v>269</v>
      </c>
      <c r="C806" s="2" t="s">
        <v>21</v>
      </c>
      <c r="D806">
        <v>620</v>
      </c>
      <c r="E806">
        <v>4</v>
      </c>
      <c r="F806">
        <v>2</v>
      </c>
      <c r="G806">
        <v>1</v>
      </c>
      <c r="H806">
        <v>3</v>
      </c>
      <c r="I806">
        <v>46</v>
      </c>
      <c r="J806">
        <v>90</v>
      </c>
      <c r="K806">
        <v>149</v>
      </c>
      <c r="L806">
        <v>147</v>
      </c>
      <c r="M806">
        <v>82</v>
      </c>
      <c r="N806">
        <v>28</v>
      </c>
      <c r="O806">
        <v>23</v>
      </c>
      <c r="P806">
        <v>18</v>
      </c>
      <c r="Q806">
        <v>19</v>
      </c>
      <c r="R806">
        <v>7</v>
      </c>
      <c r="S806">
        <v>0</v>
      </c>
      <c r="T806">
        <v>1</v>
      </c>
      <c r="U806" s="1">
        <v>0</v>
      </c>
    </row>
    <row r="807" spans="1:21" x14ac:dyDescent="0.3">
      <c r="A807" t="s">
        <v>254</v>
      </c>
      <c r="B807" t="s">
        <v>269</v>
      </c>
      <c r="C807" s="2" t="s">
        <v>24</v>
      </c>
      <c r="D807">
        <v>363</v>
      </c>
      <c r="E807">
        <v>3</v>
      </c>
      <c r="F807">
        <v>0</v>
      </c>
      <c r="G807">
        <v>0</v>
      </c>
      <c r="H807">
        <v>1</v>
      </c>
      <c r="I807">
        <v>30</v>
      </c>
      <c r="J807">
        <v>53</v>
      </c>
      <c r="K807">
        <v>96</v>
      </c>
      <c r="L807">
        <v>103</v>
      </c>
      <c r="M807">
        <v>50</v>
      </c>
      <c r="N807">
        <v>7</v>
      </c>
      <c r="O807">
        <v>8</v>
      </c>
      <c r="P807">
        <v>4</v>
      </c>
      <c r="Q807">
        <v>3</v>
      </c>
      <c r="R807">
        <v>4</v>
      </c>
      <c r="S807">
        <v>0</v>
      </c>
      <c r="T807">
        <v>1</v>
      </c>
      <c r="U807" s="1">
        <v>0</v>
      </c>
    </row>
    <row r="808" spans="1:21" x14ac:dyDescent="0.3">
      <c r="A808" t="s">
        <v>254</v>
      </c>
      <c r="B808" t="s">
        <v>269</v>
      </c>
      <c r="C808" s="2" t="s">
        <v>25</v>
      </c>
      <c r="D808">
        <v>257</v>
      </c>
      <c r="E808">
        <v>1</v>
      </c>
      <c r="F808">
        <v>2</v>
      </c>
      <c r="G808">
        <v>1</v>
      </c>
      <c r="H808">
        <v>2</v>
      </c>
      <c r="I808">
        <v>16</v>
      </c>
      <c r="J808">
        <v>37</v>
      </c>
      <c r="K808">
        <v>53</v>
      </c>
      <c r="L808">
        <v>44</v>
      </c>
      <c r="M808">
        <v>32</v>
      </c>
      <c r="N808">
        <v>21</v>
      </c>
      <c r="O808">
        <v>15</v>
      </c>
      <c r="P808">
        <v>14</v>
      </c>
      <c r="Q808">
        <v>16</v>
      </c>
      <c r="R808">
        <v>3</v>
      </c>
      <c r="S808">
        <v>0</v>
      </c>
      <c r="T808">
        <v>0</v>
      </c>
      <c r="U808" s="1">
        <v>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2026-03-05T23:56:12Z</dcterms:created>
  <dcterms:modified xsi:type="dcterms:W3CDTF">2026-03-05T23:56:12Z</dcterms:modified>
</cp:coreProperties>
</file>