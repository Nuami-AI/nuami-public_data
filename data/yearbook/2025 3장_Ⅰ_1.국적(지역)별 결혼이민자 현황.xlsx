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31E08E5-8311-4D18-A596-EE159A739B6A}" xr6:coauthVersionLast="47" xr6:coauthVersionMax="47" xr10:uidLastSave="{00000000-0000-0000-0000-000000000000}"/>
  <bookViews>
    <workbookView xWindow="3585" yWindow="435" windowWidth="23355" windowHeight="1515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3" i="1"/>
  <c r="E380" i="1"/>
  <c r="F380" i="1"/>
  <c r="G380" i="1"/>
  <c r="H380" i="1"/>
  <c r="I380" i="1"/>
  <c r="E381" i="1"/>
  <c r="F381" i="1"/>
  <c r="G381" i="1"/>
  <c r="H381" i="1"/>
  <c r="I381" i="1"/>
  <c r="D381" i="1"/>
  <c r="D380" i="1"/>
  <c r="D360" i="1"/>
  <c r="E359" i="1"/>
  <c r="F359" i="1"/>
  <c r="G359" i="1"/>
  <c r="H359" i="1"/>
  <c r="I359" i="1"/>
  <c r="E360" i="1"/>
  <c r="F360" i="1"/>
  <c r="G360" i="1"/>
  <c r="H360" i="1"/>
  <c r="I360" i="1"/>
  <c r="D359" i="1"/>
  <c r="E226" i="1"/>
  <c r="F226" i="1"/>
  <c r="G226" i="1"/>
  <c r="G3" i="1" s="1"/>
  <c r="H226" i="1"/>
  <c r="I226" i="1"/>
  <c r="E227" i="1"/>
  <c r="F227" i="1"/>
  <c r="G227" i="1"/>
  <c r="H227" i="1"/>
  <c r="I227" i="1"/>
  <c r="D227" i="1"/>
  <c r="D226" i="1"/>
  <c r="E151" i="1"/>
  <c r="F151" i="1"/>
  <c r="G151" i="1"/>
  <c r="H151" i="1"/>
  <c r="I151" i="1"/>
  <c r="E152" i="1"/>
  <c r="F152" i="1"/>
  <c r="G152" i="1"/>
  <c r="G4" i="1" s="1"/>
  <c r="H152" i="1"/>
  <c r="I152" i="1"/>
  <c r="D152" i="1"/>
  <c r="D151" i="1"/>
  <c r="E142" i="1"/>
  <c r="F142" i="1"/>
  <c r="G142" i="1"/>
  <c r="H142" i="1"/>
  <c r="I142" i="1"/>
  <c r="E143" i="1"/>
  <c r="F143" i="1"/>
  <c r="G143" i="1"/>
  <c r="H143" i="1"/>
  <c r="I143" i="1"/>
  <c r="D143" i="1"/>
  <c r="D142" i="1"/>
  <c r="E6" i="1"/>
  <c r="E3" i="1" s="1"/>
  <c r="F6" i="1"/>
  <c r="F3" i="1" s="1"/>
  <c r="G6" i="1"/>
  <c r="H6" i="1"/>
  <c r="H3" i="1" s="1"/>
  <c r="I6" i="1"/>
  <c r="I3" i="1" s="1"/>
  <c r="E7" i="1"/>
  <c r="E4" i="1" s="1"/>
  <c r="F7" i="1"/>
  <c r="F4" i="1" s="1"/>
  <c r="G7" i="1"/>
  <c r="H7" i="1"/>
  <c r="H4" i="1" s="1"/>
  <c r="I7" i="1"/>
  <c r="I4" i="1" s="1"/>
  <c r="D7" i="1"/>
  <c r="D6" i="1"/>
</calcChain>
</file>

<file path=xl/sharedStrings.xml><?xml version="1.0" encoding="utf-8"?>
<sst xmlns="http://schemas.openxmlformats.org/spreadsheetml/2006/main" count="1442" uniqueCount="187">
  <si>
    <t>대륙</t>
  </si>
  <si>
    <t>국적</t>
  </si>
  <si>
    <t>성별</t>
  </si>
  <si>
    <t>총합계</t>
  </si>
  <si>
    <t>F2-01 (국민배우자)</t>
  </si>
  <si>
    <t>F5-02 (국민의배우자)</t>
  </si>
  <si>
    <t>F6-01 (국민의배우자)</t>
  </si>
  <si>
    <t>F6-02 (자녀양육자)</t>
  </si>
  <si>
    <t>F6-03 (혼인단절자)</t>
  </si>
  <si>
    <t>총계</t>
  </si>
  <si>
    <t>아시아주</t>
  </si>
  <si>
    <t>베트남</t>
  </si>
  <si>
    <t>남성</t>
  </si>
  <si>
    <t>여성</t>
  </si>
  <si>
    <t>중국</t>
  </si>
  <si>
    <t>한국계중국인</t>
  </si>
  <si>
    <t>일본</t>
  </si>
  <si>
    <t>필리핀</t>
  </si>
  <si>
    <t>타이</t>
  </si>
  <si>
    <t>캄보디아</t>
  </si>
  <si>
    <t>우즈베키스탄</t>
  </si>
  <si>
    <t>몽골</t>
  </si>
  <si>
    <t>타이완</t>
  </si>
  <si>
    <t>인도네시아</t>
  </si>
  <si>
    <t>라오스</t>
  </si>
  <si>
    <t>파키스탄</t>
  </si>
  <si>
    <t>네팔</t>
  </si>
  <si>
    <t>홍콩</t>
  </si>
  <si>
    <t>카자흐스탄</t>
  </si>
  <si>
    <t>튀르키예</t>
  </si>
  <si>
    <t>미얀마</t>
  </si>
  <si>
    <t>키르기즈</t>
  </si>
  <si>
    <t>말레이시아</t>
  </si>
  <si>
    <t>스리랑카</t>
  </si>
  <si>
    <t>방글라데시</t>
  </si>
  <si>
    <t>인도</t>
  </si>
  <si>
    <t>싱가포르</t>
  </si>
  <si>
    <t>이란</t>
  </si>
  <si>
    <t>이스라엘</t>
  </si>
  <si>
    <t>요르단</t>
  </si>
  <si>
    <t>타지키스탄</t>
  </si>
  <si>
    <t>시리아</t>
  </si>
  <si>
    <t>마카오</t>
  </si>
  <si>
    <t>이라크</t>
  </si>
  <si>
    <t>예멘공화국</t>
  </si>
  <si>
    <t>투르크메니스탄</t>
  </si>
  <si>
    <t>부탄</t>
  </si>
  <si>
    <t>레바논</t>
  </si>
  <si>
    <t>팔레스타인</t>
  </si>
  <si>
    <t>사우디아라비아</t>
  </si>
  <si>
    <t>아프가니스탄</t>
  </si>
  <si>
    <t>브루나이</t>
  </si>
  <si>
    <t>티모르민주공화국</t>
  </si>
  <si>
    <t>몰디브</t>
  </si>
  <si>
    <t>키프로스</t>
  </si>
  <si>
    <t>쿠웨이트</t>
  </si>
  <si>
    <t>홍콩거주난민</t>
  </si>
  <si>
    <t>카타르</t>
  </si>
  <si>
    <t>오만</t>
  </si>
  <si>
    <t>바레인</t>
  </si>
  <si>
    <t>북아메리카주</t>
  </si>
  <si>
    <t>미국</t>
  </si>
  <si>
    <t>캐나다</t>
  </si>
  <si>
    <t>남아메리카주</t>
  </si>
  <si>
    <t>브라질</t>
  </si>
  <si>
    <t>멕시코</t>
  </si>
  <si>
    <t>페루</t>
  </si>
  <si>
    <t>콜롬비아</t>
  </si>
  <si>
    <t>칠레</t>
  </si>
  <si>
    <t>아르헨티나</t>
  </si>
  <si>
    <t>베네수엘라</t>
  </si>
  <si>
    <t>에콰도르</t>
  </si>
  <si>
    <t>파라과이</t>
  </si>
  <si>
    <t>코스타리카</t>
  </si>
  <si>
    <t>볼리비아</t>
  </si>
  <si>
    <t>과테말라</t>
  </si>
  <si>
    <t>쿠바</t>
  </si>
  <si>
    <t>니카라과</t>
  </si>
  <si>
    <t>엘살바도르</t>
  </si>
  <si>
    <t>파나마</t>
  </si>
  <si>
    <t>온두라스</t>
  </si>
  <si>
    <t>우루과이</t>
  </si>
  <si>
    <t>도미니카공화국</t>
  </si>
  <si>
    <t>자메이카</t>
  </si>
  <si>
    <t>트리니다드토바고</t>
  </si>
  <si>
    <t>세인트크리스토퍼네비스</t>
  </si>
  <si>
    <t>가이아나</t>
  </si>
  <si>
    <t>아이티</t>
  </si>
  <si>
    <t>세인트빈센트그레나딘</t>
  </si>
  <si>
    <t>세인트루시아</t>
  </si>
  <si>
    <t>유럽주</t>
  </si>
  <si>
    <t>러시아(연방)</t>
  </si>
  <si>
    <t>영국</t>
  </si>
  <si>
    <t>프랑스</t>
  </si>
  <si>
    <t>독일</t>
  </si>
  <si>
    <t>우크라이나</t>
  </si>
  <si>
    <t>이탈리아</t>
  </si>
  <si>
    <t>스페인</t>
  </si>
  <si>
    <t>폴란드</t>
  </si>
  <si>
    <t>아일랜드</t>
  </si>
  <si>
    <t>네덜란드</t>
  </si>
  <si>
    <t>한국계러시아인</t>
  </si>
  <si>
    <t>스웨덴</t>
  </si>
  <si>
    <t>벨라루스</t>
  </si>
  <si>
    <t>벨기에</t>
  </si>
  <si>
    <t>스위스</t>
  </si>
  <si>
    <t>헝가리</t>
  </si>
  <si>
    <t>루마니아</t>
  </si>
  <si>
    <t>핀란드</t>
  </si>
  <si>
    <t>포르투갈</t>
  </si>
  <si>
    <t>오스트리아</t>
  </si>
  <si>
    <t>덴마크</t>
  </si>
  <si>
    <t>불가리아</t>
  </si>
  <si>
    <t>영국외지민</t>
  </si>
  <si>
    <t>그리스</t>
  </si>
  <si>
    <t>노르웨이</t>
  </si>
  <si>
    <t>체코</t>
  </si>
  <si>
    <t>아제르바이잔</t>
  </si>
  <si>
    <t>리투아니아</t>
  </si>
  <si>
    <t>조지아</t>
  </si>
  <si>
    <t>크로아티아</t>
  </si>
  <si>
    <t>라트비아</t>
  </si>
  <si>
    <t>세르비아</t>
  </si>
  <si>
    <t>몰도바</t>
  </si>
  <si>
    <t>슬로베니아</t>
  </si>
  <si>
    <t>에스토니아</t>
  </si>
  <si>
    <t>슬로바크</t>
  </si>
  <si>
    <t>아르메니아</t>
  </si>
  <si>
    <t>알바니아</t>
  </si>
  <si>
    <t>북마케도니아</t>
  </si>
  <si>
    <t>아이슬란드</t>
  </si>
  <si>
    <t>보스니아-헤르체고비나</t>
  </si>
  <si>
    <t>룩셈부르크</t>
  </si>
  <si>
    <t>코소보</t>
  </si>
  <si>
    <t>몰타</t>
  </si>
  <si>
    <t>몬테네그로</t>
  </si>
  <si>
    <t>오세아니아주</t>
  </si>
  <si>
    <t>오스트레일리아</t>
  </si>
  <si>
    <t>뉴질랜드</t>
  </si>
  <si>
    <t>피지</t>
  </si>
  <si>
    <t>바누아투</t>
  </si>
  <si>
    <t>팔라우</t>
  </si>
  <si>
    <t>솔로몬군도</t>
  </si>
  <si>
    <t>마샬군도</t>
  </si>
  <si>
    <t>아프리카주</t>
  </si>
  <si>
    <t>모로코</t>
  </si>
  <si>
    <t>남아프리카공화국</t>
  </si>
  <si>
    <t>이집트</t>
  </si>
  <si>
    <t>나이지리아</t>
  </si>
  <si>
    <t>알제리</t>
  </si>
  <si>
    <t>튀니지</t>
  </si>
  <si>
    <t>가나</t>
  </si>
  <si>
    <t>에티오피아</t>
  </si>
  <si>
    <t>카메룬</t>
  </si>
  <si>
    <t>우간다</t>
  </si>
  <si>
    <t>세네갈</t>
  </si>
  <si>
    <t>케냐</t>
  </si>
  <si>
    <t>말리</t>
  </si>
  <si>
    <t>탄자니아</t>
  </si>
  <si>
    <t>코트디부아르</t>
  </si>
  <si>
    <t>마다가스카르</t>
  </si>
  <si>
    <t>라이베리아</t>
  </si>
  <si>
    <t>수단</t>
  </si>
  <si>
    <t>모잠비크</t>
  </si>
  <si>
    <t>콩고민주공화국</t>
  </si>
  <si>
    <t>부르키나파소</t>
  </si>
  <si>
    <t>리비아</t>
  </si>
  <si>
    <t>잠비아</t>
  </si>
  <si>
    <t>감비아</t>
  </si>
  <si>
    <t>니제르</t>
  </si>
  <si>
    <t>기니</t>
  </si>
  <si>
    <t>짐바브웨</t>
  </si>
  <si>
    <t>적도기니</t>
  </si>
  <si>
    <t>앙골라</t>
  </si>
  <si>
    <t>보츠와나</t>
  </si>
  <si>
    <t>베냉</t>
  </si>
  <si>
    <t>토고</t>
  </si>
  <si>
    <t>콩고</t>
  </si>
  <si>
    <t>코모로</t>
  </si>
  <si>
    <t>차드</t>
  </si>
  <si>
    <t>에리트레아</t>
  </si>
  <si>
    <t>시에라리온</t>
  </si>
  <si>
    <t>부룬디</t>
  </si>
  <si>
    <t>르완다</t>
  </si>
  <si>
    <t>기타</t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</si>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</sst>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"/>
  <sheetViews>
    <sheetView tabSelected="1" workbookViewId="0"/>
  </sheetViews>
  <sheetFormatPr defaultRowHeight="16.5" x14ac:dyDescent="0.3"/>
  <cols>
    <col min="4" max="9" width="11.625" customWidth="1"/>
  </cols>
  <sheetData>
    <row r="1" spans="1: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2" t="s">
        <v>3</v>
      </c>
      <c r="B2" s="2"/>
      <c r="C2" s="3" t="s">
        <v>9</v>
      </c>
      <c r="D2" s="1">
        <v>188105</v>
      </c>
      <c r="E2">
        <v>961</v>
      </c>
      <c r="F2" s="1">
        <v>32241</v>
      </c>
      <c r="G2" s="1">
        <v>144911</v>
      </c>
      <c r="H2" s="1">
        <v>5436</v>
      </c>
      <c r="I2" s="1">
        <v>4556</v>
      </c>
    </row>
    <row r="3" spans="1:9" x14ac:dyDescent="0.3">
      <c r="A3" s="2"/>
      <c r="B3" s="2"/>
      <c r="C3" s="3" t="s">
        <v>185</v>
      </c>
      <c r="D3" s="1">
        <f>D6+D142+D151+D226+D359+D380+D481</f>
        <v>36952</v>
      </c>
      <c r="E3" s="1">
        <f t="shared" ref="E3:I3" si="0">E6+E142+E151+E226+E359+E380+E481</f>
        <v>64</v>
      </c>
      <c r="F3" s="1">
        <f t="shared" si="0"/>
        <v>4442</v>
      </c>
      <c r="G3" s="1">
        <f t="shared" si="0"/>
        <v>31135</v>
      </c>
      <c r="H3" s="1">
        <f t="shared" si="0"/>
        <v>862</v>
      </c>
      <c r="I3" s="1">
        <f t="shared" si="0"/>
        <v>449</v>
      </c>
    </row>
    <row r="4" spans="1:9" x14ac:dyDescent="0.3">
      <c r="A4" s="2"/>
      <c r="B4" s="2"/>
      <c r="C4" s="3" t="s">
        <v>186</v>
      </c>
      <c r="D4" s="1">
        <f>D7+D143+D152+D227+D360+D381+D482</f>
        <v>151153</v>
      </c>
      <c r="E4" s="1">
        <f t="shared" ref="E4:I4" si="1">E7+E143+E152+E227+E360+E381+E482</f>
        <v>897</v>
      </c>
      <c r="F4" s="1">
        <f t="shared" si="1"/>
        <v>27799</v>
      </c>
      <c r="G4" s="1">
        <f t="shared" si="1"/>
        <v>113776</v>
      </c>
      <c r="H4" s="1">
        <f t="shared" si="1"/>
        <v>4574</v>
      </c>
      <c r="I4" s="1">
        <f t="shared" si="1"/>
        <v>4107</v>
      </c>
    </row>
    <row r="5" spans="1:9" x14ac:dyDescent="0.3">
      <c r="A5" s="2" t="s">
        <v>10</v>
      </c>
      <c r="B5" s="2"/>
      <c r="C5" s="3" t="s">
        <v>9</v>
      </c>
      <c r="D5" s="1">
        <v>167914</v>
      </c>
      <c r="E5">
        <v>949</v>
      </c>
      <c r="F5" s="1">
        <v>30207</v>
      </c>
      <c r="G5" s="1">
        <v>127127</v>
      </c>
      <c r="H5" s="1">
        <v>5217</v>
      </c>
      <c r="I5" s="1">
        <v>4414</v>
      </c>
    </row>
    <row r="6" spans="1:9" x14ac:dyDescent="0.3">
      <c r="A6" s="2"/>
      <c r="B6" s="2"/>
      <c r="C6" s="3" t="s">
        <v>185</v>
      </c>
      <c r="D6" s="1">
        <f>D9+D12+D15+D18+D21+D24+D27+D30+D33+D36+D39+D42+D45+D48+D51+D54+D57+D60+D63+D66+D69+D72+D75+D78+D81+D84+D87+D90+D93+D96+D99+D102+D105+D108+D111+D114+D117+D120+D122+D125+D128+D136+D138</f>
        <v>26467</v>
      </c>
      <c r="E6" s="1">
        <f t="shared" ref="E6:I6" si="2">E9+E12+E15+E18+E21+E24+E27+E30+E33+E36+E39+E42+E45+E48+E51+E54+E57+E60+E63+E66+E69+E72+E75+E78+E81+E84+E87+E90+E93+E96+E99+E102+E105+E108+E111+E114+E117+E120+E122+E125+E128+E136+E138</f>
        <v>60</v>
      </c>
      <c r="F6" s="1">
        <f t="shared" si="2"/>
        <v>3202</v>
      </c>
      <c r="G6" s="1">
        <f t="shared" si="2"/>
        <v>22059</v>
      </c>
      <c r="H6" s="1">
        <f t="shared" si="2"/>
        <v>755</v>
      </c>
      <c r="I6" s="1">
        <f t="shared" si="2"/>
        <v>391</v>
      </c>
    </row>
    <row r="7" spans="1:9" x14ac:dyDescent="0.3">
      <c r="A7" s="2"/>
      <c r="B7" s="2"/>
      <c r="C7" s="3" t="s">
        <v>186</v>
      </c>
      <c r="D7" s="1">
        <f>D10+D13+D16+D19+D22+D25+D28+D31+D34+D37+D40+D43+D46+D49+D52+D55+D58+D61+D64+D67+D70+D73+D76+D79+D82+D85+D88+D91+D94+D97+D100+D103+D106+D109+D112+D115+D118+D123+D126+D130+D132+D134+D140</f>
        <v>141447</v>
      </c>
      <c r="E7" s="1">
        <f t="shared" ref="E7:I7" si="3">E10+E13+E16+E19+E22+E25+E28+E31+E34+E37+E40+E43+E46+E49+E52+E55+E58+E61+E64+E67+E70+E73+E76+E79+E82+E85+E88+E91+E94+E97+E100+E103+E106+E109+E112+E115+E118+E123+E126+E130+E132+E134+E140</f>
        <v>889</v>
      </c>
      <c r="F7" s="1">
        <f t="shared" si="3"/>
        <v>27005</v>
      </c>
      <c r="G7" s="1">
        <f t="shared" si="3"/>
        <v>105068</v>
      </c>
      <c r="H7" s="1">
        <f t="shared" si="3"/>
        <v>4462</v>
      </c>
      <c r="I7" s="1">
        <f t="shared" si="3"/>
        <v>4023</v>
      </c>
    </row>
    <row r="8" spans="1:9" x14ac:dyDescent="0.3">
      <c r="A8" t="s">
        <v>10</v>
      </c>
      <c r="B8" t="s">
        <v>11</v>
      </c>
      <c r="C8" t="s">
        <v>9</v>
      </c>
      <c r="D8" s="1">
        <v>43847</v>
      </c>
      <c r="E8">
        <v>322</v>
      </c>
      <c r="F8" s="1">
        <v>1280</v>
      </c>
      <c r="G8" s="1">
        <v>38383</v>
      </c>
      <c r="H8" s="1">
        <v>2589</v>
      </c>
      <c r="I8" s="1">
        <v>1273</v>
      </c>
    </row>
    <row r="9" spans="1:9" x14ac:dyDescent="0.3">
      <c r="A9" t="s">
        <v>10</v>
      </c>
      <c r="B9" t="s">
        <v>11</v>
      </c>
      <c r="C9" t="s">
        <v>12</v>
      </c>
      <c r="D9" s="1">
        <v>5626</v>
      </c>
      <c r="E9">
        <v>2</v>
      </c>
      <c r="F9">
        <v>49</v>
      </c>
      <c r="G9" s="1">
        <v>5252</v>
      </c>
      <c r="H9">
        <v>287</v>
      </c>
      <c r="I9">
        <v>36</v>
      </c>
    </row>
    <row r="10" spans="1:9" x14ac:dyDescent="0.3">
      <c r="A10" t="s">
        <v>10</v>
      </c>
      <c r="B10" t="s">
        <v>11</v>
      </c>
      <c r="C10" t="s">
        <v>13</v>
      </c>
      <c r="D10" s="1">
        <v>38221</v>
      </c>
      <c r="E10">
        <v>320</v>
      </c>
      <c r="F10" s="1">
        <v>1231</v>
      </c>
      <c r="G10" s="1">
        <v>33131</v>
      </c>
      <c r="H10" s="1">
        <v>2302</v>
      </c>
      <c r="I10" s="1">
        <v>1237</v>
      </c>
    </row>
    <row r="11" spans="1:9" x14ac:dyDescent="0.3">
      <c r="A11" t="s">
        <v>10</v>
      </c>
      <c r="B11" t="s">
        <v>14</v>
      </c>
      <c r="C11" t="s">
        <v>9</v>
      </c>
      <c r="D11" s="1">
        <v>40677</v>
      </c>
      <c r="E11">
        <v>148</v>
      </c>
      <c r="F11" s="1">
        <v>13766</v>
      </c>
      <c r="G11" s="1">
        <v>24810</v>
      </c>
      <c r="H11">
        <v>636</v>
      </c>
      <c r="I11" s="1">
        <v>1317</v>
      </c>
    </row>
    <row r="12" spans="1:9" x14ac:dyDescent="0.3">
      <c r="A12" t="s">
        <v>10</v>
      </c>
      <c r="B12" t="s">
        <v>14</v>
      </c>
      <c r="C12" t="s">
        <v>12</v>
      </c>
      <c r="D12" s="1">
        <v>6078</v>
      </c>
      <c r="E12">
        <v>18</v>
      </c>
      <c r="F12">
        <v>969</v>
      </c>
      <c r="G12" s="1">
        <v>4789</v>
      </c>
      <c r="H12">
        <v>191</v>
      </c>
      <c r="I12">
        <v>111</v>
      </c>
    </row>
    <row r="13" spans="1:9" x14ac:dyDescent="0.3">
      <c r="A13" t="s">
        <v>10</v>
      </c>
      <c r="B13" t="s">
        <v>14</v>
      </c>
      <c r="C13" t="s">
        <v>13</v>
      </c>
      <c r="D13" s="1">
        <v>34599</v>
      </c>
      <c r="E13">
        <v>130</v>
      </c>
      <c r="F13" s="1">
        <v>12797</v>
      </c>
      <c r="G13" s="1">
        <v>20021</v>
      </c>
      <c r="H13">
        <v>445</v>
      </c>
      <c r="I13" s="1">
        <v>1206</v>
      </c>
    </row>
    <row r="14" spans="1:9" x14ac:dyDescent="0.3">
      <c r="A14" t="s">
        <v>10</v>
      </c>
      <c r="B14" t="s">
        <v>15</v>
      </c>
      <c r="C14" t="s">
        <v>9</v>
      </c>
      <c r="D14" s="1">
        <v>20216</v>
      </c>
      <c r="E14">
        <v>160</v>
      </c>
      <c r="F14" s="1">
        <v>4741</v>
      </c>
      <c r="G14" s="1">
        <v>14376</v>
      </c>
      <c r="H14">
        <v>269</v>
      </c>
      <c r="I14">
        <v>670</v>
      </c>
    </row>
    <row r="15" spans="1:9" x14ac:dyDescent="0.3">
      <c r="A15" t="s">
        <v>10</v>
      </c>
      <c r="B15" t="s">
        <v>15</v>
      </c>
      <c r="C15" t="s">
        <v>12</v>
      </c>
      <c r="D15" s="1">
        <v>7976</v>
      </c>
      <c r="E15">
        <v>18</v>
      </c>
      <c r="F15" s="1">
        <v>1310</v>
      </c>
      <c r="G15" s="1">
        <v>6435</v>
      </c>
      <c r="H15">
        <v>124</v>
      </c>
      <c r="I15">
        <v>89</v>
      </c>
    </row>
    <row r="16" spans="1:9" x14ac:dyDescent="0.3">
      <c r="A16" t="s">
        <v>10</v>
      </c>
      <c r="B16" t="s">
        <v>15</v>
      </c>
      <c r="C16" t="s">
        <v>13</v>
      </c>
      <c r="D16" s="1">
        <v>12240</v>
      </c>
      <c r="E16">
        <v>142</v>
      </c>
      <c r="F16" s="1">
        <v>3431</v>
      </c>
      <c r="G16" s="1">
        <v>7941</v>
      </c>
      <c r="H16">
        <v>145</v>
      </c>
      <c r="I16">
        <v>581</v>
      </c>
    </row>
    <row r="17" spans="1:9" x14ac:dyDescent="0.3">
      <c r="A17" t="s">
        <v>10</v>
      </c>
      <c r="B17" t="s">
        <v>16</v>
      </c>
      <c r="C17" t="s">
        <v>9</v>
      </c>
      <c r="D17" s="1">
        <v>17055</v>
      </c>
      <c r="E17">
        <v>28</v>
      </c>
      <c r="F17" s="1">
        <v>6578</v>
      </c>
      <c r="G17" s="1">
        <v>10305</v>
      </c>
      <c r="H17">
        <v>37</v>
      </c>
      <c r="I17">
        <v>107</v>
      </c>
    </row>
    <row r="18" spans="1:9" x14ac:dyDescent="0.3">
      <c r="A18" t="s">
        <v>10</v>
      </c>
      <c r="B18" t="s">
        <v>16</v>
      </c>
      <c r="C18" t="s">
        <v>12</v>
      </c>
      <c r="D18" s="1">
        <v>1347</v>
      </c>
      <c r="E18">
        <v>3</v>
      </c>
      <c r="F18">
        <v>406</v>
      </c>
      <c r="G18">
        <v>927</v>
      </c>
      <c r="H18">
        <v>6</v>
      </c>
      <c r="I18">
        <v>5</v>
      </c>
    </row>
    <row r="19" spans="1:9" x14ac:dyDescent="0.3">
      <c r="A19" t="s">
        <v>10</v>
      </c>
      <c r="B19" t="s">
        <v>16</v>
      </c>
      <c r="C19" t="s">
        <v>13</v>
      </c>
      <c r="D19" s="1">
        <v>15708</v>
      </c>
      <c r="E19">
        <v>25</v>
      </c>
      <c r="F19" s="1">
        <v>6172</v>
      </c>
      <c r="G19" s="1">
        <v>9378</v>
      </c>
      <c r="H19">
        <v>31</v>
      </c>
      <c r="I19">
        <v>102</v>
      </c>
    </row>
    <row r="20" spans="1:9" x14ac:dyDescent="0.3">
      <c r="A20" t="s">
        <v>10</v>
      </c>
      <c r="B20" t="s">
        <v>17</v>
      </c>
      <c r="C20" t="s">
        <v>9</v>
      </c>
      <c r="D20" s="1">
        <v>12996</v>
      </c>
      <c r="E20">
        <v>114</v>
      </c>
      <c r="F20">
        <v>635</v>
      </c>
      <c r="G20" s="1">
        <v>11243</v>
      </c>
      <c r="H20">
        <v>644</v>
      </c>
      <c r="I20">
        <v>360</v>
      </c>
    </row>
    <row r="21" spans="1:9" x14ac:dyDescent="0.3">
      <c r="A21" t="s">
        <v>10</v>
      </c>
      <c r="B21" t="s">
        <v>17</v>
      </c>
      <c r="C21" t="s">
        <v>12</v>
      </c>
      <c r="D21">
        <v>677</v>
      </c>
      <c r="E21">
        <v>4</v>
      </c>
      <c r="F21">
        <v>29</v>
      </c>
      <c r="G21">
        <v>612</v>
      </c>
      <c r="H21">
        <v>23</v>
      </c>
      <c r="I21">
        <v>9</v>
      </c>
    </row>
    <row r="22" spans="1:9" x14ac:dyDescent="0.3">
      <c r="A22" t="s">
        <v>10</v>
      </c>
      <c r="B22" t="s">
        <v>17</v>
      </c>
      <c r="C22" t="s">
        <v>13</v>
      </c>
      <c r="D22" s="1">
        <v>12319</v>
      </c>
      <c r="E22">
        <v>110</v>
      </c>
      <c r="F22">
        <v>606</v>
      </c>
      <c r="G22" s="1">
        <v>10631</v>
      </c>
      <c r="H22">
        <v>621</v>
      </c>
      <c r="I22">
        <v>351</v>
      </c>
    </row>
    <row r="23" spans="1:9" x14ac:dyDescent="0.3">
      <c r="A23" t="s">
        <v>10</v>
      </c>
      <c r="B23" t="s">
        <v>18</v>
      </c>
      <c r="C23" t="s">
        <v>9</v>
      </c>
      <c r="D23" s="1">
        <v>10552</v>
      </c>
      <c r="E23">
        <v>13</v>
      </c>
      <c r="F23">
        <v>583</v>
      </c>
      <c r="G23" s="1">
        <v>9671</v>
      </c>
      <c r="H23">
        <v>150</v>
      </c>
      <c r="I23">
        <v>135</v>
      </c>
    </row>
    <row r="24" spans="1:9" x14ac:dyDescent="0.3">
      <c r="A24" t="s">
        <v>10</v>
      </c>
      <c r="B24" t="s">
        <v>18</v>
      </c>
      <c r="C24" t="s">
        <v>12</v>
      </c>
      <c r="D24">
        <v>148</v>
      </c>
      <c r="E24">
        <v>0</v>
      </c>
      <c r="F24">
        <v>4</v>
      </c>
      <c r="G24">
        <v>138</v>
      </c>
      <c r="H24">
        <v>5</v>
      </c>
      <c r="I24">
        <v>1</v>
      </c>
    </row>
    <row r="25" spans="1:9" x14ac:dyDescent="0.3">
      <c r="A25" t="s">
        <v>10</v>
      </c>
      <c r="B25" t="s">
        <v>18</v>
      </c>
      <c r="C25" t="s">
        <v>13</v>
      </c>
      <c r="D25" s="1">
        <v>10404</v>
      </c>
      <c r="E25">
        <v>13</v>
      </c>
      <c r="F25">
        <v>579</v>
      </c>
      <c r="G25" s="1">
        <v>9533</v>
      </c>
      <c r="H25">
        <v>145</v>
      </c>
      <c r="I25">
        <v>134</v>
      </c>
    </row>
    <row r="26" spans="1:9" x14ac:dyDescent="0.3">
      <c r="A26" t="s">
        <v>10</v>
      </c>
      <c r="B26" t="s">
        <v>19</v>
      </c>
      <c r="C26" t="s">
        <v>9</v>
      </c>
      <c r="D26" s="1">
        <v>4919</v>
      </c>
      <c r="E26">
        <v>60</v>
      </c>
      <c r="F26">
        <v>82</v>
      </c>
      <c r="G26" s="1">
        <v>4199</v>
      </c>
      <c r="H26">
        <v>437</v>
      </c>
      <c r="I26">
        <v>141</v>
      </c>
    </row>
    <row r="27" spans="1:9" x14ac:dyDescent="0.3">
      <c r="A27" t="s">
        <v>10</v>
      </c>
      <c r="B27" t="s">
        <v>19</v>
      </c>
      <c r="C27" t="s">
        <v>12</v>
      </c>
      <c r="D27" s="1">
        <v>1021</v>
      </c>
      <c r="E27">
        <v>0</v>
      </c>
      <c r="F27">
        <v>2</v>
      </c>
      <c r="G27">
        <v>983</v>
      </c>
      <c r="H27">
        <v>34</v>
      </c>
      <c r="I27">
        <v>2</v>
      </c>
    </row>
    <row r="28" spans="1:9" x14ac:dyDescent="0.3">
      <c r="A28" t="s">
        <v>10</v>
      </c>
      <c r="B28" t="s">
        <v>19</v>
      </c>
      <c r="C28" t="s">
        <v>13</v>
      </c>
      <c r="D28" s="1">
        <v>3898</v>
      </c>
      <c r="E28">
        <v>60</v>
      </c>
      <c r="F28">
        <v>80</v>
      </c>
      <c r="G28" s="1">
        <v>3216</v>
      </c>
      <c r="H28">
        <v>403</v>
      </c>
      <c r="I28">
        <v>139</v>
      </c>
    </row>
    <row r="29" spans="1:9" x14ac:dyDescent="0.3">
      <c r="A29" t="s">
        <v>10</v>
      </c>
      <c r="B29" t="s">
        <v>20</v>
      </c>
      <c r="C29" t="s">
        <v>9</v>
      </c>
      <c r="D29" s="1">
        <v>2885</v>
      </c>
      <c r="E29">
        <v>10</v>
      </c>
      <c r="F29">
        <v>782</v>
      </c>
      <c r="G29" s="1">
        <v>1876</v>
      </c>
      <c r="H29">
        <v>158</v>
      </c>
      <c r="I29">
        <v>59</v>
      </c>
    </row>
    <row r="30" spans="1:9" x14ac:dyDescent="0.3">
      <c r="A30" t="s">
        <v>10</v>
      </c>
      <c r="B30" t="s">
        <v>20</v>
      </c>
      <c r="C30" t="s">
        <v>12</v>
      </c>
      <c r="D30">
        <v>280</v>
      </c>
      <c r="E30">
        <v>0</v>
      </c>
      <c r="F30">
        <v>22</v>
      </c>
      <c r="G30">
        <v>245</v>
      </c>
      <c r="H30">
        <v>8</v>
      </c>
      <c r="I30">
        <v>5</v>
      </c>
    </row>
    <row r="31" spans="1:9" x14ac:dyDescent="0.3">
      <c r="A31" t="s">
        <v>10</v>
      </c>
      <c r="B31" t="s">
        <v>20</v>
      </c>
      <c r="C31" t="s">
        <v>13</v>
      </c>
      <c r="D31" s="1">
        <v>2605</v>
      </c>
      <c r="E31">
        <v>10</v>
      </c>
      <c r="F31">
        <v>760</v>
      </c>
      <c r="G31" s="1">
        <v>1631</v>
      </c>
      <c r="H31">
        <v>150</v>
      </c>
      <c r="I31">
        <v>54</v>
      </c>
    </row>
    <row r="32" spans="1:9" x14ac:dyDescent="0.3">
      <c r="A32" t="s">
        <v>10</v>
      </c>
      <c r="B32" t="s">
        <v>21</v>
      </c>
      <c r="C32" t="s">
        <v>9</v>
      </c>
      <c r="D32" s="1">
        <v>2766</v>
      </c>
      <c r="E32">
        <v>51</v>
      </c>
      <c r="F32">
        <v>500</v>
      </c>
      <c r="G32" s="1">
        <v>1995</v>
      </c>
      <c r="H32">
        <v>111</v>
      </c>
      <c r="I32">
        <v>109</v>
      </c>
    </row>
    <row r="33" spans="1:9" x14ac:dyDescent="0.3">
      <c r="A33" t="s">
        <v>10</v>
      </c>
      <c r="B33" t="s">
        <v>21</v>
      </c>
      <c r="C33" t="s">
        <v>12</v>
      </c>
      <c r="D33">
        <v>244</v>
      </c>
      <c r="E33">
        <v>1</v>
      </c>
      <c r="F33">
        <v>12</v>
      </c>
      <c r="G33">
        <v>215</v>
      </c>
      <c r="H33">
        <v>11</v>
      </c>
      <c r="I33">
        <v>5</v>
      </c>
    </row>
    <row r="34" spans="1:9" x14ac:dyDescent="0.3">
      <c r="A34" t="s">
        <v>10</v>
      </c>
      <c r="B34" t="s">
        <v>21</v>
      </c>
      <c r="C34" t="s">
        <v>13</v>
      </c>
      <c r="D34" s="1">
        <v>2522</v>
      </c>
      <c r="E34">
        <v>50</v>
      </c>
      <c r="F34">
        <v>488</v>
      </c>
      <c r="G34" s="1">
        <v>1780</v>
      </c>
      <c r="H34">
        <v>100</v>
      </c>
      <c r="I34">
        <v>104</v>
      </c>
    </row>
    <row r="35" spans="1:9" x14ac:dyDescent="0.3">
      <c r="A35" t="s">
        <v>10</v>
      </c>
      <c r="B35" t="s">
        <v>22</v>
      </c>
      <c r="C35" t="s">
        <v>9</v>
      </c>
      <c r="D35" s="1">
        <v>1909</v>
      </c>
      <c r="E35">
        <v>0</v>
      </c>
      <c r="F35">
        <v>234</v>
      </c>
      <c r="G35" s="1">
        <v>1657</v>
      </c>
      <c r="H35">
        <v>7</v>
      </c>
      <c r="I35">
        <v>11</v>
      </c>
    </row>
    <row r="36" spans="1:9" x14ac:dyDescent="0.3">
      <c r="A36" t="s">
        <v>10</v>
      </c>
      <c r="B36" t="s">
        <v>22</v>
      </c>
      <c r="C36" t="s">
        <v>12</v>
      </c>
      <c r="D36">
        <v>203</v>
      </c>
      <c r="E36">
        <v>0</v>
      </c>
      <c r="F36">
        <v>19</v>
      </c>
      <c r="G36">
        <v>181</v>
      </c>
      <c r="H36">
        <v>2</v>
      </c>
      <c r="I36">
        <v>1</v>
      </c>
    </row>
    <row r="37" spans="1:9" x14ac:dyDescent="0.3">
      <c r="A37" t="s">
        <v>10</v>
      </c>
      <c r="B37" t="s">
        <v>22</v>
      </c>
      <c r="C37" t="s">
        <v>13</v>
      </c>
      <c r="D37" s="1">
        <v>1706</v>
      </c>
      <c r="E37">
        <v>0</v>
      </c>
      <c r="F37">
        <v>215</v>
      </c>
      <c r="G37" s="1">
        <v>1476</v>
      </c>
      <c r="H37">
        <v>5</v>
      </c>
      <c r="I37">
        <v>10</v>
      </c>
    </row>
    <row r="38" spans="1:9" x14ac:dyDescent="0.3">
      <c r="A38" t="s">
        <v>10</v>
      </c>
      <c r="B38" t="s">
        <v>23</v>
      </c>
      <c r="C38" t="s">
        <v>9</v>
      </c>
      <c r="D38" s="1">
        <v>1669</v>
      </c>
      <c r="E38">
        <v>2</v>
      </c>
      <c r="F38">
        <v>206</v>
      </c>
      <c r="G38" s="1">
        <v>1420</v>
      </c>
      <c r="H38">
        <v>25</v>
      </c>
      <c r="I38">
        <v>16</v>
      </c>
    </row>
    <row r="39" spans="1:9" x14ac:dyDescent="0.3">
      <c r="A39" t="s">
        <v>10</v>
      </c>
      <c r="B39" t="s">
        <v>23</v>
      </c>
      <c r="C39" t="s">
        <v>12</v>
      </c>
      <c r="D39">
        <v>148</v>
      </c>
      <c r="E39">
        <v>0</v>
      </c>
      <c r="F39">
        <v>8</v>
      </c>
      <c r="G39">
        <v>134</v>
      </c>
      <c r="H39">
        <v>4</v>
      </c>
      <c r="I39">
        <v>2</v>
      </c>
    </row>
    <row r="40" spans="1:9" x14ac:dyDescent="0.3">
      <c r="A40" t="s">
        <v>10</v>
      </c>
      <c r="B40" t="s">
        <v>23</v>
      </c>
      <c r="C40" t="s">
        <v>13</v>
      </c>
      <c r="D40" s="1">
        <v>1521</v>
      </c>
      <c r="E40">
        <v>2</v>
      </c>
      <c r="F40">
        <v>198</v>
      </c>
      <c r="G40" s="1">
        <v>1286</v>
      </c>
      <c r="H40">
        <v>21</v>
      </c>
      <c r="I40">
        <v>14</v>
      </c>
    </row>
    <row r="41" spans="1:9" x14ac:dyDescent="0.3">
      <c r="A41" t="s">
        <v>10</v>
      </c>
      <c r="B41" t="s">
        <v>24</v>
      </c>
      <c r="C41" t="s">
        <v>9</v>
      </c>
      <c r="D41" s="1">
        <v>1137</v>
      </c>
      <c r="E41">
        <v>0</v>
      </c>
      <c r="F41">
        <v>34</v>
      </c>
      <c r="G41" s="1">
        <v>1087</v>
      </c>
      <c r="H41">
        <v>11</v>
      </c>
      <c r="I41">
        <v>5</v>
      </c>
    </row>
    <row r="42" spans="1:9" x14ac:dyDescent="0.3">
      <c r="A42" t="s">
        <v>10</v>
      </c>
      <c r="B42" t="s">
        <v>24</v>
      </c>
      <c r="C42" t="s">
        <v>12</v>
      </c>
      <c r="D42">
        <v>9</v>
      </c>
      <c r="E42">
        <v>0</v>
      </c>
      <c r="F42">
        <v>0</v>
      </c>
      <c r="G42">
        <v>9</v>
      </c>
      <c r="H42">
        <v>0</v>
      </c>
      <c r="I42">
        <v>0</v>
      </c>
    </row>
    <row r="43" spans="1:9" x14ac:dyDescent="0.3">
      <c r="A43" t="s">
        <v>10</v>
      </c>
      <c r="B43" t="s">
        <v>24</v>
      </c>
      <c r="C43" t="s">
        <v>13</v>
      </c>
      <c r="D43" s="1">
        <v>1128</v>
      </c>
      <c r="E43">
        <v>0</v>
      </c>
      <c r="F43">
        <v>34</v>
      </c>
      <c r="G43" s="1">
        <v>1078</v>
      </c>
      <c r="H43">
        <v>11</v>
      </c>
      <c r="I43">
        <v>5</v>
      </c>
    </row>
    <row r="44" spans="1:9" x14ac:dyDescent="0.3">
      <c r="A44" t="s">
        <v>10</v>
      </c>
      <c r="B44" t="s">
        <v>25</v>
      </c>
      <c r="C44" t="s">
        <v>9</v>
      </c>
      <c r="D44" s="1">
        <v>1052</v>
      </c>
      <c r="E44">
        <v>4</v>
      </c>
      <c r="F44">
        <v>163</v>
      </c>
      <c r="G44">
        <v>804</v>
      </c>
      <c r="H44">
        <v>24</v>
      </c>
      <c r="I44">
        <v>57</v>
      </c>
    </row>
    <row r="45" spans="1:9" x14ac:dyDescent="0.3">
      <c r="A45" t="s">
        <v>10</v>
      </c>
      <c r="B45" t="s">
        <v>25</v>
      </c>
      <c r="C45" t="s">
        <v>12</v>
      </c>
      <c r="D45">
        <v>850</v>
      </c>
      <c r="E45">
        <v>4</v>
      </c>
      <c r="F45">
        <v>160</v>
      </c>
      <c r="G45">
        <v>607</v>
      </c>
      <c r="H45">
        <v>23</v>
      </c>
      <c r="I45">
        <v>56</v>
      </c>
    </row>
    <row r="46" spans="1:9" x14ac:dyDescent="0.3">
      <c r="A46" t="s">
        <v>10</v>
      </c>
      <c r="B46" t="s">
        <v>25</v>
      </c>
      <c r="C46" t="s">
        <v>13</v>
      </c>
      <c r="D46">
        <v>202</v>
      </c>
      <c r="E46">
        <v>0</v>
      </c>
      <c r="F46">
        <v>3</v>
      </c>
      <c r="G46">
        <v>197</v>
      </c>
      <c r="H46">
        <v>1</v>
      </c>
      <c r="I46">
        <v>1</v>
      </c>
    </row>
    <row r="47" spans="1:9" x14ac:dyDescent="0.3">
      <c r="A47" t="s">
        <v>10</v>
      </c>
      <c r="B47" t="s">
        <v>26</v>
      </c>
      <c r="C47" t="s">
        <v>9</v>
      </c>
      <c r="D47">
        <v>856</v>
      </c>
      <c r="E47">
        <v>30</v>
      </c>
      <c r="F47">
        <v>80</v>
      </c>
      <c r="G47">
        <v>679</v>
      </c>
      <c r="H47">
        <v>22</v>
      </c>
      <c r="I47">
        <v>45</v>
      </c>
    </row>
    <row r="48" spans="1:9" x14ac:dyDescent="0.3">
      <c r="A48" t="s">
        <v>10</v>
      </c>
      <c r="B48" t="s">
        <v>26</v>
      </c>
      <c r="C48" t="s">
        <v>12</v>
      </c>
      <c r="D48">
        <v>241</v>
      </c>
      <c r="E48">
        <v>3</v>
      </c>
      <c r="F48">
        <v>34</v>
      </c>
      <c r="G48">
        <v>192</v>
      </c>
      <c r="H48">
        <v>4</v>
      </c>
      <c r="I48">
        <v>8</v>
      </c>
    </row>
    <row r="49" spans="1:9" x14ac:dyDescent="0.3">
      <c r="A49" t="s">
        <v>10</v>
      </c>
      <c r="B49" t="s">
        <v>26</v>
      </c>
      <c r="C49" t="s">
        <v>13</v>
      </c>
      <c r="D49">
        <v>615</v>
      </c>
      <c r="E49">
        <v>27</v>
      </c>
      <c r="F49">
        <v>46</v>
      </c>
      <c r="G49">
        <v>487</v>
      </c>
      <c r="H49">
        <v>18</v>
      </c>
      <c r="I49">
        <v>37</v>
      </c>
    </row>
    <row r="50" spans="1:9" x14ac:dyDescent="0.3">
      <c r="A50" t="s">
        <v>10</v>
      </c>
      <c r="B50" t="s">
        <v>27</v>
      </c>
      <c r="C50" t="s">
        <v>9</v>
      </c>
      <c r="D50">
        <v>763</v>
      </c>
      <c r="E50">
        <v>0</v>
      </c>
      <c r="F50">
        <v>73</v>
      </c>
      <c r="G50">
        <v>682</v>
      </c>
      <c r="H50">
        <v>4</v>
      </c>
      <c r="I50">
        <v>4</v>
      </c>
    </row>
    <row r="51" spans="1:9" x14ac:dyDescent="0.3">
      <c r="A51" t="s">
        <v>10</v>
      </c>
      <c r="B51" t="s">
        <v>27</v>
      </c>
      <c r="C51" t="s">
        <v>12</v>
      </c>
      <c r="D51">
        <v>95</v>
      </c>
      <c r="E51">
        <v>0</v>
      </c>
      <c r="F51">
        <v>10</v>
      </c>
      <c r="G51">
        <v>83</v>
      </c>
      <c r="H51">
        <v>1</v>
      </c>
      <c r="I51">
        <v>1</v>
      </c>
    </row>
    <row r="52" spans="1:9" x14ac:dyDescent="0.3">
      <c r="A52" t="s">
        <v>10</v>
      </c>
      <c r="B52" t="s">
        <v>27</v>
      </c>
      <c r="C52" t="s">
        <v>13</v>
      </c>
      <c r="D52">
        <v>668</v>
      </c>
      <c r="E52">
        <v>0</v>
      </c>
      <c r="F52">
        <v>63</v>
      </c>
      <c r="G52">
        <v>599</v>
      </c>
      <c r="H52">
        <v>3</v>
      </c>
      <c r="I52">
        <v>3</v>
      </c>
    </row>
    <row r="53" spans="1:9" x14ac:dyDescent="0.3">
      <c r="A53" t="s">
        <v>10</v>
      </c>
      <c r="B53" t="s">
        <v>28</v>
      </c>
      <c r="C53" t="s">
        <v>9</v>
      </c>
      <c r="D53">
        <v>763</v>
      </c>
      <c r="E53">
        <v>0</v>
      </c>
      <c r="F53">
        <v>82</v>
      </c>
      <c r="G53">
        <v>650</v>
      </c>
      <c r="H53">
        <v>20</v>
      </c>
      <c r="I53">
        <v>11</v>
      </c>
    </row>
    <row r="54" spans="1:9" x14ac:dyDescent="0.3">
      <c r="A54" t="s">
        <v>10</v>
      </c>
      <c r="B54" t="s">
        <v>28</v>
      </c>
      <c r="C54" t="s">
        <v>12</v>
      </c>
      <c r="D54">
        <v>42</v>
      </c>
      <c r="E54">
        <v>0</v>
      </c>
      <c r="F54">
        <v>1</v>
      </c>
      <c r="G54">
        <v>39</v>
      </c>
      <c r="H54">
        <v>1</v>
      </c>
      <c r="I54">
        <v>1</v>
      </c>
    </row>
    <row r="55" spans="1:9" x14ac:dyDescent="0.3">
      <c r="A55" t="s">
        <v>10</v>
      </c>
      <c r="B55" t="s">
        <v>28</v>
      </c>
      <c r="C55" t="s">
        <v>13</v>
      </c>
      <c r="D55">
        <v>721</v>
      </c>
      <c r="E55">
        <v>0</v>
      </c>
      <c r="F55">
        <v>81</v>
      </c>
      <c r="G55">
        <v>611</v>
      </c>
      <c r="H55">
        <v>19</v>
      </c>
      <c r="I55">
        <v>10</v>
      </c>
    </row>
    <row r="56" spans="1:9" x14ac:dyDescent="0.3">
      <c r="A56" t="s">
        <v>10</v>
      </c>
      <c r="B56" t="s">
        <v>29</v>
      </c>
      <c r="C56" t="s">
        <v>9</v>
      </c>
      <c r="D56">
        <v>567</v>
      </c>
      <c r="E56">
        <v>1</v>
      </c>
      <c r="F56">
        <v>7</v>
      </c>
      <c r="G56">
        <v>542</v>
      </c>
      <c r="H56">
        <v>10</v>
      </c>
      <c r="I56">
        <v>7</v>
      </c>
    </row>
    <row r="57" spans="1:9" x14ac:dyDescent="0.3">
      <c r="A57" t="s">
        <v>10</v>
      </c>
      <c r="B57" t="s">
        <v>29</v>
      </c>
      <c r="C57" t="s">
        <v>12</v>
      </c>
      <c r="D57">
        <v>182</v>
      </c>
      <c r="E57">
        <v>1</v>
      </c>
      <c r="F57">
        <v>5</v>
      </c>
      <c r="G57">
        <v>166</v>
      </c>
      <c r="H57">
        <v>6</v>
      </c>
      <c r="I57">
        <v>4</v>
      </c>
    </row>
    <row r="58" spans="1:9" x14ac:dyDescent="0.3">
      <c r="A58" t="s">
        <v>10</v>
      </c>
      <c r="B58" t="s">
        <v>29</v>
      </c>
      <c r="C58" t="s">
        <v>13</v>
      </c>
      <c r="D58">
        <v>385</v>
      </c>
      <c r="E58">
        <v>0</v>
      </c>
      <c r="F58">
        <v>2</v>
      </c>
      <c r="G58">
        <v>376</v>
      </c>
      <c r="H58">
        <v>4</v>
      </c>
      <c r="I58">
        <v>3</v>
      </c>
    </row>
    <row r="59" spans="1:9" x14ac:dyDescent="0.3">
      <c r="A59" t="s">
        <v>10</v>
      </c>
      <c r="B59" t="s">
        <v>30</v>
      </c>
      <c r="C59" t="s">
        <v>9</v>
      </c>
      <c r="D59">
        <v>509</v>
      </c>
      <c r="E59">
        <v>0</v>
      </c>
      <c r="F59">
        <v>29</v>
      </c>
      <c r="G59">
        <v>471</v>
      </c>
      <c r="H59">
        <v>3</v>
      </c>
      <c r="I59">
        <v>6</v>
      </c>
    </row>
    <row r="60" spans="1:9" x14ac:dyDescent="0.3">
      <c r="A60" t="s">
        <v>10</v>
      </c>
      <c r="B60" t="s">
        <v>30</v>
      </c>
      <c r="C60" t="s">
        <v>12</v>
      </c>
      <c r="D60">
        <v>74</v>
      </c>
      <c r="E60">
        <v>0</v>
      </c>
      <c r="F60">
        <v>11</v>
      </c>
      <c r="G60">
        <v>62</v>
      </c>
      <c r="H60">
        <v>0</v>
      </c>
      <c r="I60">
        <v>1</v>
      </c>
    </row>
    <row r="61" spans="1:9" x14ac:dyDescent="0.3">
      <c r="A61" t="s">
        <v>10</v>
      </c>
      <c r="B61" t="s">
        <v>30</v>
      </c>
      <c r="C61" t="s">
        <v>13</v>
      </c>
      <c r="D61">
        <v>435</v>
      </c>
      <c r="E61">
        <v>0</v>
      </c>
      <c r="F61">
        <v>18</v>
      </c>
      <c r="G61">
        <v>409</v>
      </c>
      <c r="H61">
        <v>3</v>
      </c>
      <c r="I61">
        <v>5</v>
      </c>
    </row>
    <row r="62" spans="1:9" x14ac:dyDescent="0.3">
      <c r="A62" t="s">
        <v>10</v>
      </c>
      <c r="B62" t="s">
        <v>31</v>
      </c>
      <c r="C62" t="s">
        <v>9</v>
      </c>
      <c r="D62">
        <v>471</v>
      </c>
      <c r="E62">
        <v>0</v>
      </c>
      <c r="F62">
        <v>80</v>
      </c>
      <c r="G62">
        <v>356</v>
      </c>
      <c r="H62">
        <v>25</v>
      </c>
      <c r="I62">
        <v>10</v>
      </c>
    </row>
    <row r="63" spans="1:9" x14ac:dyDescent="0.3">
      <c r="A63" t="s">
        <v>10</v>
      </c>
      <c r="B63" t="s">
        <v>31</v>
      </c>
      <c r="C63" t="s">
        <v>12</v>
      </c>
      <c r="D63">
        <v>33</v>
      </c>
      <c r="E63">
        <v>0</v>
      </c>
      <c r="F63">
        <v>0</v>
      </c>
      <c r="G63">
        <v>30</v>
      </c>
      <c r="H63">
        <v>2</v>
      </c>
      <c r="I63">
        <v>1</v>
      </c>
    </row>
    <row r="64" spans="1:9" x14ac:dyDescent="0.3">
      <c r="A64" t="s">
        <v>10</v>
      </c>
      <c r="B64" t="s">
        <v>31</v>
      </c>
      <c r="C64" t="s">
        <v>13</v>
      </c>
      <c r="D64">
        <v>438</v>
      </c>
      <c r="E64">
        <v>0</v>
      </c>
      <c r="F64">
        <v>80</v>
      </c>
      <c r="G64">
        <v>326</v>
      </c>
      <c r="H64">
        <v>23</v>
      </c>
      <c r="I64">
        <v>9</v>
      </c>
    </row>
    <row r="65" spans="1:9" x14ac:dyDescent="0.3">
      <c r="A65" t="s">
        <v>10</v>
      </c>
      <c r="B65" t="s">
        <v>32</v>
      </c>
      <c r="C65" t="s">
        <v>9</v>
      </c>
      <c r="D65">
        <v>420</v>
      </c>
      <c r="E65">
        <v>0</v>
      </c>
      <c r="F65">
        <v>84</v>
      </c>
      <c r="G65">
        <v>332</v>
      </c>
      <c r="H65">
        <v>2</v>
      </c>
      <c r="I65">
        <v>2</v>
      </c>
    </row>
    <row r="66" spans="1:9" x14ac:dyDescent="0.3">
      <c r="A66" t="s">
        <v>10</v>
      </c>
      <c r="B66" t="s">
        <v>32</v>
      </c>
      <c r="C66" t="s">
        <v>12</v>
      </c>
      <c r="D66">
        <v>75</v>
      </c>
      <c r="E66">
        <v>0</v>
      </c>
      <c r="F66">
        <v>5</v>
      </c>
      <c r="G66">
        <v>69</v>
      </c>
      <c r="H66">
        <v>0</v>
      </c>
      <c r="I66">
        <v>1</v>
      </c>
    </row>
    <row r="67" spans="1:9" x14ac:dyDescent="0.3">
      <c r="A67" t="s">
        <v>10</v>
      </c>
      <c r="B67" t="s">
        <v>32</v>
      </c>
      <c r="C67" t="s">
        <v>13</v>
      </c>
      <c r="D67">
        <v>345</v>
      </c>
      <c r="E67">
        <v>0</v>
      </c>
      <c r="F67">
        <v>79</v>
      </c>
      <c r="G67">
        <v>263</v>
      </c>
      <c r="H67">
        <v>2</v>
      </c>
      <c r="I67">
        <v>1</v>
      </c>
    </row>
    <row r="68" spans="1:9" x14ac:dyDescent="0.3">
      <c r="A68" t="s">
        <v>10</v>
      </c>
      <c r="B68" t="s">
        <v>33</v>
      </c>
      <c r="C68" t="s">
        <v>9</v>
      </c>
      <c r="D68">
        <v>413</v>
      </c>
      <c r="E68">
        <v>0</v>
      </c>
      <c r="F68">
        <v>36</v>
      </c>
      <c r="G68">
        <v>345</v>
      </c>
      <c r="H68">
        <v>6</v>
      </c>
      <c r="I68">
        <v>26</v>
      </c>
    </row>
    <row r="69" spans="1:9" x14ac:dyDescent="0.3">
      <c r="A69" t="s">
        <v>10</v>
      </c>
      <c r="B69" t="s">
        <v>33</v>
      </c>
      <c r="C69" t="s">
        <v>12</v>
      </c>
      <c r="D69">
        <v>328</v>
      </c>
      <c r="E69">
        <v>0</v>
      </c>
      <c r="F69">
        <v>30</v>
      </c>
      <c r="G69">
        <v>273</v>
      </c>
      <c r="H69">
        <v>6</v>
      </c>
      <c r="I69">
        <v>19</v>
      </c>
    </row>
    <row r="70" spans="1:9" x14ac:dyDescent="0.3">
      <c r="A70" t="s">
        <v>10</v>
      </c>
      <c r="B70" t="s">
        <v>33</v>
      </c>
      <c r="C70" t="s">
        <v>13</v>
      </c>
      <c r="D70">
        <v>85</v>
      </c>
      <c r="E70">
        <v>0</v>
      </c>
      <c r="F70">
        <v>6</v>
      </c>
      <c r="G70">
        <v>72</v>
      </c>
      <c r="H70">
        <v>0</v>
      </c>
      <c r="I70">
        <v>7</v>
      </c>
    </row>
    <row r="71" spans="1:9" x14ac:dyDescent="0.3">
      <c r="A71" t="s">
        <v>10</v>
      </c>
      <c r="B71" t="s">
        <v>34</v>
      </c>
      <c r="C71" t="s">
        <v>9</v>
      </c>
      <c r="D71">
        <v>404</v>
      </c>
      <c r="E71">
        <v>5</v>
      </c>
      <c r="F71">
        <v>56</v>
      </c>
      <c r="G71">
        <v>304</v>
      </c>
      <c r="H71">
        <v>11</v>
      </c>
      <c r="I71">
        <v>28</v>
      </c>
    </row>
    <row r="72" spans="1:9" x14ac:dyDescent="0.3">
      <c r="A72" t="s">
        <v>10</v>
      </c>
      <c r="B72" t="s">
        <v>34</v>
      </c>
      <c r="C72" t="s">
        <v>12</v>
      </c>
      <c r="D72">
        <v>255</v>
      </c>
      <c r="E72">
        <v>5</v>
      </c>
      <c r="F72">
        <v>52</v>
      </c>
      <c r="G72">
        <v>167</v>
      </c>
      <c r="H72">
        <v>8</v>
      </c>
      <c r="I72">
        <v>23</v>
      </c>
    </row>
    <row r="73" spans="1:9" x14ac:dyDescent="0.3">
      <c r="A73" t="s">
        <v>10</v>
      </c>
      <c r="B73" t="s">
        <v>34</v>
      </c>
      <c r="C73" t="s">
        <v>13</v>
      </c>
      <c r="D73">
        <v>149</v>
      </c>
      <c r="E73">
        <v>0</v>
      </c>
      <c r="F73">
        <v>4</v>
      </c>
      <c r="G73">
        <v>137</v>
      </c>
      <c r="H73">
        <v>3</v>
      </c>
      <c r="I73">
        <v>5</v>
      </c>
    </row>
    <row r="74" spans="1:9" x14ac:dyDescent="0.3">
      <c r="A74" t="s">
        <v>10</v>
      </c>
      <c r="B74" t="s">
        <v>35</v>
      </c>
      <c r="C74" t="s">
        <v>9</v>
      </c>
      <c r="D74">
        <v>381</v>
      </c>
      <c r="E74">
        <v>0</v>
      </c>
      <c r="F74">
        <v>48</v>
      </c>
      <c r="G74">
        <v>319</v>
      </c>
      <c r="H74">
        <v>4</v>
      </c>
      <c r="I74">
        <v>10</v>
      </c>
    </row>
    <row r="75" spans="1:9" x14ac:dyDescent="0.3">
      <c r="A75" t="s">
        <v>10</v>
      </c>
      <c r="B75" t="s">
        <v>35</v>
      </c>
      <c r="C75" t="s">
        <v>12</v>
      </c>
      <c r="D75">
        <v>236</v>
      </c>
      <c r="E75">
        <v>0</v>
      </c>
      <c r="F75">
        <v>43</v>
      </c>
      <c r="G75">
        <v>181</v>
      </c>
      <c r="H75">
        <v>3</v>
      </c>
      <c r="I75">
        <v>9</v>
      </c>
    </row>
    <row r="76" spans="1:9" x14ac:dyDescent="0.3">
      <c r="A76" t="s">
        <v>10</v>
      </c>
      <c r="B76" t="s">
        <v>35</v>
      </c>
      <c r="C76" t="s">
        <v>13</v>
      </c>
      <c r="D76">
        <v>145</v>
      </c>
      <c r="E76">
        <v>0</v>
      </c>
      <c r="F76">
        <v>5</v>
      </c>
      <c r="G76">
        <v>138</v>
      </c>
      <c r="H76">
        <v>1</v>
      </c>
      <c r="I76">
        <v>1</v>
      </c>
    </row>
    <row r="77" spans="1:9" x14ac:dyDescent="0.3">
      <c r="A77" t="s">
        <v>10</v>
      </c>
      <c r="B77" t="s">
        <v>36</v>
      </c>
      <c r="C77" t="s">
        <v>9</v>
      </c>
      <c r="D77">
        <v>225</v>
      </c>
      <c r="E77">
        <v>0</v>
      </c>
      <c r="F77">
        <v>27</v>
      </c>
      <c r="G77">
        <v>196</v>
      </c>
      <c r="H77">
        <v>2</v>
      </c>
      <c r="I77">
        <v>0</v>
      </c>
    </row>
    <row r="78" spans="1:9" x14ac:dyDescent="0.3">
      <c r="A78" t="s">
        <v>10</v>
      </c>
      <c r="B78" t="s">
        <v>36</v>
      </c>
      <c r="C78" t="s">
        <v>12</v>
      </c>
      <c r="D78">
        <v>73</v>
      </c>
      <c r="E78">
        <v>0</v>
      </c>
      <c r="F78">
        <v>2</v>
      </c>
      <c r="G78">
        <v>70</v>
      </c>
      <c r="H78">
        <v>1</v>
      </c>
      <c r="I78">
        <v>0</v>
      </c>
    </row>
    <row r="79" spans="1:9" x14ac:dyDescent="0.3">
      <c r="A79" t="s">
        <v>10</v>
      </c>
      <c r="B79" t="s">
        <v>36</v>
      </c>
      <c r="C79" t="s">
        <v>13</v>
      </c>
      <c r="D79">
        <v>152</v>
      </c>
      <c r="E79">
        <v>0</v>
      </c>
      <c r="F79">
        <v>25</v>
      </c>
      <c r="G79">
        <v>126</v>
      </c>
      <c r="H79">
        <v>1</v>
      </c>
      <c r="I79">
        <v>0</v>
      </c>
    </row>
    <row r="80" spans="1:9" x14ac:dyDescent="0.3">
      <c r="A80" t="s">
        <v>10</v>
      </c>
      <c r="B80" t="s">
        <v>37</v>
      </c>
      <c r="C80" t="s">
        <v>9</v>
      </c>
      <c r="D80">
        <v>211</v>
      </c>
      <c r="E80">
        <v>1</v>
      </c>
      <c r="F80">
        <v>11</v>
      </c>
      <c r="G80">
        <v>193</v>
      </c>
      <c r="H80">
        <v>2</v>
      </c>
      <c r="I80">
        <v>4</v>
      </c>
    </row>
    <row r="81" spans="1:9" x14ac:dyDescent="0.3">
      <c r="A81" t="s">
        <v>10</v>
      </c>
      <c r="B81" t="s">
        <v>37</v>
      </c>
      <c r="C81" t="s">
        <v>12</v>
      </c>
      <c r="D81">
        <v>101</v>
      </c>
      <c r="E81">
        <v>1</v>
      </c>
      <c r="F81">
        <v>11</v>
      </c>
      <c r="G81">
        <v>87</v>
      </c>
      <c r="H81">
        <v>1</v>
      </c>
      <c r="I81">
        <v>1</v>
      </c>
    </row>
    <row r="82" spans="1:9" x14ac:dyDescent="0.3">
      <c r="A82" t="s">
        <v>10</v>
      </c>
      <c r="B82" t="s">
        <v>37</v>
      </c>
      <c r="C82" t="s">
        <v>13</v>
      </c>
      <c r="D82">
        <v>110</v>
      </c>
      <c r="E82">
        <v>0</v>
      </c>
      <c r="F82">
        <v>0</v>
      </c>
      <c r="G82">
        <v>106</v>
      </c>
      <c r="H82">
        <v>1</v>
      </c>
      <c r="I82">
        <v>3</v>
      </c>
    </row>
    <row r="83" spans="1:9" x14ac:dyDescent="0.3">
      <c r="A83" t="s">
        <v>10</v>
      </c>
      <c r="B83" t="s">
        <v>38</v>
      </c>
      <c r="C83" t="s">
        <v>9</v>
      </c>
      <c r="D83">
        <v>44</v>
      </c>
      <c r="E83">
        <v>0</v>
      </c>
      <c r="F83">
        <v>3</v>
      </c>
      <c r="G83">
        <v>41</v>
      </c>
      <c r="H83">
        <v>0</v>
      </c>
      <c r="I83">
        <v>0</v>
      </c>
    </row>
    <row r="84" spans="1:9" x14ac:dyDescent="0.3">
      <c r="A84" t="s">
        <v>10</v>
      </c>
      <c r="B84" t="s">
        <v>38</v>
      </c>
      <c r="C84" t="s">
        <v>12</v>
      </c>
      <c r="D84">
        <v>22</v>
      </c>
      <c r="E84">
        <v>0</v>
      </c>
      <c r="F84">
        <v>2</v>
      </c>
      <c r="G84">
        <v>20</v>
      </c>
      <c r="H84">
        <v>0</v>
      </c>
      <c r="I84">
        <v>0</v>
      </c>
    </row>
    <row r="85" spans="1:9" x14ac:dyDescent="0.3">
      <c r="A85" t="s">
        <v>10</v>
      </c>
      <c r="B85" t="s">
        <v>38</v>
      </c>
      <c r="C85" t="s">
        <v>13</v>
      </c>
      <c r="D85">
        <v>22</v>
      </c>
      <c r="E85">
        <v>0</v>
      </c>
      <c r="F85">
        <v>1</v>
      </c>
      <c r="G85">
        <v>21</v>
      </c>
      <c r="H85">
        <v>0</v>
      </c>
      <c r="I85">
        <v>0</v>
      </c>
    </row>
    <row r="86" spans="1:9" x14ac:dyDescent="0.3">
      <c r="A86" t="s">
        <v>10</v>
      </c>
      <c r="B86" t="s">
        <v>39</v>
      </c>
      <c r="C86" t="s">
        <v>9</v>
      </c>
      <c r="D86">
        <v>29</v>
      </c>
      <c r="E86">
        <v>0</v>
      </c>
      <c r="F86">
        <v>3</v>
      </c>
      <c r="G86">
        <v>26</v>
      </c>
      <c r="H86">
        <v>0</v>
      </c>
      <c r="I86">
        <v>0</v>
      </c>
    </row>
    <row r="87" spans="1:9" x14ac:dyDescent="0.3">
      <c r="A87" t="s">
        <v>10</v>
      </c>
      <c r="B87" t="s">
        <v>39</v>
      </c>
      <c r="C87" t="s">
        <v>12</v>
      </c>
      <c r="D87">
        <v>16</v>
      </c>
      <c r="E87">
        <v>0</v>
      </c>
      <c r="F87">
        <v>3</v>
      </c>
      <c r="G87">
        <v>13</v>
      </c>
      <c r="H87">
        <v>0</v>
      </c>
      <c r="I87">
        <v>0</v>
      </c>
    </row>
    <row r="88" spans="1:9" x14ac:dyDescent="0.3">
      <c r="A88" t="s">
        <v>10</v>
      </c>
      <c r="B88" t="s">
        <v>39</v>
      </c>
      <c r="C88" t="s">
        <v>13</v>
      </c>
      <c r="D88">
        <v>13</v>
      </c>
      <c r="E88">
        <v>0</v>
      </c>
      <c r="F88">
        <v>0</v>
      </c>
      <c r="G88">
        <v>13</v>
      </c>
      <c r="H88">
        <v>0</v>
      </c>
      <c r="I88">
        <v>0</v>
      </c>
    </row>
    <row r="89" spans="1:9" x14ac:dyDescent="0.3">
      <c r="A89" t="s">
        <v>10</v>
      </c>
      <c r="B89" t="s">
        <v>40</v>
      </c>
      <c r="C89" t="s">
        <v>9</v>
      </c>
      <c r="D89">
        <v>25</v>
      </c>
      <c r="E89">
        <v>0</v>
      </c>
      <c r="F89">
        <v>0</v>
      </c>
      <c r="G89">
        <v>22</v>
      </c>
      <c r="H89">
        <v>2</v>
      </c>
      <c r="I89">
        <v>1</v>
      </c>
    </row>
    <row r="90" spans="1:9" x14ac:dyDescent="0.3">
      <c r="A90" t="s">
        <v>10</v>
      </c>
      <c r="B90" t="s">
        <v>40</v>
      </c>
      <c r="C90" t="s">
        <v>12</v>
      </c>
      <c r="D90">
        <v>7</v>
      </c>
      <c r="E90">
        <v>0</v>
      </c>
      <c r="F90">
        <v>0</v>
      </c>
      <c r="G90">
        <v>7</v>
      </c>
      <c r="H90">
        <v>0</v>
      </c>
      <c r="I90">
        <v>0</v>
      </c>
    </row>
    <row r="91" spans="1:9" x14ac:dyDescent="0.3">
      <c r="A91" t="s">
        <v>10</v>
      </c>
      <c r="B91" t="s">
        <v>40</v>
      </c>
      <c r="C91" t="s">
        <v>13</v>
      </c>
      <c r="D91">
        <v>18</v>
      </c>
      <c r="E91">
        <v>0</v>
      </c>
      <c r="F91">
        <v>0</v>
      </c>
      <c r="G91">
        <v>15</v>
      </c>
      <c r="H91">
        <v>2</v>
      </c>
      <c r="I91">
        <v>1</v>
      </c>
    </row>
    <row r="92" spans="1:9" x14ac:dyDescent="0.3">
      <c r="A92" t="s">
        <v>10</v>
      </c>
      <c r="B92" t="s">
        <v>41</v>
      </c>
      <c r="C92" t="s">
        <v>9</v>
      </c>
      <c r="D92">
        <v>24</v>
      </c>
      <c r="E92">
        <v>0</v>
      </c>
      <c r="F92">
        <v>1</v>
      </c>
      <c r="G92">
        <v>20</v>
      </c>
      <c r="H92">
        <v>3</v>
      </c>
      <c r="I92">
        <v>0</v>
      </c>
    </row>
    <row r="93" spans="1:9" x14ac:dyDescent="0.3">
      <c r="A93" t="s">
        <v>10</v>
      </c>
      <c r="B93" t="s">
        <v>41</v>
      </c>
      <c r="C93" t="s">
        <v>12</v>
      </c>
      <c r="D93">
        <v>22</v>
      </c>
      <c r="E93">
        <v>0</v>
      </c>
      <c r="F93">
        <v>1</v>
      </c>
      <c r="G93">
        <v>18</v>
      </c>
      <c r="H93">
        <v>3</v>
      </c>
      <c r="I93">
        <v>0</v>
      </c>
    </row>
    <row r="94" spans="1:9" x14ac:dyDescent="0.3">
      <c r="A94" t="s">
        <v>10</v>
      </c>
      <c r="B94" t="s">
        <v>41</v>
      </c>
      <c r="C94" t="s">
        <v>13</v>
      </c>
      <c r="D94">
        <v>2</v>
      </c>
      <c r="E94">
        <v>0</v>
      </c>
      <c r="F94">
        <v>0</v>
      </c>
      <c r="G94">
        <v>2</v>
      </c>
      <c r="H94">
        <v>0</v>
      </c>
      <c r="I94">
        <v>0</v>
      </c>
    </row>
    <row r="95" spans="1:9" x14ac:dyDescent="0.3">
      <c r="A95" t="s">
        <v>10</v>
      </c>
      <c r="B95" t="s">
        <v>42</v>
      </c>
      <c r="C95" t="s">
        <v>9</v>
      </c>
      <c r="D95">
        <v>23</v>
      </c>
      <c r="E95">
        <v>0</v>
      </c>
      <c r="F95">
        <v>0</v>
      </c>
      <c r="G95">
        <v>23</v>
      </c>
      <c r="H95">
        <v>0</v>
      </c>
      <c r="I95">
        <v>0</v>
      </c>
    </row>
    <row r="96" spans="1:9" x14ac:dyDescent="0.3">
      <c r="A96" t="s">
        <v>10</v>
      </c>
      <c r="B96" t="s">
        <v>42</v>
      </c>
      <c r="C96" t="s">
        <v>12</v>
      </c>
      <c r="D96">
        <v>3</v>
      </c>
      <c r="E96">
        <v>0</v>
      </c>
      <c r="F96">
        <v>0</v>
      </c>
      <c r="G96">
        <v>3</v>
      </c>
      <c r="H96">
        <v>0</v>
      </c>
      <c r="I96">
        <v>0</v>
      </c>
    </row>
    <row r="97" spans="1:9" x14ac:dyDescent="0.3">
      <c r="A97" t="s">
        <v>10</v>
      </c>
      <c r="B97" t="s">
        <v>42</v>
      </c>
      <c r="C97" t="s">
        <v>13</v>
      </c>
      <c r="D97">
        <v>20</v>
      </c>
      <c r="E97">
        <v>0</v>
      </c>
      <c r="F97">
        <v>0</v>
      </c>
      <c r="G97">
        <v>20</v>
      </c>
      <c r="H97">
        <v>0</v>
      </c>
      <c r="I97">
        <v>0</v>
      </c>
    </row>
    <row r="98" spans="1:9" x14ac:dyDescent="0.3">
      <c r="A98" t="s">
        <v>10</v>
      </c>
      <c r="B98" t="s">
        <v>43</v>
      </c>
      <c r="C98" t="s">
        <v>9</v>
      </c>
      <c r="D98">
        <v>22</v>
      </c>
      <c r="E98">
        <v>0</v>
      </c>
      <c r="F98">
        <v>0</v>
      </c>
      <c r="G98">
        <v>22</v>
      </c>
      <c r="H98">
        <v>0</v>
      </c>
      <c r="I98">
        <v>0</v>
      </c>
    </row>
    <row r="99" spans="1:9" x14ac:dyDescent="0.3">
      <c r="A99" t="s">
        <v>10</v>
      </c>
      <c r="B99" t="s">
        <v>43</v>
      </c>
      <c r="C99" t="s">
        <v>12</v>
      </c>
      <c r="D99">
        <v>9</v>
      </c>
      <c r="E99">
        <v>0</v>
      </c>
      <c r="F99">
        <v>0</v>
      </c>
      <c r="G99">
        <v>9</v>
      </c>
      <c r="H99">
        <v>0</v>
      </c>
      <c r="I99">
        <v>0</v>
      </c>
    </row>
    <row r="100" spans="1:9" x14ac:dyDescent="0.3">
      <c r="A100" t="s">
        <v>10</v>
      </c>
      <c r="B100" t="s">
        <v>43</v>
      </c>
      <c r="C100" t="s">
        <v>13</v>
      </c>
      <c r="D100">
        <v>13</v>
      </c>
      <c r="E100">
        <v>0</v>
      </c>
      <c r="F100">
        <v>0</v>
      </c>
      <c r="G100">
        <v>13</v>
      </c>
      <c r="H100">
        <v>0</v>
      </c>
      <c r="I100">
        <v>0</v>
      </c>
    </row>
    <row r="101" spans="1:9" x14ac:dyDescent="0.3">
      <c r="A101" t="s">
        <v>10</v>
      </c>
      <c r="B101" t="s">
        <v>44</v>
      </c>
      <c r="C101" t="s">
        <v>9</v>
      </c>
      <c r="D101">
        <v>21</v>
      </c>
      <c r="E101">
        <v>0</v>
      </c>
      <c r="F101">
        <v>0</v>
      </c>
      <c r="G101">
        <v>19</v>
      </c>
      <c r="H101">
        <v>2</v>
      </c>
      <c r="I101">
        <v>0</v>
      </c>
    </row>
    <row r="102" spans="1:9" x14ac:dyDescent="0.3">
      <c r="A102" t="s">
        <v>10</v>
      </c>
      <c r="B102" t="s">
        <v>44</v>
      </c>
      <c r="C102" t="s">
        <v>12</v>
      </c>
      <c r="D102">
        <v>17</v>
      </c>
      <c r="E102">
        <v>0</v>
      </c>
      <c r="F102">
        <v>0</v>
      </c>
      <c r="G102">
        <v>17</v>
      </c>
      <c r="H102">
        <v>0</v>
      </c>
      <c r="I102">
        <v>0</v>
      </c>
    </row>
    <row r="103" spans="1:9" x14ac:dyDescent="0.3">
      <c r="A103" t="s">
        <v>10</v>
      </c>
      <c r="B103" t="s">
        <v>44</v>
      </c>
      <c r="C103" t="s">
        <v>13</v>
      </c>
      <c r="D103">
        <v>4</v>
      </c>
      <c r="E103">
        <v>0</v>
      </c>
      <c r="F103">
        <v>0</v>
      </c>
      <c r="G103">
        <v>2</v>
      </c>
      <c r="H103">
        <v>2</v>
      </c>
      <c r="I103">
        <v>0</v>
      </c>
    </row>
    <row r="104" spans="1:9" x14ac:dyDescent="0.3">
      <c r="A104" t="s">
        <v>10</v>
      </c>
      <c r="B104" t="s">
        <v>45</v>
      </c>
      <c r="C104" t="s">
        <v>9</v>
      </c>
      <c r="D104">
        <v>10</v>
      </c>
      <c r="E104">
        <v>0</v>
      </c>
      <c r="F104">
        <v>0</v>
      </c>
      <c r="G104">
        <v>10</v>
      </c>
      <c r="H104">
        <v>0</v>
      </c>
      <c r="I104">
        <v>0</v>
      </c>
    </row>
    <row r="105" spans="1:9" x14ac:dyDescent="0.3">
      <c r="A105" t="s">
        <v>10</v>
      </c>
      <c r="B105" t="s">
        <v>45</v>
      </c>
      <c r="C105" t="s">
        <v>12</v>
      </c>
      <c r="D105">
        <v>3</v>
      </c>
      <c r="E105">
        <v>0</v>
      </c>
      <c r="F105">
        <v>0</v>
      </c>
      <c r="G105">
        <v>3</v>
      </c>
      <c r="H105">
        <v>0</v>
      </c>
      <c r="I105">
        <v>0</v>
      </c>
    </row>
    <row r="106" spans="1:9" x14ac:dyDescent="0.3">
      <c r="A106" t="s">
        <v>10</v>
      </c>
      <c r="B106" t="s">
        <v>45</v>
      </c>
      <c r="C106" t="s">
        <v>13</v>
      </c>
      <c r="D106">
        <v>7</v>
      </c>
      <c r="E106">
        <v>0</v>
      </c>
      <c r="F106">
        <v>0</v>
      </c>
      <c r="G106">
        <v>7</v>
      </c>
      <c r="H106">
        <v>0</v>
      </c>
      <c r="I106">
        <v>0</v>
      </c>
    </row>
    <row r="107" spans="1:9" x14ac:dyDescent="0.3">
      <c r="A107" t="s">
        <v>10</v>
      </c>
      <c r="B107" t="s">
        <v>46</v>
      </c>
      <c r="C107" t="s">
        <v>9</v>
      </c>
      <c r="D107">
        <v>9</v>
      </c>
      <c r="E107">
        <v>0</v>
      </c>
      <c r="F107">
        <v>1</v>
      </c>
      <c r="G107">
        <v>8</v>
      </c>
      <c r="H107">
        <v>0</v>
      </c>
      <c r="I107">
        <v>0</v>
      </c>
    </row>
    <row r="108" spans="1:9" x14ac:dyDescent="0.3">
      <c r="A108" t="s">
        <v>10</v>
      </c>
      <c r="B108" t="s">
        <v>46</v>
      </c>
      <c r="C108" t="s">
        <v>12</v>
      </c>
      <c r="D108">
        <v>3</v>
      </c>
      <c r="E108">
        <v>0</v>
      </c>
      <c r="F108">
        <v>1</v>
      </c>
      <c r="G108">
        <v>2</v>
      </c>
      <c r="H108">
        <v>0</v>
      </c>
      <c r="I108">
        <v>0</v>
      </c>
    </row>
    <row r="109" spans="1:9" x14ac:dyDescent="0.3">
      <c r="A109" t="s">
        <v>10</v>
      </c>
      <c r="B109" t="s">
        <v>46</v>
      </c>
      <c r="C109" t="s">
        <v>13</v>
      </c>
      <c r="D109">
        <v>6</v>
      </c>
      <c r="E109">
        <v>0</v>
      </c>
      <c r="F109">
        <v>0</v>
      </c>
      <c r="G109">
        <v>6</v>
      </c>
      <c r="H109">
        <v>0</v>
      </c>
      <c r="I109">
        <v>0</v>
      </c>
    </row>
    <row r="110" spans="1:9" x14ac:dyDescent="0.3">
      <c r="A110" t="s">
        <v>10</v>
      </c>
      <c r="B110" t="s">
        <v>47</v>
      </c>
      <c r="C110" t="s">
        <v>9</v>
      </c>
      <c r="D110">
        <v>8</v>
      </c>
      <c r="E110">
        <v>0</v>
      </c>
      <c r="F110">
        <v>1</v>
      </c>
      <c r="G110">
        <v>7</v>
      </c>
      <c r="H110">
        <v>0</v>
      </c>
      <c r="I110">
        <v>0</v>
      </c>
    </row>
    <row r="111" spans="1:9" x14ac:dyDescent="0.3">
      <c r="A111" t="s">
        <v>10</v>
      </c>
      <c r="B111" t="s">
        <v>47</v>
      </c>
      <c r="C111" t="s">
        <v>12</v>
      </c>
      <c r="D111">
        <v>3</v>
      </c>
      <c r="E111">
        <v>0</v>
      </c>
      <c r="F111">
        <v>0</v>
      </c>
      <c r="G111">
        <v>3</v>
      </c>
      <c r="H111">
        <v>0</v>
      </c>
      <c r="I111">
        <v>0</v>
      </c>
    </row>
    <row r="112" spans="1:9" x14ac:dyDescent="0.3">
      <c r="A112" t="s">
        <v>10</v>
      </c>
      <c r="B112" t="s">
        <v>47</v>
      </c>
      <c r="C112" t="s">
        <v>13</v>
      </c>
      <c r="D112">
        <v>5</v>
      </c>
      <c r="E112">
        <v>0</v>
      </c>
      <c r="F112">
        <v>1</v>
      </c>
      <c r="G112">
        <v>4</v>
      </c>
      <c r="H112">
        <v>0</v>
      </c>
      <c r="I112">
        <v>0</v>
      </c>
    </row>
    <row r="113" spans="1:9" x14ac:dyDescent="0.3">
      <c r="A113" t="s">
        <v>10</v>
      </c>
      <c r="B113" t="s">
        <v>48</v>
      </c>
      <c r="C113" t="s">
        <v>9</v>
      </c>
      <c r="D113">
        <v>7</v>
      </c>
      <c r="E113">
        <v>0</v>
      </c>
      <c r="F113">
        <v>1</v>
      </c>
      <c r="G113">
        <v>6</v>
      </c>
      <c r="H113">
        <v>0</v>
      </c>
      <c r="I113">
        <v>0</v>
      </c>
    </row>
    <row r="114" spans="1:9" x14ac:dyDescent="0.3">
      <c r="A114" t="s">
        <v>10</v>
      </c>
      <c r="B114" t="s">
        <v>48</v>
      </c>
      <c r="C114" t="s">
        <v>12</v>
      </c>
      <c r="D114">
        <v>4</v>
      </c>
      <c r="E114">
        <v>0</v>
      </c>
      <c r="F114">
        <v>1</v>
      </c>
      <c r="G114">
        <v>3</v>
      </c>
      <c r="H114">
        <v>0</v>
      </c>
      <c r="I114">
        <v>0</v>
      </c>
    </row>
    <row r="115" spans="1:9" x14ac:dyDescent="0.3">
      <c r="A115" t="s">
        <v>10</v>
      </c>
      <c r="B115" t="s">
        <v>48</v>
      </c>
      <c r="C115" t="s">
        <v>13</v>
      </c>
      <c r="D115">
        <v>3</v>
      </c>
      <c r="E115">
        <v>0</v>
      </c>
      <c r="F115">
        <v>0</v>
      </c>
      <c r="G115">
        <v>3</v>
      </c>
      <c r="H115">
        <v>0</v>
      </c>
      <c r="I115">
        <v>0</v>
      </c>
    </row>
    <row r="116" spans="1:9" x14ac:dyDescent="0.3">
      <c r="A116" t="s">
        <v>10</v>
      </c>
      <c r="B116" t="s">
        <v>49</v>
      </c>
      <c r="C116" t="s">
        <v>9</v>
      </c>
      <c r="D116">
        <v>7</v>
      </c>
      <c r="E116">
        <v>0</v>
      </c>
      <c r="F116">
        <v>0</v>
      </c>
      <c r="G116">
        <v>7</v>
      </c>
      <c r="H116">
        <v>0</v>
      </c>
      <c r="I116">
        <v>0</v>
      </c>
    </row>
    <row r="117" spans="1:9" x14ac:dyDescent="0.3">
      <c r="A117" t="s">
        <v>10</v>
      </c>
      <c r="B117" t="s">
        <v>49</v>
      </c>
      <c r="C117" t="s">
        <v>12</v>
      </c>
      <c r="D117">
        <v>4</v>
      </c>
      <c r="E117">
        <v>0</v>
      </c>
      <c r="F117">
        <v>0</v>
      </c>
      <c r="G117">
        <v>4</v>
      </c>
      <c r="H117">
        <v>0</v>
      </c>
      <c r="I117">
        <v>0</v>
      </c>
    </row>
    <row r="118" spans="1:9" x14ac:dyDescent="0.3">
      <c r="A118" t="s">
        <v>10</v>
      </c>
      <c r="B118" t="s">
        <v>49</v>
      </c>
      <c r="C118" t="s">
        <v>13</v>
      </c>
      <c r="D118">
        <v>3</v>
      </c>
      <c r="E118">
        <v>0</v>
      </c>
      <c r="F118">
        <v>0</v>
      </c>
      <c r="G118">
        <v>3</v>
      </c>
      <c r="H118">
        <v>0</v>
      </c>
      <c r="I118">
        <v>0</v>
      </c>
    </row>
    <row r="119" spans="1:9" x14ac:dyDescent="0.3">
      <c r="A119" t="s">
        <v>10</v>
      </c>
      <c r="B119" t="s">
        <v>50</v>
      </c>
      <c r="C119" t="s">
        <v>9</v>
      </c>
      <c r="D119">
        <v>4</v>
      </c>
      <c r="E119">
        <v>0</v>
      </c>
      <c r="F119">
        <v>0</v>
      </c>
      <c r="G119">
        <v>3</v>
      </c>
      <c r="H119">
        <v>1</v>
      </c>
      <c r="I119">
        <v>0</v>
      </c>
    </row>
    <row r="120" spans="1:9" x14ac:dyDescent="0.3">
      <c r="A120" t="s">
        <v>10</v>
      </c>
      <c r="B120" t="s">
        <v>50</v>
      </c>
      <c r="C120" t="s">
        <v>12</v>
      </c>
      <c r="D120">
        <v>4</v>
      </c>
      <c r="E120">
        <v>0</v>
      </c>
      <c r="F120">
        <v>0</v>
      </c>
      <c r="G120">
        <v>3</v>
      </c>
      <c r="H120">
        <v>1</v>
      </c>
      <c r="I120">
        <v>0</v>
      </c>
    </row>
    <row r="121" spans="1:9" x14ac:dyDescent="0.3">
      <c r="A121" t="s">
        <v>10</v>
      </c>
      <c r="B121" t="s">
        <v>51</v>
      </c>
      <c r="C121" t="s">
        <v>9</v>
      </c>
      <c r="D121">
        <v>4</v>
      </c>
      <c r="E121">
        <v>0</v>
      </c>
      <c r="F121">
        <v>0</v>
      </c>
      <c r="G121">
        <v>4</v>
      </c>
      <c r="H121">
        <v>0</v>
      </c>
      <c r="I121">
        <v>0</v>
      </c>
    </row>
    <row r="122" spans="1:9" x14ac:dyDescent="0.3">
      <c r="A122" t="s">
        <v>10</v>
      </c>
      <c r="B122" t="s">
        <v>51</v>
      </c>
      <c r="C122" t="s">
        <v>12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</row>
    <row r="123" spans="1:9" x14ac:dyDescent="0.3">
      <c r="A123" t="s">
        <v>10</v>
      </c>
      <c r="B123" t="s">
        <v>51</v>
      </c>
      <c r="C123" t="s">
        <v>13</v>
      </c>
      <c r="D123">
        <v>3</v>
      </c>
      <c r="E123">
        <v>0</v>
      </c>
      <c r="F123">
        <v>0</v>
      </c>
      <c r="G123">
        <v>3</v>
      </c>
      <c r="H123">
        <v>0</v>
      </c>
      <c r="I123">
        <v>0</v>
      </c>
    </row>
    <row r="124" spans="1:9" x14ac:dyDescent="0.3">
      <c r="A124" t="s">
        <v>10</v>
      </c>
      <c r="B124" t="s">
        <v>52</v>
      </c>
      <c r="C124" t="s">
        <v>9</v>
      </c>
      <c r="D124">
        <v>3</v>
      </c>
      <c r="E124">
        <v>0</v>
      </c>
      <c r="F124">
        <v>0</v>
      </c>
      <c r="G124">
        <v>3</v>
      </c>
      <c r="H124">
        <v>0</v>
      </c>
      <c r="I124">
        <v>0</v>
      </c>
    </row>
    <row r="125" spans="1:9" x14ac:dyDescent="0.3">
      <c r="A125" t="s">
        <v>10</v>
      </c>
      <c r="B125" t="s">
        <v>52</v>
      </c>
      <c r="C125" t="s">
        <v>12</v>
      </c>
      <c r="D125">
        <v>2</v>
      </c>
      <c r="E125">
        <v>0</v>
      </c>
      <c r="F125">
        <v>0</v>
      </c>
      <c r="G125">
        <v>2</v>
      </c>
      <c r="H125">
        <v>0</v>
      </c>
      <c r="I125">
        <v>0</v>
      </c>
    </row>
    <row r="126" spans="1:9" x14ac:dyDescent="0.3">
      <c r="A126" t="s">
        <v>10</v>
      </c>
      <c r="B126" t="s">
        <v>52</v>
      </c>
      <c r="C126" t="s">
        <v>13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</row>
    <row r="127" spans="1:9" x14ac:dyDescent="0.3">
      <c r="A127" t="s">
        <v>10</v>
      </c>
      <c r="B127" t="s">
        <v>53</v>
      </c>
      <c r="C127" t="s">
        <v>9</v>
      </c>
      <c r="D127">
        <v>3</v>
      </c>
      <c r="E127">
        <v>0</v>
      </c>
      <c r="F127">
        <v>0</v>
      </c>
      <c r="G127">
        <v>3</v>
      </c>
      <c r="H127">
        <v>0</v>
      </c>
      <c r="I127">
        <v>0</v>
      </c>
    </row>
    <row r="128" spans="1:9" x14ac:dyDescent="0.3">
      <c r="A128" t="s">
        <v>10</v>
      </c>
      <c r="B128" t="s">
        <v>53</v>
      </c>
      <c r="C128" t="s">
        <v>12</v>
      </c>
      <c r="D128">
        <v>3</v>
      </c>
      <c r="E128">
        <v>0</v>
      </c>
      <c r="F128">
        <v>0</v>
      </c>
      <c r="G128">
        <v>3</v>
      </c>
      <c r="H128">
        <v>0</v>
      </c>
      <c r="I128">
        <v>0</v>
      </c>
    </row>
    <row r="129" spans="1:9" x14ac:dyDescent="0.3">
      <c r="A129" t="s">
        <v>10</v>
      </c>
      <c r="B129" t="s">
        <v>54</v>
      </c>
      <c r="C129" t="s">
        <v>9</v>
      </c>
      <c r="D129">
        <v>2</v>
      </c>
      <c r="E129">
        <v>0</v>
      </c>
      <c r="F129">
        <v>0</v>
      </c>
      <c r="G129">
        <v>2</v>
      </c>
      <c r="H129">
        <v>0</v>
      </c>
      <c r="I129">
        <v>0</v>
      </c>
    </row>
    <row r="130" spans="1:9" x14ac:dyDescent="0.3">
      <c r="A130" t="s">
        <v>10</v>
      </c>
      <c r="B130" t="s">
        <v>54</v>
      </c>
      <c r="C130" t="s">
        <v>13</v>
      </c>
      <c r="D130">
        <v>2</v>
      </c>
      <c r="E130">
        <v>0</v>
      </c>
      <c r="F130">
        <v>0</v>
      </c>
      <c r="G130">
        <v>2</v>
      </c>
      <c r="H130">
        <v>0</v>
      </c>
      <c r="I130">
        <v>0</v>
      </c>
    </row>
    <row r="131" spans="1:9" x14ac:dyDescent="0.3">
      <c r="A131" t="s">
        <v>10</v>
      </c>
      <c r="B131" t="s">
        <v>55</v>
      </c>
      <c r="C131" t="s">
        <v>9</v>
      </c>
      <c r="D131">
        <v>2</v>
      </c>
      <c r="E131">
        <v>0</v>
      </c>
      <c r="F131">
        <v>0</v>
      </c>
      <c r="G131">
        <v>2</v>
      </c>
      <c r="H131">
        <v>0</v>
      </c>
      <c r="I131">
        <v>0</v>
      </c>
    </row>
    <row r="132" spans="1:9" x14ac:dyDescent="0.3">
      <c r="A132" t="s">
        <v>10</v>
      </c>
      <c r="B132" t="s">
        <v>55</v>
      </c>
      <c r="C132" t="s">
        <v>13</v>
      </c>
      <c r="D132">
        <v>2</v>
      </c>
      <c r="E132">
        <v>0</v>
      </c>
      <c r="F132">
        <v>0</v>
      </c>
      <c r="G132">
        <v>2</v>
      </c>
      <c r="H132">
        <v>0</v>
      </c>
      <c r="I132">
        <v>0</v>
      </c>
    </row>
    <row r="133" spans="1:9" x14ac:dyDescent="0.3">
      <c r="A133" t="s">
        <v>10</v>
      </c>
      <c r="B133" t="s">
        <v>56</v>
      </c>
      <c r="C133" t="s">
        <v>9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</row>
    <row r="134" spans="1:9" x14ac:dyDescent="0.3">
      <c r="A134" t="s">
        <v>10</v>
      </c>
      <c r="B134" t="s">
        <v>56</v>
      </c>
      <c r="C134" t="s">
        <v>13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</row>
    <row r="135" spans="1:9" x14ac:dyDescent="0.3">
      <c r="A135" t="s">
        <v>10</v>
      </c>
      <c r="B135" t="s">
        <v>57</v>
      </c>
      <c r="C135" t="s">
        <v>9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</row>
    <row r="136" spans="1:9" x14ac:dyDescent="0.3">
      <c r="A136" t="s">
        <v>10</v>
      </c>
      <c r="B136" t="s">
        <v>57</v>
      </c>
      <c r="C136" t="s">
        <v>12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</row>
    <row r="137" spans="1:9" x14ac:dyDescent="0.3">
      <c r="A137" t="s">
        <v>10</v>
      </c>
      <c r="B137" t="s">
        <v>58</v>
      </c>
      <c r="C137" t="s">
        <v>9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</row>
    <row r="138" spans="1:9" x14ac:dyDescent="0.3">
      <c r="A138" t="s">
        <v>10</v>
      </c>
      <c r="B138" t="s">
        <v>58</v>
      </c>
      <c r="C138" t="s">
        <v>12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</row>
    <row r="139" spans="1:9" x14ac:dyDescent="0.3">
      <c r="A139" t="s">
        <v>10</v>
      </c>
      <c r="B139" t="s">
        <v>59</v>
      </c>
      <c r="C139" t="s">
        <v>9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</row>
    <row r="140" spans="1:9" x14ac:dyDescent="0.3">
      <c r="A140" t="s">
        <v>10</v>
      </c>
      <c r="B140" t="s">
        <v>59</v>
      </c>
      <c r="C140" t="s">
        <v>13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</row>
    <row r="141" spans="1:9" x14ac:dyDescent="0.3">
      <c r="A141" t="s">
        <v>60</v>
      </c>
      <c r="B141" t="s">
        <v>9</v>
      </c>
      <c r="C141" t="s">
        <v>9</v>
      </c>
      <c r="D141" s="1">
        <v>7203</v>
      </c>
      <c r="E141">
        <v>4</v>
      </c>
      <c r="F141">
        <v>858</v>
      </c>
      <c r="G141" s="1">
        <v>6252</v>
      </c>
      <c r="H141">
        <v>53</v>
      </c>
      <c r="I141">
        <v>36</v>
      </c>
    </row>
    <row r="142" spans="1:9" x14ac:dyDescent="0.3">
      <c r="A142" t="s">
        <v>60</v>
      </c>
      <c r="B142" t="s">
        <v>9</v>
      </c>
      <c r="C142" t="s">
        <v>12</v>
      </c>
      <c r="D142" s="1">
        <f>D145+D148</f>
        <v>4921</v>
      </c>
      <c r="E142" s="1">
        <f t="shared" ref="E142:I142" si="4">E145+E148</f>
        <v>2</v>
      </c>
      <c r="F142" s="1">
        <f t="shared" si="4"/>
        <v>685</v>
      </c>
      <c r="G142" s="1">
        <f t="shared" si="4"/>
        <v>4174</v>
      </c>
      <c r="H142" s="1">
        <f t="shared" si="4"/>
        <v>33</v>
      </c>
      <c r="I142" s="1">
        <f t="shared" si="4"/>
        <v>27</v>
      </c>
    </row>
    <row r="143" spans="1:9" x14ac:dyDescent="0.3">
      <c r="A143" t="s">
        <v>60</v>
      </c>
      <c r="B143" t="s">
        <v>9</v>
      </c>
      <c r="C143" t="s">
        <v>13</v>
      </c>
      <c r="D143" s="1">
        <f>D146+D149</f>
        <v>2282</v>
      </c>
      <c r="E143" s="1">
        <f t="shared" ref="E143:I143" si="5">E146+E149</f>
        <v>2</v>
      </c>
      <c r="F143" s="1">
        <f t="shared" si="5"/>
        <v>173</v>
      </c>
      <c r="G143" s="1">
        <f t="shared" si="5"/>
        <v>2078</v>
      </c>
      <c r="H143" s="1">
        <f t="shared" si="5"/>
        <v>20</v>
      </c>
      <c r="I143" s="1">
        <f t="shared" si="5"/>
        <v>9</v>
      </c>
    </row>
    <row r="144" spans="1:9" x14ac:dyDescent="0.3">
      <c r="A144" t="s">
        <v>60</v>
      </c>
      <c r="B144" t="s">
        <v>61</v>
      </c>
      <c r="C144" t="s">
        <v>9</v>
      </c>
      <c r="D144" s="1">
        <v>5660</v>
      </c>
      <c r="E144">
        <v>3</v>
      </c>
      <c r="F144">
        <v>565</v>
      </c>
      <c r="G144" s="1">
        <v>5021</v>
      </c>
      <c r="H144">
        <v>42</v>
      </c>
      <c r="I144">
        <v>29</v>
      </c>
    </row>
    <row r="145" spans="1:9" x14ac:dyDescent="0.3">
      <c r="A145" t="s">
        <v>60</v>
      </c>
      <c r="B145" t="s">
        <v>61</v>
      </c>
      <c r="C145" t="s">
        <v>12</v>
      </c>
      <c r="D145" s="1">
        <v>3739</v>
      </c>
      <c r="E145">
        <v>1</v>
      </c>
      <c r="F145">
        <v>433</v>
      </c>
      <c r="G145" s="1">
        <v>3259</v>
      </c>
      <c r="H145">
        <v>24</v>
      </c>
      <c r="I145">
        <v>22</v>
      </c>
    </row>
    <row r="146" spans="1:9" x14ac:dyDescent="0.3">
      <c r="A146" t="s">
        <v>60</v>
      </c>
      <c r="B146" t="s">
        <v>61</v>
      </c>
      <c r="C146" t="s">
        <v>13</v>
      </c>
      <c r="D146" s="1">
        <v>1921</v>
      </c>
      <c r="E146">
        <v>2</v>
      </c>
      <c r="F146">
        <v>132</v>
      </c>
      <c r="G146" s="1">
        <v>1762</v>
      </c>
      <c r="H146">
        <v>18</v>
      </c>
      <c r="I146">
        <v>7</v>
      </c>
    </row>
    <row r="147" spans="1:9" x14ac:dyDescent="0.3">
      <c r="A147" t="s">
        <v>60</v>
      </c>
      <c r="B147" t="s">
        <v>62</v>
      </c>
      <c r="C147" t="s">
        <v>9</v>
      </c>
      <c r="D147" s="1">
        <v>1543</v>
      </c>
      <c r="E147">
        <v>1</v>
      </c>
      <c r="F147">
        <v>293</v>
      </c>
      <c r="G147" s="1">
        <v>1231</v>
      </c>
      <c r="H147">
        <v>11</v>
      </c>
      <c r="I147">
        <v>7</v>
      </c>
    </row>
    <row r="148" spans="1:9" x14ac:dyDescent="0.3">
      <c r="A148" t="s">
        <v>60</v>
      </c>
      <c r="B148" t="s">
        <v>62</v>
      </c>
      <c r="C148" t="s">
        <v>12</v>
      </c>
      <c r="D148" s="1">
        <v>1182</v>
      </c>
      <c r="E148">
        <v>1</v>
      </c>
      <c r="F148">
        <v>252</v>
      </c>
      <c r="G148">
        <v>915</v>
      </c>
      <c r="H148">
        <v>9</v>
      </c>
      <c r="I148">
        <v>5</v>
      </c>
    </row>
    <row r="149" spans="1:9" x14ac:dyDescent="0.3">
      <c r="A149" t="s">
        <v>60</v>
      </c>
      <c r="B149" t="s">
        <v>62</v>
      </c>
      <c r="C149" t="s">
        <v>13</v>
      </c>
      <c r="D149">
        <v>361</v>
      </c>
      <c r="E149">
        <v>0</v>
      </c>
      <c r="F149">
        <v>41</v>
      </c>
      <c r="G149">
        <v>316</v>
      </c>
      <c r="H149">
        <v>2</v>
      </c>
      <c r="I149">
        <v>2</v>
      </c>
    </row>
    <row r="150" spans="1:9" x14ac:dyDescent="0.3">
      <c r="A150" t="s">
        <v>63</v>
      </c>
      <c r="B150" t="s">
        <v>9</v>
      </c>
      <c r="C150" t="s">
        <v>9</v>
      </c>
      <c r="D150" s="1">
        <v>1571</v>
      </c>
      <c r="E150">
        <v>0</v>
      </c>
      <c r="F150">
        <v>49</v>
      </c>
      <c r="G150" s="1">
        <v>1496</v>
      </c>
      <c r="H150">
        <v>17</v>
      </c>
      <c r="I150">
        <v>9</v>
      </c>
    </row>
    <row r="151" spans="1:9" x14ac:dyDescent="0.3">
      <c r="A151" t="s">
        <v>63</v>
      </c>
      <c r="B151" t="s">
        <v>9</v>
      </c>
      <c r="C151" t="s">
        <v>12</v>
      </c>
      <c r="D151" s="1">
        <f>D154+D157+D160+D163+D166+D169+D172+D175+D178+D181+D184+D187+D190+D195+D198+D201+D204+D207+D210+D213+D215+D217+D220+D222</f>
        <v>379</v>
      </c>
      <c r="E151" s="1">
        <f t="shared" ref="E151:I151" si="6">E154+E157+E160+E163+E166+E169+E172+E175+E178+E181+E184+E187+E190+E195+E198+E201+E204+E207+E210+E213+E215+E217+E220+E222</f>
        <v>0</v>
      </c>
      <c r="F151" s="1">
        <f t="shared" si="6"/>
        <v>17</v>
      </c>
      <c r="G151" s="1">
        <f t="shared" si="6"/>
        <v>356</v>
      </c>
      <c r="H151" s="1">
        <f t="shared" si="6"/>
        <v>4</v>
      </c>
      <c r="I151" s="1">
        <f t="shared" si="6"/>
        <v>2</v>
      </c>
    </row>
    <row r="152" spans="1:9" x14ac:dyDescent="0.3">
      <c r="A152" t="s">
        <v>63</v>
      </c>
      <c r="B152" t="s">
        <v>9</v>
      </c>
      <c r="C152" t="s">
        <v>13</v>
      </c>
      <c r="D152" s="1">
        <f>D155+D158+D161+D164+D167+D170+D173+D176+D179+D182+D185+D188+D191+D193+D196+D199+D202+D205+D208+D211+D218+D224</f>
        <v>1192</v>
      </c>
      <c r="E152" s="1">
        <f t="shared" ref="E152:I152" si="7">E155+E158+E161+E164+E167+E170+E173+E176+E179+E182+E185+E188+E191+E193+E196+E199+E202+E205+E208+E211+E218+E224</f>
        <v>0</v>
      </c>
      <c r="F152" s="1">
        <f t="shared" si="7"/>
        <v>32</v>
      </c>
      <c r="G152" s="1">
        <f t="shared" si="7"/>
        <v>1140</v>
      </c>
      <c r="H152" s="1">
        <f t="shared" si="7"/>
        <v>13</v>
      </c>
      <c r="I152" s="1">
        <f t="shared" si="7"/>
        <v>7</v>
      </c>
    </row>
    <row r="153" spans="1:9" x14ac:dyDescent="0.3">
      <c r="A153" t="s">
        <v>63</v>
      </c>
      <c r="B153" t="s">
        <v>64</v>
      </c>
      <c r="C153" t="s">
        <v>9</v>
      </c>
      <c r="D153">
        <v>440</v>
      </c>
      <c r="E153">
        <v>0</v>
      </c>
      <c r="F153">
        <v>17</v>
      </c>
      <c r="G153">
        <v>417</v>
      </c>
      <c r="H153">
        <v>4</v>
      </c>
      <c r="I153">
        <v>2</v>
      </c>
    </row>
    <row r="154" spans="1:9" x14ac:dyDescent="0.3">
      <c r="A154" t="s">
        <v>63</v>
      </c>
      <c r="B154" t="s">
        <v>64</v>
      </c>
      <c r="C154" t="s">
        <v>12</v>
      </c>
      <c r="D154">
        <v>112</v>
      </c>
      <c r="E154">
        <v>0</v>
      </c>
      <c r="F154">
        <v>7</v>
      </c>
      <c r="G154">
        <v>104</v>
      </c>
      <c r="H154">
        <v>1</v>
      </c>
      <c r="I154">
        <v>0</v>
      </c>
    </row>
    <row r="155" spans="1:9" x14ac:dyDescent="0.3">
      <c r="A155" t="s">
        <v>63</v>
      </c>
      <c r="B155" t="s">
        <v>64</v>
      </c>
      <c r="C155" t="s">
        <v>13</v>
      </c>
      <c r="D155">
        <v>328</v>
      </c>
      <c r="E155">
        <v>0</v>
      </c>
      <c r="F155">
        <v>10</v>
      </c>
      <c r="G155">
        <v>313</v>
      </c>
      <c r="H155">
        <v>3</v>
      </c>
      <c r="I155">
        <v>2</v>
      </c>
    </row>
    <row r="156" spans="1:9" x14ac:dyDescent="0.3">
      <c r="A156" t="s">
        <v>63</v>
      </c>
      <c r="B156" t="s">
        <v>65</v>
      </c>
      <c r="C156" t="s">
        <v>9</v>
      </c>
      <c r="D156">
        <v>333</v>
      </c>
      <c r="E156">
        <v>0</v>
      </c>
      <c r="F156">
        <v>6</v>
      </c>
      <c r="G156">
        <v>325</v>
      </c>
      <c r="H156">
        <v>0</v>
      </c>
      <c r="I156">
        <v>2</v>
      </c>
    </row>
    <row r="157" spans="1:9" x14ac:dyDescent="0.3">
      <c r="A157" t="s">
        <v>63</v>
      </c>
      <c r="B157" t="s">
        <v>65</v>
      </c>
      <c r="C157" t="s">
        <v>12</v>
      </c>
      <c r="D157">
        <v>75</v>
      </c>
      <c r="E157">
        <v>0</v>
      </c>
      <c r="F157">
        <v>2</v>
      </c>
      <c r="G157">
        <v>73</v>
      </c>
      <c r="H157">
        <v>0</v>
      </c>
      <c r="I157">
        <v>0</v>
      </c>
    </row>
    <row r="158" spans="1:9" x14ac:dyDescent="0.3">
      <c r="A158" t="s">
        <v>63</v>
      </c>
      <c r="B158" t="s">
        <v>65</v>
      </c>
      <c r="C158" t="s">
        <v>13</v>
      </c>
      <c r="D158">
        <v>258</v>
      </c>
      <c r="E158">
        <v>0</v>
      </c>
      <c r="F158">
        <v>4</v>
      </c>
      <c r="G158">
        <v>252</v>
      </c>
      <c r="H158">
        <v>0</v>
      </c>
      <c r="I158">
        <v>2</v>
      </c>
    </row>
    <row r="159" spans="1:9" x14ac:dyDescent="0.3">
      <c r="A159" t="s">
        <v>63</v>
      </c>
      <c r="B159" t="s">
        <v>66</v>
      </c>
      <c r="C159" t="s">
        <v>9</v>
      </c>
      <c r="D159">
        <v>168</v>
      </c>
      <c r="E159">
        <v>0</v>
      </c>
      <c r="F159">
        <v>7</v>
      </c>
      <c r="G159">
        <v>157</v>
      </c>
      <c r="H159">
        <v>4</v>
      </c>
      <c r="I159">
        <v>0</v>
      </c>
    </row>
    <row r="160" spans="1:9" x14ac:dyDescent="0.3">
      <c r="A160" t="s">
        <v>63</v>
      </c>
      <c r="B160" t="s">
        <v>66</v>
      </c>
      <c r="C160" t="s">
        <v>12</v>
      </c>
      <c r="D160">
        <v>38</v>
      </c>
      <c r="E160">
        <v>0</v>
      </c>
      <c r="F160">
        <v>3</v>
      </c>
      <c r="G160">
        <v>33</v>
      </c>
      <c r="H160">
        <v>2</v>
      </c>
      <c r="I160">
        <v>0</v>
      </c>
    </row>
    <row r="161" spans="1:9" x14ac:dyDescent="0.3">
      <c r="A161" t="s">
        <v>63</v>
      </c>
      <c r="B161" t="s">
        <v>66</v>
      </c>
      <c r="C161" t="s">
        <v>13</v>
      </c>
      <c r="D161">
        <v>130</v>
      </c>
      <c r="E161">
        <v>0</v>
      </c>
      <c r="F161">
        <v>4</v>
      </c>
      <c r="G161">
        <v>124</v>
      </c>
      <c r="H161">
        <v>2</v>
      </c>
      <c r="I161">
        <v>0</v>
      </c>
    </row>
    <row r="162" spans="1:9" x14ac:dyDescent="0.3">
      <c r="A162" t="s">
        <v>63</v>
      </c>
      <c r="B162" t="s">
        <v>67</v>
      </c>
      <c r="C162" t="s">
        <v>9</v>
      </c>
      <c r="D162">
        <v>151</v>
      </c>
      <c r="E162">
        <v>0</v>
      </c>
      <c r="F162">
        <v>3</v>
      </c>
      <c r="G162">
        <v>146</v>
      </c>
      <c r="H162">
        <v>1</v>
      </c>
      <c r="I162">
        <v>1</v>
      </c>
    </row>
    <row r="163" spans="1:9" x14ac:dyDescent="0.3">
      <c r="A163" t="s">
        <v>63</v>
      </c>
      <c r="B163" t="s">
        <v>67</v>
      </c>
      <c r="C163" t="s">
        <v>12</v>
      </c>
      <c r="D163">
        <v>47</v>
      </c>
      <c r="E163">
        <v>0</v>
      </c>
      <c r="F163">
        <v>1</v>
      </c>
      <c r="G163">
        <v>45</v>
      </c>
      <c r="H163">
        <v>0</v>
      </c>
      <c r="I163">
        <v>1</v>
      </c>
    </row>
    <row r="164" spans="1:9" x14ac:dyDescent="0.3">
      <c r="A164" t="s">
        <v>63</v>
      </c>
      <c r="B164" t="s">
        <v>67</v>
      </c>
      <c r="C164" t="s">
        <v>13</v>
      </c>
      <c r="D164">
        <v>104</v>
      </c>
      <c r="E164">
        <v>0</v>
      </c>
      <c r="F164">
        <v>2</v>
      </c>
      <c r="G164">
        <v>101</v>
      </c>
      <c r="H164">
        <v>1</v>
      </c>
      <c r="I164">
        <v>0</v>
      </c>
    </row>
    <row r="165" spans="1:9" x14ac:dyDescent="0.3">
      <c r="A165" t="s">
        <v>63</v>
      </c>
      <c r="B165" t="s">
        <v>68</v>
      </c>
      <c r="C165" t="s">
        <v>9</v>
      </c>
      <c r="D165">
        <v>77</v>
      </c>
      <c r="E165">
        <v>0</v>
      </c>
      <c r="F165">
        <v>0</v>
      </c>
      <c r="G165">
        <v>77</v>
      </c>
      <c r="H165">
        <v>0</v>
      </c>
      <c r="I165">
        <v>0</v>
      </c>
    </row>
    <row r="166" spans="1:9" x14ac:dyDescent="0.3">
      <c r="A166" t="s">
        <v>63</v>
      </c>
      <c r="B166" t="s">
        <v>68</v>
      </c>
      <c r="C166" t="s">
        <v>12</v>
      </c>
      <c r="D166">
        <v>13</v>
      </c>
      <c r="E166">
        <v>0</v>
      </c>
      <c r="F166">
        <v>0</v>
      </c>
      <c r="G166">
        <v>13</v>
      </c>
      <c r="H166">
        <v>0</v>
      </c>
      <c r="I166">
        <v>0</v>
      </c>
    </row>
    <row r="167" spans="1:9" x14ac:dyDescent="0.3">
      <c r="A167" t="s">
        <v>63</v>
      </c>
      <c r="B167" t="s">
        <v>68</v>
      </c>
      <c r="C167" t="s">
        <v>13</v>
      </c>
      <c r="D167">
        <v>64</v>
      </c>
      <c r="E167">
        <v>0</v>
      </c>
      <c r="F167">
        <v>0</v>
      </c>
      <c r="G167">
        <v>64</v>
      </c>
      <c r="H167">
        <v>0</v>
      </c>
      <c r="I167">
        <v>0</v>
      </c>
    </row>
    <row r="168" spans="1:9" x14ac:dyDescent="0.3">
      <c r="A168" t="s">
        <v>63</v>
      </c>
      <c r="B168" t="s">
        <v>69</v>
      </c>
      <c r="C168" t="s">
        <v>9</v>
      </c>
      <c r="D168">
        <v>77</v>
      </c>
      <c r="E168">
        <v>0</v>
      </c>
      <c r="F168">
        <v>5</v>
      </c>
      <c r="G168">
        <v>71</v>
      </c>
      <c r="H168">
        <v>0</v>
      </c>
      <c r="I168">
        <v>1</v>
      </c>
    </row>
    <row r="169" spans="1:9" x14ac:dyDescent="0.3">
      <c r="A169" t="s">
        <v>63</v>
      </c>
      <c r="B169" t="s">
        <v>69</v>
      </c>
      <c r="C169" t="s">
        <v>12</v>
      </c>
      <c r="D169">
        <v>18</v>
      </c>
      <c r="E169">
        <v>0</v>
      </c>
      <c r="F169">
        <v>2</v>
      </c>
      <c r="G169">
        <v>15</v>
      </c>
      <c r="H169">
        <v>0</v>
      </c>
      <c r="I169">
        <v>1</v>
      </c>
    </row>
    <row r="170" spans="1:9" x14ac:dyDescent="0.3">
      <c r="A170" t="s">
        <v>63</v>
      </c>
      <c r="B170" t="s">
        <v>69</v>
      </c>
      <c r="C170" t="s">
        <v>13</v>
      </c>
      <c r="D170">
        <v>59</v>
      </c>
      <c r="E170">
        <v>0</v>
      </c>
      <c r="F170">
        <v>3</v>
      </c>
      <c r="G170">
        <v>56</v>
      </c>
      <c r="H170">
        <v>0</v>
      </c>
      <c r="I170">
        <v>0</v>
      </c>
    </row>
    <row r="171" spans="1:9" x14ac:dyDescent="0.3">
      <c r="A171" t="s">
        <v>63</v>
      </c>
      <c r="B171" t="s">
        <v>70</v>
      </c>
      <c r="C171" t="s">
        <v>9</v>
      </c>
      <c r="D171">
        <v>55</v>
      </c>
      <c r="E171">
        <v>0</v>
      </c>
      <c r="F171">
        <v>0</v>
      </c>
      <c r="G171">
        <v>55</v>
      </c>
      <c r="H171">
        <v>0</v>
      </c>
      <c r="I171">
        <v>0</v>
      </c>
    </row>
    <row r="172" spans="1:9" x14ac:dyDescent="0.3">
      <c r="A172" t="s">
        <v>63</v>
      </c>
      <c r="B172" t="s">
        <v>70</v>
      </c>
      <c r="C172" t="s">
        <v>12</v>
      </c>
      <c r="D172">
        <v>7</v>
      </c>
      <c r="E172">
        <v>0</v>
      </c>
      <c r="F172">
        <v>0</v>
      </c>
      <c r="G172">
        <v>7</v>
      </c>
      <c r="H172">
        <v>0</v>
      </c>
      <c r="I172">
        <v>0</v>
      </c>
    </row>
    <row r="173" spans="1:9" x14ac:dyDescent="0.3">
      <c r="A173" t="s">
        <v>63</v>
      </c>
      <c r="B173" t="s">
        <v>70</v>
      </c>
      <c r="C173" t="s">
        <v>13</v>
      </c>
      <c r="D173">
        <v>48</v>
      </c>
      <c r="E173">
        <v>0</v>
      </c>
      <c r="F173">
        <v>0</v>
      </c>
      <c r="G173">
        <v>48</v>
      </c>
      <c r="H173">
        <v>0</v>
      </c>
      <c r="I173">
        <v>0</v>
      </c>
    </row>
    <row r="174" spans="1:9" x14ac:dyDescent="0.3">
      <c r="A174" t="s">
        <v>63</v>
      </c>
      <c r="B174" t="s">
        <v>71</v>
      </c>
      <c r="C174" t="s">
        <v>9</v>
      </c>
      <c r="D174">
        <v>52</v>
      </c>
      <c r="E174">
        <v>0</v>
      </c>
      <c r="F174">
        <v>0</v>
      </c>
      <c r="G174">
        <v>50</v>
      </c>
      <c r="H174">
        <v>1</v>
      </c>
      <c r="I174">
        <v>1</v>
      </c>
    </row>
    <row r="175" spans="1:9" x14ac:dyDescent="0.3">
      <c r="A175" t="s">
        <v>63</v>
      </c>
      <c r="B175" t="s">
        <v>71</v>
      </c>
      <c r="C175" t="s">
        <v>12</v>
      </c>
      <c r="D175">
        <v>16</v>
      </c>
      <c r="E175">
        <v>0</v>
      </c>
      <c r="F175">
        <v>0</v>
      </c>
      <c r="G175">
        <v>16</v>
      </c>
      <c r="H175">
        <v>0</v>
      </c>
      <c r="I175">
        <v>0</v>
      </c>
    </row>
    <row r="176" spans="1:9" x14ac:dyDescent="0.3">
      <c r="A176" t="s">
        <v>63</v>
      </c>
      <c r="B176" t="s">
        <v>71</v>
      </c>
      <c r="C176" t="s">
        <v>13</v>
      </c>
      <c r="D176">
        <v>36</v>
      </c>
      <c r="E176">
        <v>0</v>
      </c>
      <c r="F176">
        <v>0</v>
      </c>
      <c r="G176">
        <v>34</v>
      </c>
      <c r="H176">
        <v>1</v>
      </c>
      <c r="I176">
        <v>1</v>
      </c>
    </row>
    <row r="177" spans="1:9" x14ac:dyDescent="0.3">
      <c r="A177" t="s">
        <v>63</v>
      </c>
      <c r="B177" t="s">
        <v>72</v>
      </c>
      <c r="C177" t="s">
        <v>9</v>
      </c>
      <c r="D177">
        <v>32</v>
      </c>
      <c r="E177">
        <v>0</v>
      </c>
      <c r="F177">
        <v>4</v>
      </c>
      <c r="G177">
        <v>28</v>
      </c>
      <c r="H177">
        <v>0</v>
      </c>
      <c r="I177">
        <v>0</v>
      </c>
    </row>
    <row r="178" spans="1:9" x14ac:dyDescent="0.3">
      <c r="A178" t="s">
        <v>63</v>
      </c>
      <c r="B178" t="s">
        <v>72</v>
      </c>
      <c r="C178" t="s">
        <v>12</v>
      </c>
      <c r="D178">
        <v>5</v>
      </c>
      <c r="E178">
        <v>0</v>
      </c>
      <c r="F178">
        <v>1</v>
      </c>
      <c r="G178">
        <v>4</v>
      </c>
      <c r="H178">
        <v>0</v>
      </c>
      <c r="I178">
        <v>0</v>
      </c>
    </row>
    <row r="179" spans="1:9" x14ac:dyDescent="0.3">
      <c r="A179" t="s">
        <v>63</v>
      </c>
      <c r="B179" t="s">
        <v>72</v>
      </c>
      <c r="C179" t="s">
        <v>13</v>
      </c>
      <c r="D179">
        <v>27</v>
      </c>
      <c r="E179">
        <v>0</v>
      </c>
      <c r="F179">
        <v>3</v>
      </c>
      <c r="G179">
        <v>24</v>
      </c>
      <c r="H179">
        <v>0</v>
      </c>
      <c r="I179">
        <v>0</v>
      </c>
    </row>
    <row r="180" spans="1:9" x14ac:dyDescent="0.3">
      <c r="A180" t="s">
        <v>63</v>
      </c>
      <c r="B180" t="s">
        <v>73</v>
      </c>
      <c r="C180" t="s">
        <v>9</v>
      </c>
      <c r="D180">
        <v>26</v>
      </c>
      <c r="E180">
        <v>0</v>
      </c>
      <c r="F180">
        <v>1</v>
      </c>
      <c r="G180">
        <v>25</v>
      </c>
      <c r="H180">
        <v>0</v>
      </c>
      <c r="I180">
        <v>0</v>
      </c>
    </row>
    <row r="181" spans="1:9" x14ac:dyDescent="0.3">
      <c r="A181" t="s">
        <v>63</v>
      </c>
      <c r="B181" t="s">
        <v>73</v>
      </c>
      <c r="C181" t="s">
        <v>12</v>
      </c>
      <c r="D181">
        <v>5</v>
      </c>
      <c r="E181">
        <v>0</v>
      </c>
      <c r="F181">
        <v>0</v>
      </c>
      <c r="G181">
        <v>5</v>
      </c>
      <c r="H181">
        <v>0</v>
      </c>
      <c r="I181">
        <v>0</v>
      </c>
    </row>
    <row r="182" spans="1:9" x14ac:dyDescent="0.3">
      <c r="A182" t="s">
        <v>63</v>
      </c>
      <c r="B182" t="s">
        <v>73</v>
      </c>
      <c r="C182" t="s">
        <v>13</v>
      </c>
      <c r="D182">
        <v>21</v>
      </c>
      <c r="E182">
        <v>0</v>
      </c>
      <c r="F182">
        <v>1</v>
      </c>
      <c r="G182">
        <v>20</v>
      </c>
      <c r="H182">
        <v>0</v>
      </c>
      <c r="I182">
        <v>0</v>
      </c>
    </row>
    <row r="183" spans="1:9" x14ac:dyDescent="0.3">
      <c r="A183" t="s">
        <v>63</v>
      </c>
      <c r="B183" t="s">
        <v>74</v>
      </c>
      <c r="C183" t="s">
        <v>9</v>
      </c>
      <c r="D183">
        <v>23</v>
      </c>
      <c r="E183">
        <v>0</v>
      </c>
      <c r="F183">
        <v>1</v>
      </c>
      <c r="G183">
        <v>20</v>
      </c>
      <c r="H183">
        <v>2</v>
      </c>
      <c r="I183">
        <v>0</v>
      </c>
    </row>
    <row r="184" spans="1:9" x14ac:dyDescent="0.3">
      <c r="A184" t="s">
        <v>63</v>
      </c>
      <c r="B184" t="s">
        <v>74</v>
      </c>
      <c r="C184" t="s">
        <v>12</v>
      </c>
      <c r="D184">
        <v>2</v>
      </c>
      <c r="E184">
        <v>0</v>
      </c>
      <c r="F184">
        <v>0</v>
      </c>
      <c r="G184">
        <v>2</v>
      </c>
      <c r="H184">
        <v>0</v>
      </c>
      <c r="I184">
        <v>0</v>
      </c>
    </row>
    <row r="185" spans="1:9" x14ac:dyDescent="0.3">
      <c r="A185" t="s">
        <v>63</v>
      </c>
      <c r="B185" t="s">
        <v>74</v>
      </c>
      <c r="C185" t="s">
        <v>13</v>
      </c>
      <c r="D185">
        <v>21</v>
      </c>
      <c r="E185">
        <v>0</v>
      </c>
      <c r="F185">
        <v>1</v>
      </c>
      <c r="G185">
        <v>18</v>
      </c>
      <c r="H185">
        <v>2</v>
      </c>
      <c r="I185">
        <v>0</v>
      </c>
    </row>
    <row r="186" spans="1:9" x14ac:dyDescent="0.3">
      <c r="A186" t="s">
        <v>63</v>
      </c>
      <c r="B186" t="s">
        <v>75</v>
      </c>
      <c r="C186" t="s">
        <v>9</v>
      </c>
      <c r="D186">
        <v>20</v>
      </c>
      <c r="E186">
        <v>0</v>
      </c>
      <c r="F186">
        <v>3</v>
      </c>
      <c r="G186">
        <v>17</v>
      </c>
      <c r="H186">
        <v>0</v>
      </c>
      <c r="I186">
        <v>0</v>
      </c>
    </row>
    <row r="187" spans="1:9" x14ac:dyDescent="0.3">
      <c r="A187" t="s">
        <v>63</v>
      </c>
      <c r="B187" t="s">
        <v>75</v>
      </c>
      <c r="C187" t="s">
        <v>12</v>
      </c>
      <c r="D187">
        <v>3</v>
      </c>
      <c r="E187">
        <v>0</v>
      </c>
      <c r="F187">
        <v>0</v>
      </c>
      <c r="G187">
        <v>3</v>
      </c>
      <c r="H187">
        <v>0</v>
      </c>
      <c r="I187">
        <v>0</v>
      </c>
    </row>
    <row r="188" spans="1:9" x14ac:dyDescent="0.3">
      <c r="A188" t="s">
        <v>63</v>
      </c>
      <c r="B188" t="s">
        <v>75</v>
      </c>
      <c r="C188" t="s">
        <v>13</v>
      </c>
      <c r="D188">
        <v>17</v>
      </c>
      <c r="E188">
        <v>0</v>
      </c>
      <c r="F188">
        <v>3</v>
      </c>
      <c r="G188">
        <v>14</v>
      </c>
      <c r="H188">
        <v>0</v>
      </c>
      <c r="I188">
        <v>0</v>
      </c>
    </row>
    <row r="189" spans="1:9" x14ac:dyDescent="0.3">
      <c r="A189" t="s">
        <v>63</v>
      </c>
      <c r="B189" t="s">
        <v>76</v>
      </c>
      <c r="C189" t="s">
        <v>9</v>
      </c>
      <c r="D189">
        <v>18</v>
      </c>
      <c r="E189">
        <v>0</v>
      </c>
      <c r="F189">
        <v>0</v>
      </c>
      <c r="G189">
        <v>18</v>
      </c>
      <c r="H189">
        <v>0</v>
      </c>
      <c r="I189">
        <v>0</v>
      </c>
    </row>
    <row r="190" spans="1:9" x14ac:dyDescent="0.3">
      <c r="A190" t="s">
        <v>63</v>
      </c>
      <c r="B190" t="s">
        <v>76</v>
      </c>
      <c r="C190" t="s">
        <v>12</v>
      </c>
      <c r="D190">
        <v>11</v>
      </c>
      <c r="E190">
        <v>0</v>
      </c>
      <c r="F190">
        <v>0</v>
      </c>
      <c r="G190">
        <v>11</v>
      </c>
      <c r="H190">
        <v>0</v>
      </c>
      <c r="I190">
        <v>0</v>
      </c>
    </row>
    <row r="191" spans="1:9" x14ac:dyDescent="0.3">
      <c r="A191" t="s">
        <v>63</v>
      </c>
      <c r="B191" t="s">
        <v>76</v>
      </c>
      <c r="C191" t="s">
        <v>13</v>
      </c>
      <c r="D191">
        <v>7</v>
      </c>
      <c r="E191">
        <v>0</v>
      </c>
      <c r="F191">
        <v>0</v>
      </c>
      <c r="G191">
        <v>7</v>
      </c>
      <c r="H191">
        <v>0</v>
      </c>
      <c r="I191">
        <v>0</v>
      </c>
    </row>
    <row r="192" spans="1:9" x14ac:dyDescent="0.3">
      <c r="A192" t="s">
        <v>63</v>
      </c>
      <c r="B192" t="s">
        <v>77</v>
      </c>
      <c r="C192" t="s">
        <v>9</v>
      </c>
      <c r="D192">
        <v>18</v>
      </c>
      <c r="E192">
        <v>0</v>
      </c>
      <c r="F192">
        <v>0</v>
      </c>
      <c r="G192">
        <v>15</v>
      </c>
      <c r="H192">
        <v>2</v>
      </c>
      <c r="I192">
        <v>1</v>
      </c>
    </row>
    <row r="193" spans="1:9" x14ac:dyDescent="0.3">
      <c r="A193" t="s">
        <v>63</v>
      </c>
      <c r="B193" t="s">
        <v>77</v>
      </c>
      <c r="C193" t="s">
        <v>13</v>
      </c>
      <c r="D193">
        <v>18</v>
      </c>
      <c r="E193">
        <v>0</v>
      </c>
      <c r="F193">
        <v>0</v>
      </c>
      <c r="G193">
        <v>15</v>
      </c>
      <c r="H193">
        <v>2</v>
      </c>
      <c r="I193">
        <v>1</v>
      </c>
    </row>
    <row r="194" spans="1:9" x14ac:dyDescent="0.3">
      <c r="A194" t="s">
        <v>63</v>
      </c>
      <c r="B194" t="s">
        <v>78</v>
      </c>
      <c r="C194" t="s">
        <v>9</v>
      </c>
      <c r="D194">
        <v>16</v>
      </c>
      <c r="E194">
        <v>0</v>
      </c>
      <c r="F194">
        <v>0</v>
      </c>
      <c r="G194">
        <v>16</v>
      </c>
      <c r="H194">
        <v>0</v>
      </c>
      <c r="I194">
        <v>0</v>
      </c>
    </row>
    <row r="195" spans="1:9" x14ac:dyDescent="0.3">
      <c r="A195" t="s">
        <v>63</v>
      </c>
      <c r="B195" t="s">
        <v>78</v>
      </c>
      <c r="C195" t="s">
        <v>12</v>
      </c>
      <c r="D195">
        <v>2</v>
      </c>
      <c r="E195">
        <v>0</v>
      </c>
      <c r="F195">
        <v>0</v>
      </c>
      <c r="G195">
        <v>2</v>
      </c>
      <c r="H195">
        <v>0</v>
      </c>
      <c r="I195">
        <v>0</v>
      </c>
    </row>
    <row r="196" spans="1:9" x14ac:dyDescent="0.3">
      <c r="A196" t="s">
        <v>63</v>
      </c>
      <c r="B196" t="s">
        <v>78</v>
      </c>
      <c r="C196" t="s">
        <v>13</v>
      </c>
      <c r="D196">
        <v>14</v>
      </c>
      <c r="E196">
        <v>0</v>
      </c>
      <c r="F196">
        <v>0</v>
      </c>
      <c r="G196">
        <v>14</v>
      </c>
      <c r="H196">
        <v>0</v>
      </c>
      <c r="I196">
        <v>0</v>
      </c>
    </row>
    <row r="197" spans="1:9" x14ac:dyDescent="0.3">
      <c r="A197" t="s">
        <v>63</v>
      </c>
      <c r="B197" t="s">
        <v>79</v>
      </c>
      <c r="C197" t="s">
        <v>9</v>
      </c>
      <c r="D197">
        <v>14</v>
      </c>
      <c r="E197">
        <v>0</v>
      </c>
      <c r="F197">
        <v>0</v>
      </c>
      <c r="G197">
        <v>14</v>
      </c>
      <c r="H197">
        <v>0</v>
      </c>
      <c r="I197">
        <v>0</v>
      </c>
    </row>
    <row r="198" spans="1:9" x14ac:dyDescent="0.3">
      <c r="A198" t="s">
        <v>63</v>
      </c>
      <c r="B198" t="s">
        <v>79</v>
      </c>
      <c r="C198" t="s">
        <v>12</v>
      </c>
      <c r="D198">
        <v>3</v>
      </c>
      <c r="E198">
        <v>0</v>
      </c>
      <c r="F198">
        <v>0</v>
      </c>
      <c r="G198">
        <v>3</v>
      </c>
      <c r="H198">
        <v>0</v>
      </c>
      <c r="I198">
        <v>0</v>
      </c>
    </row>
    <row r="199" spans="1:9" x14ac:dyDescent="0.3">
      <c r="A199" t="s">
        <v>63</v>
      </c>
      <c r="B199" t="s">
        <v>79</v>
      </c>
      <c r="C199" t="s">
        <v>13</v>
      </c>
      <c r="D199">
        <v>11</v>
      </c>
      <c r="E199">
        <v>0</v>
      </c>
      <c r="F199">
        <v>0</v>
      </c>
      <c r="G199">
        <v>11</v>
      </c>
      <c r="H199">
        <v>0</v>
      </c>
      <c r="I199">
        <v>0</v>
      </c>
    </row>
    <row r="200" spans="1:9" x14ac:dyDescent="0.3">
      <c r="A200" t="s">
        <v>63</v>
      </c>
      <c r="B200" t="s">
        <v>80</v>
      </c>
      <c r="C200" t="s">
        <v>9</v>
      </c>
      <c r="D200">
        <v>14</v>
      </c>
      <c r="E200">
        <v>0</v>
      </c>
      <c r="F200">
        <v>0</v>
      </c>
      <c r="G200">
        <v>14</v>
      </c>
      <c r="H200">
        <v>0</v>
      </c>
      <c r="I200">
        <v>0</v>
      </c>
    </row>
    <row r="201" spans="1:9" x14ac:dyDescent="0.3">
      <c r="A201" t="s">
        <v>63</v>
      </c>
      <c r="B201" t="s">
        <v>80</v>
      </c>
      <c r="C201" t="s">
        <v>12</v>
      </c>
      <c r="D201">
        <v>3</v>
      </c>
      <c r="E201">
        <v>0</v>
      </c>
      <c r="F201">
        <v>0</v>
      </c>
      <c r="G201">
        <v>3</v>
      </c>
      <c r="H201">
        <v>0</v>
      </c>
      <c r="I201">
        <v>0</v>
      </c>
    </row>
    <row r="202" spans="1:9" x14ac:dyDescent="0.3">
      <c r="A202" t="s">
        <v>63</v>
      </c>
      <c r="B202" t="s">
        <v>80</v>
      </c>
      <c r="C202" t="s">
        <v>13</v>
      </c>
      <c r="D202">
        <v>11</v>
      </c>
      <c r="E202">
        <v>0</v>
      </c>
      <c r="F202">
        <v>0</v>
      </c>
      <c r="G202">
        <v>11</v>
      </c>
      <c r="H202">
        <v>0</v>
      </c>
      <c r="I202">
        <v>0</v>
      </c>
    </row>
    <row r="203" spans="1:9" x14ac:dyDescent="0.3">
      <c r="A203" t="s">
        <v>63</v>
      </c>
      <c r="B203" t="s">
        <v>81</v>
      </c>
      <c r="C203" t="s">
        <v>9</v>
      </c>
      <c r="D203">
        <v>13</v>
      </c>
      <c r="E203">
        <v>0</v>
      </c>
      <c r="F203">
        <v>0</v>
      </c>
      <c r="G203">
        <v>11</v>
      </c>
      <c r="H203">
        <v>2</v>
      </c>
      <c r="I203">
        <v>0</v>
      </c>
    </row>
    <row r="204" spans="1:9" x14ac:dyDescent="0.3">
      <c r="A204" t="s">
        <v>63</v>
      </c>
      <c r="B204" t="s">
        <v>81</v>
      </c>
      <c r="C204" t="s">
        <v>12</v>
      </c>
      <c r="D204">
        <v>2</v>
      </c>
      <c r="E204">
        <v>0</v>
      </c>
      <c r="F204">
        <v>0</v>
      </c>
      <c r="G204">
        <v>2</v>
      </c>
      <c r="H204">
        <v>0</v>
      </c>
      <c r="I204">
        <v>0</v>
      </c>
    </row>
    <row r="205" spans="1:9" x14ac:dyDescent="0.3">
      <c r="A205" t="s">
        <v>63</v>
      </c>
      <c r="B205" t="s">
        <v>81</v>
      </c>
      <c r="C205" t="s">
        <v>13</v>
      </c>
      <c r="D205">
        <v>11</v>
      </c>
      <c r="E205">
        <v>0</v>
      </c>
      <c r="F205">
        <v>0</v>
      </c>
      <c r="G205">
        <v>9</v>
      </c>
      <c r="H205">
        <v>2</v>
      </c>
      <c r="I205">
        <v>0</v>
      </c>
    </row>
    <row r="206" spans="1:9" x14ac:dyDescent="0.3">
      <c r="A206" t="s">
        <v>63</v>
      </c>
      <c r="B206" t="s">
        <v>82</v>
      </c>
      <c r="C206" t="s">
        <v>9</v>
      </c>
      <c r="D206">
        <v>10</v>
      </c>
      <c r="E206">
        <v>0</v>
      </c>
      <c r="F206">
        <v>1</v>
      </c>
      <c r="G206">
        <v>9</v>
      </c>
      <c r="H206">
        <v>0</v>
      </c>
      <c r="I206">
        <v>0</v>
      </c>
    </row>
    <row r="207" spans="1:9" x14ac:dyDescent="0.3">
      <c r="A207" t="s">
        <v>63</v>
      </c>
      <c r="B207" t="s">
        <v>82</v>
      </c>
      <c r="C207" t="s">
        <v>12</v>
      </c>
      <c r="D207">
        <v>6</v>
      </c>
      <c r="E207">
        <v>0</v>
      </c>
      <c r="F207">
        <v>0</v>
      </c>
      <c r="G207">
        <v>6</v>
      </c>
      <c r="H207">
        <v>0</v>
      </c>
      <c r="I207">
        <v>0</v>
      </c>
    </row>
    <row r="208" spans="1:9" x14ac:dyDescent="0.3">
      <c r="A208" t="s">
        <v>63</v>
      </c>
      <c r="B208" t="s">
        <v>82</v>
      </c>
      <c r="C208" t="s">
        <v>13</v>
      </c>
      <c r="D208">
        <v>4</v>
      </c>
      <c r="E208">
        <v>0</v>
      </c>
      <c r="F208">
        <v>1</v>
      </c>
      <c r="G208">
        <v>3</v>
      </c>
      <c r="H208">
        <v>0</v>
      </c>
      <c r="I208">
        <v>0</v>
      </c>
    </row>
    <row r="209" spans="1:9" x14ac:dyDescent="0.3">
      <c r="A209" t="s">
        <v>63</v>
      </c>
      <c r="B209" t="s">
        <v>83</v>
      </c>
      <c r="C209" t="s">
        <v>9</v>
      </c>
      <c r="D209">
        <v>5</v>
      </c>
      <c r="E209">
        <v>0</v>
      </c>
      <c r="F209">
        <v>1</v>
      </c>
      <c r="G209">
        <v>4</v>
      </c>
      <c r="H209">
        <v>0</v>
      </c>
      <c r="I209">
        <v>0</v>
      </c>
    </row>
    <row r="210" spans="1:9" x14ac:dyDescent="0.3">
      <c r="A210" t="s">
        <v>63</v>
      </c>
      <c r="B210" t="s">
        <v>83</v>
      </c>
      <c r="C210" t="s">
        <v>12</v>
      </c>
      <c r="D210">
        <v>4</v>
      </c>
      <c r="E210">
        <v>0</v>
      </c>
      <c r="F210">
        <v>1</v>
      </c>
      <c r="G210">
        <v>3</v>
      </c>
      <c r="H210">
        <v>0</v>
      </c>
      <c r="I210">
        <v>0</v>
      </c>
    </row>
    <row r="211" spans="1:9" x14ac:dyDescent="0.3">
      <c r="A211" t="s">
        <v>63</v>
      </c>
      <c r="B211" t="s">
        <v>83</v>
      </c>
      <c r="C211" t="s">
        <v>13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0</v>
      </c>
    </row>
    <row r="212" spans="1:9" x14ac:dyDescent="0.3">
      <c r="A212" t="s">
        <v>63</v>
      </c>
      <c r="B212" t="s">
        <v>84</v>
      </c>
      <c r="C212" t="s">
        <v>9</v>
      </c>
      <c r="D212">
        <v>2</v>
      </c>
      <c r="E212">
        <v>0</v>
      </c>
      <c r="F212">
        <v>0</v>
      </c>
      <c r="G212">
        <v>2</v>
      </c>
      <c r="H212">
        <v>0</v>
      </c>
      <c r="I212">
        <v>0</v>
      </c>
    </row>
    <row r="213" spans="1:9" x14ac:dyDescent="0.3">
      <c r="A213" t="s">
        <v>63</v>
      </c>
      <c r="B213" t="s">
        <v>84</v>
      </c>
      <c r="C213" t="s">
        <v>12</v>
      </c>
      <c r="D213">
        <v>2</v>
      </c>
      <c r="E213">
        <v>0</v>
      </c>
      <c r="F213">
        <v>0</v>
      </c>
      <c r="G213">
        <v>2</v>
      </c>
      <c r="H213">
        <v>0</v>
      </c>
      <c r="I213">
        <v>0</v>
      </c>
    </row>
    <row r="214" spans="1:9" x14ac:dyDescent="0.3">
      <c r="A214" t="s">
        <v>63</v>
      </c>
      <c r="B214" t="s">
        <v>85</v>
      </c>
      <c r="C214" t="s">
        <v>9</v>
      </c>
      <c r="D214">
        <v>2</v>
      </c>
      <c r="E214">
        <v>0</v>
      </c>
      <c r="F214">
        <v>0</v>
      </c>
      <c r="G214">
        <v>1</v>
      </c>
      <c r="H214">
        <v>1</v>
      </c>
      <c r="I214">
        <v>0</v>
      </c>
    </row>
    <row r="215" spans="1:9" x14ac:dyDescent="0.3">
      <c r="A215" t="s">
        <v>63</v>
      </c>
      <c r="B215" t="s">
        <v>85</v>
      </c>
      <c r="C215" t="s">
        <v>12</v>
      </c>
      <c r="D215">
        <v>2</v>
      </c>
      <c r="E215">
        <v>0</v>
      </c>
      <c r="F215">
        <v>0</v>
      </c>
      <c r="G215">
        <v>1</v>
      </c>
      <c r="H215">
        <v>1</v>
      </c>
      <c r="I215">
        <v>0</v>
      </c>
    </row>
    <row r="216" spans="1:9" x14ac:dyDescent="0.3">
      <c r="A216" t="s">
        <v>63</v>
      </c>
      <c r="B216" t="s">
        <v>86</v>
      </c>
      <c r="C216" t="s">
        <v>9</v>
      </c>
      <c r="D216">
        <v>2</v>
      </c>
      <c r="E216">
        <v>0</v>
      </c>
      <c r="F216">
        <v>0</v>
      </c>
      <c r="G216">
        <v>1</v>
      </c>
      <c r="H216">
        <v>0</v>
      </c>
      <c r="I216">
        <v>1</v>
      </c>
    </row>
    <row r="217" spans="1:9" x14ac:dyDescent="0.3">
      <c r="A217" t="s">
        <v>63</v>
      </c>
      <c r="B217" t="s">
        <v>86</v>
      </c>
      <c r="C217" t="s">
        <v>12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</row>
    <row r="218" spans="1:9" x14ac:dyDescent="0.3">
      <c r="A218" t="s">
        <v>63</v>
      </c>
      <c r="B218" t="s">
        <v>86</v>
      </c>
      <c r="C218" t="s">
        <v>13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1</v>
      </c>
    </row>
    <row r="219" spans="1:9" x14ac:dyDescent="0.3">
      <c r="A219" t="s">
        <v>63</v>
      </c>
      <c r="B219" t="s">
        <v>87</v>
      </c>
      <c r="C219" t="s">
        <v>9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0</v>
      </c>
    </row>
    <row r="220" spans="1:9" x14ac:dyDescent="0.3">
      <c r="A220" t="s">
        <v>63</v>
      </c>
      <c r="B220" t="s">
        <v>87</v>
      </c>
      <c r="C220" t="s">
        <v>12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0</v>
      </c>
    </row>
    <row r="221" spans="1:9" x14ac:dyDescent="0.3">
      <c r="A221" t="s">
        <v>63</v>
      </c>
      <c r="B221" t="s">
        <v>88</v>
      </c>
      <c r="C221" t="s">
        <v>9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</row>
    <row r="222" spans="1:9" x14ac:dyDescent="0.3">
      <c r="A222" t="s">
        <v>63</v>
      </c>
      <c r="B222" t="s">
        <v>88</v>
      </c>
      <c r="C222" t="s">
        <v>12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</row>
    <row r="223" spans="1:9" x14ac:dyDescent="0.3">
      <c r="A223" t="s">
        <v>63</v>
      </c>
      <c r="B223" t="s">
        <v>89</v>
      </c>
      <c r="C223" t="s">
        <v>9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0</v>
      </c>
    </row>
    <row r="224" spans="1:9" x14ac:dyDescent="0.3">
      <c r="A224" t="s">
        <v>63</v>
      </c>
      <c r="B224" t="s">
        <v>89</v>
      </c>
      <c r="C224" t="s">
        <v>13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</row>
    <row r="225" spans="1:9" x14ac:dyDescent="0.3">
      <c r="A225" t="s">
        <v>90</v>
      </c>
      <c r="B225" t="s">
        <v>9</v>
      </c>
      <c r="C225" t="s">
        <v>9</v>
      </c>
      <c r="D225" s="1">
        <v>8683</v>
      </c>
      <c r="E225">
        <v>6</v>
      </c>
      <c r="F225">
        <v>930</v>
      </c>
      <c r="G225" s="1">
        <v>7590</v>
      </c>
      <c r="H225">
        <v>83</v>
      </c>
      <c r="I225">
        <v>74</v>
      </c>
    </row>
    <row r="226" spans="1:9" x14ac:dyDescent="0.3">
      <c r="A226" t="s">
        <v>90</v>
      </c>
      <c r="B226" t="s">
        <v>9</v>
      </c>
      <c r="C226" t="s">
        <v>12</v>
      </c>
      <c r="D226" s="1">
        <f>D229+D232+D235+D238+D241+D244+D247+D250+D253+D256+D259+D262+D265+D268+D271+D274+D277+D280+D283+D286+D289+D292+D295+D298+D301+D304+D307+D310+D315+D318+D321+D324+D327+D330+D333+D336+D339+D342+D345+D347+D350+D353</f>
        <v>3591</v>
      </c>
      <c r="E226" s="1">
        <f t="shared" ref="E226:I226" si="8">E229+E232+E235+E238+E241+E244+E247+E250+E253+E256+E259+E262+E265+E268+E271+E274+E277+E280+E283+E286+E289+E292+E295+E298+E301+E304+E307+E310+E315+E318+E321+E324+E327+E330+E333+E336+E339+E342+E345+E347+E350+E353</f>
        <v>2</v>
      </c>
      <c r="F226" s="1">
        <f t="shared" si="8"/>
        <v>369</v>
      </c>
      <c r="G226" s="1">
        <f t="shared" si="8"/>
        <v>3182</v>
      </c>
      <c r="H226" s="1">
        <f t="shared" si="8"/>
        <v>24</v>
      </c>
      <c r="I226" s="1">
        <f t="shared" si="8"/>
        <v>14</v>
      </c>
    </row>
    <row r="227" spans="1:9" x14ac:dyDescent="0.3">
      <c r="A227" t="s">
        <v>90</v>
      </c>
      <c r="B227" t="s">
        <v>9</v>
      </c>
      <c r="C227" t="s">
        <v>13</v>
      </c>
      <c r="D227" s="1">
        <f>D230+D233+D236+D239+D242+D245+D248+D251+D254+D257+D260+D263+D266+D269+D272+D275+D278+D281+D284+D287+D290+D293+D296+D299+D302+D305+D308+D311+D313+D316+D319+D322+D325+D328+D331+D334+D337+D340+D343+D348+D351+D355+D357</f>
        <v>5092</v>
      </c>
      <c r="E227" s="1">
        <f t="shared" ref="E227:I227" si="9">E230+E233+E236+E239+E242+E245+E248+E251+E254+E257+E260+E263+E266+E269+E272+E275+E278+E281+E284+E287+E290+E293+E296+E299+E302+E305+E308+E311+E313+E316+E319+E322+E325+E328+E331+E334+E337+E340+E343+E348+E351+E355+E357</f>
        <v>4</v>
      </c>
      <c r="F227" s="1">
        <f t="shared" si="9"/>
        <v>561</v>
      </c>
      <c r="G227" s="1">
        <f t="shared" si="9"/>
        <v>4408</v>
      </c>
      <c r="H227" s="1">
        <f t="shared" si="9"/>
        <v>59</v>
      </c>
      <c r="I227" s="1">
        <f t="shared" si="9"/>
        <v>60</v>
      </c>
    </row>
    <row r="228" spans="1:9" x14ac:dyDescent="0.3">
      <c r="A228" t="s">
        <v>90</v>
      </c>
      <c r="B228" t="s">
        <v>91</v>
      </c>
      <c r="C228" t="s">
        <v>9</v>
      </c>
      <c r="D228" s="1">
        <v>2682</v>
      </c>
      <c r="E228">
        <v>4</v>
      </c>
      <c r="F228">
        <v>393</v>
      </c>
      <c r="G228" s="1">
        <v>2194</v>
      </c>
      <c r="H228">
        <v>44</v>
      </c>
      <c r="I228">
        <v>47</v>
      </c>
    </row>
    <row r="229" spans="1:9" x14ac:dyDescent="0.3">
      <c r="A229" t="s">
        <v>90</v>
      </c>
      <c r="B229" t="s">
        <v>91</v>
      </c>
      <c r="C229" t="s">
        <v>12</v>
      </c>
      <c r="D229">
        <v>190</v>
      </c>
      <c r="E229">
        <v>1</v>
      </c>
      <c r="F229">
        <v>23</v>
      </c>
      <c r="G229">
        <v>161</v>
      </c>
      <c r="H229">
        <v>3</v>
      </c>
      <c r="I229">
        <v>2</v>
      </c>
    </row>
    <row r="230" spans="1:9" x14ac:dyDescent="0.3">
      <c r="A230" t="s">
        <v>90</v>
      </c>
      <c r="B230" t="s">
        <v>91</v>
      </c>
      <c r="C230" t="s">
        <v>13</v>
      </c>
      <c r="D230" s="1">
        <v>2492</v>
      </c>
      <c r="E230">
        <v>3</v>
      </c>
      <c r="F230">
        <v>370</v>
      </c>
      <c r="G230" s="1">
        <v>2033</v>
      </c>
      <c r="H230">
        <v>41</v>
      </c>
      <c r="I230">
        <v>45</v>
      </c>
    </row>
    <row r="231" spans="1:9" x14ac:dyDescent="0.3">
      <c r="A231" t="s">
        <v>90</v>
      </c>
      <c r="B231" t="s">
        <v>92</v>
      </c>
      <c r="C231" t="s">
        <v>9</v>
      </c>
      <c r="D231" s="1">
        <v>1526</v>
      </c>
      <c r="E231">
        <v>1</v>
      </c>
      <c r="F231">
        <v>161</v>
      </c>
      <c r="G231" s="1">
        <v>1351</v>
      </c>
      <c r="H231">
        <v>9</v>
      </c>
      <c r="I231">
        <v>4</v>
      </c>
    </row>
    <row r="232" spans="1:9" x14ac:dyDescent="0.3">
      <c r="A232" t="s">
        <v>90</v>
      </c>
      <c r="B232" t="s">
        <v>92</v>
      </c>
      <c r="C232" t="s">
        <v>12</v>
      </c>
      <c r="D232" s="1">
        <v>1203</v>
      </c>
      <c r="E232">
        <v>1</v>
      </c>
      <c r="F232">
        <v>144</v>
      </c>
      <c r="G232" s="1">
        <v>1049</v>
      </c>
      <c r="H232">
        <v>6</v>
      </c>
      <c r="I232">
        <v>3</v>
      </c>
    </row>
    <row r="233" spans="1:9" x14ac:dyDescent="0.3">
      <c r="A233" t="s">
        <v>90</v>
      </c>
      <c r="B233" t="s">
        <v>92</v>
      </c>
      <c r="C233" t="s">
        <v>13</v>
      </c>
      <c r="D233">
        <v>323</v>
      </c>
      <c r="E233">
        <v>0</v>
      </c>
      <c r="F233">
        <v>17</v>
      </c>
      <c r="G233">
        <v>302</v>
      </c>
      <c r="H233">
        <v>3</v>
      </c>
      <c r="I233">
        <v>1</v>
      </c>
    </row>
    <row r="234" spans="1:9" x14ac:dyDescent="0.3">
      <c r="A234" t="s">
        <v>90</v>
      </c>
      <c r="B234" t="s">
        <v>93</v>
      </c>
      <c r="C234" t="s">
        <v>9</v>
      </c>
      <c r="D234" s="1">
        <v>1062</v>
      </c>
      <c r="E234">
        <v>0</v>
      </c>
      <c r="F234">
        <v>87</v>
      </c>
      <c r="G234">
        <v>967</v>
      </c>
      <c r="H234">
        <v>7</v>
      </c>
      <c r="I234">
        <v>1</v>
      </c>
    </row>
    <row r="235" spans="1:9" x14ac:dyDescent="0.3">
      <c r="A235" t="s">
        <v>90</v>
      </c>
      <c r="B235" t="s">
        <v>93</v>
      </c>
      <c r="C235" t="s">
        <v>12</v>
      </c>
      <c r="D235">
        <v>682</v>
      </c>
      <c r="E235">
        <v>0</v>
      </c>
      <c r="F235">
        <v>69</v>
      </c>
      <c r="G235">
        <v>608</v>
      </c>
      <c r="H235">
        <v>5</v>
      </c>
      <c r="I235">
        <v>0</v>
      </c>
    </row>
    <row r="236" spans="1:9" x14ac:dyDescent="0.3">
      <c r="A236" t="s">
        <v>90</v>
      </c>
      <c r="B236" t="s">
        <v>93</v>
      </c>
      <c r="C236" t="s">
        <v>13</v>
      </c>
      <c r="D236">
        <v>380</v>
      </c>
      <c r="E236">
        <v>0</v>
      </c>
      <c r="F236">
        <v>18</v>
      </c>
      <c r="G236">
        <v>359</v>
      </c>
      <c r="H236">
        <v>2</v>
      </c>
      <c r="I236">
        <v>1</v>
      </c>
    </row>
    <row r="237" spans="1:9" x14ac:dyDescent="0.3">
      <c r="A237" t="s">
        <v>90</v>
      </c>
      <c r="B237" t="s">
        <v>94</v>
      </c>
      <c r="C237" t="s">
        <v>9</v>
      </c>
      <c r="D237">
        <v>604</v>
      </c>
      <c r="E237">
        <v>1</v>
      </c>
      <c r="F237">
        <v>79</v>
      </c>
      <c r="G237">
        <v>522</v>
      </c>
      <c r="H237">
        <v>0</v>
      </c>
      <c r="I237">
        <v>2</v>
      </c>
    </row>
    <row r="238" spans="1:9" x14ac:dyDescent="0.3">
      <c r="A238" t="s">
        <v>90</v>
      </c>
      <c r="B238" t="s">
        <v>94</v>
      </c>
      <c r="C238" t="s">
        <v>12</v>
      </c>
      <c r="D238">
        <v>384</v>
      </c>
      <c r="E238">
        <v>0</v>
      </c>
      <c r="F238">
        <v>56</v>
      </c>
      <c r="G238">
        <v>326</v>
      </c>
      <c r="H238">
        <v>0</v>
      </c>
      <c r="I238">
        <v>2</v>
      </c>
    </row>
    <row r="239" spans="1:9" x14ac:dyDescent="0.3">
      <c r="A239" t="s">
        <v>90</v>
      </c>
      <c r="B239" t="s">
        <v>94</v>
      </c>
      <c r="C239" t="s">
        <v>13</v>
      </c>
      <c r="D239">
        <v>220</v>
      </c>
      <c r="E239">
        <v>1</v>
      </c>
      <c r="F239">
        <v>23</v>
      </c>
      <c r="G239">
        <v>196</v>
      </c>
      <c r="H239">
        <v>0</v>
      </c>
      <c r="I239">
        <v>0</v>
      </c>
    </row>
    <row r="240" spans="1:9" x14ac:dyDescent="0.3">
      <c r="A240" t="s">
        <v>90</v>
      </c>
      <c r="B240" t="s">
        <v>95</v>
      </c>
      <c r="C240" t="s">
        <v>9</v>
      </c>
      <c r="D240">
        <v>308</v>
      </c>
      <c r="E240">
        <v>0</v>
      </c>
      <c r="F240">
        <v>26</v>
      </c>
      <c r="G240">
        <v>276</v>
      </c>
      <c r="H240">
        <v>5</v>
      </c>
      <c r="I240">
        <v>1</v>
      </c>
    </row>
    <row r="241" spans="1:9" x14ac:dyDescent="0.3">
      <c r="A241" t="s">
        <v>90</v>
      </c>
      <c r="B241" t="s">
        <v>95</v>
      </c>
      <c r="C241" t="s">
        <v>12</v>
      </c>
      <c r="D241">
        <v>29</v>
      </c>
      <c r="E241">
        <v>0</v>
      </c>
      <c r="F241">
        <v>2</v>
      </c>
      <c r="G241">
        <v>25</v>
      </c>
      <c r="H241">
        <v>2</v>
      </c>
      <c r="I241">
        <v>0</v>
      </c>
    </row>
    <row r="242" spans="1:9" x14ac:dyDescent="0.3">
      <c r="A242" t="s">
        <v>90</v>
      </c>
      <c r="B242" t="s">
        <v>95</v>
      </c>
      <c r="C242" t="s">
        <v>13</v>
      </c>
      <c r="D242">
        <v>279</v>
      </c>
      <c r="E242">
        <v>0</v>
      </c>
      <c r="F242">
        <v>24</v>
      </c>
      <c r="G242">
        <v>251</v>
      </c>
      <c r="H242">
        <v>3</v>
      </c>
      <c r="I242">
        <v>1</v>
      </c>
    </row>
    <row r="243" spans="1:9" x14ac:dyDescent="0.3">
      <c r="A243" t="s">
        <v>90</v>
      </c>
      <c r="B243" t="s">
        <v>96</v>
      </c>
      <c r="C243" t="s">
        <v>9</v>
      </c>
      <c r="D243">
        <v>304</v>
      </c>
      <c r="E243">
        <v>0</v>
      </c>
      <c r="F243">
        <v>18</v>
      </c>
      <c r="G243">
        <v>280</v>
      </c>
      <c r="H243">
        <v>4</v>
      </c>
      <c r="I243">
        <v>2</v>
      </c>
    </row>
    <row r="244" spans="1:9" x14ac:dyDescent="0.3">
      <c r="A244" t="s">
        <v>90</v>
      </c>
      <c r="B244" t="s">
        <v>96</v>
      </c>
      <c r="C244" t="s">
        <v>12</v>
      </c>
      <c r="D244">
        <v>169</v>
      </c>
      <c r="E244">
        <v>0</v>
      </c>
      <c r="F244">
        <v>10</v>
      </c>
      <c r="G244">
        <v>153</v>
      </c>
      <c r="H244">
        <v>4</v>
      </c>
      <c r="I244">
        <v>2</v>
      </c>
    </row>
    <row r="245" spans="1:9" x14ac:dyDescent="0.3">
      <c r="A245" t="s">
        <v>90</v>
      </c>
      <c r="B245" t="s">
        <v>96</v>
      </c>
      <c r="C245" t="s">
        <v>13</v>
      </c>
      <c r="D245">
        <v>135</v>
      </c>
      <c r="E245">
        <v>0</v>
      </c>
      <c r="F245">
        <v>8</v>
      </c>
      <c r="G245">
        <v>127</v>
      </c>
      <c r="H245">
        <v>0</v>
      </c>
      <c r="I245">
        <v>0</v>
      </c>
    </row>
    <row r="246" spans="1:9" x14ac:dyDescent="0.3">
      <c r="A246" t="s">
        <v>90</v>
      </c>
      <c r="B246" t="s">
        <v>97</v>
      </c>
      <c r="C246" t="s">
        <v>9</v>
      </c>
      <c r="D246">
        <v>274</v>
      </c>
      <c r="E246">
        <v>0</v>
      </c>
      <c r="F246">
        <v>8</v>
      </c>
      <c r="G246">
        <v>263</v>
      </c>
      <c r="H246">
        <v>2</v>
      </c>
      <c r="I246">
        <v>1</v>
      </c>
    </row>
    <row r="247" spans="1:9" x14ac:dyDescent="0.3">
      <c r="A247" t="s">
        <v>90</v>
      </c>
      <c r="B247" t="s">
        <v>97</v>
      </c>
      <c r="C247" t="s">
        <v>12</v>
      </c>
      <c r="D247">
        <v>128</v>
      </c>
      <c r="E247">
        <v>0</v>
      </c>
      <c r="F247">
        <v>1</v>
      </c>
      <c r="G247">
        <v>125</v>
      </c>
      <c r="H247">
        <v>2</v>
      </c>
      <c r="I247">
        <v>0</v>
      </c>
    </row>
    <row r="248" spans="1:9" x14ac:dyDescent="0.3">
      <c r="A248" t="s">
        <v>90</v>
      </c>
      <c r="B248" t="s">
        <v>97</v>
      </c>
      <c r="C248" t="s">
        <v>13</v>
      </c>
      <c r="D248">
        <v>146</v>
      </c>
      <c r="E248">
        <v>0</v>
      </c>
      <c r="F248">
        <v>7</v>
      </c>
      <c r="G248">
        <v>138</v>
      </c>
      <c r="H248">
        <v>0</v>
      </c>
      <c r="I248">
        <v>1</v>
      </c>
    </row>
    <row r="249" spans="1:9" x14ac:dyDescent="0.3">
      <c r="A249" t="s">
        <v>90</v>
      </c>
      <c r="B249" t="s">
        <v>98</v>
      </c>
      <c r="C249" t="s">
        <v>9</v>
      </c>
      <c r="D249">
        <v>212</v>
      </c>
      <c r="E249">
        <v>0</v>
      </c>
      <c r="F249">
        <v>9</v>
      </c>
      <c r="G249">
        <v>198</v>
      </c>
      <c r="H249">
        <v>2</v>
      </c>
      <c r="I249">
        <v>3</v>
      </c>
    </row>
    <row r="250" spans="1:9" x14ac:dyDescent="0.3">
      <c r="A250" t="s">
        <v>90</v>
      </c>
      <c r="B250" t="s">
        <v>98</v>
      </c>
      <c r="C250" t="s">
        <v>12</v>
      </c>
      <c r="D250">
        <v>44</v>
      </c>
      <c r="E250">
        <v>0</v>
      </c>
      <c r="F250">
        <v>3</v>
      </c>
      <c r="G250">
        <v>40</v>
      </c>
      <c r="H250">
        <v>1</v>
      </c>
      <c r="I250">
        <v>0</v>
      </c>
    </row>
    <row r="251" spans="1:9" x14ac:dyDescent="0.3">
      <c r="A251" t="s">
        <v>90</v>
      </c>
      <c r="B251" t="s">
        <v>98</v>
      </c>
      <c r="C251" t="s">
        <v>13</v>
      </c>
      <c r="D251">
        <v>168</v>
      </c>
      <c r="E251">
        <v>0</v>
      </c>
      <c r="F251">
        <v>6</v>
      </c>
      <c r="G251">
        <v>158</v>
      </c>
      <c r="H251">
        <v>1</v>
      </c>
      <c r="I251">
        <v>3</v>
      </c>
    </row>
    <row r="252" spans="1:9" x14ac:dyDescent="0.3">
      <c r="A252" t="s">
        <v>90</v>
      </c>
      <c r="B252" t="s">
        <v>99</v>
      </c>
      <c r="C252" t="s">
        <v>9</v>
      </c>
      <c r="D252">
        <v>192</v>
      </c>
      <c r="E252">
        <v>0</v>
      </c>
      <c r="F252">
        <v>20</v>
      </c>
      <c r="G252">
        <v>169</v>
      </c>
      <c r="H252">
        <v>1</v>
      </c>
      <c r="I252">
        <v>2</v>
      </c>
    </row>
    <row r="253" spans="1:9" x14ac:dyDescent="0.3">
      <c r="A253" t="s">
        <v>90</v>
      </c>
      <c r="B253" t="s">
        <v>99</v>
      </c>
      <c r="C253" t="s">
        <v>12</v>
      </c>
      <c r="D253">
        <v>162</v>
      </c>
      <c r="E253">
        <v>0</v>
      </c>
      <c r="F253">
        <v>20</v>
      </c>
      <c r="G253">
        <v>140</v>
      </c>
      <c r="H253">
        <v>0</v>
      </c>
      <c r="I253">
        <v>2</v>
      </c>
    </row>
    <row r="254" spans="1:9" x14ac:dyDescent="0.3">
      <c r="A254" t="s">
        <v>90</v>
      </c>
      <c r="B254" t="s">
        <v>99</v>
      </c>
      <c r="C254" t="s">
        <v>13</v>
      </c>
      <c r="D254">
        <v>30</v>
      </c>
      <c r="E254">
        <v>0</v>
      </c>
      <c r="F254">
        <v>0</v>
      </c>
      <c r="G254">
        <v>29</v>
      </c>
      <c r="H254">
        <v>1</v>
      </c>
      <c r="I254">
        <v>0</v>
      </c>
    </row>
    <row r="255" spans="1:9" x14ac:dyDescent="0.3">
      <c r="A255" t="s">
        <v>90</v>
      </c>
      <c r="B255" t="s">
        <v>100</v>
      </c>
      <c r="C255" t="s">
        <v>9</v>
      </c>
      <c r="D255">
        <v>165</v>
      </c>
      <c r="E255">
        <v>0</v>
      </c>
      <c r="F255">
        <v>7</v>
      </c>
      <c r="G255">
        <v>157</v>
      </c>
      <c r="H255">
        <v>0</v>
      </c>
      <c r="I255">
        <v>1</v>
      </c>
    </row>
    <row r="256" spans="1:9" x14ac:dyDescent="0.3">
      <c r="A256" t="s">
        <v>90</v>
      </c>
      <c r="B256" t="s">
        <v>100</v>
      </c>
      <c r="C256" t="s">
        <v>12</v>
      </c>
      <c r="D256">
        <v>115</v>
      </c>
      <c r="E256">
        <v>0</v>
      </c>
      <c r="F256">
        <v>6</v>
      </c>
      <c r="G256">
        <v>108</v>
      </c>
      <c r="H256">
        <v>0</v>
      </c>
      <c r="I256">
        <v>1</v>
      </c>
    </row>
    <row r="257" spans="1:9" x14ac:dyDescent="0.3">
      <c r="A257" t="s">
        <v>90</v>
      </c>
      <c r="B257" t="s">
        <v>100</v>
      </c>
      <c r="C257" t="s">
        <v>13</v>
      </c>
      <c r="D257">
        <v>50</v>
      </c>
      <c r="E257">
        <v>0</v>
      </c>
      <c r="F257">
        <v>1</v>
      </c>
      <c r="G257">
        <v>49</v>
      </c>
      <c r="H257">
        <v>0</v>
      </c>
      <c r="I257">
        <v>0</v>
      </c>
    </row>
    <row r="258" spans="1:9" x14ac:dyDescent="0.3">
      <c r="A258" t="s">
        <v>90</v>
      </c>
      <c r="B258" t="s">
        <v>101</v>
      </c>
      <c r="C258" t="s">
        <v>9</v>
      </c>
      <c r="D258">
        <v>128</v>
      </c>
      <c r="E258">
        <v>0</v>
      </c>
      <c r="F258">
        <v>34</v>
      </c>
      <c r="G258">
        <v>88</v>
      </c>
      <c r="H258">
        <v>2</v>
      </c>
      <c r="I258">
        <v>4</v>
      </c>
    </row>
    <row r="259" spans="1:9" x14ac:dyDescent="0.3">
      <c r="A259" t="s">
        <v>90</v>
      </c>
      <c r="B259" t="s">
        <v>101</v>
      </c>
      <c r="C259" t="s">
        <v>12</v>
      </c>
      <c r="D259">
        <v>13</v>
      </c>
      <c r="E259">
        <v>0</v>
      </c>
      <c r="F259">
        <v>0</v>
      </c>
      <c r="G259">
        <v>13</v>
      </c>
      <c r="H259">
        <v>0</v>
      </c>
      <c r="I259">
        <v>0</v>
      </c>
    </row>
    <row r="260" spans="1:9" x14ac:dyDescent="0.3">
      <c r="A260" t="s">
        <v>90</v>
      </c>
      <c r="B260" t="s">
        <v>101</v>
      </c>
      <c r="C260" t="s">
        <v>13</v>
      </c>
      <c r="D260">
        <v>115</v>
      </c>
      <c r="E260">
        <v>0</v>
      </c>
      <c r="F260">
        <v>34</v>
      </c>
      <c r="G260">
        <v>75</v>
      </c>
      <c r="H260">
        <v>2</v>
      </c>
      <c r="I260">
        <v>4</v>
      </c>
    </row>
    <row r="261" spans="1:9" x14ac:dyDescent="0.3">
      <c r="A261" t="s">
        <v>90</v>
      </c>
      <c r="B261" t="s">
        <v>102</v>
      </c>
      <c r="C261" t="s">
        <v>9</v>
      </c>
      <c r="D261">
        <v>126</v>
      </c>
      <c r="E261">
        <v>0</v>
      </c>
      <c r="F261">
        <v>10</v>
      </c>
      <c r="G261">
        <v>115</v>
      </c>
      <c r="H261">
        <v>0</v>
      </c>
      <c r="I261">
        <v>1</v>
      </c>
    </row>
    <row r="262" spans="1:9" x14ac:dyDescent="0.3">
      <c r="A262" t="s">
        <v>90</v>
      </c>
      <c r="B262" t="s">
        <v>102</v>
      </c>
      <c r="C262" t="s">
        <v>12</v>
      </c>
      <c r="D262">
        <v>75</v>
      </c>
      <c r="E262">
        <v>0</v>
      </c>
      <c r="F262">
        <v>4</v>
      </c>
      <c r="G262">
        <v>71</v>
      </c>
      <c r="H262">
        <v>0</v>
      </c>
      <c r="I262">
        <v>0</v>
      </c>
    </row>
    <row r="263" spans="1:9" x14ac:dyDescent="0.3">
      <c r="A263" t="s">
        <v>90</v>
      </c>
      <c r="B263" t="s">
        <v>102</v>
      </c>
      <c r="C263" t="s">
        <v>13</v>
      </c>
      <c r="D263">
        <v>51</v>
      </c>
      <c r="E263">
        <v>0</v>
      </c>
      <c r="F263">
        <v>6</v>
      </c>
      <c r="G263">
        <v>44</v>
      </c>
      <c r="H263">
        <v>0</v>
      </c>
      <c r="I263">
        <v>1</v>
      </c>
    </row>
    <row r="264" spans="1:9" x14ac:dyDescent="0.3">
      <c r="A264" t="s">
        <v>90</v>
      </c>
      <c r="B264" t="s">
        <v>103</v>
      </c>
      <c r="C264" t="s">
        <v>9</v>
      </c>
      <c r="D264">
        <v>95</v>
      </c>
      <c r="E264">
        <v>0</v>
      </c>
      <c r="F264">
        <v>7</v>
      </c>
      <c r="G264">
        <v>86</v>
      </c>
      <c r="H264">
        <v>1</v>
      </c>
      <c r="I264">
        <v>1</v>
      </c>
    </row>
    <row r="265" spans="1:9" x14ac:dyDescent="0.3">
      <c r="A265" t="s">
        <v>90</v>
      </c>
      <c r="B265" t="s">
        <v>103</v>
      </c>
      <c r="C265" t="s">
        <v>12</v>
      </c>
      <c r="D265">
        <v>10</v>
      </c>
      <c r="E265">
        <v>0</v>
      </c>
      <c r="F265">
        <v>1</v>
      </c>
      <c r="G265">
        <v>9</v>
      </c>
      <c r="H265">
        <v>0</v>
      </c>
      <c r="I265">
        <v>0</v>
      </c>
    </row>
    <row r="266" spans="1:9" x14ac:dyDescent="0.3">
      <c r="A266" t="s">
        <v>90</v>
      </c>
      <c r="B266" t="s">
        <v>103</v>
      </c>
      <c r="C266" t="s">
        <v>13</v>
      </c>
      <c r="D266">
        <v>85</v>
      </c>
      <c r="E266">
        <v>0</v>
      </c>
      <c r="F266">
        <v>6</v>
      </c>
      <c r="G266">
        <v>77</v>
      </c>
      <c r="H266">
        <v>1</v>
      </c>
      <c r="I266">
        <v>1</v>
      </c>
    </row>
    <row r="267" spans="1:9" x14ac:dyDescent="0.3">
      <c r="A267" t="s">
        <v>90</v>
      </c>
      <c r="B267" t="s">
        <v>104</v>
      </c>
      <c r="C267" t="s">
        <v>9</v>
      </c>
      <c r="D267">
        <v>94</v>
      </c>
      <c r="E267">
        <v>0</v>
      </c>
      <c r="F267">
        <v>8</v>
      </c>
      <c r="G267">
        <v>86</v>
      </c>
      <c r="H267">
        <v>0</v>
      </c>
      <c r="I267">
        <v>0</v>
      </c>
    </row>
    <row r="268" spans="1:9" x14ac:dyDescent="0.3">
      <c r="A268" t="s">
        <v>90</v>
      </c>
      <c r="B268" t="s">
        <v>104</v>
      </c>
      <c r="C268" t="s">
        <v>12</v>
      </c>
      <c r="D268">
        <v>49</v>
      </c>
      <c r="E268">
        <v>0</v>
      </c>
      <c r="F268">
        <v>6</v>
      </c>
      <c r="G268">
        <v>43</v>
      </c>
      <c r="H268">
        <v>0</v>
      </c>
      <c r="I268">
        <v>0</v>
      </c>
    </row>
    <row r="269" spans="1:9" x14ac:dyDescent="0.3">
      <c r="A269" t="s">
        <v>90</v>
      </c>
      <c r="B269" t="s">
        <v>104</v>
      </c>
      <c r="C269" t="s">
        <v>13</v>
      </c>
      <c r="D269">
        <v>45</v>
      </c>
      <c r="E269">
        <v>0</v>
      </c>
      <c r="F269">
        <v>2</v>
      </c>
      <c r="G269">
        <v>43</v>
      </c>
      <c r="H269">
        <v>0</v>
      </c>
      <c r="I269">
        <v>0</v>
      </c>
    </row>
    <row r="270" spans="1:9" x14ac:dyDescent="0.3">
      <c r="A270" t="s">
        <v>90</v>
      </c>
      <c r="B270" t="s">
        <v>105</v>
      </c>
      <c r="C270" t="s">
        <v>9</v>
      </c>
      <c r="D270">
        <v>87</v>
      </c>
      <c r="E270">
        <v>0</v>
      </c>
      <c r="F270">
        <v>7</v>
      </c>
      <c r="G270">
        <v>80</v>
      </c>
      <c r="H270">
        <v>0</v>
      </c>
      <c r="I270">
        <v>0</v>
      </c>
    </row>
    <row r="271" spans="1:9" x14ac:dyDescent="0.3">
      <c r="A271" t="s">
        <v>90</v>
      </c>
      <c r="B271" t="s">
        <v>105</v>
      </c>
      <c r="C271" t="s">
        <v>12</v>
      </c>
      <c r="D271">
        <v>59</v>
      </c>
      <c r="E271">
        <v>0</v>
      </c>
      <c r="F271">
        <v>4</v>
      </c>
      <c r="G271">
        <v>55</v>
      </c>
      <c r="H271">
        <v>0</v>
      </c>
      <c r="I271">
        <v>0</v>
      </c>
    </row>
    <row r="272" spans="1:9" x14ac:dyDescent="0.3">
      <c r="A272" t="s">
        <v>90</v>
      </c>
      <c r="B272" t="s">
        <v>105</v>
      </c>
      <c r="C272" t="s">
        <v>13</v>
      </c>
      <c r="D272">
        <v>28</v>
      </c>
      <c r="E272">
        <v>0</v>
      </c>
      <c r="F272">
        <v>3</v>
      </c>
      <c r="G272">
        <v>25</v>
      </c>
      <c r="H272">
        <v>0</v>
      </c>
      <c r="I272">
        <v>0</v>
      </c>
    </row>
    <row r="273" spans="1:9" x14ac:dyDescent="0.3">
      <c r="A273" t="s">
        <v>90</v>
      </c>
      <c r="B273" t="s">
        <v>106</v>
      </c>
      <c r="C273" t="s">
        <v>9</v>
      </c>
      <c r="D273">
        <v>85</v>
      </c>
      <c r="E273">
        <v>0</v>
      </c>
      <c r="F273">
        <v>3</v>
      </c>
      <c r="G273">
        <v>80</v>
      </c>
      <c r="H273">
        <v>1</v>
      </c>
      <c r="I273">
        <v>1</v>
      </c>
    </row>
    <row r="274" spans="1:9" x14ac:dyDescent="0.3">
      <c r="A274" t="s">
        <v>90</v>
      </c>
      <c r="B274" t="s">
        <v>106</v>
      </c>
      <c r="C274" t="s">
        <v>12</v>
      </c>
      <c r="D274">
        <v>13</v>
      </c>
      <c r="E274">
        <v>0</v>
      </c>
      <c r="F274">
        <v>0</v>
      </c>
      <c r="G274">
        <v>13</v>
      </c>
      <c r="H274">
        <v>0</v>
      </c>
      <c r="I274">
        <v>0</v>
      </c>
    </row>
    <row r="275" spans="1:9" x14ac:dyDescent="0.3">
      <c r="A275" t="s">
        <v>90</v>
      </c>
      <c r="B275" t="s">
        <v>106</v>
      </c>
      <c r="C275" t="s">
        <v>13</v>
      </c>
      <c r="D275">
        <v>72</v>
      </c>
      <c r="E275">
        <v>0</v>
      </c>
      <c r="F275">
        <v>3</v>
      </c>
      <c r="G275">
        <v>67</v>
      </c>
      <c r="H275">
        <v>1</v>
      </c>
      <c r="I275">
        <v>1</v>
      </c>
    </row>
    <row r="276" spans="1:9" x14ac:dyDescent="0.3">
      <c r="A276" t="s">
        <v>90</v>
      </c>
      <c r="B276" t="s">
        <v>107</v>
      </c>
      <c r="C276" t="s">
        <v>9</v>
      </c>
      <c r="D276">
        <v>83</v>
      </c>
      <c r="E276">
        <v>0</v>
      </c>
      <c r="F276">
        <v>7</v>
      </c>
      <c r="G276">
        <v>73</v>
      </c>
      <c r="H276">
        <v>2</v>
      </c>
      <c r="I276">
        <v>1</v>
      </c>
    </row>
    <row r="277" spans="1:9" x14ac:dyDescent="0.3">
      <c r="A277" t="s">
        <v>90</v>
      </c>
      <c r="B277" t="s">
        <v>107</v>
      </c>
      <c r="C277" t="s">
        <v>12</v>
      </c>
      <c r="D277">
        <v>13</v>
      </c>
      <c r="E277">
        <v>0</v>
      </c>
      <c r="F277">
        <v>2</v>
      </c>
      <c r="G277">
        <v>10</v>
      </c>
      <c r="H277">
        <v>1</v>
      </c>
      <c r="I277">
        <v>0</v>
      </c>
    </row>
    <row r="278" spans="1:9" x14ac:dyDescent="0.3">
      <c r="A278" t="s">
        <v>90</v>
      </c>
      <c r="B278" t="s">
        <v>107</v>
      </c>
      <c r="C278" t="s">
        <v>13</v>
      </c>
      <c r="D278">
        <v>70</v>
      </c>
      <c r="E278">
        <v>0</v>
      </c>
      <c r="F278">
        <v>5</v>
      </c>
      <c r="G278">
        <v>63</v>
      </c>
      <c r="H278">
        <v>1</v>
      </c>
      <c r="I278">
        <v>1</v>
      </c>
    </row>
    <row r="279" spans="1:9" x14ac:dyDescent="0.3">
      <c r="A279" t="s">
        <v>90</v>
      </c>
      <c r="B279" t="s">
        <v>108</v>
      </c>
      <c r="C279" t="s">
        <v>9</v>
      </c>
      <c r="D279">
        <v>54</v>
      </c>
      <c r="E279">
        <v>0</v>
      </c>
      <c r="F279">
        <v>3</v>
      </c>
      <c r="G279">
        <v>51</v>
      </c>
      <c r="H279">
        <v>0</v>
      </c>
      <c r="I279">
        <v>0</v>
      </c>
    </row>
    <row r="280" spans="1:9" x14ac:dyDescent="0.3">
      <c r="A280" t="s">
        <v>90</v>
      </c>
      <c r="B280" t="s">
        <v>108</v>
      </c>
      <c r="C280" t="s">
        <v>12</v>
      </c>
      <c r="D280">
        <v>27</v>
      </c>
      <c r="E280">
        <v>0</v>
      </c>
      <c r="F280">
        <v>2</v>
      </c>
      <c r="G280">
        <v>25</v>
      </c>
      <c r="H280">
        <v>0</v>
      </c>
      <c r="I280">
        <v>0</v>
      </c>
    </row>
    <row r="281" spans="1:9" x14ac:dyDescent="0.3">
      <c r="A281" t="s">
        <v>90</v>
      </c>
      <c r="B281" t="s">
        <v>108</v>
      </c>
      <c r="C281" t="s">
        <v>13</v>
      </c>
      <c r="D281">
        <v>27</v>
      </c>
      <c r="E281">
        <v>0</v>
      </c>
      <c r="F281">
        <v>1</v>
      </c>
      <c r="G281">
        <v>26</v>
      </c>
      <c r="H281">
        <v>0</v>
      </c>
      <c r="I281">
        <v>0</v>
      </c>
    </row>
    <row r="282" spans="1:9" x14ac:dyDescent="0.3">
      <c r="A282" t="s">
        <v>90</v>
      </c>
      <c r="B282" t="s">
        <v>109</v>
      </c>
      <c r="C282" t="s">
        <v>9</v>
      </c>
      <c r="D282">
        <v>54</v>
      </c>
      <c r="E282">
        <v>0</v>
      </c>
      <c r="F282">
        <v>0</v>
      </c>
      <c r="G282">
        <v>54</v>
      </c>
      <c r="H282">
        <v>0</v>
      </c>
      <c r="I282">
        <v>0</v>
      </c>
    </row>
    <row r="283" spans="1:9" x14ac:dyDescent="0.3">
      <c r="A283" t="s">
        <v>90</v>
      </c>
      <c r="B283" t="s">
        <v>109</v>
      </c>
      <c r="C283" t="s">
        <v>12</v>
      </c>
      <c r="D283">
        <v>21</v>
      </c>
      <c r="E283">
        <v>0</v>
      </c>
      <c r="F283">
        <v>0</v>
      </c>
      <c r="G283">
        <v>21</v>
      </c>
      <c r="H283">
        <v>0</v>
      </c>
      <c r="I283">
        <v>0</v>
      </c>
    </row>
    <row r="284" spans="1:9" x14ac:dyDescent="0.3">
      <c r="A284" t="s">
        <v>90</v>
      </c>
      <c r="B284" t="s">
        <v>109</v>
      </c>
      <c r="C284" t="s">
        <v>13</v>
      </c>
      <c r="D284">
        <v>33</v>
      </c>
      <c r="E284">
        <v>0</v>
      </c>
      <c r="F284">
        <v>0</v>
      </c>
      <c r="G284">
        <v>33</v>
      </c>
      <c r="H284">
        <v>0</v>
      </c>
      <c r="I284">
        <v>0</v>
      </c>
    </row>
    <row r="285" spans="1:9" x14ac:dyDescent="0.3">
      <c r="A285" t="s">
        <v>90</v>
      </c>
      <c r="B285" t="s">
        <v>110</v>
      </c>
      <c r="C285" t="s">
        <v>9</v>
      </c>
      <c r="D285">
        <v>49</v>
      </c>
      <c r="E285">
        <v>0</v>
      </c>
      <c r="F285">
        <v>7</v>
      </c>
      <c r="G285">
        <v>42</v>
      </c>
      <c r="H285">
        <v>0</v>
      </c>
      <c r="I285">
        <v>0</v>
      </c>
    </row>
    <row r="286" spans="1:9" x14ac:dyDescent="0.3">
      <c r="A286" t="s">
        <v>90</v>
      </c>
      <c r="B286" t="s">
        <v>110</v>
      </c>
      <c r="C286" t="s">
        <v>12</v>
      </c>
      <c r="D286">
        <v>27</v>
      </c>
      <c r="E286">
        <v>0</v>
      </c>
      <c r="F286">
        <v>4</v>
      </c>
      <c r="G286">
        <v>23</v>
      </c>
      <c r="H286">
        <v>0</v>
      </c>
      <c r="I286">
        <v>0</v>
      </c>
    </row>
    <row r="287" spans="1:9" x14ac:dyDescent="0.3">
      <c r="A287" t="s">
        <v>90</v>
      </c>
      <c r="B287" t="s">
        <v>110</v>
      </c>
      <c r="C287" t="s">
        <v>13</v>
      </c>
      <c r="D287">
        <v>22</v>
      </c>
      <c r="E287">
        <v>0</v>
      </c>
      <c r="F287">
        <v>3</v>
      </c>
      <c r="G287">
        <v>19</v>
      </c>
      <c r="H287">
        <v>0</v>
      </c>
      <c r="I287">
        <v>0</v>
      </c>
    </row>
    <row r="288" spans="1:9" x14ac:dyDescent="0.3">
      <c r="A288" t="s">
        <v>90</v>
      </c>
      <c r="B288" t="s">
        <v>111</v>
      </c>
      <c r="C288" t="s">
        <v>9</v>
      </c>
      <c r="D288">
        <v>47</v>
      </c>
      <c r="E288">
        <v>0</v>
      </c>
      <c r="F288">
        <v>0</v>
      </c>
      <c r="G288">
        <v>47</v>
      </c>
      <c r="H288">
        <v>0</v>
      </c>
      <c r="I288">
        <v>0</v>
      </c>
    </row>
    <row r="289" spans="1:9" x14ac:dyDescent="0.3">
      <c r="A289" t="s">
        <v>90</v>
      </c>
      <c r="B289" t="s">
        <v>111</v>
      </c>
      <c r="C289" t="s">
        <v>12</v>
      </c>
      <c r="D289">
        <v>33</v>
      </c>
      <c r="E289">
        <v>0</v>
      </c>
      <c r="F289">
        <v>0</v>
      </c>
      <c r="G289">
        <v>33</v>
      </c>
      <c r="H289">
        <v>0</v>
      </c>
      <c r="I289">
        <v>0</v>
      </c>
    </row>
    <row r="290" spans="1:9" x14ac:dyDescent="0.3">
      <c r="A290" t="s">
        <v>90</v>
      </c>
      <c r="B290" t="s">
        <v>111</v>
      </c>
      <c r="C290" t="s">
        <v>13</v>
      </c>
      <c r="D290">
        <v>14</v>
      </c>
      <c r="E290">
        <v>0</v>
      </c>
      <c r="F290">
        <v>0</v>
      </c>
      <c r="G290">
        <v>14</v>
      </c>
      <c r="H290">
        <v>0</v>
      </c>
      <c r="I290">
        <v>0</v>
      </c>
    </row>
    <row r="291" spans="1:9" x14ac:dyDescent="0.3">
      <c r="A291" t="s">
        <v>90</v>
      </c>
      <c r="B291" t="s">
        <v>112</v>
      </c>
      <c r="C291" t="s">
        <v>9</v>
      </c>
      <c r="D291">
        <v>45</v>
      </c>
      <c r="E291">
        <v>0</v>
      </c>
      <c r="F291">
        <v>8</v>
      </c>
      <c r="G291">
        <v>37</v>
      </c>
      <c r="H291">
        <v>0</v>
      </c>
      <c r="I291">
        <v>0</v>
      </c>
    </row>
    <row r="292" spans="1:9" x14ac:dyDescent="0.3">
      <c r="A292" t="s">
        <v>90</v>
      </c>
      <c r="B292" t="s">
        <v>112</v>
      </c>
      <c r="C292" t="s">
        <v>12</v>
      </c>
      <c r="D292">
        <v>13</v>
      </c>
      <c r="E292">
        <v>0</v>
      </c>
      <c r="F292">
        <v>1</v>
      </c>
      <c r="G292">
        <v>12</v>
      </c>
      <c r="H292">
        <v>0</v>
      </c>
      <c r="I292">
        <v>0</v>
      </c>
    </row>
    <row r="293" spans="1:9" x14ac:dyDescent="0.3">
      <c r="A293" t="s">
        <v>90</v>
      </c>
      <c r="B293" t="s">
        <v>112</v>
      </c>
      <c r="C293" t="s">
        <v>13</v>
      </c>
      <c r="D293">
        <v>32</v>
      </c>
      <c r="E293">
        <v>0</v>
      </c>
      <c r="F293">
        <v>7</v>
      </c>
      <c r="G293">
        <v>25</v>
      </c>
      <c r="H293">
        <v>0</v>
      </c>
      <c r="I293">
        <v>0</v>
      </c>
    </row>
    <row r="294" spans="1:9" x14ac:dyDescent="0.3">
      <c r="A294" t="s">
        <v>90</v>
      </c>
      <c r="B294" t="s">
        <v>113</v>
      </c>
      <c r="C294" t="s">
        <v>9</v>
      </c>
      <c r="D294">
        <v>44</v>
      </c>
      <c r="E294">
        <v>0</v>
      </c>
      <c r="F294">
        <v>4</v>
      </c>
      <c r="G294">
        <v>40</v>
      </c>
      <c r="H294">
        <v>0</v>
      </c>
      <c r="I294">
        <v>0</v>
      </c>
    </row>
    <row r="295" spans="1:9" x14ac:dyDescent="0.3">
      <c r="A295" t="s">
        <v>90</v>
      </c>
      <c r="B295" t="s">
        <v>113</v>
      </c>
      <c r="C295" t="s">
        <v>12</v>
      </c>
      <c r="D295">
        <v>9</v>
      </c>
      <c r="E295">
        <v>0</v>
      </c>
      <c r="F295">
        <v>0</v>
      </c>
      <c r="G295">
        <v>9</v>
      </c>
      <c r="H295">
        <v>0</v>
      </c>
      <c r="I295">
        <v>0</v>
      </c>
    </row>
    <row r="296" spans="1:9" x14ac:dyDescent="0.3">
      <c r="A296" t="s">
        <v>90</v>
      </c>
      <c r="B296" t="s">
        <v>113</v>
      </c>
      <c r="C296" t="s">
        <v>13</v>
      </c>
      <c r="D296">
        <v>35</v>
      </c>
      <c r="E296">
        <v>0</v>
      </c>
      <c r="F296">
        <v>4</v>
      </c>
      <c r="G296">
        <v>31</v>
      </c>
      <c r="H296">
        <v>0</v>
      </c>
      <c r="I296">
        <v>0</v>
      </c>
    </row>
    <row r="297" spans="1:9" x14ac:dyDescent="0.3">
      <c r="A297" t="s">
        <v>90</v>
      </c>
      <c r="B297" t="s">
        <v>114</v>
      </c>
      <c r="C297" t="s">
        <v>9</v>
      </c>
      <c r="D297">
        <v>42</v>
      </c>
      <c r="E297">
        <v>0</v>
      </c>
      <c r="F297">
        <v>3</v>
      </c>
      <c r="G297">
        <v>37</v>
      </c>
      <c r="H297">
        <v>1</v>
      </c>
      <c r="I297">
        <v>1</v>
      </c>
    </row>
    <row r="298" spans="1:9" x14ac:dyDescent="0.3">
      <c r="A298" t="s">
        <v>90</v>
      </c>
      <c r="B298" t="s">
        <v>114</v>
      </c>
      <c r="C298" t="s">
        <v>12</v>
      </c>
      <c r="D298">
        <v>19</v>
      </c>
      <c r="E298">
        <v>0</v>
      </c>
      <c r="F298">
        <v>3</v>
      </c>
      <c r="G298">
        <v>15</v>
      </c>
      <c r="H298">
        <v>0</v>
      </c>
      <c r="I298">
        <v>1</v>
      </c>
    </row>
    <row r="299" spans="1:9" x14ac:dyDescent="0.3">
      <c r="A299" t="s">
        <v>90</v>
      </c>
      <c r="B299" t="s">
        <v>114</v>
      </c>
      <c r="C299" t="s">
        <v>13</v>
      </c>
      <c r="D299">
        <v>23</v>
      </c>
      <c r="E299">
        <v>0</v>
      </c>
      <c r="F299">
        <v>0</v>
      </c>
      <c r="G299">
        <v>22</v>
      </c>
      <c r="H299">
        <v>1</v>
      </c>
      <c r="I299">
        <v>0</v>
      </c>
    </row>
    <row r="300" spans="1:9" x14ac:dyDescent="0.3">
      <c r="A300" t="s">
        <v>90</v>
      </c>
      <c r="B300" t="s">
        <v>115</v>
      </c>
      <c r="C300" t="s">
        <v>9</v>
      </c>
      <c r="D300">
        <v>40</v>
      </c>
      <c r="E300">
        <v>0</v>
      </c>
      <c r="F300">
        <v>2</v>
      </c>
      <c r="G300">
        <v>36</v>
      </c>
      <c r="H300">
        <v>1</v>
      </c>
      <c r="I300">
        <v>1</v>
      </c>
    </row>
    <row r="301" spans="1:9" x14ac:dyDescent="0.3">
      <c r="A301" t="s">
        <v>90</v>
      </c>
      <c r="B301" t="s">
        <v>115</v>
      </c>
      <c r="C301" t="s">
        <v>12</v>
      </c>
      <c r="D301">
        <v>26</v>
      </c>
      <c r="E301">
        <v>0</v>
      </c>
      <c r="F301">
        <v>1</v>
      </c>
      <c r="G301">
        <v>24</v>
      </c>
      <c r="H301">
        <v>0</v>
      </c>
      <c r="I301">
        <v>1</v>
      </c>
    </row>
    <row r="302" spans="1:9" x14ac:dyDescent="0.3">
      <c r="A302" t="s">
        <v>90</v>
      </c>
      <c r="B302" t="s">
        <v>115</v>
      </c>
      <c r="C302" t="s">
        <v>13</v>
      </c>
      <c r="D302">
        <v>14</v>
      </c>
      <c r="E302">
        <v>0</v>
      </c>
      <c r="F302">
        <v>1</v>
      </c>
      <c r="G302">
        <v>12</v>
      </c>
      <c r="H302">
        <v>1</v>
      </c>
      <c r="I302">
        <v>0</v>
      </c>
    </row>
    <row r="303" spans="1:9" x14ac:dyDescent="0.3">
      <c r="A303" t="s">
        <v>90</v>
      </c>
      <c r="B303" t="s">
        <v>116</v>
      </c>
      <c r="C303" t="s">
        <v>9</v>
      </c>
      <c r="D303">
        <v>36</v>
      </c>
      <c r="E303">
        <v>0</v>
      </c>
      <c r="F303">
        <v>4</v>
      </c>
      <c r="G303">
        <v>32</v>
      </c>
      <c r="H303">
        <v>0</v>
      </c>
      <c r="I303">
        <v>0</v>
      </c>
    </row>
    <row r="304" spans="1:9" x14ac:dyDescent="0.3">
      <c r="A304" t="s">
        <v>90</v>
      </c>
      <c r="B304" t="s">
        <v>116</v>
      </c>
      <c r="C304" t="s">
        <v>12</v>
      </c>
      <c r="D304">
        <v>14</v>
      </c>
      <c r="E304">
        <v>0</v>
      </c>
      <c r="F304">
        <v>2</v>
      </c>
      <c r="G304">
        <v>12</v>
      </c>
      <c r="H304">
        <v>0</v>
      </c>
      <c r="I304">
        <v>0</v>
      </c>
    </row>
    <row r="305" spans="1:9" x14ac:dyDescent="0.3">
      <c r="A305" t="s">
        <v>90</v>
      </c>
      <c r="B305" t="s">
        <v>116</v>
      </c>
      <c r="C305" t="s">
        <v>13</v>
      </c>
      <c r="D305">
        <v>22</v>
      </c>
      <c r="E305">
        <v>0</v>
      </c>
      <c r="F305">
        <v>2</v>
      </c>
      <c r="G305">
        <v>20</v>
      </c>
      <c r="H305">
        <v>0</v>
      </c>
      <c r="I305">
        <v>0</v>
      </c>
    </row>
    <row r="306" spans="1:9" x14ac:dyDescent="0.3">
      <c r="A306" t="s">
        <v>90</v>
      </c>
      <c r="B306" t="s">
        <v>117</v>
      </c>
      <c r="C306" t="s">
        <v>9</v>
      </c>
      <c r="D306">
        <v>33</v>
      </c>
      <c r="E306">
        <v>0</v>
      </c>
      <c r="F306">
        <v>4</v>
      </c>
      <c r="G306">
        <v>28</v>
      </c>
      <c r="H306">
        <v>1</v>
      </c>
      <c r="I306">
        <v>0</v>
      </c>
    </row>
    <row r="307" spans="1:9" x14ac:dyDescent="0.3">
      <c r="A307" t="s">
        <v>90</v>
      </c>
      <c r="B307" t="s">
        <v>117</v>
      </c>
      <c r="C307" t="s">
        <v>12</v>
      </c>
      <c r="D307">
        <v>4</v>
      </c>
      <c r="E307">
        <v>0</v>
      </c>
      <c r="F307">
        <v>1</v>
      </c>
      <c r="G307">
        <v>3</v>
      </c>
      <c r="H307">
        <v>0</v>
      </c>
      <c r="I307">
        <v>0</v>
      </c>
    </row>
    <row r="308" spans="1:9" x14ac:dyDescent="0.3">
      <c r="A308" t="s">
        <v>90</v>
      </c>
      <c r="B308" t="s">
        <v>117</v>
      </c>
      <c r="C308" t="s">
        <v>13</v>
      </c>
      <c r="D308">
        <v>29</v>
      </c>
      <c r="E308">
        <v>0</v>
      </c>
      <c r="F308">
        <v>3</v>
      </c>
      <c r="G308">
        <v>25</v>
      </c>
      <c r="H308">
        <v>1</v>
      </c>
      <c r="I308">
        <v>0</v>
      </c>
    </row>
    <row r="309" spans="1:9" x14ac:dyDescent="0.3">
      <c r="A309" t="s">
        <v>90</v>
      </c>
      <c r="B309" t="s">
        <v>118</v>
      </c>
      <c r="C309" t="s">
        <v>9</v>
      </c>
      <c r="D309">
        <v>24</v>
      </c>
      <c r="E309">
        <v>0</v>
      </c>
      <c r="F309">
        <v>1</v>
      </c>
      <c r="G309">
        <v>23</v>
      </c>
      <c r="H309">
        <v>0</v>
      </c>
      <c r="I309">
        <v>0</v>
      </c>
    </row>
    <row r="310" spans="1:9" x14ac:dyDescent="0.3">
      <c r="A310" t="s">
        <v>90</v>
      </c>
      <c r="B310" t="s">
        <v>118</v>
      </c>
      <c r="C310" t="s">
        <v>12</v>
      </c>
      <c r="D310">
        <v>5</v>
      </c>
      <c r="E310">
        <v>0</v>
      </c>
      <c r="F310">
        <v>0</v>
      </c>
      <c r="G310">
        <v>5</v>
      </c>
      <c r="H310">
        <v>0</v>
      </c>
      <c r="I310">
        <v>0</v>
      </c>
    </row>
    <row r="311" spans="1:9" x14ac:dyDescent="0.3">
      <c r="A311" t="s">
        <v>90</v>
      </c>
      <c r="B311" t="s">
        <v>118</v>
      </c>
      <c r="C311" t="s">
        <v>13</v>
      </c>
      <c r="D311">
        <v>19</v>
      </c>
      <c r="E311">
        <v>0</v>
      </c>
      <c r="F311">
        <v>1</v>
      </c>
      <c r="G311">
        <v>18</v>
      </c>
      <c r="H311">
        <v>0</v>
      </c>
      <c r="I311">
        <v>0</v>
      </c>
    </row>
    <row r="312" spans="1:9" x14ac:dyDescent="0.3">
      <c r="A312" t="s">
        <v>90</v>
      </c>
      <c r="B312" t="s">
        <v>119</v>
      </c>
      <c r="C312" t="s">
        <v>9</v>
      </c>
      <c r="D312">
        <v>23</v>
      </c>
      <c r="E312">
        <v>0</v>
      </c>
      <c r="F312">
        <v>1</v>
      </c>
      <c r="G312">
        <v>22</v>
      </c>
      <c r="H312">
        <v>0</v>
      </c>
      <c r="I312">
        <v>0</v>
      </c>
    </row>
    <row r="313" spans="1:9" x14ac:dyDescent="0.3">
      <c r="A313" t="s">
        <v>90</v>
      </c>
      <c r="B313" t="s">
        <v>119</v>
      </c>
      <c r="C313" t="s">
        <v>13</v>
      </c>
      <c r="D313">
        <v>23</v>
      </c>
      <c r="E313">
        <v>0</v>
      </c>
      <c r="F313">
        <v>1</v>
      </c>
      <c r="G313">
        <v>22</v>
      </c>
      <c r="H313">
        <v>0</v>
      </c>
      <c r="I313">
        <v>0</v>
      </c>
    </row>
    <row r="314" spans="1:9" x14ac:dyDescent="0.3">
      <c r="A314" t="s">
        <v>90</v>
      </c>
      <c r="B314" t="s">
        <v>120</v>
      </c>
      <c r="C314" t="s">
        <v>9</v>
      </c>
      <c r="D314">
        <v>21</v>
      </c>
      <c r="E314">
        <v>0</v>
      </c>
      <c r="F314">
        <v>1</v>
      </c>
      <c r="G314">
        <v>20</v>
      </c>
      <c r="H314">
        <v>0</v>
      </c>
      <c r="I314">
        <v>0</v>
      </c>
    </row>
    <row r="315" spans="1:9" x14ac:dyDescent="0.3">
      <c r="A315" t="s">
        <v>90</v>
      </c>
      <c r="B315" t="s">
        <v>120</v>
      </c>
      <c r="C315" t="s">
        <v>12</v>
      </c>
      <c r="D315">
        <v>9</v>
      </c>
      <c r="E315">
        <v>0</v>
      </c>
      <c r="F315">
        <v>0</v>
      </c>
      <c r="G315">
        <v>9</v>
      </c>
      <c r="H315">
        <v>0</v>
      </c>
      <c r="I315">
        <v>0</v>
      </c>
    </row>
    <row r="316" spans="1:9" x14ac:dyDescent="0.3">
      <c r="A316" t="s">
        <v>90</v>
      </c>
      <c r="B316" t="s">
        <v>120</v>
      </c>
      <c r="C316" t="s">
        <v>13</v>
      </c>
      <c r="D316">
        <v>12</v>
      </c>
      <c r="E316">
        <v>0</v>
      </c>
      <c r="F316">
        <v>1</v>
      </c>
      <c r="G316">
        <v>11</v>
      </c>
      <c r="H316">
        <v>0</v>
      </c>
      <c r="I316">
        <v>0</v>
      </c>
    </row>
    <row r="317" spans="1:9" x14ac:dyDescent="0.3">
      <c r="A317" t="s">
        <v>90</v>
      </c>
      <c r="B317" t="s">
        <v>121</v>
      </c>
      <c r="C317" t="s">
        <v>9</v>
      </c>
      <c r="D317">
        <v>21</v>
      </c>
      <c r="E317">
        <v>0</v>
      </c>
      <c r="F317">
        <v>2</v>
      </c>
      <c r="G317">
        <v>19</v>
      </c>
      <c r="H317">
        <v>0</v>
      </c>
      <c r="I317">
        <v>0</v>
      </c>
    </row>
    <row r="318" spans="1:9" x14ac:dyDescent="0.3">
      <c r="A318" t="s">
        <v>90</v>
      </c>
      <c r="B318" t="s">
        <v>121</v>
      </c>
      <c r="C318" t="s">
        <v>12</v>
      </c>
      <c r="D318">
        <v>4</v>
      </c>
      <c r="E318">
        <v>0</v>
      </c>
      <c r="F318">
        <v>0</v>
      </c>
      <c r="G318">
        <v>4</v>
      </c>
      <c r="H318">
        <v>0</v>
      </c>
      <c r="I318">
        <v>0</v>
      </c>
    </row>
    <row r="319" spans="1:9" x14ac:dyDescent="0.3">
      <c r="A319" t="s">
        <v>90</v>
      </c>
      <c r="B319" t="s">
        <v>121</v>
      </c>
      <c r="C319" t="s">
        <v>13</v>
      </c>
      <c r="D319">
        <v>17</v>
      </c>
      <c r="E319">
        <v>0</v>
      </c>
      <c r="F319">
        <v>2</v>
      </c>
      <c r="G319">
        <v>15</v>
      </c>
      <c r="H319">
        <v>0</v>
      </c>
      <c r="I319">
        <v>0</v>
      </c>
    </row>
    <row r="320" spans="1:9" x14ac:dyDescent="0.3">
      <c r="A320" t="s">
        <v>90</v>
      </c>
      <c r="B320" t="s">
        <v>122</v>
      </c>
      <c r="C320" t="s">
        <v>9</v>
      </c>
      <c r="D320">
        <v>20</v>
      </c>
      <c r="E320">
        <v>0</v>
      </c>
      <c r="F320">
        <v>2</v>
      </c>
      <c r="G320">
        <v>18</v>
      </c>
      <c r="H320">
        <v>0</v>
      </c>
      <c r="I320">
        <v>0</v>
      </c>
    </row>
    <row r="321" spans="1:9" x14ac:dyDescent="0.3">
      <c r="A321" t="s">
        <v>90</v>
      </c>
      <c r="B321" t="s">
        <v>122</v>
      </c>
      <c r="C321" t="s">
        <v>12</v>
      </c>
      <c r="D321">
        <v>9</v>
      </c>
      <c r="E321">
        <v>0</v>
      </c>
      <c r="F321">
        <v>1</v>
      </c>
      <c r="G321">
        <v>8</v>
      </c>
      <c r="H321">
        <v>0</v>
      </c>
      <c r="I321">
        <v>0</v>
      </c>
    </row>
    <row r="322" spans="1:9" x14ac:dyDescent="0.3">
      <c r="A322" t="s">
        <v>90</v>
      </c>
      <c r="B322" t="s">
        <v>122</v>
      </c>
      <c r="C322" t="s">
        <v>13</v>
      </c>
      <c r="D322">
        <v>11</v>
      </c>
      <c r="E322">
        <v>0</v>
      </c>
      <c r="F322">
        <v>1</v>
      </c>
      <c r="G322">
        <v>10</v>
      </c>
      <c r="H322">
        <v>0</v>
      </c>
      <c r="I322">
        <v>0</v>
      </c>
    </row>
    <row r="323" spans="1:9" x14ac:dyDescent="0.3">
      <c r="A323" t="s">
        <v>90</v>
      </c>
      <c r="B323" t="s">
        <v>123</v>
      </c>
      <c r="C323" t="s">
        <v>9</v>
      </c>
      <c r="D323">
        <v>20</v>
      </c>
      <c r="E323">
        <v>0</v>
      </c>
      <c r="F323">
        <v>2</v>
      </c>
      <c r="G323">
        <v>18</v>
      </c>
      <c r="H323">
        <v>0</v>
      </c>
      <c r="I323">
        <v>0</v>
      </c>
    </row>
    <row r="324" spans="1:9" x14ac:dyDescent="0.3">
      <c r="A324" t="s">
        <v>90</v>
      </c>
      <c r="B324" t="s">
        <v>123</v>
      </c>
      <c r="C324" t="s">
        <v>12</v>
      </c>
      <c r="D324">
        <v>2</v>
      </c>
      <c r="E324">
        <v>0</v>
      </c>
      <c r="F324">
        <v>2</v>
      </c>
      <c r="G324">
        <v>0</v>
      </c>
      <c r="H324">
        <v>0</v>
      </c>
      <c r="I324">
        <v>0</v>
      </c>
    </row>
    <row r="325" spans="1:9" x14ac:dyDescent="0.3">
      <c r="A325" t="s">
        <v>90</v>
      </c>
      <c r="B325" t="s">
        <v>123</v>
      </c>
      <c r="C325" t="s">
        <v>13</v>
      </c>
      <c r="D325">
        <v>18</v>
      </c>
      <c r="E325">
        <v>0</v>
      </c>
      <c r="F325">
        <v>0</v>
      </c>
      <c r="G325">
        <v>18</v>
      </c>
      <c r="H325">
        <v>0</v>
      </c>
      <c r="I325">
        <v>0</v>
      </c>
    </row>
    <row r="326" spans="1:9" x14ac:dyDescent="0.3">
      <c r="A326" t="s">
        <v>90</v>
      </c>
      <c r="B326" t="s">
        <v>124</v>
      </c>
      <c r="C326" t="s">
        <v>9</v>
      </c>
      <c r="D326">
        <v>18</v>
      </c>
      <c r="E326">
        <v>0</v>
      </c>
      <c r="F326">
        <v>1</v>
      </c>
      <c r="G326">
        <v>17</v>
      </c>
      <c r="H326">
        <v>0</v>
      </c>
      <c r="I326">
        <v>0</v>
      </c>
    </row>
    <row r="327" spans="1:9" x14ac:dyDescent="0.3">
      <c r="A327" t="s">
        <v>90</v>
      </c>
      <c r="B327" t="s">
        <v>124</v>
      </c>
      <c r="C327" t="s">
        <v>12</v>
      </c>
      <c r="D327">
        <v>9</v>
      </c>
      <c r="E327">
        <v>0</v>
      </c>
      <c r="F327">
        <v>1</v>
      </c>
      <c r="G327">
        <v>8</v>
      </c>
      <c r="H327">
        <v>0</v>
      </c>
      <c r="I327">
        <v>0</v>
      </c>
    </row>
    <row r="328" spans="1:9" x14ac:dyDescent="0.3">
      <c r="A328" t="s">
        <v>90</v>
      </c>
      <c r="B328" t="s">
        <v>124</v>
      </c>
      <c r="C328" t="s">
        <v>13</v>
      </c>
      <c r="D328">
        <v>9</v>
      </c>
      <c r="E328">
        <v>0</v>
      </c>
      <c r="F328">
        <v>0</v>
      </c>
      <c r="G328">
        <v>9</v>
      </c>
      <c r="H328">
        <v>0</v>
      </c>
      <c r="I328">
        <v>0</v>
      </c>
    </row>
    <row r="329" spans="1:9" x14ac:dyDescent="0.3">
      <c r="A329" t="s">
        <v>90</v>
      </c>
      <c r="B329" t="s">
        <v>125</v>
      </c>
      <c r="C329" t="s">
        <v>9</v>
      </c>
      <c r="D329">
        <v>13</v>
      </c>
      <c r="E329">
        <v>0</v>
      </c>
      <c r="F329">
        <v>1</v>
      </c>
      <c r="G329">
        <v>12</v>
      </c>
      <c r="H329">
        <v>0</v>
      </c>
      <c r="I329">
        <v>0</v>
      </c>
    </row>
    <row r="330" spans="1:9" x14ac:dyDescent="0.3">
      <c r="A330" t="s">
        <v>90</v>
      </c>
      <c r="B330" t="s">
        <v>125</v>
      </c>
      <c r="C330" t="s">
        <v>12</v>
      </c>
      <c r="D330">
        <v>2</v>
      </c>
      <c r="E330">
        <v>0</v>
      </c>
      <c r="F330">
        <v>0</v>
      </c>
      <c r="G330">
        <v>2</v>
      </c>
      <c r="H330">
        <v>0</v>
      </c>
      <c r="I330">
        <v>0</v>
      </c>
    </row>
    <row r="331" spans="1:9" x14ac:dyDescent="0.3">
      <c r="A331" t="s">
        <v>90</v>
      </c>
      <c r="B331" t="s">
        <v>125</v>
      </c>
      <c r="C331" t="s">
        <v>13</v>
      </c>
      <c r="D331">
        <v>11</v>
      </c>
      <c r="E331">
        <v>0</v>
      </c>
      <c r="F331">
        <v>1</v>
      </c>
      <c r="G331">
        <v>10</v>
      </c>
      <c r="H331">
        <v>0</v>
      </c>
      <c r="I331">
        <v>0</v>
      </c>
    </row>
    <row r="332" spans="1:9" x14ac:dyDescent="0.3">
      <c r="A332" t="s">
        <v>90</v>
      </c>
      <c r="B332" t="s">
        <v>126</v>
      </c>
      <c r="C332" t="s">
        <v>9</v>
      </c>
      <c r="D332">
        <v>13</v>
      </c>
      <c r="E332">
        <v>0</v>
      </c>
      <c r="F332">
        <v>0</v>
      </c>
      <c r="G332">
        <v>13</v>
      </c>
      <c r="H332">
        <v>0</v>
      </c>
      <c r="I332">
        <v>0</v>
      </c>
    </row>
    <row r="333" spans="1:9" x14ac:dyDescent="0.3">
      <c r="A333" t="s">
        <v>90</v>
      </c>
      <c r="B333" t="s">
        <v>126</v>
      </c>
      <c r="C333" t="s">
        <v>12</v>
      </c>
      <c r="D333">
        <v>4</v>
      </c>
      <c r="E333">
        <v>0</v>
      </c>
      <c r="F333">
        <v>0</v>
      </c>
      <c r="G333">
        <v>4</v>
      </c>
      <c r="H333">
        <v>0</v>
      </c>
      <c r="I333">
        <v>0</v>
      </c>
    </row>
    <row r="334" spans="1:9" x14ac:dyDescent="0.3">
      <c r="A334" t="s">
        <v>90</v>
      </c>
      <c r="B334" t="s">
        <v>126</v>
      </c>
      <c r="C334" t="s">
        <v>13</v>
      </c>
      <c r="D334">
        <v>9</v>
      </c>
      <c r="E334">
        <v>0</v>
      </c>
      <c r="F334">
        <v>0</v>
      </c>
      <c r="G334">
        <v>9</v>
      </c>
      <c r="H334">
        <v>0</v>
      </c>
      <c r="I334">
        <v>0</v>
      </c>
    </row>
    <row r="335" spans="1:9" x14ac:dyDescent="0.3">
      <c r="A335" t="s">
        <v>90</v>
      </c>
      <c r="B335" t="s">
        <v>127</v>
      </c>
      <c r="C335" t="s">
        <v>9</v>
      </c>
      <c r="D335">
        <v>12</v>
      </c>
      <c r="E335">
        <v>0</v>
      </c>
      <c r="F335">
        <v>0</v>
      </c>
      <c r="G335">
        <v>12</v>
      </c>
      <c r="H335">
        <v>0</v>
      </c>
      <c r="I335">
        <v>0</v>
      </c>
    </row>
    <row r="336" spans="1:9" x14ac:dyDescent="0.3">
      <c r="A336" t="s">
        <v>90</v>
      </c>
      <c r="B336" t="s">
        <v>127</v>
      </c>
      <c r="C336" t="s">
        <v>12</v>
      </c>
      <c r="D336">
        <v>2</v>
      </c>
      <c r="E336">
        <v>0</v>
      </c>
      <c r="F336">
        <v>0</v>
      </c>
      <c r="G336">
        <v>2</v>
      </c>
      <c r="H336">
        <v>0</v>
      </c>
      <c r="I336">
        <v>0</v>
      </c>
    </row>
    <row r="337" spans="1:9" x14ac:dyDescent="0.3">
      <c r="A337" t="s">
        <v>90</v>
      </c>
      <c r="B337" t="s">
        <v>127</v>
      </c>
      <c r="C337" t="s">
        <v>13</v>
      </c>
      <c r="D337">
        <v>10</v>
      </c>
      <c r="E337">
        <v>0</v>
      </c>
      <c r="F337">
        <v>0</v>
      </c>
      <c r="G337">
        <v>10</v>
      </c>
      <c r="H337">
        <v>0</v>
      </c>
      <c r="I337">
        <v>0</v>
      </c>
    </row>
    <row r="338" spans="1:9" x14ac:dyDescent="0.3">
      <c r="A338" t="s">
        <v>90</v>
      </c>
      <c r="B338" t="s">
        <v>128</v>
      </c>
      <c r="C338" t="s">
        <v>9</v>
      </c>
      <c r="D338">
        <v>10</v>
      </c>
      <c r="E338">
        <v>0</v>
      </c>
      <c r="F338">
        <v>0</v>
      </c>
      <c r="G338">
        <v>10</v>
      </c>
      <c r="H338">
        <v>0</v>
      </c>
      <c r="I338">
        <v>0</v>
      </c>
    </row>
    <row r="339" spans="1:9" x14ac:dyDescent="0.3">
      <c r="A339" t="s">
        <v>90</v>
      </c>
      <c r="B339" t="s">
        <v>128</v>
      </c>
      <c r="C339" t="s">
        <v>12</v>
      </c>
      <c r="D339">
        <v>5</v>
      </c>
      <c r="E339">
        <v>0</v>
      </c>
      <c r="F339">
        <v>0</v>
      </c>
      <c r="G339">
        <v>5</v>
      </c>
      <c r="H339">
        <v>0</v>
      </c>
      <c r="I339">
        <v>0</v>
      </c>
    </row>
    <row r="340" spans="1:9" x14ac:dyDescent="0.3">
      <c r="A340" t="s">
        <v>90</v>
      </c>
      <c r="B340" t="s">
        <v>128</v>
      </c>
      <c r="C340" t="s">
        <v>13</v>
      </c>
      <c r="D340">
        <v>5</v>
      </c>
      <c r="E340">
        <v>0</v>
      </c>
      <c r="F340">
        <v>0</v>
      </c>
      <c r="G340">
        <v>5</v>
      </c>
      <c r="H340">
        <v>0</v>
      </c>
      <c r="I340">
        <v>0</v>
      </c>
    </row>
    <row r="341" spans="1:9" x14ac:dyDescent="0.3">
      <c r="A341" t="s">
        <v>90</v>
      </c>
      <c r="B341" t="s">
        <v>129</v>
      </c>
      <c r="C341" t="s">
        <v>9</v>
      </c>
      <c r="D341">
        <v>4</v>
      </c>
      <c r="E341">
        <v>0</v>
      </c>
      <c r="F341">
        <v>0</v>
      </c>
      <c r="G341">
        <v>4</v>
      </c>
      <c r="H341">
        <v>0</v>
      </c>
      <c r="I341">
        <v>0</v>
      </c>
    </row>
    <row r="342" spans="1:9" x14ac:dyDescent="0.3">
      <c r="A342" t="s">
        <v>90</v>
      </c>
      <c r="B342" t="s">
        <v>129</v>
      </c>
      <c r="C342" t="s">
        <v>12</v>
      </c>
      <c r="D342">
        <v>2</v>
      </c>
      <c r="E342">
        <v>0</v>
      </c>
      <c r="F342">
        <v>0</v>
      </c>
      <c r="G342">
        <v>2</v>
      </c>
      <c r="H342">
        <v>0</v>
      </c>
      <c r="I342">
        <v>0</v>
      </c>
    </row>
    <row r="343" spans="1:9" x14ac:dyDescent="0.3">
      <c r="A343" t="s">
        <v>90</v>
      </c>
      <c r="B343" t="s">
        <v>129</v>
      </c>
      <c r="C343" t="s">
        <v>13</v>
      </c>
      <c r="D343">
        <v>2</v>
      </c>
      <c r="E343">
        <v>0</v>
      </c>
      <c r="F343">
        <v>0</v>
      </c>
      <c r="G343">
        <v>2</v>
      </c>
      <c r="H343">
        <v>0</v>
      </c>
      <c r="I343">
        <v>0</v>
      </c>
    </row>
    <row r="344" spans="1:9" x14ac:dyDescent="0.3">
      <c r="A344" t="s">
        <v>90</v>
      </c>
      <c r="B344" t="s">
        <v>130</v>
      </c>
      <c r="C344" t="s">
        <v>9</v>
      </c>
      <c r="D344">
        <v>3</v>
      </c>
      <c r="E344">
        <v>0</v>
      </c>
      <c r="F344">
        <v>0</v>
      </c>
      <c r="G344">
        <v>3</v>
      </c>
      <c r="H344">
        <v>0</v>
      </c>
      <c r="I344">
        <v>0</v>
      </c>
    </row>
    <row r="345" spans="1:9" x14ac:dyDescent="0.3">
      <c r="A345" t="s">
        <v>90</v>
      </c>
      <c r="B345" t="s">
        <v>130</v>
      </c>
      <c r="C345" t="s">
        <v>12</v>
      </c>
      <c r="D345">
        <v>3</v>
      </c>
      <c r="E345">
        <v>0</v>
      </c>
      <c r="F345">
        <v>0</v>
      </c>
      <c r="G345">
        <v>3</v>
      </c>
      <c r="H345">
        <v>0</v>
      </c>
      <c r="I345">
        <v>0</v>
      </c>
    </row>
    <row r="346" spans="1:9" x14ac:dyDescent="0.3">
      <c r="A346" t="s">
        <v>90</v>
      </c>
      <c r="B346" t="s">
        <v>131</v>
      </c>
      <c r="C346" t="s">
        <v>9</v>
      </c>
      <c r="D346">
        <v>3</v>
      </c>
      <c r="E346">
        <v>0</v>
      </c>
      <c r="F346">
        <v>0</v>
      </c>
      <c r="G346">
        <v>3</v>
      </c>
      <c r="H346">
        <v>0</v>
      </c>
      <c r="I346">
        <v>0</v>
      </c>
    </row>
    <row r="347" spans="1:9" x14ac:dyDescent="0.3">
      <c r="A347" t="s">
        <v>90</v>
      </c>
      <c r="B347" t="s">
        <v>131</v>
      </c>
      <c r="C347" t="s">
        <v>12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</row>
    <row r="348" spans="1:9" x14ac:dyDescent="0.3">
      <c r="A348" t="s">
        <v>90</v>
      </c>
      <c r="B348" t="s">
        <v>131</v>
      </c>
      <c r="C348" t="s">
        <v>13</v>
      </c>
      <c r="D348">
        <v>2</v>
      </c>
      <c r="E348">
        <v>0</v>
      </c>
      <c r="F348">
        <v>0</v>
      </c>
      <c r="G348">
        <v>2</v>
      </c>
      <c r="H348">
        <v>0</v>
      </c>
      <c r="I348">
        <v>0</v>
      </c>
    </row>
    <row r="349" spans="1:9" x14ac:dyDescent="0.3">
      <c r="A349" t="s">
        <v>90</v>
      </c>
      <c r="B349" t="s">
        <v>132</v>
      </c>
      <c r="C349" t="s">
        <v>9</v>
      </c>
      <c r="D349">
        <v>3</v>
      </c>
      <c r="E349">
        <v>0</v>
      </c>
      <c r="F349">
        <v>0</v>
      </c>
      <c r="G349">
        <v>3</v>
      </c>
      <c r="H349">
        <v>0</v>
      </c>
      <c r="I349">
        <v>0</v>
      </c>
    </row>
    <row r="350" spans="1:9" x14ac:dyDescent="0.3">
      <c r="A350" t="s">
        <v>90</v>
      </c>
      <c r="B350" t="s">
        <v>132</v>
      </c>
      <c r="C350" t="s">
        <v>12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</row>
    <row r="351" spans="1:9" x14ac:dyDescent="0.3">
      <c r="A351" t="s">
        <v>90</v>
      </c>
      <c r="B351" t="s">
        <v>132</v>
      </c>
      <c r="C351" t="s">
        <v>13</v>
      </c>
      <c r="D351">
        <v>2</v>
      </c>
      <c r="E351">
        <v>0</v>
      </c>
      <c r="F351">
        <v>0</v>
      </c>
      <c r="G351">
        <v>2</v>
      </c>
      <c r="H351">
        <v>0</v>
      </c>
      <c r="I351">
        <v>0</v>
      </c>
    </row>
    <row r="352" spans="1:9" x14ac:dyDescent="0.3">
      <c r="A352" t="s">
        <v>90</v>
      </c>
      <c r="B352" t="s">
        <v>133</v>
      </c>
      <c r="C352" t="s">
        <v>9</v>
      </c>
      <c r="D352">
        <v>2</v>
      </c>
      <c r="E352">
        <v>0</v>
      </c>
      <c r="F352">
        <v>0</v>
      </c>
      <c r="G352">
        <v>2</v>
      </c>
      <c r="H352">
        <v>0</v>
      </c>
      <c r="I352">
        <v>0</v>
      </c>
    </row>
    <row r="353" spans="1:9" x14ac:dyDescent="0.3">
      <c r="A353" t="s">
        <v>90</v>
      </c>
      <c r="B353" t="s">
        <v>133</v>
      </c>
      <c r="C353" t="s">
        <v>12</v>
      </c>
      <c r="D353">
        <v>2</v>
      </c>
      <c r="E353">
        <v>0</v>
      </c>
      <c r="F353">
        <v>0</v>
      </c>
      <c r="G353">
        <v>2</v>
      </c>
      <c r="H353">
        <v>0</v>
      </c>
      <c r="I353">
        <v>0</v>
      </c>
    </row>
    <row r="354" spans="1:9" x14ac:dyDescent="0.3">
      <c r="A354" t="s">
        <v>90</v>
      </c>
      <c r="B354" t="s">
        <v>134</v>
      </c>
      <c r="C354" t="s">
        <v>9</v>
      </c>
      <c r="D354">
        <v>1</v>
      </c>
      <c r="E354">
        <v>0</v>
      </c>
      <c r="F354">
        <v>0</v>
      </c>
      <c r="G354">
        <v>1</v>
      </c>
      <c r="H354">
        <v>0</v>
      </c>
      <c r="I354">
        <v>0</v>
      </c>
    </row>
    <row r="355" spans="1:9" x14ac:dyDescent="0.3">
      <c r="A355" t="s">
        <v>90</v>
      </c>
      <c r="B355" t="s">
        <v>134</v>
      </c>
      <c r="C355" t="s">
        <v>13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0</v>
      </c>
    </row>
    <row r="356" spans="1:9" x14ac:dyDescent="0.3">
      <c r="A356" t="s">
        <v>90</v>
      </c>
      <c r="B356" t="s">
        <v>135</v>
      </c>
      <c r="C356" t="s">
        <v>9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0</v>
      </c>
    </row>
    <row r="357" spans="1:9" x14ac:dyDescent="0.3">
      <c r="A357" t="s">
        <v>90</v>
      </c>
      <c r="B357" t="s">
        <v>135</v>
      </c>
      <c r="C357" t="s">
        <v>13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</row>
    <row r="358" spans="1:9" x14ac:dyDescent="0.3">
      <c r="A358" t="s">
        <v>136</v>
      </c>
      <c r="B358" t="s">
        <v>9</v>
      </c>
      <c r="C358" t="s">
        <v>9</v>
      </c>
      <c r="D358">
        <v>893</v>
      </c>
      <c r="E358">
        <v>0</v>
      </c>
      <c r="F358">
        <v>118</v>
      </c>
      <c r="G358">
        <v>760</v>
      </c>
      <c r="H358">
        <v>14</v>
      </c>
      <c r="I358">
        <v>1</v>
      </c>
    </row>
    <row r="359" spans="1:9" x14ac:dyDescent="0.3">
      <c r="A359" t="s">
        <v>136</v>
      </c>
      <c r="B359" t="s">
        <v>9</v>
      </c>
      <c r="C359" t="s">
        <v>12</v>
      </c>
      <c r="D359" s="1">
        <f>D362+D365+D368+D371+D374+D378</f>
        <v>674</v>
      </c>
      <c r="E359" s="1">
        <f t="shared" ref="E359:I359" si="10">E362+E365+E368+E371+E374+E378</f>
        <v>0</v>
      </c>
      <c r="F359" s="1">
        <f t="shared" si="10"/>
        <v>98</v>
      </c>
      <c r="G359" s="1">
        <f t="shared" si="10"/>
        <v>563</v>
      </c>
      <c r="H359" s="1">
        <f t="shared" si="10"/>
        <v>12</v>
      </c>
      <c r="I359" s="1">
        <f t="shared" si="10"/>
        <v>1</v>
      </c>
    </row>
    <row r="360" spans="1:9" x14ac:dyDescent="0.3">
      <c r="A360" t="s">
        <v>136</v>
      </c>
      <c r="B360" t="s">
        <v>9</v>
      </c>
      <c r="C360" t="s">
        <v>13</v>
      </c>
      <c r="D360" s="1">
        <f>D363+D366+D369+D372+D376</f>
        <v>219</v>
      </c>
      <c r="E360" s="1">
        <f t="shared" ref="E360:I360" si="11">E363+E366+E369+E372+E376</f>
        <v>0</v>
      </c>
      <c r="F360" s="1">
        <f t="shared" si="11"/>
        <v>20</v>
      </c>
      <c r="G360" s="1">
        <f t="shared" si="11"/>
        <v>197</v>
      </c>
      <c r="H360" s="1">
        <f t="shared" si="11"/>
        <v>2</v>
      </c>
      <c r="I360" s="1">
        <f t="shared" si="11"/>
        <v>0</v>
      </c>
    </row>
    <row r="361" spans="1:9" x14ac:dyDescent="0.3">
      <c r="A361" t="s">
        <v>136</v>
      </c>
      <c r="B361" t="s">
        <v>137</v>
      </c>
      <c r="C361" t="s">
        <v>9</v>
      </c>
      <c r="D361">
        <v>617</v>
      </c>
      <c r="E361">
        <v>0</v>
      </c>
      <c r="F361">
        <v>67</v>
      </c>
      <c r="G361">
        <v>539</v>
      </c>
      <c r="H361">
        <v>10</v>
      </c>
      <c r="I361">
        <v>1</v>
      </c>
    </row>
    <row r="362" spans="1:9" x14ac:dyDescent="0.3">
      <c r="A362" t="s">
        <v>136</v>
      </c>
      <c r="B362" t="s">
        <v>137</v>
      </c>
      <c r="C362" t="s">
        <v>12</v>
      </c>
      <c r="D362">
        <v>450</v>
      </c>
      <c r="E362">
        <v>0</v>
      </c>
      <c r="F362">
        <v>50</v>
      </c>
      <c r="G362">
        <v>391</v>
      </c>
      <c r="H362">
        <v>8</v>
      </c>
      <c r="I362">
        <v>1</v>
      </c>
    </row>
    <row r="363" spans="1:9" x14ac:dyDescent="0.3">
      <c r="A363" t="s">
        <v>136</v>
      </c>
      <c r="B363" t="s">
        <v>137</v>
      </c>
      <c r="C363" t="s">
        <v>13</v>
      </c>
      <c r="D363">
        <v>167</v>
      </c>
      <c r="E363">
        <v>0</v>
      </c>
      <c r="F363">
        <v>17</v>
      </c>
      <c r="G363">
        <v>148</v>
      </c>
      <c r="H363">
        <v>2</v>
      </c>
      <c r="I363">
        <v>0</v>
      </c>
    </row>
    <row r="364" spans="1:9" x14ac:dyDescent="0.3">
      <c r="A364" t="s">
        <v>136</v>
      </c>
      <c r="B364" t="s">
        <v>138</v>
      </c>
      <c r="C364" t="s">
        <v>9</v>
      </c>
      <c r="D364">
        <v>262</v>
      </c>
      <c r="E364">
        <v>0</v>
      </c>
      <c r="F364">
        <v>51</v>
      </c>
      <c r="G364">
        <v>208</v>
      </c>
      <c r="H364">
        <v>3</v>
      </c>
      <c r="I364">
        <v>0</v>
      </c>
    </row>
    <row r="365" spans="1:9" x14ac:dyDescent="0.3">
      <c r="A365" t="s">
        <v>136</v>
      </c>
      <c r="B365" t="s">
        <v>138</v>
      </c>
      <c r="C365" t="s">
        <v>12</v>
      </c>
      <c r="D365">
        <v>215</v>
      </c>
      <c r="E365">
        <v>0</v>
      </c>
      <c r="F365">
        <v>48</v>
      </c>
      <c r="G365">
        <v>164</v>
      </c>
      <c r="H365">
        <v>3</v>
      </c>
      <c r="I365">
        <v>0</v>
      </c>
    </row>
    <row r="366" spans="1:9" x14ac:dyDescent="0.3">
      <c r="A366" t="s">
        <v>136</v>
      </c>
      <c r="B366" t="s">
        <v>138</v>
      </c>
      <c r="C366" t="s">
        <v>13</v>
      </c>
      <c r="D366">
        <v>47</v>
      </c>
      <c r="E366">
        <v>0</v>
      </c>
      <c r="F366">
        <v>3</v>
      </c>
      <c r="G366">
        <v>44</v>
      </c>
      <c r="H366">
        <v>0</v>
      </c>
      <c r="I366">
        <v>0</v>
      </c>
    </row>
    <row r="367" spans="1:9" x14ac:dyDescent="0.3">
      <c r="A367" t="s">
        <v>136</v>
      </c>
      <c r="B367" t="s">
        <v>139</v>
      </c>
      <c r="C367" t="s">
        <v>9</v>
      </c>
      <c r="D367">
        <v>5</v>
      </c>
      <c r="E367">
        <v>0</v>
      </c>
      <c r="F367">
        <v>0</v>
      </c>
      <c r="G367">
        <v>5</v>
      </c>
      <c r="H367">
        <v>0</v>
      </c>
      <c r="I367">
        <v>0</v>
      </c>
    </row>
    <row r="368" spans="1:9" x14ac:dyDescent="0.3">
      <c r="A368" t="s">
        <v>136</v>
      </c>
      <c r="B368" t="s">
        <v>139</v>
      </c>
      <c r="C368" t="s">
        <v>12</v>
      </c>
      <c r="D368">
        <v>3</v>
      </c>
      <c r="E368">
        <v>0</v>
      </c>
      <c r="F368">
        <v>0</v>
      </c>
      <c r="G368">
        <v>3</v>
      </c>
      <c r="H368">
        <v>0</v>
      </c>
      <c r="I368">
        <v>0</v>
      </c>
    </row>
    <row r="369" spans="1:9" x14ac:dyDescent="0.3">
      <c r="A369" t="s">
        <v>136</v>
      </c>
      <c r="B369" t="s">
        <v>139</v>
      </c>
      <c r="C369" t="s">
        <v>13</v>
      </c>
      <c r="D369">
        <v>2</v>
      </c>
      <c r="E369">
        <v>0</v>
      </c>
      <c r="F369">
        <v>0</v>
      </c>
      <c r="G369">
        <v>2</v>
      </c>
      <c r="H369">
        <v>0</v>
      </c>
      <c r="I369">
        <v>0</v>
      </c>
    </row>
    <row r="370" spans="1:9" x14ac:dyDescent="0.3">
      <c r="A370" t="s">
        <v>136</v>
      </c>
      <c r="B370" t="s">
        <v>140</v>
      </c>
      <c r="C370" t="s">
        <v>9</v>
      </c>
      <c r="D370">
        <v>4</v>
      </c>
      <c r="E370">
        <v>0</v>
      </c>
      <c r="F370">
        <v>0</v>
      </c>
      <c r="G370">
        <v>3</v>
      </c>
      <c r="H370">
        <v>1</v>
      </c>
      <c r="I370">
        <v>0</v>
      </c>
    </row>
    <row r="371" spans="1:9" x14ac:dyDescent="0.3">
      <c r="A371" t="s">
        <v>136</v>
      </c>
      <c r="B371" t="s">
        <v>140</v>
      </c>
      <c r="C371" t="s">
        <v>12</v>
      </c>
      <c r="D371">
        <v>3</v>
      </c>
      <c r="E371">
        <v>0</v>
      </c>
      <c r="F371">
        <v>0</v>
      </c>
      <c r="G371">
        <v>2</v>
      </c>
      <c r="H371">
        <v>1</v>
      </c>
      <c r="I371">
        <v>0</v>
      </c>
    </row>
    <row r="372" spans="1:9" x14ac:dyDescent="0.3">
      <c r="A372" t="s">
        <v>136</v>
      </c>
      <c r="B372" t="s">
        <v>140</v>
      </c>
      <c r="C372" t="s">
        <v>13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0</v>
      </c>
    </row>
    <row r="373" spans="1:9" x14ac:dyDescent="0.3">
      <c r="A373" t="s">
        <v>136</v>
      </c>
      <c r="B373" t="s">
        <v>141</v>
      </c>
      <c r="C373" t="s">
        <v>9</v>
      </c>
      <c r="D373">
        <v>2</v>
      </c>
      <c r="E373">
        <v>0</v>
      </c>
      <c r="F373">
        <v>0</v>
      </c>
      <c r="G373">
        <v>2</v>
      </c>
      <c r="H373">
        <v>0</v>
      </c>
      <c r="I373">
        <v>0</v>
      </c>
    </row>
    <row r="374" spans="1:9" x14ac:dyDescent="0.3">
      <c r="A374" t="s">
        <v>136</v>
      </c>
      <c r="B374" t="s">
        <v>141</v>
      </c>
      <c r="C374" t="s">
        <v>12</v>
      </c>
      <c r="D374">
        <v>2</v>
      </c>
      <c r="E374">
        <v>0</v>
      </c>
      <c r="F374">
        <v>0</v>
      </c>
      <c r="G374">
        <v>2</v>
      </c>
      <c r="H374">
        <v>0</v>
      </c>
      <c r="I374">
        <v>0</v>
      </c>
    </row>
    <row r="375" spans="1:9" x14ac:dyDescent="0.3">
      <c r="A375" t="s">
        <v>136</v>
      </c>
      <c r="B375" t="s">
        <v>142</v>
      </c>
      <c r="C375" t="s">
        <v>9</v>
      </c>
      <c r="D375">
        <v>2</v>
      </c>
      <c r="E375">
        <v>0</v>
      </c>
      <c r="F375">
        <v>0</v>
      </c>
      <c r="G375">
        <v>2</v>
      </c>
      <c r="H375">
        <v>0</v>
      </c>
      <c r="I375">
        <v>0</v>
      </c>
    </row>
    <row r="376" spans="1:9" x14ac:dyDescent="0.3">
      <c r="A376" t="s">
        <v>136</v>
      </c>
      <c r="B376" t="s">
        <v>142</v>
      </c>
      <c r="C376" t="s">
        <v>13</v>
      </c>
      <c r="D376">
        <v>2</v>
      </c>
      <c r="E376">
        <v>0</v>
      </c>
      <c r="F376">
        <v>0</v>
      </c>
      <c r="G376">
        <v>2</v>
      </c>
      <c r="H376">
        <v>0</v>
      </c>
      <c r="I376">
        <v>0</v>
      </c>
    </row>
    <row r="377" spans="1:9" x14ac:dyDescent="0.3">
      <c r="A377" t="s">
        <v>136</v>
      </c>
      <c r="B377" t="s">
        <v>143</v>
      </c>
      <c r="C377" t="s">
        <v>9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</row>
    <row r="378" spans="1:9" x14ac:dyDescent="0.3">
      <c r="A378" t="s">
        <v>136</v>
      </c>
      <c r="B378" t="s">
        <v>143</v>
      </c>
      <c r="C378" t="s">
        <v>12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</row>
    <row r="379" spans="1:9" x14ac:dyDescent="0.3">
      <c r="A379" t="s">
        <v>144</v>
      </c>
      <c r="B379" t="s">
        <v>9</v>
      </c>
      <c r="C379" t="s">
        <v>9</v>
      </c>
      <c r="D379" s="1">
        <v>1827</v>
      </c>
      <c r="E379">
        <v>0</v>
      </c>
      <c r="F379">
        <v>79</v>
      </c>
      <c r="G379" s="1">
        <v>1676</v>
      </c>
      <c r="H379">
        <v>51</v>
      </c>
      <c r="I379">
        <v>21</v>
      </c>
    </row>
    <row r="380" spans="1:9" x14ac:dyDescent="0.3">
      <c r="A380" t="s">
        <v>144</v>
      </c>
      <c r="B380" t="s">
        <v>9</v>
      </c>
      <c r="C380" t="s">
        <v>12</v>
      </c>
      <c r="D380" s="1">
        <f>D383+D386+D389+D392+D395+D398+D401+D404+D407+D410+D413+D416+D419+D421+D424+D429+D431+D433+D436+D438+D440+D443+D446+D448+D451+D455+D457+D460+D463+D465+D469+D471+D475</f>
        <v>914</v>
      </c>
      <c r="E380" s="1">
        <f t="shared" ref="E380:I380" si="12">E383+E386+E389+E392+E395+E398+E401+E404+E407+E410+E413+E416+E419+E421+E424+E429+E431+E433+E436+E438+E440+E443+E446+E448+E451+E455+E457+E460+E463+E465+E469+E471+E475</f>
        <v>0</v>
      </c>
      <c r="F380" s="1">
        <f t="shared" si="12"/>
        <v>71</v>
      </c>
      <c r="G380" s="1">
        <f t="shared" si="12"/>
        <v>796</v>
      </c>
      <c r="H380" s="1">
        <f t="shared" si="12"/>
        <v>34</v>
      </c>
      <c r="I380" s="1">
        <f t="shared" si="12"/>
        <v>13</v>
      </c>
    </row>
    <row r="381" spans="1:9" x14ac:dyDescent="0.3">
      <c r="A381" t="s">
        <v>144</v>
      </c>
      <c r="B381" t="s">
        <v>9</v>
      </c>
      <c r="C381" t="s">
        <v>13</v>
      </c>
      <c r="D381" s="1">
        <f>D384+D387+D390+D393+D396+D399+D402+D405+D408+D411+D414+D417+D422+D425+D427+D434+D441+D444+D449+D453+D458+D461+D467+D473+D477+D479</f>
        <v>913</v>
      </c>
      <c r="E381" s="1">
        <f t="shared" ref="E381:I381" si="13">E384+E387+E390+E393+E396+E399+E402+E405+E408+E411+E414+E417+E422+E425+E427+E434+E441+E444+E449+E453+E458+E461+E467+E473+E477+E479</f>
        <v>0</v>
      </c>
      <c r="F381" s="1">
        <f t="shared" si="13"/>
        <v>8</v>
      </c>
      <c r="G381" s="1">
        <f t="shared" si="13"/>
        <v>880</v>
      </c>
      <c r="H381" s="1">
        <f t="shared" si="13"/>
        <v>17</v>
      </c>
      <c r="I381" s="1">
        <f t="shared" si="13"/>
        <v>8</v>
      </c>
    </row>
    <row r="382" spans="1:9" x14ac:dyDescent="0.3">
      <c r="A382" t="s">
        <v>144</v>
      </c>
      <c r="B382" t="s">
        <v>145</v>
      </c>
      <c r="C382" t="s">
        <v>9</v>
      </c>
      <c r="D382">
        <v>687</v>
      </c>
      <c r="E382">
        <v>0</v>
      </c>
      <c r="F382">
        <v>11</v>
      </c>
      <c r="G382">
        <v>657</v>
      </c>
      <c r="H382">
        <v>11</v>
      </c>
      <c r="I382">
        <v>8</v>
      </c>
    </row>
    <row r="383" spans="1:9" x14ac:dyDescent="0.3">
      <c r="A383" t="s">
        <v>144</v>
      </c>
      <c r="B383" t="s">
        <v>145</v>
      </c>
      <c r="C383" t="s">
        <v>12</v>
      </c>
      <c r="D383">
        <v>146</v>
      </c>
      <c r="E383">
        <v>0</v>
      </c>
      <c r="F383">
        <v>9</v>
      </c>
      <c r="G383">
        <v>134</v>
      </c>
      <c r="H383">
        <v>1</v>
      </c>
      <c r="I383">
        <v>2</v>
      </c>
    </row>
    <row r="384" spans="1:9" x14ac:dyDescent="0.3">
      <c r="A384" t="s">
        <v>144</v>
      </c>
      <c r="B384" t="s">
        <v>145</v>
      </c>
      <c r="C384" t="s">
        <v>13</v>
      </c>
      <c r="D384">
        <v>541</v>
      </c>
      <c r="E384">
        <v>0</v>
      </c>
      <c r="F384">
        <v>2</v>
      </c>
      <c r="G384">
        <v>523</v>
      </c>
      <c r="H384">
        <v>10</v>
      </c>
      <c r="I384">
        <v>6</v>
      </c>
    </row>
    <row r="385" spans="1:9" x14ac:dyDescent="0.3">
      <c r="A385" t="s">
        <v>144</v>
      </c>
      <c r="B385" t="s">
        <v>146</v>
      </c>
      <c r="C385" t="s">
        <v>9</v>
      </c>
      <c r="D385">
        <v>284</v>
      </c>
      <c r="E385">
        <v>0</v>
      </c>
      <c r="F385">
        <v>23</v>
      </c>
      <c r="G385">
        <v>256</v>
      </c>
      <c r="H385">
        <v>4</v>
      </c>
      <c r="I385">
        <v>1</v>
      </c>
    </row>
    <row r="386" spans="1:9" x14ac:dyDescent="0.3">
      <c r="A386" t="s">
        <v>144</v>
      </c>
      <c r="B386" t="s">
        <v>146</v>
      </c>
      <c r="C386" t="s">
        <v>12</v>
      </c>
      <c r="D386">
        <v>192</v>
      </c>
      <c r="E386">
        <v>0</v>
      </c>
      <c r="F386">
        <v>22</v>
      </c>
      <c r="G386">
        <v>167</v>
      </c>
      <c r="H386">
        <v>2</v>
      </c>
      <c r="I386">
        <v>1</v>
      </c>
    </row>
    <row r="387" spans="1:9" x14ac:dyDescent="0.3">
      <c r="A387" t="s">
        <v>144</v>
      </c>
      <c r="B387" t="s">
        <v>146</v>
      </c>
      <c r="C387" t="s">
        <v>13</v>
      </c>
      <c r="D387">
        <v>92</v>
      </c>
      <c r="E387">
        <v>0</v>
      </c>
      <c r="F387">
        <v>1</v>
      </c>
      <c r="G387">
        <v>89</v>
      </c>
      <c r="H387">
        <v>2</v>
      </c>
      <c r="I387">
        <v>0</v>
      </c>
    </row>
    <row r="388" spans="1:9" x14ac:dyDescent="0.3">
      <c r="A388" t="s">
        <v>144</v>
      </c>
      <c r="B388" t="s">
        <v>147</v>
      </c>
      <c r="C388" t="s">
        <v>9</v>
      </c>
      <c r="D388">
        <v>199</v>
      </c>
      <c r="E388">
        <v>0</v>
      </c>
      <c r="F388">
        <v>6</v>
      </c>
      <c r="G388">
        <v>179</v>
      </c>
      <c r="H388">
        <v>11</v>
      </c>
      <c r="I388">
        <v>3</v>
      </c>
    </row>
    <row r="389" spans="1:9" x14ac:dyDescent="0.3">
      <c r="A389" t="s">
        <v>144</v>
      </c>
      <c r="B389" t="s">
        <v>147</v>
      </c>
      <c r="C389" t="s">
        <v>12</v>
      </c>
      <c r="D389">
        <v>130</v>
      </c>
      <c r="E389">
        <v>0</v>
      </c>
      <c r="F389">
        <v>5</v>
      </c>
      <c r="G389">
        <v>113</v>
      </c>
      <c r="H389">
        <v>10</v>
      </c>
      <c r="I389">
        <v>2</v>
      </c>
    </row>
    <row r="390" spans="1:9" x14ac:dyDescent="0.3">
      <c r="A390" t="s">
        <v>144</v>
      </c>
      <c r="B390" t="s">
        <v>147</v>
      </c>
      <c r="C390" t="s">
        <v>13</v>
      </c>
      <c r="D390">
        <v>69</v>
      </c>
      <c r="E390">
        <v>0</v>
      </c>
      <c r="F390">
        <v>1</v>
      </c>
      <c r="G390">
        <v>66</v>
      </c>
      <c r="H390">
        <v>1</v>
      </c>
      <c r="I390">
        <v>1</v>
      </c>
    </row>
    <row r="391" spans="1:9" x14ac:dyDescent="0.3">
      <c r="A391" t="s">
        <v>144</v>
      </c>
      <c r="B391" t="s">
        <v>148</v>
      </c>
      <c r="C391" t="s">
        <v>9</v>
      </c>
      <c r="D391">
        <v>178</v>
      </c>
      <c r="E391">
        <v>0</v>
      </c>
      <c r="F391">
        <v>23</v>
      </c>
      <c r="G391">
        <v>142</v>
      </c>
      <c r="H391">
        <v>8</v>
      </c>
      <c r="I391">
        <v>5</v>
      </c>
    </row>
    <row r="392" spans="1:9" x14ac:dyDescent="0.3">
      <c r="A392" t="s">
        <v>144</v>
      </c>
      <c r="B392" t="s">
        <v>148</v>
      </c>
      <c r="C392" t="s">
        <v>12</v>
      </c>
      <c r="D392">
        <v>177</v>
      </c>
      <c r="E392">
        <v>0</v>
      </c>
      <c r="F392">
        <v>23</v>
      </c>
      <c r="G392">
        <v>141</v>
      </c>
      <c r="H392">
        <v>8</v>
      </c>
      <c r="I392">
        <v>5</v>
      </c>
    </row>
    <row r="393" spans="1:9" x14ac:dyDescent="0.3">
      <c r="A393" t="s">
        <v>144</v>
      </c>
      <c r="B393" t="s">
        <v>148</v>
      </c>
      <c r="C393" t="s">
        <v>13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0</v>
      </c>
    </row>
    <row r="394" spans="1:9" x14ac:dyDescent="0.3">
      <c r="A394" t="s">
        <v>144</v>
      </c>
      <c r="B394" t="s">
        <v>149</v>
      </c>
      <c r="C394" t="s">
        <v>9</v>
      </c>
      <c r="D394">
        <v>113</v>
      </c>
      <c r="E394">
        <v>0</v>
      </c>
      <c r="F394">
        <v>2</v>
      </c>
      <c r="G394">
        <v>109</v>
      </c>
      <c r="H394">
        <v>1</v>
      </c>
      <c r="I394">
        <v>1</v>
      </c>
    </row>
    <row r="395" spans="1:9" x14ac:dyDescent="0.3">
      <c r="A395" t="s">
        <v>144</v>
      </c>
      <c r="B395" t="s">
        <v>149</v>
      </c>
      <c r="C395" t="s">
        <v>12</v>
      </c>
      <c r="D395">
        <v>31</v>
      </c>
      <c r="E395">
        <v>0</v>
      </c>
      <c r="F395">
        <v>1</v>
      </c>
      <c r="G395">
        <v>29</v>
      </c>
      <c r="H395">
        <v>1</v>
      </c>
      <c r="I395">
        <v>0</v>
      </c>
    </row>
    <row r="396" spans="1:9" x14ac:dyDescent="0.3">
      <c r="A396" t="s">
        <v>144</v>
      </c>
      <c r="B396" t="s">
        <v>149</v>
      </c>
      <c r="C396" t="s">
        <v>13</v>
      </c>
      <c r="D396">
        <v>82</v>
      </c>
      <c r="E396">
        <v>0</v>
      </c>
      <c r="F396">
        <v>1</v>
      </c>
      <c r="G396">
        <v>80</v>
      </c>
      <c r="H396">
        <v>0</v>
      </c>
      <c r="I396">
        <v>1</v>
      </c>
    </row>
    <row r="397" spans="1:9" x14ac:dyDescent="0.3">
      <c r="A397" t="s">
        <v>144</v>
      </c>
      <c r="B397" t="s">
        <v>150</v>
      </c>
      <c r="C397" t="s">
        <v>9</v>
      </c>
      <c r="D397">
        <v>100</v>
      </c>
      <c r="E397">
        <v>0</v>
      </c>
      <c r="F397">
        <v>2</v>
      </c>
      <c r="G397">
        <v>95</v>
      </c>
      <c r="H397">
        <v>1</v>
      </c>
      <c r="I397">
        <v>2</v>
      </c>
    </row>
    <row r="398" spans="1:9" x14ac:dyDescent="0.3">
      <c r="A398" t="s">
        <v>144</v>
      </c>
      <c r="B398" t="s">
        <v>150</v>
      </c>
      <c r="C398" t="s">
        <v>12</v>
      </c>
      <c r="D398">
        <v>32</v>
      </c>
      <c r="E398">
        <v>0</v>
      </c>
      <c r="F398">
        <v>1</v>
      </c>
      <c r="G398">
        <v>29</v>
      </c>
      <c r="H398">
        <v>0</v>
      </c>
      <c r="I398">
        <v>2</v>
      </c>
    </row>
    <row r="399" spans="1:9" x14ac:dyDescent="0.3">
      <c r="A399" t="s">
        <v>144</v>
      </c>
      <c r="B399" t="s">
        <v>150</v>
      </c>
      <c r="C399" t="s">
        <v>13</v>
      </c>
      <c r="D399">
        <v>68</v>
      </c>
      <c r="E399">
        <v>0</v>
      </c>
      <c r="F399">
        <v>1</v>
      </c>
      <c r="G399">
        <v>66</v>
      </c>
      <c r="H399">
        <v>1</v>
      </c>
      <c r="I399">
        <v>0</v>
      </c>
    </row>
    <row r="400" spans="1:9" x14ac:dyDescent="0.3">
      <c r="A400" t="s">
        <v>144</v>
      </c>
      <c r="B400" t="s">
        <v>151</v>
      </c>
      <c r="C400" t="s">
        <v>9</v>
      </c>
      <c r="D400">
        <v>37</v>
      </c>
      <c r="E400">
        <v>0</v>
      </c>
      <c r="F400">
        <v>0</v>
      </c>
      <c r="G400">
        <v>35</v>
      </c>
      <c r="H400">
        <v>2</v>
      </c>
      <c r="I400">
        <v>0</v>
      </c>
    </row>
    <row r="401" spans="1:9" x14ac:dyDescent="0.3">
      <c r="A401" t="s">
        <v>144</v>
      </c>
      <c r="B401" t="s">
        <v>151</v>
      </c>
      <c r="C401" t="s">
        <v>12</v>
      </c>
      <c r="D401">
        <v>33</v>
      </c>
      <c r="E401">
        <v>0</v>
      </c>
      <c r="F401">
        <v>0</v>
      </c>
      <c r="G401">
        <v>31</v>
      </c>
      <c r="H401">
        <v>2</v>
      </c>
      <c r="I401">
        <v>0</v>
      </c>
    </row>
    <row r="402" spans="1:9" x14ac:dyDescent="0.3">
      <c r="A402" t="s">
        <v>144</v>
      </c>
      <c r="B402" t="s">
        <v>151</v>
      </c>
      <c r="C402" t="s">
        <v>13</v>
      </c>
      <c r="D402">
        <v>4</v>
      </c>
      <c r="E402">
        <v>0</v>
      </c>
      <c r="F402">
        <v>0</v>
      </c>
      <c r="G402">
        <v>4</v>
      </c>
      <c r="H402">
        <v>0</v>
      </c>
      <c r="I402">
        <v>0</v>
      </c>
    </row>
    <row r="403" spans="1:9" x14ac:dyDescent="0.3">
      <c r="A403" t="s">
        <v>144</v>
      </c>
      <c r="B403" t="s">
        <v>152</v>
      </c>
      <c r="C403" t="s">
        <v>9</v>
      </c>
      <c r="D403">
        <v>32</v>
      </c>
      <c r="E403">
        <v>0</v>
      </c>
      <c r="F403">
        <v>1</v>
      </c>
      <c r="G403">
        <v>29</v>
      </c>
      <c r="H403">
        <v>2</v>
      </c>
      <c r="I403">
        <v>0</v>
      </c>
    </row>
    <row r="404" spans="1:9" x14ac:dyDescent="0.3">
      <c r="A404" t="s">
        <v>144</v>
      </c>
      <c r="B404" t="s">
        <v>152</v>
      </c>
      <c r="C404" t="s">
        <v>12</v>
      </c>
      <c r="D404">
        <v>13</v>
      </c>
      <c r="E404">
        <v>0</v>
      </c>
      <c r="F404">
        <v>1</v>
      </c>
      <c r="G404">
        <v>12</v>
      </c>
      <c r="H404">
        <v>0</v>
      </c>
      <c r="I404">
        <v>0</v>
      </c>
    </row>
    <row r="405" spans="1:9" x14ac:dyDescent="0.3">
      <c r="A405" t="s">
        <v>144</v>
      </c>
      <c r="B405" t="s">
        <v>152</v>
      </c>
      <c r="C405" t="s">
        <v>13</v>
      </c>
      <c r="D405">
        <v>19</v>
      </c>
      <c r="E405">
        <v>0</v>
      </c>
      <c r="F405">
        <v>0</v>
      </c>
      <c r="G405">
        <v>17</v>
      </c>
      <c r="H405">
        <v>2</v>
      </c>
      <c r="I405">
        <v>0</v>
      </c>
    </row>
    <row r="406" spans="1:9" x14ac:dyDescent="0.3">
      <c r="A406" t="s">
        <v>144</v>
      </c>
      <c r="B406" t="s">
        <v>153</v>
      </c>
      <c r="C406" t="s">
        <v>9</v>
      </c>
      <c r="D406">
        <v>25</v>
      </c>
      <c r="E406">
        <v>0</v>
      </c>
      <c r="F406">
        <v>1</v>
      </c>
      <c r="G406">
        <v>24</v>
      </c>
      <c r="H406">
        <v>0</v>
      </c>
      <c r="I406">
        <v>0</v>
      </c>
    </row>
    <row r="407" spans="1:9" x14ac:dyDescent="0.3">
      <c r="A407" t="s">
        <v>144</v>
      </c>
      <c r="B407" t="s">
        <v>153</v>
      </c>
      <c r="C407" t="s">
        <v>12</v>
      </c>
      <c r="D407">
        <v>20</v>
      </c>
      <c r="E407">
        <v>0</v>
      </c>
      <c r="F407">
        <v>1</v>
      </c>
      <c r="G407">
        <v>19</v>
      </c>
      <c r="H407">
        <v>0</v>
      </c>
      <c r="I407">
        <v>0</v>
      </c>
    </row>
    <row r="408" spans="1:9" x14ac:dyDescent="0.3">
      <c r="A408" t="s">
        <v>144</v>
      </c>
      <c r="B408" t="s">
        <v>153</v>
      </c>
      <c r="C408" t="s">
        <v>13</v>
      </c>
      <c r="D408">
        <v>5</v>
      </c>
      <c r="E408">
        <v>0</v>
      </c>
      <c r="F408">
        <v>0</v>
      </c>
      <c r="G408">
        <v>5</v>
      </c>
      <c r="H408">
        <v>0</v>
      </c>
      <c r="I408">
        <v>0</v>
      </c>
    </row>
    <row r="409" spans="1:9" x14ac:dyDescent="0.3">
      <c r="A409" t="s">
        <v>144</v>
      </c>
      <c r="B409" t="s">
        <v>154</v>
      </c>
      <c r="C409" t="s">
        <v>9</v>
      </c>
      <c r="D409">
        <v>25</v>
      </c>
      <c r="E409">
        <v>0</v>
      </c>
      <c r="F409">
        <v>1</v>
      </c>
      <c r="G409">
        <v>21</v>
      </c>
      <c r="H409">
        <v>3</v>
      </c>
      <c r="I409">
        <v>0</v>
      </c>
    </row>
    <row r="410" spans="1:9" x14ac:dyDescent="0.3">
      <c r="A410" t="s">
        <v>144</v>
      </c>
      <c r="B410" t="s">
        <v>154</v>
      </c>
      <c r="C410" t="s">
        <v>12</v>
      </c>
      <c r="D410">
        <v>24</v>
      </c>
      <c r="E410">
        <v>0</v>
      </c>
      <c r="F410">
        <v>1</v>
      </c>
      <c r="G410">
        <v>20</v>
      </c>
      <c r="H410">
        <v>3</v>
      </c>
      <c r="I410">
        <v>0</v>
      </c>
    </row>
    <row r="411" spans="1:9" x14ac:dyDescent="0.3">
      <c r="A411" t="s">
        <v>144</v>
      </c>
      <c r="B411" t="s">
        <v>154</v>
      </c>
      <c r="C411" t="s">
        <v>13</v>
      </c>
      <c r="D411">
        <v>1</v>
      </c>
      <c r="E411">
        <v>0</v>
      </c>
      <c r="F411">
        <v>0</v>
      </c>
      <c r="G411">
        <v>1</v>
      </c>
      <c r="H411">
        <v>0</v>
      </c>
      <c r="I411">
        <v>0</v>
      </c>
    </row>
    <row r="412" spans="1:9" x14ac:dyDescent="0.3">
      <c r="A412" t="s">
        <v>144</v>
      </c>
      <c r="B412" t="s">
        <v>155</v>
      </c>
      <c r="C412" t="s">
        <v>9</v>
      </c>
      <c r="D412">
        <v>24</v>
      </c>
      <c r="E412">
        <v>0</v>
      </c>
      <c r="F412">
        <v>0</v>
      </c>
      <c r="G412">
        <v>23</v>
      </c>
      <c r="H412">
        <v>1</v>
      </c>
      <c r="I412">
        <v>0</v>
      </c>
    </row>
    <row r="413" spans="1:9" x14ac:dyDescent="0.3">
      <c r="A413" t="s">
        <v>144</v>
      </c>
      <c r="B413" t="s">
        <v>155</v>
      </c>
      <c r="C413" t="s">
        <v>12</v>
      </c>
      <c r="D413">
        <v>23</v>
      </c>
      <c r="E413">
        <v>0</v>
      </c>
      <c r="F413">
        <v>0</v>
      </c>
      <c r="G413">
        <v>22</v>
      </c>
      <c r="H413">
        <v>1</v>
      </c>
      <c r="I413">
        <v>0</v>
      </c>
    </row>
    <row r="414" spans="1:9" x14ac:dyDescent="0.3">
      <c r="A414" t="s">
        <v>144</v>
      </c>
      <c r="B414" t="s">
        <v>155</v>
      </c>
      <c r="C414" t="s">
        <v>13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0</v>
      </c>
    </row>
    <row r="415" spans="1:9" x14ac:dyDescent="0.3">
      <c r="A415" t="s">
        <v>144</v>
      </c>
      <c r="B415" t="s">
        <v>156</v>
      </c>
      <c r="C415" t="s">
        <v>9</v>
      </c>
      <c r="D415">
        <v>15</v>
      </c>
      <c r="E415">
        <v>0</v>
      </c>
      <c r="F415">
        <v>0</v>
      </c>
      <c r="G415">
        <v>15</v>
      </c>
      <c r="H415">
        <v>0</v>
      </c>
      <c r="I415">
        <v>0</v>
      </c>
    </row>
    <row r="416" spans="1:9" x14ac:dyDescent="0.3">
      <c r="A416" t="s">
        <v>144</v>
      </c>
      <c r="B416" t="s">
        <v>156</v>
      </c>
      <c r="C416" t="s">
        <v>12</v>
      </c>
      <c r="D416">
        <v>11</v>
      </c>
      <c r="E416">
        <v>0</v>
      </c>
      <c r="F416">
        <v>0</v>
      </c>
      <c r="G416">
        <v>11</v>
      </c>
      <c r="H416">
        <v>0</v>
      </c>
      <c r="I416">
        <v>0</v>
      </c>
    </row>
    <row r="417" spans="1:9" x14ac:dyDescent="0.3">
      <c r="A417" t="s">
        <v>144</v>
      </c>
      <c r="B417" t="s">
        <v>156</v>
      </c>
      <c r="C417" t="s">
        <v>13</v>
      </c>
      <c r="D417">
        <v>4</v>
      </c>
      <c r="E417">
        <v>0</v>
      </c>
      <c r="F417">
        <v>0</v>
      </c>
      <c r="G417">
        <v>4</v>
      </c>
      <c r="H417">
        <v>0</v>
      </c>
      <c r="I417">
        <v>0</v>
      </c>
    </row>
    <row r="418" spans="1:9" x14ac:dyDescent="0.3">
      <c r="A418" t="s">
        <v>144</v>
      </c>
      <c r="B418" t="s">
        <v>157</v>
      </c>
      <c r="C418" t="s">
        <v>9</v>
      </c>
      <c r="D418">
        <v>15</v>
      </c>
      <c r="E418">
        <v>0</v>
      </c>
      <c r="F418">
        <v>1</v>
      </c>
      <c r="G418">
        <v>13</v>
      </c>
      <c r="H418">
        <v>1</v>
      </c>
      <c r="I418">
        <v>0</v>
      </c>
    </row>
    <row r="419" spans="1:9" x14ac:dyDescent="0.3">
      <c r="A419" t="s">
        <v>144</v>
      </c>
      <c r="B419" t="s">
        <v>157</v>
      </c>
      <c r="C419" t="s">
        <v>12</v>
      </c>
      <c r="D419">
        <v>15</v>
      </c>
      <c r="E419">
        <v>0</v>
      </c>
      <c r="F419">
        <v>1</v>
      </c>
      <c r="G419">
        <v>13</v>
      </c>
      <c r="H419">
        <v>1</v>
      </c>
      <c r="I419">
        <v>0</v>
      </c>
    </row>
    <row r="420" spans="1:9" x14ac:dyDescent="0.3">
      <c r="A420" t="s">
        <v>144</v>
      </c>
      <c r="B420" t="s">
        <v>158</v>
      </c>
      <c r="C420" t="s">
        <v>9</v>
      </c>
      <c r="D420">
        <v>12</v>
      </c>
      <c r="E420">
        <v>0</v>
      </c>
      <c r="F420">
        <v>1</v>
      </c>
      <c r="G420">
        <v>10</v>
      </c>
      <c r="H420">
        <v>1</v>
      </c>
      <c r="I420">
        <v>0</v>
      </c>
    </row>
    <row r="421" spans="1:9" x14ac:dyDescent="0.3">
      <c r="A421" t="s">
        <v>144</v>
      </c>
      <c r="B421" t="s">
        <v>158</v>
      </c>
      <c r="C421" t="s">
        <v>12</v>
      </c>
      <c r="D421">
        <v>9</v>
      </c>
      <c r="E421">
        <v>0</v>
      </c>
      <c r="F421">
        <v>0</v>
      </c>
      <c r="G421">
        <v>8</v>
      </c>
      <c r="H421">
        <v>1</v>
      </c>
      <c r="I421">
        <v>0</v>
      </c>
    </row>
    <row r="422" spans="1:9" x14ac:dyDescent="0.3">
      <c r="A422" t="s">
        <v>144</v>
      </c>
      <c r="B422" t="s">
        <v>158</v>
      </c>
      <c r="C422" t="s">
        <v>13</v>
      </c>
      <c r="D422">
        <v>3</v>
      </c>
      <c r="E422">
        <v>0</v>
      </c>
      <c r="F422">
        <v>1</v>
      </c>
      <c r="G422">
        <v>2</v>
      </c>
      <c r="H422">
        <v>0</v>
      </c>
      <c r="I422">
        <v>0</v>
      </c>
    </row>
    <row r="423" spans="1:9" x14ac:dyDescent="0.3">
      <c r="A423" t="s">
        <v>144</v>
      </c>
      <c r="B423" t="s">
        <v>159</v>
      </c>
      <c r="C423" t="s">
        <v>9</v>
      </c>
      <c r="D423">
        <v>8</v>
      </c>
      <c r="E423">
        <v>0</v>
      </c>
      <c r="F423">
        <v>0</v>
      </c>
      <c r="G423">
        <v>7</v>
      </c>
      <c r="H423">
        <v>0</v>
      </c>
      <c r="I423">
        <v>1</v>
      </c>
    </row>
    <row r="424" spans="1:9" x14ac:dyDescent="0.3">
      <c r="A424" t="s">
        <v>144</v>
      </c>
      <c r="B424" t="s">
        <v>159</v>
      </c>
      <c r="C424" t="s">
        <v>12</v>
      </c>
      <c r="D424">
        <v>5</v>
      </c>
      <c r="E424">
        <v>0</v>
      </c>
      <c r="F424">
        <v>0</v>
      </c>
      <c r="G424">
        <v>4</v>
      </c>
      <c r="H424">
        <v>0</v>
      </c>
      <c r="I424">
        <v>1</v>
      </c>
    </row>
    <row r="425" spans="1:9" x14ac:dyDescent="0.3">
      <c r="A425" t="s">
        <v>144</v>
      </c>
      <c r="B425" t="s">
        <v>159</v>
      </c>
      <c r="C425" t="s">
        <v>13</v>
      </c>
      <c r="D425">
        <v>3</v>
      </c>
      <c r="E425">
        <v>0</v>
      </c>
      <c r="F425">
        <v>0</v>
      </c>
      <c r="G425">
        <v>3</v>
      </c>
      <c r="H425">
        <v>0</v>
      </c>
      <c r="I425">
        <v>0</v>
      </c>
    </row>
    <row r="426" spans="1:9" x14ac:dyDescent="0.3">
      <c r="A426" t="s">
        <v>144</v>
      </c>
      <c r="B426" t="s">
        <v>160</v>
      </c>
      <c r="C426" t="s">
        <v>9</v>
      </c>
      <c r="D426">
        <v>7</v>
      </c>
      <c r="E426">
        <v>0</v>
      </c>
      <c r="F426">
        <v>0</v>
      </c>
      <c r="G426">
        <v>6</v>
      </c>
      <c r="H426">
        <v>1</v>
      </c>
      <c r="I426">
        <v>0</v>
      </c>
    </row>
    <row r="427" spans="1:9" x14ac:dyDescent="0.3">
      <c r="A427" t="s">
        <v>144</v>
      </c>
      <c r="B427" t="s">
        <v>160</v>
      </c>
      <c r="C427" t="s">
        <v>13</v>
      </c>
      <c r="D427">
        <v>7</v>
      </c>
      <c r="E427">
        <v>0</v>
      </c>
      <c r="F427">
        <v>0</v>
      </c>
      <c r="G427">
        <v>6</v>
      </c>
      <c r="H427">
        <v>1</v>
      </c>
      <c r="I427">
        <v>0</v>
      </c>
    </row>
    <row r="428" spans="1:9" x14ac:dyDescent="0.3">
      <c r="A428" t="s">
        <v>144</v>
      </c>
      <c r="B428" t="s">
        <v>161</v>
      </c>
      <c r="C428" t="s">
        <v>9</v>
      </c>
      <c r="D428">
        <v>7</v>
      </c>
      <c r="E428">
        <v>0</v>
      </c>
      <c r="F428">
        <v>0</v>
      </c>
      <c r="G428">
        <v>5</v>
      </c>
      <c r="H428">
        <v>2</v>
      </c>
      <c r="I428">
        <v>0</v>
      </c>
    </row>
    <row r="429" spans="1:9" x14ac:dyDescent="0.3">
      <c r="A429" t="s">
        <v>144</v>
      </c>
      <c r="B429" t="s">
        <v>161</v>
      </c>
      <c r="C429" t="s">
        <v>12</v>
      </c>
      <c r="D429">
        <v>7</v>
      </c>
      <c r="E429">
        <v>0</v>
      </c>
      <c r="F429">
        <v>0</v>
      </c>
      <c r="G429">
        <v>5</v>
      </c>
      <c r="H429">
        <v>2</v>
      </c>
      <c r="I429">
        <v>0</v>
      </c>
    </row>
    <row r="430" spans="1:9" x14ac:dyDescent="0.3">
      <c r="A430" t="s">
        <v>144</v>
      </c>
      <c r="B430" t="s">
        <v>162</v>
      </c>
      <c r="C430" t="s">
        <v>9</v>
      </c>
      <c r="D430">
        <v>6</v>
      </c>
      <c r="E430">
        <v>0</v>
      </c>
      <c r="F430">
        <v>2</v>
      </c>
      <c r="G430">
        <v>4</v>
      </c>
      <c r="H430">
        <v>0</v>
      </c>
      <c r="I430">
        <v>0</v>
      </c>
    </row>
    <row r="431" spans="1:9" x14ac:dyDescent="0.3">
      <c r="A431" t="s">
        <v>144</v>
      </c>
      <c r="B431" t="s">
        <v>162</v>
      </c>
      <c r="C431" t="s">
        <v>12</v>
      </c>
      <c r="D431">
        <v>6</v>
      </c>
      <c r="E431">
        <v>0</v>
      </c>
      <c r="F431">
        <v>2</v>
      </c>
      <c r="G431">
        <v>4</v>
      </c>
      <c r="H431">
        <v>0</v>
      </c>
      <c r="I431">
        <v>0</v>
      </c>
    </row>
    <row r="432" spans="1:9" x14ac:dyDescent="0.3">
      <c r="A432" t="s">
        <v>144</v>
      </c>
      <c r="B432" t="s">
        <v>163</v>
      </c>
      <c r="C432" t="s">
        <v>9</v>
      </c>
      <c r="D432">
        <v>6</v>
      </c>
      <c r="E432">
        <v>0</v>
      </c>
      <c r="F432">
        <v>0</v>
      </c>
      <c r="G432">
        <v>6</v>
      </c>
      <c r="H432">
        <v>0</v>
      </c>
      <c r="I432">
        <v>0</v>
      </c>
    </row>
    <row r="433" spans="1:9" x14ac:dyDescent="0.3">
      <c r="A433" t="s">
        <v>144</v>
      </c>
      <c r="B433" t="s">
        <v>163</v>
      </c>
      <c r="C433" t="s">
        <v>12</v>
      </c>
      <c r="D433">
        <v>5</v>
      </c>
      <c r="E433">
        <v>0</v>
      </c>
      <c r="F433">
        <v>0</v>
      </c>
      <c r="G433">
        <v>5</v>
      </c>
      <c r="H433">
        <v>0</v>
      </c>
      <c r="I433">
        <v>0</v>
      </c>
    </row>
    <row r="434" spans="1:9" x14ac:dyDescent="0.3">
      <c r="A434" t="s">
        <v>144</v>
      </c>
      <c r="B434" t="s">
        <v>163</v>
      </c>
      <c r="C434" t="s">
        <v>13</v>
      </c>
      <c r="D434">
        <v>1</v>
      </c>
      <c r="E434">
        <v>0</v>
      </c>
      <c r="F434">
        <v>0</v>
      </c>
      <c r="G434">
        <v>1</v>
      </c>
      <c r="H434">
        <v>0</v>
      </c>
      <c r="I434">
        <v>0</v>
      </c>
    </row>
    <row r="435" spans="1:9" x14ac:dyDescent="0.3">
      <c r="A435" t="s">
        <v>144</v>
      </c>
      <c r="B435" t="s">
        <v>164</v>
      </c>
      <c r="C435" t="s">
        <v>9</v>
      </c>
      <c r="D435">
        <v>5</v>
      </c>
      <c r="E435">
        <v>0</v>
      </c>
      <c r="F435">
        <v>1</v>
      </c>
      <c r="G435">
        <v>4</v>
      </c>
      <c r="H435">
        <v>0</v>
      </c>
      <c r="I435">
        <v>0</v>
      </c>
    </row>
    <row r="436" spans="1:9" x14ac:dyDescent="0.3">
      <c r="A436" t="s">
        <v>144</v>
      </c>
      <c r="B436" t="s">
        <v>164</v>
      </c>
      <c r="C436" t="s">
        <v>12</v>
      </c>
      <c r="D436">
        <v>5</v>
      </c>
      <c r="E436">
        <v>0</v>
      </c>
      <c r="F436">
        <v>1</v>
      </c>
      <c r="G436">
        <v>4</v>
      </c>
      <c r="H436">
        <v>0</v>
      </c>
      <c r="I436">
        <v>0</v>
      </c>
    </row>
    <row r="437" spans="1:9" x14ac:dyDescent="0.3">
      <c r="A437" t="s">
        <v>144</v>
      </c>
      <c r="B437" t="s">
        <v>165</v>
      </c>
      <c r="C437" t="s">
        <v>9</v>
      </c>
      <c r="D437">
        <v>5</v>
      </c>
      <c r="E437">
        <v>0</v>
      </c>
      <c r="F437">
        <v>0</v>
      </c>
      <c r="G437">
        <v>5</v>
      </c>
      <c r="H437">
        <v>0</v>
      </c>
      <c r="I437">
        <v>0</v>
      </c>
    </row>
    <row r="438" spans="1:9" x14ac:dyDescent="0.3">
      <c r="A438" t="s">
        <v>144</v>
      </c>
      <c r="B438" t="s">
        <v>165</v>
      </c>
      <c r="C438" t="s">
        <v>12</v>
      </c>
      <c r="D438">
        <v>5</v>
      </c>
      <c r="E438">
        <v>0</v>
      </c>
      <c r="F438">
        <v>0</v>
      </c>
      <c r="G438">
        <v>5</v>
      </c>
      <c r="H438">
        <v>0</v>
      </c>
      <c r="I438">
        <v>0</v>
      </c>
    </row>
    <row r="439" spans="1:9" x14ac:dyDescent="0.3">
      <c r="A439" t="s">
        <v>144</v>
      </c>
      <c r="B439" t="s">
        <v>166</v>
      </c>
      <c r="C439" t="s">
        <v>9</v>
      </c>
      <c r="D439">
        <v>5</v>
      </c>
      <c r="E439">
        <v>0</v>
      </c>
      <c r="F439">
        <v>0</v>
      </c>
      <c r="G439">
        <v>5</v>
      </c>
      <c r="H439">
        <v>0</v>
      </c>
      <c r="I439">
        <v>0</v>
      </c>
    </row>
    <row r="440" spans="1:9" x14ac:dyDescent="0.3">
      <c r="A440" t="s">
        <v>144</v>
      </c>
      <c r="B440" t="s">
        <v>166</v>
      </c>
      <c r="C440" t="s">
        <v>12</v>
      </c>
      <c r="D440">
        <v>4</v>
      </c>
      <c r="E440">
        <v>0</v>
      </c>
      <c r="F440">
        <v>0</v>
      </c>
      <c r="G440">
        <v>4</v>
      </c>
      <c r="H440">
        <v>0</v>
      </c>
      <c r="I440">
        <v>0</v>
      </c>
    </row>
    <row r="441" spans="1:9" x14ac:dyDescent="0.3">
      <c r="A441" t="s">
        <v>144</v>
      </c>
      <c r="B441" t="s">
        <v>166</v>
      </c>
      <c r="C441" t="s">
        <v>13</v>
      </c>
      <c r="D441">
        <v>1</v>
      </c>
      <c r="E441">
        <v>0</v>
      </c>
      <c r="F441">
        <v>0</v>
      </c>
      <c r="G441">
        <v>1</v>
      </c>
      <c r="H441">
        <v>0</v>
      </c>
      <c r="I441">
        <v>0</v>
      </c>
    </row>
    <row r="442" spans="1:9" x14ac:dyDescent="0.3">
      <c r="A442" t="s">
        <v>144</v>
      </c>
      <c r="B442" t="s">
        <v>167</v>
      </c>
      <c r="C442" t="s">
        <v>9</v>
      </c>
      <c r="D442">
        <v>4</v>
      </c>
      <c r="E442">
        <v>0</v>
      </c>
      <c r="F442">
        <v>2</v>
      </c>
      <c r="G442">
        <v>2</v>
      </c>
      <c r="H442">
        <v>0</v>
      </c>
      <c r="I442">
        <v>0</v>
      </c>
    </row>
    <row r="443" spans="1:9" x14ac:dyDescent="0.3">
      <c r="A443" t="s">
        <v>144</v>
      </c>
      <c r="B443" t="s">
        <v>167</v>
      </c>
      <c r="C443" t="s">
        <v>12</v>
      </c>
      <c r="D443">
        <v>2</v>
      </c>
      <c r="E443">
        <v>0</v>
      </c>
      <c r="F443">
        <v>2</v>
      </c>
      <c r="G443">
        <v>0</v>
      </c>
      <c r="H443">
        <v>0</v>
      </c>
      <c r="I443">
        <v>0</v>
      </c>
    </row>
    <row r="444" spans="1:9" x14ac:dyDescent="0.3">
      <c r="A444" t="s">
        <v>144</v>
      </c>
      <c r="B444" t="s">
        <v>167</v>
      </c>
      <c r="C444" t="s">
        <v>13</v>
      </c>
      <c r="D444">
        <v>2</v>
      </c>
      <c r="E444">
        <v>0</v>
      </c>
      <c r="F444">
        <v>0</v>
      </c>
      <c r="G444">
        <v>2</v>
      </c>
      <c r="H444">
        <v>0</v>
      </c>
      <c r="I444">
        <v>0</v>
      </c>
    </row>
    <row r="445" spans="1:9" x14ac:dyDescent="0.3">
      <c r="A445" t="s">
        <v>144</v>
      </c>
      <c r="B445" t="s">
        <v>168</v>
      </c>
      <c r="C445" t="s">
        <v>9</v>
      </c>
      <c r="D445">
        <v>4</v>
      </c>
      <c r="E445">
        <v>0</v>
      </c>
      <c r="F445">
        <v>0</v>
      </c>
      <c r="G445">
        <v>3</v>
      </c>
      <c r="H445">
        <v>1</v>
      </c>
      <c r="I445">
        <v>0</v>
      </c>
    </row>
    <row r="446" spans="1:9" x14ac:dyDescent="0.3">
      <c r="A446" t="s">
        <v>144</v>
      </c>
      <c r="B446" t="s">
        <v>168</v>
      </c>
      <c r="C446" t="s">
        <v>12</v>
      </c>
      <c r="D446">
        <v>4</v>
      </c>
      <c r="E446">
        <v>0</v>
      </c>
      <c r="F446">
        <v>0</v>
      </c>
      <c r="G446">
        <v>3</v>
      </c>
      <c r="H446">
        <v>1</v>
      </c>
      <c r="I446">
        <v>0</v>
      </c>
    </row>
    <row r="447" spans="1:9" x14ac:dyDescent="0.3">
      <c r="A447" t="s">
        <v>144</v>
      </c>
      <c r="B447" t="s">
        <v>169</v>
      </c>
      <c r="C447" t="s">
        <v>9</v>
      </c>
      <c r="D447">
        <v>3</v>
      </c>
      <c r="E447">
        <v>0</v>
      </c>
      <c r="F447">
        <v>0</v>
      </c>
      <c r="G447">
        <v>3</v>
      </c>
      <c r="H447">
        <v>0</v>
      </c>
      <c r="I447">
        <v>0</v>
      </c>
    </row>
    <row r="448" spans="1:9" x14ac:dyDescent="0.3">
      <c r="A448" t="s">
        <v>144</v>
      </c>
      <c r="B448" t="s">
        <v>169</v>
      </c>
      <c r="C448" t="s">
        <v>12</v>
      </c>
      <c r="D448">
        <v>2</v>
      </c>
      <c r="E448">
        <v>0</v>
      </c>
      <c r="F448">
        <v>0</v>
      </c>
      <c r="G448">
        <v>2</v>
      </c>
      <c r="H448">
        <v>0</v>
      </c>
      <c r="I448">
        <v>0</v>
      </c>
    </row>
    <row r="449" spans="1:9" x14ac:dyDescent="0.3">
      <c r="A449" t="s">
        <v>144</v>
      </c>
      <c r="B449" t="s">
        <v>169</v>
      </c>
      <c r="C449" t="s">
        <v>13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0</v>
      </c>
    </row>
    <row r="450" spans="1:9" x14ac:dyDescent="0.3">
      <c r="A450" t="s">
        <v>144</v>
      </c>
      <c r="B450" t="s">
        <v>170</v>
      </c>
      <c r="C450" t="s">
        <v>9</v>
      </c>
      <c r="D450">
        <v>3</v>
      </c>
      <c r="E450">
        <v>0</v>
      </c>
      <c r="F450">
        <v>0</v>
      </c>
      <c r="G450">
        <v>3</v>
      </c>
      <c r="H450">
        <v>0</v>
      </c>
      <c r="I450">
        <v>0</v>
      </c>
    </row>
    <row r="451" spans="1:9" x14ac:dyDescent="0.3">
      <c r="A451" t="s">
        <v>144</v>
      </c>
      <c r="B451" t="s">
        <v>170</v>
      </c>
      <c r="C451" t="s">
        <v>12</v>
      </c>
      <c r="D451">
        <v>3</v>
      </c>
      <c r="E451">
        <v>0</v>
      </c>
      <c r="F451">
        <v>0</v>
      </c>
      <c r="G451">
        <v>3</v>
      </c>
      <c r="H451">
        <v>0</v>
      </c>
      <c r="I451">
        <v>0</v>
      </c>
    </row>
    <row r="452" spans="1:9" x14ac:dyDescent="0.3">
      <c r="A452" t="s">
        <v>144</v>
      </c>
      <c r="B452" t="s">
        <v>171</v>
      </c>
      <c r="C452" t="s">
        <v>9</v>
      </c>
      <c r="D452">
        <v>2</v>
      </c>
      <c r="E452">
        <v>0</v>
      </c>
      <c r="F452">
        <v>0</v>
      </c>
      <c r="G452">
        <v>2</v>
      </c>
      <c r="H452">
        <v>0</v>
      </c>
      <c r="I452">
        <v>0</v>
      </c>
    </row>
    <row r="453" spans="1:9" x14ac:dyDescent="0.3">
      <c r="A453" t="s">
        <v>144</v>
      </c>
      <c r="B453" t="s">
        <v>171</v>
      </c>
      <c r="C453" t="s">
        <v>13</v>
      </c>
      <c r="D453">
        <v>2</v>
      </c>
      <c r="E453">
        <v>0</v>
      </c>
      <c r="F453">
        <v>0</v>
      </c>
      <c r="G453">
        <v>2</v>
      </c>
      <c r="H453">
        <v>0</v>
      </c>
      <c r="I453">
        <v>0</v>
      </c>
    </row>
    <row r="454" spans="1:9" x14ac:dyDescent="0.3">
      <c r="A454" t="s">
        <v>144</v>
      </c>
      <c r="B454" t="s">
        <v>172</v>
      </c>
      <c r="C454" t="s">
        <v>9</v>
      </c>
      <c r="D454">
        <v>2</v>
      </c>
      <c r="E454">
        <v>0</v>
      </c>
      <c r="F454">
        <v>0</v>
      </c>
      <c r="G454">
        <v>2</v>
      </c>
      <c r="H454">
        <v>0</v>
      </c>
      <c r="I454">
        <v>0</v>
      </c>
    </row>
    <row r="455" spans="1:9" x14ac:dyDescent="0.3">
      <c r="A455" t="s">
        <v>144</v>
      </c>
      <c r="B455" t="s">
        <v>172</v>
      </c>
      <c r="C455" t="s">
        <v>12</v>
      </c>
      <c r="D455">
        <v>2</v>
      </c>
      <c r="E455">
        <v>0</v>
      </c>
      <c r="F455">
        <v>0</v>
      </c>
      <c r="G455">
        <v>2</v>
      </c>
      <c r="H455">
        <v>0</v>
      </c>
      <c r="I455">
        <v>0</v>
      </c>
    </row>
    <row r="456" spans="1:9" x14ac:dyDescent="0.3">
      <c r="A456" t="s">
        <v>144</v>
      </c>
      <c r="B456" t="s">
        <v>173</v>
      </c>
      <c r="C456" t="s">
        <v>9</v>
      </c>
      <c r="D456">
        <v>2</v>
      </c>
      <c r="E456">
        <v>0</v>
      </c>
      <c r="F456">
        <v>0</v>
      </c>
      <c r="G456">
        <v>2</v>
      </c>
      <c r="H456">
        <v>0</v>
      </c>
      <c r="I456">
        <v>0</v>
      </c>
    </row>
    <row r="457" spans="1:9" x14ac:dyDescent="0.3">
      <c r="A457" t="s">
        <v>144</v>
      </c>
      <c r="B457" t="s">
        <v>173</v>
      </c>
      <c r="C457" t="s">
        <v>12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</row>
    <row r="458" spans="1:9" x14ac:dyDescent="0.3">
      <c r="A458" t="s">
        <v>144</v>
      </c>
      <c r="B458" t="s">
        <v>173</v>
      </c>
      <c r="C458" t="s">
        <v>13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</row>
    <row r="459" spans="1:9" x14ac:dyDescent="0.3">
      <c r="A459" t="s">
        <v>144</v>
      </c>
      <c r="B459" t="s">
        <v>174</v>
      </c>
      <c r="C459" t="s">
        <v>9</v>
      </c>
      <c r="D459">
        <v>2</v>
      </c>
      <c r="E459">
        <v>0</v>
      </c>
      <c r="F459">
        <v>1</v>
      </c>
      <c r="G459">
        <v>1</v>
      </c>
      <c r="H459">
        <v>0</v>
      </c>
      <c r="I459">
        <v>0</v>
      </c>
    </row>
    <row r="460" spans="1:9" x14ac:dyDescent="0.3">
      <c r="A460" t="s">
        <v>144</v>
      </c>
      <c r="B460" t="s">
        <v>174</v>
      </c>
      <c r="C460" t="s">
        <v>12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</row>
    <row r="461" spans="1:9" x14ac:dyDescent="0.3">
      <c r="A461" t="s">
        <v>144</v>
      </c>
      <c r="B461" t="s">
        <v>174</v>
      </c>
      <c r="C461" t="s">
        <v>13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0</v>
      </c>
    </row>
    <row r="462" spans="1:9" x14ac:dyDescent="0.3">
      <c r="A462" t="s">
        <v>144</v>
      </c>
      <c r="B462" t="s">
        <v>175</v>
      </c>
      <c r="C462" t="s">
        <v>9</v>
      </c>
      <c r="D462">
        <v>2</v>
      </c>
      <c r="E462">
        <v>0</v>
      </c>
      <c r="F462">
        <v>0</v>
      </c>
      <c r="G462">
        <v>2</v>
      </c>
      <c r="H462">
        <v>0</v>
      </c>
      <c r="I462">
        <v>0</v>
      </c>
    </row>
    <row r="463" spans="1:9" x14ac:dyDescent="0.3">
      <c r="A463" t="s">
        <v>144</v>
      </c>
      <c r="B463" t="s">
        <v>175</v>
      </c>
      <c r="C463" t="s">
        <v>12</v>
      </c>
      <c r="D463">
        <v>2</v>
      </c>
      <c r="E463">
        <v>0</v>
      </c>
      <c r="F463">
        <v>0</v>
      </c>
      <c r="G463">
        <v>2</v>
      </c>
      <c r="H463">
        <v>0</v>
      </c>
      <c r="I463">
        <v>0</v>
      </c>
    </row>
    <row r="464" spans="1:9" x14ac:dyDescent="0.3">
      <c r="A464" t="s">
        <v>144</v>
      </c>
      <c r="B464" t="s">
        <v>176</v>
      </c>
      <c r="C464" t="s">
        <v>9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0</v>
      </c>
    </row>
    <row r="465" spans="1:9" x14ac:dyDescent="0.3">
      <c r="A465" t="s">
        <v>144</v>
      </c>
      <c r="B465" t="s">
        <v>176</v>
      </c>
      <c r="C465" t="s">
        <v>12</v>
      </c>
      <c r="D465">
        <v>1</v>
      </c>
      <c r="E465">
        <v>0</v>
      </c>
      <c r="F465">
        <v>0</v>
      </c>
      <c r="G465">
        <v>1</v>
      </c>
      <c r="H465">
        <v>0</v>
      </c>
      <c r="I465">
        <v>0</v>
      </c>
    </row>
    <row r="466" spans="1:9" x14ac:dyDescent="0.3">
      <c r="A466" t="s">
        <v>144</v>
      </c>
      <c r="B466" t="s">
        <v>177</v>
      </c>
      <c r="C466" t="s">
        <v>9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</row>
    <row r="467" spans="1:9" x14ac:dyDescent="0.3">
      <c r="A467" t="s">
        <v>144</v>
      </c>
      <c r="B467" t="s">
        <v>177</v>
      </c>
      <c r="C467" t="s">
        <v>13</v>
      </c>
      <c r="D467">
        <v>1</v>
      </c>
      <c r="E467">
        <v>0</v>
      </c>
      <c r="F467">
        <v>0</v>
      </c>
      <c r="G467">
        <v>1</v>
      </c>
      <c r="H467">
        <v>0</v>
      </c>
      <c r="I467">
        <v>0</v>
      </c>
    </row>
    <row r="468" spans="1:9" x14ac:dyDescent="0.3">
      <c r="A468" t="s">
        <v>144</v>
      </c>
      <c r="B468" t="s">
        <v>178</v>
      </c>
      <c r="C468" t="s">
        <v>9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0</v>
      </c>
    </row>
    <row r="469" spans="1:9" x14ac:dyDescent="0.3">
      <c r="A469" t="s">
        <v>144</v>
      </c>
      <c r="B469" t="s">
        <v>178</v>
      </c>
      <c r="C469" t="s">
        <v>12</v>
      </c>
      <c r="D469">
        <v>1</v>
      </c>
      <c r="E469">
        <v>0</v>
      </c>
      <c r="F469">
        <v>0</v>
      </c>
      <c r="G469">
        <v>1</v>
      </c>
      <c r="H469">
        <v>0</v>
      </c>
      <c r="I469">
        <v>0</v>
      </c>
    </row>
    <row r="470" spans="1:9" x14ac:dyDescent="0.3">
      <c r="A470" t="s">
        <v>144</v>
      </c>
      <c r="B470" t="s">
        <v>179</v>
      </c>
      <c r="C470" t="s">
        <v>9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0</v>
      </c>
    </row>
    <row r="471" spans="1:9" x14ac:dyDescent="0.3">
      <c r="A471" t="s">
        <v>144</v>
      </c>
      <c r="B471" t="s">
        <v>179</v>
      </c>
      <c r="C471" t="s">
        <v>12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</row>
    <row r="472" spans="1:9" x14ac:dyDescent="0.3">
      <c r="A472" t="s">
        <v>144</v>
      </c>
      <c r="B472" t="s">
        <v>180</v>
      </c>
      <c r="C472" t="s">
        <v>9</v>
      </c>
      <c r="D472">
        <v>1</v>
      </c>
      <c r="E472">
        <v>0</v>
      </c>
      <c r="F472">
        <v>0</v>
      </c>
      <c r="G472">
        <v>1</v>
      </c>
      <c r="H472">
        <v>0</v>
      </c>
      <c r="I472">
        <v>0</v>
      </c>
    </row>
    <row r="473" spans="1:9" x14ac:dyDescent="0.3">
      <c r="A473" t="s">
        <v>144</v>
      </c>
      <c r="B473" t="s">
        <v>180</v>
      </c>
      <c r="C473" t="s">
        <v>13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</row>
    <row r="474" spans="1:9" x14ac:dyDescent="0.3">
      <c r="A474" t="s">
        <v>144</v>
      </c>
      <c r="B474" t="s">
        <v>181</v>
      </c>
      <c r="C474" t="s">
        <v>9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0</v>
      </c>
    </row>
    <row r="475" spans="1:9" x14ac:dyDescent="0.3">
      <c r="A475" t="s">
        <v>144</v>
      </c>
      <c r="B475" t="s">
        <v>181</v>
      </c>
      <c r="C475" t="s">
        <v>12</v>
      </c>
      <c r="D475">
        <v>1</v>
      </c>
      <c r="E475">
        <v>0</v>
      </c>
      <c r="F475">
        <v>0</v>
      </c>
      <c r="G475">
        <v>0</v>
      </c>
      <c r="H475">
        <v>1</v>
      </c>
      <c r="I475">
        <v>0</v>
      </c>
    </row>
    <row r="476" spans="1:9" x14ac:dyDescent="0.3">
      <c r="A476" t="s">
        <v>144</v>
      </c>
      <c r="B476" t="s">
        <v>182</v>
      </c>
      <c r="C476" t="s">
        <v>9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0</v>
      </c>
    </row>
    <row r="477" spans="1:9" x14ac:dyDescent="0.3">
      <c r="A477" t="s">
        <v>144</v>
      </c>
      <c r="B477" t="s">
        <v>182</v>
      </c>
      <c r="C477" t="s">
        <v>13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0</v>
      </c>
    </row>
    <row r="478" spans="1:9" x14ac:dyDescent="0.3">
      <c r="A478" t="s">
        <v>144</v>
      </c>
      <c r="B478" t="s">
        <v>183</v>
      </c>
      <c r="C478" t="s">
        <v>9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</row>
    <row r="479" spans="1:9" x14ac:dyDescent="0.3">
      <c r="A479" t="s">
        <v>144</v>
      </c>
      <c r="B479" t="s">
        <v>183</v>
      </c>
      <c r="C479" t="s">
        <v>13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</row>
    <row r="480" spans="1:9" x14ac:dyDescent="0.3">
      <c r="A480" t="s">
        <v>184</v>
      </c>
      <c r="B480" t="s">
        <v>9</v>
      </c>
      <c r="C480" t="s">
        <v>9</v>
      </c>
      <c r="D480">
        <v>14</v>
      </c>
      <c r="E480">
        <v>2</v>
      </c>
      <c r="F480">
        <v>0</v>
      </c>
      <c r="G480">
        <v>10</v>
      </c>
      <c r="H480">
        <v>1</v>
      </c>
      <c r="I480">
        <v>1</v>
      </c>
    </row>
    <row r="481" spans="1:9" x14ac:dyDescent="0.3">
      <c r="A481" t="s">
        <v>184</v>
      </c>
      <c r="B481" t="s">
        <v>9</v>
      </c>
      <c r="C481" t="s">
        <v>12</v>
      </c>
      <c r="D481">
        <v>6</v>
      </c>
      <c r="E481">
        <v>0</v>
      </c>
      <c r="F481">
        <v>0</v>
      </c>
      <c r="G481">
        <v>5</v>
      </c>
      <c r="H481">
        <v>0</v>
      </c>
      <c r="I481">
        <v>1</v>
      </c>
    </row>
    <row r="482" spans="1:9" x14ac:dyDescent="0.3">
      <c r="A482" t="s">
        <v>184</v>
      </c>
      <c r="B482" t="s">
        <v>9</v>
      </c>
      <c r="C482" t="s">
        <v>13</v>
      </c>
      <c r="D482">
        <v>8</v>
      </c>
      <c r="E482">
        <v>2</v>
      </c>
      <c r="F482">
        <v>0</v>
      </c>
      <c r="G482">
        <v>5</v>
      </c>
      <c r="H482">
        <v>1</v>
      </c>
      <c r="I482">
        <v>0</v>
      </c>
    </row>
  </sheetData>
  <mergeCells count="2">
    <mergeCell ref="A2:B4"/>
    <mergeCell ref="A5:B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2026-03-06T05:47:10Z</dcterms:created>
  <dcterms:modified xsi:type="dcterms:W3CDTF">2026-03-06T05:47:10Z</dcterms:modified>
</cp:coreProperties>
</file>