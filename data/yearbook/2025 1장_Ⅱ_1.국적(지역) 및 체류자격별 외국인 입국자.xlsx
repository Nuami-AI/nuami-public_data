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13_ncr:1_{94CAD4C4-428A-4DE6-8122-7C366679155D}" xr6:coauthVersionLast="47" xr6:coauthVersionMax="47" xr10:uidLastSave="{00000000-0000-0000-0000-000000000000}"/>
  <bookViews>
    <workbookView xWindow="31140" yWindow="1050" windowWidth="21690" windowHeight="15150" xr2:uid="{00000000-000D-0000-FFFF-FFFF00000000}"/>
  </bookViews>
  <sheets>
    <sheet name="2025" sheetId="1" r:id="rId1"/>
  </sheets>
  <definedNames>
    <definedName name="_xlnm._FilterDatabase" localSheetId="0" hidden="1">'2025'!$A$1:$AQ$643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77" i="1" l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D478" i="1"/>
  <c r="D47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D429" i="1"/>
  <c r="D428" i="1"/>
  <c r="D427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E272" i="1"/>
  <c r="F272" i="1"/>
  <c r="G272" i="1"/>
  <c r="H272" i="1"/>
  <c r="I272" i="1"/>
  <c r="I5" i="1" s="1"/>
  <c r="J272" i="1"/>
  <c r="K272" i="1"/>
  <c r="L272" i="1"/>
  <c r="M272" i="1"/>
  <c r="N272" i="1"/>
  <c r="O272" i="1"/>
  <c r="P272" i="1"/>
  <c r="Q272" i="1"/>
  <c r="R272" i="1"/>
  <c r="S272" i="1"/>
  <c r="T272" i="1"/>
  <c r="U272" i="1"/>
  <c r="U5" i="1" s="1"/>
  <c r="V272" i="1"/>
  <c r="V5" i="1" s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D271" i="1"/>
  <c r="D272" i="1"/>
  <c r="D270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D167" i="1"/>
  <c r="D166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E156" i="1"/>
  <c r="E5" i="1" s="1"/>
  <c r="F156" i="1"/>
  <c r="F5" i="1" s="1"/>
  <c r="G156" i="1"/>
  <c r="G5" i="1" s="1"/>
  <c r="H156" i="1"/>
  <c r="I156" i="1"/>
  <c r="J156" i="1"/>
  <c r="K156" i="1"/>
  <c r="L156" i="1"/>
  <c r="M156" i="1"/>
  <c r="M5" i="1" s="1"/>
  <c r="N156" i="1"/>
  <c r="N5" i="1" s="1"/>
  <c r="O156" i="1"/>
  <c r="O5" i="1" s="1"/>
  <c r="P156" i="1"/>
  <c r="Q156" i="1"/>
  <c r="Q5" i="1" s="1"/>
  <c r="R156" i="1"/>
  <c r="R5" i="1" s="1"/>
  <c r="S156" i="1"/>
  <c r="S5" i="1" s="1"/>
  <c r="T156" i="1"/>
  <c r="U156" i="1"/>
  <c r="V156" i="1"/>
  <c r="W156" i="1"/>
  <c r="X156" i="1"/>
  <c r="Y156" i="1"/>
  <c r="Y5" i="1" s="1"/>
  <c r="Z156" i="1"/>
  <c r="Z5" i="1" s="1"/>
  <c r="AA156" i="1"/>
  <c r="AA5" i="1" s="1"/>
  <c r="AB156" i="1"/>
  <c r="AC156" i="1"/>
  <c r="AC5" i="1" s="1"/>
  <c r="AD156" i="1"/>
  <c r="AD5" i="1" s="1"/>
  <c r="AE156" i="1"/>
  <c r="AE5" i="1" s="1"/>
  <c r="AF156" i="1"/>
  <c r="AF5" i="1" s="1"/>
  <c r="AG156" i="1"/>
  <c r="AH156" i="1"/>
  <c r="AI156" i="1"/>
  <c r="AJ156" i="1"/>
  <c r="AK156" i="1"/>
  <c r="AK5" i="1" s="1"/>
  <c r="AL156" i="1"/>
  <c r="AL5" i="1" s="1"/>
  <c r="AM156" i="1"/>
  <c r="AM5" i="1" s="1"/>
  <c r="AN156" i="1"/>
  <c r="AO156" i="1"/>
  <c r="AO5" i="1" s="1"/>
  <c r="AP156" i="1"/>
  <c r="AP5" i="1" s="1"/>
  <c r="AQ156" i="1"/>
  <c r="AQ5" i="1" s="1"/>
  <c r="D155" i="1"/>
  <c r="D156" i="1"/>
  <c r="D5" i="1" s="1"/>
  <c r="D154" i="1"/>
  <c r="E7" i="1"/>
  <c r="F7" i="1"/>
  <c r="G7" i="1"/>
  <c r="G3" i="1" s="1"/>
  <c r="H7" i="1"/>
  <c r="I7" i="1"/>
  <c r="I3" i="1" s="1"/>
  <c r="J7" i="1"/>
  <c r="K7" i="1"/>
  <c r="L7" i="1"/>
  <c r="L3" i="1" s="1"/>
  <c r="M7" i="1"/>
  <c r="N7" i="1"/>
  <c r="O7" i="1"/>
  <c r="P7" i="1"/>
  <c r="Q7" i="1"/>
  <c r="R7" i="1"/>
  <c r="S7" i="1"/>
  <c r="S3" i="1" s="1"/>
  <c r="T7" i="1"/>
  <c r="T3" i="1" s="1"/>
  <c r="U7" i="1"/>
  <c r="U3" i="1" s="1"/>
  <c r="V7" i="1"/>
  <c r="W7" i="1"/>
  <c r="X7" i="1"/>
  <c r="X3" i="1" s="1"/>
  <c r="Y7" i="1"/>
  <c r="Z7" i="1"/>
  <c r="AA7" i="1"/>
  <c r="AB7" i="1"/>
  <c r="AC7" i="1"/>
  <c r="AD7" i="1"/>
  <c r="AE7" i="1"/>
  <c r="AE3" i="1" s="1"/>
  <c r="AF7" i="1"/>
  <c r="AF3" i="1" s="1"/>
  <c r="AG7" i="1"/>
  <c r="AG3" i="1" s="1"/>
  <c r="AH7" i="1"/>
  <c r="AI7" i="1"/>
  <c r="AJ7" i="1"/>
  <c r="AJ3" i="1" s="1"/>
  <c r="AK7" i="1"/>
  <c r="AL7" i="1"/>
  <c r="AM7" i="1"/>
  <c r="AN7" i="1"/>
  <c r="AO7" i="1"/>
  <c r="AP7" i="1"/>
  <c r="AQ7" i="1"/>
  <c r="AQ3" i="1" s="1"/>
  <c r="E8" i="1"/>
  <c r="E4" i="1" s="1"/>
  <c r="F8" i="1"/>
  <c r="F4" i="1" s="1"/>
  <c r="G8" i="1"/>
  <c r="G4" i="1" s="1"/>
  <c r="H8" i="1"/>
  <c r="I8" i="1"/>
  <c r="I4" i="1" s="1"/>
  <c r="J8" i="1"/>
  <c r="K8" i="1"/>
  <c r="L8" i="1"/>
  <c r="M8" i="1"/>
  <c r="N8" i="1"/>
  <c r="O8" i="1"/>
  <c r="P8" i="1"/>
  <c r="P4" i="1" s="1"/>
  <c r="Q8" i="1"/>
  <c r="Q4" i="1" s="1"/>
  <c r="R8" i="1"/>
  <c r="R4" i="1" s="1"/>
  <c r="S8" i="1"/>
  <c r="S4" i="1" s="1"/>
  <c r="T8" i="1"/>
  <c r="U8" i="1"/>
  <c r="U4" i="1" s="1"/>
  <c r="V8" i="1"/>
  <c r="W8" i="1"/>
  <c r="X8" i="1"/>
  <c r="Y8" i="1"/>
  <c r="Z8" i="1"/>
  <c r="AA8" i="1"/>
  <c r="AB8" i="1"/>
  <c r="AB4" i="1" s="1"/>
  <c r="AC8" i="1"/>
  <c r="AC4" i="1" s="1"/>
  <c r="AD8" i="1"/>
  <c r="AD4" i="1" s="1"/>
  <c r="AE8" i="1"/>
  <c r="AE4" i="1" s="1"/>
  <c r="AF8" i="1"/>
  <c r="AG8" i="1"/>
  <c r="AG4" i="1" s="1"/>
  <c r="AH8" i="1"/>
  <c r="AI8" i="1"/>
  <c r="AJ8" i="1"/>
  <c r="AK8" i="1"/>
  <c r="AL8" i="1"/>
  <c r="AM8" i="1"/>
  <c r="AN8" i="1"/>
  <c r="AN4" i="1" s="1"/>
  <c r="AO8" i="1"/>
  <c r="AO4" i="1" s="1"/>
  <c r="AP8" i="1"/>
  <c r="AP4" i="1" s="1"/>
  <c r="AQ8" i="1"/>
  <c r="AQ4" i="1" s="1"/>
  <c r="D8" i="1"/>
  <c r="D7" i="1"/>
  <c r="D3" i="1" s="1"/>
  <c r="AM4" i="1" l="1"/>
  <c r="AA4" i="1"/>
  <c r="O4" i="1"/>
  <c r="AP3" i="1"/>
  <c r="AD3" i="1"/>
  <c r="R3" i="1"/>
  <c r="F3" i="1"/>
  <c r="AJ5" i="1"/>
  <c r="X5" i="1"/>
  <c r="L5" i="1"/>
  <c r="H3" i="1"/>
  <c r="AH5" i="1"/>
  <c r="J5" i="1"/>
  <c r="AG5" i="1"/>
  <c r="T5" i="1"/>
  <c r="H5" i="1"/>
  <c r="D4" i="1"/>
  <c r="AF4" i="1"/>
  <c r="AH4" i="1"/>
  <c r="V4" i="1"/>
  <c r="J4" i="1"/>
  <c r="AK3" i="1"/>
  <c r="Y3" i="1"/>
  <c r="M3" i="1"/>
  <c r="AK4" i="1"/>
  <c r="Y4" i="1"/>
  <c r="M4" i="1"/>
  <c r="AN3" i="1"/>
  <c r="AB3" i="1"/>
  <c r="P3" i="1"/>
  <c r="T4" i="1"/>
  <c r="H4" i="1"/>
  <c r="AI3" i="1"/>
  <c r="W3" i="1"/>
  <c r="K3" i="1"/>
  <c r="AJ4" i="1"/>
  <c r="X4" i="1"/>
  <c r="L4" i="1"/>
  <c r="AM3" i="1"/>
  <c r="AA3" i="1"/>
  <c r="O3" i="1"/>
  <c r="AH3" i="1"/>
  <c r="V3" i="1"/>
  <c r="J3" i="1"/>
  <c r="AN5" i="1"/>
  <c r="AB5" i="1"/>
  <c r="P5" i="1"/>
  <c r="AI4" i="1"/>
  <c r="W4" i="1"/>
  <c r="K4" i="1"/>
  <c r="AL3" i="1"/>
  <c r="Z3" i="1"/>
  <c r="N3" i="1"/>
  <c r="AL4" i="1"/>
  <c r="Z4" i="1"/>
  <c r="N4" i="1"/>
  <c r="AO3" i="1"/>
  <c r="AC3" i="1"/>
  <c r="Q3" i="1"/>
  <c r="E3" i="1"/>
  <c r="AI5" i="1"/>
  <c r="W5" i="1"/>
  <c r="K5" i="1"/>
</calcChain>
</file>

<file path=xl/sharedStrings.xml><?xml version="1.0" encoding="utf-8"?>
<sst xmlns="http://schemas.openxmlformats.org/spreadsheetml/2006/main" count="1942" uniqueCount="262">
  <si>
    <t>대륙</t>
  </si>
  <si>
    <t>국적</t>
  </si>
  <si>
    <t>성별</t>
  </si>
  <si>
    <t>총합계</t>
  </si>
  <si>
    <t>A1(외교)</t>
  </si>
  <si>
    <t>A2(공무)</t>
  </si>
  <si>
    <t>A3(협정)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</si>
  <si>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</si>
  <si>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</si>
  <si>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</si>
  <si>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</si>
  <si>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</si>
  <si>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</si>
  <si>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</si>
  <si>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</si>
  <si>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</si>
  <si>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</si>
  <si>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</si>
  <si>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</si>
  <si>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</si>
  <si>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</si>
  <si>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</si>
  <si>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</si>
  <si>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</si>
  <si>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</si>
  <si>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</si>
  <si>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</si>
  <si>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</si>
  <si>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</si>
  <si>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</si>
  <si>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</si>
  <si>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</si>
  <si>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</si>
  <si>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</si>
  <si>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</si>
  <si>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</si>
  <si>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</si>
  <si>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</si>
  <si>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</si>
  <si>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</si>
  <si>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</si>
  <si>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</si>
  <si>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</si>
  <si>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</si>
  <si>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</si>
  <si>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</si>
  <si>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</si>
  <si>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</si>
  <si>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</si>
  <si>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</si>
  <si>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싱가포르</t>
  </si>
  <si>
    <t>인도네시아</t>
  </si>
  <si>
    <t>타이</t>
  </si>
  <si>
    <t>말레이시아</t>
  </si>
  <si>
    <t>한국계중국인</t>
  </si>
  <si>
    <t>인도</t>
  </si>
  <si>
    <t>몽골</t>
  </si>
  <si>
    <t>미얀마</t>
  </si>
  <si>
    <t>우즈베키스탄</t>
  </si>
  <si>
    <t>카자흐스탄</t>
  </si>
  <si>
    <t>튀르키예</t>
  </si>
  <si>
    <t>캄보디아</t>
  </si>
  <si>
    <t>네팔</t>
  </si>
  <si>
    <t>마카오</t>
  </si>
  <si>
    <t>스리랑카</t>
  </si>
  <si>
    <t>라오스</t>
  </si>
  <si>
    <t>방글라데시</t>
  </si>
  <si>
    <t>이스라엘</t>
  </si>
  <si>
    <t>사우디아라비아</t>
  </si>
  <si>
    <t>파키스탄</t>
  </si>
  <si>
    <t>키르기즈</t>
  </si>
  <si>
    <t>아랍에미리트연합</t>
  </si>
  <si>
    <t>브루나이</t>
  </si>
  <si>
    <t>타지키스탄</t>
  </si>
  <si>
    <t>쿠웨이트</t>
  </si>
  <si>
    <t>이란</t>
  </si>
  <si>
    <t>이라크</t>
  </si>
  <si>
    <t>요르단</t>
  </si>
  <si>
    <t>시리아</t>
  </si>
  <si>
    <t>카타르</t>
  </si>
  <si>
    <t>오만</t>
  </si>
  <si>
    <t>티모르민주공화국</t>
  </si>
  <si>
    <t>투르크메니스탄</t>
  </si>
  <si>
    <t>키프로스</t>
  </si>
  <si>
    <t>레바논</t>
  </si>
  <si>
    <t>예멘공화국</t>
  </si>
  <si>
    <t>바레인</t>
  </si>
  <si>
    <t>부탄</t>
  </si>
  <si>
    <t>아프가니스탄</t>
  </si>
  <si>
    <t>팔레스타인</t>
  </si>
  <si>
    <t>몰디브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</si>
  <si>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</si>
  <si>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</si>
  <si>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</si>
  <si>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</si>
  <si>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</si>
  <si>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</si>
  <si>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</si>
  <si>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</si>
  <si>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</si>
  <si>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</si>
  <si>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</si>
  <si>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</si>
  <si>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</si>
  <si>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</si>
  <si>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베네수엘라</t>
  </si>
  <si>
    <t>파나마</t>
  </si>
  <si>
    <t>과테말라</t>
  </si>
  <si>
    <t>도미니카공화국</t>
  </si>
  <si>
    <t>온두라스</t>
  </si>
  <si>
    <t>자메이카</t>
  </si>
  <si>
    <t>엘살바도르</t>
  </si>
  <si>
    <t>파라과이</t>
  </si>
  <si>
    <t>우루과이</t>
  </si>
  <si>
    <t>세인트크리스토퍼네비스</t>
  </si>
  <si>
    <t>트리니다드토바고</t>
  </si>
  <si>
    <t>니카라과</t>
  </si>
  <si>
    <t>도미니카연방</t>
  </si>
  <si>
    <t>볼리비아</t>
  </si>
  <si>
    <t>바하마</t>
  </si>
  <si>
    <t>그레나다</t>
  </si>
  <si>
    <t>세인트루시아</t>
  </si>
  <si>
    <t>쿠바</t>
  </si>
  <si>
    <t>가이아나</t>
  </si>
  <si>
    <t>앤티카바부다</t>
  </si>
  <si>
    <t>바베이도스</t>
  </si>
  <si>
    <t>아이티</t>
  </si>
  <si>
    <t>세인트빈센트그레나딘</t>
  </si>
  <si>
    <t>수리남</t>
  </si>
  <si>
    <t>벨리즈</t>
  </si>
  <si>
    <t>미국인근섬</t>
  </si>
  <si>
    <t>유럽주</t>
  </si>
  <si>
    <t>러시아(연방)</t>
  </si>
  <si>
    <t>프랑스</t>
  </si>
  <si>
    <t>독일</t>
  </si>
  <si>
    <t>영국</t>
  </si>
  <si>
    <t>이탈리아</t>
  </si>
  <si>
    <t>네덜란드</t>
  </si>
  <si>
    <t>스페인</t>
  </si>
  <si>
    <t>폴란드</t>
  </si>
  <si>
    <t>스위스</t>
  </si>
  <si>
    <t>스웨덴</t>
  </si>
  <si>
    <t>우크라이나</t>
  </si>
  <si>
    <t>벨기에</t>
  </si>
  <si>
    <t>루마니아</t>
  </si>
  <si>
    <t>덴마크</t>
  </si>
  <si>
    <t>포르투갈</t>
  </si>
  <si>
    <t>오스트리아</t>
  </si>
  <si>
    <t>핀란드</t>
  </si>
  <si>
    <t>아일랜드</t>
  </si>
  <si>
    <t>노르웨이</t>
  </si>
  <si>
    <t>체코</t>
  </si>
  <si>
    <t>그리스</t>
  </si>
  <si>
    <t>헝가리</t>
  </si>
  <si>
    <t>불가리아</t>
  </si>
  <si>
    <t>크로아티아</t>
  </si>
  <si>
    <t>영국보호민</t>
  </si>
  <si>
    <t>리투아니아</t>
  </si>
  <si>
    <t>슬로바크</t>
  </si>
  <si>
    <t>세르비아</t>
  </si>
  <si>
    <t>라트비아</t>
  </si>
  <si>
    <t>슬로베니아</t>
  </si>
  <si>
    <t>벨라루스</t>
  </si>
  <si>
    <t>에스토니아</t>
  </si>
  <si>
    <t>몬테네그로</t>
  </si>
  <si>
    <t>아제르바이잔</t>
  </si>
  <si>
    <t>룩셈부르크</t>
  </si>
  <si>
    <t>조지아</t>
  </si>
  <si>
    <t>몰타</t>
  </si>
  <si>
    <t>알바니아</t>
  </si>
  <si>
    <t>아이슬란드</t>
  </si>
  <si>
    <t>유고슬라비아</t>
  </si>
  <si>
    <t>몰도바</t>
  </si>
  <si>
    <t>아르메니아</t>
  </si>
  <si>
    <t>보스니아-헤르체고비나</t>
  </si>
  <si>
    <t>북마케도니아</t>
  </si>
  <si>
    <t>코소보</t>
  </si>
  <si>
    <t>안도라</t>
  </si>
  <si>
    <t>리히텐슈타인</t>
  </si>
  <si>
    <t>영국외지민</t>
  </si>
  <si>
    <t>모나코</t>
  </si>
  <si>
    <t>산마리노</t>
  </si>
  <si>
    <t>교황청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</si>
  <si>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</si>
  <si>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</si>
  <si>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</si>
  <si>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</si>
  <si>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</si>
  <si>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</si>
  <si>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</si>
  <si>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바누아투</t>
  </si>
  <si>
    <t>마샬군도</t>
  </si>
  <si>
    <t>솔로몬군도</t>
  </si>
  <si>
    <t>팔라우</t>
  </si>
  <si>
    <t>통가</t>
  </si>
  <si>
    <t>키리바시</t>
  </si>
  <si>
    <t>투발루</t>
  </si>
  <si>
    <t>나우루</t>
  </si>
  <si>
    <t>토켈라우</t>
  </si>
  <si>
    <t>아프리카주</t>
  </si>
  <si>
    <t>남아프리카공화국</t>
  </si>
  <si>
    <t>에티오피아</t>
  </si>
  <si>
    <t>이집트</t>
  </si>
  <si>
    <t>모로코</t>
  </si>
  <si>
    <t>케냐</t>
  </si>
  <si>
    <t>튀니지</t>
  </si>
  <si>
    <t>짐바브웨</t>
  </si>
  <si>
    <t>리비아</t>
  </si>
  <si>
    <t>가나</t>
  </si>
  <si>
    <t>모리셔스</t>
  </si>
  <si>
    <t>나이지리아</t>
  </si>
  <si>
    <t>탄자니아</t>
  </si>
  <si>
    <t>알제리</t>
  </si>
  <si>
    <t>마다가스카르</t>
  </si>
  <si>
    <t>우간다</t>
  </si>
  <si>
    <t>르완다</t>
  </si>
  <si>
    <t>코트디부아르</t>
  </si>
  <si>
    <t>콩고민주공화국</t>
  </si>
  <si>
    <t>카메룬</t>
  </si>
  <si>
    <t>세네갈</t>
  </si>
  <si>
    <t>수단</t>
  </si>
  <si>
    <t>부룬디</t>
  </si>
  <si>
    <t>감비아</t>
  </si>
  <si>
    <t>잠비아</t>
  </si>
  <si>
    <t>모잠비크</t>
  </si>
  <si>
    <t>보츠와나</t>
  </si>
  <si>
    <t>말라위</t>
  </si>
  <si>
    <t>앙골라</t>
  </si>
  <si>
    <t>나미비아</t>
  </si>
  <si>
    <t>가봉</t>
  </si>
  <si>
    <t>라이베리아</t>
  </si>
  <si>
    <t>베냉</t>
  </si>
  <si>
    <t>기니</t>
  </si>
  <si>
    <t>말리</t>
  </si>
  <si>
    <t>토고</t>
  </si>
  <si>
    <t>에스와티니</t>
  </si>
  <si>
    <t>부르키나파소</t>
  </si>
  <si>
    <t>시에라리온</t>
  </si>
  <si>
    <t>세이셸</t>
  </si>
  <si>
    <t>적도기니</t>
  </si>
  <si>
    <t>모리타니</t>
  </si>
  <si>
    <t>콩고</t>
  </si>
  <si>
    <t>카보베르데</t>
  </si>
  <si>
    <t>레소토</t>
  </si>
  <si>
    <t>중앙아프리카공화국</t>
  </si>
  <si>
    <t>남수단공화국</t>
  </si>
  <si>
    <t>니제르</t>
  </si>
  <si>
    <t>차드</t>
  </si>
  <si>
    <t>소말리아</t>
  </si>
  <si>
    <t>에리트레아</t>
  </si>
  <si>
    <t>코모로</t>
  </si>
  <si>
    <t>기니비사우</t>
  </si>
  <si>
    <t>지부티</t>
  </si>
  <si>
    <t>상투메프린시페</t>
  </si>
  <si>
    <t>기타</t>
  </si>
  <si>
    <t>E8(계절근로)</t>
    <phoneticPr fontId="18" type="noConversion"/>
  </si>
  <si>
    <t>T1(관광상륙)</t>
    <phoneticPr fontId="18" type="noConversion"/>
  </si>
  <si>
    <t>승무원</t>
    <phoneticPr fontId="18" type="noConversion"/>
  </si>
  <si>
    <t>총합계</t>
    <phoneticPr fontId="18" type="noConversion"/>
  </si>
  <si>
    <t>남성</t>
    <phoneticPr fontId="18" type="noConversion"/>
  </si>
  <si>
    <t>여성</t>
    <phoneticPr fontId="18" type="noConversion"/>
  </si>
  <si>
    <t>제3의성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</si>
</sst>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43"/>
  <sheetViews>
    <sheetView tabSelected="1" zoomScale="70" zoomScaleNormal="70" workbookViewId="0"/>
  </sheetViews>
  <sheetFormatPr defaultRowHeight="16.5" x14ac:dyDescent="0.3"/>
  <cols>
    <col min="3" max="3" width="9" style="4"/>
    <col min="4" max="43" width="11.625" customWidth="1"/>
  </cols>
  <sheetData>
    <row r="1" spans="1:4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255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256</v>
      </c>
      <c r="AQ1" s="2" t="s">
        <v>257</v>
      </c>
    </row>
    <row r="2" spans="1:43" x14ac:dyDescent="0.3">
      <c r="A2" s="3" t="s">
        <v>258</v>
      </c>
      <c r="B2" s="3"/>
      <c r="C2" s="4" t="s">
        <v>40</v>
      </c>
      <c r="D2" s="1">
        <v>19584714</v>
      </c>
      <c r="E2" s="1">
        <v>22110</v>
      </c>
      <c r="F2" s="1">
        <v>41493</v>
      </c>
      <c r="G2" s="1">
        <v>108925</v>
      </c>
      <c r="H2" s="1">
        <v>2215696</v>
      </c>
      <c r="I2" s="1">
        <v>8772845</v>
      </c>
      <c r="J2" s="1">
        <v>1011</v>
      </c>
      <c r="K2" s="1">
        <v>4006708</v>
      </c>
      <c r="L2" s="1">
        <v>33206</v>
      </c>
      <c r="M2">
        <v>161</v>
      </c>
      <c r="N2" s="1">
        <v>411687</v>
      </c>
      <c r="O2">
        <v>503</v>
      </c>
      <c r="P2" s="1">
        <v>93723</v>
      </c>
      <c r="Q2">
        <v>558</v>
      </c>
      <c r="R2" s="1">
        <v>2298</v>
      </c>
      <c r="S2" s="1">
        <v>5936</v>
      </c>
      <c r="T2" s="1">
        <v>39533</v>
      </c>
      <c r="U2" s="1">
        <v>8481</v>
      </c>
      <c r="V2" s="1">
        <v>28405</v>
      </c>
      <c r="W2" s="1">
        <v>4554</v>
      </c>
      <c r="X2" s="1">
        <v>20745</v>
      </c>
      <c r="Y2" s="1">
        <v>7819</v>
      </c>
      <c r="Z2">
        <v>988</v>
      </c>
      <c r="AA2">
        <v>605</v>
      </c>
      <c r="AB2" s="1">
        <v>10716</v>
      </c>
      <c r="AC2" s="1">
        <v>88065</v>
      </c>
      <c r="AD2" s="1">
        <v>86801</v>
      </c>
      <c r="AE2" s="1">
        <v>192044</v>
      </c>
      <c r="AF2" s="1">
        <v>10715</v>
      </c>
      <c r="AG2" s="1">
        <v>75400</v>
      </c>
      <c r="AH2" s="1">
        <v>79729</v>
      </c>
      <c r="AI2" s="1">
        <v>24066</v>
      </c>
      <c r="AJ2" s="1">
        <v>515731</v>
      </c>
      <c r="AK2" s="1">
        <v>219644</v>
      </c>
      <c r="AL2" s="1">
        <v>199733</v>
      </c>
      <c r="AM2" s="1">
        <v>22151</v>
      </c>
      <c r="AN2" s="1">
        <v>12821</v>
      </c>
      <c r="AO2" s="1">
        <v>84621</v>
      </c>
      <c r="AP2" s="1">
        <v>901618</v>
      </c>
      <c r="AQ2" s="1">
        <v>1232869</v>
      </c>
    </row>
    <row r="3" spans="1:43" x14ac:dyDescent="0.3">
      <c r="A3" s="3"/>
      <c r="B3" s="3"/>
      <c r="C3" s="4" t="s">
        <v>259</v>
      </c>
      <c r="D3" s="1">
        <f>D7+D154+D166+D270+D427+D477+D642</f>
        <v>8343888</v>
      </c>
      <c r="E3" s="1">
        <f t="shared" ref="E3:AQ3" si="0">E7+E154+E166+E270+E427+E477+E642</f>
        <v>12733</v>
      </c>
      <c r="F3" s="1">
        <f t="shared" si="0"/>
        <v>26379</v>
      </c>
      <c r="G3" s="1">
        <f t="shared" si="0"/>
        <v>77643</v>
      </c>
      <c r="H3" s="1">
        <f t="shared" si="0"/>
        <v>979840</v>
      </c>
      <c r="I3" s="1">
        <f t="shared" si="0"/>
        <v>3204131</v>
      </c>
      <c r="J3" s="1">
        <f t="shared" si="0"/>
        <v>696</v>
      </c>
      <c r="K3" s="1">
        <f t="shared" si="0"/>
        <v>1294258</v>
      </c>
      <c r="L3" s="1">
        <f t="shared" si="0"/>
        <v>26311</v>
      </c>
      <c r="M3" s="1">
        <f t="shared" si="0"/>
        <v>76</v>
      </c>
      <c r="N3" s="1">
        <f t="shared" si="0"/>
        <v>159391</v>
      </c>
      <c r="O3" s="1">
        <f t="shared" si="0"/>
        <v>360</v>
      </c>
      <c r="P3" s="1">
        <f t="shared" si="0"/>
        <v>35758</v>
      </c>
      <c r="Q3" s="1">
        <f t="shared" si="0"/>
        <v>366</v>
      </c>
      <c r="R3" s="1">
        <f t="shared" si="0"/>
        <v>1452</v>
      </c>
      <c r="S3" s="1">
        <f t="shared" si="0"/>
        <v>4960</v>
      </c>
      <c r="T3" s="1">
        <f t="shared" si="0"/>
        <v>33671</v>
      </c>
      <c r="U3" s="1">
        <f t="shared" si="0"/>
        <v>7512</v>
      </c>
      <c r="V3" s="1">
        <f t="shared" si="0"/>
        <v>9140</v>
      </c>
      <c r="W3" s="1">
        <f t="shared" si="0"/>
        <v>3314</v>
      </c>
      <c r="X3" s="1">
        <f t="shared" si="0"/>
        <v>5865</v>
      </c>
      <c r="Y3" s="1">
        <f t="shared" si="0"/>
        <v>6082</v>
      </c>
      <c r="Z3" s="1">
        <f t="shared" si="0"/>
        <v>971</v>
      </c>
      <c r="AA3" s="1">
        <f t="shared" si="0"/>
        <v>598</v>
      </c>
      <c r="AB3" s="1">
        <f t="shared" si="0"/>
        <v>5330</v>
      </c>
      <c r="AC3" s="1">
        <f t="shared" si="0"/>
        <v>65329</v>
      </c>
      <c r="AD3" s="1">
        <f t="shared" si="0"/>
        <v>52596</v>
      </c>
      <c r="AE3" s="1">
        <f t="shared" si="0"/>
        <v>175329</v>
      </c>
      <c r="AF3" s="1">
        <f t="shared" si="0"/>
        <v>10690</v>
      </c>
      <c r="AG3" s="1">
        <f t="shared" si="0"/>
        <v>28706</v>
      </c>
      <c r="AH3" s="1">
        <f t="shared" si="0"/>
        <v>31468</v>
      </c>
      <c r="AI3" s="1">
        <f t="shared" si="0"/>
        <v>7503</v>
      </c>
      <c r="AJ3" s="1">
        <f t="shared" si="0"/>
        <v>261018</v>
      </c>
      <c r="AK3" s="1">
        <f t="shared" si="0"/>
        <v>108897</v>
      </c>
      <c r="AL3" s="1">
        <f t="shared" si="0"/>
        <v>42821</v>
      </c>
      <c r="AM3" s="1">
        <f t="shared" si="0"/>
        <v>16387</v>
      </c>
      <c r="AN3" s="1">
        <f t="shared" si="0"/>
        <v>2014</v>
      </c>
      <c r="AO3" s="1">
        <f t="shared" si="0"/>
        <v>47761</v>
      </c>
      <c r="AP3" s="1">
        <f t="shared" si="0"/>
        <v>363663</v>
      </c>
      <c r="AQ3" s="1">
        <f t="shared" si="0"/>
        <v>1232869</v>
      </c>
    </row>
    <row r="4" spans="1:43" x14ac:dyDescent="0.3">
      <c r="A4" s="3"/>
      <c r="B4" s="3"/>
      <c r="C4" s="4" t="s">
        <v>260</v>
      </c>
      <c r="D4" s="1">
        <f>D8+D155+D167+D271+D428+D478+D643</f>
        <v>11240541</v>
      </c>
      <c r="E4" s="1">
        <f t="shared" ref="E4:AQ4" si="1">E8+E155+E167+E271+E428+E478+E643</f>
        <v>9377</v>
      </c>
      <c r="F4" s="1">
        <f t="shared" si="1"/>
        <v>15114</v>
      </c>
      <c r="G4" s="1">
        <f t="shared" si="1"/>
        <v>31272</v>
      </c>
      <c r="H4" s="1">
        <f t="shared" si="1"/>
        <v>1235830</v>
      </c>
      <c r="I4" s="1">
        <f t="shared" si="1"/>
        <v>5568494</v>
      </c>
      <c r="J4" s="1">
        <f t="shared" si="1"/>
        <v>315</v>
      </c>
      <c r="K4" s="1">
        <f t="shared" si="1"/>
        <v>2712450</v>
      </c>
      <c r="L4" s="1">
        <f t="shared" si="1"/>
        <v>6894</v>
      </c>
      <c r="M4" s="1">
        <f t="shared" si="1"/>
        <v>85</v>
      </c>
      <c r="N4" s="1">
        <f t="shared" si="1"/>
        <v>252284</v>
      </c>
      <c r="O4" s="1">
        <f t="shared" si="1"/>
        <v>143</v>
      </c>
      <c r="P4" s="1">
        <f t="shared" si="1"/>
        <v>57965</v>
      </c>
      <c r="Q4" s="1">
        <f t="shared" si="1"/>
        <v>192</v>
      </c>
      <c r="R4" s="1">
        <f t="shared" si="1"/>
        <v>846</v>
      </c>
      <c r="S4" s="1">
        <f t="shared" si="1"/>
        <v>976</v>
      </c>
      <c r="T4" s="1">
        <f t="shared" si="1"/>
        <v>5862</v>
      </c>
      <c r="U4" s="1">
        <f t="shared" si="1"/>
        <v>969</v>
      </c>
      <c r="V4" s="1">
        <f t="shared" si="1"/>
        <v>19265</v>
      </c>
      <c r="W4" s="1">
        <f t="shared" si="1"/>
        <v>1240</v>
      </c>
      <c r="X4" s="1">
        <f t="shared" si="1"/>
        <v>14879</v>
      </c>
      <c r="Y4" s="1">
        <f t="shared" si="1"/>
        <v>1736</v>
      </c>
      <c r="Z4" s="1">
        <f t="shared" si="1"/>
        <v>17</v>
      </c>
      <c r="AA4" s="1">
        <f t="shared" si="1"/>
        <v>7</v>
      </c>
      <c r="AB4" s="1">
        <f t="shared" si="1"/>
        <v>5386</v>
      </c>
      <c r="AC4" s="1">
        <f t="shared" si="1"/>
        <v>22736</v>
      </c>
      <c r="AD4" s="1">
        <f t="shared" si="1"/>
        <v>34205</v>
      </c>
      <c r="AE4" s="1">
        <f t="shared" si="1"/>
        <v>16715</v>
      </c>
      <c r="AF4" s="1">
        <f t="shared" si="1"/>
        <v>25</v>
      </c>
      <c r="AG4" s="1">
        <f t="shared" si="1"/>
        <v>46694</v>
      </c>
      <c r="AH4" s="1">
        <f t="shared" si="1"/>
        <v>48261</v>
      </c>
      <c r="AI4" s="1">
        <f t="shared" si="1"/>
        <v>16563</v>
      </c>
      <c r="AJ4" s="1">
        <f t="shared" si="1"/>
        <v>254709</v>
      </c>
      <c r="AK4" s="1">
        <f t="shared" si="1"/>
        <v>110747</v>
      </c>
      <c r="AL4" s="1">
        <f t="shared" si="1"/>
        <v>156910</v>
      </c>
      <c r="AM4" s="1">
        <f t="shared" si="1"/>
        <v>5764</v>
      </c>
      <c r="AN4" s="1">
        <f t="shared" si="1"/>
        <v>10807</v>
      </c>
      <c r="AO4" s="1">
        <f t="shared" si="1"/>
        <v>36860</v>
      </c>
      <c r="AP4" s="1">
        <f t="shared" si="1"/>
        <v>537947</v>
      </c>
      <c r="AQ4" s="1">
        <f t="shared" si="1"/>
        <v>0</v>
      </c>
    </row>
    <row r="5" spans="1:43" x14ac:dyDescent="0.3">
      <c r="A5" s="3"/>
      <c r="B5" s="3"/>
      <c r="C5" s="4" t="s">
        <v>261</v>
      </c>
      <c r="D5" s="1">
        <f>D156+D272+D429</f>
        <v>285</v>
      </c>
      <c r="E5" s="1">
        <f t="shared" ref="E5:AQ5" si="2">E156+E272+E429</f>
        <v>0</v>
      </c>
      <c r="F5" s="1">
        <f t="shared" si="2"/>
        <v>0</v>
      </c>
      <c r="G5" s="1">
        <f t="shared" si="2"/>
        <v>10</v>
      </c>
      <c r="H5" s="1">
        <f t="shared" si="2"/>
        <v>26</v>
      </c>
      <c r="I5" s="1">
        <f t="shared" si="2"/>
        <v>220</v>
      </c>
      <c r="J5" s="1">
        <f t="shared" si="2"/>
        <v>0</v>
      </c>
      <c r="K5" s="1">
        <f t="shared" si="2"/>
        <v>0</v>
      </c>
      <c r="L5" s="1">
        <f t="shared" si="2"/>
        <v>1</v>
      </c>
      <c r="M5" s="1">
        <f t="shared" si="2"/>
        <v>0</v>
      </c>
      <c r="N5" s="1">
        <f t="shared" si="2"/>
        <v>12</v>
      </c>
      <c r="O5" s="1">
        <f t="shared" si="2"/>
        <v>0</v>
      </c>
      <c r="P5" s="1">
        <f t="shared" si="2"/>
        <v>0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si="2"/>
        <v>0</v>
      </c>
      <c r="U5" s="1">
        <f t="shared" si="2"/>
        <v>0</v>
      </c>
      <c r="V5" s="1">
        <f t="shared" si="2"/>
        <v>0</v>
      </c>
      <c r="W5" s="1">
        <f t="shared" si="2"/>
        <v>0</v>
      </c>
      <c r="X5" s="1">
        <f t="shared" si="2"/>
        <v>1</v>
      </c>
      <c r="Y5" s="1">
        <f t="shared" si="2"/>
        <v>1</v>
      </c>
      <c r="Z5" s="1">
        <f t="shared" si="2"/>
        <v>0</v>
      </c>
      <c r="AA5" s="1">
        <f t="shared" si="2"/>
        <v>0</v>
      </c>
      <c r="AB5" s="1">
        <f t="shared" si="2"/>
        <v>0</v>
      </c>
      <c r="AC5" s="1">
        <f t="shared" si="2"/>
        <v>0</v>
      </c>
      <c r="AD5" s="1">
        <f t="shared" si="2"/>
        <v>0</v>
      </c>
      <c r="AE5" s="1">
        <f t="shared" si="2"/>
        <v>0</v>
      </c>
      <c r="AF5" s="1">
        <f t="shared" si="2"/>
        <v>0</v>
      </c>
      <c r="AG5" s="1">
        <f t="shared" si="2"/>
        <v>0</v>
      </c>
      <c r="AH5" s="1">
        <f t="shared" si="2"/>
        <v>0</v>
      </c>
      <c r="AI5" s="1">
        <f t="shared" si="2"/>
        <v>0</v>
      </c>
      <c r="AJ5" s="1">
        <f t="shared" si="2"/>
        <v>4</v>
      </c>
      <c r="AK5" s="1">
        <f t="shared" si="2"/>
        <v>0</v>
      </c>
      <c r="AL5" s="1">
        <f t="shared" si="2"/>
        <v>2</v>
      </c>
      <c r="AM5" s="1">
        <f t="shared" si="2"/>
        <v>0</v>
      </c>
      <c r="AN5" s="1">
        <f t="shared" si="2"/>
        <v>0</v>
      </c>
      <c r="AO5" s="1">
        <f t="shared" si="2"/>
        <v>0</v>
      </c>
      <c r="AP5" s="1">
        <f t="shared" si="2"/>
        <v>8</v>
      </c>
      <c r="AQ5" s="1">
        <f t="shared" si="2"/>
        <v>0</v>
      </c>
    </row>
    <row r="6" spans="1:43" x14ac:dyDescent="0.3">
      <c r="A6" t="s">
        <v>41</v>
      </c>
      <c r="B6" s="3" t="s">
        <v>40</v>
      </c>
      <c r="C6" s="4" t="s">
        <v>40</v>
      </c>
      <c r="D6" s="1">
        <v>15772507</v>
      </c>
      <c r="E6" s="1">
        <v>9821</v>
      </c>
      <c r="F6" s="1">
        <v>25989</v>
      </c>
      <c r="G6" s="1">
        <v>1935</v>
      </c>
      <c r="H6" s="1">
        <v>1059758</v>
      </c>
      <c r="I6" s="1">
        <v>7114550</v>
      </c>
      <c r="J6">
        <v>743</v>
      </c>
      <c r="K6" s="1">
        <v>3978164</v>
      </c>
      <c r="L6" s="1">
        <v>19333</v>
      </c>
      <c r="M6">
        <v>107</v>
      </c>
      <c r="N6" s="1">
        <v>371269</v>
      </c>
      <c r="O6">
        <v>500</v>
      </c>
      <c r="P6" s="1">
        <v>87030</v>
      </c>
      <c r="Q6">
        <v>300</v>
      </c>
      <c r="R6" s="1">
        <v>1214</v>
      </c>
      <c r="S6" s="1">
        <v>4076</v>
      </c>
      <c r="T6" s="1">
        <v>30941</v>
      </c>
      <c r="U6" s="1">
        <v>4510</v>
      </c>
      <c r="V6" s="1">
        <v>26912</v>
      </c>
      <c r="W6" s="1">
        <v>2018</v>
      </c>
      <c r="X6">
        <v>905</v>
      </c>
      <c r="Y6" s="1">
        <v>6608</v>
      </c>
      <c r="Z6">
        <v>216</v>
      </c>
      <c r="AA6">
        <v>356</v>
      </c>
      <c r="AB6" s="1">
        <v>7145</v>
      </c>
      <c r="AC6" s="1">
        <v>72285</v>
      </c>
      <c r="AD6" s="1">
        <v>86801</v>
      </c>
      <c r="AE6" s="1">
        <v>192044</v>
      </c>
      <c r="AF6" s="1">
        <v>10715</v>
      </c>
      <c r="AG6" s="1">
        <v>71720</v>
      </c>
      <c r="AH6" s="1">
        <v>72387</v>
      </c>
      <c r="AI6" s="1">
        <v>17251</v>
      </c>
      <c r="AJ6" s="1">
        <v>347716</v>
      </c>
      <c r="AK6" s="1">
        <v>209212</v>
      </c>
      <c r="AL6" s="1">
        <v>174383</v>
      </c>
      <c r="AM6" s="1">
        <v>15558</v>
      </c>
      <c r="AN6" s="1">
        <v>7851</v>
      </c>
      <c r="AO6" s="1">
        <v>84512</v>
      </c>
      <c r="AP6" s="1">
        <v>753592</v>
      </c>
      <c r="AQ6" s="1">
        <v>902080</v>
      </c>
    </row>
    <row r="7" spans="1:43" x14ac:dyDescent="0.3">
      <c r="A7" t="s">
        <v>41</v>
      </c>
      <c r="B7" s="3"/>
      <c r="C7" s="4" t="s">
        <v>259</v>
      </c>
      <c r="D7" s="1">
        <f>D10+D13+D16+D19+D22+D25+D28+D31+D34+D37+D40+D43+D46+D49+D52+D55+D58+D61+D64+D67+D70+D73+D76+D79+D82+D85+D88+D91+D94+D97+D100+D103+D106+D109+D112+D115+D118+D121+D124+D127+D130+D133+D136+D139+D142+D145+D148+D151</f>
        <v>6248481</v>
      </c>
      <c r="E7" s="1">
        <f t="shared" ref="E7:AQ7" si="3">E10+E13+E16+E19+E22+E25+E28+E31+E34+E37+E40+E43+E46+E49+E52+E55+E58+E61+E64+E67+E70+E73+E76+E79+E82+E85+E88+E91+E94+E97+E100+E103+E106+E109+E112+E115+E118+E121+E124+E127+E130+E133+E136+E139+E142+E145+E148+E151</f>
        <v>5534</v>
      </c>
      <c r="F7" s="1">
        <f t="shared" si="3"/>
        <v>15816</v>
      </c>
      <c r="G7" s="1">
        <f t="shared" si="3"/>
        <v>209</v>
      </c>
      <c r="H7" s="1">
        <f t="shared" si="3"/>
        <v>400771</v>
      </c>
      <c r="I7" s="1">
        <f t="shared" si="3"/>
        <v>2381349</v>
      </c>
      <c r="J7" s="1">
        <f t="shared" si="3"/>
        <v>525</v>
      </c>
      <c r="K7" s="1">
        <f t="shared" si="3"/>
        <v>1276898</v>
      </c>
      <c r="L7" s="1">
        <f t="shared" si="3"/>
        <v>16452</v>
      </c>
      <c r="M7" s="1">
        <f t="shared" si="3"/>
        <v>63</v>
      </c>
      <c r="N7" s="1">
        <f t="shared" si="3"/>
        <v>143704</v>
      </c>
      <c r="O7" s="1">
        <f t="shared" si="3"/>
        <v>360</v>
      </c>
      <c r="P7" s="1">
        <f t="shared" si="3"/>
        <v>34082</v>
      </c>
      <c r="Q7" s="1">
        <f t="shared" si="3"/>
        <v>208</v>
      </c>
      <c r="R7" s="1">
        <f t="shared" si="3"/>
        <v>777</v>
      </c>
      <c r="S7" s="1">
        <f t="shared" si="3"/>
        <v>3316</v>
      </c>
      <c r="T7" s="1">
        <f t="shared" si="3"/>
        <v>26087</v>
      </c>
      <c r="U7" s="1">
        <f t="shared" si="3"/>
        <v>3785</v>
      </c>
      <c r="V7" s="1">
        <f t="shared" si="3"/>
        <v>8602</v>
      </c>
      <c r="W7" s="1">
        <f t="shared" si="3"/>
        <v>1348</v>
      </c>
      <c r="X7" s="1">
        <f t="shared" si="3"/>
        <v>140</v>
      </c>
      <c r="Y7" s="1">
        <f t="shared" si="3"/>
        <v>5106</v>
      </c>
      <c r="Z7" s="1">
        <f t="shared" si="3"/>
        <v>215</v>
      </c>
      <c r="AA7" s="1">
        <f t="shared" si="3"/>
        <v>353</v>
      </c>
      <c r="AB7" s="1">
        <f t="shared" si="3"/>
        <v>3292</v>
      </c>
      <c r="AC7" s="1">
        <f t="shared" si="3"/>
        <v>55665</v>
      </c>
      <c r="AD7" s="1">
        <f t="shared" si="3"/>
        <v>52596</v>
      </c>
      <c r="AE7" s="1">
        <f t="shared" si="3"/>
        <v>175329</v>
      </c>
      <c r="AF7" s="1">
        <f t="shared" si="3"/>
        <v>10690</v>
      </c>
      <c r="AG7" s="1">
        <f t="shared" si="3"/>
        <v>26853</v>
      </c>
      <c r="AH7" s="1">
        <f t="shared" si="3"/>
        <v>27465</v>
      </c>
      <c r="AI7" s="1">
        <f t="shared" si="3"/>
        <v>5014</v>
      </c>
      <c r="AJ7" s="1">
        <f t="shared" si="3"/>
        <v>178878</v>
      </c>
      <c r="AK7" s="1">
        <f t="shared" si="3"/>
        <v>102081</v>
      </c>
      <c r="AL7" s="1">
        <f t="shared" si="3"/>
        <v>27129</v>
      </c>
      <c r="AM7" s="1">
        <f t="shared" si="3"/>
        <v>11510</v>
      </c>
      <c r="AN7" s="1">
        <f t="shared" si="3"/>
        <v>602</v>
      </c>
      <c r="AO7" s="1">
        <f t="shared" si="3"/>
        <v>47720</v>
      </c>
      <c r="AP7" s="1">
        <f t="shared" si="3"/>
        <v>295877</v>
      </c>
      <c r="AQ7" s="1">
        <f t="shared" si="3"/>
        <v>902080</v>
      </c>
    </row>
    <row r="8" spans="1:43" x14ac:dyDescent="0.3">
      <c r="A8" t="s">
        <v>41</v>
      </c>
      <c r="B8" s="3"/>
      <c r="C8" s="4" t="s">
        <v>260</v>
      </c>
      <c r="D8" s="1">
        <f>D11+D14+D17+D20+D23+D26+D29+D32+D35+D38+D41+D44+D47+D50+D53+D56+D59+D62+D65+D68+D71+D74+D77+D80+D83+D86+D89+D92+D95+D98+D101+D104+D107+D110+D113+D116+D119+D122+D125+D128+D131+D134+D137+D140+D143+D146+D149+D152</f>
        <v>9524026</v>
      </c>
      <c r="E8" s="1">
        <f t="shared" ref="E8:AQ8" si="4">E11+E14+E17+E20+E23+E26+E29+E32+E35+E38+E41+E44+E47+E50+E53+E56+E59+E62+E65+E68+E71+E74+E77+E80+E83+E86+E89+E92+E95+E98+E101+E104+E107+E110+E113+E116+E119+E122+E125+E128+E131+E134+E137+E140+E143+E146+E149+E152</f>
        <v>4287</v>
      </c>
      <c r="F8" s="1">
        <f t="shared" si="4"/>
        <v>10173</v>
      </c>
      <c r="G8" s="1">
        <f t="shared" si="4"/>
        <v>1726</v>
      </c>
      <c r="H8" s="1">
        <f t="shared" si="4"/>
        <v>658987</v>
      </c>
      <c r="I8" s="1">
        <f t="shared" si="4"/>
        <v>4733201</v>
      </c>
      <c r="J8" s="1">
        <f t="shared" si="4"/>
        <v>218</v>
      </c>
      <c r="K8" s="1">
        <f t="shared" si="4"/>
        <v>2701266</v>
      </c>
      <c r="L8" s="1">
        <f t="shared" si="4"/>
        <v>2881</v>
      </c>
      <c r="M8" s="1">
        <f t="shared" si="4"/>
        <v>44</v>
      </c>
      <c r="N8" s="1">
        <f t="shared" si="4"/>
        <v>227565</v>
      </c>
      <c r="O8" s="1">
        <f t="shared" si="4"/>
        <v>140</v>
      </c>
      <c r="P8" s="1">
        <f t="shared" si="4"/>
        <v>52948</v>
      </c>
      <c r="Q8" s="1">
        <f t="shared" si="4"/>
        <v>92</v>
      </c>
      <c r="R8" s="1">
        <f t="shared" si="4"/>
        <v>437</v>
      </c>
      <c r="S8" s="1">
        <f t="shared" si="4"/>
        <v>760</v>
      </c>
      <c r="T8" s="1">
        <f t="shared" si="4"/>
        <v>4854</v>
      </c>
      <c r="U8" s="1">
        <f t="shared" si="4"/>
        <v>725</v>
      </c>
      <c r="V8" s="1">
        <f t="shared" si="4"/>
        <v>18310</v>
      </c>
      <c r="W8" s="1">
        <f t="shared" si="4"/>
        <v>670</v>
      </c>
      <c r="X8" s="1">
        <f t="shared" si="4"/>
        <v>765</v>
      </c>
      <c r="Y8" s="1">
        <f t="shared" si="4"/>
        <v>1502</v>
      </c>
      <c r="Z8" s="1">
        <f t="shared" si="4"/>
        <v>1</v>
      </c>
      <c r="AA8" s="1">
        <f t="shared" si="4"/>
        <v>3</v>
      </c>
      <c r="AB8" s="1">
        <f t="shared" si="4"/>
        <v>3853</v>
      </c>
      <c r="AC8" s="1">
        <f t="shared" si="4"/>
        <v>16620</v>
      </c>
      <c r="AD8" s="1">
        <f t="shared" si="4"/>
        <v>34205</v>
      </c>
      <c r="AE8" s="1">
        <f t="shared" si="4"/>
        <v>16715</v>
      </c>
      <c r="AF8" s="1">
        <f t="shared" si="4"/>
        <v>25</v>
      </c>
      <c r="AG8" s="1">
        <f t="shared" si="4"/>
        <v>44867</v>
      </c>
      <c r="AH8" s="1">
        <f t="shared" si="4"/>
        <v>44922</v>
      </c>
      <c r="AI8" s="1">
        <f t="shared" si="4"/>
        <v>12237</v>
      </c>
      <c r="AJ8" s="1">
        <f t="shared" si="4"/>
        <v>168838</v>
      </c>
      <c r="AK8" s="1">
        <f t="shared" si="4"/>
        <v>107131</v>
      </c>
      <c r="AL8" s="1">
        <f t="shared" si="4"/>
        <v>147254</v>
      </c>
      <c r="AM8" s="1">
        <f t="shared" si="4"/>
        <v>4048</v>
      </c>
      <c r="AN8" s="1">
        <f t="shared" si="4"/>
        <v>7249</v>
      </c>
      <c r="AO8" s="1">
        <f t="shared" si="4"/>
        <v>36792</v>
      </c>
      <c r="AP8" s="1">
        <f t="shared" si="4"/>
        <v>457715</v>
      </c>
      <c r="AQ8" s="1">
        <f t="shared" si="4"/>
        <v>0</v>
      </c>
    </row>
    <row r="9" spans="1:43" x14ac:dyDescent="0.3">
      <c r="A9" t="s">
        <v>41</v>
      </c>
      <c r="B9" t="s">
        <v>42</v>
      </c>
      <c r="C9" s="4" t="s">
        <v>40</v>
      </c>
      <c r="D9" s="1">
        <v>5515831</v>
      </c>
      <c r="E9" s="1">
        <v>1158</v>
      </c>
      <c r="F9" s="1">
        <v>3981</v>
      </c>
      <c r="G9">
        <v>107</v>
      </c>
      <c r="H9" s="1">
        <v>0</v>
      </c>
      <c r="I9" s="1">
        <v>971805</v>
      </c>
      <c r="J9">
        <v>239</v>
      </c>
      <c r="K9" s="1">
        <v>2991399</v>
      </c>
      <c r="L9" s="1">
        <v>7647</v>
      </c>
      <c r="M9">
        <v>25</v>
      </c>
      <c r="N9" s="1">
        <v>243969</v>
      </c>
      <c r="O9">
        <v>127</v>
      </c>
      <c r="P9" s="1">
        <v>22603</v>
      </c>
      <c r="Q9">
        <v>60</v>
      </c>
      <c r="R9">
        <v>39</v>
      </c>
      <c r="S9" s="1">
        <v>1825</v>
      </c>
      <c r="T9" s="1">
        <v>10283</v>
      </c>
      <c r="U9" s="1">
        <v>1214</v>
      </c>
      <c r="V9" s="1">
        <v>9359</v>
      </c>
      <c r="W9">
        <v>698</v>
      </c>
      <c r="X9">
        <v>391</v>
      </c>
      <c r="Y9" s="1">
        <v>1639</v>
      </c>
      <c r="Z9" s="1">
        <v>0</v>
      </c>
      <c r="AA9" s="1">
        <v>0</v>
      </c>
      <c r="AB9">
        <v>977</v>
      </c>
      <c r="AC9" s="1">
        <v>13839</v>
      </c>
      <c r="AD9">
        <v>179</v>
      </c>
      <c r="AE9" s="1">
        <v>2002</v>
      </c>
      <c r="AF9">
        <v>218</v>
      </c>
      <c r="AG9" s="1">
        <v>26945</v>
      </c>
      <c r="AH9" s="1">
        <v>49045</v>
      </c>
      <c r="AI9" s="1">
        <v>2690</v>
      </c>
      <c r="AJ9" s="1">
        <v>185091</v>
      </c>
      <c r="AK9" s="1">
        <v>116745</v>
      </c>
      <c r="AL9" s="1">
        <v>58008</v>
      </c>
      <c r="AM9" s="1">
        <v>1436</v>
      </c>
      <c r="AN9">
        <v>1</v>
      </c>
      <c r="AO9" s="1">
        <v>0</v>
      </c>
      <c r="AP9" s="1">
        <v>613742</v>
      </c>
      <c r="AQ9" s="1">
        <v>176345</v>
      </c>
    </row>
    <row r="10" spans="1:43" x14ac:dyDescent="0.3">
      <c r="A10" t="s">
        <v>41</v>
      </c>
      <c r="B10" t="s">
        <v>42</v>
      </c>
      <c r="C10" s="4" t="s">
        <v>43</v>
      </c>
      <c r="D10" s="1">
        <v>1946122</v>
      </c>
      <c r="E10">
        <v>665</v>
      </c>
      <c r="F10" s="1">
        <v>2655</v>
      </c>
      <c r="G10">
        <v>4</v>
      </c>
      <c r="H10" s="1">
        <v>0</v>
      </c>
      <c r="I10" s="1">
        <v>324077</v>
      </c>
      <c r="J10">
        <v>176</v>
      </c>
      <c r="K10" s="1">
        <v>870842</v>
      </c>
      <c r="L10" s="1">
        <v>7041</v>
      </c>
      <c r="M10">
        <v>16</v>
      </c>
      <c r="N10" s="1">
        <v>93488</v>
      </c>
      <c r="O10">
        <v>123</v>
      </c>
      <c r="P10" s="1">
        <v>7862</v>
      </c>
      <c r="Q10">
        <v>33</v>
      </c>
      <c r="R10">
        <v>9</v>
      </c>
      <c r="S10" s="1">
        <v>1375</v>
      </c>
      <c r="T10" s="1">
        <v>7876</v>
      </c>
      <c r="U10" s="1">
        <v>1016</v>
      </c>
      <c r="V10" s="1">
        <v>2368</v>
      </c>
      <c r="W10">
        <v>450</v>
      </c>
      <c r="X10">
        <v>30</v>
      </c>
      <c r="Y10" s="1">
        <v>1173</v>
      </c>
      <c r="Z10" s="1">
        <v>0</v>
      </c>
      <c r="AA10" s="1">
        <v>0</v>
      </c>
      <c r="AB10">
        <v>601</v>
      </c>
      <c r="AC10" s="1">
        <v>7879</v>
      </c>
      <c r="AD10">
        <v>107</v>
      </c>
      <c r="AE10" s="1">
        <v>1780</v>
      </c>
      <c r="AF10">
        <v>218</v>
      </c>
      <c r="AG10" s="1">
        <v>10039</v>
      </c>
      <c r="AH10" s="1">
        <v>17222</v>
      </c>
      <c r="AI10">
        <v>852</v>
      </c>
      <c r="AJ10" s="1">
        <v>99440</v>
      </c>
      <c r="AK10" s="1">
        <v>56227</v>
      </c>
      <c r="AL10" s="1">
        <v>12924</v>
      </c>
      <c r="AM10">
        <v>529</v>
      </c>
      <c r="AN10" s="1">
        <v>0</v>
      </c>
      <c r="AO10" s="1">
        <v>0</v>
      </c>
      <c r="AP10" s="1">
        <v>240680</v>
      </c>
      <c r="AQ10" s="1">
        <v>176345</v>
      </c>
    </row>
    <row r="11" spans="1:43" x14ac:dyDescent="0.3">
      <c r="A11" t="s">
        <v>41</v>
      </c>
      <c r="B11" t="s">
        <v>42</v>
      </c>
      <c r="C11" s="4" t="s">
        <v>44</v>
      </c>
      <c r="D11" s="1">
        <v>3569709</v>
      </c>
      <c r="E11">
        <v>493</v>
      </c>
      <c r="F11" s="1">
        <v>1326</v>
      </c>
      <c r="G11">
        <v>103</v>
      </c>
      <c r="H11" s="1">
        <v>0</v>
      </c>
      <c r="I11" s="1">
        <v>647728</v>
      </c>
      <c r="J11">
        <v>63</v>
      </c>
      <c r="K11" s="1">
        <v>2120557</v>
      </c>
      <c r="L11">
        <v>606</v>
      </c>
      <c r="M11">
        <v>9</v>
      </c>
      <c r="N11" s="1">
        <v>150481</v>
      </c>
      <c r="O11">
        <v>4</v>
      </c>
      <c r="P11" s="1">
        <v>14741</v>
      </c>
      <c r="Q11">
        <v>27</v>
      </c>
      <c r="R11">
        <v>30</v>
      </c>
      <c r="S11">
        <v>450</v>
      </c>
      <c r="T11" s="1">
        <v>2407</v>
      </c>
      <c r="U11">
        <v>198</v>
      </c>
      <c r="V11" s="1">
        <v>6991</v>
      </c>
      <c r="W11">
        <v>248</v>
      </c>
      <c r="X11">
        <v>361</v>
      </c>
      <c r="Y11">
        <v>466</v>
      </c>
      <c r="Z11" s="1">
        <v>0</v>
      </c>
      <c r="AA11" s="1">
        <v>0</v>
      </c>
      <c r="AB11">
        <v>376</v>
      </c>
      <c r="AC11" s="1">
        <v>5960</v>
      </c>
      <c r="AD11">
        <v>72</v>
      </c>
      <c r="AE11">
        <v>222</v>
      </c>
      <c r="AF11" s="1">
        <v>0</v>
      </c>
      <c r="AG11" s="1">
        <v>16906</v>
      </c>
      <c r="AH11" s="1">
        <v>31823</v>
      </c>
      <c r="AI11" s="1">
        <v>1838</v>
      </c>
      <c r="AJ11" s="1">
        <v>85651</v>
      </c>
      <c r="AK11" s="1">
        <v>60518</v>
      </c>
      <c r="AL11" s="1">
        <v>45084</v>
      </c>
      <c r="AM11">
        <v>907</v>
      </c>
      <c r="AN11">
        <v>1</v>
      </c>
      <c r="AO11" s="1">
        <v>0</v>
      </c>
      <c r="AP11" s="1">
        <v>373062</v>
      </c>
      <c r="AQ11" s="1">
        <v>0</v>
      </c>
    </row>
    <row r="12" spans="1:43" x14ac:dyDescent="0.3">
      <c r="A12" t="s">
        <v>41</v>
      </c>
      <c r="B12" t="s">
        <v>45</v>
      </c>
      <c r="C12" s="4" t="s">
        <v>40</v>
      </c>
      <c r="D12" s="1">
        <v>3691782</v>
      </c>
      <c r="E12" s="1">
        <v>1312</v>
      </c>
      <c r="F12" s="1">
        <v>2019</v>
      </c>
      <c r="G12">
        <v>382</v>
      </c>
      <c r="H12">
        <v>8</v>
      </c>
      <c r="I12" s="1">
        <v>3475703</v>
      </c>
      <c r="J12">
        <v>351</v>
      </c>
      <c r="K12" s="1">
        <v>1397</v>
      </c>
      <c r="L12" s="1">
        <v>7129</v>
      </c>
      <c r="M12">
        <v>10</v>
      </c>
      <c r="N12" s="1">
        <v>10448</v>
      </c>
      <c r="O12" s="1">
        <v>0</v>
      </c>
      <c r="P12" s="1">
        <v>4956</v>
      </c>
      <c r="Q12">
        <v>177</v>
      </c>
      <c r="R12">
        <v>147</v>
      </c>
      <c r="S12" s="1">
        <v>1270</v>
      </c>
      <c r="T12" s="1">
        <v>11996</v>
      </c>
      <c r="U12">
        <v>369</v>
      </c>
      <c r="V12">
        <v>692</v>
      </c>
      <c r="W12">
        <v>295</v>
      </c>
      <c r="X12">
        <v>432</v>
      </c>
      <c r="Y12" s="1">
        <v>1162</v>
      </c>
      <c r="Z12">
        <v>3</v>
      </c>
      <c r="AA12">
        <v>99</v>
      </c>
      <c r="AB12" s="1">
        <v>3761</v>
      </c>
      <c r="AC12" s="1">
        <v>3632</v>
      </c>
      <c r="AD12" s="1">
        <v>0</v>
      </c>
      <c r="AE12" s="1">
        <v>0</v>
      </c>
      <c r="AF12">
        <v>7</v>
      </c>
      <c r="AG12">
        <v>231</v>
      </c>
      <c r="AH12" s="1">
        <v>1827</v>
      </c>
      <c r="AI12" s="1">
        <v>1958</v>
      </c>
      <c r="AJ12" s="1">
        <v>2961</v>
      </c>
      <c r="AK12" s="1">
        <v>11020</v>
      </c>
      <c r="AL12" s="1">
        <v>24055</v>
      </c>
      <c r="AM12">
        <v>7</v>
      </c>
      <c r="AN12" s="1">
        <v>5854</v>
      </c>
      <c r="AO12" s="1">
        <v>0</v>
      </c>
      <c r="AP12" s="1">
        <v>90062</v>
      </c>
      <c r="AQ12" s="1">
        <v>26050</v>
      </c>
    </row>
    <row r="13" spans="1:43" x14ac:dyDescent="0.3">
      <c r="A13" t="s">
        <v>41</v>
      </c>
      <c r="B13" t="s">
        <v>45</v>
      </c>
      <c r="C13" s="4" t="s">
        <v>43</v>
      </c>
      <c r="D13" s="1">
        <v>1207224</v>
      </c>
      <c r="E13">
        <v>761</v>
      </c>
      <c r="F13" s="1">
        <v>1253</v>
      </c>
      <c r="G13">
        <v>30</v>
      </c>
      <c r="H13">
        <v>1</v>
      </c>
      <c r="I13" s="1">
        <v>1111014</v>
      </c>
      <c r="J13">
        <v>258</v>
      </c>
      <c r="K13" s="1">
        <v>1282</v>
      </c>
      <c r="L13" s="1">
        <v>5932</v>
      </c>
      <c r="M13">
        <v>6</v>
      </c>
      <c r="N13" s="1">
        <v>1248</v>
      </c>
      <c r="O13" s="1">
        <v>0</v>
      </c>
      <c r="P13">
        <v>613</v>
      </c>
      <c r="Q13">
        <v>149</v>
      </c>
      <c r="R13">
        <v>103</v>
      </c>
      <c r="S13" s="1">
        <v>1094</v>
      </c>
      <c r="T13" s="1">
        <v>11330</v>
      </c>
      <c r="U13">
        <v>357</v>
      </c>
      <c r="V13">
        <v>45</v>
      </c>
      <c r="W13">
        <v>183</v>
      </c>
      <c r="X13">
        <v>102</v>
      </c>
      <c r="Y13" s="1">
        <v>1080</v>
      </c>
      <c r="Z13">
        <v>3</v>
      </c>
      <c r="AA13">
        <v>99</v>
      </c>
      <c r="AB13" s="1">
        <v>1692</v>
      </c>
      <c r="AC13" s="1">
        <v>1464</v>
      </c>
      <c r="AD13" s="1">
        <v>0</v>
      </c>
      <c r="AE13" s="1">
        <v>0</v>
      </c>
      <c r="AF13" s="1">
        <v>0</v>
      </c>
      <c r="AG13">
        <v>73</v>
      </c>
      <c r="AH13">
        <v>577</v>
      </c>
      <c r="AI13">
        <v>439</v>
      </c>
      <c r="AJ13">
        <v>840</v>
      </c>
      <c r="AK13" s="1">
        <v>1400</v>
      </c>
      <c r="AL13" s="1">
        <v>2141</v>
      </c>
      <c r="AM13">
        <v>0</v>
      </c>
      <c r="AN13">
        <v>473</v>
      </c>
      <c r="AO13" s="1">
        <v>0</v>
      </c>
      <c r="AP13" s="1">
        <v>35132</v>
      </c>
      <c r="AQ13" s="1">
        <v>26050</v>
      </c>
    </row>
    <row r="14" spans="1:43" x14ac:dyDescent="0.3">
      <c r="A14" t="s">
        <v>41</v>
      </c>
      <c r="B14" t="s">
        <v>45</v>
      </c>
      <c r="C14" s="4" t="s">
        <v>44</v>
      </c>
      <c r="D14" s="1">
        <v>2484558</v>
      </c>
      <c r="E14">
        <v>551</v>
      </c>
      <c r="F14">
        <v>766</v>
      </c>
      <c r="G14">
        <v>352</v>
      </c>
      <c r="H14">
        <v>7</v>
      </c>
      <c r="I14" s="1">
        <v>2364689</v>
      </c>
      <c r="J14">
        <v>93</v>
      </c>
      <c r="K14">
        <v>115</v>
      </c>
      <c r="L14" s="1">
        <v>1197</v>
      </c>
      <c r="M14">
        <v>4</v>
      </c>
      <c r="N14" s="1">
        <v>9200</v>
      </c>
      <c r="O14">
        <v>0</v>
      </c>
      <c r="P14" s="1">
        <v>4343</v>
      </c>
      <c r="Q14">
        <v>28</v>
      </c>
      <c r="R14">
        <v>44</v>
      </c>
      <c r="S14">
        <v>176</v>
      </c>
      <c r="T14">
        <v>666</v>
      </c>
      <c r="U14">
        <v>12</v>
      </c>
      <c r="V14">
        <v>647</v>
      </c>
      <c r="W14">
        <v>112</v>
      </c>
      <c r="X14">
        <v>330</v>
      </c>
      <c r="Y14">
        <v>82</v>
      </c>
      <c r="Z14" s="1">
        <v>0</v>
      </c>
      <c r="AA14" s="1">
        <v>0</v>
      </c>
      <c r="AB14" s="1">
        <v>2069</v>
      </c>
      <c r="AC14" s="1">
        <v>2168</v>
      </c>
      <c r="AD14" s="1">
        <v>0</v>
      </c>
      <c r="AE14" s="1">
        <v>0</v>
      </c>
      <c r="AF14">
        <v>7</v>
      </c>
      <c r="AG14">
        <v>158</v>
      </c>
      <c r="AH14" s="1">
        <v>1250</v>
      </c>
      <c r="AI14" s="1">
        <v>1519</v>
      </c>
      <c r="AJ14" s="1">
        <v>2121</v>
      </c>
      <c r="AK14" s="1">
        <v>9620</v>
      </c>
      <c r="AL14" s="1">
        <v>21914</v>
      </c>
      <c r="AM14">
        <v>7</v>
      </c>
      <c r="AN14" s="1">
        <v>5381</v>
      </c>
      <c r="AO14" s="1">
        <v>0</v>
      </c>
      <c r="AP14" s="1">
        <v>54930</v>
      </c>
      <c r="AQ14" s="1">
        <v>0</v>
      </c>
    </row>
    <row r="15" spans="1:43" x14ac:dyDescent="0.3">
      <c r="A15" t="s">
        <v>41</v>
      </c>
      <c r="B15" t="s">
        <v>46</v>
      </c>
      <c r="C15" s="4" t="s">
        <v>40</v>
      </c>
      <c r="D15" s="1">
        <v>1914732</v>
      </c>
      <c r="E15">
        <v>42</v>
      </c>
      <c r="F15">
        <v>14</v>
      </c>
      <c r="G15">
        <v>171</v>
      </c>
      <c r="H15">
        <v>0</v>
      </c>
      <c r="I15" s="1">
        <v>1841367</v>
      </c>
      <c r="J15">
        <v>28</v>
      </c>
      <c r="K15">
        <v>102</v>
      </c>
      <c r="L15">
        <v>706</v>
      </c>
      <c r="M15">
        <v>7</v>
      </c>
      <c r="N15" s="1">
        <v>4154</v>
      </c>
      <c r="O15">
        <v>0</v>
      </c>
      <c r="P15" s="1">
        <v>2155</v>
      </c>
      <c r="Q15">
        <v>11</v>
      </c>
      <c r="R15">
        <v>58</v>
      </c>
      <c r="S15">
        <v>159</v>
      </c>
      <c r="T15">
        <v>668</v>
      </c>
      <c r="U15">
        <v>104</v>
      </c>
      <c r="V15">
        <v>633</v>
      </c>
      <c r="W15">
        <v>23</v>
      </c>
      <c r="X15">
        <v>28</v>
      </c>
      <c r="Y15">
        <v>225</v>
      </c>
      <c r="Z15">
        <v>38</v>
      </c>
      <c r="AA15">
        <v>126</v>
      </c>
      <c r="AB15">
        <v>284</v>
      </c>
      <c r="AC15" s="1">
        <v>1862</v>
      </c>
      <c r="AD15" s="1">
        <v>0</v>
      </c>
      <c r="AE15" s="1">
        <v>0</v>
      </c>
      <c r="AF15" s="1">
        <v>0</v>
      </c>
      <c r="AG15">
        <v>876</v>
      </c>
      <c r="AH15" s="1">
        <v>2999</v>
      </c>
      <c r="AI15">
        <v>184</v>
      </c>
      <c r="AJ15">
        <v>193</v>
      </c>
      <c r="AK15" s="1">
        <v>14275</v>
      </c>
      <c r="AL15" s="1">
        <v>5126</v>
      </c>
      <c r="AM15" s="1">
        <v>0</v>
      </c>
      <c r="AN15" s="1">
        <v>1765</v>
      </c>
      <c r="AO15" s="1">
        <v>0</v>
      </c>
      <c r="AP15" s="1">
        <v>31947</v>
      </c>
      <c r="AQ15" s="1">
        <v>4402</v>
      </c>
    </row>
    <row r="16" spans="1:43" x14ac:dyDescent="0.3">
      <c r="A16" t="s">
        <v>41</v>
      </c>
      <c r="B16" t="s">
        <v>46</v>
      </c>
      <c r="C16" s="4" t="s">
        <v>43</v>
      </c>
      <c r="D16" s="1">
        <v>644991</v>
      </c>
      <c r="E16">
        <v>25</v>
      </c>
      <c r="F16">
        <v>1</v>
      </c>
      <c r="G16">
        <v>70</v>
      </c>
      <c r="H16">
        <v>0</v>
      </c>
      <c r="I16" s="1">
        <v>614226</v>
      </c>
      <c r="J16">
        <v>15</v>
      </c>
      <c r="K16">
        <v>65</v>
      </c>
      <c r="L16">
        <v>428</v>
      </c>
      <c r="M16">
        <v>2</v>
      </c>
      <c r="N16">
        <v>463</v>
      </c>
      <c r="O16">
        <v>0</v>
      </c>
      <c r="P16">
        <v>234</v>
      </c>
      <c r="Q16">
        <v>3</v>
      </c>
      <c r="R16">
        <v>16</v>
      </c>
      <c r="S16">
        <v>138</v>
      </c>
      <c r="T16">
        <v>407</v>
      </c>
      <c r="U16">
        <v>93</v>
      </c>
      <c r="V16">
        <v>53</v>
      </c>
      <c r="W16">
        <v>11</v>
      </c>
      <c r="X16">
        <v>6</v>
      </c>
      <c r="Y16">
        <v>193</v>
      </c>
      <c r="Z16">
        <v>38</v>
      </c>
      <c r="AA16">
        <v>123</v>
      </c>
      <c r="AB16">
        <v>106</v>
      </c>
      <c r="AC16">
        <v>486</v>
      </c>
      <c r="AD16" s="1">
        <v>0</v>
      </c>
      <c r="AE16" s="1">
        <v>0</v>
      </c>
      <c r="AF16">
        <v>0</v>
      </c>
      <c r="AG16">
        <v>505</v>
      </c>
      <c r="AH16" s="1">
        <v>1103</v>
      </c>
      <c r="AI16">
        <v>35</v>
      </c>
      <c r="AJ16">
        <v>44</v>
      </c>
      <c r="AK16" s="1">
        <v>8213</v>
      </c>
      <c r="AL16">
        <v>604</v>
      </c>
      <c r="AM16">
        <v>0</v>
      </c>
      <c r="AN16">
        <v>100</v>
      </c>
      <c r="AO16" s="1">
        <v>0</v>
      </c>
      <c r="AP16" s="1">
        <v>12783</v>
      </c>
      <c r="AQ16" s="1">
        <v>4402</v>
      </c>
    </row>
    <row r="17" spans="1:43" x14ac:dyDescent="0.3">
      <c r="A17" t="s">
        <v>41</v>
      </c>
      <c r="B17" t="s">
        <v>46</v>
      </c>
      <c r="C17" s="4" t="s">
        <v>44</v>
      </c>
      <c r="D17" s="1">
        <v>1269741</v>
      </c>
      <c r="E17">
        <v>17</v>
      </c>
      <c r="F17">
        <v>13</v>
      </c>
      <c r="G17">
        <v>101</v>
      </c>
      <c r="H17">
        <v>0</v>
      </c>
      <c r="I17" s="1">
        <v>1227141</v>
      </c>
      <c r="J17">
        <v>13</v>
      </c>
      <c r="K17">
        <v>37</v>
      </c>
      <c r="L17">
        <v>278</v>
      </c>
      <c r="M17">
        <v>5</v>
      </c>
      <c r="N17" s="1">
        <v>3691</v>
      </c>
      <c r="O17">
        <v>0</v>
      </c>
      <c r="P17" s="1">
        <v>1921</v>
      </c>
      <c r="Q17">
        <v>8</v>
      </c>
      <c r="R17">
        <v>42</v>
      </c>
      <c r="S17">
        <v>21</v>
      </c>
      <c r="T17">
        <v>261</v>
      </c>
      <c r="U17">
        <v>11</v>
      </c>
      <c r="V17">
        <v>580</v>
      </c>
      <c r="W17">
        <v>12</v>
      </c>
      <c r="X17">
        <v>22</v>
      </c>
      <c r="Y17">
        <v>32</v>
      </c>
      <c r="Z17">
        <v>0</v>
      </c>
      <c r="AA17">
        <v>3</v>
      </c>
      <c r="AB17">
        <v>178</v>
      </c>
      <c r="AC17" s="1">
        <v>1376</v>
      </c>
      <c r="AD17" s="1">
        <v>0</v>
      </c>
      <c r="AE17" s="1">
        <v>0</v>
      </c>
      <c r="AF17" s="1">
        <v>0</v>
      </c>
      <c r="AG17">
        <v>371</v>
      </c>
      <c r="AH17" s="1">
        <v>1896</v>
      </c>
      <c r="AI17">
        <v>149</v>
      </c>
      <c r="AJ17">
        <v>149</v>
      </c>
      <c r="AK17" s="1">
        <v>6062</v>
      </c>
      <c r="AL17" s="1">
        <v>4522</v>
      </c>
      <c r="AM17" s="1">
        <v>0</v>
      </c>
      <c r="AN17" s="1">
        <v>1665</v>
      </c>
      <c r="AO17" s="1">
        <v>0</v>
      </c>
      <c r="AP17" s="1">
        <v>19164</v>
      </c>
      <c r="AQ17" s="1">
        <v>0</v>
      </c>
    </row>
    <row r="18" spans="1:43" x14ac:dyDescent="0.3">
      <c r="A18" t="s">
        <v>41</v>
      </c>
      <c r="B18" t="s">
        <v>47</v>
      </c>
      <c r="C18" s="4" t="s">
        <v>40</v>
      </c>
      <c r="D18" s="1">
        <v>630493</v>
      </c>
      <c r="E18">
        <v>603</v>
      </c>
      <c r="F18" s="1">
        <v>2612</v>
      </c>
      <c r="G18">
        <v>65</v>
      </c>
      <c r="H18" s="1">
        <v>0</v>
      </c>
      <c r="I18" s="1">
        <v>8224</v>
      </c>
      <c r="J18" s="1">
        <v>0</v>
      </c>
      <c r="K18" s="1">
        <v>258977</v>
      </c>
      <c r="L18">
        <v>166</v>
      </c>
      <c r="M18">
        <v>20</v>
      </c>
      <c r="N18" s="1">
        <v>46156</v>
      </c>
      <c r="O18">
        <v>279</v>
      </c>
      <c r="P18" s="1">
        <v>35512</v>
      </c>
      <c r="Q18">
        <v>1</v>
      </c>
      <c r="R18">
        <v>201</v>
      </c>
      <c r="S18">
        <v>100</v>
      </c>
      <c r="T18" s="1">
        <v>1075</v>
      </c>
      <c r="U18">
        <v>218</v>
      </c>
      <c r="V18" s="1">
        <v>10081</v>
      </c>
      <c r="W18">
        <v>119</v>
      </c>
      <c r="X18">
        <v>11</v>
      </c>
      <c r="Y18">
        <v>631</v>
      </c>
      <c r="Z18">
        <v>0</v>
      </c>
      <c r="AA18">
        <v>0</v>
      </c>
      <c r="AB18">
        <v>128</v>
      </c>
      <c r="AC18" s="1">
        <v>16794</v>
      </c>
      <c r="AD18" s="1">
        <v>49004</v>
      </c>
      <c r="AE18" s="1">
        <v>35017</v>
      </c>
      <c r="AF18" s="1">
        <v>4108</v>
      </c>
      <c r="AG18" s="1">
        <v>31404</v>
      </c>
      <c r="AH18" s="1">
        <v>6426</v>
      </c>
      <c r="AI18" s="1">
        <v>2075</v>
      </c>
      <c r="AJ18" s="1">
        <v>0</v>
      </c>
      <c r="AK18" s="1">
        <v>3322</v>
      </c>
      <c r="AL18" s="1">
        <v>45574</v>
      </c>
      <c r="AM18">
        <v>380</v>
      </c>
      <c r="AN18" s="1">
        <v>0</v>
      </c>
      <c r="AO18" s="1">
        <v>0</v>
      </c>
      <c r="AP18">
        <v>283</v>
      </c>
      <c r="AQ18" s="1">
        <v>70927</v>
      </c>
    </row>
    <row r="19" spans="1:43" x14ac:dyDescent="0.3">
      <c r="A19" t="s">
        <v>41</v>
      </c>
      <c r="B19" t="s">
        <v>47</v>
      </c>
      <c r="C19" s="4" t="s">
        <v>43</v>
      </c>
      <c r="D19" s="1">
        <v>316856</v>
      </c>
      <c r="E19">
        <v>389</v>
      </c>
      <c r="F19" s="1">
        <v>1715</v>
      </c>
      <c r="G19">
        <v>2</v>
      </c>
      <c r="H19" s="1">
        <v>0</v>
      </c>
      <c r="I19" s="1">
        <v>4309</v>
      </c>
      <c r="J19" s="1">
        <v>0</v>
      </c>
      <c r="K19" s="1">
        <v>99448</v>
      </c>
      <c r="L19">
        <v>100</v>
      </c>
      <c r="M19">
        <v>19</v>
      </c>
      <c r="N19" s="1">
        <v>16771</v>
      </c>
      <c r="O19">
        <v>165</v>
      </c>
      <c r="P19" s="1">
        <v>15617</v>
      </c>
      <c r="Q19">
        <v>1</v>
      </c>
      <c r="R19">
        <v>97</v>
      </c>
      <c r="S19">
        <v>98</v>
      </c>
      <c r="T19">
        <v>697</v>
      </c>
      <c r="U19">
        <v>71</v>
      </c>
      <c r="V19" s="1">
        <v>3270</v>
      </c>
      <c r="W19">
        <v>62</v>
      </c>
      <c r="X19">
        <v>0</v>
      </c>
      <c r="Y19">
        <v>433</v>
      </c>
      <c r="Z19">
        <v>0</v>
      </c>
      <c r="AA19">
        <v>0</v>
      </c>
      <c r="AB19">
        <v>107</v>
      </c>
      <c r="AC19" s="1">
        <v>15033</v>
      </c>
      <c r="AD19" s="1">
        <v>28423</v>
      </c>
      <c r="AE19" s="1">
        <v>31347</v>
      </c>
      <c r="AF19" s="1">
        <v>4108</v>
      </c>
      <c r="AG19" s="1">
        <v>12176</v>
      </c>
      <c r="AH19" s="1">
        <v>3239</v>
      </c>
      <c r="AI19">
        <v>534</v>
      </c>
      <c r="AJ19" s="1">
        <v>0</v>
      </c>
      <c r="AK19" s="1">
        <v>1278</v>
      </c>
      <c r="AL19" s="1">
        <v>6079</v>
      </c>
      <c r="AM19">
        <v>219</v>
      </c>
      <c r="AN19" s="1">
        <v>0</v>
      </c>
      <c r="AO19" s="1">
        <v>0</v>
      </c>
      <c r="AP19">
        <v>122</v>
      </c>
      <c r="AQ19" s="1">
        <v>70927</v>
      </c>
    </row>
    <row r="20" spans="1:43" x14ac:dyDescent="0.3">
      <c r="A20" t="s">
        <v>41</v>
      </c>
      <c r="B20" t="s">
        <v>47</v>
      </c>
      <c r="C20" s="4" t="s">
        <v>44</v>
      </c>
      <c r="D20" s="1">
        <v>313637</v>
      </c>
      <c r="E20">
        <v>214</v>
      </c>
      <c r="F20">
        <v>897</v>
      </c>
      <c r="G20">
        <v>63</v>
      </c>
      <c r="H20">
        <v>0</v>
      </c>
      <c r="I20" s="1">
        <v>3915</v>
      </c>
      <c r="J20">
        <v>0</v>
      </c>
      <c r="K20" s="1">
        <v>159529</v>
      </c>
      <c r="L20">
        <v>66</v>
      </c>
      <c r="M20">
        <v>1</v>
      </c>
      <c r="N20" s="1">
        <v>29385</v>
      </c>
      <c r="O20">
        <v>114</v>
      </c>
      <c r="P20" s="1">
        <v>19895</v>
      </c>
      <c r="Q20">
        <v>0</v>
      </c>
      <c r="R20">
        <v>104</v>
      </c>
      <c r="S20">
        <v>2</v>
      </c>
      <c r="T20">
        <v>378</v>
      </c>
      <c r="U20">
        <v>147</v>
      </c>
      <c r="V20" s="1">
        <v>6811</v>
      </c>
      <c r="W20">
        <v>57</v>
      </c>
      <c r="X20">
        <v>11</v>
      </c>
      <c r="Y20">
        <v>198</v>
      </c>
      <c r="Z20">
        <v>0</v>
      </c>
      <c r="AA20">
        <v>0</v>
      </c>
      <c r="AB20">
        <v>21</v>
      </c>
      <c r="AC20" s="1">
        <v>1761</v>
      </c>
      <c r="AD20" s="1">
        <v>20581</v>
      </c>
      <c r="AE20" s="1">
        <v>3670</v>
      </c>
      <c r="AF20" s="1">
        <v>0</v>
      </c>
      <c r="AG20" s="1">
        <v>19228</v>
      </c>
      <c r="AH20" s="1">
        <v>3187</v>
      </c>
      <c r="AI20" s="1">
        <v>1541</v>
      </c>
      <c r="AJ20" s="1">
        <v>0</v>
      </c>
      <c r="AK20" s="1">
        <v>2044</v>
      </c>
      <c r="AL20" s="1">
        <v>39495</v>
      </c>
      <c r="AM20">
        <v>161</v>
      </c>
      <c r="AN20" s="1">
        <v>0</v>
      </c>
      <c r="AO20" s="1">
        <v>0</v>
      </c>
      <c r="AP20">
        <v>161</v>
      </c>
      <c r="AQ20" s="1">
        <v>0</v>
      </c>
    </row>
    <row r="21" spans="1:43" x14ac:dyDescent="0.3">
      <c r="A21" t="s">
        <v>41</v>
      </c>
      <c r="B21" t="s">
        <v>48</v>
      </c>
      <c r="C21" s="4" t="s">
        <v>40</v>
      </c>
      <c r="D21" s="1">
        <v>629772</v>
      </c>
      <c r="E21">
        <v>317</v>
      </c>
      <c r="F21" s="1">
        <v>1485</v>
      </c>
      <c r="G21">
        <v>941</v>
      </c>
      <c r="H21" s="1">
        <v>0</v>
      </c>
      <c r="I21" s="1">
        <v>63136</v>
      </c>
      <c r="J21">
        <v>27</v>
      </c>
      <c r="K21" s="1">
        <v>273622</v>
      </c>
      <c r="L21">
        <v>483</v>
      </c>
      <c r="M21">
        <v>6</v>
      </c>
      <c r="N21" s="1">
        <v>1241</v>
      </c>
      <c r="O21">
        <v>0</v>
      </c>
      <c r="P21">
        <v>344</v>
      </c>
      <c r="Q21">
        <v>4</v>
      </c>
      <c r="R21">
        <v>265</v>
      </c>
      <c r="S21">
        <v>20</v>
      </c>
      <c r="T21">
        <v>90</v>
      </c>
      <c r="U21">
        <v>337</v>
      </c>
      <c r="V21">
        <v>83</v>
      </c>
      <c r="W21">
        <v>76</v>
      </c>
      <c r="X21">
        <v>0</v>
      </c>
      <c r="Y21">
        <v>132</v>
      </c>
      <c r="Z21">
        <v>20</v>
      </c>
      <c r="AA21">
        <v>18</v>
      </c>
      <c r="AB21">
        <v>871</v>
      </c>
      <c r="AC21" s="1">
        <v>3793</v>
      </c>
      <c r="AD21" s="1">
        <v>10393</v>
      </c>
      <c r="AE21" s="1">
        <v>21950</v>
      </c>
      <c r="AF21">
        <v>91</v>
      </c>
      <c r="AG21" s="1">
        <v>2163</v>
      </c>
      <c r="AH21">
        <v>631</v>
      </c>
      <c r="AI21">
        <v>741</v>
      </c>
      <c r="AJ21">
        <v>35</v>
      </c>
      <c r="AK21">
        <v>841</v>
      </c>
      <c r="AL21" s="1">
        <v>10580</v>
      </c>
      <c r="AM21">
        <v>122</v>
      </c>
      <c r="AN21" s="1">
        <v>0</v>
      </c>
      <c r="AO21" s="1">
        <v>0</v>
      </c>
      <c r="AP21" s="1">
        <v>2263</v>
      </c>
      <c r="AQ21" s="1">
        <v>232651</v>
      </c>
    </row>
    <row r="22" spans="1:43" x14ac:dyDescent="0.3">
      <c r="A22" t="s">
        <v>41</v>
      </c>
      <c r="B22" t="s">
        <v>48</v>
      </c>
      <c r="C22" s="4" t="s">
        <v>43</v>
      </c>
      <c r="D22" s="1">
        <v>418109</v>
      </c>
      <c r="E22">
        <v>161</v>
      </c>
      <c r="F22">
        <v>695</v>
      </c>
      <c r="G22">
        <v>89</v>
      </c>
      <c r="H22" s="1">
        <v>0</v>
      </c>
      <c r="I22" s="1">
        <v>50220</v>
      </c>
      <c r="J22">
        <v>13</v>
      </c>
      <c r="K22" s="1">
        <v>98618</v>
      </c>
      <c r="L22">
        <v>424</v>
      </c>
      <c r="M22">
        <v>1</v>
      </c>
      <c r="N22">
        <v>483</v>
      </c>
      <c r="O22">
        <v>0</v>
      </c>
      <c r="P22">
        <v>129</v>
      </c>
      <c r="Q22">
        <v>0</v>
      </c>
      <c r="R22">
        <v>154</v>
      </c>
      <c r="S22">
        <v>16</v>
      </c>
      <c r="T22">
        <v>72</v>
      </c>
      <c r="U22">
        <v>306</v>
      </c>
      <c r="V22">
        <v>20</v>
      </c>
      <c r="W22">
        <v>35</v>
      </c>
      <c r="X22">
        <v>0</v>
      </c>
      <c r="Y22">
        <v>87</v>
      </c>
      <c r="Z22">
        <v>20</v>
      </c>
      <c r="AA22">
        <v>18</v>
      </c>
      <c r="AB22">
        <v>156</v>
      </c>
      <c r="AC22" s="1">
        <v>3108</v>
      </c>
      <c r="AD22" s="1">
        <v>7680</v>
      </c>
      <c r="AE22" s="1">
        <v>20240</v>
      </c>
      <c r="AF22">
        <v>73</v>
      </c>
      <c r="AG22">
        <v>450</v>
      </c>
      <c r="AH22">
        <v>277</v>
      </c>
      <c r="AI22">
        <v>159</v>
      </c>
      <c r="AJ22">
        <v>30</v>
      </c>
      <c r="AK22">
        <v>120</v>
      </c>
      <c r="AL22">
        <v>691</v>
      </c>
      <c r="AM22">
        <v>42</v>
      </c>
      <c r="AN22" s="1">
        <v>0</v>
      </c>
      <c r="AO22" s="1">
        <v>0</v>
      </c>
      <c r="AP22">
        <v>871</v>
      </c>
      <c r="AQ22" s="1">
        <v>232651</v>
      </c>
    </row>
    <row r="23" spans="1:43" x14ac:dyDescent="0.3">
      <c r="A23" t="s">
        <v>41</v>
      </c>
      <c r="B23" t="s">
        <v>48</v>
      </c>
      <c r="C23" s="4" t="s">
        <v>44</v>
      </c>
      <c r="D23" s="1">
        <v>211663</v>
      </c>
      <c r="E23">
        <v>156</v>
      </c>
      <c r="F23">
        <v>790</v>
      </c>
      <c r="G23">
        <v>852</v>
      </c>
      <c r="H23" s="1">
        <v>0</v>
      </c>
      <c r="I23" s="1">
        <v>12916</v>
      </c>
      <c r="J23">
        <v>14</v>
      </c>
      <c r="K23" s="1">
        <v>175004</v>
      </c>
      <c r="L23">
        <v>59</v>
      </c>
      <c r="M23">
        <v>5</v>
      </c>
      <c r="N23">
        <v>758</v>
      </c>
      <c r="O23">
        <v>0</v>
      </c>
      <c r="P23">
        <v>215</v>
      </c>
      <c r="Q23">
        <v>4</v>
      </c>
      <c r="R23">
        <v>111</v>
      </c>
      <c r="S23">
        <v>4</v>
      </c>
      <c r="T23">
        <v>18</v>
      </c>
      <c r="U23">
        <v>31</v>
      </c>
      <c r="V23">
        <v>63</v>
      </c>
      <c r="W23">
        <v>41</v>
      </c>
      <c r="X23">
        <v>0</v>
      </c>
      <c r="Y23">
        <v>45</v>
      </c>
      <c r="Z23">
        <v>0</v>
      </c>
      <c r="AA23">
        <v>0</v>
      </c>
      <c r="AB23">
        <v>715</v>
      </c>
      <c r="AC23">
        <v>685</v>
      </c>
      <c r="AD23" s="1">
        <v>2713</v>
      </c>
      <c r="AE23" s="1">
        <v>1710</v>
      </c>
      <c r="AF23">
        <v>18</v>
      </c>
      <c r="AG23" s="1">
        <v>1713</v>
      </c>
      <c r="AH23">
        <v>354</v>
      </c>
      <c r="AI23">
        <v>582</v>
      </c>
      <c r="AJ23">
        <v>5</v>
      </c>
      <c r="AK23">
        <v>721</v>
      </c>
      <c r="AL23" s="1">
        <v>9889</v>
      </c>
      <c r="AM23">
        <v>80</v>
      </c>
      <c r="AN23" s="1">
        <v>0</v>
      </c>
      <c r="AO23" s="1">
        <v>0</v>
      </c>
      <c r="AP23" s="1">
        <v>1392</v>
      </c>
      <c r="AQ23" s="1">
        <v>0</v>
      </c>
    </row>
    <row r="24" spans="1:43" x14ac:dyDescent="0.3">
      <c r="A24" t="s">
        <v>41</v>
      </c>
      <c r="B24" t="s">
        <v>49</v>
      </c>
      <c r="C24" s="4" t="s">
        <v>40</v>
      </c>
      <c r="D24" s="1">
        <v>620521</v>
      </c>
      <c r="E24">
        <v>5</v>
      </c>
      <c r="F24">
        <v>50</v>
      </c>
      <c r="G24">
        <v>1</v>
      </c>
      <c r="H24" s="1">
        <v>0</v>
      </c>
      <c r="I24" s="1">
        <v>606056</v>
      </c>
      <c r="J24">
        <v>15</v>
      </c>
      <c r="K24">
        <v>124</v>
      </c>
      <c r="L24">
        <v>398</v>
      </c>
      <c r="M24">
        <v>0</v>
      </c>
      <c r="N24" s="1">
        <v>1880</v>
      </c>
      <c r="O24">
        <v>0</v>
      </c>
      <c r="P24">
        <v>692</v>
      </c>
      <c r="Q24">
        <v>4</v>
      </c>
      <c r="R24">
        <v>18</v>
      </c>
      <c r="S24">
        <v>42</v>
      </c>
      <c r="T24">
        <v>442</v>
      </c>
      <c r="U24">
        <v>0</v>
      </c>
      <c r="V24">
        <v>343</v>
      </c>
      <c r="W24">
        <v>23</v>
      </c>
      <c r="X24">
        <v>6</v>
      </c>
      <c r="Y24">
        <v>23</v>
      </c>
      <c r="Z24">
        <v>0</v>
      </c>
      <c r="AA24">
        <v>0</v>
      </c>
      <c r="AB24">
        <v>72</v>
      </c>
      <c r="AC24">
        <v>747</v>
      </c>
      <c r="AD24" s="1">
        <v>0</v>
      </c>
      <c r="AE24" s="1">
        <v>0</v>
      </c>
      <c r="AF24">
        <v>0</v>
      </c>
      <c r="AG24">
        <v>65</v>
      </c>
      <c r="AH24" s="1">
        <v>1152</v>
      </c>
      <c r="AI24">
        <v>119</v>
      </c>
      <c r="AJ24">
        <v>81</v>
      </c>
      <c r="AK24">
        <v>443</v>
      </c>
      <c r="AL24" s="1">
        <v>2104</v>
      </c>
      <c r="AM24">
        <v>2</v>
      </c>
      <c r="AN24">
        <v>202</v>
      </c>
      <c r="AO24" s="1">
        <v>0</v>
      </c>
      <c r="AP24" s="1">
        <v>3636</v>
      </c>
      <c r="AQ24" s="1">
        <v>1776</v>
      </c>
    </row>
    <row r="25" spans="1:43" x14ac:dyDescent="0.3">
      <c r="A25" t="s">
        <v>41</v>
      </c>
      <c r="B25" t="s">
        <v>49</v>
      </c>
      <c r="C25" s="4" t="s">
        <v>43</v>
      </c>
      <c r="D25" s="1">
        <v>193048</v>
      </c>
      <c r="E25">
        <v>3</v>
      </c>
      <c r="F25">
        <v>16</v>
      </c>
      <c r="G25">
        <v>0</v>
      </c>
      <c r="H25" s="1">
        <v>0</v>
      </c>
      <c r="I25" s="1">
        <v>187373</v>
      </c>
      <c r="J25">
        <v>9</v>
      </c>
      <c r="K25">
        <v>87</v>
      </c>
      <c r="L25">
        <v>207</v>
      </c>
      <c r="M25">
        <v>0</v>
      </c>
      <c r="N25">
        <v>292</v>
      </c>
      <c r="O25">
        <v>0</v>
      </c>
      <c r="P25">
        <v>72</v>
      </c>
      <c r="Q25">
        <v>4</v>
      </c>
      <c r="R25">
        <v>13</v>
      </c>
      <c r="S25">
        <v>25</v>
      </c>
      <c r="T25">
        <v>313</v>
      </c>
      <c r="U25">
        <v>0</v>
      </c>
      <c r="V25">
        <v>29</v>
      </c>
      <c r="W25">
        <v>14</v>
      </c>
      <c r="X25">
        <v>0</v>
      </c>
      <c r="Y25">
        <v>17</v>
      </c>
      <c r="Z25">
        <v>0</v>
      </c>
      <c r="AA25">
        <v>0</v>
      </c>
      <c r="AB25">
        <v>51</v>
      </c>
      <c r="AC25">
        <v>205</v>
      </c>
      <c r="AD25" s="1">
        <v>0</v>
      </c>
      <c r="AE25" s="1">
        <v>0</v>
      </c>
      <c r="AF25">
        <v>0</v>
      </c>
      <c r="AG25">
        <v>10</v>
      </c>
      <c r="AH25">
        <v>341</v>
      </c>
      <c r="AI25">
        <v>47</v>
      </c>
      <c r="AJ25">
        <v>46</v>
      </c>
      <c r="AK25">
        <v>129</v>
      </c>
      <c r="AL25">
        <v>347</v>
      </c>
      <c r="AM25">
        <v>1</v>
      </c>
      <c r="AN25">
        <v>22</v>
      </c>
      <c r="AO25" s="1">
        <v>0</v>
      </c>
      <c r="AP25" s="1">
        <v>1599</v>
      </c>
      <c r="AQ25" s="1">
        <v>1776</v>
      </c>
    </row>
    <row r="26" spans="1:43" x14ac:dyDescent="0.3">
      <c r="A26" t="s">
        <v>41</v>
      </c>
      <c r="B26" t="s">
        <v>49</v>
      </c>
      <c r="C26" s="4" t="s">
        <v>44</v>
      </c>
      <c r="D26" s="1">
        <v>427473</v>
      </c>
      <c r="E26">
        <v>2</v>
      </c>
      <c r="F26">
        <v>34</v>
      </c>
      <c r="G26">
        <v>1</v>
      </c>
      <c r="H26" s="1">
        <v>0</v>
      </c>
      <c r="I26" s="1">
        <v>418683</v>
      </c>
      <c r="J26">
        <v>6</v>
      </c>
      <c r="K26">
        <v>37</v>
      </c>
      <c r="L26">
        <v>191</v>
      </c>
      <c r="M26">
        <v>0</v>
      </c>
      <c r="N26" s="1">
        <v>1588</v>
      </c>
      <c r="O26">
        <v>0</v>
      </c>
      <c r="P26">
        <v>620</v>
      </c>
      <c r="Q26">
        <v>0</v>
      </c>
      <c r="R26">
        <v>5</v>
      </c>
      <c r="S26">
        <v>17</v>
      </c>
      <c r="T26">
        <v>129</v>
      </c>
      <c r="U26">
        <v>0</v>
      </c>
      <c r="V26">
        <v>314</v>
      </c>
      <c r="W26">
        <v>9</v>
      </c>
      <c r="X26">
        <v>6</v>
      </c>
      <c r="Y26">
        <v>6</v>
      </c>
      <c r="Z26">
        <v>0</v>
      </c>
      <c r="AA26">
        <v>0</v>
      </c>
      <c r="AB26">
        <v>21</v>
      </c>
      <c r="AC26">
        <v>542</v>
      </c>
      <c r="AD26" s="1">
        <v>0</v>
      </c>
      <c r="AE26" s="1">
        <v>0</v>
      </c>
      <c r="AF26">
        <v>0</v>
      </c>
      <c r="AG26">
        <v>55</v>
      </c>
      <c r="AH26">
        <v>811</v>
      </c>
      <c r="AI26">
        <v>72</v>
      </c>
      <c r="AJ26">
        <v>35</v>
      </c>
      <c r="AK26">
        <v>314</v>
      </c>
      <c r="AL26" s="1">
        <v>1757</v>
      </c>
      <c r="AM26">
        <v>1</v>
      </c>
      <c r="AN26">
        <v>180</v>
      </c>
      <c r="AO26" s="1">
        <v>0</v>
      </c>
      <c r="AP26" s="1">
        <v>2037</v>
      </c>
      <c r="AQ26" s="1">
        <v>0</v>
      </c>
    </row>
    <row r="27" spans="1:43" x14ac:dyDescent="0.3">
      <c r="A27" t="s">
        <v>41</v>
      </c>
      <c r="B27" t="s">
        <v>50</v>
      </c>
      <c r="C27" s="4" t="s">
        <v>40</v>
      </c>
      <c r="D27" s="1">
        <v>400915</v>
      </c>
      <c r="E27">
        <v>284</v>
      </c>
      <c r="F27">
        <v>317</v>
      </c>
      <c r="G27">
        <v>9</v>
      </c>
      <c r="H27" s="1">
        <v>378146</v>
      </c>
      <c r="I27">
        <v>133</v>
      </c>
      <c r="J27">
        <v>22</v>
      </c>
      <c r="K27">
        <v>687</v>
      </c>
      <c r="L27">
        <v>176</v>
      </c>
      <c r="M27">
        <v>2</v>
      </c>
      <c r="N27">
        <v>815</v>
      </c>
      <c r="O27">
        <v>0</v>
      </c>
      <c r="P27">
        <v>162</v>
      </c>
      <c r="Q27">
        <v>20</v>
      </c>
      <c r="R27">
        <v>1</v>
      </c>
      <c r="S27">
        <v>111</v>
      </c>
      <c r="T27">
        <v>412</v>
      </c>
      <c r="U27">
        <v>44</v>
      </c>
      <c r="V27">
        <v>60</v>
      </c>
      <c r="W27">
        <v>20</v>
      </c>
      <c r="X27">
        <v>0</v>
      </c>
      <c r="Y27">
        <v>8</v>
      </c>
      <c r="Z27">
        <v>0</v>
      </c>
      <c r="AA27">
        <v>3</v>
      </c>
      <c r="AB27">
        <v>59</v>
      </c>
      <c r="AC27">
        <v>462</v>
      </c>
      <c r="AD27" s="1">
        <v>0</v>
      </c>
      <c r="AE27" s="1">
        <v>0</v>
      </c>
      <c r="AF27">
        <v>0</v>
      </c>
      <c r="AG27">
        <v>15</v>
      </c>
      <c r="AH27">
        <v>231</v>
      </c>
      <c r="AI27">
        <v>119</v>
      </c>
      <c r="AJ27">
        <v>852</v>
      </c>
      <c r="AK27">
        <v>149</v>
      </c>
      <c r="AL27">
        <v>600</v>
      </c>
      <c r="AM27">
        <v>0</v>
      </c>
      <c r="AN27">
        <v>0</v>
      </c>
      <c r="AO27" s="1">
        <v>0</v>
      </c>
      <c r="AP27" s="1">
        <v>2592</v>
      </c>
      <c r="AQ27" s="1">
        <v>14404</v>
      </c>
    </row>
    <row r="28" spans="1:43" x14ac:dyDescent="0.3">
      <c r="A28" t="s">
        <v>41</v>
      </c>
      <c r="B28" t="s">
        <v>50</v>
      </c>
      <c r="C28" s="4" t="s">
        <v>43</v>
      </c>
      <c r="D28" s="1">
        <v>170965</v>
      </c>
      <c r="E28">
        <v>174</v>
      </c>
      <c r="F28">
        <v>140</v>
      </c>
      <c r="G28">
        <v>0</v>
      </c>
      <c r="H28" s="1">
        <v>152475</v>
      </c>
      <c r="I28">
        <v>74</v>
      </c>
      <c r="J28">
        <v>13</v>
      </c>
      <c r="K28">
        <v>470</v>
      </c>
      <c r="L28">
        <v>131</v>
      </c>
      <c r="M28">
        <v>2</v>
      </c>
      <c r="N28">
        <v>265</v>
      </c>
      <c r="O28">
        <v>0</v>
      </c>
      <c r="P28">
        <v>53</v>
      </c>
      <c r="Q28">
        <v>0</v>
      </c>
      <c r="R28">
        <v>0</v>
      </c>
      <c r="S28">
        <v>100</v>
      </c>
      <c r="T28">
        <v>288</v>
      </c>
      <c r="U28">
        <v>36</v>
      </c>
      <c r="V28">
        <v>6</v>
      </c>
      <c r="W28">
        <v>14</v>
      </c>
      <c r="X28">
        <v>0</v>
      </c>
      <c r="Y28">
        <v>4</v>
      </c>
      <c r="Z28">
        <v>0</v>
      </c>
      <c r="AA28">
        <v>3</v>
      </c>
      <c r="AB28">
        <v>32</v>
      </c>
      <c r="AC28">
        <v>270</v>
      </c>
      <c r="AD28" s="1">
        <v>0</v>
      </c>
      <c r="AE28" s="1">
        <v>0</v>
      </c>
      <c r="AF28">
        <v>0</v>
      </c>
      <c r="AG28">
        <v>12</v>
      </c>
      <c r="AH28">
        <v>104</v>
      </c>
      <c r="AI28">
        <v>25</v>
      </c>
      <c r="AJ28">
        <v>458</v>
      </c>
      <c r="AK28">
        <v>36</v>
      </c>
      <c r="AL28">
        <v>259</v>
      </c>
      <c r="AM28">
        <v>0</v>
      </c>
      <c r="AN28">
        <v>0</v>
      </c>
      <c r="AO28" s="1">
        <v>0</v>
      </c>
      <c r="AP28" s="1">
        <v>1117</v>
      </c>
      <c r="AQ28" s="1">
        <v>14404</v>
      </c>
    </row>
    <row r="29" spans="1:43" x14ac:dyDescent="0.3">
      <c r="A29" t="s">
        <v>41</v>
      </c>
      <c r="B29" t="s">
        <v>50</v>
      </c>
      <c r="C29" s="4" t="s">
        <v>44</v>
      </c>
      <c r="D29" s="1">
        <v>229950</v>
      </c>
      <c r="E29">
        <v>110</v>
      </c>
      <c r="F29">
        <v>177</v>
      </c>
      <c r="G29">
        <v>9</v>
      </c>
      <c r="H29" s="1">
        <v>225671</v>
      </c>
      <c r="I29">
        <v>59</v>
      </c>
      <c r="J29">
        <v>9</v>
      </c>
      <c r="K29">
        <v>217</v>
      </c>
      <c r="L29">
        <v>45</v>
      </c>
      <c r="M29">
        <v>0</v>
      </c>
      <c r="N29">
        <v>550</v>
      </c>
      <c r="O29">
        <v>0</v>
      </c>
      <c r="P29">
        <v>109</v>
      </c>
      <c r="Q29">
        <v>20</v>
      </c>
      <c r="R29">
        <v>1</v>
      </c>
      <c r="S29">
        <v>11</v>
      </c>
      <c r="T29">
        <v>124</v>
      </c>
      <c r="U29">
        <v>8</v>
      </c>
      <c r="V29">
        <v>54</v>
      </c>
      <c r="W29">
        <v>6</v>
      </c>
      <c r="X29">
        <v>0</v>
      </c>
      <c r="Y29">
        <v>4</v>
      </c>
      <c r="Z29">
        <v>0</v>
      </c>
      <c r="AA29">
        <v>0</v>
      </c>
      <c r="AB29">
        <v>27</v>
      </c>
      <c r="AC29">
        <v>192</v>
      </c>
      <c r="AD29" s="1">
        <v>0</v>
      </c>
      <c r="AE29" s="1">
        <v>0</v>
      </c>
      <c r="AF29">
        <v>0</v>
      </c>
      <c r="AG29">
        <v>3</v>
      </c>
      <c r="AH29">
        <v>127</v>
      </c>
      <c r="AI29">
        <v>94</v>
      </c>
      <c r="AJ29">
        <v>394</v>
      </c>
      <c r="AK29">
        <v>113</v>
      </c>
      <c r="AL29">
        <v>341</v>
      </c>
      <c r="AM29">
        <v>0</v>
      </c>
      <c r="AN29">
        <v>0</v>
      </c>
      <c r="AO29" s="1">
        <v>0</v>
      </c>
      <c r="AP29" s="1">
        <v>1475</v>
      </c>
      <c r="AQ29" s="1">
        <v>0</v>
      </c>
    </row>
    <row r="30" spans="1:43" x14ac:dyDescent="0.3">
      <c r="A30" t="s">
        <v>41</v>
      </c>
      <c r="B30" t="s">
        <v>51</v>
      </c>
      <c r="C30" s="4" t="s">
        <v>40</v>
      </c>
      <c r="D30" s="1">
        <v>368863</v>
      </c>
      <c r="E30">
        <v>398</v>
      </c>
      <c r="F30" s="1">
        <v>2201</v>
      </c>
      <c r="G30">
        <v>19</v>
      </c>
      <c r="H30" s="1">
        <v>0</v>
      </c>
      <c r="I30" s="1">
        <v>23294</v>
      </c>
      <c r="J30">
        <v>1</v>
      </c>
      <c r="K30" s="1">
        <v>175951</v>
      </c>
      <c r="L30">
        <v>411</v>
      </c>
      <c r="M30">
        <v>3</v>
      </c>
      <c r="N30" s="1">
        <v>3833</v>
      </c>
      <c r="O30">
        <v>40</v>
      </c>
      <c r="P30">
        <v>710</v>
      </c>
      <c r="Q30">
        <v>0</v>
      </c>
      <c r="R30">
        <v>50</v>
      </c>
      <c r="S30">
        <v>84</v>
      </c>
      <c r="T30">
        <v>86</v>
      </c>
      <c r="U30">
        <v>140</v>
      </c>
      <c r="V30">
        <v>306</v>
      </c>
      <c r="W30">
        <v>29</v>
      </c>
      <c r="X30">
        <v>5</v>
      </c>
      <c r="Y30">
        <v>156</v>
      </c>
      <c r="Z30">
        <v>11</v>
      </c>
      <c r="AA30">
        <v>7</v>
      </c>
      <c r="AB30">
        <v>115</v>
      </c>
      <c r="AC30" s="1">
        <v>4431</v>
      </c>
      <c r="AD30">
        <v>26</v>
      </c>
      <c r="AE30" s="1">
        <v>18396</v>
      </c>
      <c r="AF30" s="1">
        <v>5053</v>
      </c>
      <c r="AG30">
        <v>143</v>
      </c>
      <c r="AH30">
        <v>768</v>
      </c>
      <c r="AI30">
        <v>323</v>
      </c>
      <c r="AJ30">
        <v>823</v>
      </c>
      <c r="AK30">
        <v>456</v>
      </c>
      <c r="AL30" s="1">
        <v>1456</v>
      </c>
      <c r="AM30">
        <v>55</v>
      </c>
      <c r="AN30">
        <v>0</v>
      </c>
      <c r="AO30" s="1">
        <v>0</v>
      </c>
      <c r="AP30">
        <v>939</v>
      </c>
      <c r="AQ30" s="1">
        <v>128144</v>
      </c>
    </row>
    <row r="31" spans="1:43" x14ac:dyDescent="0.3">
      <c r="A31" t="s">
        <v>41</v>
      </c>
      <c r="B31" t="s">
        <v>51</v>
      </c>
      <c r="C31" s="4" t="s">
        <v>43</v>
      </c>
      <c r="D31" s="1">
        <v>243680</v>
      </c>
      <c r="E31">
        <v>190</v>
      </c>
      <c r="F31" s="1">
        <v>1321</v>
      </c>
      <c r="G31">
        <v>0</v>
      </c>
      <c r="H31" s="1">
        <v>0</v>
      </c>
      <c r="I31" s="1">
        <v>20161</v>
      </c>
      <c r="J31" s="1">
        <v>0</v>
      </c>
      <c r="K31" s="1">
        <v>62870</v>
      </c>
      <c r="L31">
        <v>366</v>
      </c>
      <c r="M31" s="1">
        <v>0</v>
      </c>
      <c r="N31" s="1">
        <v>1364</v>
      </c>
      <c r="O31">
        <v>29</v>
      </c>
      <c r="P31">
        <v>217</v>
      </c>
      <c r="Q31">
        <v>0</v>
      </c>
      <c r="R31">
        <v>29</v>
      </c>
      <c r="S31">
        <v>68</v>
      </c>
      <c r="T31">
        <v>39</v>
      </c>
      <c r="U31">
        <v>128</v>
      </c>
      <c r="V31">
        <v>102</v>
      </c>
      <c r="W31">
        <v>18</v>
      </c>
      <c r="X31">
        <v>0</v>
      </c>
      <c r="Y31">
        <v>94</v>
      </c>
      <c r="Z31">
        <v>11</v>
      </c>
      <c r="AA31">
        <v>7</v>
      </c>
      <c r="AB31">
        <v>78</v>
      </c>
      <c r="AC31" s="1">
        <v>3594</v>
      </c>
      <c r="AD31">
        <v>17</v>
      </c>
      <c r="AE31" s="1">
        <v>17918</v>
      </c>
      <c r="AF31" s="1">
        <v>5053</v>
      </c>
      <c r="AG31">
        <v>27</v>
      </c>
      <c r="AH31">
        <v>257</v>
      </c>
      <c r="AI31">
        <v>88</v>
      </c>
      <c r="AJ31">
        <v>694</v>
      </c>
      <c r="AK31">
        <v>178</v>
      </c>
      <c r="AL31">
        <v>199</v>
      </c>
      <c r="AM31">
        <v>28</v>
      </c>
      <c r="AN31">
        <v>0</v>
      </c>
      <c r="AO31" s="1">
        <v>0</v>
      </c>
      <c r="AP31">
        <v>391</v>
      </c>
      <c r="AQ31" s="1">
        <v>128144</v>
      </c>
    </row>
    <row r="32" spans="1:43" x14ac:dyDescent="0.3">
      <c r="A32" t="s">
        <v>41</v>
      </c>
      <c r="B32" t="s">
        <v>51</v>
      </c>
      <c r="C32" s="4" t="s">
        <v>44</v>
      </c>
      <c r="D32" s="1">
        <v>125183</v>
      </c>
      <c r="E32">
        <v>208</v>
      </c>
      <c r="F32">
        <v>880</v>
      </c>
      <c r="G32">
        <v>19</v>
      </c>
      <c r="H32" s="1">
        <v>0</v>
      </c>
      <c r="I32" s="1">
        <v>3133</v>
      </c>
      <c r="J32">
        <v>1</v>
      </c>
      <c r="K32" s="1">
        <v>113081</v>
      </c>
      <c r="L32">
        <v>45</v>
      </c>
      <c r="M32">
        <v>3</v>
      </c>
      <c r="N32" s="1">
        <v>2469</v>
      </c>
      <c r="O32">
        <v>11</v>
      </c>
      <c r="P32">
        <v>493</v>
      </c>
      <c r="Q32">
        <v>0</v>
      </c>
      <c r="R32">
        <v>21</v>
      </c>
      <c r="S32">
        <v>16</v>
      </c>
      <c r="T32">
        <v>47</v>
      </c>
      <c r="U32">
        <v>12</v>
      </c>
      <c r="V32">
        <v>204</v>
      </c>
      <c r="W32">
        <v>11</v>
      </c>
      <c r="X32">
        <v>5</v>
      </c>
      <c r="Y32">
        <v>62</v>
      </c>
      <c r="Z32">
        <v>0</v>
      </c>
      <c r="AA32">
        <v>0</v>
      </c>
      <c r="AB32">
        <v>37</v>
      </c>
      <c r="AC32">
        <v>837</v>
      </c>
      <c r="AD32">
        <v>9</v>
      </c>
      <c r="AE32">
        <v>478</v>
      </c>
      <c r="AF32">
        <v>0</v>
      </c>
      <c r="AG32">
        <v>116</v>
      </c>
      <c r="AH32">
        <v>511</v>
      </c>
      <c r="AI32">
        <v>235</v>
      </c>
      <c r="AJ32">
        <v>129</v>
      </c>
      <c r="AK32">
        <v>278</v>
      </c>
      <c r="AL32" s="1">
        <v>1257</v>
      </c>
      <c r="AM32">
        <v>27</v>
      </c>
      <c r="AN32">
        <v>0</v>
      </c>
      <c r="AO32" s="1">
        <v>0</v>
      </c>
      <c r="AP32">
        <v>548</v>
      </c>
      <c r="AQ32" s="1">
        <v>0</v>
      </c>
    </row>
    <row r="33" spans="1:43" x14ac:dyDescent="0.3">
      <c r="A33" t="s">
        <v>41</v>
      </c>
      <c r="B33" t="s">
        <v>52</v>
      </c>
      <c r="C33" s="4" t="s">
        <v>40</v>
      </c>
      <c r="D33" s="1">
        <v>350693</v>
      </c>
      <c r="E33">
        <v>364</v>
      </c>
      <c r="F33" s="1">
        <v>4489</v>
      </c>
      <c r="G33">
        <v>150</v>
      </c>
      <c r="H33" s="1">
        <v>268234</v>
      </c>
      <c r="I33">
        <v>236</v>
      </c>
      <c r="J33">
        <v>9</v>
      </c>
      <c r="K33" s="1">
        <v>1202</v>
      </c>
      <c r="L33">
        <v>385</v>
      </c>
      <c r="M33">
        <v>0</v>
      </c>
      <c r="N33" s="1">
        <v>1427</v>
      </c>
      <c r="O33">
        <v>24</v>
      </c>
      <c r="P33">
        <v>949</v>
      </c>
      <c r="Q33">
        <v>0</v>
      </c>
      <c r="R33">
        <v>28</v>
      </c>
      <c r="S33">
        <v>19</v>
      </c>
      <c r="T33">
        <v>581</v>
      </c>
      <c r="U33">
        <v>18</v>
      </c>
      <c r="V33">
        <v>97</v>
      </c>
      <c r="W33">
        <v>17</v>
      </c>
      <c r="X33">
        <v>0</v>
      </c>
      <c r="Y33">
        <v>32</v>
      </c>
      <c r="Z33">
        <v>21</v>
      </c>
      <c r="AA33">
        <v>9</v>
      </c>
      <c r="AB33">
        <v>445</v>
      </c>
      <c r="AC33" s="1">
        <v>2601</v>
      </c>
      <c r="AD33">
        <v>918</v>
      </c>
      <c r="AE33" s="1">
        <v>15313</v>
      </c>
      <c r="AF33">
        <v>0</v>
      </c>
      <c r="AG33" s="1">
        <v>1179</v>
      </c>
      <c r="AH33">
        <v>657</v>
      </c>
      <c r="AI33">
        <v>234</v>
      </c>
      <c r="AJ33">
        <v>14</v>
      </c>
      <c r="AK33">
        <v>639</v>
      </c>
      <c r="AL33" s="1">
        <v>13847</v>
      </c>
      <c r="AM33">
        <v>89</v>
      </c>
      <c r="AN33">
        <v>0</v>
      </c>
      <c r="AO33" s="1">
        <v>0</v>
      </c>
      <c r="AP33">
        <v>726</v>
      </c>
      <c r="AQ33" s="1">
        <v>35740</v>
      </c>
    </row>
    <row r="34" spans="1:43" x14ac:dyDescent="0.3">
      <c r="A34" t="s">
        <v>41</v>
      </c>
      <c r="B34" t="s">
        <v>52</v>
      </c>
      <c r="C34" s="4" t="s">
        <v>43</v>
      </c>
      <c r="D34" s="1">
        <v>139687</v>
      </c>
      <c r="E34">
        <v>147</v>
      </c>
      <c r="F34" s="1">
        <v>2376</v>
      </c>
      <c r="G34">
        <v>8</v>
      </c>
      <c r="H34" s="1">
        <v>83217</v>
      </c>
      <c r="I34">
        <v>229</v>
      </c>
      <c r="J34">
        <v>4</v>
      </c>
      <c r="K34">
        <v>455</v>
      </c>
      <c r="L34">
        <v>295</v>
      </c>
      <c r="M34">
        <v>0</v>
      </c>
      <c r="N34">
        <v>302</v>
      </c>
      <c r="O34">
        <v>13</v>
      </c>
      <c r="P34">
        <v>150</v>
      </c>
      <c r="Q34">
        <v>0</v>
      </c>
      <c r="R34">
        <v>28</v>
      </c>
      <c r="S34">
        <v>13</v>
      </c>
      <c r="T34">
        <v>213</v>
      </c>
      <c r="U34">
        <v>8</v>
      </c>
      <c r="V34">
        <v>6</v>
      </c>
      <c r="W34">
        <v>11</v>
      </c>
      <c r="X34">
        <v>0</v>
      </c>
      <c r="Y34">
        <v>17</v>
      </c>
      <c r="Z34">
        <v>21</v>
      </c>
      <c r="AA34">
        <v>9</v>
      </c>
      <c r="AB34">
        <v>176</v>
      </c>
      <c r="AC34" s="1">
        <v>1956</v>
      </c>
      <c r="AD34">
        <v>476</v>
      </c>
      <c r="AE34" s="1">
        <v>12883</v>
      </c>
      <c r="AF34">
        <v>0</v>
      </c>
      <c r="AG34">
        <v>233</v>
      </c>
      <c r="AH34">
        <v>141</v>
      </c>
      <c r="AI34">
        <v>50</v>
      </c>
      <c r="AJ34">
        <v>2</v>
      </c>
      <c r="AK34">
        <v>37</v>
      </c>
      <c r="AL34">
        <v>194</v>
      </c>
      <c r="AM34">
        <v>13</v>
      </c>
      <c r="AN34">
        <v>0</v>
      </c>
      <c r="AO34" s="1">
        <v>0</v>
      </c>
      <c r="AP34">
        <v>264</v>
      </c>
      <c r="AQ34" s="1">
        <v>35740</v>
      </c>
    </row>
    <row r="35" spans="1:43" x14ac:dyDescent="0.3">
      <c r="A35" t="s">
        <v>41</v>
      </c>
      <c r="B35" t="s">
        <v>52</v>
      </c>
      <c r="C35" s="4" t="s">
        <v>44</v>
      </c>
      <c r="D35" s="1">
        <v>211006</v>
      </c>
      <c r="E35">
        <v>217</v>
      </c>
      <c r="F35" s="1">
        <v>2113</v>
      </c>
      <c r="G35">
        <v>142</v>
      </c>
      <c r="H35" s="1">
        <v>185017</v>
      </c>
      <c r="I35">
        <v>7</v>
      </c>
      <c r="J35">
        <v>5</v>
      </c>
      <c r="K35">
        <v>747</v>
      </c>
      <c r="L35">
        <v>90</v>
      </c>
      <c r="M35">
        <v>0</v>
      </c>
      <c r="N35" s="1">
        <v>1125</v>
      </c>
      <c r="O35">
        <v>11</v>
      </c>
      <c r="P35">
        <v>799</v>
      </c>
      <c r="Q35">
        <v>0</v>
      </c>
      <c r="R35">
        <v>0</v>
      </c>
      <c r="S35">
        <v>6</v>
      </c>
      <c r="T35">
        <v>368</v>
      </c>
      <c r="U35">
        <v>10</v>
      </c>
      <c r="V35">
        <v>91</v>
      </c>
      <c r="W35">
        <v>6</v>
      </c>
      <c r="X35">
        <v>0</v>
      </c>
      <c r="Y35">
        <v>15</v>
      </c>
      <c r="Z35">
        <v>0</v>
      </c>
      <c r="AA35">
        <v>0</v>
      </c>
      <c r="AB35">
        <v>269</v>
      </c>
      <c r="AC35">
        <v>645</v>
      </c>
      <c r="AD35">
        <v>442</v>
      </c>
      <c r="AE35" s="1">
        <v>2430</v>
      </c>
      <c r="AF35">
        <v>0</v>
      </c>
      <c r="AG35">
        <v>946</v>
      </c>
      <c r="AH35">
        <v>516</v>
      </c>
      <c r="AI35">
        <v>184</v>
      </c>
      <c r="AJ35">
        <v>12</v>
      </c>
      <c r="AK35">
        <v>602</v>
      </c>
      <c r="AL35" s="1">
        <v>13653</v>
      </c>
      <c r="AM35">
        <v>76</v>
      </c>
      <c r="AN35">
        <v>0</v>
      </c>
      <c r="AO35" s="1">
        <v>0</v>
      </c>
      <c r="AP35">
        <v>462</v>
      </c>
      <c r="AQ35" s="1">
        <v>0</v>
      </c>
    </row>
    <row r="36" spans="1:43" x14ac:dyDescent="0.3">
      <c r="A36" t="s">
        <v>41</v>
      </c>
      <c r="B36" t="s">
        <v>53</v>
      </c>
      <c r="C36" s="4" t="s">
        <v>40</v>
      </c>
      <c r="D36" s="1">
        <v>331058</v>
      </c>
      <c r="E36">
        <v>250</v>
      </c>
      <c r="F36">
        <v>230</v>
      </c>
      <c r="G36">
        <v>4</v>
      </c>
      <c r="H36" s="1">
        <v>293497</v>
      </c>
      <c r="I36">
        <v>466</v>
      </c>
      <c r="J36">
        <v>30</v>
      </c>
      <c r="K36">
        <v>779</v>
      </c>
      <c r="L36">
        <v>345</v>
      </c>
      <c r="M36">
        <v>0</v>
      </c>
      <c r="N36" s="1">
        <v>2480</v>
      </c>
      <c r="O36">
        <v>4</v>
      </c>
      <c r="P36">
        <v>470</v>
      </c>
      <c r="Q36">
        <v>0</v>
      </c>
      <c r="R36">
        <v>9</v>
      </c>
      <c r="S36">
        <v>5</v>
      </c>
      <c r="T36">
        <v>191</v>
      </c>
      <c r="U36">
        <v>589</v>
      </c>
      <c r="V36">
        <v>187</v>
      </c>
      <c r="W36">
        <v>31</v>
      </c>
      <c r="X36">
        <v>0</v>
      </c>
      <c r="Y36">
        <v>75</v>
      </c>
      <c r="Z36">
        <v>69</v>
      </c>
      <c r="AA36">
        <v>41</v>
      </c>
      <c r="AB36">
        <v>65</v>
      </c>
      <c r="AC36" s="1">
        <v>1131</v>
      </c>
      <c r="AD36">
        <v>0</v>
      </c>
      <c r="AE36" s="1">
        <v>0</v>
      </c>
      <c r="AF36">
        <v>0</v>
      </c>
      <c r="AG36">
        <v>31</v>
      </c>
      <c r="AH36">
        <v>492</v>
      </c>
      <c r="AI36">
        <v>223</v>
      </c>
      <c r="AJ36">
        <v>9</v>
      </c>
      <c r="AK36">
        <v>378</v>
      </c>
      <c r="AL36">
        <v>747</v>
      </c>
      <c r="AM36" s="1">
        <v>1208</v>
      </c>
      <c r="AN36">
        <v>0</v>
      </c>
      <c r="AO36" s="1">
        <v>0</v>
      </c>
      <c r="AP36" s="1">
        <v>1846</v>
      </c>
      <c r="AQ36" s="1">
        <v>25176</v>
      </c>
    </row>
    <row r="37" spans="1:43" x14ac:dyDescent="0.3">
      <c r="A37" t="s">
        <v>41</v>
      </c>
      <c r="B37" t="s">
        <v>53</v>
      </c>
      <c r="C37" s="4" t="s">
        <v>43</v>
      </c>
      <c r="D37" s="1">
        <v>142975</v>
      </c>
      <c r="E37">
        <v>147</v>
      </c>
      <c r="F37">
        <v>121</v>
      </c>
      <c r="G37">
        <v>0</v>
      </c>
      <c r="H37" s="1">
        <v>111847</v>
      </c>
      <c r="I37">
        <v>428</v>
      </c>
      <c r="J37">
        <v>18</v>
      </c>
      <c r="K37">
        <v>522</v>
      </c>
      <c r="L37">
        <v>321</v>
      </c>
      <c r="M37">
        <v>0</v>
      </c>
      <c r="N37">
        <v>732</v>
      </c>
      <c r="O37">
        <v>4</v>
      </c>
      <c r="P37">
        <v>142</v>
      </c>
      <c r="Q37">
        <v>0</v>
      </c>
      <c r="R37">
        <v>8</v>
      </c>
      <c r="S37">
        <v>5</v>
      </c>
      <c r="T37">
        <v>108</v>
      </c>
      <c r="U37">
        <v>556</v>
      </c>
      <c r="V37">
        <v>29</v>
      </c>
      <c r="W37">
        <v>4</v>
      </c>
      <c r="X37">
        <v>0</v>
      </c>
      <c r="Y37">
        <v>33</v>
      </c>
      <c r="Z37">
        <v>69</v>
      </c>
      <c r="AA37">
        <v>41</v>
      </c>
      <c r="AB37">
        <v>41</v>
      </c>
      <c r="AC37">
        <v>530</v>
      </c>
      <c r="AD37">
        <v>0</v>
      </c>
      <c r="AE37" s="1">
        <v>0</v>
      </c>
      <c r="AF37">
        <v>0</v>
      </c>
      <c r="AG37">
        <v>13</v>
      </c>
      <c r="AH37">
        <v>134</v>
      </c>
      <c r="AI37">
        <v>101</v>
      </c>
      <c r="AJ37">
        <v>0</v>
      </c>
      <c r="AK37">
        <v>124</v>
      </c>
      <c r="AL37">
        <v>192</v>
      </c>
      <c r="AM37">
        <v>738</v>
      </c>
      <c r="AN37">
        <v>0</v>
      </c>
      <c r="AO37" s="1">
        <v>0</v>
      </c>
      <c r="AP37">
        <v>791</v>
      </c>
      <c r="AQ37" s="1">
        <v>25176</v>
      </c>
    </row>
    <row r="38" spans="1:43" x14ac:dyDescent="0.3">
      <c r="A38" t="s">
        <v>41</v>
      </c>
      <c r="B38" t="s">
        <v>53</v>
      </c>
      <c r="C38" s="4" t="s">
        <v>44</v>
      </c>
      <c r="D38" s="1">
        <v>188083</v>
      </c>
      <c r="E38">
        <v>103</v>
      </c>
      <c r="F38">
        <v>109</v>
      </c>
      <c r="G38">
        <v>4</v>
      </c>
      <c r="H38" s="1">
        <v>181650</v>
      </c>
      <c r="I38">
        <v>38</v>
      </c>
      <c r="J38">
        <v>12</v>
      </c>
      <c r="K38">
        <v>257</v>
      </c>
      <c r="L38">
        <v>24</v>
      </c>
      <c r="M38">
        <v>0</v>
      </c>
      <c r="N38" s="1">
        <v>1748</v>
      </c>
      <c r="O38">
        <v>0</v>
      </c>
      <c r="P38">
        <v>328</v>
      </c>
      <c r="Q38">
        <v>0</v>
      </c>
      <c r="R38">
        <v>1</v>
      </c>
      <c r="S38">
        <v>0</v>
      </c>
      <c r="T38">
        <v>83</v>
      </c>
      <c r="U38">
        <v>33</v>
      </c>
      <c r="V38">
        <v>158</v>
      </c>
      <c r="W38">
        <v>27</v>
      </c>
      <c r="X38">
        <v>0</v>
      </c>
      <c r="Y38">
        <v>42</v>
      </c>
      <c r="Z38">
        <v>0</v>
      </c>
      <c r="AA38">
        <v>0</v>
      </c>
      <c r="AB38">
        <v>24</v>
      </c>
      <c r="AC38">
        <v>601</v>
      </c>
      <c r="AD38">
        <v>0</v>
      </c>
      <c r="AE38" s="1">
        <v>0</v>
      </c>
      <c r="AF38">
        <v>0</v>
      </c>
      <c r="AG38">
        <v>18</v>
      </c>
      <c r="AH38">
        <v>358</v>
      </c>
      <c r="AI38">
        <v>122</v>
      </c>
      <c r="AJ38">
        <v>9</v>
      </c>
      <c r="AK38">
        <v>254</v>
      </c>
      <c r="AL38">
        <v>555</v>
      </c>
      <c r="AM38">
        <v>470</v>
      </c>
      <c r="AN38">
        <v>0</v>
      </c>
      <c r="AO38" s="1">
        <v>0</v>
      </c>
      <c r="AP38" s="1">
        <v>1055</v>
      </c>
      <c r="AQ38" s="1">
        <v>0</v>
      </c>
    </row>
    <row r="39" spans="1:43" x14ac:dyDescent="0.3">
      <c r="A39" t="s">
        <v>41</v>
      </c>
      <c r="B39" t="s">
        <v>54</v>
      </c>
      <c r="C39" s="4" t="s">
        <v>40</v>
      </c>
      <c r="D39" s="1">
        <v>271214</v>
      </c>
      <c r="E39">
        <v>0</v>
      </c>
      <c r="F39">
        <v>0</v>
      </c>
      <c r="G39">
        <v>0</v>
      </c>
      <c r="H39" s="1">
        <v>0</v>
      </c>
      <c r="I39">
        <v>1</v>
      </c>
      <c r="J39">
        <v>0</v>
      </c>
      <c r="K39" s="1">
        <v>4949</v>
      </c>
      <c r="L39">
        <v>0</v>
      </c>
      <c r="M39">
        <v>0</v>
      </c>
      <c r="N39">
        <v>12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s="1">
        <v>0</v>
      </c>
      <c r="AF39">
        <v>0</v>
      </c>
      <c r="AG39">
        <v>7</v>
      </c>
      <c r="AH39">
        <v>10</v>
      </c>
      <c r="AI39">
        <v>0</v>
      </c>
      <c r="AJ39" s="1">
        <v>133853</v>
      </c>
      <c r="AK39" s="1">
        <v>54222</v>
      </c>
      <c r="AL39">
        <v>9</v>
      </c>
      <c r="AM39">
        <v>0</v>
      </c>
      <c r="AN39">
        <v>0</v>
      </c>
      <c r="AO39" s="1">
        <v>77862</v>
      </c>
      <c r="AP39">
        <v>0</v>
      </c>
      <c r="AQ39">
        <v>289</v>
      </c>
    </row>
    <row r="40" spans="1:43" x14ac:dyDescent="0.3">
      <c r="A40" t="s">
        <v>41</v>
      </c>
      <c r="B40" t="s">
        <v>54</v>
      </c>
      <c r="C40" s="4" t="s">
        <v>43</v>
      </c>
      <c r="D40" s="1">
        <v>144777</v>
      </c>
      <c r="E40">
        <v>0</v>
      </c>
      <c r="F40">
        <v>0</v>
      </c>
      <c r="G40">
        <v>0</v>
      </c>
      <c r="H40" s="1">
        <v>0</v>
      </c>
      <c r="I40">
        <v>0</v>
      </c>
      <c r="J40">
        <v>0</v>
      </c>
      <c r="K40" s="1">
        <v>2567</v>
      </c>
      <c r="L40">
        <v>0</v>
      </c>
      <c r="M40">
        <v>0</v>
      </c>
      <c r="N40">
        <v>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s="1">
        <v>0</v>
      </c>
      <c r="AF40">
        <v>0</v>
      </c>
      <c r="AG40">
        <v>4</v>
      </c>
      <c r="AH40">
        <v>0</v>
      </c>
      <c r="AI40">
        <v>0</v>
      </c>
      <c r="AJ40" s="1">
        <v>66665</v>
      </c>
      <c r="AK40" s="1">
        <v>30791</v>
      </c>
      <c r="AL40">
        <v>1</v>
      </c>
      <c r="AM40">
        <v>0</v>
      </c>
      <c r="AN40">
        <v>0</v>
      </c>
      <c r="AO40" s="1">
        <v>44457</v>
      </c>
      <c r="AP40" s="1">
        <v>0</v>
      </c>
      <c r="AQ40">
        <v>289</v>
      </c>
    </row>
    <row r="41" spans="1:43" x14ac:dyDescent="0.3">
      <c r="A41" t="s">
        <v>41</v>
      </c>
      <c r="B41" t="s">
        <v>54</v>
      </c>
      <c r="C41" s="4" t="s">
        <v>44</v>
      </c>
      <c r="D41" s="1">
        <v>126437</v>
      </c>
      <c r="E41">
        <v>0</v>
      </c>
      <c r="F41">
        <v>0</v>
      </c>
      <c r="G41">
        <v>0</v>
      </c>
      <c r="H41" s="1">
        <v>0</v>
      </c>
      <c r="I41">
        <v>1</v>
      </c>
      <c r="J41">
        <v>0</v>
      </c>
      <c r="K41" s="1">
        <v>2382</v>
      </c>
      <c r="L41">
        <v>0</v>
      </c>
      <c r="M41">
        <v>0</v>
      </c>
      <c r="N41">
        <v>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s="1">
        <v>0</v>
      </c>
      <c r="AF41">
        <v>0</v>
      </c>
      <c r="AG41">
        <v>3</v>
      </c>
      <c r="AH41">
        <v>10</v>
      </c>
      <c r="AI41">
        <v>0</v>
      </c>
      <c r="AJ41" s="1">
        <v>67188</v>
      </c>
      <c r="AK41" s="1">
        <v>23431</v>
      </c>
      <c r="AL41">
        <v>8</v>
      </c>
      <c r="AM41">
        <v>0</v>
      </c>
      <c r="AN41">
        <v>0</v>
      </c>
      <c r="AO41" s="1">
        <v>33405</v>
      </c>
      <c r="AP41">
        <v>0</v>
      </c>
      <c r="AQ41" s="1">
        <v>0</v>
      </c>
    </row>
    <row r="42" spans="1:43" x14ac:dyDescent="0.3">
      <c r="A42" t="s">
        <v>41</v>
      </c>
      <c r="B42" t="s">
        <v>55</v>
      </c>
      <c r="C42" s="4" t="s">
        <v>40</v>
      </c>
      <c r="D42" s="1">
        <v>201962</v>
      </c>
      <c r="E42">
        <v>278</v>
      </c>
      <c r="F42">
        <v>702</v>
      </c>
      <c r="G42">
        <v>10</v>
      </c>
      <c r="H42" s="1">
        <v>0</v>
      </c>
      <c r="I42" s="1">
        <v>22684</v>
      </c>
      <c r="J42">
        <v>3</v>
      </c>
      <c r="K42" s="1">
        <v>67349</v>
      </c>
      <c r="L42">
        <v>751</v>
      </c>
      <c r="M42">
        <v>3</v>
      </c>
      <c r="N42" s="1">
        <v>2220</v>
      </c>
      <c r="O42">
        <v>4</v>
      </c>
      <c r="P42">
        <v>613</v>
      </c>
      <c r="Q42">
        <v>16</v>
      </c>
      <c r="R42">
        <v>52</v>
      </c>
      <c r="S42">
        <v>262</v>
      </c>
      <c r="T42">
        <v>921</v>
      </c>
      <c r="U42">
        <v>524</v>
      </c>
      <c r="V42">
        <v>145</v>
      </c>
      <c r="W42">
        <v>449</v>
      </c>
      <c r="X42">
        <v>2</v>
      </c>
      <c r="Y42" s="1">
        <v>1798</v>
      </c>
      <c r="Z42">
        <v>32</v>
      </c>
      <c r="AA42">
        <v>16</v>
      </c>
      <c r="AB42">
        <v>13</v>
      </c>
      <c r="AC42" s="1">
        <v>3321</v>
      </c>
      <c r="AD42">
        <v>0</v>
      </c>
      <c r="AE42" s="1">
        <v>0</v>
      </c>
      <c r="AF42">
        <v>0</v>
      </c>
      <c r="AG42">
        <v>127</v>
      </c>
      <c r="AH42">
        <v>954</v>
      </c>
      <c r="AI42" s="1">
        <v>2031</v>
      </c>
      <c r="AJ42">
        <v>1</v>
      </c>
      <c r="AK42">
        <v>870</v>
      </c>
      <c r="AL42">
        <v>423</v>
      </c>
      <c r="AM42" s="1">
        <v>2241</v>
      </c>
      <c r="AN42">
        <v>0</v>
      </c>
      <c r="AO42" s="1">
        <v>0</v>
      </c>
      <c r="AP42">
        <v>401</v>
      </c>
      <c r="AQ42" s="1">
        <v>92746</v>
      </c>
    </row>
    <row r="43" spans="1:43" x14ac:dyDescent="0.3">
      <c r="A43" t="s">
        <v>41</v>
      </c>
      <c r="B43" t="s">
        <v>55</v>
      </c>
      <c r="C43" s="4" t="s">
        <v>43</v>
      </c>
      <c r="D43" s="1">
        <v>171211</v>
      </c>
      <c r="E43">
        <v>145</v>
      </c>
      <c r="F43">
        <v>531</v>
      </c>
      <c r="G43">
        <v>1</v>
      </c>
      <c r="H43" s="1">
        <v>0</v>
      </c>
      <c r="I43" s="1">
        <v>21205</v>
      </c>
      <c r="J43">
        <v>2</v>
      </c>
      <c r="K43" s="1">
        <v>43668</v>
      </c>
      <c r="L43">
        <v>670</v>
      </c>
      <c r="M43">
        <v>1</v>
      </c>
      <c r="N43">
        <v>901</v>
      </c>
      <c r="O43">
        <v>4</v>
      </c>
      <c r="P43">
        <v>303</v>
      </c>
      <c r="Q43">
        <v>11</v>
      </c>
      <c r="R43">
        <v>37</v>
      </c>
      <c r="S43">
        <v>250</v>
      </c>
      <c r="T43">
        <v>857</v>
      </c>
      <c r="U43">
        <v>515</v>
      </c>
      <c r="V43">
        <v>72</v>
      </c>
      <c r="W43">
        <v>382</v>
      </c>
      <c r="X43">
        <v>0</v>
      </c>
      <c r="Y43" s="1">
        <v>1475</v>
      </c>
      <c r="Z43">
        <v>31</v>
      </c>
      <c r="AA43">
        <v>16</v>
      </c>
      <c r="AB43">
        <v>0</v>
      </c>
      <c r="AC43" s="1">
        <v>3044</v>
      </c>
      <c r="AD43">
        <v>0</v>
      </c>
      <c r="AE43" s="1">
        <v>0</v>
      </c>
      <c r="AF43">
        <v>0</v>
      </c>
      <c r="AG43">
        <v>53</v>
      </c>
      <c r="AH43">
        <v>469</v>
      </c>
      <c r="AI43">
        <v>535</v>
      </c>
      <c r="AJ43">
        <v>1</v>
      </c>
      <c r="AK43">
        <v>723</v>
      </c>
      <c r="AL43">
        <v>312</v>
      </c>
      <c r="AM43" s="1">
        <v>2057</v>
      </c>
      <c r="AN43">
        <v>0</v>
      </c>
      <c r="AO43" s="1">
        <v>0</v>
      </c>
      <c r="AP43">
        <v>194</v>
      </c>
      <c r="AQ43" s="1">
        <v>92746</v>
      </c>
    </row>
    <row r="44" spans="1:43" x14ac:dyDescent="0.3">
      <c r="A44" t="s">
        <v>41</v>
      </c>
      <c r="B44" t="s">
        <v>55</v>
      </c>
      <c r="C44" s="4" t="s">
        <v>44</v>
      </c>
      <c r="D44" s="1">
        <v>30751</v>
      </c>
      <c r="E44">
        <v>133</v>
      </c>
      <c r="F44">
        <v>171</v>
      </c>
      <c r="G44">
        <v>9</v>
      </c>
      <c r="H44" s="1">
        <v>0</v>
      </c>
      <c r="I44" s="1">
        <v>1479</v>
      </c>
      <c r="J44">
        <v>1</v>
      </c>
      <c r="K44" s="1">
        <v>23681</v>
      </c>
      <c r="L44">
        <v>81</v>
      </c>
      <c r="M44">
        <v>2</v>
      </c>
      <c r="N44" s="1">
        <v>1319</v>
      </c>
      <c r="O44">
        <v>0</v>
      </c>
      <c r="P44">
        <v>310</v>
      </c>
      <c r="Q44">
        <v>5</v>
      </c>
      <c r="R44">
        <v>15</v>
      </c>
      <c r="S44">
        <v>12</v>
      </c>
      <c r="T44">
        <v>64</v>
      </c>
      <c r="U44">
        <v>9</v>
      </c>
      <c r="V44">
        <v>73</v>
      </c>
      <c r="W44">
        <v>67</v>
      </c>
      <c r="X44">
        <v>2</v>
      </c>
      <c r="Y44">
        <v>323</v>
      </c>
      <c r="Z44">
        <v>1</v>
      </c>
      <c r="AA44">
        <v>0</v>
      </c>
      <c r="AB44">
        <v>13</v>
      </c>
      <c r="AC44">
        <v>277</v>
      </c>
      <c r="AD44">
        <v>0</v>
      </c>
      <c r="AE44" s="1">
        <v>0</v>
      </c>
      <c r="AF44">
        <v>0</v>
      </c>
      <c r="AG44">
        <v>74</v>
      </c>
      <c r="AH44">
        <v>485</v>
      </c>
      <c r="AI44" s="1">
        <v>1496</v>
      </c>
      <c r="AJ44" s="1">
        <v>0</v>
      </c>
      <c r="AK44">
        <v>147</v>
      </c>
      <c r="AL44">
        <v>111</v>
      </c>
      <c r="AM44">
        <v>184</v>
      </c>
      <c r="AN44">
        <v>0</v>
      </c>
      <c r="AO44" s="1">
        <v>0</v>
      </c>
      <c r="AP44">
        <v>207</v>
      </c>
      <c r="AQ44" s="1">
        <v>0</v>
      </c>
    </row>
    <row r="45" spans="1:43" x14ac:dyDescent="0.3">
      <c r="A45" t="s">
        <v>41</v>
      </c>
      <c r="B45" t="s">
        <v>56</v>
      </c>
      <c r="C45" s="4" t="s">
        <v>40</v>
      </c>
      <c r="D45" s="1">
        <v>176080</v>
      </c>
      <c r="E45" s="1">
        <v>2002</v>
      </c>
      <c r="F45" s="1">
        <v>2825</v>
      </c>
      <c r="G45">
        <v>15</v>
      </c>
      <c r="H45" s="1">
        <v>0</v>
      </c>
      <c r="I45" s="1">
        <v>8123</v>
      </c>
      <c r="J45">
        <v>5</v>
      </c>
      <c r="K45" s="1">
        <v>120405</v>
      </c>
      <c r="L45">
        <v>276</v>
      </c>
      <c r="M45">
        <v>4</v>
      </c>
      <c r="N45" s="1">
        <v>14693</v>
      </c>
      <c r="O45">
        <v>0</v>
      </c>
      <c r="P45" s="1">
        <v>7129</v>
      </c>
      <c r="Q45">
        <v>0</v>
      </c>
      <c r="R45">
        <v>102</v>
      </c>
      <c r="S45">
        <v>47</v>
      </c>
      <c r="T45">
        <v>477</v>
      </c>
      <c r="U45">
        <v>327</v>
      </c>
      <c r="V45" s="1">
        <v>2032</v>
      </c>
      <c r="W45">
        <v>15</v>
      </c>
      <c r="X45">
        <v>1</v>
      </c>
      <c r="Y45">
        <v>65</v>
      </c>
      <c r="Z45">
        <v>0</v>
      </c>
      <c r="AA45">
        <v>0</v>
      </c>
      <c r="AB45">
        <v>130</v>
      </c>
      <c r="AC45">
        <v>901</v>
      </c>
      <c r="AD45" s="1">
        <v>1107</v>
      </c>
      <c r="AE45" s="1">
        <v>3055</v>
      </c>
      <c r="AF45">
        <v>0</v>
      </c>
      <c r="AG45" s="1">
        <v>1392</v>
      </c>
      <c r="AH45" s="1">
        <v>2158</v>
      </c>
      <c r="AI45" s="1">
        <v>1787</v>
      </c>
      <c r="AJ45">
        <v>4</v>
      </c>
      <c r="AK45" s="1">
        <v>1132</v>
      </c>
      <c r="AL45" s="1">
        <v>2441</v>
      </c>
      <c r="AM45" s="1">
        <v>1201</v>
      </c>
      <c r="AN45" s="1">
        <v>0</v>
      </c>
      <c r="AO45" s="1">
        <v>0</v>
      </c>
      <c r="AP45" s="1">
        <v>1953</v>
      </c>
      <c r="AQ45">
        <v>276</v>
      </c>
    </row>
    <row r="46" spans="1:43" x14ac:dyDescent="0.3">
      <c r="A46" t="s">
        <v>41</v>
      </c>
      <c r="B46" t="s">
        <v>56</v>
      </c>
      <c r="C46" s="4" t="s">
        <v>43</v>
      </c>
      <c r="D46" s="1">
        <v>72133</v>
      </c>
      <c r="E46" s="1">
        <v>1079</v>
      </c>
      <c r="F46" s="1">
        <v>1602</v>
      </c>
      <c r="G46" s="1">
        <v>0</v>
      </c>
      <c r="H46" s="1">
        <v>0</v>
      </c>
      <c r="I46" s="1">
        <v>3337</v>
      </c>
      <c r="J46">
        <v>4</v>
      </c>
      <c r="K46" s="1">
        <v>49515</v>
      </c>
      <c r="L46">
        <v>198</v>
      </c>
      <c r="M46">
        <v>1</v>
      </c>
      <c r="N46" s="1">
        <v>4332</v>
      </c>
      <c r="O46">
        <v>0</v>
      </c>
      <c r="P46" s="1">
        <v>3165</v>
      </c>
      <c r="Q46">
        <v>0</v>
      </c>
      <c r="R46">
        <v>77</v>
      </c>
      <c r="S46">
        <v>34</v>
      </c>
      <c r="T46">
        <v>323</v>
      </c>
      <c r="U46">
        <v>111</v>
      </c>
      <c r="V46">
        <v>550</v>
      </c>
      <c r="W46">
        <v>3</v>
      </c>
      <c r="X46">
        <v>1</v>
      </c>
      <c r="Y46">
        <v>20</v>
      </c>
      <c r="Z46">
        <v>0</v>
      </c>
      <c r="AA46">
        <v>0</v>
      </c>
      <c r="AB46">
        <v>82</v>
      </c>
      <c r="AC46">
        <v>441</v>
      </c>
      <c r="AD46">
        <v>543</v>
      </c>
      <c r="AE46" s="1">
        <v>2404</v>
      </c>
      <c r="AF46">
        <v>0</v>
      </c>
      <c r="AG46">
        <v>474</v>
      </c>
      <c r="AH46">
        <v>832</v>
      </c>
      <c r="AI46">
        <v>950</v>
      </c>
      <c r="AJ46">
        <v>0</v>
      </c>
      <c r="AK46">
        <v>220</v>
      </c>
      <c r="AL46">
        <v>277</v>
      </c>
      <c r="AM46">
        <v>634</v>
      </c>
      <c r="AN46">
        <v>0</v>
      </c>
      <c r="AO46" s="1">
        <v>0</v>
      </c>
      <c r="AP46">
        <v>648</v>
      </c>
      <c r="AQ46">
        <v>276</v>
      </c>
    </row>
    <row r="47" spans="1:43" x14ac:dyDescent="0.3">
      <c r="A47" t="s">
        <v>41</v>
      </c>
      <c r="B47" t="s">
        <v>56</v>
      </c>
      <c r="C47" s="4" t="s">
        <v>44</v>
      </c>
      <c r="D47" s="1">
        <v>103947</v>
      </c>
      <c r="E47">
        <v>923</v>
      </c>
      <c r="F47" s="1">
        <v>1223</v>
      </c>
      <c r="G47">
        <v>15</v>
      </c>
      <c r="H47" s="1">
        <v>0</v>
      </c>
      <c r="I47" s="1">
        <v>4786</v>
      </c>
      <c r="J47">
        <v>1</v>
      </c>
      <c r="K47" s="1">
        <v>70890</v>
      </c>
      <c r="L47">
        <v>78</v>
      </c>
      <c r="M47">
        <v>3</v>
      </c>
      <c r="N47" s="1">
        <v>10361</v>
      </c>
      <c r="O47">
        <v>0</v>
      </c>
      <c r="P47" s="1">
        <v>3964</v>
      </c>
      <c r="Q47">
        <v>0</v>
      </c>
      <c r="R47">
        <v>25</v>
      </c>
      <c r="S47">
        <v>13</v>
      </c>
      <c r="T47">
        <v>154</v>
      </c>
      <c r="U47">
        <v>216</v>
      </c>
      <c r="V47" s="1">
        <v>1482</v>
      </c>
      <c r="W47">
        <v>12</v>
      </c>
      <c r="X47">
        <v>0</v>
      </c>
      <c r="Y47">
        <v>45</v>
      </c>
      <c r="Z47">
        <v>0</v>
      </c>
      <c r="AA47">
        <v>0</v>
      </c>
      <c r="AB47">
        <v>48</v>
      </c>
      <c r="AC47">
        <v>460</v>
      </c>
      <c r="AD47">
        <v>564</v>
      </c>
      <c r="AE47">
        <v>651</v>
      </c>
      <c r="AF47">
        <v>0</v>
      </c>
      <c r="AG47">
        <v>918</v>
      </c>
      <c r="AH47" s="1">
        <v>1326</v>
      </c>
      <c r="AI47">
        <v>837</v>
      </c>
      <c r="AJ47">
        <v>4</v>
      </c>
      <c r="AK47">
        <v>912</v>
      </c>
      <c r="AL47" s="1">
        <v>2164</v>
      </c>
      <c r="AM47">
        <v>567</v>
      </c>
      <c r="AN47">
        <v>0</v>
      </c>
      <c r="AO47" s="1">
        <v>0</v>
      </c>
      <c r="AP47" s="1">
        <v>1305</v>
      </c>
      <c r="AQ47" s="1">
        <v>0</v>
      </c>
    </row>
    <row r="48" spans="1:43" x14ac:dyDescent="0.3">
      <c r="A48" t="s">
        <v>41</v>
      </c>
      <c r="B48" t="s">
        <v>57</v>
      </c>
      <c r="C48" s="4" t="s">
        <v>40</v>
      </c>
      <c r="D48" s="1">
        <v>87135</v>
      </c>
      <c r="E48">
        <v>57</v>
      </c>
      <c r="F48">
        <v>267</v>
      </c>
      <c r="G48">
        <v>10</v>
      </c>
      <c r="H48" s="1">
        <v>0</v>
      </c>
      <c r="I48" s="1">
        <v>11332</v>
      </c>
      <c r="J48">
        <v>0</v>
      </c>
      <c r="K48" s="1">
        <v>7080</v>
      </c>
      <c r="L48">
        <v>13</v>
      </c>
      <c r="M48" s="1">
        <v>0</v>
      </c>
      <c r="N48" s="1">
        <v>2810</v>
      </c>
      <c r="O48">
        <v>1</v>
      </c>
      <c r="P48" s="1">
        <v>3209</v>
      </c>
      <c r="Q48" s="1">
        <v>0</v>
      </c>
      <c r="R48">
        <v>67</v>
      </c>
      <c r="S48" s="1">
        <v>0</v>
      </c>
      <c r="T48">
        <v>23</v>
      </c>
      <c r="U48">
        <v>16</v>
      </c>
      <c r="V48">
        <v>228</v>
      </c>
      <c r="W48">
        <v>0</v>
      </c>
      <c r="X48">
        <v>0</v>
      </c>
      <c r="Y48">
        <v>23</v>
      </c>
      <c r="Z48">
        <v>0</v>
      </c>
      <c r="AA48">
        <v>0</v>
      </c>
      <c r="AB48">
        <v>3</v>
      </c>
      <c r="AC48" s="1">
        <v>1327</v>
      </c>
      <c r="AD48">
        <v>14</v>
      </c>
      <c r="AE48" s="1">
        <v>8221</v>
      </c>
      <c r="AF48" s="1">
        <v>1238</v>
      </c>
      <c r="AG48">
        <v>55</v>
      </c>
      <c r="AH48">
        <v>218</v>
      </c>
      <c r="AI48">
        <v>406</v>
      </c>
      <c r="AJ48">
        <v>0</v>
      </c>
      <c r="AK48">
        <v>84</v>
      </c>
      <c r="AL48">
        <v>408</v>
      </c>
      <c r="AM48" s="1">
        <v>1641</v>
      </c>
      <c r="AN48">
        <v>0</v>
      </c>
      <c r="AO48" s="1">
        <v>0</v>
      </c>
      <c r="AP48">
        <v>2</v>
      </c>
      <c r="AQ48" s="1">
        <v>48382</v>
      </c>
    </row>
    <row r="49" spans="1:43" x14ac:dyDescent="0.3">
      <c r="A49" t="s">
        <v>41</v>
      </c>
      <c r="B49" t="s">
        <v>57</v>
      </c>
      <c r="C49" s="4" t="s">
        <v>43</v>
      </c>
      <c r="D49" s="1">
        <v>76437</v>
      </c>
      <c r="E49">
        <v>34</v>
      </c>
      <c r="F49">
        <v>125</v>
      </c>
      <c r="G49">
        <v>1</v>
      </c>
      <c r="H49" s="1">
        <v>0</v>
      </c>
      <c r="I49" s="1">
        <v>11284</v>
      </c>
      <c r="J49">
        <v>0</v>
      </c>
      <c r="K49" s="1">
        <v>2352</v>
      </c>
      <c r="L49">
        <v>10</v>
      </c>
      <c r="M49" s="1">
        <v>0</v>
      </c>
      <c r="N49">
        <v>588</v>
      </c>
      <c r="O49">
        <v>1</v>
      </c>
      <c r="P49" s="1">
        <v>1133</v>
      </c>
      <c r="Q49">
        <v>0</v>
      </c>
      <c r="R49">
        <v>44</v>
      </c>
      <c r="S49">
        <v>0</v>
      </c>
      <c r="T49">
        <v>10</v>
      </c>
      <c r="U49">
        <v>8</v>
      </c>
      <c r="V49">
        <v>43</v>
      </c>
      <c r="W49">
        <v>0</v>
      </c>
      <c r="X49">
        <v>0</v>
      </c>
      <c r="Y49">
        <v>10</v>
      </c>
      <c r="Z49">
        <v>0</v>
      </c>
      <c r="AA49">
        <v>0</v>
      </c>
      <c r="AB49">
        <v>0</v>
      </c>
      <c r="AC49" s="1">
        <v>1227</v>
      </c>
      <c r="AD49">
        <v>7</v>
      </c>
      <c r="AE49" s="1">
        <v>8210</v>
      </c>
      <c r="AF49" s="1">
        <v>1238</v>
      </c>
      <c r="AG49">
        <v>6</v>
      </c>
      <c r="AH49">
        <v>78</v>
      </c>
      <c r="AI49">
        <v>46</v>
      </c>
      <c r="AJ49">
        <v>0</v>
      </c>
      <c r="AK49">
        <v>20</v>
      </c>
      <c r="AL49">
        <v>95</v>
      </c>
      <c r="AM49" s="1">
        <v>1485</v>
      </c>
      <c r="AN49">
        <v>0</v>
      </c>
      <c r="AO49" s="1">
        <v>0</v>
      </c>
      <c r="AP49" s="1">
        <v>0</v>
      </c>
      <c r="AQ49" s="1">
        <v>48382</v>
      </c>
    </row>
    <row r="50" spans="1:43" x14ac:dyDescent="0.3">
      <c r="A50" t="s">
        <v>41</v>
      </c>
      <c r="B50" t="s">
        <v>57</v>
      </c>
      <c r="C50" s="4" t="s">
        <v>44</v>
      </c>
      <c r="D50" s="1">
        <v>10698</v>
      </c>
      <c r="E50">
        <v>23</v>
      </c>
      <c r="F50">
        <v>142</v>
      </c>
      <c r="G50">
        <v>9</v>
      </c>
      <c r="H50" s="1">
        <v>0</v>
      </c>
      <c r="I50">
        <v>48</v>
      </c>
      <c r="J50">
        <v>0</v>
      </c>
      <c r="K50" s="1">
        <v>4728</v>
      </c>
      <c r="L50">
        <v>3</v>
      </c>
      <c r="M50">
        <v>0</v>
      </c>
      <c r="N50" s="1">
        <v>2222</v>
      </c>
      <c r="O50">
        <v>0</v>
      </c>
      <c r="P50" s="1">
        <v>2076</v>
      </c>
      <c r="Q50">
        <v>0</v>
      </c>
      <c r="R50">
        <v>23</v>
      </c>
      <c r="S50">
        <v>0</v>
      </c>
      <c r="T50">
        <v>13</v>
      </c>
      <c r="U50">
        <v>8</v>
      </c>
      <c r="V50">
        <v>185</v>
      </c>
      <c r="W50">
        <v>0</v>
      </c>
      <c r="X50">
        <v>0</v>
      </c>
      <c r="Y50">
        <v>13</v>
      </c>
      <c r="Z50">
        <v>0</v>
      </c>
      <c r="AA50">
        <v>0</v>
      </c>
      <c r="AB50">
        <v>3</v>
      </c>
      <c r="AC50">
        <v>100</v>
      </c>
      <c r="AD50">
        <v>7</v>
      </c>
      <c r="AE50">
        <v>11</v>
      </c>
      <c r="AF50">
        <v>0</v>
      </c>
      <c r="AG50">
        <v>49</v>
      </c>
      <c r="AH50">
        <v>140</v>
      </c>
      <c r="AI50">
        <v>360</v>
      </c>
      <c r="AJ50">
        <v>0</v>
      </c>
      <c r="AK50">
        <v>64</v>
      </c>
      <c r="AL50">
        <v>313</v>
      </c>
      <c r="AM50">
        <v>156</v>
      </c>
      <c r="AN50">
        <v>0</v>
      </c>
      <c r="AO50" s="1">
        <v>0</v>
      </c>
      <c r="AP50">
        <v>2</v>
      </c>
      <c r="AQ50" s="1">
        <v>0</v>
      </c>
    </row>
    <row r="51" spans="1:43" x14ac:dyDescent="0.3">
      <c r="A51" t="s">
        <v>41</v>
      </c>
      <c r="B51" t="s">
        <v>58</v>
      </c>
      <c r="C51" s="4" t="s">
        <v>40</v>
      </c>
      <c r="D51" s="1">
        <v>75883</v>
      </c>
      <c r="E51">
        <v>208</v>
      </c>
      <c r="F51">
        <v>38</v>
      </c>
      <c r="G51">
        <v>4</v>
      </c>
      <c r="H51" s="1">
        <v>0</v>
      </c>
      <c r="I51" s="1">
        <v>0</v>
      </c>
      <c r="J51">
        <v>4</v>
      </c>
      <c r="K51" s="1">
        <v>14740</v>
      </c>
      <c r="L51">
        <v>17</v>
      </c>
      <c r="M51">
        <v>2</v>
      </c>
      <c r="N51" s="1">
        <v>14275</v>
      </c>
      <c r="O51">
        <v>21</v>
      </c>
      <c r="P51" s="1">
        <v>1506</v>
      </c>
      <c r="Q51">
        <v>0</v>
      </c>
      <c r="R51" s="1">
        <v>0</v>
      </c>
      <c r="S51">
        <v>7</v>
      </c>
      <c r="T51">
        <v>393</v>
      </c>
      <c r="U51">
        <v>148</v>
      </c>
      <c r="V51" s="1">
        <v>1689</v>
      </c>
      <c r="W51">
        <v>36</v>
      </c>
      <c r="X51">
        <v>9</v>
      </c>
      <c r="Y51">
        <v>11</v>
      </c>
      <c r="Z51">
        <v>0</v>
      </c>
      <c r="AA51">
        <v>0</v>
      </c>
      <c r="AB51">
        <v>36</v>
      </c>
      <c r="AC51" s="1">
        <v>2202</v>
      </c>
      <c r="AD51">
        <v>102</v>
      </c>
      <c r="AE51" s="1">
        <v>9903</v>
      </c>
      <c r="AF51">
        <v>0</v>
      </c>
      <c r="AG51" s="1">
        <v>2212</v>
      </c>
      <c r="AH51" s="1">
        <v>1543</v>
      </c>
      <c r="AI51">
        <v>379</v>
      </c>
      <c r="AJ51" s="1">
        <v>13160</v>
      </c>
      <c r="AK51" s="1">
        <v>2386</v>
      </c>
      <c r="AL51" s="1">
        <v>1634</v>
      </c>
      <c r="AM51">
        <v>684</v>
      </c>
      <c r="AN51" s="1">
        <v>0</v>
      </c>
      <c r="AO51" s="1">
        <v>3687</v>
      </c>
      <c r="AP51" s="1">
        <v>0</v>
      </c>
      <c r="AQ51" s="1">
        <v>4847</v>
      </c>
    </row>
    <row r="52" spans="1:43" x14ac:dyDescent="0.3">
      <c r="A52" t="s">
        <v>41</v>
      </c>
      <c r="B52" t="s">
        <v>58</v>
      </c>
      <c r="C52" s="4" t="s">
        <v>43</v>
      </c>
      <c r="D52" s="1">
        <v>52496</v>
      </c>
      <c r="E52">
        <v>144</v>
      </c>
      <c r="F52">
        <v>23</v>
      </c>
      <c r="G52">
        <v>0</v>
      </c>
      <c r="H52" s="1">
        <v>0</v>
      </c>
      <c r="I52" s="1">
        <v>0</v>
      </c>
      <c r="J52">
        <v>4</v>
      </c>
      <c r="K52" s="1">
        <v>9193</v>
      </c>
      <c r="L52">
        <v>11</v>
      </c>
      <c r="M52" s="1">
        <v>0</v>
      </c>
      <c r="N52" s="1">
        <v>11364</v>
      </c>
      <c r="O52">
        <v>21</v>
      </c>
      <c r="P52" s="1">
        <v>1288</v>
      </c>
      <c r="Q52" s="1">
        <v>0</v>
      </c>
      <c r="R52" s="1">
        <v>0</v>
      </c>
      <c r="S52">
        <v>7</v>
      </c>
      <c r="T52">
        <v>365</v>
      </c>
      <c r="U52">
        <v>139</v>
      </c>
      <c r="V52" s="1">
        <v>1470</v>
      </c>
      <c r="W52">
        <v>21</v>
      </c>
      <c r="X52">
        <v>1</v>
      </c>
      <c r="Y52">
        <v>8</v>
      </c>
      <c r="Z52">
        <v>0</v>
      </c>
      <c r="AA52">
        <v>0</v>
      </c>
      <c r="AB52">
        <v>29</v>
      </c>
      <c r="AC52" s="1">
        <v>2095</v>
      </c>
      <c r="AD52">
        <v>79</v>
      </c>
      <c r="AE52" s="1">
        <v>9751</v>
      </c>
      <c r="AF52">
        <v>0</v>
      </c>
      <c r="AG52">
        <v>948</v>
      </c>
      <c r="AH52">
        <v>870</v>
      </c>
      <c r="AI52">
        <v>156</v>
      </c>
      <c r="AJ52" s="1">
        <v>5868</v>
      </c>
      <c r="AK52" s="1">
        <v>1098</v>
      </c>
      <c r="AL52">
        <v>295</v>
      </c>
      <c r="AM52">
        <v>625</v>
      </c>
      <c r="AN52">
        <v>0</v>
      </c>
      <c r="AO52" s="1">
        <v>1776</v>
      </c>
      <c r="AP52">
        <v>0</v>
      </c>
      <c r="AQ52" s="1">
        <v>4847</v>
      </c>
    </row>
    <row r="53" spans="1:43" x14ac:dyDescent="0.3">
      <c r="A53" t="s">
        <v>41</v>
      </c>
      <c r="B53" t="s">
        <v>58</v>
      </c>
      <c r="C53" s="4" t="s">
        <v>44</v>
      </c>
      <c r="D53" s="1">
        <v>23387</v>
      </c>
      <c r="E53">
        <v>64</v>
      </c>
      <c r="F53">
        <v>15</v>
      </c>
      <c r="G53">
        <v>4</v>
      </c>
      <c r="H53" s="1">
        <v>0</v>
      </c>
      <c r="I53" s="1">
        <v>0</v>
      </c>
      <c r="J53">
        <v>0</v>
      </c>
      <c r="K53" s="1">
        <v>5547</v>
      </c>
      <c r="L53">
        <v>6</v>
      </c>
      <c r="M53">
        <v>2</v>
      </c>
      <c r="N53" s="1">
        <v>2911</v>
      </c>
      <c r="O53">
        <v>0</v>
      </c>
      <c r="P53">
        <v>218</v>
      </c>
      <c r="Q53">
        <v>0</v>
      </c>
      <c r="R53">
        <v>0</v>
      </c>
      <c r="S53">
        <v>0</v>
      </c>
      <c r="T53">
        <v>28</v>
      </c>
      <c r="U53">
        <v>9</v>
      </c>
      <c r="V53">
        <v>219</v>
      </c>
      <c r="W53">
        <v>15</v>
      </c>
      <c r="X53">
        <v>8</v>
      </c>
      <c r="Y53">
        <v>3</v>
      </c>
      <c r="Z53">
        <v>0</v>
      </c>
      <c r="AA53">
        <v>0</v>
      </c>
      <c r="AB53">
        <v>7</v>
      </c>
      <c r="AC53">
        <v>107</v>
      </c>
      <c r="AD53">
        <v>23</v>
      </c>
      <c r="AE53">
        <v>152</v>
      </c>
      <c r="AF53">
        <v>0</v>
      </c>
      <c r="AG53" s="1">
        <v>1264</v>
      </c>
      <c r="AH53">
        <v>673</v>
      </c>
      <c r="AI53">
        <v>223</v>
      </c>
      <c r="AJ53" s="1">
        <v>7292</v>
      </c>
      <c r="AK53" s="1">
        <v>1288</v>
      </c>
      <c r="AL53" s="1">
        <v>1339</v>
      </c>
      <c r="AM53">
        <v>59</v>
      </c>
      <c r="AN53" s="1">
        <v>0</v>
      </c>
      <c r="AO53" s="1">
        <v>1911</v>
      </c>
      <c r="AP53" s="1">
        <v>0</v>
      </c>
      <c r="AQ53" s="1">
        <v>0</v>
      </c>
    </row>
    <row r="54" spans="1:43" x14ac:dyDescent="0.3">
      <c r="A54" t="s">
        <v>41</v>
      </c>
      <c r="B54" t="s">
        <v>59</v>
      </c>
      <c r="C54" s="4" t="s">
        <v>40</v>
      </c>
      <c r="D54" s="1">
        <v>68790</v>
      </c>
      <c r="E54">
        <v>209</v>
      </c>
      <c r="F54">
        <v>123</v>
      </c>
      <c r="G54">
        <v>9</v>
      </c>
      <c r="H54" s="1">
        <v>41587</v>
      </c>
      <c r="I54">
        <v>7</v>
      </c>
      <c r="J54">
        <v>0</v>
      </c>
      <c r="K54" s="1">
        <v>1063</v>
      </c>
      <c r="L54">
        <v>53</v>
      </c>
      <c r="M54">
        <v>1</v>
      </c>
      <c r="N54" s="1">
        <v>2665</v>
      </c>
      <c r="O54">
        <v>0</v>
      </c>
      <c r="P54">
        <v>584</v>
      </c>
      <c r="Q54">
        <v>4</v>
      </c>
      <c r="R54">
        <v>0</v>
      </c>
      <c r="S54">
        <v>16</v>
      </c>
      <c r="T54">
        <v>119</v>
      </c>
      <c r="U54">
        <v>10</v>
      </c>
      <c r="V54">
        <v>133</v>
      </c>
      <c r="W54">
        <v>11</v>
      </c>
      <c r="X54">
        <v>15</v>
      </c>
      <c r="Y54">
        <v>15</v>
      </c>
      <c r="Z54">
        <v>0</v>
      </c>
      <c r="AA54">
        <v>0</v>
      </c>
      <c r="AB54">
        <v>26</v>
      </c>
      <c r="AC54">
        <v>241</v>
      </c>
      <c r="AD54">
        <v>1</v>
      </c>
      <c r="AE54" s="1">
        <v>0</v>
      </c>
      <c r="AF54">
        <v>0</v>
      </c>
      <c r="AG54" s="1">
        <v>1832</v>
      </c>
      <c r="AH54">
        <v>511</v>
      </c>
      <c r="AI54">
        <v>160</v>
      </c>
      <c r="AJ54" s="1">
        <v>8237</v>
      </c>
      <c r="AK54">
        <v>531</v>
      </c>
      <c r="AL54">
        <v>717</v>
      </c>
      <c r="AM54" s="1">
        <v>1816</v>
      </c>
      <c r="AN54">
        <v>0</v>
      </c>
      <c r="AO54" s="1">
        <v>2536</v>
      </c>
      <c r="AP54">
        <v>874</v>
      </c>
      <c r="AQ54" s="1">
        <v>4684</v>
      </c>
    </row>
    <row r="55" spans="1:43" x14ac:dyDescent="0.3">
      <c r="A55" t="s">
        <v>41</v>
      </c>
      <c r="B55" t="s">
        <v>59</v>
      </c>
      <c r="C55" s="4" t="s">
        <v>43</v>
      </c>
      <c r="D55" s="1">
        <v>29016</v>
      </c>
      <c r="E55">
        <v>107</v>
      </c>
      <c r="F55">
        <v>71</v>
      </c>
      <c r="G55">
        <v>0</v>
      </c>
      <c r="H55" s="1">
        <v>15267</v>
      </c>
      <c r="I55">
        <v>5</v>
      </c>
      <c r="J55">
        <v>0</v>
      </c>
      <c r="K55">
        <v>398</v>
      </c>
      <c r="L55">
        <v>24</v>
      </c>
      <c r="M55">
        <v>0</v>
      </c>
      <c r="N55">
        <v>729</v>
      </c>
      <c r="O55">
        <v>0</v>
      </c>
      <c r="P55">
        <v>122</v>
      </c>
      <c r="Q55">
        <v>4</v>
      </c>
      <c r="R55">
        <v>0</v>
      </c>
      <c r="S55">
        <v>16</v>
      </c>
      <c r="T55">
        <v>87</v>
      </c>
      <c r="U55">
        <v>10</v>
      </c>
      <c r="V55">
        <v>18</v>
      </c>
      <c r="W55">
        <v>2</v>
      </c>
      <c r="X55">
        <v>0</v>
      </c>
      <c r="Y55">
        <v>5</v>
      </c>
      <c r="Z55">
        <v>0</v>
      </c>
      <c r="AA55">
        <v>0</v>
      </c>
      <c r="AB55">
        <v>18</v>
      </c>
      <c r="AC55">
        <v>53</v>
      </c>
      <c r="AD55">
        <v>0</v>
      </c>
      <c r="AE55" s="1">
        <v>0</v>
      </c>
      <c r="AF55">
        <v>0</v>
      </c>
      <c r="AG55">
        <v>754</v>
      </c>
      <c r="AH55">
        <v>175</v>
      </c>
      <c r="AI55">
        <v>59</v>
      </c>
      <c r="AJ55" s="1">
        <v>3618</v>
      </c>
      <c r="AK55">
        <v>267</v>
      </c>
      <c r="AL55">
        <v>51</v>
      </c>
      <c r="AM55">
        <v>961</v>
      </c>
      <c r="AN55" s="1">
        <v>0</v>
      </c>
      <c r="AO55" s="1">
        <v>1249</v>
      </c>
      <c r="AP55">
        <v>262</v>
      </c>
      <c r="AQ55" s="1">
        <v>4684</v>
      </c>
    </row>
    <row r="56" spans="1:43" x14ac:dyDescent="0.3">
      <c r="A56" t="s">
        <v>41</v>
      </c>
      <c r="B56" t="s">
        <v>59</v>
      </c>
      <c r="C56" s="4" t="s">
        <v>44</v>
      </c>
      <c r="D56" s="1">
        <v>39774</v>
      </c>
      <c r="E56">
        <v>102</v>
      </c>
      <c r="F56">
        <v>52</v>
      </c>
      <c r="G56">
        <v>9</v>
      </c>
      <c r="H56" s="1">
        <v>26320</v>
      </c>
      <c r="I56">
        <v>2</v>
      </c>
      <c r="J56">
        <v>0</v>
      </c>
      <c r="K56">
        <v>665</v>
      </c>
      <c r="L56">
        <v>29</v>
      </c>
      <c r="M56">
        <v>1</v>
      </c>
      <c r="N56" s="1">
        <v>1936</v>
      </c>
      <c r="O56">
        <v>0</v>
      </c>
      <c r="P56">
        <v>462</v>
      </c>
      <c r="Q56">
        <v>0</v>
      </c>
      <c r="R56">
        <v>0</v>
      </c>
      <c r="S56">
        <v>0</v>
      </c>
      <c r="T56">
        <v>32</v>
      </c>
      <c r="U56">
        <v>0</v>
      </c>
      <c r="V56">
        <v>115</v>
      </c>
      <c r="W56">
        <v>9</v>
      </c>
      <c r="X56">
        <v>15</v>
      </c>
      <c r="Y56">
        <v>10</v>
      </c>
      <c r="Z56">
        <v>0</v>
      </c>
      <c r="AA56">
        <v>0</v>
      </c>
      <c r="AB56">
        <v>8</v>
      </c>
      <c r="AC56">
        <v>188</v>
      </c>
      <c r="AD56">
        <v>1</v>
      </c>
      <c r="AE56" s="1">
        <v>0</v>
      </c>
      <c r="AF56">
        <v>0</v>
      </c>
      <c r="AG56" s="1">
        <v>1078</v>
      </c>
      <c r="AH56">
        <v>336</v>
      </c>
      <c r="AI56">
        <v>101</v>
      </c>
      <c r="AJ56" s="1">
        <v>4619</v>
      </c>
      <c r="AK56">
        <v>264</v>
      </c>
      <c r="AL56">
        <v>666</v>
      </c>
      <c r="AM56">
        <v>855</v>
      </c>
      <c r="AN56">
        <v>0</v>
      </c>
      <c r="AO56" s="1">
        <v>1287</v>
      </c>
      <c r="AP56">
        <v>612</v>
      </c>
      <c r="AQ56" s="1">
        <v>0</v>
      </c>
    </row>
    <row r="57" spans="1:43" x14ac:dyDescent="0.3">
      <c r="A57" t="s">
        <v>41</v>
      </c>
      <c r="B57" t="s">
        <v>60</v>
      </c>
      <c r="C57" s="4" t="s">
        <v>40</v>
      </c>
      <c r="D57" s="1">
        <v>61436</v>
      </c>
      <c r="E57">
        <v>277</v>
      </c>
      <c r="F57">
        <v>259</v>
      </c>
      <c r="G57">
        <v>8</v>
      </c>
      <c r="H57" s="1">
        <v>44732</v>
      </c>
      <c r="I57">
        <v>694</v>
      </c>
      <c r="J57">
        <v>0</v>
      </c>
      <c r="K57">
        <v>27</v>
      </c>
      <c r="L57">
        <v>53</v>
      </c>
      <c r="M57">
        <v>0</v>
      </c>
      <c r="N57">
        <v>931</v>
      </c>
      <c r="O57">
        <v>0</v>
      </c>
      <c r="P57">
        <v>434</v>
      </c>
      <c r="Q57">
        <v>0</v>
      </c>
      <c r="R57">
        <v>8</v>
      </c>
      <c r="S57">
        <v>39</v>
      </c>
      <c r="T57">
        <v>101</v>
      </c>
      <c r="U57">
        <v>55</v>
      </c>
      <c r="V57">
        <v>54</v>
      </c>
      <c r="W57">
        <v>22</v>
      </c>
      <c r="X57">
        <v>4</v>
      </c>
      <c r="Y57">
        <v>25</v>
      </c>
      <c r="Z57">
        <v>0</v>
      </c>
      <c r="AA57">
        <v>0</v>
      </c>
      <c r="AB57">
        <v>80</v>
      </c>
      <c r="AC57">
        <v>179</v>
      </c>
      <c r="AD57">
        <v>0</v>
      </c>
      <c r="AE57" s="1">
        <v>0</v>
      </c>
      <c r="AF57">
        <v>0</v>
      </c>
      <c r="AG57">
        <v>20</v>
      </c>
      <c r="AH57">
        <v>218</v>
      </c>
      <c r="AI57">
        <v>101</v>
      </c>
      <c r="AJ57">
        <v>13</v>
      </c>
      <c r="AK57">
        <v>51</v>
      </c>
      <c r="AL57">
        <v>659</v>
      </c>
      <c r="AM57">
        <v>639</v>
      </c>
      <c r="AN57" s="1">
        <v>0</v>
      </c>
      <c r="AO57" s="1">
        <v>0</v>
      </c>
      <c r="AP57">
        <v>625</v>
      </c>
      <c r="AQ57" s="1">
        <v>11128</v>
      </c>
    </row>
    <row r="58" spans="1:43" x14ac:dyDescent="0.3">
      <c r="A58" t="s">
        <v>41</v>
      </c>
      <c r="B58" t="s">
        <v>60</v>
      </c>
      <c r="C58" s="4" t="s">
        <v>43</v>
      </c>
      <c r="D58" s="1">
        <v>34802</v>
      </c>
      <c r="E58">
        <v>138</v>
      </c>
      <c r="F58">
        <v>155</v>
      </c>
      <c r="G58">
        <v>2</v>
      </c>
      <c r="H58" s="1">
        <v>20777</v>
      </c>
      <c r="I58">
        <v>655</v>
      </c>
      <c r="J58">
        <v>0</v>
      </c>
      <c r="K58">
        <v>15</v>
      </c>
      <c r="L58">
        <v>35</v>
      </c>
      <c r="M58">
        <v>0</v>
      </c>
      <c r="N58">
        <v>212</v>
      </c>
      <c r="O58">
        <v>0</v>
      </c>
      <c r="P58">
        <v>84</v>
      </c>
      <c r="Q58">
        <v>0</v>
      </c>
      <c r="R58">
        <v>8</v>
      </c>
      <c r="S58">
        <v>26</v>
      </c>
      <c r="T58">
        <v>95</v>
      </c>
      <c r="U58">
        <v>55</v>
      </c>
      <c r="V58">
        <v>6</v>
      </c>
      <c r="W58">
        <v>14</v>
      </c>
      <c r="X58">
        <v>0</v>
      </c>
      <c r="Y58">
        <v>16</v>
      </c>
      <c r="Z58">
        <v>0</v>
      </c>
      <c r="AA58">
        <v>0</v>
      </c>
      <c r="AB58">
        <v>64</v>
      </c>
      <c r="AC58">
        <v>105</v>
      </c>
      <c r="AD58">
        <v>0</v>
      </c>
      <c r="AE58" s="1">
        <v>0</v>
      </c>
      <c r="AF58">
        <v>0</v>
      </c>
      <c r="AG58">
        <v>5</v>
      </c>
      <c r="AH58">
        <v>73</v>
      </c>
      <c r="AI58">
        <v>34</v>
      </c>
      <c r="AJ58">
        <v>8</v>
      </c>
      <c r="AK58">
        <v>26</v>
      </c>
      <c r="AL58">
        <v>215</v>
      </c>
      <c r="AM58">
        <v>596</v>
      </c>
      <c r="AN58">
        <v>0</v>
      </c>
      <c r="AO58" s="1">
        <v>0</v>
      </c>
      <c r="AP58">
        <v>255</v>
      </c>
      <c r="AQ58" s="1">
        <v>11128</v>
      </c>
    </row>
    <row r="59" spans="1:43" x14ac:dyDescent="0.3">
      <c r="A59" t="s">
        <v>41</v>
      </c>
      <c r="B59" t="s">
        <v>60</v>
      </c>
      <c r="C59" s="4" t="s">
        <v>44</v>
      </c>
      <c r="D59" s="1">
        <v>26634</v>
      </c>
      <c r="E59">
        <v>139</v>
      </c>
      <c r="F59">
        <v>104</v>
      </c>
      <c r="G59">
        <v>6</v>
      </c>
      <c r="H59" s="1">
        <v>23955</v>
      </c>
      <c r="I59">
        <v>39</v>
      </c>
      <c r="J59">
        <v>0</v>
      </c>
      <c r="K59">
        <v>12</v>
      </c>
      <c r="L59">
        <v>18</v>
      </c>
      <c r="M59">
        <v>0</v>
      </c>
      <c r="N59">
        <v>719</v>
      </c>
      <c r="O59">
        <v>0</v>
      </c>
      <c r="P59">
        <v>350</v>
      </c>
      <c r="Q59">
        <v>0</v>
      </c>
      <c r="R59">
        <v>0</v>
      </c>
      <c r="S59">
        <v>13</v>
      </c>
      <c r="T59">
        <v>6</v>
      </c>
      <c r="U59">
        <v>0</v>
      </c>
      <c r="V59">
        <v>48</v>
      </c>
      <c r="W59">
        <v>8</v>
      </c>
      <c r="X59">
        <v>4</v>
      </c>
      <c r="Y59">
        <v>9</v>
      </c>
      <c r="Z59">
        <v>0</v>
      </c>
      <c r="AA59">
        <v>0</v>
      </c>
      <c r="AB59">
        <v>16</v>
      </c>
      <c r="AC59">
        <v>74</v>
      </c>
      <c r="AD59">
        <v>0</v>
      </c>
      <c r="AE59" s="1">
        <v>0</v>
      </c>
      <c r="AF59">
        <v>0</v>
      </c>
      <c r="AG59">
        <v>15</v>
      </c>
      <c r="AH59">
        <v>145</v>
      </c>
      <c r="AI59">
        <v>67</v>
      </c>
      <c r="AJ59">
        <v>5</v>
      </c>
      <c r="AK59">
        <v>25</v>
      </c>
      <c r="AL59">
        <v>444</v>
      </c>
      <c r="AM59">
        <v>43</v>
      </c>
      <c r="AN59" s="1">
        <v>0</v>
      </c>
      <c r="AO59" s="1">
        <v>0</v>
      </c>
      <c r="AP59">
        <v>370</v>
      </c>
      <c r="AQ59" s="1">
        <v>0</v>
      </c>
    </row>
    <row r="60" spans="1:43" x14ac:dyDescent="0.3">
      <c r="A60" t="s">
        <v>41</v>
      </c>
      <c r="B60" t="s">
        <v>61</v>
      </c>
      <c r="C60" s="4" t="s">
        <v>40</v>
      </c>
      <c r="D60" s="1">
        <v>56788</v>
      </c>
      <c r="E60">
        <v>336</v>
      </c>
      <c r="F60" s="1">
        <v>1088</v>
      </c>
      <c r="G60">
        <v>0</v>
      </c>
      <c r="H60" s="1">
        <v>0</v>
      </c>
      <c r="I60">
        <v>654</v>
      </c>
      <c r="J60" s="1">
        <v>0</v>
      </c>
      <c r="K60" s="1">
        <v>14797</v>
      </c>
      <c r="L60">
        <v>3</v>
      </c>
      <c r="M60" s="1">
        <v>0</v>
      </c>
      <c r="N60">
        <v>530</v>
      </c>
      <c r="O60" s="1">
        <v>0</v>
      </c>
      <c r="P60">
        <v>188</v>
      </c>
      <c r="Q60" s="1">
        <v>0</v>
      </c>
      <c r="R60">
        <v>20</v>
      </c>
      <c r="S60">
        <v>8</v>
      </c>
      <c r="T60">
        <v>21</v>
      </c>
      <c r="U60">
        <v>5</v>
      </c>
      <c r="V60">
        <v>41</v>
      </c>
      <c r="W60">
        <v>0</v>
      </c>
      <c r="X60">
        <v>0</v>
      </c>
      <c r="Y60">
        <v>15</v>
      </c>
      <c r="Z60">
        <v>0</v>
      </c>
      <c r="AA60">
        <v>0</v>
      </c>
      <c r="AB60">
        <v>0</v>
      </c>
      <c r="AC60" s="1">
        <v>2537</v>
      </c>
      <c r="AD60" s="1">
        <v>7803</v>
      </c>
      <c r="AE60" s="1">
        <v>22792</v>
      </c>
      <c r="AF60" s="1">
        <v>0</v>
      </c>
      <c r="AG60" s="1">
        <v>1763</v>
      </c>
      <c r="AH60">
        <v>170</v>
      </c>
      <c r="AI60">
        <v>176</v>
      </c>
      <c r="AJ60">
        <v>40</v>
      </c>
      <c r="AK60">
        <v>144</v>
      </c>
      <c r="AL60" s="1">
        <v>2676</v>
      </c>
      <c r="AM60">
        <v>5</v>
      </c>
      <c r="AN60">
        <v>0</v>
      </c>
      <c r="AO60" s="1">
        <v>0</v>
      </c>
      <c r="AP60">
        <v>19</v>
      </c>
      <c r="AQ60">
        <v>957</v>
      </c>
    </row>
    <row r="61" spans="1:43" x14ac:dyDescent="0.3">
      <c r="A61" t="s">
        <v>41</v>
      </c>
      <c r="B61" t="s">
        <v>61</v>
      </c>
      <c r="C61" s="4" t="s">
        <v>43</v>
      </c>
      <c r="D61" s="1">
        <v>36277</v>
      </c>
      <c r="E61">
        <v>228</v>
      </c>
      <c r="F61">
        <v>813</v>
      </c>
      <c r="G61">
        <v>0</v>
      </c>
      <c r="H61" s="1">
        <v>0</v>
      </c>
      <c r="I61">
        <v>276</v>
      </c>
      <c r="J61">
        <v>0</v>
      </c>
      <c r="K61" s="1">
        <v>6586</v>
      </c>
      <c r="L61">
        <v>2</v>
      </c>
      <c r="M61">
        <v>0</v>
      </c>
      <c r="N61">
        <v>277</v>
      </c>
      <c r="O61">
        <v>0</v>
      </c>
      <c r="P61">
        <v>91</v>
      </c>
      <c r="Q61">
        <v>0</v>
      </c>
      <c r="R61">
        <v>20</v>
      </c>
      <c r="S61">
        <v>3</v>
      </c>
      <c r="T61">
        <v>21</v>
      </c>
      <c r="U61">
        <v>0</v>
      </c>
      <c r="V61">
        <v>18</v>
      </c>
      <c r="W61">
        <v>0</v>
      </c>
      <c r="X61">
        <v>0</v>
      </c>
      <c r="Y61">
        <v>11</v>
      </c>
      <c r="Z61">
        <v>0</v>
      </c>
      <c r="AA61">
        <v>0</v>
      </c>
      <c r="AB61">
        <v>0</v>
      </c>
      <c r="AC61" s="1">
        <v>2293</v>
      </c>
      <c r="AD61" s="1">
        <v>5192</v>
      </c>
      <c r="AE61" s="1">
        <v>17948</v>
      </c>
      <c r="AF61" s="1">
        <v>0</v>
      </c>
      <c r="AG61">
        <v>624</v>
      </c>
      <c r="AH61">
        <v>92</v>
      </c>
      <c r="AI61">
        <v>29</v>
      </c>
      <c r="AJ61">
        <v>37</v>
      </c>
      <c r="AK61">
        <v>74</v>
      </c>
      <c r="AL61">
        <v>675</v>
      </c>
      <c r="AM61">
        <v>1</v>
      </c>
      <c r="AN61" s="1">
        <v>0</v>
      </c>
      <c r="AO61" s="1">
        <v>0</v>
      </c>
      <c r="AP61">
        <v>9</v>
      </c>
      <c r="AQ61">
        <v>957</v>
      </c>
    </row>
    <row r="62" spans="1:43" x14ac:dyDescent="0.3">
      <c r="A62" t="s">
        <v>41</v>
      </c>
      <c r="B62" t="s">
        <v>61</v>
      </c>
      <c r="C62" s="4" t="s">
        <v>44</v>
      </c>
      <c r="D62" s="1">
        <v>20511</v>
      </c>
      <c r="E62">
        <v>108</v>
      </c>
      <c r="F62">
        <v>275</v>
      </c>
      <c r="G62">
        <v>0</v>
      </c>
      <c r="H62" s="1">
        <v>0</v>
      </c>
      <c r="I62">
        <v>378</v>
      </c>
      <c r="J62">
        <v>0</v>
      </c>
      <c r="K62" s="1">
        <v>8211</v>
      </c>
      <c r="L62">
        <v>1</v>
      </c>
      <c r="M62">
        <v>0</v>
      </c>
      <c r="N62">
        <v>253</v>
      </c>
      <c r="O62">
        <v>0</v>
      </c>
      <c r="P62">
        <v>97</v>
      </c>
      <c r="Q62">
        <v>0</v>
      </c>
      <c r="R62">
        <v>0</v>
      </c>
      <c r="S62">
        <v>5</v>
      </c>
      <c r="T62">
        <v>0</v>
      </c>
      <c r="U62">
        <v>5</v>
      </c>
      <c r="V62">
        <v>23</v>
      </c>
      <c r="W62">
        <v>0</v>
      </c>
      <c r="X62">
        <v>0</v>
      </c>
      <c r="Y62">
        <v>4</v>
      </c>
      <c r="Z62">
        <v>0</v>
      </c>
      <c r="AA62">
        <v>0</v>
      </c>
      <c r="AB62">
        <v>0</v>
      </c>
      <c r="AC62">
        <v>244</v>
      </c>
      <c r="AD62" s="1">
        <v>2611</v>
      </c>
      <c r="AE62" s="1">
        <v>4844</v>
      </c>
      <c r="AF62">
        <v>0</v>
      </c>
      <c r="AG62" s="1">
        <v>1139</v>
      </c>
      <c r="AH62">
        <v>78</v>
      </c>
      <c r="AI62">
        <v>147</v>
      </c>
      <c r="AJ62">
        <v>3</v>
      </c>
      <c r="AK62">
        <v>70</v>
      </c>
      <c r="AL62" s="1">
        <v>2001</v>
      </c>
      <c r="AM62">
        <v>4</v>
      </c>
      <c r="AN62">
        <v>0</v>
      </c>
      <c r="AO62" s="1">
        <v>0</v>
      </c>
      <c r="AP62">
        <v>10</v>
      </c>
      <c r="AQ62" s="1">
        <v>0</v>
      </c>
    </row>
    <row r="63" spans="1:43" x14ac:dyDescent="0.3">
      <c r="A63" t="s">
        <v>41</v>
      </c>
      <c r="B63" t="s">
        <v>62</v>
      </c>
      <c r="C63" s="4" t="s">
        <v>40</v>
      </c>
      <c r="D63" s="1">
        <v>52293</v>
      </c>
      <c r="E63">
        <v>13</v>
      </c>
      <c r="F63">
        <v>313</v>
      </c>
      <c r="G63">
        <v>7</v>
      </c>
      <c r="H63" s="1">
        <v>0</v>
      </c>
      <c r="I63">
        <v>87</v>
      </c>
      <c r="J63">
        <v>0</v>
      </c>
      <c r="K63" s="1">
        <v>3485</v>
      </c>
      <c r="L63">
        <v>20</v>
      </c>
      <c r="M63">
        <v>0</v>
      </c>
      <c r="N63" s="1">
        <v>8296</v>
      </c>
      <c r="O63">
        <v>0</v>
      </c>
      <c r="P63" s="1">
        <v>1021</v>
      </c>
      <c r="Q63">
        <v>0</v>
      </c>
      <c r="R63">
        <v>50</v>
      </c>
      <c r="S63">
        <v>0</v>
      </c>
      <c r="T63">
        <v>79</v>
      </c>
      <c r="U63">
        <v>16</v>
      </c>
      <c r="V63">
        <v>202</v>
      </c>
      <c r="W63">
        <v>21</v>
      </c>
      <c r="X63">
        <v>0</v>
      </c>
      <c r="Y63">
        <v>70</v>
      </c>
      <c r="Z63">
        <v>0</v>
      </c>
      <c r="AA63">
        <v>0</v>
      </c>
      <c r="AB63">
        <v>0</v>
      </c>
      <c r="AC63" s="1">
        <v>3942</v>
      </c>
      <c r="AD63">
        <v>315</v>
      </c>
      <c r="AE63" s="1">
        <v>25645</v>
      </c>
      <c r="AF63">
        <v>0</v>
      </c>
      <c r="AG63">
        <v>210</v>
      </c>
      <c r="AH63">
        <v>290</v>
      </c>
      <c r="AI63">
        <v>481</v>
      </c>
      <c r="AJ63">
        <v>0</v>
      </c>
      <c r="AK63">
        <v>210</v>
      </c>
      <c r="AL63">
        <v>312</v>
      </c>
      <c r="AM63">
        <v>69</v>
      </c>
      <c r="AN63" s="1">
        <v>0</v>
      </c>
      <c r="AO63" s="1">
        <v>0</v>
      </c>
      <c r="AP63">
        <v>8</v>
      </c>
      <c r="AQ63" s="1">
        <v>7131</v>
      </c>
    </row>
    <row r="64" spans="1:43" x14ac:dyDescent="0.3">
      <c r="A64" t="s">
        <v>41</v>
      </c>
      <c r="B64" t="s">
        <v>62</v>
      </c>
      <c r="C64" s="4" t="s">
        <v>43</v>
      </c>
      <c r="D64" s="1">
        <v>43760</v>
      </c>
      <c r="E64">
        <v>7</v>
      </c>
      <c r="F64">
        <v>235</v>
      </c>
      <c r="G64">
        <v>2</v>
      </c>
      <c r="H64" s="1">
        <v>0</v>
      </c>
      <c r="I64">
        <v>85</v>
      </c>
      <c r="J64">
        <v>0</v>
      </c>
      <c r="K64" s="1">
        <v>1934</v>
      </c>
      <c r="L64">
        <v>16</v>
      </c>
      <c r="M64">
        <v>0</v>
      </c>
      <c r="N64" s="1">
        <v>4919</v>
      </c>
      <c r="O64">
        <v>0</v>
      </c>
      <c r="P64">
        <v>507</v>
      </c>
      <c r="Q64">
        <v>0</v>
      </c>
      <c r="R64">
        <v>42</v>
      </c>
      <c r="S64">
        <v>0</v>
      </c>
      <c r="T64">
        <v>74</v>
      </c>
      <c r="U64">
        <v>13</v>
      </c>
      <c r="V64">
        <v>130</v>
      </c>
      <c r="W64">
        <v>17</v>
      </c>
      <c r="X64">
        <v>0</v>
      </c>
      <c r="Y64">
        <v>63</v>
      </c>
      <c r="Z64">
        <v>0</v>
      </c>
      <c r="AA64">
        <v>0</v>
      </c>
      <c r="AB64">
        <v>0</v>
      </c>
      <c r="AC64" s="1">
        <v>3840</v>
      </c>
      <c r="AD64">
        <v>214</v>
      </c>
      <c r="AE64" s="1">
        <v>23879</v>
      </c>
      <c r="AF64">
        <v>0</v>
      </c>
      <c r="AG64">
        <v>70</v>
      </c>
      <c r="AH64">
        <v>177</v>
      </c>
      <c r="AI64">
        <v>62</v>
      </c>
      <c r="AJ64">
        <v>0</v>
      </c>
      <c r="AK64">
        <v>162</v>
      </c>
      <c r="AL64">
        <v>112</v>
      </c>
      <c r="AM64">
        <v>66</v>
      </c>
      <c r="AN64">
        <v>0</v>
      </c>
      <c r="AO64" s="1">
        <v>0</v>
      </c>
      <c r="AP64">
        <v>3</v>
      </c>
      <c r="AQ64" s="1">
        <v>7131</v>
      </c>
    </row>
    <row r="65" spans="1:43" x14ac:dyDescent="0.3">
      <c r="A65" t="s">
        <v>41</v>
      </c>
      <c r="B65" t="s">
        <v>62</v>
      </c>
      <c r="C65" s="4" t="s">
        <v>44</v>
      </c>
      <c r="D65" s="1">
        <v>8533</v>
      </c>
      <c r="E65">
        <v>6</v>
      </c>
      <c r="F65">
        <v>78</v>
      </c>
      <c r="G65">
        <v>5</v>
      </c>
      <c r="H65" s="1">
        <v>0</v>
      </c>
      <c r="I65">
        <v>2</v>
      </c>
      <c r="J65">
        <v>0</v>
      </c>
      <c r="K65" s="1">
        <v>1551</v>
      </c>
      <c r="L65">
        <v>4</v>
      </c>
      <c r="M65">
        <v>0</v>
      </c>
      <c r="N65" s="1">
        <v>3377</v>
      </c>
      <c r="O65">
        <v>0</v>
      </c>
      <c r="P65">
        <v>514</v>
      </c>
      <c r="Q65">
        <v>0</v>
      </c>
      <c r="R65">
        <v>8</v>
      </c>
      <c r="S65">
        <v>0</v>
      </c>
      <c r="T65">
        <v>5</v>
      </c>
      <c r="U65">
        <v>3</v>
      </c>
      <c r="V65">
        <v>72</v>
      </c>
      <c r="W65">
        <v>4</v>
      </c>
      <c r="X65">
        <v>0</v>
      </c>
      <c r="Y65">
        <v>7</v>
      </c>
      <c r="Z65">
        <v>0</v>
      </c>
      <c r="AA65">
        <v>0</v>
      </c>
      <c r="AB65">
        <v>0</v>
      </c>
      <c r="AC65">
        <v>102</v>
      </c>
      <c r="AD65">
        <v>101</v>
      </c>
      <c r="AE65" s="1">
        <v>1766</v>
      </c>
      <c r="AF65">
        <v>0</v>
      </c>
      <c r="AG65">
        <v>140</v>
      </c>
      <c r="AH65">
        <v>113</v>
      </c>
      <c r="AI65">
        <v>419</v>
      </c>
      <c r="AJ65">
        <v>0</v>
      </c>
      <c r="AK65">
        <v>48</v>
      </c>
      <c r="AL65">
        <v>200</v>
      </c>
      <c r="AM65">
        <v>3</v>
      </c>
      <c r="AN65" s="1">
        <v>0</v>
      </c>
      <c r="AO65" s="1">
        <v>0</v>
      </c>
      <c r="AP65">
        <v>5</v>
      </c>
      <c r="AQ65" s="1">
        <v>0</v>
      </c>
    </row>
    <row r="66" spans="1:43" x14ac:dyDescent="0.3">
      <c r="A66" t="s">
        <v>41</v>
      </c>
      <c r="B66" t="s">
        <v>63</v>
      </c>
      <c r="C66" s="4" t="s">
        <v>40</v>
      </c>
      <c r="D66" s="1">
        <v>45575</v>
      </c>
      <c r="E66">
        <v>0</v>
      </c>
      <c r="F66">
        <v>0</v>
      </c>
      <c r="G66">
        <v>0</v>
      </c>
      <c r="H66" s="1">
        <v>0</v>
      </c>
      <c r="I66" s="1">
        <v>43491</v>
      </c>
      <c r="J66">
        <v>0</v>
      </c>
      <c r="K66">
        <v>332</v>
      </c>
      <c r="L66">
        <v>5</v>
      </c>
      <c r="M66">
        <v>0</v>
      </c>
      <c r="N66">
        <v>216</v>
      </c>
      <c r="O66">
        <v>0</v>
      </c>
      <c r="P66">
        <v>73</v>
      </c>
      <c r="Q66">
        <v>0</v>
      </c>
      <c r="R66">
        <v>0</v>
      </c>
      <c r="S66">
        <v>4</v>
      </c>
      <c r="T66">
        <v>92</v>
      </c>
      <c r="U66">
        <v>0</v>
      </c>
      <c r="V66">
        <v>14</v>
      </c>
      <c r="W66">
        <v>0</v>
      </c>
      <c r="X66">
        <v>0</v>
      </c>
      <c r="Y66">
        <v>0</v>
      </c>
      <c r="Z66">
        <v>0</v>
      </c>
      <c r="AA66">
        <v>0</v>
      </c>
      <c r="AB66">
        <v>27</v>
      </c>
      <c r="AC66">
        <v>198</v>
      </c>
      <c r="AD66">
        <v>0</v>
      </c>
      <c r="AE66" s="1">
        <v>0</v>
      </c>
      <c r="AF66">
        <v>0</v>
      </c>
      <c r="AG66">
        <v>16</v>
      </c>
      <c r="AH66">
        <v>41</v>
      </c>
      <c r="AI66">
        <v>0</v>
      </c>
      <c r="AJ66">
        <v>0</v>
      </c>
      <c r="AK66">
        <v>6</v>
      </c>
      <c r="AL66">
        <v>69</v>
      </c>
      <c r="AM66">
        <v>2</v>
      </c>
      <c r="AN66">
        <v>0</v>
      </c>
      <c r="AO66" s="1">
        <v>0</v>
      </c>
      <c r="AP66">
        <v>212</v>
      </c>
      <c r="AQ66">
        <v>777</v>
      </c>
    </row>
    <row r="67" spans="1:43" x14ac:dyDescent="0.3">
      <c r="A67" t="s">
        <v>41</v>
      </c>
      <c r="B67" t="s">
        <v>63</v>
      </c>
      <c r="C67" s="4" t="s">
        <v>43</v>
      </c>
      <c r="D67" s="1">
        <v>14014</v>
      </c>
      <c r="E67">
        <v>0</v>
      </c>
      <c r="F67">
        <v>0</v>
      </c>
      <c r="G67">
        <v>0</v>
      </c>
      <c r="H67" s="1">
        <v>0</v>
      </c>
      <c r="I67" s="1">
        <v>12821</v>
      </c>
      <c r="J67">
        <v>0</v>
      </c>
      <c r="K67">
        <v>45</v>
      </c>
      <c r="L67">
        <v>2</v>
      </c>
      <c r="M67">
        <v>0</v>
      </c>
      <c r="N67">
        <v>21</v>
      </c>
      <c r="O67">
        <v>0</v>
      </c>
      <c r="P67">
        <v>14</v>
      </c>
      <c r="Q67">
        <v>0</v>
      </c>
      <c r="R67">
        <v>0</v>
      </c>
      <c r="S67">
        <v>0</v>
      </c>
      <c r="T67">
        <v>76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27</v>
      </c>
      <c r="AC67">
        <v>102</v>
      </c>
      <c r="AD67">
        <v>0</v>
      </c>
      <c r="AE67" s="1">
        <v>0</v>
      </c>
      <c r="AF67">
        <v>0</v>
      </c>
      <c r="AG67">
        <v>7</v>
      </c>
      <c r="AH67">
        <v>25</v>
      </c>
      <c r="AI67">
        <v>0</v>
      </c>
      <c r="AJ67">
        <v>0</v>
      </c>
      <c r="AK67">
        <v>0</v>
      </c>
      <c r="AL67">
        <v>20</v>
      </c>
      <c r="AM67">
        <v>0</v>
      </c>
      <c r="AN67" s="1">
        <v>0</v>
      </c>
      <c r="AO67" s="1">
        <v>0</v>
      </c>
      <c r="AP67">
        <v>77</v>
      </c>
      <c r="AQ67">
        <v>777</v>
      </c>
    </row>
    <row r="68" spans="1:43" x14ac:dyDescent="0.3">
      <c r="A68" t="s">
        <v>41</v>
      </c>
      <c r="B68" t="s">
        <v>63</v>
      </c>
      <c r="C68" s="4" t="s">
        <v>44</v>
      </c>
      <c r="D68" s="1">
        <v>31561</v>
      </c>
      <c r="E68">
        <v>0</v>
      </c>
      <c r="F68">
        <v>0</v>
      </c>
      <c r="G68">
        <v>0</v>
      </c>
      <c r="H68" s="1">
        <v>0</v>
      </c>
      <c r="I68" s="1">
        <v>30670</v>
      </c>
      <c r="J68">
        <v>0</v>
      </c>
      <c r="K68">
        <v>287</v>
      </c>
      <c r="L68">
        <v>3</v>
      </c>
      <c r="M68">
        <v>0</v>
      </c>
      <c r="N68">
        <v>195</v>
      </c>
      <c r="O68">
        <v>0</v>
      </c>
      <c r="P68">
        <v>59</v>
      </c>
      <c r="Q68">
        <v>0</v>
      </c>
      <c r="R68">
        <v>0</v>
      </c>
      <c r="S68">
        <v>4</v>
      </c>
      <c r="T68">
        <v>16</v>
      </c>
      <c r="U68">
        <v>0</v>
      </c>
      <c r="V68">
        <v>14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96</v>
      </c>
      <c r="AD68">
        <v>0</v>
      </c>
      <c r="AE68" s="1">
        <v>0</v>
      </c>
      <c r="AF68">
        <v>0</v>
      </c>
      <c r="AG68">
        <v>9</v>
      </c>
      <c r="AH68">
        <v>16</v>
      </c>
      <c r="AI68">
        <v>0</v>
      </c>
      <c r="AJ68">
        <v>0</v>
      </c>
      <c r="AK68">
        <v>6</v>
      </c>
      <c r="AL68">
        <v>49</v>
      </c>
      <c r="AM68">
        <v>2</v>
      </c>
      <c r="AN68">
        <v>0</v>
      </c>
      <c r="AO68" s="1">
        <v>0</v>
      </c>
      <c r="AP68">
        <v>135</v>
      </c>
      <c r="AQ68" s="1">
        <v>0</v>
      </c>
    </row>
    <row r="69" spans="1:43" x14ac:dyDescent="0.3">
      <c r="A69" t="s">
        <v>41</v>
      </c>
      <c r="B69" t="s">
        <v>64</v>
      </c>
      <c r="C69" s="4" t="s">
        <v>40</v>
      </c>
      <c r="D69" s="1">
        <v>30076</v>
      </c>
      <c r="E69">
        <v>10</v>
      </c>
      <c r="F69">
        <v>46</v>
      </c>
      <c r="G69">
        <v>4</v>
      </c>
      <c r="H69" s="1">
        <v>0</v>
      </c>
      <c r="I69" s="1">
        <v>1333</v>
      </c>
      <c r="J69">
        <v>0</v>
      </c>
      <c r="K69" s="1">
        <v>4259</v>
      </c>
      <c r="L69">
        <v>43</v>
      </c>
      <c r="M69" s="1">
        <v>0</v>
      </c>
      <c r="N69">
        <v>786</v>
      </c>
      <c r="O69" s="1">
        <v>0</v>
      </c>
      <c r="P69">
        <v>511</v>
      </c>
      <c r="Q69" s="1">
        <v>0</v>
      </c>
      <c r="R69">
        <v>45</v>
      </c>
      <c r="S69">
        <v>12</v>
      </c>
      <c r="T69">
        <v>44</v>
      </c>
      <c r="U69">
        <v>11</v>
      </c>
      <c r="V69">
        <v>80</v>
      </c>
      <c r="W69">
        <v>1</v>
      </c>
      <c r="X69">
        <v>0</v>
      </c>
      <c r="Y69">
        <v>36</v>
      </c>
      <c r="Z69">
        <v>6</v>
      </c>
      <c r="AA69">
        <v>0</v>
      </c>
      <c r="AB69">
        <v>3</v>
      </c>
      <c r="AC69" s="1">
        <v>3404</v>
      </c>
      <c r="AD69">
        <v>13</v>
      </c>
      <c r="AE69" s="1">
        <v>11263</v>
      </c>
      <c r="AF69">
        <v>0</v>
      </c>
      <c r="AG69">
        <v>77</v>
      </c>
      <c r="AH69">
        <v>190</v>
      </c>
      <c r="AI69">
        <v>849</v>
      </c>
      <c r="AJ69">
        <v>0</v>
      </c>
      <c r="AK69">
        <v>128</v>
      </c>
      <c r="AL69">
        <v>301</v>
      </c>
      <c r="AM69">
        <v>123</v>
      </c>
      <c r="AN69" s="1">
        <v>0</v>
      </c>
      <c r="AO69" s="1">
        <v>0</v>
      </c>
      <c r="AP69">
        <v>0</v>
      </c>
      <c r="AQ69" s="1">
        <v>6498</v>
      </c>
    </row>
    <row r="70" spans="1:43" x14ac:dyDescent="0.3">
      <c r="A70" t="s">
        <v>41</v>
      </c>
      <c r="B70" t="s">
        <v>64</v>
      </c>
      <c r="C70" s="4" t="s">
        <v>43</v>
      </c>
      <c r="D70" s="1">
        <v>26221</v>
      </c>
      <c r="E70">
        <v>4</v>
      </c>
      <c r="F70">
        <v>37</v>
      </c>
      <c r="G70">
        <v>0</v>
      </c>
      <c r="H70" s="1">
        <v>0</v>
      </c>
      <c r="I70" s="1">
        <v>1313</v>
      </c>
      <c r="J70">
        <v>0</v>
      </c>
      <c r="K70" s="1">
        <v>2445</v>
      </c>
      <c r="L70">
        <v>42</v>
      </c>
      <c r="M70" s="1">
        <v>0</v>
      </c>
      <c r="N70">
        <v>305</v>
      </c>
      <c r="O70" s="1">
        <v>0</v>
      </c>
      <c r="P70">
        <v>211</v>
      </c>
      <c r="Q70" s="1">
        <v>0</v>
      </c>
      <c r="R70">
        <v>42</v>
      </c>
      <c r="S70">
        <v>9</v>
      </c>
      <c r="T70">
        <v>39</v>
      </c>
      <c r="U70">
        <v>11</v>
      </c>
      <c r="V70">
        <v>67</v>
      </c>
      <c r="W70">
        <v>0</v>
      </c>
      <c r="X70">
        <v>0</v>
      </c>
      <c r="Y70">
        <v>23</v>
      </c>
      <c r="Z70">
        <v>6</v>
      </c>
      <c r="AA70">
        <v>0</v>
      </c>
      <c r="AB70">
        <v>3</v>
      </c>
      <c r="AC70" s="1">
        <v>3357</v>
      </c>
      <c r="AD70">
        <v>10</v>
      </c>
      <c r="AE70" s="1">
        <v>11036</v>
      </c>
      <c r="AF70">
        <v>0</v>
      </c>
      <c r="AG70">
        <v>29</v>
      </c>
      <c r="AH70">
        <v>122</v>
      </c>
      <c r="AI70">
        <v>143</v>
      </c>
      <c r="AJ70">
        <v>0</v>
      </c>
      <c r="AK70">
        <v>109</v>
      </c>
      <c r="AL70">
        <v>246</v>
      </c>
      <c r="AM70">
        <v>114</v>
      </c>
      <c r="AN70">
        <v>0</v>
      </c>
      <c r="AO70" s="1">
        <v>0</v>
      </c>
      <c r="AP70">
        <v>0</v>
      </c>
      <c r="AQ70" s="1">
        <v>6498</v>
      </c>
    </row>
    <row r="71" spans="1:43" x14ac:dyDescent="0.3">
      <c r="A71" t="s">
        <v>41</v>
      </c>
      <c r="B71" t="s">
        <v>64</v>
      </c>
      <c r="C71" s="4" t="s">
        <v>44</v>
      </c>
      <c r="D71" s="1">
        <v>3855</v>
      </c>
      <c r="E71">
        <v>6</v>
      </c>
      <c r="F71">
        <v>9</v>
      </c>
      <c r="G71">
        <v>4</v>
      </c>
      <c r="H71" s="1">
        <v>0</v>
      </c>
      <c r="I71">
        <v>20</v>
      </c>
      <c r="J71">
        <v>0</v>
      </c>
      <c r="K71" s="1">
        <v>1814</v>
      </c>
      <c r="L71">
        <v>1</v>
      </c>
      <c r="M71">
        <v>0</v>
      </c>
      <c r="N71">
        <v>481</v>
      </c>
      <c r="O71">
        <v>0</v>
      </c>
      <c r="P71">
        <v>300</v>
      </c>
      <c r="Q71">
        <v>0</v>
      </c>
      <c r="R71">
        <v>3</v>
      </c>
      <c r="S71">
        <v>3</v>
      </c>
      <c r="T71">
        <v>5</v>
      </c>
      <c r="U71">
        <v>0</v>
      </c>
      <c r="V71">
        <v>13</v>
      </c>
      <c r="W71">
        <v>1</v>
      </c>
      <c r="X71">
        <v>0</v>
      </c>
      <c r="Y71">
        <v>13</v>
      </c>
      <c r="Z71">
        <v>0</v>
      </c>
      <c r="AA71">
        <v>0</v>
      </c>
      <c r="AB71">
        <v>0</v>
      </c>
      <c r="AC71">
        <v>47</v>
      </c>
      <c r="AD71">
        <v>3</v>
      </c>
      <c r="AE71">
        <v>227</v>
      </c>
      <c r="AF71">
        <v>0</v>
      </c>
      <c r="AG71">
        <v>48</v>
      </c>
      <c r="AH71">
        <v>68</v>
      </c>
      <c r="AI71">
        <v>706</v>
      </c>
      <c r="AJ71">
        <v>0</v>
      </c>
      <c r="AK71">
        <v>19</v>
      </c>
      <c r="AL71">
        <v>55</v>
      </c>
      <c r="AM71">
        <v>9</v>
      </c>
      <c r="AN71" s="1">
        <v>0</v>
      </c>
      <c r="AO71" s="1">
        <v>0</v>
      </c>
      <c r="AP71">
        <v>0</v>
      </c>
      <c r="AQ71" s="1">
        <v>0</v>
      </c>
    </row>
    <row r="72" spans="1:43" x14ac:dyDescent="0.3">
      <c r="A72" t="s">
        <v>41</v>
      </c>
      <c r="B72" t="s">
        <v>65</v>
      </c>
      <c r="C72" s="4" t="s">
        <v>40</v>
      </c>
      <c r="D72" s="1">
        <v>29309</v>
      </c>
      <c r="E72">
        <v>146</v>
      </c>
      <c r="F72">
        <v>974</v>
      </c>
      <c r="G72">
        <v>4</v>
      </c>
      <c r="H72" s="1">
        <v>0</v>
      </c>
      <c r="I72">
        <v>380</v>
      </c>
      <c r="J72">
        <v>0</v>
      </c>
      <c r="K72" s="1">
        <v>4738</v>
      </c>
      <c r="L72">
        <v>5</v>
      </c>
      <c r="M72">
        <v>12</v>
      </c>
      <c r="N72">
        <v>183</v>
      </c>
      <c r="O72">
        <v>0</v>
      </c>
      <c r="P72">
        <v>112</v>
      </c>
      <c r="Q72">
        <v>0</v>
      </c>
      <c r="R72">
        <v>1</v>
      </c>
      <c r="S72">
        <v>10</v>
      </c>
      <c r="T72">
        <v>0</v>
      </c>
      <c r="U72">
        <v>0</v>
      </c>
      <c r="V72">
        <v>11</v>
      </c>
      <c r="W72">
        <v>0</v>
      </c>
      <c r="X72">
        <v>0</v>
      </c>
      <c r="Y72">
        <v>12</v>
      </c>
      <c r="Z72">
        <v>0</v>
      </c>
      <c r="AA72">
        <v>0</v>
      </c>
      <c r="AB72">
        <v>5</v>
      </c>
      <c r="AC72">
        <v>21</v>
      </c>
      <c r="AD72" s="1">
        <v>16835</v>
      </c>
      <c r="AE72" s="1">
        <v>2974</v>
      </c>
      <c r="AF72">
        <v>0</v>
      </c>
      <c r="AG72">
        <v>174</v>
      </c>
      <c r="AH72">
        <v>20</v>
      </c>
      <c r="AI72">
        <v>5</v>
      </c>
      <c r="AJ72">
        <v>0</v>
      </c>
      <c r="AK72">
        <v>42</v>
      </c>
      <c r="AL72">
        <v>865</v>
      </c>
      <c r="AM72">
        <v>0</v>
      </c>
      <c r="AN72">
        <v>0</v>
      </c>
      <c r="AO72" s="1">
        <v>0</v>
      </c>
      <c r="AP72">
        <v>0</v>
      </c>
      <c r="AQ72" s="1">
        <v>1780</v>
      </c>
    </row>
    <row r="73" spans="1:43" x14ac:dyDescent="0.3">
      <c r="A73" t="s">
        <v>41</v>
      </c>
      <c r="B73" t="s">
        <v>65</v>
      </c>
      <c r="C73" s="4" t="s">
        <v>43</v>
      </c>
      <c r="D73" s="1">
        <v>16806</v>
      </c>
      <c r="E73">
        <v>93</v>
      </c>
      <c r="F73">
        <v>579</v>
      </c>
      <c r="G73">
        <v>0</v>
      </c>
      <c r="H73" s="1">
        <v>0</v>
      </c>
      <c r="I73">
        <v>111</v>
      </c>
      <c r="J73">
        <v>0</v>
      </c>
      <c r="K73" s="1">
        <v>1639</v>
      </c>
      <c r="L73">
        <v>2</v>
      </c>
      <c r="M73">
        <v>8</v>
      </c>
      <c r="N73">
        <v>78</v>
      </c>
      <c r="O73">
        <v>0</v>
      </c>
      <c r="P73">
        <v>44</v>
      </c>
      <c r="Q73">
        <v>0</v>
      </c>
      <c r="R73">
        <v>0</v>
      </c>
      <c r="S73">
        <v>5</v>
      </c>
      <c r="T73">
        <v>0</v>
      </c>
      <c r="U73">
        <v>0</v>
      </c>
      <c r="V73">
        <v>3</v>
      </c>
      <c r="W73">
        <v>0</v>
      </c>
      <c r="X73">
        <v>0</v>
      </c>
      <c r="Y73">
        <v>6</v>
      </c>
      <c r="Z73">
        <v>0</v>
      </c>
      <c r="AA73">
        <v>0</v>
      </c>
      <c r="AB73">
        <v>5</v>
      </c>
      <c r="AC73">
        <v>3</v>
      </c>
      <c r="AD73" s="1">
        <v>9763</v>
      </c>
      <c r="AE73" s="1">
        <v>2624</v>
      </c>
      <c r="AF73">
        <v>0</v>
      </c>
      <c r="AG73">
        <v>41</v>
      </c>
      <c r="AH73">
        <v>4</v>
      </c>
      <c r="AI73">
        <v>2</v>
      </c>
      <c r="AJ73">
        <v>0</v>
      </c>
      <c r="AK73">
        <v>2</v>
      </c>
      <c r="AL73">
        <v>14</v>
      </c>
      <c r="AM73">
        <v>0</v>
      </c>
      <c r="AN73" s="1">
        <v>0</v>
      </c>
      <c r="AO73" s="1">
        <v>0</v>
      </c>
      <c r="AP73">
        <v>0</v>
      </c>
      <c r="AQ73" s="1">
        <v>1780</v>
      </c>
    </row>
    <row r="74" spans="1:43" x14ac:dyDescent="0.3">
      <c r="A74" t="s">
        <v>41</v>
      </c>
      <c r="B74" t="s">
        <v>65</v>
      </c>
      <c r="C74" s="4" t="s">
        <v>44</v>
      </c>
      <c r="D74" s="1">
        <v>12503</v>
      </c>
      <c r="E74">
        <v>53</v>
      </c>
      <c r="F74">
        <v>395</v>
      </c>
      <c r="G74">
        <v>4</v>
      </c>
      <c r="H74" s="1">
        <v>0</v>
      </c>
      <c r="I74">
        <v>269</v>
      </c>
      <c r="J74">
        <v>0</v>
      </c>
      <c r="K74" s="1">
        <v>3099</v>
      </c>
      <c r="L74">
        <v>3</v>
      </c>
      <c r="M74">
        <v>4</v>
      </c>
      <c r="N74">
        <v>105</v>
      </c>
      <c r="O74">
        <v>0</v>
      </c>
      <c r="P74">
        <v>68</v>
      </c>
      <c r="Q74">
        <v>0</v>
      </c>
      <c r="R74">
        <v>1</v>
      </c>
      <c r="S74">
        <v>5</v>
      </c>
      <c r="T74">
        <v>0</v>
      </c>
      <c r="U74">
        <v>0</v>
      </c>
      <c r="V74">
        <v>8</v>
      </c>
      <c r="W74">
        <v>0</v>
      </c>
      <c r="X74">
        <v>0</v>
      </c>
      <c r="Y74">
        <v>6</v>
      </c>
      <c r="Z74">
        <v>0</v>
      </c>
      <c r="AA74">
        <v>0</v>
      </c>
      <c r="AB74">
        <v>0</v>
      </c>
      <c r="AC74">
        <v>18</v>
      </c>
      <c r="AD74" s="1">
        <v>7072</v>
      </c>
      <c r="AE74">
        <v>350</v>
      </c>
      <c r="AF74">
        <v>0</v>
      </c>
      <c r="AG74">
        <v>133</v>
      </c>
      <c r="AH74">
        <v>16</v>
      </c>
      <c r="AI74">
        <v>3</v>
      </c>
      <c r="AJ74">
        <v>0</v>
      </c>
      <c r="AK74">
        <v>40</v>
      </c>
      <c r="AL74">
        <v>851</v>
      </c>
      <c r="AM74">
        <v>0</v>
      </c>
      <c r="AN74">
        <v>0</v>
      </c>
      <c r="AO74" s="1">
        <v>0</v>
      </c>
      <c r="AP74">
        <v>0</v>
      </c>
      <c r="AQ74" s="1">
        <v>0</v>
      </c>
    </row>
    <row r="75" spans="1:43" x14ac:dyDescent="0.3">
      <c r="A75" t="s">
        <v>41</v>
      </c>
      <c r="B75" t="s">
        <v>66</v>
      </c>
      <c r="C75" s="4" t="s">
        <v>40</v>
      </c>
      <c r="D75" s="1">
        <v>27173</v>
      </c>
      <c r="E75">
        <v>81</v>
      </c>
      <c r="F75">
        <v>798</v>
      </c>
      <c r="G75">
        <v>3</v>
      </c>
      <c r="H75" s="1">
        <v>0</v>
      </c>
      <c r="I75">
        <v>683</v>
      </c>
      <c r="J75">
        <v>0</v>
      </c>
      <c r="K75" s="1">
        <v>5015</v>
      </c>
      <c r="L75">
        <v>13</v>
      </c>
      <c r="M75">
        <v>0</v>
      </c>
      <c r="N75" s="1">
        <v>2696</v>
      </c>
      <c r="O75">
        <v>0</v>
      </c>
      <c r="P75">
        <v>708</v>
      </c>
      <c r="Q75">
        <v>0</v>
      </c>
      <c r="R75">
        <v>27</v>
      </c>
      <c r="S75">
        <v>8</v>
      </c>
      <c r="T75">
        <v>103</v>
      </c>
      <c r="U75">
        <v>6</v>
      </c>
      <c r="V75">
        <v>167</v>
      </c>
      <c r="W75">
        <v>14</v>
      </c>
      <c r="X75">
        <v>0</v>
      </c>
      <c r="Y75">
        <v>62</v>
      </c>
      <c r="Z75">
        <v>0</v>
      </c>
      <c r="AA75">
        <v>0</v>
      </c>
      <c r="AB75">
        <v>0</v>
      </c>
      <c r="AC75" s="1">
        <v>3234</v>
      </c>
      <c r="AD75">
        <v>64</v>
      </c>
      <c r="AE75" s="1">
        <v>9752</v>
      </c>
      <c r="AF75">
        <v>0</v>
      </c>
      <c r="AG75">
        <v>165</v>
      </c>
      <c r="AH75">
        <v>583</v>
      </c>
      <c r="AI75">
        <v>638</v>
      </c>
      <c r="AJ75">
        <v>0</v>
      </c>
      <c r="AK75">
        <v>187</v>
      </c>
      <c r="AL75">
        <v>244</v>
      </c>
      <c r="AM75">
        <v>310</v>
      </c>
      <c r="AN75" s="1">
        <v>0</v>
      </c>
      <c r="AO75" s="1">
        <v>0</v>
      </c>
      <c r="AP75">
        <v>0</v>
      </c>
      <c r="AQ75" s="1">
        <v>1612</v>
      </c>
    </row>
    <row r="76" spans="1:43" x14ac:dyDescent="0.3">
      <c r="A76" t="s">
        <v>41</v>
      </c>
      <c r="B76" t="s">
        <v>66</v>
      </c>
      <c r="C76" s="4" t="s">
        <v>43</v>
      </c>
      <c r="D76" s="1">
        <v>23720</v>
      </c>
      <c r="E76">
        <v>53</v>
      </c>
      <c r="F76">
        <v>648</v>
      </c>
      <c r="G76">
        <v>0</v>
      </c>
      <c r="H76" s="1">
        <v>0</v>
      </c>
      <c r="I76">
        <v>674</v>
      </c>
      <c r="J76">
        <v>0</v>
      </c>
      <c r="K76" s="1">
        <v>3541</v>
      </c>
      <c r="L76">
        <v>11</v>
      </c>
      <c r="M76">
        <v>0</v>
      </c>
      <c r="N76" s="1">
        <v>2044</v>
      </c>
      <c r="O76">
        <v>0</v>
      </c>
      <c r="P76">
        <v>579</v>
      </c>
      <c r="Q76">
        <v>0</v>
      </c>
      <c r="R76">
        <v>27</v>
      </c>
      <c r="S76">
        <v>6</v>
      </c>
      <c r="T76">
        <v>99</v>
      </c>
      <c r="U76">
        <v>6</v>
      </c>
      <c r="V76">
        <v>134</v>
      </c>
      <c r="W76">
        <v>13</v>
      </c>
      <c r="X76">
        <v>0</v>
      </c>
      <c r="Y76">
        <v>56</v>
      </c>
      <c r="Z76">
        <v>0</v>
      </c>
      <c r="AA76">
        <v>0</v>
      </c>
      <c r="AB76">
        <v>0</v>
      </c>
      <c r="AC76" s="1">
        <v>3219</v>
      </c>
      <c r="AD76">
        <v>60</v>
      </c>
      <c r="AE76" s="1">
        <v>9678</v>
      </c>
      <c r="AF76">
        <v>0</v>
      </c>
      <c r="AG76">
        <v>58</v>
      </c>
      <c r="AH76">
        <v>428</v>
      </c>
      <c r="AI76">
        <v>144</v>
      </c>
      <c r="AJ76">
        <v>0</v>
      </c>
      <c r="AK76">
        <v>169</v>
      </c>
      <c r="AL76">
        <v>173</v>
      </c>
      <c r="AM76">
        <v>288</v>
      </c>
      <c r="AN76">
        <v>0</v>
      </c>
      <c r="AO76" s="1">
        <v>0</v>
      </c>
      <c r="AP76">
        <v>0</v>
      </c>
      <c r="AQ76" s="1">
        <v>1612</v>
      </c>
    </row>
    <row r="77" spans="1:43" x14ac:dyDescent="0.3">
      <c r="A77" t="s">
        <v>41</v>
      </c>
      <c r="B77" t="s">
        <v>66</v>
      </c>
      <c r="C77" s="4" t="s">
        <v>44</v>
      </c>
      <c r="D77" s="1">
        <v>3453</v>
      </c>
      <c r="E77">
        <v>28</v>
      </c>
      <c r="F77">
        <v>150</v>
      </c>
      <c r="G77">
        <v>3</v>
      </c>
      <c r="H77" s="1">
        <v>0</v>
      </c>
      <c r="I77">
        <v>9</v>
      </c>
      <c r="J77">
        <v>0</v>
      </c>
      <c r="K77" s="1">
        <v>1474</v>
      </c>
      <c r="L77">
        <v>2</v>
      </c>
      <c r="M77">
        <v>0</v>
      </c>
      <c r="N77">
        <v>652</v>
      </c>
      <c r="O77">
        <v>0</v>
      </c>
      <c r="P77">
        <v>129</v>
      </c>
      <c r="Q77">
        <v>0</v>
      </c>
      <c r="R77">
        <v>0</v>
      </c>
      <c r="S77">
        <v>2</v>
      </c>
      <c r="T77">
        <v>4</v>
      </c>
      <c r="U77">
        <v>0</v>
      </c>
      <c r="V77">
        <v>33</v>
      </c>
      <c r="W77">
        <v>1</v>
      </c>
      <c r="X77">
        <v>0</v>
      </c>
      <c r="Y77">
        <v>6</v>
      </c>
      <c r="Z77">
        <v>0</v>
      </c>
      <c r="AA77">
        <v>0</v>
      </c>
      <c r="AB77">
        <v>0</v>
      </c>
      <c r="AC77">
        <v>15</v>
      </c>
      <c r="AD77">
        <v>4</v>
      </c>
      <c r="AE77">
        <v>74</v>
      </c>
      <c r="AF77">
        <v>0</v>
      </c>
      <c r="AG77">
        <v>107</v>
      </c>
      <c r="AH77">
        <v>155</v>
      </c>
      <c r="AI77">
        <v>494</v>
      </c>
      <c r="AJ77">
        <v>0</v>
      </c>
      <c r="AK77">
        <v>18</v>
      </c>
      <c r="AL77">
        <v>71</v>
      </c>
      <c r="AM77">
        <v>22</v>
      </c>
      <c r="AN77" s="1">
        <v>0</v>
      </c>
      <c r="AO77" s="1">
        <v>0</v>
      </c>
      <c r="AP77">
        <v>0</v>
      </c>
      <c r="AQ77" s="1">
        <v>0</v>
      </c>
    </row>
    <row r="78" spans="1:43" x14ac:dyDescent="0.3">
      <c r="A78" t="s">
        <v>41</v>
      </c>
      <c r="B78" t="s">
        <v>67</v>
      </c>
      <c r="C78" s="4" t="s">
        <v>40</v>
      </c>
      <c r="D78" s="1">
        <v>25178</v>
      </c>
      <c r="E78">
        <v>99</v>
      </c>
      <c r="F78">
        <v>127</v>
      </c>
      <c r="G78">
        <v>0</v>
      </c>
      <c r="H78" s="1">
        <v>23139</v>
      </c>
      <c r="I78">
        <v>7</v>
      </c>
      <c r="J78">
        <v>0</v>
      </c>
      <c r="K78">
        <v>4</v>
      </c>
      <c r="L78">
        <v>143</v>
      </c>
      <c r="M78">
        <v>1</v>
      </c>
      <c r="N78">
        <v>103</v>
      </c>
      <c r="O78">
        <v>0</v>
      </c>
      <c r="P78">
        <v>47</v>
      </c>
      <c r="Q78">
        <v>0</v>
      </c>
      <c r="R78">
        <v>0</v>
      </c>
      <c r="S78">
        <v>12</v>
      </c>
      <c r="T78">
        <v>56</v>
      </c>
      <c r="U78">
        <v>17</v>
      </c>
      <c r="V78">
        <v>6</v>
      </c>
      <c r="W78">
        <v>13</v>
      </c>
      <c r="X78">
        <v>0</v>
      </c>
      <c r="Y78">
        <v>14</v>
      </c>
      <c r="Z78">
        <v>0</v>
      </c>
      <c r="AA78">
        <v>0</v>
      </c>
      <c r="AB78">
        <v>6</v>
      </c>
      <c r="AC78">
        <v>45</v>
      </c>
      <c r="AD78">
        <v>0</v>
      </c>
      <c r="AE78" s="1">
        <v>0</v>
      </c>
      <c r="AF78">
        <v>0</v>
      </c>
      <c r="AG78">
        <v>0</v>
      </c>
      <c r="AH78">
        <v>29</v>
      </c>
      <c r="AI78">
        <v>63</v>
      </c>
      <c r="AJ78">
        <v>6</v>
      </c>
      <c r="AK78">
        <v>11</v>
      </c>
      <c r="AL78">
        <v>86</v>
      </c>
      <c r="AM78">
        <v>7</v>
      </c>
      <c r="AN78">
        <v>29</v>
      </c>
      <c r="AO78" s="1">
        <v>0</v>
      </c>
      <c r="AP78" s="1">
        <v>1037</v>
      </c>
      <c r="AQ78">
        <v>71</v>
      </c>
    </row>
    <row r="79" spans="1:43" x14ac:dyDescent="0.3">
      <c r="A79" t="s">
        <v>41</v>
      </c>
      <c r="B79" t="s">
        <v>67</v>
      </c>
      <c r="C79" s="4" t="s">
        <v>43</v>
      </c>
      <c r="D79" s="1">
        <v>13129</v>
      </c>
      <c r="E79">
        <v>44</v>
      </c>
      <c r="F79">
        <v>72</v>
      </c>
      <c r="G79">
        <v>0</v>
      </c>
      <c r="H79" s="1">
        <v>12045</v>
      </c>
      <c r="I79">
        <v>6</v>
      </c>
      <c r="J79">
        <v>0</v>
      </c>
      <c r="K79">
        <v>3</v>
      </c>
      <c r="L79">
        <v>107</v>
      </c>
      <c r="M79">
        <v>0</v>
      </c>
      <c r="N79">
        <v>31</v>
      </c>
      <c r="O79">
        <v>0</v>
      </c>
      <c r="P79">
        <v>13</v>
      </c>
      <c r="Q79">
        <v>0</v>
      </c>
      <c r="R79">
        <v>0</v>
      </c>
      <c r="S79">
        <v>12</v>
      </c>
      <c r="T79">
        <v>52</v>
      </c>
      <c r="U79">
        <v>17</v>
      </c>
      <c r="V79">
        <v>2</v>
      </c>
      <c r="W79">
        <v>13</v>
      </c>
      <c r="X79">
        <v>0</v>
      </c>
      <c r="Y79">
        <v>12</v>
      </c>
      <c r="Z79">
        <v>0</v>
      </c>
      <c r="AA79">
        <v>0</v>
      </c>
      <c r="AB79">
        <v>0</v>
      </c>
      <c r="AC79">
        <v>42</v>
      </c>
      <c r="AD79">
        <v>0</v>
      </c>
      <c r="AE79" s="1">
        <v>0</v>
      </c>
      <c r="AF79">
        <v>0</v>
      </c>
      <c r="AG79">
        <v>0</v>
      </c>
      <c r="AH79">
        <v>10</v>
      </c>
      <c r="AI79">
        <v>17</v>
      </c>
      <c r="AJ79">
        <v>2</v>
      </c>
      <c r="AK79">
        <v>11</v>
      </c>
      <c r="AL79">
        <v>60</v>
      </c>
      <c r="AM79">
        <v>0</v>
      </c>
      <c r="AN79">
        <v>7</v>
      </c>
      <c r="AO79" s="1">
        <v>0</v>
      </c>
      <c r="AP79">
        <v>480</v>
      </c>
      <c r="AQ79">
        <v>71</v>
      </c>
    </row>
    <row r="80" spans="1:43" x14ac:dyDescent="0.3">
      <c r="A80" t="s">
        <v>41</v>
      </c>
      <c r="B80" t="s">
        <v>67</v>
      </c>
      <c r="C80" s="4" t="s">
        <v>44</v>
      </c>
      <c r="D80" s="1">
        <v>12049</v>
      </c>
      <c r="E80">
        <v>55</v>
      </c>
      <c r="F80">
        <v>55</v>
      </c>
      <c r="G80">
        <v>0</v>
      </c>
      <c r="H80" s="1">
        <v>11094</v>
      </c>
      <c r="I80">
        <v>1</v>
      </c>
      <c r="J80">
        <v>0</v>
      </c>
      <c r="K80">
        <v>1</v>
      </c>
      <c r="L80">
        <v>36</v>
      </c>
      <c r="M80">
        <v>1</v>
      </c>
      <c r="N80">
        <v>72</v>
      </c>
      <c r="O80">
        <v>0</v>
      </c>
      <c r="P80">
        <v>34</v>
      </c>
      <c r="Q80">
        <v>0</v>
      </c>
      <c r="R80">
        <v>0</v>
      </c>
      <c r="S80">
        <v>0</v>
      </c>
      <c r="T80">
        <v>4</v>
      </c>
      <c r="U80">
        <v>0</v>
      </c>
      <c r="V80">
        <v>4</v>
      </c>
      <c r="W80">
        <v>0</v>
      </c>
      <c r="X80">
        <v>0</v>
      </c>
      <c r="Y80">
        <v>2</v>
      </c>
      <c r="Z80">
        <v>0</v>
      </c>
      <c r="AA80">
        <v>0</v>
      </c>
      <c r="AB80">
        <v>6</v>
      </c>
      <c r="AC80">
        <v>3</v>
      </c>
      <c r="AD80">
        <v>0</v>
      </c>
      <c r="AE80" s="1">
        <v>0</v>
      </c>
      <c r="AF80">
        <v>0</v>
      </c>
      <c r="AG80">
        <v>0</v>
      </c>
      <c r="AH80">
        <v>19</v>
      </c>
      <c r="AI80">
        <v>46</v>
      </c>
      <c r="AJ80">
        <v>4</v>
      </c>
      <c r="AK80">
        <v>0</v>
      </c>
      <c r="AL80">
        <v>26</v>
      </c>
      <c r="AM80">
        <v>7</v>
      </c>
      <c r="AN80">
        <v>22</v>
      </c>
      <c r="AO80" s="1">
        <v>0</v>
      </c>
      <c r="AP80">
        <v>557</v>
      </c>
      <c r="AQ80" s="1">
        <v>0</v>
      </c>
    </row>
    <row r="81" spans="1:43" x14ac:dyDescent="0.3">
      <c r="A81" t="s">
        <v>41</v>
      </c>
      <c r="B81" t="s">
        <v>68</v>
      </c>
      <c r="C81" s="4" t="s">
        <v>40</v>
      </c>
      <c r="D81" s="1">
        <v>21502</v>
      </c>
      <c r="E81">
        <v>429</v>
      </c>
      <c r="F81">
        <v>160</v>
      </c>
      <c r="G81">
        <v>0</v>
      </c>
      <c r="H81" s="1">
        <v>0</v>
      </c>
      <c r="I81" s="1">
        <v>19187</v>
      </c>
      <c r="J81">
        <v>0</v>
      </c>
      <c r="K81">
        <v>69</v>
      </c>
      <c r="L81">
        <v>2</v>
      </c>
      <c r="M81">
        <v>0</v>
      </c>
      <c r="N81">
        <v>123</v>
      </c>
      <c r="O81">
        <v>0</v>
      </c>
      <c r="P81">
        <v>514</v>
      </c>
      <c r="Q81">
        <v>0</v>
      </c>
      <c r="R81">
        <v>0</v>
      </c>
      <c r="S81">
        <v>0</v>
      </c>
      <c r="T81">
        <v>450</v>
      </c>
      <c r="U81">
        <v>17</v>
      </c>
      <c r="V81">
        <v>10</v>
      </c>
      <c r="W81">
        <v>8</v>
      </c>
      <c r="X81">
        <v>0</v>
      </c>
      <c r="Y81">
        <v>0</v>
      </c>
      <c r="Z81">
        <v>0</v>
      </c>
      <c r="AA81">
        <v>0</v>
      </c>
      <c r="AB81">
        <v>2</v>
      </c>
      <c r="AC81">
        <v>27</v>
      </c>
      <c r="AD81">
        <v>0</v>
      </c>
      <c r="AE81" s="1">
        <v>0</v>
      </c>
      <c r="AF81">
        <v>0</v>
      </c>
      <c r="AG81">
        <v>8</v>
      </c>
      <c r="AH81">
        <v>35</v>
      </c>
      <c r="AI81">
        <v>338</v>
      </c>
      <c r="AJ81">
        <v>4</v>
      </c>
      <c r="AK81">
        <v>2</v>
      </c>
      <c r="AL81">
        <v>9</v>
      </c>
      <c r="AM81">
        <v>2</v>
      </c>
      <c r="AN81">
        <v>0</v>
      </c>
      <c r="AO81" s="1">
        <v>0</v>
      </c>
      <c r="AP81">
        <v>26</v>
      </c>
      <c r="AQ81">
        <v>80</v>
      </c>
    </row>
    <row r="82" spans="1:43" x14ac:dyDescent="0.3">
      <c r="A82" t="s">
        <v>41</v>
      </c>
      <c r="B82" t="s">
        <v>68</v>
      </c>
      <c r="C82" s="4" t="s">
        <v>43</v>
      </c>
      <c r="D82" s="1">
        <v>11378</v>
      </c>
      <c r="E82">
        <v>258</v>
      </c>
      <c r="F82">
        <v>83</v>
      </c>
      <c r="G82">
        <v>0</v>
      </c>
      <c r="H82" s="1">
        <v>0</v>
      </c>
      <c r="I82" s="1">
        <v>9821</v>
      </c>
      <c r="J82">
        <v>0</v>
      </c>
      <c r="K82">
        <v>38</v>
      </c>
      <c r="L82">
        <v>1</v>
      </c>
      <c r="M82">
        <v>0</v>
      </c>
      <c r="N82">
        <v>55</v>
      </c>
      <c r="O82">
        <v>0</v>
      </c>
      <c r="P82">
        <v>384</v>
      </c>
      <c r="Q82">
        <v>0</v>
      </c>
      <c r="R82">
        <v>0</v>
      </c>
      <c r="S82">
        <v>0</v>
      </c>
      <c r="T82">
        <v>446</v>
      </c>
      <c r="U82">
        <v>17</v>
      </c>
      <c r="V82">
        <v>8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21</v>
      </c>
      <c r="AD82">
        <v>0</v>
      </c>
      <c r="AE82" s="1">
        <v>0</v>
      </c>
      <c r="AF82">
        <v>0</v>
      </c>
      <c r="AG82">
        <v>4</v>
      </c>
      <c r="AH82">
        <v>21</v>
      </c>
      <c r="AI82">
        <v>115</v>
      </c>
      <c r="AJ82">
        <v>2</v>
      </c>
      <c r="AK82">
        <v>2</v>
      </c>
      <c r="AL82">
        <v>5</v>
      </c>
      <c r="AM82">
        <v>0</v>
      </c>
      <c r="AN82">
        <v>0</v>
      </c>
      <c r="AO82" s="1">
        <v>0</v>
      </c>
      <c r="AP82">
        <v>16</v>
      </c>
      <c r="AQ82">
        <v>80</v>
      </c>
    </row>
    <row r="83" spans="1:43" x14ac:dyDescent="0.3">
      <c r="A83" t="s">
        <v>41</v>
      </c>
      <c r="B83" t="s">
        <v>68</v>
      </c>
      <c r="C83" s="4" t="s">
        <v>44</v>
      </c>
      <c r="D83" s="1">
        <v>10124</v>
      </c>
      <c r="E83">
        <v>171</v>
      </c>
      <c r="F83">
        <v>77</v>
      </c>
      <c r="G83">
        <v>0</v>
      </c>
      <c r="H83" s="1">
        <v>0</v>
      </c>
      <c r="I83" s="1">
        <v>9366</v>
      </c>
      <c r="J83">
        <v>0</v>
      </c>
      <c r="K83">
        <v>31</v>
      </c>
      <c r="L83">
        <v>1</v>
      </c>
      <c r="M83">
        <v>0</v>
      </c>
      <c r="N83">
        <v>68</v>
      </c>
      <c r="O83">
        <v>0</v>
      </c>
      <c r="P83">
        <v>130</v>
      </c>
      <c r="Q83">
        <v>0</v>
      </c>
      <c r="R83">
        <v>0</v>
      </c>
      <c r="S83">
        <v>0</v>
      </c>
      <c r="T83">
        <v>4</v>
      </c>
      <c r="U83">
        <v>0</v>
      </c>
      <c r="V83">
        <v>2</v>
      </c>
      <c r="W83">
        <v>7</v>
      </c>
      <c r="X83">
        <v>0</v>
      </c>
      <c r="Y83">
        <v>0</v>
      </c>
      <c r="Z83">
        <v>0</v>
      </c>
      <c r="AA83">
        <v>0</v>
      </c>
      <c r="AB83">
        <v>2</v>
      </c>
      <c r="AC83">
        <v>6</v>
      </c>
      <c r="AD83">
        <v>0</v>
      </c>
      <c r="AE83" s="1">
        <v>0</v>
      </c>
      <c r="AF83">
        <v>0</v>
      </c>
      <c r="AG83">
        <v>4</v>
      </c>
      <c r="AH83">
        <v>14</v>
      </c>
      <c r="AI83">
        <v>223</v>
      </c>
      <c r="AJ83">
        <v>2</v>
      </c>
      <c r="AK83">
        <v>0</v>
      </c>
      <c r="AL83">
        <v>4</v>
      </c>
      <c r="AM83">
        <v>2</v>
      </c>
      <c r="AN83">
        <v>0</v>
      </c>
      <c r="AO83" s="1">
        <v>0</v>
      </c>
      <c r="AP83">
        <v>10</v>
      </c>
      <c r="AQ83">
        <v>0</v>
      </c>
    </row>
    <row r="84" spans="1:43" x14ac:dyDescent="0.3">
      <c r="A84" t="s">
        <v>41</v>
      </c>
      <c r="B84" t="s">
        <v>69</v>
      </c>
      <c r="C84" s="4" t="s">
        <v>40</v>
      </c>
      <c r="D84" s="1">
        <v>17377</v>
      </c>
      <c r="E84">
        <v>50</v>
      </c>
      <c r="F84">
        <v>222</v>
      </c>
      <c r="G84">
        <v>1</v>
      </c>
      <c r="H84" s="1">
        <v>0</v>
      </c>
      <c r="I84">
        <v>377</v>
      </c>
      <c r="J84">
        <v>0</v>
      </c>
      <c r="K84" s="1">
        <v>5075</v>
      </c>
      <c r="L84">
        <v>29</v>
      </c>
      <c r="M84">
        <v>1</v>
      </c>
      <c r="N84" s="1">
        <v>1924</v>
      </c>
      <c r="O84">
        <v>0</v>
      </c>
      <c r="P84">
        <v>213</v>
      </c>
      <c r="Q84">
        <v>3</v>
      </c>
      <c r="R84">
        <v>18</v>
      </c>
      <c r="S84">
        <v>0</v>
      </c>
      <c r="T84">
        <v>715</v>
      </c>
      <c r="U84">
        <v>133</v>
      </c>
      <c r="V84">
        <v>124</v>
      </c>
      <c r="W84">
        <v>79</v>
      </c>
      <c r="X84">
        <v>0</v>
      </c>
      <c r="Y84">
        <v>213</v>
      </c>
      <c r="Z84">
        <v>0</v>
      </c>
      <c r="AA84">
        <v>0</v>
      </c>
      <c r="AB84">
        <v>0</v>
      </c>
      <c r="AC84" s="1">
        <v>1086</v>
      </c>
      <c r="AD84">
        <v>0</v>
      </c>
      <c r="AE84" s="1">
        <v>3173</v>
      </c>
      <c r="AF84">
        <v>0</v>
      </c>
      <c r="AG84">
        <v>109</v>
      </c>
      <c r="AH84">
        <v>565</v>
      </c>
      <c r="AI84">
        <v>503</v>
      </c>
      <c r="AJ84">
        <v>0</v>
      </c>
      <c r="AK84">
        <v>474</v>
      </c>
      <c r="AL84">
        <v>847</v>
      </c>
      <c r="AM84">
        <v>630</v>
      </c>
      <c r="AN84">
        <v>0</v>
      </c>
      <c r="AO84" s="1">
        <v>0</v>
      </c>
      <c r="AP84">
        <v>0</v>
      </c>
      <c r="AQ84">
        <v>813</v>
      </c>
    </row>
    <row r="85" spans="1:43" x14ac:dyDescent="0.3">
      <c r="A85" t="s">
        <v>41</v>
      </c>
      <c r="B85" t="s">
        <v>69</v>
      </c>
      <c r="C85" s="4" t="s">
        <v>43</v>
      </c>
      <c r="D85" s="1">
        <v>14545</v>
      </c>
      <c r="E85">
        <v>29</v>
      </c>
      <c r="F85">
        <v>162</v>
      </c>
      <c r="G85">
        <v>0</v>
      </c>
      <c r="H85" s="1">
        <v>0</v>
      </c>
      <c r="I85">
        <v>377</v>
      </c>
      <c r="J85">
        <v>0</v>
      </c>
      <c r="K85" s="1">
        <v>3859</v>
      </c>
      <c r="L85">
        <v>28</v>
      </c>
      <c r="M85">
        <v>1</v>
      </c>
      <c r="N85" s="1">
        <v>1427</v>
      </c>
      <c r="O85">
        <v>0</v>
      </c>
      <c r="P85">
        <v>133</v>
      </c>
      <c r="Q85">
        <v>3</v>
      </c>
      <c r="R85">
        <v>18</v>
      </c>
      <c r="S85">
        <v>0</v>
      </c>
      <c r="T85">
        <v>710</v>
      </c>
      <c r="U85">
        <v>132</v>
      </c>
      <c r="V85">
        <v>96</v>
      </c>
      <c r="W85">
        <v>70</v>
      </c>
      <c r="X85">
        <v>0</v>
      </c>
      <c r="Y85">
        <v>175</v>
      </c>
      <c r="Z85">
        <v>0</v>
      </c>
      <c r="AA85">
        <v>0</v>
      </c>
      <c r="AB85">
        <v>0</v>
      </c>
      <c r="AC85" s="1">
        <v>1072</v>
      </c>
      <c r="AD85">
        <v>0</v>
      </c>
      <c r="AE85" s="1">
        <v>3154</v>
      </c>
      <c r="AF85">
        <v>0</v>
      </c>
      <c r="AG85">
        <v>39</v>
      </c>
      <c r="AH85">
        <v>359</v>
      </c>
      <c r="AI85">
        <v>139</v>
      </c>
      <c r="AJ85">
        <v>0</v>
      </c>
      <c r="AK85">
        <v>432</v>
      </c>
      <c r="AL85">
        <v>735</v>
      </c>
      <c r="AM85">
        <v>582</v>
      </c>
      <c r="AN85">
        <v>0</v>
      </c>
      <c r="AO85" s="1">
        <v>0</v>
      </c>
      <c r="AP85">
        <v>0</v>
      </c>
      <c r="AQ85">
        <v>813</v>
      </c>
    </row>
    <row r="86" spans="1:43" x14ac:dyDescent="0.3">
      <c r="A86" t="s">
        <v>41</v>
      </c>
      <c r="B86" t="s">
        <v>69</v>
      </c>
      <c r="C86" s="4" t="s">
        <v>44</v>
      </c>
      <c r="D86" s="1">
        <v>2832</v>
      </c>
      <c r="E86">
        <v>21</v>
      </c>
      <c r="F86">
        <v>60</v>
      </c>
      <c r="G86">
        <v>1</v>
      </c>
      <c r="H86" s="1">
        <v>0</v>
      </c>
      <c r="I86" s="1">
        <v>0</v>
      </c>
      <c r="J86">
        <v>0</v>
      </c>
      <c r="K86" s="1">
        <v>1216</v>
      </c>
      <c r="L86">
        <v>1</v>
      </c>
      <c r="M86" s="1">
        <v>0</v>
      </c>
      <c r="N86">
        <v>497</v>
      </c>
      <c r="O86" s="1">
        <v>0</v>
      </c>
      <c r="P86">
        <v>80</v>
      </c>
      <c r="Q86" s="1">
        <v>0</v>
      </c>
      <c r="R86">
        <v>0</v>
      </c>
      <c r="S86" s="1">
        <v>0</v>
      </c>
      <c r="T86">
        <v>5</v>
      </c>
      <c r="U86">
        <v>1</v>
      </c>
      <c r="V86">
        <v>28</v>
      </c>
      <c r="W86">
        <v>9</v>
      </c>
      <c r="X86">
        <v>0</v>
      </c>
      <c r="Y86">
        <v>38</v>
      </c>
      <c r="Z86">
        <v>0</v>
      </c>
      <c r="AA86">
        <v>0</v>
      </c>
      <c r="AB86">
        <v>0</v>
      </c>
      <c r="AC86">
        <v>14</v>
      </c>
      <c r="AD86">
        <v>0</v>
      </c>
      <c r="AE86">
        <v>19</v>
      </c>
      <c r="AF86">
        <v>0</v>
      </c>
      <c r="AG86">
        <v>70</v>
      </c>
      <c r="AH86">
        <v>206</v>
      </c>
      <c r="AI86">
        <v>364</v>
      </c>
      <c r="AJ86">
        <v>0</v>
      </c>
      <c r="AK86">
        <v>42</v>
      </c>
      <c r="AL86">
        <v>112</v>
      </c>
      <c r="AM86">
        <v>48</v>
      </c>
      <c r="AN86">
        <v>0</v>
      </c>
      <c r="AO86" s="1">
        <v>0</v>
      </c>
      <c r="AP86">
        <v>0</v>
      </c>
      <c r="AQ86">
        <v>0</v>
      </c>
    </row>
    <row r="87" spans="1:43" x14ac:dyDescent="0.3">
      <c r="A87" t="s">
        <v>41</v>
      </c>
      <c r="B87" t="s">
        <v>70</v>
      </c>
      <c r="C87" s="4" t="s">
        <v>40</v>
      </c>
      <c r="D87" s="1">
        <v>13946</v>
      </c>
      <c r="E87">
        <v>68</v>
      </c>
      <c r="F87">
        <v>81</v>
      </c>
      <c r="G87">
        <v>5</v>
      </c>
      <c r="H87" s="1">
        <v>0</v>
      </c>
      <c r="I87">
        <v>13</v>
      </c>
      <c r="J87">
        <v>0</v>
      </c>
      <c r="K87" s="1">
        <v>4968</v>
      </c>
      <c r="L87">
        <v>8</v>
      </c>
      <c r="M87">
        <v>9</v>
      </c>
      <c r="N87" s="1">
        <v>1324</v>
      </c>
      <c r="O87">
        <v>0</v>
      </c>
      <c r="P87" s="1">
        <v>1102</v>
      </c>
      <c r="Q87">
        <v>0</v>
      </c>
      <c r="R87" s="1">
        <v>0</v>
      </c>
      <c r="S87">
        <v>0</v>
      </c>
      <c r="T87">
        <v>486</v>
      </c>
      <c r="U87">
        <v>28</v>
      </c>
      <c r="V87">
        <v>61</v>
      </c>
      <c r="W87">
        <v>1</v>
      </c>
      <c r="X87">
        <v>0</v>
      </c>
      <c r="Y87">
        <v>8</v>
      </c>
      <c r="Z87">
        <v>0</v>
      </c>
      <c r="AA87">
        <v>0</v>
      </c>
      <c r="AB87">
        <v>1</v>
      </c>
      <c r="AC87">
        <v>130</v>
      </c>
      <c r="AD87">
        <v>13</v>
      </c>
      <c r="AE87" s="1">
        <v>1133</v>
      </c>
      <c r="AF87">
        <v>0</v>
      </c>
      <c r="AG87">
        <v>370</v>
      </c>
      <c r="AH87">
        <v>224</v>
      </c>
      <c r="AI87">
        <v>169</v>
      </c>
      <c r="AJ87" s="1">
        <v>1607</v>
      </c>
      <c r="AK87">
        <v>234</v>
      </c>
      <c r="AL87">
        <v>253</v>
      </c>
      <c r="AM87">
        <v>520</v>
      </c>
      <c r="AN87">
        <v>0</v>
      </c>
      <c r="AO87">
        <v>379</v>
      </c>
      <c r="AP87">
        <v>201</v>
      </c>
      <c r="AQ87">
        <v>550</v>
      </c>
    </row>
    <row r="88" spans="1:43" x14ac:dyDescent="0.3">
      <c r="A88" t="s">
        <v>41</v>
      </c>
      <c r="B88" t="s">
        <v>70</v>
      </c>
      <c r="C88" s="4" t="s">
        <v>43</v>
      </c>
      <c r="D88" s="1">
        <v>7962</v>
      </c>
      <c r="E88">
        <v>42</v>
      </c>
      <c r="F88">
        <v>57</v>
      </c>
      <c r="G88">
        <v>0</v>
      </c>
      <c r="H88" s="1">
        <v>0</v>
      </c>
      <c r="I88">
        <v>4</v>
      </c>
      <c r="J88">
        <v>0</v>
      </c>
      <c r="K88" s="1">
        <v>2525</v>
      </c>
      <c r="L88">
        <v>5</v>
      </c>
      <c r="M88">
        <v>6</v>
      </c>
      <c r="N88">
        <v>529</v>
      </c>
      <c r="O88">
        <v>0</v>
      </c>
      <c r="P88">
        <v>689</v>
      </c>
      <c r="Q88">
        <v>0</v>
      </c>
      <c r="R88">
        <v>0</v>
      </c>
      <c r="S88">
        <v>0</v>
      </c>
      <c r="T88">
        <v>468</v>
      </c>
      <c r="U88">
        <v>25</v>
      </c>
      <c r="V88">
        <v>22</v>
      </c>
      <c r="W88">
        <v>1</v>
      </c>
      <c r="X88">
        <v>0</v>
      </c>
      <c r="Y88">
        <v>0</v>
      </c>
      <c r="Z88">
        <v>0</v>
      </c>
      <c r="AA88">
        <v>0</v>
      </c>
      <c r="AB88">
        <v>1</v>
      </c>
      <c r="AC88">
        <v>91</v>
      </c>
      <c r="AD88">
        <v>11</v>
      </c>
      <c r="AE88" s="1">
        <v>1064</v>
      </c>
      <c r="AF88">
        <v>0</v>
      </c>
      <c r="AG88">
        <v>140</v>
      </c>
      <c r="AH88">
        <v>109</v>
      </c>
      <c r="AI88">
        <v>60</v>
      </c>
      <c r="AJ88">
        <v>724</v>
      </c>
      <c r="AK88">
        <v>71</v>
      </c>
      <c r="AL88">
        <v>23</v>
      </c>
      <c r="AM88">
        <v>478</v>
      </c>
      <c r="AN88">
        <v>0</v>
      </c>
      <c r="AO88">
        <v>205</v>
      </c>
      <c r="AP88">
        <v>62</v>
      </c>
      <c r="AQ88">
        <v>550</v>
      </c>
    </row>
    <row r="89" spans="1:43" x14ac:dyDescent="0.3">
      <c r="A89" t="s">
        <v>41</v>
      </c>
      <c r="B89" t="s">
        <v>70</v>
      </c>
      <c r="C89" s="4" t="s">
        <v>44</v>
      </c>
      <c r="D89" s="1">
        <v>5984</v>
      </c>
      <c r="E89">
        <v>26</v>
      </c>
      <c r="F89">
        <v>24</v>
      </c>
      <c r="G89">
        <v>5</v>
      </c>
      <c r="H89" s="1">
        <v>0</v>
      </c>
      <c r="I89">
        <v>9</v>
      </c>
      <c r="J89">
        <v>0</v>
      </c>
      <c r="K89" s="1">
        <v>2443</v>
      </c>
      <c r="L89">
        <v>3</v>
      </c>
      <c r="M89">
        <v>3</v>
      </c>
      <c r="N89">
        <v>795</v>
      </c>
      <c r="O89">
        <v>0</v>
      </c>
      <c r="P89">
        <v>413</v>
      </c>
      <c r="Q89">
        <v>0</v>
      </c>
      <c r="R89">
        <v>0</v>
      </c>
      <c r="S89">
        <v>0</v>
      </c>
      <c r="T89">
        <v>18</v>
      </c>
      <c r="U89">
        <v>3</v>
      </c>
      <c r="V89">
        <v>39</v>
      </c>
      <c r="W89">
        <v>0</v>
      </c>
      <c r="X89">
        <v>0</v>
      </c>
      <c r="Y89">
        <v>8</v>
      </c>
      <c r="Z89">
        <v>0</v>
      </c>
      <c r="AA89">
        <v>0</v>
      </c>
      <c r="AB89">
        <v>0</v>
      </c>
      <c r="AC89">
        <v>39</v>
      </c>
      <c r="AD89">
        <v>2</v>
      </c>
      <c r="AE89">
        <v>69</v>
      </c>
      <c r="AF89">
        <v>0</v>
      </c>
      <c r="AG89">
        <v>230</v>
      </c>
      <c r="AH89">
        <v>115</v>
      </c>
      <c r="AI89">
        <v>109</v>
      </c>
      <c r="AJ89">
        <v>883</v>
      </c>
      <c r="AK89">
        <v>163</v>
      </c>
      <c r="AL89">
        <v>230</v>
      </c>
      <c r="AM89">
        <v>42</v>
      </c>
      <c r="AN89">
        <v>0</v>
      </c>
      <c r="AO89">
        <v>174</v>
      </c>
      <c r="AP89">
        <v>139</v>
      </c>
      <c r="AQ89">
        <v>0</v>
      </c>
    </row>
    <row r="90" spans="1:43" x14ac:dyDescent="0.3">
      <c r="A90" t="s">
        <v>41</v>
      </c>
      <c r="B90" t="s">
        <v>71</v>
      </c>
      <c r="C90" s="4" t="s">
        <v>40</v>
      </c>
      <c r="D90" s="1">
        <v>9408</v>
      </c>
      <c r="E90">
        <v>165</v>
      </c>
      <c r="F90">
        <v>3</v>
      </c>
      <c r="G90">
        <v>0</v>
      </c>
      <c r="H90" s="1">
        <v>8506</v>
      </c>
      <c r="I90">
        <v>15</v>
      </c>
      <c r="J90">
        <v>0</v>
      </c>
      <c r="K90" s="1">
        <v>0</v>
      </c>
      <c r="L90">
        <v>1</v>
      </c>
      <c r="M90">
        <v>0</v>
      </c>
      <c r="N90">
        <v>134</v>
      </c>
      <c r="O90">
        <v>0</v>
      </c>
      <c r="P90">
        <v>36</v>
      </c>
      <c r="Q90">
        <v>0</v>
      </c>
      <c r="R90">
        <v>0</v>
      </c>
      <c r="S90">
        <v>0</v>
      </c>
      <c r="T90">
        <v>0</v>
      </c>
      <c r="U90">
        <v>11</v>
      </c>
      <c r="V90">
        <v>0</v>
      </c>
      <c r="W90">
        <v>0</v>
      </c>
      <c r="X90">
        <v>0</v>
      </c>
      <c r="Y90">
        <v>3</v>
      </c>
      <c r="Z90">
        <v>0</v>
      </c>
      <c r="AA90">
        <v>0</v>
      </c>
      <c r="AB90">
        <v>0</v>
      </c>
      <c r="AC90">
        <v>0</v>
      </c>
      <c r="AD90">
        <v>0</v>
      </c>
      <c r="AE90" s="1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35</v>
      </c>
      <c r="AN90">
        <v>0</v>
      </c>
      <c r="AO90">
        <v>0</v>
      </c>
      <c r="AP90">
        <v>13</v>
      </c>
      <c r="AQ90">
        <v>486</v>
      </c>
    </row>
    <row r="91" spans="1:43" x14ac:dyDescent="0.3">
      <c r="A91" t="s">
        <v>41</v>
      </c>
      <c r="B91" t="s">
        <v>71</v>
      </c>
      <c r="C91" s="4" t="s">
        <v>43</v>
      </c>
      <c r="D91" s="1">
        <v>4859</v>
      </c>
      <c r="E91">
        <v>105</v>
      </c>
      <c r="F91">
        <v>3</v>
      </c>
      <c r="G91">
        <v>0</v>
      </c>
      <c r="H91" s="1">
        <v>4096</v>
      </c>
      <c r="I91">
        <v>15</v>
      </c>
      <c r="J91">
        <v>0</v>
      </c>
      <c r="K91" s="1">
        <v>0</v>
      </c>
      <c r="L91">
        <v>1</v>
      </c>
      <c r="M91">
        <v>0</v>
      </c>
      <c r="N91">
        <v>78</v>
      </c>
      <c r="O91">
        <v>0</v>
      </c>
      <c r="P91">
        <v>32</v>
      </c>
      <c r="Q91">
        <v>0</v>
      </c>
      <c r="R91">
        <v>0</v>
      </c>
      <c r="S91">
        <v>0</v>
      </c>
      <c r="T91">
        <v>0</v>
      </c>
      <c r="U91">
        <v>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s="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31</v>
      </c>
      <c r="AN91">
        <v>0</v>
      </c>
      <c r="AO91">
        <v>0</v>
      </c>
      <c r="AP91">
        <v>5</v>
      </c>
      <c r="AQ91">
        <v>486</v>
      </c>
    </row>
    <row r="92" spans="1:43" x14ac:dyDescent="0.3">
      <c r="A92" t="s">
        <v>41</v>
      </c>
      <c r="B92" t="s">
        <v>71</v>
      </c>
      <c r="C92" s="4" t="s">
        <v>44</v>
      </c>
      <c r="D92" s="1">
        <v>4549</v>
      </c>
      <c r="E92">
        <v>60</v>
      </c>
      <c r="F92">
        <v>0</v>
      </c>
      <c r="G92">
        <v>0</v>
      </c>
      <c r="H92" s="1">
        <v>4410</v>
      </c>
      <c r="I92">
        <v>0</v>
      </c>
      <c r="J92">
        <v>0</v>
      </c>
      <c r="K92" s="1">
        <v>0</v>
      </c>
      <c r="L92">
        <v>0</v>
      </c>
      <c r="M92">
        <v>0</v>
      </c>
      <c r="N92">
        <v>56</v>
      </c>
      <c r="O92">
        <v>0</v>
      </c>
      <c r="P92">
        <v>4</v>
      </c>
      <c r="Q92">
        <v>0</v>
      </c>
      <c r="R92">
        <v>0</v>
      </c>
      <c r="S92">
        <v>0</v>
      </c>
      <c r="T92">
        <v>0</v>
      </c>
      <c r="U92">
        <v>4</v>
      </c>
      <c r="V92">
        <v>0</v>
      </c>
      <c r="W92">
        <v>0</v>
      </c>
      <c r="X92">
        <v>0</v>
      </c>
      <c r="Y92">
        <v>3</v>
      </c>
      <c r="Z92">
        <v>0</v>
      </c>
      <c r="AA92">
        <v>0</v>
      </c>
      <c r="AB92">
        <v>0</v>
      </c>
      <c r="AC92">
        <v>0</v>
      </c>
      <c r="AD92">
        <v>0</v>
      </c>
      <c r="AE92" s="1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</v>
      </c>
      <c r="AN92">
        <v>0</v>
      </c>
      <c r="AO92">
        <v>0</v>
      </c>
      <c r="AP92">
        <v>8</v>
      </c>
      <c r="AQ92">
        <v>0</v>
      </c>
    </row>
    <row r="93" spans="1:43" x14ac:dyDescent="0.3">
      <c r="A93" t="s">
        <v>41</v>
      </c>
      <c r="B93" t="s">
        <v>72</v>
      </c>
      <c r="C93" s="4" t="s">
        <v>40</v>
      </c>
      <c r="D93" s="1">
        <v>8181</v>
      </c>
      <c r="E93">
        <v>95</v>
      </c>
      <c r="F93">
        <v>102</v>
      </c>
      <c r="G93">
        <v>0</v>
      </c>
      <c r="H93" s="1">
        <v>0</v>
      </c>
      <c r="I93" s="1">
        <v>6324</v>
      </c>
      <c r="J93">
        <v>4</v>
      </c>
      <c r="K93">
        <v>195</v>
      </c>
      <c r="L93">
        <v>5</v>
      </c>
      <c r="M93">
        <v>0</v>
      </c>
      <c r="N93">
        <v>137</v>
      </c>
      <c r="O93">
        <v>0</v>
      </c>
      <c r="P93">
        <v>17</v>
      </c>
      <c r="Q93">
        <v>0</v>
      </c>
      <c r="R93">
        <v>0</v>
      </c>
      <c r="S93">
        <v>0</v>
      </c>
      <c r="T93">
        <v>0</v>
      </c>
      <c r="U93">
        <v>0</v>
      </c>
      <c r="V93">
        <v>8</v>
      </c>
      <c r="W93">
        <v>0</v>
      </c>
      <c r="X93">
        <v>0</v>
      </c>
      <c r="Y93">
        <v>0</v>
      </c>
      <c r="Z93">
        <v>0</v>
      </c>
      <c r="AA93">
        <v>37</v>
      </c>
      <c r="AB93">
        <v>0</v>
      </c>
      <c r="AC93">
        <v>8</v>
      </c>
      <c r="AD93">
        <v>0</v>
      </c>
      <c r="AE93" s="1">
        <v>0</v>
      </c>
      <c r="AF93">
        <v>0</v>
      </c>
      <c r="AG93">
        <v>0</v>
      </c>
      <c r="AH93">
        <v>1</v>
      </c>
      <c r="AI93">
        <v>0</v>
      </c>
      <c r="AJ93">
        <v>4</v>
      </c>
      <c r="AK93">
        <v>0</v>
      </c>
      <c r="AL93">
        <v>16</v>
      </c>
      <c r="AM93">
        <v>0</v>
      </c>
      <c r="AN93">
        <v>0</v>
      </c>
      <c r="AO93">
        <v>0</v>
      </c>
      <c r="AP93">
        <v>10</v>
      </c>
      <c r="AQ93" s="1">
        <v>1218</v>
      </c>
    </row>
    <row r="94" spans="1:43" x14ac:dyDescent="0.3">
      <c r="A94" t="s">
        <v>41</v>
      </c>
      <c r="B94" t="s">
        <v>72</v>
      </c>
      <c r="C94" s="4" t="s">
        <v>43</v>
      </c>
      <c r="D94" s="1">
        <v>4073</v>
      </c>
      <c r="E94">
        <v>46</v>
      </c>
      <c r="F94">
        <v>37</v>
      </c>
      <c r="G94">
        <v>0</v>
      </c>
      <c r="H94" s="1">
        <v>0</v>
      </c>
      <c r="I94" s="1">
        <v>2622</v>
      </c>
      <c r="J94">
        <v>4</v>
      </c>
      <c r="K94">
        <v>70</v>
      </c>
      <c r="L94">
        <v>4</v>
      </c>
      <c r="M94">
        <v>0</v>
      </c>
      <c r="N94">
        <v>22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37</v>
      </c>
      <c r="AB94">
        <v>0</v>
      </c>
      <c r="AC94">
        <v>0</v>
      </c>
      <c r="AD94">
        <v>0</v>
      </c>
      <c r="AE94" s="1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7</v>
      </c>
      <c r="AM94">
        <v>0</v>
      </c>
      <c r="AN94">
        <v>0</v>
      </c>
      <c r="AO94">
        <v>0</v>
      </c>
      <c r="AP94">
        <v>6</v>
      </c>
      <c r="AQ94" s="1">
        <v>1218</v>
      </c>
    </row>
    <row r="95" spans="1:43" x14ac:dyDescent="0.3">
      <c r="A95" t="s">
        <v>41</v>
      </c>
      <c r="B95" t="s">
        <v>72</v>
      </c>
      <c r="C95" s="4" t="s">
        <v>44</v>
      </c>
      <c r="D95" s="1">
        <v>4108</v>
      </c>
      <c r="E95">
        <v>49</v>
      </c>
      <c r="F95">
        <v>65</v>
      </c>
      <c r="G95">
        <v>0</v>
      </c>
      <c r="H95" s="1">
        <v>0</v>
      </c>
      <c r="I95" s="1">
        <v>3702</v>
      </c>
      <c r="J95">
        <v>0</v>
      </c>
      <c r="K95">
        <v>125</v>
      </c>
      <c r="L95">
        <v>1</v>
      </c>
      <c r="M95">
        <v>0</v>
      </c>
      <c r="N95">
        <v>115</v>
      </c>
      <c r="O95">
        <v>0</v>
      </c>
      <c r="P95">
        <v>17</v>
      </c>
      <c r="Q95">
        <v>0</v>
      </c>
      <c r="R95">
        <v>0</v>
      </c>
      <c r="S95">
        <v>0</v>
      </c>
      <c r="T95">
        <v>0</v>
      </c>
      <c r="U95">
        <v>0</v>
      </c>
      <c r="V95">
        <v>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8</v>
      </c>
      <c r="AD95">
        <v>0</v>
      </c>
      <c r="AE95" s="1">
        <v>0</v>
      </c>
      <c r="AF95">
        <v>0</v>
      </c>
      <c r="AG95">
        <v>0</v>
      </c>
      <c r="AH95">
        <v>1</v>
      </c>
      <c r="AI95">
        <v>0</v>
      </c>
      <c r="AJ95">
        <v>4</v>
      </c>
      <c r="AK95">
        <v>0</v>
      </c>
      <c r="AL95">
        <v>9</v>
      </c>
      <c r="AM95">
        <v>0</v>
      </c>
      <c r="AN95">
        <v>0</v>
      </c>
      <c r="AO95">
        <v>0</v>
      </c>
      <c r="AP95">
        <v>4</v>
      </c>
      <c r="AQ95">
        <v>0</v>
      </c>
    </row>
    <row r="96" spans="1:43" x14ac:dyDescent="0.3">
      <c r="A96" t="s">
        <v>41</v>
      </c>
      <c r="B96" t="s">
        <v>73</v>
      </c>
      <c r="C96" s="4" t="s">
        <v>40</v>
      </c>
      <c r="D96" s="1">
        <v>7011</v>
      </c>
      <c r="E96">
        <v>54</v>
      </c>
      <c r="F96">
        <v>31</v>
      </c>
      <c r="G96">
        <v>0</v>
      </c>
      <c r="H96" s="1">
        <v>0</v>
      </c>
      <c r="I96">
        <v>9</v>
      </c>
      <c r="J96">
        <v>0</v>
      </c>
      <c r="K96" s="1">
        <v>5057</v>
      </c>
      <c r="L96">
        <v>4</v>
      </c>
      <c r="M96">
        <v>0</v>
      </c>
      <c r="N96">
        <v>280</v>
      </c>
      <c r="O96">
        <v>0</v>
      </c>
      <c r="P96">
        <v>146</v>
      </c>
      <c r="Q96">
        <v>0</v>
      </c>
      <c r="R96">
        <v>0</v>
      </c>
      <c r="S96">
        <v>0</v>
      </c>
      <c r="T96">
        <v>228</v>
      </c>
      <c r="U96">
        <v>27</v>
      </c>
      <c r="V96">
        <v>32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23</v>
      </c>
      <c r="AD96">
        <v>14</v>
      </c>
      <c r="AE96">
        <v>11</v>
      </c>
      <c r="AF96">
        <v>0</v>
      </c>
      <c r="AG96">
        <v>60</v>
      </c>
      <c r="AH96">
        <v>65</v>
      </c>
      <c r="AI96">
        <v>90</v>
      </c>
      <c r="AJ96">
        <v>301</v>
      </c>
      <c r="AK96">
        <v>13</v>
      </c>
      <c r="AL96">
        <v>25</v>
      </c>
      <c r="AM96">
        <v>464</v>
      </c>
      <c r="AN96">
        <v>0</v>
      </c>
      <c r="AO96">
        <v>47</v>
      </c>
      <c r="AP96">
        <v>0</v>
      </c>
      <c r="AQ96">
        <v>30</v>
      </c>
    </row>
    <row r="97" spans="1:43" x14ac:dyDescent="0.3">
      <c r="A97" t="s">
        <v>41</v>
      </c>
      <c r="B97" t="s">
        <v>73</v>
      </c>
      <c r="C97" s="4" t="s">
        <v>43</v>
      </c>
      <c r="D97" s="1">
        <v>6227</v>
      </c>
      <c r="E97">
        <v>33</v>
      </c>
      <c r="F97">
        <v>21</v>
      </c>
      <c r="G97">
        <v>0</v>
      </c>
      <c r="H97" s="1">
        <v>0</v>
      </c>
      <c r="I97">
        <v>4</v>
      </c>
      <c r="J97">
        <v>0</v>
      </c>
      <c r="K97" s="1">
        <v>4715</v>
      </c>
      <c r="L97">
        <v>4</v>
      </c>
      <c r="M97">
        <v>0</v>
      </c>
      <c r="N97">
        <v>188</v>
      </c>
      <c r="O97">
        <v>0</v>
      </c>
      <c r="P97">
        <v>101</v>
      </c>
      <c r="Q97">
        <v>0</v>
      </c>
      <c r="R97">
        <v>0</v>
      </c>
      <c r="S97">
        <v>0</v>
      </c>
      <c r="T97">
        <v>219</v>
      </c>
      <c r="U97">
        <v>27</v>
      </c>
      <c r="V97">
        <v>24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18</v>
      </c>
      <c r="AD97">
        <v>14</v>
      </c>
      <c r="AE97">
        <v>9</v>
      </c>
      <c r="AF97">
        <v>0</v>
      </c>
      <c r="AG97">
        <v>29</v>
      </c>
      <c r="AH97">
        <v>44</v>
      </c>
      <c r="AI97">
        <v>33</v>
      </c>
      <c r="AJ97">
        <v>206</v>
      </c>
      <c r="AK97">
        <v>11</v>
      </c>
      <c r="AL97">
        <v>14</v>
      </c>
      <c r="AM97">
        <v>451</v>
      </c>
      <c r="AN97">
        <v>0</v>
      </c>
      <c r="AO97">
        <v>32</v>
      </c>
      <c r="AP97">
        <v>0</v>
      </c>
      <c r="AQ97">
        <v>30</v>
      </c>
    </row>
    <row r="98" spans="1:43" x14ac:dyDescent="0.3">
      <c r="A98" t="s">
        <v>41</v>
      </c>
      <c r="B98" t="s">
        <v>73</v>
      </c>
      <c r="C98" s="4" t="s">
        <v>44</v>
      </c>
      <c r="D98">
        <v>784</v>
      </c>
      <c r="E98">
        <v>21</v>
      </c>
      <c r="F98">
        <v>10</v>
      </c>
      <c r="G98">
        <v>0</v>
      </c>
      <c r="H98" s="1">
        <v>0</v>
      </c>
      <c r="I98">
        <v>5</v>
      </c>
      <c r="J98">
        <v>0</v>
      </c>
      <c r="K98">
        <v>342</v>
      </c>
      <c r="L98">
        <v>0</v>
      </c>
      <c r="M98">
        <v>0</v>
      </c>
      <c r="N98">
        <v>92</v>
      </c>
      <c r="O98">
        <v>0</v>
      </c>
      <c r="P98">
        <v>45</v>
      </c>
      <c r="Q98">
        <v>0</v>
      </c>
      <c r="R98">
        <v>0</v>
      </c>
      <c r="S98">
        <v>0</v>
      </c>
      <c r="T98">
        <v>9</v>
      </c>
      <c r="U98">
        <v>0</v>
      </c>
      <c r="V98">
        <v>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</v>
      </c>
      <c r="AD98">
        <v>0</v>
      </c>
      <c r="AE98">
        <v>2</v>
      </c>
      <c r="AF98">
        <v>0</v>
      </c>
      <c r="AG98">
        <v>31</v>
      </c>
      <c r="AH98">
        <v>21</v>
      </c>
      <c r="AI98">
        <v>57</v>
      </c>
      <c r="AJ98">
        <v>95</v>
      </c>
      <c r="AK98">
        <v>2</v>
      </c>
      <c r="AL98">
        <v>11</v>
      </c>
      <c r="AM98">
        <v>13</v>
      </c>
      <c r="AN98">
        <v>0</v>
      </c>
      <c r="AO98">
        <v>15</v>
      </c>
      <c r="AP98">
        <v>0</v>
      </c>
      <c r="AQ98">
        <v>0</v>
      </c>
    </row>
    <row r="99" spans="1:43" x14ac:dyDescent="0.3">
      <c r="A99" t="s">
        <v>41</v>
      </c>
      <c r="B99" t="s">
        <v>74</v>
      </c>
      <c r="C99" s="4" t="s">
        <v>40</v>
      </c>
      <c r="D99" s="1">
        <v>4432</v>
      </c>
      <c r="E99">
        <v>89</v>
      </c>
      <c r="F99">
        <v>65</v>
      </c>
      <c r="G99">
        <v>0</v>
      </c>
      <c r="H99" s="1">
        <v>0</v>
      </c>
      <c r="I99" s="1">
        <v>4233</v>
      </c>
      <c r="J99">
        <v>1</v>
      </c>
      <c r="K99">
        <v>3</v>
      </c>
      <c r="L99">
        <v>0</v>
      </c>
      <c r="M99">
        <v>0</v>
      </c>
      <c r="N99">
        <v>4</v>
      </c>
      <c r="O99">
        <v>0</v>
      </c>
      <c r="P99">
        <v>5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</v>
      </c>
      <c r="AM99">
        <v>2</v>
      </c>
      <c r="AN99">
        <v>0</v>
      </c>
      <c r="AO99">
        <v>0</v>
      </c>
      <c r="AP99">
        <v>14</v>
      </c>
      <c r="AQ99">
        <v>13</v>
      </c>
    </row>
    <row r="100" spans="1:43" x14ac:dyDescent="0.3">
      <c r="A100" t="s">
        <v>41</v>
      </c>
      <c r="B100" t="s">
        <v>74</v>
      </c>
      <c r="C100" s="4" t="s">
        <v>43</v>
      </c>
      <c r="D100" s="1">
        <v>2050</v>
      </c>
      <c r="E100">
        <v>44</v>
      </c>
      <c r="F100">
        <v>20</v>
      </c>
      <c r="G100">
        <v>0</v>
      </c>
      <c r="H100" s="1">
        <v>0</v>
      </c>
      <c r="I100" s="1">
        <v>1957</v>
      </c>
      <c r="J100">
        <v>1</v>
      </c>
      <c r="K100">
        <v>3</v>
      </c>
      <c r="L100">
        <v>0</v>
      </c>
      <c r="M100">
        <v>0</v>
      </c>
      <c r="N100">
        <v>1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2</v>
      </c>
      <c r="AN100">
        <v>0</v>
      </c>
      <c r="AO100">
        <v>0</v>
      </c>
      <c r="AP100">
        <v>6</v>
      </c>
      <c r="AQ100">
        <v>13</v>
      </c>
    </row>
    <row r="101" spans="1:43" x14ac:dyDescent="0.3">
      <c r="A101" t="s">
        <v>41</v>
      </c>
      <c r="B101" t="s">
        <v>74</v>
      </c>
      <c r="C101" s="4" t="s">
        <v>44</v>
      </c>
      <c r="D101" s="1">
        <v>2382</v>
      </c>
      <c r="E101">
        <v>45</v>
      </c>
      <c r="F101">
        <v>45</v>
      </c>
      <c r="G101">
        <v>0</v>
      </c>
      <c r="H101" s="1">
        <v>0</v>
      </c>
      <c r="I101" s="1">
        <v>2276</v>
      </c>
      <c r="J101">
        <v>0</v>
      </c>
      <c r="K101">
        <v>0</v>
      </c>
      <c r="L101">
        <v>0</v>
      </c>
      <c r="M101">
        <v>0</v>
      </c>
      <c r="N101">
        <v>3</v>
      </c>
      <c r="O101">
        <v>0</v>
      </c>
      <c r="P101">
        <v>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</v>
      </c>
      <c r="AM101">
        <v>0</v>
      </c>
      <c r="AN101">
        <v>0</v>
      </c>
      <c r="AO101">
        <v>0</v>
      </c>
      <c r="AP101">
        <v>8</v>
      </c>
      <c r="AQ101">
        <v>0</v>
      </c>
    </row>
    <row r="102" spans="1:43" x14ac:dyDescent="0.3">
      <c r="A102" t="s">
        <v>41</v>
      </c>
      <c r="B102" t="s">
        <v>75</v>
      </c>
      <c r="C102" s="4" t="s">
        <v>40</v>
      </c>
      <c r="D102" s="1">
        <v>4360</v>
      </c>
      <c r="E102">
        <v>38</v>
      </c>
      <c r="F102">
        <v>49</v>
      </c>
      <c r="G102">
        <v>4</v>
      </c>
      <c r="H102" s="1">
        <v>0</v>
      </c>
      <c r="I102">
        <v>34</v>
      </c>
      <c r="J102">
        <v>0</v>
      </c>
      <c r="K102" s="1">
        <v>3002</v>
      </c>
      <c r="L102">
        <v>23</v>
      </c>
      <c r="M102">
        <v>0</v>
      </c>
      <c r="N102">
        <v>247</v>
      </c>
      <c r="O102">
        <v>0</v>
      </c>
      <c r="P102">
        <v>120</v>
      </c>
      <c r="Q102">
        <v>0</v>
      </c>
      <c r="R102">
        <v>0</v>
      </c>
      <c r="S102">
        <v>4</v>
      </c>
      <c r="T102">
        <v>9</v>
      </c>
      <c r="U102">
        <v>12</v>
      </c>
      <c r="V102">
        <v>13</v>
      </c>
      <c r="W102">
        <v>15</v>
      </c>
      <c r="X102">
        <v>0</v>
      </c>
      <c r="Y102">
        <v>137</v>
      </c>
      <c r="Z102">
        <v>0</v>
      </c>
      <c r="AA102">
        <v>0</v>
      </c>
      <c r="AB102">
        <v>10</v>
      </c>
      <c r="AC102">
        <v>53</v>
      </c>
      <c r="AD102">
        <v>0</v>
      </c>
      <c r="AE102">
        <v>0</v>
      </c>
      <c r="AF102">
        <v>0</v>
      </c>
      <c r="AG102">
        <v>13</v>
      </c>
      <c r="AH102">
        <v>113</v>
      </c>
      <c r="AI102">
        <v>65</v>
      </c>
      <c r="AJ102">
        <v>5</v>
      </c>
      <c r="AK102">
        <v>88</v>
      </c>
      <c r="AL102">
        <v>144</v>
      </c>
      <c r="AM102">
        <v>1</v>
      </c>
      <c r="AN102">
        <v>0</v>
      </c>
      <c r="AO102">
        <v>0</v>
      </c>
      <c r="AP102">
        <v>3</v>
      </c>
      <c r="AQ102">
        <v>158</v>
      </c>
    </row>
    <row r="103" spans="1:43" x14ac:dyDescent="0.3">
      <c r="A103" t="s">
        <v>41</v>
      </c>
      <c r="B103" t="s">
        <v>75</v>
      </c>
      <c r="C103" s="4" t="s">
        <v>43</v>
      </c>
      <c r="D103" s="1">
        <v>2381</v>
      </c>
      <c r="E103">
        <v>32</v>
      </c>
      <c r="F103">
        <v>37</v>
      </c>
      <c r="G103">
        <v>0</v>
      </c>
      <c r="H103" s="1">
        <v>0</v>
      </c>
      <c r="I103">
        <v>34</v>
      </c>
      <c r="J103">
        <v>0</v>
      </c>
      <c r="K103" s="1">
        <v>1651</v>
      </c>
      <c r="L103">
        <v>17</v>
      </c>
      <c r="M103">
        <v>0</v>
      </c>
      <c r="N103">
        <v>89</v>
      </c>
      <c r="O103">
        <v>0</v>
      </c>
      <c r="P103">
        <v>8</v>
      </c>
      <c r="Q103">
        <v>0</v>
      </c>
      <c r="R103">
        <v>0</v>
      </c>
      <c r="S103">
        <v>4</v>
      </c>
      <c r="T103">
        <v>8</v>
      </c>
      <c r="U103">
        <v>12</v>
      </c>
      <c r="V103">
        <v>4</v>
      </c>
      <c r="W103">
        <v>9</v>
      </c>
      <c r="X103">
        <v>0</v>
      </c>
      <c r="Y103">
        <v>80</v>
      </c>
      <c r="Z103">
        <v>0</v>
      </c>
      <c r="AA103">
        <v>0</v>
      </c>
      <c r="AB103">
        <v>5</v>
      </c>
      <c r="AC103">
        <v>29</v>
      </c>
      <c r="AD103">
        <v>0</v>
      </c>
      <c r="AE103">
        <v>0</v>
      </c>
      <c r="AF103">
        <v>0</v>
      </c>
      <c r="AG103">
        <v>2</v>
      </c>
      <c r="AH103">
        <v>54</v>
      </c>
      <c r="AI103">
        <v>13</v>
      </c>
      <c r="AJ103">
        <v>0</v>
      </c>
      <c r="AK103">
        <v>66</v>
      </c>
      <c r="AL103">
        <v>67</v>
      </c>
      <c r="AM103">
        <v>0</v>
      </c>
      <c r="AN103">
        <v>0</v>
      </c>
      <c r="AO103">
        <v>0</v>
      </c>
      <c r="AP103">
        <v>2</v>
      </c>
      <c r="AQ103">
        <v>158</v>
      </c>
    </row>
    <row r="104" spans="1:43" x14ac:dyDescent="0.3">
      <c r="A104" t="s">
        <v>41</v>
      </c>
      <c r="B104" t="s">
        <v>75</v>
      </c>
      <c r="C104" s="4" t="s">
        <v>44</v>
      </c>
      <c r="D104" s="1">
        <v>1979</v>
      </c>
      <c r="E104">
        <v>6</v>
      </c>
      <c r="F104">
        <v>12</v>
      </c>
      <c r="G104">
        <v>4</v>
      </c>
      <c r="H104" s="1">
        <v>0</v>
      </c>
      <c r="I104" s="1">
        <v>0</v>
      </c>
      <c r="J104">
        <v>0</v>
      </c>
      <c r="K104" s="1">
        <v>1351</v>
      </c>
      <c r="L104">
        <v>6</v>
      </c>
      <c r="M104" s="1">
        <v>0</v>
      </c>
      <c r="N104">
        <v>158</v>
      </c>
      <c r="O104" s="1">
        <v>0</v>
      </c>
      <c r="P104">
        <v>112</v>
      </c>
      <c r="Q104" s="1">
        <v>0</v>
      </c>
      <c r="R104">
        <v>0</v>
      </c>
      <c r="S104" s="1">
        <v>0</v>
      </c>
      <c r="T104">
        <v>1</v>
      </c>
      <c r="U104" s="1">
        <v>0</v>
      </c>
      <c r="V104">
        <v>9</v>
      </c>
      <c r="W104">
        <v>6</v>
      </c>
      <c r="X104">
        <v>0</v>
      </c>
      <c r="Y104">
        <v>57</v>
      </c>
      <c r="Z104">
        <v>0</v>
      </c>
      <c r="AA104">
        <v>0</v>
      </c>
      <c r="AB104">
        <v>5</v>
      </c>
      <c r="AC104">
        <v>24</v>
      </c>
      <c r="AD104">
        <v>0</v>
      </c>
      <c r="AE104">
        <v>0</v>
      </c>
      <c r="AF104">
        <v>0</v>
      </c>
      <c r="AG104">
        <v>11</v>
      </c>
      <c r="AH104">
        <v>59</v>
      </c>
      <c r="AI104">
        <v>52</v>
      </c>
      <c r="AJ104">
        <v>5</v>
      </c>
      <c r="AK104">
        <v>22</v>
      </c>
      <c r="AL104">
        <v>77</v>
      </c>
      <c r="AM104">
        <v>1</v>
      </c>
      <c r="AN104">
        <v>0</v>
      </c>
      <c r="AO104">
        <v>0</v>
      </c>
      <c r="AP104">
        <v>1</v>
      </c>
      <c r="AQ104">
        <v>0</v>
      </c>
    </row>
    <row r="105" spans="1:43" x14ac:dyDescent="0.3">
      <c r="A105" t="s">
        <v>41</v>
      </c>
      <c r="B105" t="s">
        <v>76</v>
      </c>
      <c r="C105" s="4" t="s">
        <v>40</v>
      </c>
      <c r="D105" s="1">
        <v>2807</v>
      </c>
      <c r="E105">
        <v>72</v>
      </c>
      <c r="F105">
        <v>34</v>
      </c>
      <c r="G105">
        <v>0</v>
      </c>
      <c r="H105" s="1">
        <v>0</v>
      </c>
      <c r="I105">
        <v>2</v>
      </c>
      <c r="J105">
        <v>0</v>
      </c>
      <c r="K105" s="1">
        <v>2275</v>
      </c>
      <c r="L105">
        <v>2</v>
      </c>
      <c r="M105">
        <v>0</v>
      </c>
      <c r="N105">
        <v>19</v>
      </c>
      <c r="O105">
        <v>0</v>
      </c>
      <c r="P105">
        <v>19</v>
      </c>
      <c r="Q105">
        <v>0</v>
      </c>
      <c r="R105">
        <v>0</v>
      </c>
      <c r="S105">
        <v>0</v>
      </c>
      <c r="T105">
        <v>138</v>
      </c>
      <c r="U105">
        <v>25</v>
      </c>
      <c r="V105">
        <v>5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4</v>
      </c>
      <c r="AD105">
        <v>0</v>
      </c>
      <c r="AE105">
        <v>0</v>
      </c>
      <c r="AF105">
        <v>0</v>
      </c>
      <c r="AG105">
        <v>2</v>
      </c>
      <c r="AH105">
        <v>11</v>
      </c>
      <c r="AI105">
        <v>46</v>
      </c>
      <c r="AJ105">
        <v>0</v>
      </c>
      <c r="AK105">
        <v>20</v>
      </c>
      <c r="AL105">
        <v>21</v>
      </c>
      <c r="AM105">
        <v>96</v>
      </c>
      <c r="AN105">
        <v>0</v>
      </c>
      <c r="AO105">
        <v>0</v>
      </c>
      <c r="AP105">
        <v>0</v>
      </c>
      <c r="AQ105">
        <v>14</v>
      </c>
    </row>
    <row r="106" spans="1:43" x14ac:dyDescent="0.3">
      <c r="A106" t="s">
        <v>41</v>
      </c>
      <c r="B106" t="s">
        <v>76</v>
      </c>
      <c r="C106" s="4" t="s">
        <v>43</v>
      </c>
      <c r="D106" s="1">
        <v>2396</v>
      </c>
      <c r="E106">
        <v>39</v>
      </c>
      <c r="F106">
        <v>23</v>
      </c>
      <c r="G106">
        <v>0</v>
      </c>
      <c r="H106" s="1">
        <v>0</v>
      </c>
      <c r="I106">
        <v>2</v>
      </c>
      <c r="J106">
        <v>0</v>
      </c>
      <c r="K106" s="1">
        <v>1983</v>
      </c>
      <c r="L106">
        <v>2</v>
      </c>
      <c r="M106">
        <v>0</v>
      </c>
      <c r="N106">
        <v>10</v>
      </c>
      <c r="O106">
        <v>0</v>
      </c>
      <c r="P106">
        <v>14</v>
      </c>
      <c r="Q106">
        <v>0</v>
      </c>
      <c r="R106">
        <v>0</v>
      </c>
      <c r="S106">
        <v>0</v>
      </c>
      <c r="T106">
        <v>135</v>
      </c>
      <c r="U106">
        <v>25</v>
      </c>
      <c r="V106">
        <v>1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3</v>
      </c>
      <c r="AD106">
        <v>0</v>
      </c>
      <c r="AE106">
        <v>0</v>
      </c>
      <c r="AF106">
        <v>0</v>
      </c>
      <c r="AG106">
        <v>1</v>
      </c>
      <c r="AH106">
        <v>8</v>
      </c>
      <c r="AI106">
        <v>19</v>
      </c>
      <c r="AJ106">
        <v>0</v>
      </c>
      <c r="AK106">
        <v>15</v>
      </c>
      <c r="AL106">
        <v>9</v>
      </c>
      <c r="AM106">
        <v>92</v>
      </c>
      <c r="AN106">
        <v>0</v>
      </c>
      <c r="AO106">
        <v>0</v>
      </c>
      <c r="AP106">
        <v>0</v>
      </c>
      <c r="AQ106">
        <v>14</v>
      </c>
    </row>
    <row r="107" spans="1:43" x14ac:dyDescent="0.3">
      <c r="A107" t="s">
        <v>41</v>
      </c>
      <c r="B107" t="s">
        <v>76</v>
      </c>
      <c r="C107" s="4" t="s">
        <v>44</v>
      </c>
      <c r="D107">
        <v>411</v>
      </c>
      <c r="E107">
        <v>33</v>
      </c>
      <c r="F107">
        <v>11</v>
      </c>
      <c r="G107">
        <v>0</v>
      </c>
      <c r="H107" s="1">
        <v>0</v>
      </c>
      <c r="I107">
        <v>0</v>
      </c>
      <c r="J107">
        <v>0</v>
      </c>
      <c r="K107">
        <v>292</v>
      </c>
      <c r="L107">
        <v>0</v>
      </c>
      <c r="M107">
        <v>0</v>
      </c>
      <c r="N107">
        <v>9</v>
      </c>
      <c r="O107">
        <v>0</v>
      </c>
      <c r="P107">
        <v>5</v>
      </c>
      <c r="Q107">
        <v>0</v>
      </c>
      <c r="R107">
        <v>0</v>
      </c>
      <c r="S107">
        <v>0</v>
      </c>
      <c r="T107">
        <v>3</v>
      </c>
      <c r="U107">
        <v>0</v>
      </c>
      <c r="V107">
        <v>4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1</v>
      </c>
      <c r="AH107">
        <v>3</v>
      </c>
      <c r="AI107">
        <v>27</v>
      </c>
      <c r="AJ107">
        <v>0</v>
      </c>
      <c r="AK107">
        <v>5</v>
      </c>
      <c r="AL107">
        <v>12</v>
      </c>
      <c r="AM107">
        <v>4</v>
      </c>
      <c r="AN107">
        <v>0</v>
      </c>
      <c r="AO107">
        <v>0</v>
      </c>
      <c r="AP107">
        <v>0</v>
      </c>
      <c r="AQ107">
        <v>0</v>
      </c>
    </row>
    <row r="108" spans="1:43" x14ac:dyDescent="0.3">
      <c r="A108" t="s">
        <v>41</v>
      </c>
      <c r="B108" t="s">
        <v>77</v>
      </c>
      <c r="C108" s="4" t="s">
        <v>40</v>
      </c>
      <c r="D108" s="1">
        <v>2737</v>
      </c>
      <c r="E108">
        <v>8</v>
      </c>
      <c r="F108">
        <v>4</v>
      </c>
      <c r="G108">
        <v>2</v>
      </c>
      <c r="H108" s="1">
        <v>0</v>
      </c>
      <c r="I108">
        <v>36</v>
      </c>
      <c r="J108">
        <v>1</v>
      </c>
      <c r="K108" s="1">
        <v>1793</v>
      </c>
      <c r="L108">
        <v>3</v>
      </c>
      <c r="M108">
        <v>0</v>
      </c>
      <c r="N108">
        <v>43</v>
      </c>
      <c r="O108">
        <v>0</v>
      </c>
      <c r="P108">
        <v>22</v>
      </c>
      <c r="Q108">
        <v>0</v>
      </c>
      <c r="R108">
        <v>0</v>
      </c>
      <c r="S108">
        <v>0</v>
      </c>
      <c r="T108">
        <v>233</v>
      </c>
      <c r="U108">
        <v>38</v>
      </c>
      <c r="V108">
        <v>6</v>
      </c>
      <c r="W108">
        <v>0</v>
      </c>
      <c r="X108">
        <v>1</v>
      </c>
      <c r="Y108">
        <v>2</v>
      </c>
      <c r="Z108">
        <v>0</v>
      </c>
      <c r="AA108">
        <v>0</v>
      </c>
      <c r="AB108">
        <v>16</v>
      </c>
      <c r="AC108">
        <v>5</v>
      </c>
      <c r="AD108">
        <v>0</v>
      </c>
      <c r="AE108">
        <v>0</v>
      </c>
      <c r="AF108">
        <v>0</v>
      </c>
      <c r="AG108">
        <v>6</v>
      </c>
      <c r="AH108">
        <v>35</v>
      </c>
      <c r="AI108">
        <v>148</v>
      </c>
      <c r="AJ108">
        <v>2</v>
      </c>
      <c r="AK108">
        <v>7</v>
      </c>
      <c r="AL108">
        <v>19</v>
      </c>
      <c r="AM108">
        <v>13</v>
      </c>
      <c r="AN108">
        <v>0</v>
      </c>
      <c r="AO108">
        <v>0</v>
      </c>
      <c r="AP108">
        <v>11</v>
      </c>
      <c r="AQ108">
        <v>283</v>
      </c>
    </row>
    <row r="109" spans="1:43" x14ac:dyDescent="0.3">
      <c r="A109" t="s">
        <v>41</v>
      </c>
      <c r="B109" t="s">
        <v>77</v>
      </c>
      <c r="C109" s="4" t="s">
        <v>43</v>
      </c>
      <c r="D109" s="1">
        <v>2226</v>
      </c>
      <c r="E109">
        <v>6</v>
      </c>
      <c r="F109">
        <v>3</v>
      </c>
      <c r="G109">
        <v>0</v>
      </c>
      <c r="H109" s="1">
        <v>0</v>
      </c>
      <c r="I109">
        <v>32</v>
      </c>
      <c r="J109">
        <v>1</v>
      </c>
      <c r="K109" s="1">
        <v>1456</v>
      </c>
      <c r="L109">
        <v>3</v>
      </c>
      <c r="M109">
        <v>0</v>
      </c>
      <c r="N109">
        <v>18</v>
      </c>
      <c r="O109">
        <v>0</v>
      </c>
      <c r="P109">
        <v>19</v>
      </c>
      <c r="Q109">
        <v>0</v>
      </c>
      <c r="R109">
        <v>0</v>
      </c>
      <c r="S109">
        <v>0</v>
      </c>
      <c r="T109">
        <v>232</v>
      </c>
      <c r="U109">
        <v>38</v>
      </c>
      <c r="V109">
        <v>2</v>
      </c>
      <c r="W109">
        <v>0</v>
      </c>
      <c r="X109">
        <v>0</v>
      </c>
      <c r="Y109">
        <v>2</v>
      </c>
      <c r="Z109">
        <v>0</v>
      </c>
      <c r="AA109">
        <v>0</v>
      </c>
      <c r="AB109">
        <v>16</v>
      </c>
      <c r="AC109">
        <v>1</v>
      </c>
      <c r="AD109">
        <v>0</v>
      </c>
      <c r="AE109">
        <v>0</v>
      </c>
      <c r="AF109">
        <v>0</v>
      </c>
      <c r="AG109">
        <v>3</v>
      </c>
      <c r="AH109">
        <v>22</v>
      </c>
      <c r="AI109">
        <v>56</v>
      </c>
      <c r="AJ109">
        <v>0</v>
      </c>
      <c r="AK109">
        <v>5</v>
      </c>
      <c r="AL109">
        <v>8</v>
      </c>
      <c r="AM109">
        <v>13</v>
      </c>
      <c r="AN109">
        <v>0</v>
      </c>
      <c r="AO109">
        <v>0</v>
      </c>
      <c r="AP109">
        <v>7</v>
      </c>
      <c r="AQ109">
        <v>283</v>
      </c>
    </row>
    <row r="110" spans="1:43" x14ac:dyDescent="0.3">
      <c r="A110" t="s">
        <v>41</v>
      </c>
      <c r="B110" t="s">
        <v>77</v>
      </c>
      <c r="C110" s="4" t="s">
        <v>44</v>
      </c>
      <c r="D110">
        <v>511</v>
      </c>
      <c r="E110">
        <v>2</v>
      </c>
      <c r="F110">
        <v>1</v>
      </c>
      <c r="G110">
        <v>2</v>
      </c>
      <c r="H110" s="1">
        <v>0</v>
      </c>
      <c r="I110">
        <v>4</v>
      </c>
      <c r="J110">
        <v>0</v>
      </c>
      <c r="K110">
        <v>337</v>
      </c>
      <c r="L110">
        <v>0</v>
      </c>
      <c r="M110">
        <v>0</v>
      </c>
      <c r="N110">
        <v>25</v>
      </c>
      <c r="O110">
        <v>0</v>
      </c>
      <c r="P110">
        <v>3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4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4</v>
      </c>
      <c r="AD110">
        <v>0</v>
      </c>
      <c r="AE110">
        <v>0</v>
      </c>
      <c r="AF110">
        <v>0</v>
      </c>
      <c r="AG110">
        <v>3</v>
      </c>
      <c r="AH110">
        <v>13</v>
      </c>
      <c r="AI110">
        <v>92</v>
      </c>
      <c r="AJ110">
        <v>2</v>
      </c>
      <c r="AK110">
        <v>2</v>
      </c>
      <c r="AL110">
        <v>11</v>
      </c>
      <c r="AM110">
        <v>0</v>
      </c>
      <c r="AN110">
        <v>0</v>
      </c>
      <c r="AO110">
        <v>0</v>
      </c>
      <c r="AP110">
        <v>4</v>
      </c>
      <c r="AQ110">
        <v>0</v>
      </c>
    </row>
    <row r="111" spans="1:43" x14ac:dyDescent="0.3">
      <c r="A111" t="s">
        <v>41</v>
      </c>
      <c r="B111" t="s">
        <v>78</v>
      </c>
      <c r="C111" s="4" t="s">
        <v>40</v>
      </c>
      <c r="D111" s="1">
        <v>2668</v>
      </c>
      <c r="E111">
        <v>1</v>
      </c>
      <c r="F111">
        <v>0</v>
      </c>
      <c r="G111">
        <v>0</v>
      </c>
      <c r="H111" s="1">
        <v>0</v>
      </c>
      <c r="I111">
        <v>175</v>
      </c>
      <c r="J111">
        <v>0</v>
      </c>
      <c r="K111">
        <v>544</v>
      </c>
      <c r="L111">
        <v>1</v>
      </c>
      <c r="M111">
        <v>0</v>
      </c>
      <c r="N111">
        <v>19</v>
      </c>
      <c r="O111">
        <v>0</v>
      </c>
      <c r="P111">
        <v>6</v>
      </c>
      <c r="Q111">
        <v>0</v>
      </c>
      <c r="R111">
        <v>0</v>
      </c>
      <c r="S111">
        <v>0</v>
      </c>
      <c r="T111">
        <v>191</v>
      </c>
      <c r="U111">
        <v>3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2</v>
      </c>
      <c r="AH111">
        <v>39</v>
      </c>
      <c r="AI111">
        <v>70</v>
      </c>
      <c r="AJ111">
        <v>0</v>
      </c>
      <c r="AK111">
        <v>42</v>
      </c>
      <c r="AL111">
        <v>27</v>
      </c>
      <c r="AM111" s="1">
        <v>1158</v>
      </c>
      <c r="AN111">
        <v>0</v>
      </c>
      <c r="AO111">
        <v>0</v>
      </c>
      <c r="AP111">
        <v>0</v>
      </c>
      <c r="AQ111">
        <v>387</v>
      </c>
    </row>
    <row r="112" spans="1:43" x14ac:dyDescent="0.3">
      <c r="A112" t="s">
        <v>41</v>
      </c>
      <c r="B112" t="s">
        <v>78</v>
      </c>
      <c r="C112" s="4" t="s">
        <v>43</v>
      </c>
      <c r="D112" s="1">
        <v>2230</v>
      </c>
      <c r="E112">
        <v>1</v>
      </c>
      <c r="F112">
        <v>0</v>
      </c>
      <c r="G112">
        <v>0</v>
      </c>
      <c r="H112" s="1">
        <v>0</v>
      </c>
      <c r="I112">
        <v>175</v>
      </c>
      <c r="J112">
        <v>0</v>
      </c>
      <c r="K112">
        <v>419</v>
      </c>
      <c r="L112">
        <v>1</v>
      </c>
      <c r="M112">
        <v>0</v>
      </c>
      <c r="N112">
        <v>12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190</v>
      </c>
      <c r="U112">
        <v>3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2</v>
      </c>
      <c r="AD112">
        <v>0</v>
      </c>
      <c r="AE112">
        <v>0</v>
      </c>
      <c r="AF112">
        <v>0</v>
      </c>
      <c r="AG112">
        <v>1</v>
      </c>
      <c r="AH112">
        <v>22</v>
      </c>
      <c r="AI112">
        <v>35</v>
      </c>
      <c r="AJ112">
        <v>0</v>
      </c>
      <c r="AK112">
        <v>33</v>
      </c>
      <c r="AL112">
        <v>27</v>
      </c>
      <c r="AM112">
        <v>921</v>
      </c>
      <c r="AN112">
        <v>0</v>
      </c>
      <c r="AO112">
        <v>0</v>
      </c>
      <c r="AP112">
        <v>0</v>
      </c>
      <c r="AQ112">
        <v>387</v>
      </c>
    </row>
    <row r="113" spans="1:43" x14ac:dyDescent="0.3">
      <c r="A113" t="s">
        <v>41</v>
      </c>
      <c r="B113" t="s">
        <v>78</v>
      </c>
      <c r="C113" s="4" t="s">
        <v>44</v>
      </c>
      <c r="D113">
        <v>438</v>
      </c>
      <c r="E113">
        <v>0</v>
      </c>
      <c r="F113">
        <v>0</v>
      </c>
      <c r="G113">
        <v>0</v>
      </c>
      <c r="H113" s="1">
        <v>0</v>
      </c>
      <c r="I113">
        <v>0</v>
      </c>
      <c r="J113">
        <v>0</v>
      </c>
      <c r="K113">
        <v>125</v>
      </c>
      <c r="L113">
        <v>0</v>
      </c>
      <c r="M113">
        <v>0</v>
      </c>
      <c r="N113">
        <v>7</v>
      </c>
      <c r="O113">
        <v>0</v>
      </c>
      <c r="P113">
        <v>6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17</v>
      </c>
      <c r="AI113">
        <v>35</v>
      </c>
      <c r="AJ113">
        <v>0</v>
      </c>
      <c r="AK113">
        <v>9</v>
      </c>
      <c r="AL113">
        <v>0</v>
      </c>
      <c r="AM113">
        <v>237</v>
      </c>
      <c r="AN113">
        <v>0</v>
      </c>
      <c r="AO113">
        <v>0</v>
      </c>
      <c r="AP113">
        <v>0</v>
      </c>
      <c r="AQ113">
        <v>0</v>
      </c>
    </row>
    <row r="114" spans="1:43" x14ac:dyDescent="0.3">
      <c r="A114" t="s">
        <v>41</v>
      </c>
      <c r="B114" t="s">
        <v>79</v>
      </c>
      <c r="C114" s="4" t="s">
        <v>40</v>
      </c>
      <c r="D114" s="1">
        <v>2247</v>
      </c>
      <c r="E114">
        <v>171</v>
      </c>
      <c r="F114">
        <v>0</v>
      </c>
      <c r="G114">
        <v>0</v>
      </c>
      <c r="H114" s="1">
        <v>1909</v>
      </c>
      <c r="I114">
        <v>0</v>
      </c>
      <c r="J114">
        <v>0</v>
      </c>
      <c r="K114">
        <v>11</v>
      </c>
      <c r="L114">
        <v>0</v>
      </c>
      <c r="M114">
        <v>0</v>
      </c>
      <c r="N114">
        <v>5</v>
      </c>
      <c r="O114">
        <v>0</v>
      </c>
      <c r="P114">
        <v>12</v>
      </c>
      <c r="Q114">
        <v>0</v>
      </c>
      <c r="R114">
        <v>0</v>
      </c>
      <c r="S114">
        <v>12</v>
      </c>
      <c r="T114">
        <v>2</v>
      </c>
      <c r="U114">
        <v>11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5</v>
      </c>
      <c r="AM114">
        <v>4</v>
      </c>
      <c r="AN114">
        <v>0</v>
      </c>
      <c r="AO114">
        <v>0</v>
      </c>
      <c r="AP114">
        <v>4</v>
      </c>
      <c r="AQ114">
        <v>101</v>
      </c>
    </row>
    <row r="115" spans="1:43" x14ac:dyDescent="0.3">
      <c r="A115" t="s">
        <v>41</v>
      </c>
      <c r="B115" t="s">
        <v>79</v>
      </c>
      <c r="C115" s="4" t="s">
        <v>43</v>
      </c>
      <c r="D115" s="1">
        <v>1277</v>
      </c>
      <c r="E115">
        <v>84</v>
      </c>
      <c r="F115">
        <v>0</v>
      </c>
      <c r="G115">
        <v>0</v>
      </c>
      <c r="H115" s="1">
        <v>1046</v>
      </c>
      <c r="I115">
        <v>0</v>
      </c>
      <c r="J115">
        <v>0</v>
      </c>
      <c r="K115">
        <v>9</v>
      </c>
      <c r="L115">
        <v>0</v>
      </c>
      <c r="M115">
        <v>0</v>
      </c>
      <c r="N115">
        <v>0</v>
      </c>
      <c r="O115">
        <v>0</v>
      </c>
      <c r="P115">
        <v>8</v>
      </c>
      <c r="Q115">
        <v>0</v>
      </c>
      <c r="R115">
        <v>0</v>
      </c>
      <c r="S115">
        <v>12</v>
      </c>
      <c r="T115">
        <v>2</v>
      </c>
      <c r="U115">
        <v>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5</v>
      </c>
      <c r="AM115">
        <v>2</v>
      </c>
      <c r="AN115">
        <v>0</v>
      </c>
      <c r="AO115">
        <v>0</v>
      </c>
      <c r="AP115">
        <v>2</v>
      </c>
      <c r="AQ115">
        <v>101</v>
      </c>
    </row>
    <row r="116" spans="1:43" x14ac:dyDescent="0.3">
      <c r="A116" t="s">
        <v>41</v>
      </c>
      <c r="B116" t="s">
        <v>79</v>
      </c>
      <c r="C116" s="4" t="s">
        <v>44</v>
      </c>
      <c r="D116">
        <v>970</v>
      </c>
      <c r="E116">
        <v>87</v>
      </c>
      <c r="F116">
        <v>0</v>
      </c>
      <c r="G116">
        <v>0</v>
      </c>
      <c r="H116">
        <v>863</v>
      </c>
      <c r="I116">
        <v>0</v>
      </c>
      <c r="J116">
        <v>0</v>
      </c>
      <c r="K116">
        <v>2</v>
      </c>
      <c r="L116">
        <v>0</v>
      </c>
      <c r="M116">
        <v>0</v>
      </c>
      <c r="N116">
        <v>5</v>
      </c>
      <c r="O116">
        <v>0</v>
      </c>
      <c r="P116">
        <v>4</v>
      </c>
      <c r="Q116">
        <v>0</v>
      </c>
      <c r="R116">
        <v>0</v>
      </c>
      <c r="S116">
        <v>0</v>
      </c>
      <c r="T116">
        <v>0</v>
      </c>
      <c r="U116">
        <v>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</v>
      </c>
      <c r="AN116">
        <v>0</v>
      </c>
      <c r="AO116">
        <v>0</v>
      </c>
      <c r="AP116">
        <v>2</v>
      </c>
      <c r="AQ116">
        <v>0</v>
      </c>
    </row>
    <row r="117" spans="1:43" x14ac:dyDescent="0.3">
      <c r="A117" t="s">
        <v>41</v>
      </c>
      <c r="B117" t="s">
        <v>80</v>
      </c>
      <c r="C117" s="4" t="s">
        <v>40</v>
      </c>
      <c r="D117" s="1">
        <v>2159</v>
      </c>
      <c r="E117">
        <v>41</v>
      </c>
      <c r="F117">
        <v>2</v>
      </c>
      <c r="G117">
        <v>0</v>
      </c>
      <c r="H117" s="1">
        <v>0</v>
      </c>
      <c r="I117" s="1">
        <v>1907</v>
      </c>
      <c r="J117">
        <v>0</v>
      </c>
      <c r="K117">
        <v>12</v>
      </c>
      <c r="L117">
        <v>1</v>
      </c>
      <c r="M117">
        <v>0</v>
      </c>
      <c r="N117">
        <v>14</v>
      </c>
      <c r="O117">
        <v>0</v>
      </c>
      <c r="P117">
        <v>36</v>
      </c>
      <c r="Q117">
        <v>0</v>
      </c>
      <c r="R117">
        <v>0</v>
      </c>
      <c r="S117">
        <v>0</v>
      </c>
      <c r="T117">
        <v>2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9</v>
      </c>
      <c r="AJ117">
        <v>0</v>
      </c>
      <c r="AK117">
        <v>0</v>
      </c>
      <c r="AL117">
        <v>0</v>
      </c>
      <c r="AM117">
        <v>2</v>
      </c>
      <c r="AN117">
        <v>0</v>
      </c>
      <c r="AO117">
        <v>0</v>
      </c>
      <c r="AP117">
        <v>15</v>
      </c>
      <c r="AQ117">
        <v>113</v>
      </c>
    </row>
    <row r="118" spans="1:43" x14ac:dyDescent="0.3">
      <c r="A118" t="s">
        <v>41</v>
      </c>
      <c r="B118" t="s">
        <v>80</v>
      </c>
      <c r="C118" s="4" t="s">
        <v>43</v>
      </c>
      <c r="D118" s="1">
        <v>1402</v>
      </c>
      <c r="E118">
        <v>22</v>
      </c>
      <c r="F118">
        <v>2</v>
      </c>
      <c r="G118">
        <v>0</v>
      </c>
      <c r="H118" s="1">
        <v>0</v>
      </c>
      <c r="I118" s="1">
        <v>1217</v>
      </c>
      <c r="J118">
        <v>0</v>
      </c>
      <c r="K118">
        <v>8</v>
      </c>
      <c r="L118">
        <v>1</v>
      </c>
      <c r="M118">
        <v>0</v>
      </c>
      <c r="N118">
        <v>3</v>
      </c>
      <c r="O118">
        <v>0</v>
      </c>
      <c r="P118">
        <v>13</v>
      </c>
      <c r="Q118">
        <v>0</v>
      </c>
      <c r="R118">
        <v>0</v>
      </c>
      <c r="S118">
        <v>0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8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11</v>
      </c>
      <c r="AQ118">
        <v>113</v>
      </c>
    </row>
    <row r="119" spans="1:43" x14ac:dyDescent="0.3">
      <c r="A119" t="s">
        <v>41</v>
      </c>
      <c r="B119" t="s">
        <v>80</v>
      </c>
      <c r="C119" s="4" t="s">
        <v>44</v>
      </c>
      <c r="D119">
        <v>757</v>
      </c>
      <c r="E119">
        <v>19</v>
      </c>
      <c r="F119">
        <v>0</v>
      </c>
      <c r="G119">
        <v>0</v>
      </c>
      <c r="H119" s="1">
        <v>0</v>
      </c>
      <c r="I119">
        <v>690</v>
      </c>
      <c r="J119">
        <v>0</v>
      </c>
      <c r="K119">
        <v>4</v>
      </c>
      <c r="L119">
        <v>0</v>
      </c>
      <c r="M119">
        <v>0</v>
      </c>
      <c r="N119">
        <v>11</v>
      </c>
      <c r="O119">
        <v>0</v>
      </c>
      <c r="P119">
        <v>23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4</v>
      </c>
      <c r="AQ119">
        <v>0</v>
      </c>
    </row>
    <row r="120" spans="1:43" x14ac:dyDescent="0.3">
      <c r="A120" t="s">
        <v>41</v>
      </c>
      <c r="B120" t="s">
        <v>81</v>
      </c>
      <c r="C120" s="4" t="s">
        <v>40</v>
      </c>
      <c r="D120" s="1">
        <v>1942</v>
      </c>
      <c r="E120">
        <v>30</v>
      </c>
      <c r="F120">
        <v>87</v>
      </c>
      <c r="G120">
        <v>0</v>
      </c>
      <c r="H120" s="1">
        <v>0</v>
      </c>
      <c r="I120">
        <v>19</v>
      </c>
      <c r="J120">
        <v>0</v>
      </c>
      <c r="K120">
        <v>269</v>
      </c>
      <c r="L120">
        <v>0</v>
      </c>
      <c r="M120">
        <v>0</v>
      </c>
      <c r="N120">
        <v>22</v>
      </c>
      <c r="O120">
        <v>0</v>
      </c>
      <c r="P120">
        <v>9</v>
      </c>
      <c r="Q120">
        <v>0</v>
      </c>
      <c r="R120">
        <v>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51</v>
      </c>
      <c r="AD120">
        <v>0</v>
      </c>
      <c r="AE120" s="1">
        <v>1444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3">
      <c r="A121" t="s">
        <v>41</v>
      </c>
      <c r="B121" t="s">
        <v>81</v>
      </c>
      <c r="C121" s="4" t="s">
        <v>43</v>
      </c>
      <c r="D121" s="1">
        <v>1693</v>
      </c>
      <c r="E121">
        <v>15</v>
      </c>
      <c r="F121">
        <v>62</v>
      </c>
      <c r="G121">
        <v>0</v>
      </c>
      <c r="H121" s="1">
        <v>0</v>
      </c>
      <c r="I121">
        <v>13</v>
      </c>
      <c r="J121">
        <v>0</v>
      </c>
      <c r="K121">
        <v>137</v>
      </c>
      <c r="L121">
        <v>0</v>
      </c>
      <c r="M121">
        <v>0</v>
      </c>
      <c r="N121">
        <v>6</v>
      </c>
      <c r="O121">
        <v>0</v>
      </c>
      <c r="P121">
        <v>0</v>
      </c>
      <c r="Q121">
        <v>0</v>
      </c>
      <c r="R121">
        <v>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51</v>
      </c>
      <c r="AD121">
        <v>0</v>
      </c>
      <c r="AE121" s="1">
        <v>1404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3">
      <c r="A122" t="s">
        <v>41</v>
      </c>
      <c r="B122" t="s">
        <v>81</v>
      </c>
      <c r="C122" s="4" t="s">
        <v>44</v>
      </c>
      <c r="D122">
        <v>249</v>
      </c>
      <c r="E122">
        <v>15</v>
      </c>
      <c r="F122">
        <v>25</v>
      </c>
      <c r="G122">
        <v>0</v>
      </c>
      <c r="H122" s="1">
        <v>0</v>
      </c>
      <c r="I122">
        <v>6</v>
      </c>
      <c r="J122">
        <v>0</v>
      </c>
      <c r="K122">
        <v>132</v>
      </c>
      <c r="L122">
        <v>0</v>
      </c>
      <c r="M122">
        <v>0</v>
      </c>
      <c r="N122">
        <v>16</v>
      </c>
      <c r="O122">
        <v>0</v>
      </c>
      <c r="P122">
        <v>9</v>
      </c>
      <c r="Q122">
        <v>0</v>
      </c>
      <c r="R122">
        <v>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3">
      <c r="A123" t="s">
        <v>41</v>
      </c>
      <c r="B123" t="s">
        <v>82</v>
      </c>
      <c r="C123" s="4" t="s">
        <v>40</v>
      </c>
      <c r="D123" s="1">
        <v>1848</v>
      </c>
      <c r="E123">
        <v>29</v>
      </c>
      <c r="F123">
        <v>27</v>
      </c>
      <c r="G123">
        <v>0</v>
      </c>
      <c r="H123" s="1">
        <v>0</v>
      </c>
      <c r="I123">
        <v>7</v>
      </c>
      <c r="J123">
        <v>0</v>
      </c>
      <c r="K123">
        <v>698</v>
      </c>
      <c r="L123">
        <v>1</v>
      </c>
      <c r="M123">
        <v>0</v>
      </c>
      <c r="N123">
        <v>68</v>
      </c>
      <c r="O123">
        <v>0</v>
      </c>
      <c r="P123">
        <v>37</v>
      </c>
      <c r="Q123">
        <v>0</v>
      </c>
      <c r="R123">
        <v>0</v>
      </c>
      <c r="S123">
        <v>0</v>
      </c>
      <c r="T123">
        <v>3</v>
      </c>
      <c r="U123">
        <v>0</v>
      </c>
      <c r="V123">
        <v>3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2</v>
      </c>
      <c r="AC123">
        <v>23</v>
      </c>
      <c r="AD123">
        <v>0</v>
      </c>
      <c r="AE123">
        <v>0</v>
      </c>
      <c r="AF123">
        <v>0</v>
      </c>
      <c r="AG123">
        <v>33</v>
      </c>
      <c r="AH123">
        <v>34</v>
      </c>
      <c r="AI123">
        <v>5</v>
      </c>
      <c r="AJ123">
        <v>399</v>
      </c>
      <c r="AK123">
        <v>18</v>
      </c>
      <c r="AL123">
        <v>12</v>
      </c>
      <c r="AM123">
        <v>55</v>
      </c>
      <c r="AN123">
        <v>0</v>
      </c>
      <c r="AO123">
        <v>1</v>
      </c>
      <c r="AP123">
        <v>73</v>
      </c>
      <c r="AQ123">
        <v>319</v>
      </c>
    </row>
    <row r="124" spans="1:43" x14ac:dyDescent="0.3">
      <c r="A124" t="s">
        <v>41</v>
      </c>
      <c r="B124" t="s">
        <v>82</v>
      </c>
      <c r="C124" s="4" t="s">
        <v>43</v>
      </c>
      <c r="D124" s="1">
        <v>1196</v>
      </c>
      <c r="E124">
        <v>16</v>
      </c>
      <c r="F124">
        <v>21</v>
      </c>
      <c r="G124">
        <v>0</v>
      </c>
      <c r="H124" s="1">
        <v>0</v>
      </c>
      <c r="I124">
        <v>4</v>
      </c>
      <c r="J124">
        <v>0</v>
      </c>
      <c r="K124">
        <v>446</v>
      </c>
      <c r="L124">
        <v>1</v>
      </c>
      <c r="M124">
        <v>0</v>
      </c>
      <c r="N124">
        <v>20</v>
      </c>
      <c r="O124">
        <v>0</v>
      </c>
      <c r="P124">
        <v>14</v>
      </c>
      <c r="Q124">
        <v>0</v>
      </c>
      <c r="R124">
        <v>0</v>
      </c>
      <c r="S124">
        <v>0</v>
      </c>
      <c r="T124">
        <v>3</v>
      </c>
      <c r="U124">
        <v>0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21</v>
      </c>
      <c r="AD124">
        <v>0</v>
      </c>
      <c r="AE124">
        <v>0</v>
      </c>
      <c r="AF124">
        <v>0</v>
      </c>
      <c r="AG124">
        <v>16</v>
      </c>
      <c r="AH124">
        <v>11</v>
      </c>
      <c r="AI124">
        <v>3</v>
      </c>
      <c r="AJ124">
        <v>189</v>
      </c>
      <c r="AK124">
        <v>10</v>
      </c>
      <c r="AL124">
        <v>3</v>
      </c>
      <c r="AM124">
        <v>43</v>
      </c>
      <c r="AN124">
        <v>0</v>
      </c>
      <c r="AO124">
        <v>1</v>
      </c>
      <c r="AP124">
        <v>53</v>
      </c>
      <c r="AQ124">
        <v>319</v>
      </c>
    </row>
    <row r="125" spans="1:43" x14ac:dyDescent="0.3">
      <c r="A125" t="s">
        <v>41</v>
      </c>
      <c r="B125" t="s">
        <v>82</v>
      </c>
      <c r="C125" s="4" t="s">
        <v>44</v>
      </c>
      <c r="D125">
        <v>652</v>
      </c>
      <c r="E125">
        <v>13</v>
      </c>
      <c r="F125">
        <v>6</v>
      </c>
      <c r="G125">
        <v>0</v>
      </c>
      <c r="H125" s="1">
        <v>0</v>
      </c>
      <c r="I125">
        <v>3</v>
      </c>
      <c r="J125">
        <v>0</v>
      </c>
      <c r="K125">
        <v>252</v>
      </c>
      <c r="L125">
        <v>0</v>
      </c>
      <c r="M125">
        <v>0</v>
      </c>
      <c r="N125">
        <v>48</v>
      </c>
      <c r="O125">
        <v>0</v>
      </c>
      <c r="P125">
        <v>23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2</v>
      </c>
      <c r="AD125">
        <v>0</v>
      </c>
      <c r="AE125">
        <v>0</v>
      </c>
      <c r="AF125">
        <v>0</v>
      </c>
      <c r="AG125">
        <v>17</v>
      </c>
      <c r="AH125">
        <v>23</v>
      </c>
      <c r="AI125">
        <v>2</v>
      </c>
      <c r="AJ125">
        <v>210</v>
      </c>
      <c r="AK125">
        <v>8</v>
      </c>
      <c r="AL125">
        <v>9</v>
      </c>
      <c r="AM125">
        <v>12</v>
      </c>
      <c r="AN125">
        <v>0</v>
      </c>
      <c r="AO125">
        <v>0</v>
      </c>
      <c r="AP125">
        <v>20</v>
      </c>
      <c r="AQ125">
        <v>0</v>
      </c>
    </row>
    <row r="126" spans="1:43" x14ac:dyDescent="0.3">
      <c r="A126" t="s">
        <v>41</v>
      </c>
      <c r="B126" t="s">
        <v>83</v>
      </c>
      <c r="C126" s="4" t="s">
        <v>40</v>
      </c>
      <c r="D126" s="1">
        <v>1525</v>
      </c>
      <c r="E126">
        <v>0</v>
      </c>
      <c r="F126">
        <v>0</v>
      </c>
      <c r="G126">
        <v>0</v>
      </c>
      <c r="H126" s="1">
        <v>0</v>
      </c>
      <c r="I126" s="1">
        <v>1299</v>
      </c>
      <c r="J126">
        <v>0</v>
      </c>
      <c r="K126">
        <v>3</v>
      </c>
      <c r="L126">
        <v>4</v>
      </c>
      <c r="M126">
        <v>0</v>
      </c>
      <c r="N126">
        <v>1</v>
      </c>
      <c r="O126">
        <v>0</v>
      </c>
      <c r="P126">
        <v>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7</v>
      </c>
      <c r="Z126">
        <v>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4</v>
      </c>
      <c r="AJ126">
        <v>17</v>
      </c>
      <c r="AK126">
        <v>20</v>
      </c>
      <c r="AL126">
        <v>1</v>
      </c>
      <c r="AM126">
        <v>0</v>
      </c>
      <c r="AN126">
        <v>0</v>
      </c>
      <c r="AO126">
        <v>0</v>
      </c>
      <c r="AP126">
        <v>34</v>
      </c>
      <c r="AQ126">
        <v>125</v>
      </c>
    </row>
    <row r="127" spans="1:43" x14ac:dyDescent="0.3">
      <c r="A127" t="s">
        <v>41</v>
      </c>
      <c r="B127" t="s">
        <v>83</v>
      </c>
      <c r="C127" s="4" t="s">
        <v>43</v>
      </c>
      <c r="D127">
        <v>832</v>
      </c>
      <c r="E127">
        <v>0</v>
      </c>
      <c r="F127">
        <v>0</v>
      </c>
      <c r="G127">
        <v>0</v>
      </c>
      <c r="H127" s="1">
        <v>0</v>
      </c>
      <c r="I127">
        <v>660</v>
      </c>
      <c r="J127">
        <v>0</v>
      </c>
      <c r="K127">
        <v>1</v>
      </c>
      <c r="L127">
        <v>4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</v>
      </c>
      <c r="Z127">
        <v>6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4</v>
      </c>
      <c r="AJ127">
        <v>4</v>
      </c>
      <c r="AK127">
        <v>2</v>
      </c>
      <c r="AL127">
        <v>0</v>
      </c>
      <c r="AM127">
        <v>0</v>
      </c>
      <c r="AN127">
        <v>0</v>
      </c>
      <c r="AO127">
        <v>0</v>
      </c>
      <c r="AP127">
        <v>17</v>
      </c>
      <c r="AQ127">
        <v>125</v>
      </c>
    </row>
    <row r="128" spans="1:43" x14ac:dyDescent="0.3">
      <c r="A128" t="s">
        <v>41</v>
      </c>
      <c r="B128" t="s">
        <v>83</v>
      </c>
      <c r="C128" s="4" t="s">
        <v>44</v>
      </c>
      <c r="D128">
        <v>693</v>
      </c>
      <c r="E128">
        <v>0</v>
      </c>
      <c r="F128">
        <v>0</v>
      </c>
      <c r="G128">
        <v>0</v>
      </c>
      <c r="H128" s="1">
        <v>0</v>
      </c>
      <c r="I128">
        <v>639</v>
      </c>
      <c r="J128">
        <v>0</v>
      </c>
      <c r="K128">
        <v>2</v>
      </c>
      <c r="L128">
        <v>0</v>
      </c>
      <c r="M128">
        <v>0</v>
      </c>
      <c r="N128">
        <v>1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13</v>
      </c>
      <c r="AK128">
        <v>18</v>
      </c>
      <c r="AL128">
        <v>1</v>
      </c>
      <c r="AM128">
        <v>0</v>
      </c>
      <c r="AN128">
        <v>0</v>
      </c>
      <c r="AO128">
        <v>0</v>
      </c>
      <c r="AP128">
        <v>17</v>
      </c>
      <c r="AQ128">
        <v>0</v>
      </c>
    </row>
    <row r="129" spans="1:43" x14ac:dyDescent="0.3">
      <c r="A129" t="s">
        <v>41</v>
      </c>
      <c r="B129" t="s">
        <v>84</v>
      </c>
      <c r="C129" s="4" t="s">
        <v>40</v>
      </c>
      <c r="D129" s="1">
        <v>1171</v>
      </c>
      <c r="E129">
        <v>5</v>
      </c>
      <c r="F129">
        <v>13</v>
      </c>
      <c r="G129">
        <v>0</v>
      </c>
      <c r="H129" s="1">
        <v>0</v>
      </c>
      <c r="I129">
        <v>40</v>
      </c>
      <c r="J129">
        <v>3</v>
      </c>
      <c r="K129">
        <v>667</v>
      </c>
      <c r="L129">
        <v>7</v>
      </c>
      <c r="M129">
        <v>0</v>
      </c>
      <c r="N129">
        <v>23</v>
      </c>
      <c r="O129">
        <v>0</v>
      </c>
      <c r="P129">
        <v>8</v>
      </c>
      <c r="Q129">
        <v>0</v>
      </c>
      <c r="R129">
        <v>0</v>
      </c>
      <c r="S129">
        <v>0</v>
      </c>
      <c r="T129">
        <v>4</v>
      </c>
      <c r="U129">
        <v>1</v>
      </c>
      <c r="V129">
        <v>0</v>
      </c>
      <c r="W129">
        <v>2</v>
      </c>
      <c r="X129">
        <v>0</v>
      </c>
      <c r="Y129">
        <v>0</v>
      </c>
      <c r="Z129">
        <v>10</v>
      </c>
      <c r="AA129">
        <v>0</v>
      </c>
      <c r="AB129">
        <v>6</v>
      </c>
      <c r="AC129">
        <v>8</v>
      </c>
      <c r="AD129">
        <v>0</v>
      </c>
      <c r="AE129">
        <v>0</v>
      </c>
      <c r="AF129">
        <v>0</v>
      </c>
      <c r="AG129">
        <v>1</v>
      </c>
      <c r="AH129">
        <v>4</v>
      </c>
      <c r="AI129">
        <v>2</v>
      </c>
      <c r="AJ129">
        <v>0</v>
      </c>
      <c r="AK129">
        <v>1</v>
      </c>
      <c r="AL129">
        <v>5</v>
      </c>
      <c r="AM129">
        <v>4</v>
      </c>
      <c r="AN129">
        <v>0</v>
      </c>
      <c r="AO129">
        <v>0</v>
      </c>
      <c r="AP129">
        <v>4</v>
      </c>
      <c r="AQ129">
        <v>353</v>
      </c>
    </row>
    <row r="130" spans="1:43" x14ac:dyDescent="0.3">
      <c r="A130" t="s">
        <v>41</v>
      </c>
      <c r="B130" t="s">
        <v>84</v>
      </c>
      <c r="C130" s="4" t="s">
        <v>43</v>
      </c>
      <c r="D130">
        <v>881</v>
      </c>
      <c r="E130">
        <v>5</v>
      </c>
      <c r="F130">
        <v>8</v>
      </c>
      <c r="G130">
        <v>0</v>
      </c>
      <c r="H130" s="1">
        <v>0</v>
      </c>
      <c r="I130">
        <v>39</v>
      </c>
      <c r="J130">
        <v>3</v>
      </c>
      <c r="K130">
        <v>422</v>
      </c>
      <c r="L130">
        <v>4</v>
      </c>
      <c r="M130">
        <v>0</v>
      </c>
      <c r="N130">
        <v>11</v>
      </c>
      <c r="O130">
        <v>0</v>
      </c>
      <c r="P130">
        <v>3</v>
      </c>
      <c r="Q130">
        <v>0</v>
      </c>
      <c r="R130">
        <v>0</v>
      </c>
      <c r="S130">
        <v>0</v>
      </c>
      <c r="T130">
        <v>4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10</v>
      </c>
      <c r="AA130">
        <v>0</v>
      </c>
      <c r="AB130">
        <v>0</v>
      </c>
      <c r="AC130">
        <v>3</v>
      </c>
      <c r="AD130">
        <v>0</v>
      </c>
      <c r="AE130">
        <v>0</v>
      </c>
      <c r="AF130">
        <v>0</v>
      </c>
      <c r="AG130">
        <v>0</v>
      </c>
      <c r="AH130">
        <v>4</v>
      </c>
      <c r="AI130">
        <v>0</v>
      </c>
      <c r="AJ130">
        <v>0</v>
      </c>
      <c r="AK130">
        <v>1</v>
      </c>
      <c r="AL130">
        <v>4</v>
      </c>
      <c r="AM130">
        <v>4</v>
      </c>
      <c r="AN130">
        <v>0</v>
      </c>
      <c r="AO130">
        <v>0</v>
      </c>
      <c r="AP130">
        <v>2</v>
      </c>
      <c r="AQ130">
        <v>353</v>
      </c>
    </row>
    <row r="131" spans="1:43" x14ac:dyDescent="0.3">
      <c r="A131" t="s">
        <v>41</v>
      </c>
      <c r="B131" t="s">
        <v>84</v>
      </c>
      <c r="C131" s="4" t="s">
        <v>44</v>
      </c>
      <c r="D131">
        <v>290</v>
      </c>
      <c r="E131">
        <v>0</v>
      </c>
      <c r="F131">
        <v>5</v>
      </c>
      <c r="G131">
        <v>0</v>
      </c>
      <c r="H131" s="1">
        <v>0</v>
      </c>
      <c r="I131">
        <v>1</v>
      </c>
      <c r="J131">
        <v>0</v>
      </c>
      <c r="K131">
        <v>245</v>
      </c>
      <c r="L131">
        <v>3</v>
      </c>
      <c r="M131">
        <v>0</v>
      </c>
      <c r="N131">
        <v>12</v>
      </c>
      <c r="O131">
        <v>0</v>
      </c>
      <c r="P131">
        <v>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0</v>
      </c>
      <c r="Y131">
        <v>0</v>
      </c>
      <c r="Z131">
        <v>0</v>
      </c>
      <c r="AA131">
        <v>0</v>
      </c>
      <c r="AB131">
        <v>6</v>
      </c>
      <c r="AC131">
        <v>5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2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2</v>
      </c>
      <c r="AQ131">
        <v>0</v>
      </c>
    </row>
    <row r="132" spans="1:43" x14ac:dyDescent="0.3">
      <c r="A132" t="s">
        <v>41</v>
      </c>
      <c r="B132" t="s">
        <v>85</v>
      </c>
      <c r="C132" s="4" t="s">
        <v>40</v>
      </c>
      <c r="D132" s="1">
        <v>1166</v>
      </c>
      <c r="E132">
        <v>0</v>
      </c>
      <c r="F132">
        <v>3</v>
      </c>
      <c r="G132">
        <v>0</v>
      </c>
      <c r="H132" s="1">
        <v>0</v>
      </c>
      <c r="I132">
        <v>10</v>
      </c>
      <c r="J132">
        <v>0</v>
      </c>
      <c r="K132">
        <v>277</v>
      </c>
      <c r="L132">
        <v>0</v>
      </c>
      <c r="M132">
        <v>0</v>
      </c>
      <c r="N132">
        <v>14</v>
      </c>
      <c r="O132">
        <v>0</v>
      </c>
      <c r="P132">
        <v>9</v>
      </c>
      <c r="Q132">
        <v>0</v>
      </c>
      <c r="R132">
        <v>0</v>
      </c>
      <c r="S132">
        <v>0</v>
      </c>
      <c r="T132">
        <v>124</v>
      </c>
      <c r="U132">
        <v>27</v>
      </c>
      <c r="V132">
        <v>1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8</v>
      </c>
      <c r="AD132">
        <v>0</v>
      </c>
      <c r="AE132">
        <v>0</v>
      </c>
      <c r="AF132">
        <v>0</v>
      </c>
      <c r="AG132">
        <v>8</v>
      </c>
      <c r="AH132">
        <v>51</v>
      </c>
      <c r="AI132">
        <v>43</v>
      </c>
      <c r="AJ132">
        <v>0</v>
      </c>
      <c r="AK132">
        <v>7</v>
      </c>
      <c r="AL132">
        <v>23</v>
      </c>
      <c r="AM132">
        <v>481</v>
      </c>
      <c r="AN132">
        <v>0</v>
      </c>
      <c r="AO132">
        <v>0</v>
      </c>
      <c r="AP132">
        <v>0</v>
      </c>
      <c r="AQ132">
        <v>78</v>
      </c>
    </row>
    <row r="133" spans="1:43" x14ac:dyDescent="0.3">
      <c r="A133" t="s">
        <v>41</v>
      </c>
      <c r="B133" t="s">
        <v>85</v>
      </c>
      <c r="C133" s="4" t="s">
        <v>43</v>
      </c>
      <c r="D133">
        <v>962</v>
      </c>
      <c r="E133">
        <v>0</v>
      </c>
      <c r="F133">
        <v>3</v>
      </c>
      <c r="G133">
        <v>0</v>
      </c>
      <c r="H133" s="1">
        <v>0</v>
      </c>
      <c r="I133">
        <v>10</v>
      </c>
      <c r="J133">
        <v>0</v>
      </c>
      <c r="K133">
        <v>167</v>
      </c>
      <c r="L133">
        <v>0</v>
      </c>
      <c r="M133">
        <v>0</v>
      </c>
      <c r="N133">
        <v>8</v>
      </c>
      <c r="O133">
        <v>0</v>
      </c>
      <c r="P133">
        <v>5</v>
      </c>
      <c r="Q133">
        <v>0</v>
      </c>
      <c r="R133">
        <v>0</v>
      </c>
      <c r="S133">
        <v>0</v>
      </c>
      <c r="T133">
        <v>124</v>
      </c>
      <c r="U133">
        <v>27</v>
      </c>
      <c r="V133">
        <v>1</v>
      </c>
      <c r="W133">
        <v>0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3</v>
      </c>
      <c r="AD133">
        <v>0</v>
      </c>
      <c r="AE133">
        <v>0</v>
      </c>
      <c r="AF133">
        <v>0</v>
      </c>
      <c r="AG133">
        <v>6</v>
      </c>
      <c r="AH133">
        <v>40</v>
      </c>
      <c r="AI133">
        <v>19</v>
      </c>
      <c r="AJ133">
        <v>0</v>
      </c>
      <c r="AK133">
        <v>6</v>
      </c>
      <c r="AL133">
        <v>23</v>
      </c>
      <c r="AM133">
        <v>440</v>
      </c>
      <c r="AN133">
        <v>0</v>
      </c>
      <c r="AO133">
        <v>0</v>
      </c>
      <c r="AP133">
        <v>0</v>
      </c>
      <c r="AQ133">
        <v>78</v>
      </c>
    </row>
    <row r="134" spans="1:43" x14ac:dyDescent="0.3">
      <c r="A134" t="s">
        <v>41</v>
      </c>
      <c r="B134" t="s">
        <v>85</v>
      </c>
      <c r="C134" s="4" t="s">
        <v>44</v>
      </c>
      <c r="D134">
        <v>204</v>
      </c>
      <c r="E134">
        <v>0</v>
      </c>
      <c r="F134">
        <v>0</v>
      </c>
      <c r="G134">
        <v>0</v>
      </c>
      <c r="H134" s="1">
        <v>0</v>
      </c>
      <c r="I134">
        <v>0</v>
      </c>
      <c r="J134">
        <v>0</v>
      </c>
      <c r="K134">
        <v>110</v>
      </c>
      <c r="L134">
        <v>0</v>
      </c>
      <c r="M134">
        <v>0</v>
      </c>
      <c r="N134">
        <v>6</v>
      </c>
      <c r="O134">
        <v>0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5</v>
      </c>
      <c r="AD134">
        <v>0</v>
      </c>
      <c r="AE134">
        <v>0</v>
      </c>
      <c r="AF134">
        <v>0</v>
      </c>
      <c r="AG134">
        <v>2</v>
      </c>
      <c r="AH134">
        <v>11</v>
      </c>
      <c r="AI134">
        <v>24</v>
      </c>
      <c r="AJ134">
        <v>0</v>
      </c>
      <c r="AK134">
        <v>1</v>
      </c>
      <c r="AL134">
        <v>0</v>
      </c>
      <c r="AM134">
        <v>41</v>
      </c>
      <c r="AN134">
        <v>0</v>
      </c>
      <c r="AO134">
        <v>0</v>
      </c>
      <c r="AP134">
        <v>0</v>
      </c>
      <c r="AQ134">
        <v>0</v>
      </c>
    </row>
    <row r="135" spans="1:43" x14ac:dyDescent="0.3">
      <c r="A135" t="s">
        <v>41</v>
      </c>
      <c r="B135" t="s">
        <v>86</v>
      </c>
      <c r="C135" s="4" t="s">
        <v>40</v>
      </c>
      <c r="D135" s="1">
        <v>1076</v>
      </c>
      <c r="E135">
        <v>17</v>
      </c>
      <c r="F135">
        <v>1</v>
      </c>
      <c r="G135">
        <v>0</v>
      </c>
      <c r="H135" s="1">
        <v>0</v>
      </c>
      <c r="I135">
        <v>950</v>
      </c>
      <c r="J135">
        <v>0</v>
      </c>
      <c r="K135">
        <v>5</v>
      </c>
      <c r="L135">
        <v>1</v>
      </c>
      <c r="M135">
        <v>0</v>
      </c>
      <c r="N135">
        <v>9</v>
      </c>
      <c r="O135">
        <v>0</v>
      </c>
      <c r="P135">
        <v>12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2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15</v>
      </c>
      <c r="AQ135">
        <v>55</v>
      </c>
    </row>
    <row r="136" spans="1:43" x14ac:dyDescent="0.3">
      <c r="A136" t="s">
        <v>41</v>
      </c>
      <c r="B136" t="s">
        <v>86</v>
      </c>
      <c r="C136" s="4" t="s">
        <v>43</v>
      </c>
      <c r="D136">
        <v>557</v>
      </c>
      <c r="E136">
        <v>12</v>
      </c>
      <c r="F136">
        <v>1</v>
      </c>
      <c r="G136">
        <v>0</v>
      </c>
      <c r="H136" s="1">
        <v>0</v>
      </c>
      <c r="I136">
        <v>469</v>
      </c>
      <c r="J136">
        <v>0</v>
      </c>
      <c r="K136">
        <v>2</v>
      </c>
      <c r="L136">
        <v>1</v>
      </c>
      <c r="M136">
        <v>0</v>
      </c>
      <c r="N136">
        <v>0</v>
      </c>
      <c r="O136">
        <v>0</v>
      </c>
      <c r="P136">
        <v>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9</v>
      </c>
      <c r="AQ136">
        <v>55</v>
      </c>
    </row>
    <row r="137" spans="1:43" x14ac:dyDescent="0.3">
      <c r="A137" t="s">
        <v>41</v>
      </c>
      <c r="B137" t="s">
        <v>86</v>
      </c>
      <c r="C137" s="4" t="s">
        <v>44</v>
      </c>
      <c r="D137">
        <v>519</v>
      </c>
      <c r="E137">
        <v>5</v>
      </c>
      <c r="F137">
        <v>0</v>
      </c>
      <c r="G137">
        <v>0</v>
      </c>
      <c r="H137" s="1">
        <v>0</v>
      </c>
      <c r="I137">
        <v>481</v>
      </c>
      <c r="J137">
        <v>0</v>
      </c>
      <c r="K137">
        <v>3</v>
      </c>
      <c r="L137">
        <v>0</v>
      </c>
      <c r="M137">
        <v>0</v>
      </c>
      <c r="N137">
        <v>9</v>
      </c>
      <c r="O137">
        <v>0</v>
      </c>
      <c r="P137">
        <v>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6</v>
      </c>
      <c r="AQ137">
        <v>0</v>
      </c>
    </row>
    <row r="138" spans="1:43" x14ac:dyDescent="0.3">
      <c r="A138" t="s">
        <v>41</v>
      </c>
      <c r="B138" t="s">
        <v>87</v>
      </c>
      <c r="C138" s="4" t="s">
        <v>40</v>
      </c>
      <c r="D138">
        <v>554</v>
      </c>
      <c r="E138">
        <v>10</v>
      </c>
      <c r="F138">
        <v>139</v>
      </c>
      <c r="G138">
        <v>0</v>
      </c>
      <c r="H138" s="1">
        <v>0</v>
      </c>
      <c r="I138">
        <v>7</v>
      </c>
      <c r="J138">
        <v>0</v>
      </c>
      <c r="K138">
        <v>284</v>
      </c>
      <c r="L138">
        <v>0</v>
      </c>
      <c r="M138">
        <v>0</v>
      </c>
      <c r="N138">
        <v>15</v>
      </c>
      <c r="O138">
        <v>0</v>
      </c>
      <c r="P138">
        <v>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5</v>
      </c>
      <c r="AD138">
        <v>0</v>
      </c>
      <c r="AE138">
        <v>0</v>
      </c>
      <c r="AF138">
        <v>0</v>
      </c>
      <c r="AG138">
        <v>0</v>
      </c>
      <c r="AH138">
        <v>4</v>
      </c>
      <c r="AI138">
        <v>0</v>
      </c>
      <c r="AJ138">
        <v>0</v>
      </c>
      <c r="AK138">
        <v>5</v>
      </c>
      <c r="AL138">
        <v>14</v>
      </c>
      <c r="AM138">
        <v>0</v>
      </c>
      <c r="AN138">
        <v>0</v>
      </c>
      <c r="AO138">
        <v>0</v>
      </c>
      <c r="AP138">
        <v>0</v>
      </c>
      <c r="AQ138">
        <v>68</v>
      </c>
    </row>
    <row r="139" spans="1:43" x14ac:dyDescent="0.3">
      <c r="A139" t="s">
        <v>41</v>
      </c>
      <c r="B139" t="s">
        <v>87</v>
      </c>
      <c r="C139" s="4" t="s">
        <v>43</v>
      </c>
      <c r="D139">
        <v>324</v>
      </c>
      <c r="E139">
        <v>7</v>
      </c>
      <c r="F139">
        <v>82</v>
      </c>
      <c r="G139">
        <v>0</v>
      </c>
      <c r="H139" s="1">
        <v>0</v>
      </c>
      <c r="I139">
        <v>3</v>
      </c>
      <c r="J139">
        <v>0</v>
      </c>
      <c r="K139">
        <v>143</v>
      </c>
      <c r="L139">
        <v>0</v>
      </c>
      <c r="M139">
        <v>0</v>
      </c>
      <c r="N139">
        <v>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  <c r="AK139">
        <v>5</v>
      </c>
      <c r="AL139">
        <v>8</v>
      </c>
      <c r="AM139">
        <v>0</v>
      </c>
      <c r="AN139">
        <v>0</v>
      </c>
      <c r="AO139">
        <v>0</v>
      </c>
      <c r="AP139">
        <v>0</v>
      </c>
      <c r="AQ139">
        <v>68</v>
      </c>
    </row>
    <row r="140" spans="1:43" x14ac:dyDescent="0.3">
      <c r="A140" t="s">
        <v>41</v>
      </c>
      <c r="B140" t="s">
        <v>87</v>
      </c>
      <c r="C140" s="4" t="s">
        <v>44</v>
      </c>
      <c r="D140">
        <v>230</v>
      </c>
      <c r="E140">
        <v>3</v>
      </c>
      <c r="F140">
        <v>57</v>
      </c>
      <c r="G140">
        <v>0</v>
      </c>
      <c r="H140" s="1">
        <v>0</v>
      </c>
      <c r="I140">
        <v>4</v>
      </c>
      <c r="J140">
        <v>0</v>
      </c>
      <c r="K140">
        <v>141</v>
      </c>
      <c r="L140">
        <v>0</v>
      </c>
      <c r="M140">
        <v>0</v>
      </c>
      <c r="N140">
        <v>12</v>
      </c>
      <c r="O140">
        <v>0</v>
      </c>
      <c r="P140">
        <v>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0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0</v>
      </c>
      <c r="AK140">
        <v>0</v>
      </c>
      <c r="AL140">
        <v>6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3">
      <c r="A141" t="s">
        <v>41</v>
      </c>
      <c r="B141" t="s">
        <v>88</v>
      </c>
      <c r="C141" s="4" t="s">
        <v>40</v>
      </c>
      <c r="D141">
        <v>306</v>
      </c>
      <c r="E141">
        <v>0</v>
      </c>
      <c r="F141">
        <v>4</v>
      </c>
      <c r="G141">
        <v>0</v>
      </c>
      <c r="H141" s="1">
        <v>0</v>
      </c>
      <c r="I141">
        <v>0</v>
      </c>
      <c r="J141">
        <v>0</v>
      </c>
      <c r="K141">
        <v>97</v>
      </c>
      <c r="L141">
        <v>0</v>
      </c>
      <c r="M141">
        <v>0</v>
      </c>
      <c r="N141">
        <v>16</v>
      </c>
      <c r="O141">
        <v>0</v>
      </c>
      <c r="P141">
        <v>7</v>
      </c>
      <c r="Q141">
        <v>0</v>
      </c>
      <c r="R141">
        <v>0</v>
      </c>
      <c r="S141">
        <v>0</v>
      </c>
      <c r="T141">
        <v>69</v>
      </c>
      <c r="U141">
        <v>2</v>
      </c>
      <c r="V141">
        <v>3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0</v>
      </c>
      <c r="AG141">
        <v>6</v>
      </c>
      <c r="AH141">
        <v>26</v>
      </c>
      <c r="AI141">
        <v>14</v>
      </c>
      <c r="AJ141">
        <v>0</v>
      </c>
      <c r="AK141">
        <v>1</v>
      </c>
      <c r="AL141">
        <v>2</v>
      </c>
      <c r="AM141">
        <v>52</v>
      </c>
      <c r="AN141">
        <v>0</v>
      </c>
      <c r="AO141">
        <v>0</v>
      </c>
      <c r="AP141">
        <v>0</v>
      </c>
      <c r="AQ141">
        <v>3</v>
      </c>
    </row>
    <row r="142" spans="1:43" x14ac:dyDescent="0.3">
      <c r="A142" t="s">
        <v>41</v>
      </c>
      <c r="B142" t="s">
        <v>88</v>
      </c>
      <c r="C142" s="4" t="s">
        <v>43</v>
      </c>
      <c r="D142">
        <v>241</v>
      </c>
      <c r="E142">
        <v>0</v>
      </c>
      <c r="F142">
        <v>3</v>
      </c>
      <c r="G142">
        <v>0</v>
      </c>
      <c r="H142" s="1">
        <v>0</v>
      </c>
      <c r="I142">
        <v>0</v>
      </c>
      <c r="J142">
        <v>0</v>
      </c>
      <c r="K142">
        <v>73</v>
      </c>
      <c r="L142">
        <v>0</v>
      </c>
      <c r="M142">
        <v>0</v>
      </c>
      <c r="N142">
        <v>10</v>
      </c>
      <c r="O142">
        <v>0</v>
      </c>
      <c r="P142">
        <v>3</v>
      </c>
      <c r="Q142">
        <v>0</v>
      </c>
      <c r="R142">
        <v>0</v>
      </c>
      <c r="S142">
        <v>0</v>
      </c>
      <c r="T142">
        <v>69</v>
      </c>
      <c r="U142">
        <v>2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18</v>
      </c>
      <c r="AI142">
        <v>2</v>
      </c>
      <c r="AJ142">
        <v>0</v>
      </c>
      <c r="AK142">
        <v>1</v>
      </c>
      <c r="AL142">
        <v>2</v>
      </c>
      <c r="AM142">
        <v>51</v>
      </c>
      <c r="AN142">
        <v>0</v>
      </c>
      <c r="AO142">
        <v>0</v>
      </c>
      <c r="AP142">
        <v>0</v>
      </c>
      <c r="AQ142">
        <v>3</v>
      </c>
    </row>
    <row r="143" spans="1:43" x14ac:dyDescent="0.3">
      <c r="A143" t="s">
        <v>41</v>
      </c>
      <c r="B143" t="s">
        <v>88</v>
      </c>
      <c r="C143" s="4" t="s">
        <v>44</v>
      </c>
      <c r="D143">
        <v>65</v>
      </c>
      <c r="E143">
        <v>0</v>
      </c>
      <c r="F143">
        <v>1</v>
      </c>
      <c r="G143">
        <v>0</v>
      </c>
      <c r="H143" s="1">
        <v>0</v>
      </c>
      <c r="I143">
        <v>0</v>
      </c>
      <c r="J143">
        <v>0</v>
      </c>
      <c r="K143">
        <v>24</v>
      </c>
      <c r="L143">
        <v>0</v>
      </c>
      <c r="M143">
        <v>0</v>
      </c>
      <c r="N143">
        <v>6</v>
      </c>
      <c r="O143">
        <v>0</v>
      </c>
      <c r="P143">
        <v>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5</v>
      </c>
      <c r="AH143">
        <v>8</v>
      </c>
      <c r="AI143">
        <v>12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</row>
    <row r="144" spans="1:43" x14ac:dyDescent="0.3">
      <c r="A144" t="s">
        <v>41</v>
      </c>
      <c r="B144" t="s">
        <v>89</v>
      </c>
      <c r="C144" s="4" t="s">
        <v>40</v>
      </c>
      <c r="D144">
        <v>266</v>
      </c>
      <c r="E144">
        <v>0</v>
      </c>
      <c r="F144">
        <v>1</v>
      </c>
      <c r="G144">
        <v>0</v>
      </c>
      <c r="H144" s="1">
        <v>0</v>
      </c>
      <c r="I144">
        <v>0</v>
      </c>
      <c r="J144">
        <v>0</v>
      </c>
      <c r="K144">
        <v>176</v>
      </c>
      <c r="L144">
        <v>0</v>
      </c>
      <c r="M144">
        <v>1</v>
      </c>
      <c r="N144">
        <v>9</v>
      </c>
      <c r="O144">
        <v>0</v>
      </c>
      <c r="P144">
        <v>6</v>
      </c>
      <c r="Q144">
        <v>0</v>
      </c>
      <c r="R144">
        <v>0</v>
      </c>
      <c r="S144">
        <v>0</v>
      </c>
      <c r="T144">
        <v>33</v>
      </c>
      <c r="U144">
        <v>7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14</v>
      </c>
      <c r="AI144">
        <v>3</v>
      </c>
      <c r="AJ144">
        <v>0</v>
      </c>
      <c r="AK144">
        <v>7</v>
      </c>
      <c r="AL144">
        <v>4</v>
      </c>
      <c r="AM144">
        <v>2</v>
      </c>
      <c r="AN144">
        <v>0</v>
      </c>
      <c r="AO144">
        <v>0</v>
      </c>
      <c r="AP144">
        <v>0</v>
      </c>
      <c r="AQ144">
        <v>2</v>
      </c>
    </row>
    <row r="145" spans="1:43" x14ac:dyDescent="0.3">
      <c r="A145" t="s">
        <v>41</v>
      </c>
      <c r="B145" t="s">
        <v>89</v>
      </c>
      <c r="C145" s="4" t="s">
        <v>43</v>
      </c>
      <c r="D145">
        <v>180</v>
      </c>
      <c r="E145">
        <v>0</v>
      </c>
      <c r="F145">
        <v>1</v>
      </c>
      <c r="G145">
        <v>0</v>
      </c>
      <c r="H145" s="1">
        <v>0</v>
      </c>
      <c r="I145">
        <v>0</v>
      </c>
      <c r="J145">
        <v>0</v>
      </c>
      <c r="K145">
        <v>120</v>
      </c>
      <c r="L145">
        <v>0</v>
      </c>
      <c r="M145">
        <v>0</v>
      </c>
      <c r="N145">
        <v>2</v>
      </c>
      <c r="O145">
        <v>0</v>
      </c>
      <c r="P145">
        <v>4</v>
      </c>
      <c r="Q145">
        <v>0</v>
      </c>
      <c r="R145">
        <v>0</v>
      </c>
      <c r="S145">
        <v>0</v>
      </c>
      <c r="T145">
        <v>33</v>
      </c>
      <c r="U145">
        <v>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7</v>
      </c>
      <c r="AL145">
        <v>1</v>
      </c>
      <c r="AM145">
        <v>2</v>
      </c>
      <c r="AN145">
        <v>0</v>
      </c>
      <c r="AO145">
        <v>0</v>
      </c>
      <c r="AP145">
        <v>0</v>
      </c>
      <c r="AQ145">
        <v>2</v>
      </c>
    </row>
    <row r="146" spans="1:43" x14ac:dyDescent="0.3">
      <c r="A146" t="s">
        <v>41</v>
      </c>
      <c r="B146" t="s">
        <v>89</v>
      </c>
      <c r="C146" s="4" t="s">
        <v>44</v>
      </c>
      <c r="D146">
        <v>86</v>
      </c>
      <c r="E146">
        <v>0</v>
      </c>
      <c r="F146">
        <v>0</v>
      </c>
      <c r="G146">
        <v>0</v>
      </c>
      <c r="H146" s="1">
        <v>0</v>
      </c>
      <c r="I146">
        <v>0</v>
      </c>
      <c r="J146">
        <v>0</v>
      </c>
      <c r="K146">
        <v>56</v>
      </c>
      <c r="L146">
        <v>0</v>
      </c>
      <c r="M146">
        <v>1</v>
      </c>
      <c r="N146">
        <v>7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14</v>
      </c>
      <c r="AI146">
        <v>2</v>
      </c>
      <c r="AJ146">
        <v>0</v>
      </c>
      <c r="AK146">
        <v>0</v>
      </c>
      <c r="AL146">
        <v>3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3">
      <c r="A147" t="s">
        <v>41</v>
      </c>
      <c r="B147" t="s">
        <v>90</v>
      </c>
      <c r="C147" s="4" t="s">
        <v>40</v>
      </c>
      <c r="D147">
        <v>262</v>
      </c>
      <c r="E147">
        <v>0</v>
      </c>
      <c r="F147">
        <v>3</v>
      </c>
      <c r="G147">
        <v>0</v>
      </c>
      <c r="H147" s="1">
        <v>0</v>
      </c>
      <c r="I147">
        <v>9</v>
      </c>
      <c r="J147">
        <v>0</v>
      </c>
      <c r="K147">
        <v>198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12</v>
      </c>
      <c r="AM147">
        <v>0</v>
      </c>
      <c r="AN147">
        <v>0</v>
      </c>
      <c r="AO147">
        <v>0</v>
      </c>
      <c r="AP147">
        <v>2</v>
      </c>
      <c r="AQ147">
        <v>38</v>
      </c>
    </row>
    <row r="148" spans="1:43" x14ac:dyDescent="0.3">
      <c r="A148" t="s">
        <v>41</v>
      </c>
      <c r="B148" t="s">
        <v>90</v>
      </c>
      <c r="C148" s="4" t="s">
        <v>43</v>
      </c>
      <c r="D148">
        <v>151</v>
      </c>
      <c r="E148">
        <v>0</v>
      </c>
      <c r="F148">
        <v>3</v>
      </c>
      <c r="G148">
        <v>0</v>
      </c>
      <c r="H148" s="1">
        <v>0</v>
      </c>
      <c r="I148">
        <v>7</v>
      </c>
      <c r="J148">
        <v>0</v>
      </c>
      <c r="K148">
        <v>90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12</v>
      </c>
      <c r="AM148">
        <v>0</v>
      </c>
      <c r="AN148">
        <v>0</v>
      </c>
      <c r="AO148">
        <v>0</v>
      </c>
      <c r="AP148">
        <v>1</v>
      </c>
      <c r="AQ148">
        <v>38</v>
      </c>
    </row>
    <row r="149" spans="1:43" x14ac:dyDescent="0.3">
      <c r="A149" t="s">
        <v>41</v>
      </c>
      <c r="B149" t="s">
        <v>90</v>
      </c>
      <c r="C149" s="4" t="s">
        <v>44</v>
      </c>
      <c r="D149">
        <v>111</v>
      </c>
      <c r="E149">
        <v>0</v>
      </c>
      <c r="F149">
        <v>0</v>
      </c>
      <c r="G149">
        <v>0</v>
      </c>
      <c r="H149" s="1">
        <v>0</v>
      </c>
      <c r="I149">
        <v>2</v>
      </c>
      <c r="J149">
        <v>0</v>
      </c>
      <c r="K149">
        <v>108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</row>
    <row r="150" spans="1:43" x14ac:dyDescent="0.3">
      <c r="A150" t="s">
        <v>41</v>
      </c>
      <c r="B150" t="s">
        <v>91</v>
      </c>
      <c r="C150" s="4" t="s">
        <v>40</v>
      </c>
      <c r="D150">
        <v>4</v>
      </c>
      <c r="E150">
        <v>0</v>
      </c>
      <c r="F150">
        <v>0</v>
      </c>
      <c r="G150">
        <v>0</v>
      </c>
      <c r="H150" s="1">
        <v>0</v>
      </c>
      <c r="I150">
        <v>1</v>
      </c>
      <c r="J150">
        <v>0</v>
      </c>
      <c r="K150">
        <v>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3">
      <c r="A151" t="s">
        <v>41</v>
      </c>
      <c r="B151" t="s">
        <v>91</v>
      </c>
      <c r="C151" s="4" t="s">
        <v>43</v>
      </c>
      <c r="D151">
        <v>2</v>
      </c>
      <c r="E151">
        <v>0</v>
      </c>
      <c r="F151">
        <v>0</v>
      </c>
      <c r="G151">
        <v>0</v>
      </c>
      <c r="H151" s="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3">
      <c r="A152" t="s">
        <v>41</v>
      </c>
      <c r="B152" t="s">
        <v>91</v>
      </c>
      <c r="C152" s="4" t="s">
        <v>44</v>
      </c>
      <c r="D152">
        <v>2</v>
      </c>
      <c r="E152">
        <v>0</v>
      </c>
      <c r="F152">
        <v>0</v>
      </c>
      <c r="G152">
        <v>0</v>
      </c>
      <c r="H152" s="1">
        <v>0</v>
      </c>
      <c r="I152">
        <v>0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3">
      <c r="A153" t="s">
        <v>92</v>
      </c>
      <c r="B153" s="3" t="s">
        <v>40</v>
      </c>
      <c r="C153" s="4" t="s">
        <v>40</v>
      </c>
      <c r="D153" s="1">
        <v>1864534</v>
      </c>
      <c r="E153" s="1">
        <v>4468</v>
      </c>
      <c r="F153" s="1">
        <v>9161</v>
      </c>
      <c r="G153" s="1">
        <v>106336</v>
      </c>
      <c r="H153" s="1">
        <v>0</v>
      </c>
      <c r="I153" s="1">
        <v>1370313</v>
      </c>
      <c r="J153">
        <v>95</v>
      </c>
      <c r="K153">
        <v>150</v>
      </c>
      <c r="L153" s="1">
        <v>3068</v>
      </c>
      <c r="M153">
        <v>4</v>
      </c>
      <c r="N153" s="1">
        <v>7986</v>
      </c>
      <c r="O153">
        <v>0</v>
      </c>
      <c r="P153">
        <v>828</v>
      </c>
      <c r="Q153">
        <v>154</v>
      </c>
      <c r="R153">
        <v>632</v>
      </c>
      <c r="S153">
        <v>946</v>
      </c>
      <c r="T153" s="1">
        <v>2202</v>
      </c>
      <c r="U153">
        <v>155</v>
      </c>
      <c r="V153">
        <v>363</v>
      </c>
      <c r="W153" s="1">
        <v>1473</v>
      </c>
      <c r="X153" s="1">
        <v>11319</v>
      </c>
      <c r="Y153">
        <v>237</v>
      </c>
      <c r="Z153">
        <v>272</v>
      </c>
      <c r="AA153">
        <v>23</v>
      </c>
      <c r="AB153">
        <v>784</v>
      </c>
      <c r="AC153" s="1">
        <v>7383</v>
      </c>
      <c r="AD153">
        <v>0</v>
      </c>
      <c r="AE153">
        <v>0</v>
      </c>
      <c r="AF153">
        <v>0</v>
      </c>
      <c r="AG153" s="1">
        <v>1178</v>
      </c>
      <c r="AH153" s="1">
        <v>2463</v>
      </c>
      <c r="AI153" s="1">
        <v>2737</v>
      </c>
      <c r="AJ153" s="1">
        <v>125101</v>
      </c>
      <c r="AK153" s="1">
        <v>5027</v>
      </c>
      <c r="AL153" s="1">
        <v>9785</v>
      </c>
      <c r="AM153">
        <v>13</v>
      </c>
      <c r="AN153">
        <v>370</v>
      </c>
      <c r="AO153" s="1">
        <v>0</v>
      </c>
      <c r="AP153" s="1">
        <v>67498</v>
      </c>
      <c r="AQ153" s="1">
        <v>122010</v>
      </c>
    </row>
    <row r="154" spans="1:43" x14ac:dyDescent="0.3">
      <c r="A154" t="s">
        <v>92</v>
      </c>
      <c r="B154" s="3"/>
      <c r="C154" s="4" t="s">
        <v>259</v>
      </c>
      <c r="D154" s="1">
        <f>D158+D162</f>
        <v>1007165</v>
      </c>
      <c r="E154" s="1">
        <f t="shared" ref="E154:AQ154" si="5">E158+E162</f>
        <v>2618</v>
      </c>
      <c r="F154" s="1">
        <f t="shared" si="5"/>
        <v>6612</v>
      </c>
      <c r="G154" s="1">
        <f t="shared" si="5"/>
        <v>77326</v>
      </c>
      <c r="H154" s="1">
        <f t="shared" si="5"/>
        <v>0</v>
      </c>
      <c r="I154" s="1">
        <f t="shared" si="5"/>
        <v>672542</v>
      </c>
      <c r="J154" s="1">
        <f t="shared" si="5"/>
        <v>52</v>
      </c>
      <c r="K154" s="1">
        <f t="shared" si="5"/>
        <v>107</v>
      </c>
      <c r="L154" s="1">
        <f t="shared" si="5"/>
        <v>2254</v>
      </c>
      <c r="M154" s="1">
        <f t="shared" si="5"/>
        <v>2</v>
      </c>
      <c r="N154" s="1">
        <f t="shared" si="5"/>
        <v>3017</v>
      </c>
      <c r="O154" s="1">
        <f t="shared" si="5"/>
        <v>0</v>
      </c>
      <c r="P154" s="1">
        <f t="shared" si="5"/>
        <v>298</v>
      </c>
      <c r="Q154" s="1">
        <f t="shared" si="5"/>
        <v>90</v>
      </c>
      <c r="R154" s="1">
        <f t="shared" si="5"/>
        <v>382</v>
      </c>
      <c r="S154" s="1">
        <f t="shared" si="5"/>
        <v>832</v>
      </c>
      <c r="T154" s="1">
        <f t="shared" si="5"/>
        <v>1971</v>
      </c>
      <c r="U154" s="1">
        <f t="shared" si="5"/>
        <v>134</v>
      </c>
      <c r="V154" s="1">
        <f t="shared" si="5"/>
        <v>157</v>
      </c>
      <c r="W154" s="1">
        <f t="shared" si="5"/>
        <v>1123</v>
      </c>
      <c r="X154" s="1">
        <f t="shared" si="5"/>
        <v>3385</v>
      </c>
      <c r="Y154" s="1">
        <f t="shared" si="5"/>
        <v>224</v>
      </c>
      <c r="Z154" s="1">
        <f t="shared" si="5"/>
        <v>272</v>
      </c>
      <c r="AA154" s="1">
        <f t="shared" si="5"/>
        <v>23</v>
      </c>
      <c r="AB154" s="1">
        <f t="shared" si="5"/>
        <v>505</v>
      </c>
      <c r="AC154" s="1">
        <f t="shared" si="5"/>
        <v>4391</v>
      </c>
      <c r="AD154" s="1">
        <f t="shared" si="5"/>
        <v>0</v>
      </c>
      <c r="AE154" s="1">
        <f t="shared" si="5"/>
        <v>0</v>
      </c>
      <c r="AF154" s="1">
        <f t="shared" si="5"/>
        <v>0</v>
      </c>
      <c r="AG154" s="1">
        <f t="shared" si="5"/>
        <v>842</v>
      </c>
      <c r="AH154" s="1">
        <f t="shared" si="5"/>
        <v>1460</v>
      </c>
      <c r="AI154" s="1">
        <f t="shared" si="5"/>
        <v>1092</v>
      </c>
      <c r="AJ154" s="1">
        <f t="shared" si="5"/>
        <v>61979</v>
      </c>
      <c r="AK154" s="1">
        <f t="shared" si="5"/>
        <v>3515</v>
      </c>
      <c r="AL154" s="1">
        <f t="shared" si="5"/>
        <v>6959</v>
      </c>
      <c r="AM154" s="1">
        <f t="shared" si="5"/>
        <v>8</v>
      </c>
      <c r="AN154" s="1">
        <f t="shared" si="5"/>
        <v>141</v>
      </c>
      <c r="AO154" s="1">
        <f t="shared" si="5"/>
        <v>0</v>
      </c>
      <c r="AP154" s="1">
        <f t="shared" si="5"/>
        <v>30842</v>
      </c>
      <c r="AQ154" s="1">
        <f t="shared" si="5"/>
        <v>122010</v>
      </c>
    </row>
    <row r="155" spans="1:43" x14ac:dyDescent="0.3">
      <c r="A155" t="s">
        <v>92</v>
      </c>
      <c r="B155" s="3"/>
      <c r="C155" s="4" t="s">
        <v>260</v>
      </c>
      <c r="D155" s="1">
        <f>D159+D163</f>
        <v>857128</v>
      </c>
      <c r="E155" s="1">
        <f t="shared" ref="E155:AQ155" si="6">E159+E163</f>
        <v>1850</v>
      </c>
      <c r="F155" s="1">
        <f t="shared" si="6"/>
        <v>2549</v>
      </c>
      <c r="G155" s="1">
        <f t="shared" si="6"/>
        <v>29000</v>
      </c>
      <c r="H155" s="1">
        <f t="shared" si="6"/>
        <v>0</v>
      </c>
      <c r="I155" s="1">
        <f t="shared" si="6"/>
        <v>697566</v>
      </c>
      <c r="J155" s="1">
        <f t="shared" si="6"/>
        <v>43</v>
      </c>
      <c r="K155" s="1">
        <f t="shared" si="6"/>
        <v>43</v>
      </c>
      <c r="L155" s="1">
        <f t="shared" si="6"/>
        <v>813</v>
      </c>
      <c r="M155" s="1">
        <f t="shared" si="6"/>
        <v>2</v>
      </c>
      <c r="N155" s="1">
        <f t="shared" si="6"/>
        <v>4957</v>
      </c>
      <c r="O155" s="1">
        <f t="shared" si="6"/>
        <v>0</v>
      </c>
      <c r="P155" s="1">
        <f t="shared" si="6"/>
        <v>530</v>
      </c>
      <c r="Q155" s="1">
        <f t="shared" si="6"/>
        <v>64</v>
      </c>
      <c r="R155" s="1">
        <f t="shared" si="6"/>
        <v>250</v>
      </c>
      <c r="S155" s="1">
        <f t="shared" si="6"/>
        <v>114</v>
      </c>
      <c r="T155" s="1">
        <f t="shared" si="6"/>
        <v>231</v>
      </c>
      <c r="U155" s="1">
        <f t="shared" si="6"/>
        <v>21</v>
      </c>
      <c r="V155" s="1">
        <f t="shared" si="6"/>
        <v>206</v>
      </c>
      <c r="W155" s="1">
        <f t="shared" si="6"/>
        <v>350</v>
      </c>
      <c r="X155" s="1">
        <f t="shared" si="6"/>
        <v>7933</v>
      </c>
      <c r="Y155" s="1">
        <f t="shared" si="6"/>
        <v>13</v>
      </c>
      <c r="Z155" s="1">
        <f t="shared" si="6"/>
        <v>0</v>
      </c>
      <c r="AA155" s="1">
        <f t="shared" si="6"/>
        <v>0</v>
      </c>
      <c r="AB155" s="1">
        <f t="shared" si="6"/>
        <v>279</v>
      </c>
      <c r="AC155" s="1">
        <f t="shared" si="6"/>
        <v>2992</v>
      </c>
      <c r="AD155" s="1">
        <f t="shared" si="6"/>
        <v>0</v>
      </c>
      <c r="AE155" s="1">
        <f t="shared" si="6"/>
        <v>0</v>
      </c>
      <c r="AF155" s="1">
        <f t="shared" si="6"/>
        <v>0</v>
      </c>
      <c r="AG155" s="1">
        <f t="shared" si="6"/>
        <v>336</v>
      </c>
      <c r="AH155" s="1">
        <f t="shared" si="6"/>
        <v>1003</v>
      </c>
      <c r="AI155" s="1">
        <f t="shared" si="6"/>
        <v>1645</v>
      </c>
      <c r="AJ155" s="1">
        <f t="shared" si="6"/>
        <v>63118</v>
      </c>
      <c r="AK155" s="1">
        <f t="shared" si="6"/>
        <v>1512</v>
      </c>
      <c r="AL155" s="1">
        <f t="shared" si="6"/>
        <v>2824</v>
      </c>
      <c r="AM155" s="1">
        <f t="shared" si="6"/>
        <v>5</v>
      </c>
      <c r="AN155" s="1">
        <f t="shared" si="6"/>
        <v>229</v>
      </c>
      <c r="AO155" s="1">
        <f t="shared" si="6"/>
        <v>0</v>
      </c>
      <c r="AP155" s="1">
        <f t="shared" si="6"/>
        <v>36650</v>
      </c>
      <c r="AQ155" s="1">
        <f t="shared" si="6"/>
        <v>0</v>
      </c>
    </row>
    <row r="156" spans="1:43" x14ac:dyDescent="0.3">
      <c r="A156" t="s">
        <v>92</v>
      </c>
      <c r="B156" s="3"/>
      <c r="C156" s="4" t="s">
        <v>261</v>
      </c>
      <c r="D156" s="1">
        <f>D160+D164</f>
        <v>241</v>
      </c>
      <c r="E156" s="1">
        <f t="shared" ref="E156:AQ156" si="7">E160+E164</f>
        <v>0</v>
      </c>
      <c r="F156" s="1">
        <f t="shared" si="7"/>
        <v>0</v>
      </c>
      <c r="G156" s="1">
        <f t="shared" si="7"/>
        <v>10</v>
      </c>
      <c r="H156" s="1">
        <f t="shared" si="7"/>
        <v>0</v>
      </c>
      <c r="I156" s="1">
        <f t="shared" si="7"/>
        <v>205</v>
      </c>
      <c r="J156" s="1">
        <f t="shared" si="7"/>
        <v>0</v>
      </c>
      <c r="K156" s="1">
        <f t="shared" si="7"/>
        <v>0</v>
      </c>
      <c r="L156" s="1">
        <f t="shared" si="7"/>
        <v>1</v>
      </c>
      <c r="M156" s="1">
        <f t="shared" si="7"/>
        <v>0</v>
      </c>
      <c r="N156" s="1">
        <f t="shared" si="7"/>
        <v>12</v>
      </c>
      <c r="O156" s="1">
        <f t="shared" si="7"/>
        <v>0</v>
      </c>
      <c r="P156" s="1">
        <f t="shared" si="7"/>
        <v>0</v>
      </c>
      <c r="Q156" s="1">
        <f t="shared" si="7"/>
        <v>0</v>
      </c>
      <c r="R156" s="1">
        <f t="shared" si="7"/>
        <v>0</v>
      </c>
      <c r="S156" s="1">
        <f t="shared" si="7"/>
        <v>0</v>
      </c>
      <c r="T156" s="1">
        <f t="shared" si="7"/>
        <v>0</v>
      </c>
      <c r="U156" s="1">
        <f t="shared" si="7"/>
        <v>0</v>
      </c>
      <c r="V156" s="1">
        <f t="shared" si="7"/>
        <v>0</v>
      </c>
      <c r="W156" s="1">
        <f t="shared" si="7"/>
        <v>0</v>
      </c>
      <c r="X156" s="1">
        <f t="shared" si="7"/>
        <v>1</v>
      </c>
      <c r="Y156" s="1">
        <f t="shared" si="7"/>
        <v>0</v>
      </c>
      <c r="Z156" s="1">
        <f t="shared" si="7"/>
        <v>0</v>
      </c>
      <c r="AA156" s="1">
        <f t="shared" si="7"/>
        <v>0</v>
      </c>
      <c r="AB156" s="1">
        <f t="shared" si="7"/>
        <v>0</v>
      </c>
      <c r="AC156" s="1">
        <f t="shared" si="7"/>
        <v>0</v>
      </c>
      <c r="AD156" s="1">
        <f t="shared" si="7"/>
        <v>0</v>
      </c>
      <c r="AE156" s="1">
        <f t="shared" si="7"/>
        <v>0</v>
      </c>
      <c r="AF156" s="1">
        <f t="shared" si="7"/>
        <v>0</v>
      </c>
      <c r="AG156" s="1">
        <f t="shared" si="7"/>
        <v>0</v>
      </c>
      <c r="AH156" s="1">
        <f t="shared" si="7"/>
        <v>0</v>
      </c>
      <c r="AI156" s="1">
        <f t="shared" si="7"/>
        <v>0</v>
      </c>
      <c r="AJ156" s="1">
        <f t="shared" si="7"/>
        <v>4</v>
      </c>
      <c r="AK156" s="1">
        <f t="shared" si="7"/>
        <v>0</v>
      </c>
      <c r="AL156" s="1">
        <f t="shared" si="7"/>
        <v>2</v>
      </c>
      <c r="AM156" s="1">
        <f t="shared" si="7"/>
        <v>0</v>
      </c>
      <c r="AN156" s="1">
        <f t="shared" si="7"/>
        <v>0</v>
      </c>
      <c r="AO156" s="1">
        <f t="shared" si="7"/>
        <v>0</v>
      </c>
      <c r="AP156" s="1">
        <f t="shared" si="7"/>
        <v>6</v>
      </c>
      <c r="AQ156" s="1">
        <f t="shared" si="7"/>
        <v>0</v>
      </c>
    </row>
    <row r="157" spans="1:43" x14ac:dyDescent="0.3">
      <c r="A157" t="s">
        <v>92</v>
      </c>
      <c r="B157" t="s">
        <v>93</v>
      </c>
      <c r="C157" s="4" t="s">
        <v>40</v>
      </c>
      <c r="D157" s="1">
        <v>1577117</v>
      </c>
      <c r="E157" s="1">
        <v>3654</v>
      </c>
      <c r="F157" s="1">
        <v>8434</v>
      </c>
      <c r="G157" s="1">
        <v>106308</v>
      </c>
      <c r="H157" s="1">
        <v>0</v>
      </c>
      <c r="I157" s="1">
        <v>1153371</v>
      </c>
      <c r="J157">
        <v>75</v>
      </c>
      <c r="K157">
        <v>124</v>
      </c>
      <c r="L157" s="1">
        <v>2584</v>
      </c>
      <c r="M157">
        <v>4</v>
      </c>
      <c r="N157" s="1">
        <v>7200</v>
      </c>
      <c r="O157">
        <v>0</v>
      </c>
      <c r="P157">
        <v>749</v>
      </c>
      <c r="Q157">
        <v>148</v>
      </c>
      <c r="R157">
        <v>579</v>
      </c>
      <c r="S157">
        <v>895</v>
      </c>
      <c r="T157" s="1">
        <v>1924</v>
      </c>
      <c r="U157">
        <v>140</v>
      </c>
      <c r="V157">
        <v>329</v>
      </c>
      <c r="W157" s="1">
        <v>1212</v>
      </c>
      <c r="X157" s="1">
        <v>9800</v>
      </c>
      <c r="Y157">
        <v>194</v>
      </c>
      <c r="Z157">
        <v>141</v>
      </c>
      <c r="AA157">
        <v>12</v>
      </c>
      <c r="AB157">
        <v>646</v>
      </c>
      <c r="AC157" s="1">
        <v>6150</v>
      </c>
      <c r="AD157">
        <v>0</v>
      </c>
      <c r="AE157">
        <v>0</v>
      </c>
      <c r="AF157">
        <v>0</v>
      </c>
      <c r="AG157" s="1">
        <v>1069</v>
      </c>
      <c r="AH157" s="1">
        <v>2010</v>
      </c>
      <c r="AI157" s="1">
        <v>2403</v>
      </c>
      <c r="AJ157" s="1">
        <v>95358</v>
      </c>
      <c r="AK157" s="1">
        <v>3709</v>
      </c>
      <c r="AL157" s="1">
        <v>7844</v>
      </c>
      <c r="AM157">
        <v>13</v>
      </c>
      <c r="AN157">
        <v>171</v>
      </c>
      <c r="AO157" s="1">
        <v>0</v>
      </c>
      <c r="AP157" s="1">
        <v>53585</v>
      </c>
      <c r="AQ157" s="1">
        <v>106282</v>
      </c>
    </row>
    <row r="158" spans="1:43" x14ac:dyDescent="0.3">
      <c r="A158" t="s">
        <v>92</v>
      </c>
      <c r="B158" t="s">
        <v>93</v>
      </c>
      <c r="C158" s="4" t="s">
        <v>43</v>
      </c>
      <c r="D158" s="1">
        <v>859469</v>
      </c>
      <c r="E158" s="1">
        <v>2161</v>
      </c>
      <c r="F158" s="1">
        <v>6122</v>
      </c>
      <c r="G158" s="1">
        <v>77323</v>
      </c>
      <c r="H158" s="1">
        <v>0</v>
      </c>
      <c r="I158" s="1">
        <v>567469</v>
      </c>
      <c r="J158">
        <v>37</v>
      </c>
      <c r="K158">
        <v>90</v>
      </c>
      <c r="L158" s="1">
        <v>1899</v>
      </c>
      <c r="M158">
        <v>2</v>
      </c>
      <c r="N158" s="1">
        <v>2690</v>
      </c>
      <c r="O158">
        <v>0</v>
      </c>
      <c r="P158">
        <v>278</v>
      </c>
      <c r="Q158">
        <v>89</v>
      </c>
      <c r="R158">
        <v>351</v>
      </c>
      <c r="S158">
        <v>789</v>
      </c>
      <c r="T158" s="1">
        <v>1716</v>
      </c>
      <c r="U158">
        <v>120</v>
      </c>
      <c r="V158">
        <v>138</v>
      </c>
      <c r="W158">
        <v>910</v>
      </c>
      <c r="X158" s="1">
        <v>2720</v>
      </c>
      <c r="Y158">
        <v>187</v>
      </c>
      <c r="Z158">
        <v>141</v>
      </c>
      <c r="AA158">
        <v>12</v>
      </c>
      <c r="AB158">
        <v>413</v>
      </c>
      <c r="AC158" s="1">
        <v>3638</v>
      </c>
      <c r="AD158">
        <v>0</v>
      </c>
      <c r="AE158">
        <v>0</v>
      </c>
      <c r="AF158">
        <v>0</v>
      </c>
      <c r="AG158">
        <v>774</v>
      </c>
      <c r="AH158" s="1">
        <v>1178</v>
      </c>
      <c r="AI158">
        <v>940</v>
      </c>
      <c r="AJ158" s="1">
        <v>48459</v>
      </c>
      <c r="AK158" s="1">
        <v>2564</v>
      </c>
      <c r="AL158" s="1">
        <v>5424</v>
      </c>
      <c r="AM158">
        <v>8</v>
      </c>
      <c r="AN158">
        <v>65</v>
      </c>
      <c r="AO158" s="1">
        <v>0</v>
      </c>
      <c r="AP158" s="1">
        <v>24480</v>
      </c>
      <c r="AQ158" s="1">
        <v>106282</v>
      </c>
    </row>
    <row r="159" spans="1:43" x14ac:dyDescent="0.3">
      <c r="A159" t="s">
        <v>92</v>
      </c>
      <c r="B159" t="s">
        <v>93</v>
      </c>
      <c r="C159" s="4" t="s">
        <v>44</v>
      </c>
      <c r="D159" s="1">
        <v>717416</v>
      </c>
      <c r="E159" s="1">
        <v>1493</v>
      </c>
      <c r="F159" s="1">
        <v>2312</v>
      </c>
      <c r="G159" s="1">
        <v>28975</v>
      </c>
      <c r="H159" s="1">
        <v>0</v>
      </c>
      <c r="I159" s="1">
        <v>585705</v>
      </c>
      <c r="J159">
        <v>38</v>
      </c>
      <c r="K159">
        <v>34</v>
      </c>
      <c r="L159">
        <v>684</v>
      </c>
      <c r="M159">
        <v>2</v>
      </c>
      <c r="N159" s="1">
        <v>4498</v>
      </c>
      <c r="O159">
        <v>0</v>
      </c>
      <c r="P159">
        <v>471</v>
      </c>
      <c r="Q159">
        <v>59</v>
      </c>
      <c r="R159">
        <v>228</v>
      </c>
      <c r="S159">
        <v>106</v>
      </c>
      <c r="T159">
        <v>208</v>
      </c>
      <c r="U159">
        <v>20</v>
      </c>
      <c r="V159">
        <v>191</v>
      </c>
      <c r="W159">
        <v>302</v>
      </c>
      <c r="X159" s="1">
        <v>7079</v>
      </c>
      <c r="Y159">
        <v>7</v>
      </c>
      <c r="Z159">
        <v>0</v>
      </c>
      <c r="AA159">
        <v>0</v>
      </c>
      <c r="AB159">
        <v>233</v>
      </c>
      <c r="AC159" s="1">
        <v>2512</v>
      </c>
      <c r="AD159">
        <v>0</v>
      </c>
      <c r="AE159">
        <v>0</v>
      </c>
      <c r="AF159">
        <v>0</v>
      </c>
      <c r="AG159">
        <v>295</v>
      </c>
      <c r="AH159">
        <v>832</v>
      </c>
      <c r="AI159" s="1">
        <v>1463</v>
      </c>
      <c r="AJ159" s="1">
        <v>46895</v>
      </c>
      <c r="AK159" s="1">
        <v>1145</v>
      </c>
      <c r="AL159" s="1">
        <v>2418</v>
      </c>
      <c r="AM159">
        <v>5</v>
      </c>
      <c r="AN159">
        <v>106</v>
      </c>
      <c r="AO159" s="1">
        <v>0</v>
      </c>
      <c r="AP159" s="1">
        <v>29100</v>
      </c>
      <c r="AQ159" s="1">
        <v>0</v>
      </c>
    </row>
    <row r="160" spans="1:43" x14ac:dyDescent="0.3">
      <c r="A160" t="s">
        <v>92</v>
      </c>
      <c r="B160" t="s">
        <v>93</v>
      </c>
      <c r="C160" s="4" t="s">
        <v>94</v>
      </c>
      <c r="D160">
        <v>232</v>
      </c>
      <c r="E160" s="1">
        <v>0</v>
      </c>
      <c r="F160" s="1">
        <v>0</v>
      </c>
      <c r="G160">
        <v>10</v>
      </c>
      <c r="H160" s="1">
        <v>0</v>
      </c>
      <c r="I160">
        <v>197</v>
      </c>
      <c r="J160" s="1">
        <v>0</v>
      </c>
      <c r="K160">
        <v>0</v>
      </c>
      <c r="L160">
        <v>1</v>
      </c>
      <c r="M160">
        <v>0</v>
      </c>
      <c r="N160">
        <v>12</v>
      </c>
      <c r="O160">
        <v>0</v>
      </c>
      <c r="P160">
        <v>0</v>
      </c>
      <c r="Q160">
        <v>0</v>
      </c>
      <c r="R160">
        <v>0</v>
      </c>
      <c r="S160">
        <v>0</v>
      </c>
      <c r="T160" s="1">
        <v>0</v>
      </c>
      <c r="U160">
        <v>0</v>
      </c>
      <c r="V160">
        <v>0</v>
      </c>
      <c r="W160" s="1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 s="1">
        <v>0</v>
      </c>
      <c r="AD160">
        <v>0</v>
      </c>
      <c r="AE160">
        <v>0</v>
      </c>
      <c r="AF160">
        <v>0</v>
      </c>
      <c r="AG160" s="1">
        <v>0</v>
      </c>
      <c r="AH160" s="1">
        <v>0</v>
      </c>
      <c r="AI160" s="1">
        <v>0</v>
      </c>
      <c r="AJ160">
        <v>4</v>
      </c>
      <c r="AK160" s="1">
        <v>0</v>
      </c>
      <c r="AL160">
        <v>2</v>
      </c>
      <c r="AM160" s="1">
        <v>0</v>
      </c>
      <c r="AN160">
        <v>0</v>
      </c>
      <c r="AO160" s="1">
        <v>0</v>
      </c>
      <c r="AP160">
        <v>5</v>
      </c>
      <c r="AQ160" s="1">
        <v>0</v>
      </c>
    </row>
    <row r="161" spans="1:43" x14ac:dyDescent="0.3">
      <c r="A161" t="s">
        <v>92</v>
      </c>
      <c r="B161" t="s">
        <v>95</v>
      </c>
      <c r="C161" s="4" t="s">
        <v>40</v>
      </c>
      <c r="D161" s="1">
        <v>287417</v>
      </c>
      <c r="E161">
        <v>814</v>
      </c>
      <c r="F161">
        <v>727</v>
      </c>
      <c r="G161">
        <v>28</v>
      </c>
      <c r="H161" s="1">
        <v>0</v>
      </c>
      <c r="I161" s="1">
        <v>216942</v>
      </c>
      <c r="J161">
        <v>20</v>
      </c>
      <c r="K161">
        <v>26</v>
      </c>
      <c r="L161">
        <v>484</v>
      </c>
      <c r="M161">
        <v>0</v>
      </c>
      <c r="N161">
        <v>786</v>
      </c>
      <c r="O161">
        <v>0</v>
      </c>
      <c r="P161">
        <v>79</v>
      </c>
      <c r="Q161">
        <v>6</v>
      </c>
      <c r="R161">
        <v>53</v>
      </c>
      <c r="S161">
        <v>51</v>
      </c>
      <c r="T161">
        <v>278</v>
      </c>
      <c r="U161">
        <v>15</v>
      </c>
      <c r="V161">
        <v>34</v>
      </c>
      <c r="W161">
        <v>261</v>
      </c>
      <c r="X161" s="1">
        <v>1519</v>
      </c>
      <c r="Y161">
        <v>43</v>
      </c>
      <c r="Z161">
        <v>131</v>
      </c>
      <c r="AA161">
        <v>11</v>
      </c>
      <c r="AB161">
        <v>138</v>
      </c>
      <c r="AC161" s="1">
        <v>1233</v>
      </c>
      <c r="AD161">
        <v>0</v>
      </c>
      <c r="AE161">
        <v>0</v>
      </c>
      <c r="AF161">
        <v>0</v>
      </c>
      <c r="AG161">
        <v>109</v>
      </c>
      <c r="AH161">
        <v>453</v>
      </c>
      <c r="AI161">
        <v>334</v>
      </c>
      <c r="AJ161" s="1">
        <v>29743</v>
      </c>
      <c r="AK161" s="1">
        <v>1318</v>
      </c>
      <c r="AL161" s="1">
        <v>1941</v>
      </c>
      <c r="AM161" s="1">
        <v>0</v>
      </c>
      <c r="AN161">
        <v>199</v>
      </c>
      <c r="AO161" s="1">
        <v>0</v>
      </c>
      <c r="AP161" s="1">
        <v>13913</v>
      </c>
      <c r="AQ161" s="1">
        <v>15728</v>
      </c>
    </row>
    <row r="162" spans="1:43" x14ac:dyDescent="0.3">
      <c r="A162" t="s">
        <v>92</v>
      </c>
      <c r="B162" t="s">
        <v>95</v>
      </c>
      <c r="C162" s="4" t="s">
        <v>43</v>
      </c>
      <c r="D162" s="1">
        <v>147696</v>
      </c>
      <c r="E162">
        <v>457</v>
      </c>
      <c r="F162">
        <v>490</v>
      </c>
      <c r="G162">
        <v>3</v>
      </c>
      <c r="H162" s="1">
        <v>0</v>
      </c>
      <c r="I162" s="1">
        <v>105073</v>
      </c>
      <c r="J162">
        <v>15</v>
      </c>
      <c r="K162">
        <v>17</v>
      </c>
      <c r="L162">
        <v>355</v>
      </c>
      <c r="M162">
        <v>0</v>
      </c>
      <c r="N162">
        <v>327</v>
      </c>
      <c r="O162">
        <v>0</v>
      </c>
      <c r="P162">
        <v>20</v>
      </c>
      <c r="Q162">
        <v>1</v>
      </c>
      <c r="R162">
        <v>31</v>
      </c>
      <c r="S162">
        <v>43</v>
      </c>
      <c r="T162">
        <v>255</v>
      </c>
      <c r="U162">
        <v>14</v>
      </c>
      <c r="V162">
        <v>19</v>
      </c>
      <c r="W162">
        <v>213</v>
      </c>
      <c r="X162">
        <v>665</v>
      </c>
      <c r="Y162">
        <v>37</v>
      </c>
      <c r="Z162">
        <v>131</v>
      </c>
      <c r="AA162">
        <v>11</v>
      </c>
      <c r="AB162">
        <v>92</v>
      </c>
      <c r="AC162">
        <v>753</v>
      </c>
      <c r="AD162">
        <v>0</v>
      </c>
      <c r="AE162">
        <v>0</v>
      </c>
      <c r="AF162">
        <v>0</v>
      </c>
      <c r="AG162">
        <v>68</v>
      </c>
      <c r="AH162">
        <v>282</v>
      </c>
      <c r="AI162">
        <v>152</v>
      </c>
      <c r="AJ162" s="1">
        <v>13520</v>
      </c>
      <c r="AK162">
        <v>951</v>
      </c>
      <c r="AL162" s="1">
        <v>1535</v>
      </c>
      <c r="AM162">
        <v>0</v>
      </c>
      <c r="AN162">
        <v>76</v>
      </c>
      <c r="AO162" s="1">
        <v>0</v>
      </c>
      <c r="AP162" s="1">
        <v>6362</v>
      </c>
      <c r="AQ162" s="1">
        <v>15728</v>
      </c>
    </row>
    <row r="163" spans="1:43" x14ac:dyDescent="0.3">
      <c r="A163" t="s">
        <v>92</v>
      </c>
      <c r="B163" t="s">
        <v>95</v>
      </c>
      <c r="C163" s="4" t="s">
        <v>44</v>
      </c>
      <c r="D163" s="1">
        <v>139712</v>
      </c>
      <c r="E163">
        <v>357</v>
      </c>
      <c r="F163">
        <v>237</v>
      </c>
      <c r="G163">
        <v>25</v>
      </c>
      <c r="H163" s="1">
        <v>0</v>
      </c>
      <c r="I163" s="1">
        <v>111861</v>
      </c>
      <c r="J163">
        <v>5</v>
      </c>
      <c r="K163">
        <v>9</v>
      </c>
      <c r="L163">
        <v>129</v>
      </c>
      <c r="M163">
        <v>0</v>
      </c>
      <c r="N163">
        <v>459</v>
      </c>
      <c r="O163">
        <v>0</v>
      </c>
      <c r="P163">
        <v>59</v>
      </c>
      <c r="Q163">
        <v>5</v>
      </c>
      <c r="R163">
        <v>22</v>
      </c>
      <c r="S163">
        <v>8</v>
      </c>
      <c r="T163">
        <v>23</v>
      </c>
      <c r="U163">
        <v>1</v>
      </c>
      <c r="V163">
        <v>15</v>
      </c>
      <c r="W163">
        <v>48</v>
      </c>
      <c r="X163">
        <v>854</v>
      </c>
      <c r="Y163">
        <v>6</v>
      </c>
      <c r="Z163">
        <v>0</v>
      </c>
      <c r="AA163">
        <v>0</v>
      </c>
      <c r="AB163">
        <v>46</v>
      </c>
      <c r="AC163">
        <v>480</v>
      </c>
      <c r="AD163">
        <v>0</v>
      </c>
      <c r="AE163">
        <v>0</v>
      </c>
      <c r="AF163">
        <v>0</v>
      </c>
      <c r="AG163">
        <v>41</v>
      </c>
      <c r="AH163">
        <v>171</v>
      </c>
      <c r="AI163">
        <v>182</v>
      </c>
      <c r="AJ163" s="1">
        <v>16223</v>
      </c>
      <c r="AK163">
        <v>367</v>
      </c>
      <c r="AL163">
        <v>406</v>
      </c>
      <c r="AM163">
        <v>0</v>
      </c>
      <c r="AN163">
        <v>123</v>
      </c>
      <c r="AO163" s="1">
        <v>0</v>
      </c>
      <c r="AP163" s="1">
        <v>7550</v>
      </c>
      <c r="AQ163" s="1">
        <v>0</v>
      </c>
    </row>
    <row r="164" spans="1:43" x14ac:dyDescent="0.3">
      <c r="A164" t="s">
        <v>92</v>
      </c>
      <c r="B164" t="s">
        <v>95</v>
      </c>
      <c r="C164" s="4" t="s">
        <v>94</v>
      </c>
      <c r="D164">
        <v>9</v>
      </c>
      <c r="E164">
        <v>0</v>
      </c>
      <c r="F164">
        <v>0</v>
      </c>
      <c r="G164">
        <v>0</v>
      </c>
      <c r="H164" s="1">
        <v>0</v>
      </c>
      <c r="I164">
        <v>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s="1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>
        <v>1</v>
      </c>
      <c r="AQ164" s="1">
        <v>0</v>
      </c>
    </row>
    <row r="165" spans="1:43" x14ac:dyDescent="0.3">
      <c r="A165" t="s">
        <v>96</v>
      </c>
      <c r="B165" s="3" t="s">
        <v>40</v>
      </c>
      <c r="C165" s="4" t="s">
        <v>40</v>
      </c>
      <c r="D165" s="1">
        <v>199002</v>
      </c>
      <c r="E165" s="1">
        <v>1236</v>
      </c>
      <c r="F165">
        <v>705</v>
      </c>
      <c r="G165">
        <v>194</v>
      </c>
      <c r="H165" s="1">
        <v>146180</v>
      </c>
      <c r="I165" s="1">
        <v>12301</v>
      </c>
      <c r="J165">
        <v>26</v>
      </c>
      <c r="K165">
        <v>874</v>
      </c>
      <c r="L165">
        <v>712</v>
      </c>
      <c r="M165">
        <v>0</v>
      </c>
      <c r="N165" s="1">
        <v>2362</v>
      </c>
      <c r="O165">
        <v>0</v>
      </c>
      <c r="P165">
        <v>617</v>
      </c>
      <c r="Q165">
        <v>6</v>
      </c>
      <c r="R165">
        <v>125</v>
      </c>
      <c r="S165">
        <v>34</v>
      </c>
      <c r="T165">
        <v>175</v>
      </c>
      <c r="U165">
        <v>683</v>
      </c>
      <c r="V165">
        <v>116</v>
      </c>
      <c r="W165">
        <v>45</v>
      </c>
      <c r="X165">
        <v>20</v>
      </c>
      <c r="Y165">
        <v>108</v>
      </c>
      <c r="Z165">
        <v>33</v>
      </c>
      <c r="AA165">
        <v>36</v>
      </c>
      <c r="AB165">
        <v>510</v>
      </c>
      <c r="AC165">
        <v>617</v>
      </c>
      <c r="AD165">
        <v>0</v>
      </c>
      <c r="AE165">
        <v>0</v>
      </c>
      <c r="AF165">
        <v>0</v>
      </c>
      <c r="AG165">
        <v>96</v>
      </c>
      <c r="AH165">
        <v>486</v>
      </c>
      <c r="AI165">
        <v>440</v>
      </c>
      <c r="AJ165">
        <v>328</v>
      </c>
      <c r="AK165">
        <v>257</v>
      </c>
      <c r="AL165" s="1">
        <v>1331</v>
      </c>
      <c r="AM165">
        <v>60</v>
      </c>
      <c r="AN165">
        <v>174</v>
      </c>
      <c r="AO165" s="1">
        <v>0</v>
      </c>
      <c r="AP165" s="1">
        <v>5346</v>
      </c>
      <c r="AQ165" s="1">
        <v>22769</v>
      </c>
    </row>
    <row r="166" spans="1:43" x14ac:dyDescent="0.3">
      <c r="A166" t="s">
        <v>96</v>
      </c>
      <c r="B166" s="3"/>
      <c r="C166" s="4" t="s">
        <v>259</v>
      </c>
      <c r="D166" s="1">
        <f>D169+D172+D175+D178+D181+D184+D187+D190+D193+D196+D199+D202+D205+D208+D211+D214+D217+D220+D223+D226+D229+D232+D235+D238+D241+D244+D247+D250+D253+D256+D259+D262+D265+D268</f>
        <v>102441</v>
      </c>
      <c r="E166" s="1">
        <f t="shared" ref="E166:AQ166" si="8">E169+E172+E175+E178+E181+E184+E187+E190+E193+E196+E199+E202+E205+E208+E211+E214+E217+E220+E223+E226+E229+E232+E235+E238+E241+E244+E247+E250+E253+E256+E259+E262+E265+E268</f>
        <v>704</v>
      </c>
      <c r="F166" s="1">
        <f t="shared" si="8"/>
        <v>412</v>
      </c>
      <c r="G166" s="1">
        <f t="shared" si="8"/>
        <v>35</v>
      </c>
      <c r="H166" s="1">
        <f t="shared" si="8"/>
        <v>65406</v>
      </c>
      <c r="I166" s="1">
        <f t="shared" si="8"/>
        <v>5761</v>
      </c>
      <c r="J166" s="1">
        <f t="shared" si="8"/>
        <v>18</v>
      </c>
      <c r="K166" s="1">
        <f t="shared" si="8"/>
        <v>452</v>
      </c>
      <c r="L166" s="1">
        <f t="shared" si="8"/>
        <v>500</v>
      </c>
      <c r="M166" s="1">
        <f t="shared" si="8"/>
        <v>0</v>
      </c>
      <c r="N166" s="1">
        <f t="shared" si="8"/>
        <v>760</v>
      </c>
      <c r="O166" s="1">
        <f t="shared" si="8"/>
        <v>0</v>
      </c>
      <c r="P166" s="1">
        <f t="shared" si="8"/>
        <v>140</v>
      </c>
      <c r="Q166" s="1">
        <f t="shared" si="8"/>
        <v>6</v>
      </c>
      <c r="R166" s="1">
        <f t="shared" si="8"/>
        <v>79</v>
      </c>
      <c r="S166" s="1">
        <f t="shared" si="8"/>
        <v>23</v>
      </c>
      <c r="T166" s="1">
        <f t="shared" si="8"/>
        <v>167</v>
      </c>
      <c r="U166" s="1">
        <f t="shared" si="8"/>
        <v>617</v>
      </c>
      <c r="V166" s="1">
        <f t="shared" si="8"/>
        <v>42</v>
      </c>
      <c r="W166" s="1">
        <f t="shared" si="8"/>
        <v>32</v>
      </c>
      <c r="X166" s="1">
        <f t="shared" si="8"/>
        <v>10</v>
      </c>
      <c r="Y166" s="1">
        <f t="shared" si="8"/>
        <v>85</v>
      </c>
      <c r="Z166" s="1">
        <f t="shared" si="8"/>
        <v>33</v>
      </c>
      <c r="AA166" s="1">
        <f t="shared" si="8"/>
        <v>36</v>
      </c>
      <c r="AB166" s="1">
        <f t="shared" si="8"/>
        <v>398</v>
      </c>
      <c r="AC166" s="1">
        <f t="shared" si="8"/>
        <v>323</v>
      </c>
      <c r="AD166" s="1">
        <f t="shared" si="8"/>
        <v>0</v>
      </c>
      <c r="AE166" s="1">
        <f t="shared" si="8"/>
        <v>0</v>
      </c>
      <c r="AF166" s="1">
        <f t="shared" si="8"/>
        <v>0</v>
      </c>
      <c r="AG166" s="1">
        <f t="shared" si="8"/>
        <v>32</v>
      </c>
      <c r="AH166" s="1">
        <f t="shared" si="8"/>
        <v>259</v>
      </c>
      <c r="AI166" s="1">
        <f t="shared" si="8"/>
        <v>102</v>
      </c>
      <c r="AJ166" s="1">
        <f t="shared" si="8"/>
        <v>193</v>
      </c>
      <c r="AK166" s="1">
        <f t="shared" si="8"/>
        <v>163</v>
      </c>
      <c r="AL166" s="1">
        <f t="shared" si="8"/>
        <v>482</v>
      </c>
      <c r="AM166" s="1">
        <f t="shared" si="8"/>
        <v>41</v>
      </c>
      <c r="AN166" s="1">
        <f t="shared" si="8"/>
        <v>32</v>
      </c>
      <c r="AO166" s="1">
        <f t="shared" si="8"/>
        <v>0</v>
      </c>
      <c r="AP166" s="1">
        <f t="shared" si="8"/>
        <v>2329</v>
      </c>
      <c r="AQ166" s="1">
        <f t="shared" si="8"/>
        <v>22769</v>
      </c>
    </row>
    <row r="167" spans="1:43" x14ac:dyDescent="0.3">
      <c r="A167" t="s">
        <v>96</v>
      </c>
      <c r="B167" s="3"/>
      <c r="C167" s="4" t="s">
        <v>260</v>
      </c>
      <c r="D167" s="1">
        <f>D170+D173+D176+D179+D182+D185+D188+D191+D194+D197+D200+D203+D206+D209+D212+D215+D218+D221+D224+D227+D230+D233+D236+D239+D242+D245+D248+D251+D254+D257+D260+D263+D266</f>
        <v>96561</v>
      </c>
      <c r="E167" s="1">
        <f t="shared" ref="E167:AQ167" si="9">E170+E173+E176+E179+E182+E185+E188+E191+E194+E197+E200+E203+E206+E209+E212+E215+E218+E221+E224+E227+E230+E233+E236+E239+E242+E245+E248+E251+E254+E257+E260+E263+E266</f>
        <v>532</v>
      </c>
      <c r="F167" s="1">
        <f t="shared" si="9"/>
        <v>293</v>
      </c>
      <c r="G167" s="1">
        <f t="shared" si="9"/>
        <v>159</v>
      </c>
      <c r="H167" s="1">
        <f t="shared" si="9"/>
        <v>80774</v>
      </c>
      <c r="I167" s="1">
        <f t="shared" si="9"/>
        <v>6540</v>
      </c>
      <c r="J167" s="1">
        <f t="shared" si="9"/>
        <v>8</v>
      </c>
      <c r="K167" s="1">
        <f t="shared" si="9"/>
        <v>422</v>
      </c>
      <c r="L167" s="1">
        <f t="shared" si="9"/>
        <v>212</v>
      </c>
      <c r="M167" s="1">
        <f t="shared" si="9"/>
        <v>0</v>
      </c>
      <c r="N167" s="1">
        <f t="shared" si="9"/>
        <v>1602</v>
      </c>
      <c r="O167" s="1">
        <f t="shared" si="9"/>
        <v>0</v>
      </c>
      <c r="P167" s="1">
        <f t="shared" si="9"/>
        <v>477</v>
      </c>
      <c r="Q167" s="1">
        <f t="shared" si="9"/>
        <v>0</v>
      </c>
      <c r="R167" s="1">
        <f t="shared" si="9"/>
        <v>46</v>
      </c>
      <c r="S167" s="1">
        <f t="shared" si="9"/>
        <v>11</v>
      </c>
      <c r="T167" s="1">
        <f t="shared" si="9"/>
        <v>8</v>
      </c>
      <c r="U167" s="1">
        <f t="shared" si="9"/>
        <v>66</v>
      </c>
      <c r="V167" s="1">
        <f t="shared" si="9"/>
        <v>74</v>
      </c>
      <c r="W167" s="1">
        <f t="shared" si="9"/>
        <v>13</v>
      </c>
      <c r="X167" s="1">
        <f t="shared" si="9"/>
        <v>10</v>
      </c>
      <c r="Y167" s="1">
        <f t="shared" si="9"/>
        <v>23</v>
      </c>
      <c r="Z167" s="1">
        <f t="shared" si="9"/>
        <v>0</v>
      </c>
      <c r="AA167" s="1">
        <f t="shared" si="9"/>
        <v>0</v>
      </c>
      <c r="AB167" s="1">
        <f t="shared" si="9"/>
        <v>112</v>
      </c>
      <c r="AC167" s="1">
        <f t="shared" si="9"/>
        <v>294</v>
      </c>
      <c r="AD167" s="1">
        <f t="shared" si="9"/>
        <v>0</v>
      </c>
      <c r="AE167" s="1">
        <f t="shared" si="9"/>
        <v>0</v>
      </c>
      <c r="AF167" s="1">
        <f t="shared" si="9"/>
        <v>0</v>
      </c>
      <c r="AG167" s="1">
        <f t="shared" si="9"/>
        <v>64</v>
      </c>
      <c r="AH167" s="1">
        <f t="shared" si="9"/>
        <v>227</v>
      </c>
      <c r="AI167" s="1">
        <f t="shared" si="9"/>
        <v>338</v>
      </c>
      <c r="AJ167" s="1">
        <f t="shared" si="9"/>
        <v>135</v>
      </c>
      <c r="AK167" s="1">
        <f t="shared" si="9"/>
        <v>94</v>
      </c>
      <c r="AL167" s="1">
        <f t="shared" si="9"/>
        <v>849</v>
      </c>
      <c r="AM167" s="1">
        <f t="shared" si="9"/>
        <v>19</v>
      </c>
      <c r="AN167" s="1">
        <f t="shared" si="9"/>
        <v>142</v>
      </c>
      <c r="AO167" s="1">
        <f t="shared" si="9"/>
        <v>0</v>
      </c>
      <c r="AP167" s="1">
        <f t="shared" si="9"/>
        <v>3017</v>
      </c>
      <c r="AQ167" s="1">
        <f t="shared" si="9"/>
        <v>0</v>
      </c>
    </row>
    <row r="168" spans="1:43" x14ac:dyDescent="0.3">
      <c r="A168" t="s">
        <v>96</v>
      </c>
      <c r="B168" t="s">
        <v>97</v>
      </c>
      <c r="C168" s="4" t="s">
        <v>40</v>
      </c>
      <c r="D168" s="1">
        <v>86095</v>
      </c>
      <c r="E168">
        <v>128</v>
      </c>
      <c r="F168">
        <v>60</v>
      </c>
      <c r="G168">
        <v>50</v>
      </c>
      <c r="H168" s="1">
        <v>72887</v>
      </c>
      <c r="I168">
        <v>71</v>
      </c>
      <c r="J168">
        <v>2</v>
      </c>
      <c r="K168">
        <v>31</v>
      </c>
      <c r="L168">
        <v>52</v>
      </c>
      <c r="M168">
        <v>0</v>
      </c>
      <c r="N168" s="1">
        <v>1055</v>
      </c>
      <c r="O168">
        <v>0</v>
      </c>
      <c r="P168">
        <v>177</v>
      </c>
      <c r="Q168">
        <v>0</v>
      </c>
      <c r="R168">
        <v>36</v>
      </c>
      <c r="S168">
        <v>2</v>
      </c>
      <c r="T168">
        <v>50</v>
      </c>
      <c r="U168">
        <v>11</v>
      </c>
      <c r="V168">
        <v>23</v>
      </c>
      <c r="W168">
        <v>16</v>
      </c>
      <c r="X168">
        <v>3</v>
      </c>
      <c r="Y168">
        <v>34</v>
      </c>
      <c r="Z168">
        <v>11</v>
      </c>
      <c r="AA168">
        <v>8</v>
      </c>
      <c r="AB168">
        <v>27</v>
      </c>
      <c r="AC168">
        <v>141</v>
      </c>
      <c r="AD168">
        <v>0</v>
      </c>
      <c r="AE168">
        <v>0</v>
      </c>
      <c r="AF168">
        <v>0</v>
      </c>
      <c r="AG168">
        <v>16</v>
      </c>
      <c r="AH168">
        <v>90</v>
      </c>
      <c r="AI168">
        <v>50</v>
      </c>
      <c r="AJ168">
        <v>21</v>
      </c>
      <c r="AK168">
        <v>32</v>
      </c>
      <c r="AL168">
        <v>324</v>
      </c>
      <c r="AM168">
        <v>1</v>
      </c>
      <c r="AN168" s="1">
        <v>0</v>
      </c>
      <c r="AO168" s="1">
        <v>0</v>
      </c>
      <c r="AP168" s="1">
        <v>3004</v>
      </c>
      <c r="AQ168" s="1">
        <v>7682</v>
      </c>
    </row>
    <row r="169" spans="1:43" x14ac:dyDescent="0.3">
      <c r="A169" t="s">
        <v>96</v>
      </c>
      <c r="B169" t="s">
        <v>97</v>
      </c>
      <c r="C169" s="4" t="s">
        <v>43</v>
      </c>
      <c r="D169" s="1">
        <v>42272</v>
      </c>
      <c r="E169">
        <v>68</v>
      </c>
      <c r="F169">
        <v>35</v>
      </c>
      <c r="G169">
        <v>14</v>
      </c>
      <c r="H169" s="1">
        <v>32221</v>
      </c>
      <c r="I169">
        <v>53</v>
      </c>
      <c r="J169">
        <v>1</v>
      </c>
      <c r="K169">
        <v>21</v>
      </c>
      <c r="L169">
        <v>36</v>
      </c>
      <c r="M169">
        <v>0</v>
      </c>
      <c r="N169">
        <v>361</v>
      </c>
      <c r="O169">
        <v>0</v>
      </c>
      <c r="P169">
        <v>35</v>
      </c>
      <c r="Q169">
        <v>0</v>
      </c>
      <c r="R169">
        <v>36</v>
      </c>
      <c r="S169">
        <v>1</v>
      </c>
      <c r="T169">
        <v>45</v>
      </c>
      <c r="U169">
        <v>7</v>
      </c>
      <c r="V169">
        <v>11</v>
      </c>
      <c r="W169">
        <v>11</v>
      </c>
      <c r="X169">
        <v>3</v>
      </c>
      <c r="Y169">
        <v>23</v>
      </c>
      <c r="Z169">
        <v>11</v>
      </c>
      <c r="AA169">
        <v>8</v>
      </c>
      <c r="AB169">
        <v>13</v>
      </c>
      <c r="AC169">
        <v>88</v>
      </c>
      <c r="AD169">
        <v>0</v>
      </c>
      <c r="AE169">
        <v>0</v>
      </c>
      <c r="AF169">
        <v>0</v>
      </c>
      <c r="AG169">
        <v>4</v>
      </c>
      <c r="AH169">
        <v>51</v>
      </c>
      <c r="AI169">
        <v>6</v>
      </c>
      <c r="AJ169">
        <v>18</v>
      </c>
      <c r="AK169">
        <v>22</v>
      </c>
      <c r="AL169">
        <v>102</v>
      </c>
      <c r="AM169">
        <v>1</v>
      </c>
      <c r="AN169" s="1">
        <v>0</v>
      </c>
      <c r="AO169" s="1">
        <v>0</v>
      </c>
      <c r="AP169" s="1">
        <v>1284</v>
      </c>
      <c r="AQ169" s="1">
        <v>7682</v>
      </c>
    </row>
    <row r="170" spans="1:43" x14ac:dyDescent="0.3">
      <c r="A170" t="s">
        <v>96</v>
      </c>
      <c r="B170" t="s">
        <v>97</v>
      </c>
      <c r="C170" s="4" t="s">
        <v>44</v>
      </c>
      <c r="D170" s="1">
        <v>43823</v>
      </c>
      <c r="E170">
        <v>60</v>
      </c>
      <c r="F170">
        <v>25</v>
      </c>
      <c r="G170">
        <v>36</v>
      </c>
      <c r="H170" s="1">
        <v>40666</v>
      </c>
      <c r="I170">
        <v>18</v>
      </c>
      <c r="J170">
        <v>1</v>
      </c>
      <c r="K170">
        <v>10</v>
      </c>
      <c r="L170">
        <v>16</v>
      </c>
      <c r="M170">
        <v>0</v>
      </c>
      <c r="N170">
        <v>694</v>
      </c>
      <c r="O170">
        <v>0</v>
      </c>
      <c r="P170">
        <v>142</v>
      </c>
      <c r="Q170">
        <v>0</v>
      </c>
      <c r="R170">
        <v>0</v>
      </c>
      <c r="S170">
        <v>1</v>
      </c>
      <c r="T170">
        <v>5</v>
      </c>
      <c r="U170">
        <v>4</v>
      </c>
      <c r="V170">
        <v>12</v>
      </c>
      <c r="W170">
        <v>5</v>
      </c>
      <c r="X170">
        <v>0</v>
      </c>
      <c r="Y170">
        <v>11</v>
      </c>
      <c r="Z170">
        <v>0</v>
      </c>
      <c r="AA170">
        <v>0</v>
      </c>
      <c r="AB170">
        <v>14</v>
      </c>
      <c r="AC170">
        <v>53</v>
      </c>
      <c r="AD170">
        <v>0</v>
      </c>
      <c r="AE170">
        <v>0</v>
      </c>
      <c r="AF170">
        <v>0</v>
      </c>
      <c r="AG170">
        <v>12</v>
      </c>
      <c r="AH170">
        <v>39</v>
      </c>
      <c r="AI170">
        <v>44</v>
      </c>
      <c r="AJ170">
        <v>3</v>
      </c>
      <c r="AK170">
        <v>10</v>
      </c>
      <c r="AL170">
        <v>222</v>
      </c>
      <c r="AM170">
        <v>0</v>
      </c>
      <c r="AN170" s="1">
        <v>0</v>
      </c>
      <c r="AO170" s="1">
        <v>0</v>
      </c>
      <c r="AP170" s="1">
        <v>1720</v>
      </c>
      <c r="AQ170" s="1">
        <v>0</v>
      </c>
    </row>
    <row r="171" spans="1:43" x14ac:dyDescent="0.3">
      <c r="A171" t="s">
        <v>96</v>
      </c>
      <c r="B171" t="s">
        <v>98</v>
      </c>
      <c r="C171" s="4" t="s">
        <v>40</v>
      </c>
      <c r="D171" s="1">
        <v>42380</v>
      </c>
      <c r="E171">
        <v>205</v>
      </c>
      <c r="F171">
        <v>212</v>
      </c>
      <c r="G171">
        <v>25</v>
      </c>
      <c r="H171" s="1">
        <v>33860</v>
      </c>
      <c r="I171">
        <v>28</v>
      </c>
      <c r="J171">
        <v>11</v>
      </c>
      <c r="K171">
        <v>31</v>
      </c>
      <c r="L171">
        <v>416</v>
      </c>
      <c r="M171">
        <v>0</v>
      </c>
      <c r="N171">
        <v>339</v>
      </c>
      <c r="O171">
        <v>0</v>
      </c>
      <c r="P171">
        <v>134</v>
      </c>
      <c r="Q171">
        <v>0</v>
      </c>
      <c r="R171">
        <v>36</v>
      </c>
      <c r="S171">
        <v>20</v>
      </c>
      <c r="T171">
        <v>53</v>
      </c>
      <c r="U171">
        <v>633</v>
      </c>
      <c r="V171">
        <v>34</v>
      </c>
      <c r="W171">
        <v>11</v>
      </c>
      <c r="X171">
        <v>1</v>
      </c>
      <c r="Y171">
        <v>21</v>
      </c>
      <c r="Z171">
        <v>17</v>
      </c>
      <c r="AA171">
        <v>6</v>
      </c>
      <c r="AB171">
        <v>304</v>
      </c>
      <c r="AC171">
        <v>137</v>
      </c>
      <c r="AD171">
        <v>0</v>
      </c>
      <c r="AE171">
        <v>0</v>
      </c>
      <c r="AF171">
        <v>0</v>
      </c>
      <c r="AG171">
        <v>18</v>
      </c>
      <c r="AH171">
        <v>71</v>
      </c>
      <c r="AI171">
        <v>270</v>
      </c>
      <c r="AJ171">
        <v>117</v>
      </c>
      <c r="AK171">
        <v>77</v>
      </c>
      <c r="AL171">
        <v>399</v>
      </c>
      <c r="AM171">
        <v>7</v>
      </c>
      <c r="AN171">
        <v>12</v>
      </c>
      <c r="AO171" s="1">
        <v>0</v>
      </c>
      <c r="AP171">
        <v>898</v>
      </c>
      <c r="AQ171" s="1">
        <v>3977</v>
      </c>
    </row>
    <row r="172" spans="1:43" x14ac:dyDescent="0.3">
      <c r="A172" t="s">
        <v>96</v>
      </c>
      <c r="B172" t="s">
        <v>98</v>
      </c>
      <c r="C172" s="4" t="s">
        <v>43</v>
      </c>
      <c r="D172" s="1">
        <v>21885</v>
      </c>
      <c r="E172">
        <v>112</v>
      </c>
      <c r="F172">
        <v>136</v>
      </c>
      <c r="G172">
        <v>0</v>
      </c>
      <c r="H172" s="1">
        <v>15318</v>
      </c>
      <c r="I172">
        <v>15</v>
      </c>
      <c r="J172">
        <v>9</v>
      </c>
      <c r="K172">
        <v>19</v>
      </c>
      <c r="L172">
        <v>310</v>
      </c>
      <c r="M172">
        <v>0</v>
      </c>
      <c r="N172">
        <v>105</v>
      </c>
      <c r="O172">
        <v>0</v>
      </c>
      <c r="P172">
        <v>37</v>
      </c>
      <c r="Q172">
        <v>0</v>
      </c>
      <c r="R172">
        <v>16</v>
      </c>
      <c r="S172">
        <v>15</v>
      </c>
      <c r="T172">
        <v>52</v>
      </c>
      <c r="U172">
        <v>580</v>
      </c>
      <c r="V172">
        <v>13</v>
      </c>
      <c r="W172">
        <v>6</v>
      </c>
      <c r="X172">
        <v>0</v>
      </c>
      <c r="Y172">
        <v>17</v>
      </c>
      <c r="Z172">
        <v>17</v>
      </c>
      <c r="AA172">
        <v>6</v>
      </c>
      <c r="AB172">
        <v>257</v>
      </c>
      <c r="AC172">
        <v>67</v>
      </c>
      <c r="AD172">
        <v>0</v>
      </c>
      <c r="AE172">
        <v>0</v>
      </c>
      <c r="AF172">
        <v>0</v>
      </c>
      <c r="AG172">
        <v>9</v>
      </c>
      <c r="AH172">
        <v>45</v>
      </c>
      <c r="AI172">
        <v>77</v>
      </c>
      <c r="AJ172">
        <v>77</v>
      </c>
      <c r="AK172">
        <v>41</v>
      </c>
      <c r="AL172">
        <v>159</v>
      </c>
      <c r="AM172">
        <v>6</v>
      </c>
      <c r="AN172">
        <v>3</v>
      </c>
      <c r="AO172" s="1">
        <v>0</v>
      </c>
      <c r="AP172">
        <v>384</v>
      </c>
      <c r="AQ172" s="1">
        <v>3977</v>
      </c>
    </row>
    <row r="173" spans="1:43" x14ac:dyDescent="0.3">
      <c r="A173" t="s">
        <v>96</v>
      </c>
      <c r="B173" t="s">
        <v>98</v>
      </c>
      <c r="C173" s="4" t="s">
        <v>44</v>
      </c>
      <c r="D173" s="1">
        <v>20495</v>
      </c>
      <c r="E173">
        <v>93</v>
      </c>
      <c r="F173">
        <v>76</v>
      </c>
      <c r="G173">
        <v>25</v>
      </c>
      <c r="H173" s="1">
        <v>18542</v>
      </c>
      <c r="I173">
        <v>13</v>
      </c>
      <c r="J173">
        <v>2</v>
      </c>
      <c r="K173">
        <v>12</v>
      </c>
      <c r="L173">
        <v>106</v>
      </c>
      <c r="M173">
        <v>0</v>
      </c>
      <c r="N173">
        <v>234</v>
      </c>
      <c r="O173">
        <v>0</v>
      </c>
      <c r="P173">
        <v>97</v>
      </c>
      <c r="Q173">
        <v>0</v>
      </c>
      <c r="R173">
        <v>20</v>
      </c>
      <c r="S173">
        <v>5</v>
      </c>
      <c r="T173">
        <v>1</v>
      </c>
      <c r="U173">
        <v>53</v>
      </c>
      <c r="V173">
        <v>21</v>
      </c>
      <c r="W173">
        <v>5</v>
      </c>
      <c r="X173">
        <v>1</v>
      </c>
      <c r="Y173">
        <v>4</v>
      </c>
      <c r="Z173">
        <v>0</v>
      </c>
      <c r="AA173">
        <v>0</v>
      </c>
      <c r="AB173">
        <v>47</v>
      </c>
      <c r="AC173">
        <v>70</v>
      </c>
      <c r="AD173">
        <v>0</v>
      </c>
      <c r="AE173">
        <v>0</v>
      </c>
      <c r="AF173">
        <v>0</v>
      </c>
      <c r="AG173">
        <v>9</v>
      </c>
      <c r="AH173">
        <v>26</v>
      </c>
      <c r="AI173">
        <v>193</v>
      </c>
      <c r="AJ173">
        <v>40</v>
      </c>
      <c r="AK173">
        <v>36</v>
      </c>
      <c r="AL173">
        <v>240</v>
      </c>
      <c r="AM173">
        <v>1</v>
      </c>
      <c r="AN173">
        <v>9</v>
      </c>
      <c r="AO173" s="1">
        <v>0</v>
      </c>
      <c r="AP173">
        <v>514</v>
      </c>
      <c r="AQ173" s="1">
        <v>0</v>
      </c>
    </row>
    <row r="174" spans="1:43" x14ac:dyDescent="0.3">
      <c r="A174" t="s">
        <v>96</v>
      </c>
      <c r="B174" t="s">
        <v>99</v>
      </c>
      <c r="C174" s="4" t="s">
        <v>40</v>
      </c>
      <c r="D174" s="1">
        <v>16264</v>
      </c>
      <c r="E174">
        <v>120</v>
      </c>
      <c r="F174">
        <v>125</v>
      </c>
      <c r="G174">
        <v>43</v>
      </c>
      <c r="H174" s="1">
        <v>12336</v>
      </c>
      <c r="I174">
        <v>46</v>
      </c>
      <c r="J174">
        <v>0</v>
      </c>
      <c r="K174">
        <v>7</v>
      </c>
      <c r="L174">
        <v>25</v>
      </c>
      <c r="M174">
        <v>0</v>
      </c>
      <c r="N174">
        <v>213</v>
      </c>
      <c r="O174">
        <v>0</v>
      </c>
      <c r="P174">
        <v>71</v>
      </c>
      <c r="Q174">
        <v>0</v>
      </c>
      <c r="R174">
        <v>13</v>
      </c>
      <c r="S174">
        <v>4</v>
      </c>
      <c r="T174">
        <v>0</v>
      </c>
      <c r="U174">
        <v>3</v>
      </c>
      <c r="V174">
        <v>15</v>
      </c>
      <c r="W174">
        <v>4</v>
      </c>
      <c r="X174">
        <v>7</v>
      </c>
      <c r="Y174">
        <v>4</v>
      </c>
      <c r="Z174">
        <v>0</v>
      </c>
      <c r="AA174">
        <v>0</v>
      </c>
      <c r="AB174">
        <v>46</v>
      </c>
      <c r="AC174">
        <v>72</v>
      </c>
      <c r="AD174">
        <v>0</v>
      </c>
      <c r="AE174">
        <v>0</v>
      </c>
      <c r="AF174">
        <v>0</v>
      </c>
      <c r="AG174">
        <v>16</v>
      </c>
      <c r="AH174">
        <v>105</v>
      </c>
      <c r="AI174">
        <v>30</v>
      </c>
      <c r="AJ174">
        <v>0</v>
      </c>
      <c r="AK174">
        <v>19</v>
      </c>
      <c r="AL174">
        <v>145</v>
      </c>
      <c r="AM174">
        <v>2</v>
      </c>
      <c r="AN174">
        <v>0</v>
      </c>
      <c r="AO174" s="1">
        <v>0</v>
      </c>
      <c r="AP174">
        <v>220</v>
      </c>
      <c r="AQ174" s="1">
        <v>2573</v>
      </c>
    </row>
    <row r="175" spans="1:43" x14ac:dyDescent="0.3">
      <c r="A175" t="s">
        <v>96</v>
      </c>
      <c r="B175" t="s">
        <v>99</v>
      </c>
      <c r="C175" s="4" t="s">
        <v>43</v>
      </c>
      <c r="D175" s="1">
        <v>8691</v>
      </c>
      <c r="E175">
        <v>69</v>
      </c>
      <c r="F175">
        <v>63</v>
      </c>
      <c r="G175">
        <v>7</v>
      </c>
      <c r="H175" s="1">
        <v>5497</v>
      </c>
      <c r="I175">
        <v>27</v>
      </c>
      <c r="J175">
        <v>0</v>
      </c>
      <c r="K175">
        <v>5</v>
      </c>
      <c r="L175">
        <v>20</v>
      </c>
      <c r="M175">
        <v>0</v>
      </c>
      <c r="N175">
        <v>71</v>
      </c>
      <c r="O175">
        <v>0</v>
      </c>
      <c r="P175">
        <v>18</v>
      </c>
      <c r="Q175">
        <v>0</v>
      </c>
      <c r="R175">
        <v>5</v>
      </c>
      <c r="S175">
        <v>0</v>
      </c>
      <c r="T175">
        <v>0</v>
      </c>
      <c r="U175">
        <v>3</v>
      </c>
      <c r="V175">
        <v>4</v>
      </c>
      <c r="W175">
        <v>4</v>
      </c>
      <c r="X175">
        <v>7</v>
      </c>
      <c r="Y175">
        <v>4</v>
      </c>
      <c r="Z175">
        <v>0</v>
      </c>
      <c r="AA175">
        <v>0</v>
      </c>
      <c r="AB175">
        <v>33</v>
      </c>
      <c r="AC175">
        <v>47</v>
      </c>
      <c r="AD175">
        <v>0</v>
      </c>
      <c r="AE175">
        <v>0</v>
      </c>
      <c r="AF175">
        <v>0</v>
      </c>
      <c r="AG175">
        <v>7</v>
      </c>
      <c r="AH175">
        <v>49</v>
      </c>
      <c r="AI175">
        <v>1</v>
      </c>
      <c r="AJ175">
        <v>0</v>
      </c>
      <c r="AK175">
        <v>2</v>
      </c>
      <c r="AL175">
        <v>65</v>
      </c>
      <c r="AM175">
        <v>0</v>
      </c>
      <c r="AN175">
        <v>0</v>
      </c>
      <c r="AO175" s="1">
        <v>0</v>
      </c>
      <c r="AP175">
        <v>110</v>
      </c>
      <c r="AQ175" s="1">
        <v>2573</v>
      </c>
    </row>
    <row r="176" spans="1:43" x14ac:dyDescent="0.3">
      <c r="A176" t="s">
        <v>96</v>
      </c>
      <c r="B176" t="s">
        <v>99</v>
      </c>
      <c r="C176" s="4" t="s">
        <v>44</v>
      </c>
      <c r="D176" s="1">
        <v>7573</v>
      </c>
      <c r="E176">
        <v>51</v>
      </c>
      <c r="F176">
        <v>62</v>
      </c>
      <c r="G176">
        <v>36</v>
      </c>
      <c r="H176" s="1">
        <v>6839</v>
      </c>
      <c r="I176">
        <v>19</v>
      </c>
      <c r="J176">
        <v>0</v>
      </c>
      <c r="K176">
        <v>2</v>
      </c>
      <c r="L176">
        <v>5</v>
      </c>
      <c r="M176">
        <v>0</v>
      </c>
      <c r="N176">
        <v>142</v>
      </c>
      <c r="O176">
        <v>0</v>
      </c>
      <c r="P176">
        <v>53</v>
      </c>
      <c r="Q176">
        <v>0</v>
      </c>
      <c r="R176">
        <v>8</v>
      </c>
      <c r="S176">
        <v>4</v>
      </c>
      <c r="T176">
        <v>0</v>
      </c>
      <c r="U176">
        <v>0</v>
      </c>
      <c r="V176">
        <v>11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13</v>
      </c>
      <c r="AC176">
        <v>25</v>
      </c>
      <c r="AD176">
        <v>0</v>
      </c>
      <c r="AE176">
        <v>0</v>
      </c>
      <c r="AF176">
        <v>0</v>
      </c>
      <c r="AG176">
        <v>9</v>
      </c>
      <c r="AH176">
        <v>56</v>
      </c>
      <c r="AI176">
        <v>29</v>
      </c>
      <c r="AJ176">
        <v>0</v>
      </c>
      <c r="AK176">
        <v>17</v>
      </c>
      <c r="AL176">
        <v>80</v>
      </c>
      <c r="AM176">
        <v>2</v>
      </c>
      <c r="AN176">
        <v>0</v>
      </c>
      <c r="AO176" s="1">
        <v>0</v>
      </c>
      <c r="AP176">
        <v>110</v>
      </c>
      <c r="AQ176" s="1">
        <v>0</v>
      </c>
    </row>
    <row r="177" spans="1:43" x14ac:dyDescent="0.3">
      <c r="A177" t="s">
        <v>96</v>
      </c>
      <c r="B177" t="s">
        <v>100</v>
      </c>
      <c r="C177" s="4" t="s">
        <v>40</v>
      </c>
      <c r="D177" s="1">
        <v>10046</v>
      </c>
      <c r="E177">
        <v>85</v>
      </c>
      <c r="F177">
        <v>4</v>
      </c>
      <c r="G177">
        <v>1</v>
      </c>
      <c r="H177">
        <v>4</v>
      </c>
      <c r="I177" s="1">
        <v>7791</v>
      </c>
      <c r="J177">
        <v>0</v>
      </c>
      <c r="K177">
        <v>6</v>
      </c>
      <c r="L177">
        <v>106</v>
      </c>
      <c r="M177">
        <v>0</v>
      </c>
      <c r="N177">
        <v>47</v>
      </c>
      <c r="O177">
        <v>0</v>
      </c>
      <c r="P177">
        <v>12</v>
      </c>
      <c r="Q177">
        <v>0</v>
      </c>
      <c r="R177">
        <v>2</v>
      </c>
      <c r="S177">
        <v>0</v>
      </c>
      <c r="T177">
        <v>11</v>
      </c>
      <c r="U177">
        <v>6</v>
      </c>
      <c r="V177">
        <v>9</v>
      </c>
      <c r="W177">
        <v>3</v>
      </c>
      <c r="X177">
        <v>0</v>
      </c>
      <c r="Y177">
        <v>2</v>
      </c>
      <c r="Z177">
        <v>0</v>
      </c>
      <c r="AA177">
        <v>1</v>
      </c>
      <c r="AB177">
        <v>42</v>
      </c>
      <c r="AC177">
        <v>19</v>
      </c>
      <c r="AD177">
        <v>0</v>
      </c>
      <c r="AE177">
        <v>0</v>
      </c>
      <c r="AF177">
        <v>0</v>
      </c>
      <c r="AG177">
        <v>1</v>
      </c>
      <c r="AH177">
        <v>12</v>
      </c>
      <c r="AI177">
        <v>14</v>
      </c>
      <c r="AJ177">
        <v>64</v>
      </c>
      <c r="AK177">
        <v>25</v>
      </c>
      <c r="AL177">
        <v>72</v>
      </c>
      <c r="AM177">
        <v>3</v>
      </c>
      <c r="AN177">
        <v>28</v>
      </c>
      <c r="AO177" s="1">
        <v>0</v>
      </c>
      <c r="AP177">
        <v>206</v>
      </c>
      <c r="AQ177" s="1">
        <v>1470</v>
      </c>
    </row>
    <row r="178" spans="1:43" x14ac:dyDescent="0.3">
      <c r="A178" t="s">
        <v>96</v>
      </c>
      <c r="B178" t="s">
        <v>100</v>
      </c>
      <c r="C178" s="4" t="s">
        <v>43</v>
      </c>
      <c r="D178" s="1">
        <v>5530</v>
      </c>
      <c r="E178">
        <v>43</v>
      </c>
      <c r="F178">
        <v>4</v>
      </c>
      <c r="G178">
        <v>0</v>
      </c>
      <c r="H178">
        <v>3</v>
      </c>
      <c r="I178" s="1">
        <v>3654</v>
      </c>
      <c r="J178">
        <v>0</v>
      </c>
      <c r="K178">
        <v>4</v>
      </c>
      <c r="L178">
        <v>60</v>
      </c>
      <c r="M178">
        <v>0</v>
      </c>
      <c r="N178">
        <v>10</v>
      </c>
      <c r="O178">
        <v>0</v>
      </c>
      <c r="P178">
        <v>3</v>
      </c>
      <c r="Q178">
        <v>0</v>
      </c>
      <c r="R178">
        <v>0</v>
      </c>
      <c r="S178">
        <v>0</v>
      </c>
      <c r="T178">
        <v>11</v>
      </c>
      <c r="U178">
        <v>6</v>
      </c>
      <c r="V178">
        <v>5</v>
      </c>
      <c r="W178">
        <v>3</v>
      </c>
      <c r="X178">
        <v>0</v>
      </c>
      <c r="Y178">
        <v>1</v>
      </c>
      <c r="Z178">
        <v>0</v>
      </c>
      <c r="AA178">
        <v>1</v>
      </c>
      <c r="AB178">
        <v>25</v>
      </c>
      <c r="AC178">
        <v>18</v>
      </c>
      <c r="AD178">
        <v>0</v>
      </c>
      <c r="AE178">
        <v>0</v>
      </c>
      <c r="AF178">
        <v>0</v>
      </c>
      <c r="AG178">
        <v>0</v>
      </c>
      <c r="AH178">
        <v>5</v>
      </c>
      <c r="AI178">
        <v>5</v>
      </c>
      <c r="AJ178">
        <v>36</v>
      </c>
      <c r="AK178">
        <v>24</v>
      </c>
      <c r="AL178">
        <v>28</v>
      </c>
      <c r="AM178">
        <v>2</v>
      </c>
      <c r="AN178">
        <v>10</v>
      </c>
      <c r="AO178" s="1">
        <v>0</v>
      </c>
      <c r="AP178">
        <v>99</v>
      </c>
      <c r="AQ178" s="1">
        <v>1470</v>
      </c>
    </row>
    <row r="179" spans="1:43" x14ac:dyDescent="0.3">
      <c r="A179" t="s">
        <v>96</v>
      </c>
      <c r="B179" t="s">
        <v>100</v>
      </c>
      <c r="C179" s="4" t="s">
        <v>44</v>
      </c>
      <c r="D179" s="1">
        <v>4516</v>
      </c>
      <c r="E179">
        <v>42</v>
      </c>
      <c r="F179">
        <v>0</v>
      </c>
      <c r="G179">
        <v>1</v>
      </c>
      <c r="H179">
        <v>1</v>
      </c>
      <c r="I179" s="1">
        <v>4137</v>
      </c>
      <c r="J179">
        <v>0</v>
      </c>
      <c r="K179">
        <v>2</v>
      </c>
      <c r="L179">
        <v>46</v>
      </c>
      <c r="M179">
        <v>0</v>
      </c>
      <c r="N179">
        <v>37</v>
      </c>
      <c r="O179">
        <v>0</v>
      </c>
      <c r="P179">
        <v>9</v>
      </c>
      <c r="Q179">
        <v>0</v>
      </c>
      <c r="R179">
        <v>2</v>
      </c>
      <c r="S179">
        <v>0</v>
      </c>
      <c r="T179">
        <v>0</v>
      </c>
      <c r="U179">
        <v>0</v>
      </c>
      <c r="V179">
        <v>4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17</v>
      </c>
      <c r="AC179">
        <v>1</v>
      </c>
      <c r="AD179">
        <v>0</v>
      </c>
      <c r="AE179">
        <v>0</v>
      </c>
      <c r="AF179">
        <v>0</v>
      </c>
      <c r="AG179">
        <v>1</v>
      </c>
      <c r="AH179">
        <v>7</v>
      </c>
      <c r="AI179">
        <v>9</v>
      </c>
      <c r="AJ179">
        <v>28</v>
      </c>
      <c r="AK179">
        <v>1</v>
      </c>
      <c r="AL179">
        <v>44</v>
      </c>
      <c r="AM179">
        <v>1</v>
      </c>
      <c r="AN179">
        <v>18</v>
      </c>
      <c r="AO179" s="1">
        <v>0</v>
      </c>
      <c r="AP179">
        <v>107</v>
      </c>
      <c r="AQ179" s="1">
        <v>0</v>
      </c>
    </row>
    <row r="180" spans="1:43" x14ac:dyDescent="0.3">
      <c r="A180" t="s">
        <v>96</v>
      </c>
      <c r="B180" t="s">
        <v>101</v>
      </c>
      <c r="C180" s="4" t="s">
        <v>40</v>
      </c>
      <c r="D180" s="1">
        <v>9027</v>
      </c>
      <c r="E180">
        <v>166</v>
      </c>
      <c r="F180">
        <v>49</v>
      </c>
      <c r="G180">
        <v>6</v>
      </c>
      <c r="H180" s="1">
        <v>7384</v>
      </c>
      <c r="I180">
        <v>18</v>
      </c>
      <c r="J180">
        <v>13</v>
      </c>
      <c r="K180">
        <v>23</v>
      </c>
      <c r="L180">
        <v>32</v>
      </c>
      <c r="M180">
        <v>0</v>
      </c>
      <c r="N180">
        <v>125</v>
      </c>
      <c r="O180">
        <v>0</v>
      </c>
      <c r="P180">
        <v>45</v>
      </c>
      <c r="Q180">
        <v>0</v>
      </c>
      <c r="R180">
        <v>5</v>
      </c>
      <c r="S180">
        <v>0</v>
      </c>
      <c r="T180">
        <v>19</v>
      </c>
      <c r="U180">
        <v>3</v>
      </c>
      <c r="V180">
        <v>1</v>
      </c>
      <c r="W180">
        <v>3</v>
      </c>
      <c r="X180">
        <v>2</v>
      </c>
      <c r="Y180">
        <v>18</v>
      </c>
      <c r="Z180">
        <v>0</v>
      </c>
      <c r="AA180">
        <v>0</v>
      </c>
      <c r="AB180">
        <v>8</v>
      </c>
      <c r="AC180">
        <v>54</v>
      </c>
      <c r="AD180">
        <v>0</v>
      </c>
      <c r="AE180">
        <v>0</v>
      </c>
      <c r="AF180">
        <v>0</v>
      </c>
      <c r="AG180">
        <v>5</v>
      </c>
      <c r="AH180">
        <v>15</v>
      </c>
      <c r="AI180">
        <v>43</v>
      </c>
      <c r="AJ180">
        <v>12</v>
      </c>
      <c r="AK180">
        <v>18</v>
      </c>
      <c r="AL180">
        <v>68</v>
      </c>
      <c r="AM180">
        <v>0</v>
      </c>
      <c r="AN180">
        <v>134</v>
      </c>
      <c r="AO180" s="1">
        <v>0</v>
      </c>
      <c r="AP180">
        <v>142</v>
      </c>
      <c r="AQ180">
        <v>616</v>
      </c>
    </row>
    <row r="181" spans="1:43" x14ac:dyDescent="0.3">
      <c r="A181" t="s">
        <v>96</v>
      </c>
      <c r="B181" t="s">
        <v>101</v>
      </c>
      <c r="C181" s="4" t="s">
        <v>43</v>
      </c>
      <c r="D181" s="1">
        <v>4430</v>
      </c>
      <c r="E181">
        <v>101</v>
      </c>
      <c r="F181">
        <v>31</v>
      </c>
      <c r="G181">
        <v>0</v>
      </c>
      <c r="H181" s="1">
        <v>3349</v>
      </c>
      <c r="I181">
        <v>16</v>
      </c>
      <c r="J181">
        <v>8</v>
      </c>
      <c r="K181">
        <v>22</v>
      </c>
      <c r="L181">
        <v>21</v>
      </c>
      <c r="M181">
        <v>0</v>
      </c>
      <c r="N181">
        <v>41</v>
      </c>
      <c r="O181">
        <v>0</v>
      </c>
      <c r="P181">
        <v>8</v>
      </c>
      <c r="Q181">
        <v>0</v>
      </c>
      <c r="R181">
        <v>4</v>
      </c>
      <c r="S181">
        <v>0</v>
      </c>
      <c r="T181">
        <v>19</v>
      </c>
      <c r="U181">
        <v>3</v>
      </c>
      <c r="V181">
        <v>0</v>
      </c>
      <c r="W181">
        <v>3</v>
      </c>
      <c r="X181">
        <v>0</v>
      </c>
      <c r="Y181">
        <v>16</v>
      </c>
      <c r="Z181">
        <v>0</v>
      </c>
      <c r="AA181">
        <v>0</v>
      </c>
      <c r="AB181">
        <v>3</v>
      </c>
      <c r="AC181">
        <v>39</v>
      </c>
      <c r="AD181">
        <v>0</v>
      </c>
      <c r="AE181">
        <v>0</v>
      </c>
      <c r="AF181">
        <v>0</v>
      </c>
      <c r="AG181">
        <v>0</v>
      </c>
      <c r="AH181">
        <v>10</v>
      </c>
      <c r="AI181">
        <v>1</v>
      </c>
      <c r="AJ181">
        <v>5</v>
      </c>
      <c r="AK181">
        <v>17</v>
      </c>
      <c r="AL181">
        <v>17</v>
      </c>
      <c r="AM181">
        <v>0</v>
      </c>
      <c r="AN181">
        <v>19</v>
      </c>
      <c r="AO181" s="1">
        <v>0</v>
      </c>
      <c r="AP181">
        <v>61</v>
      </c>
      <c r="AQ181">
        <v>616</v>
      </c>
    </row>
    <row r="182" spans="1:43" x14ac:dyDescent="0.3">
      <c r="A182" t="s">
        <v>96</v>
      </c>
      <c r="B182" t="s">
        <v>101</v>
      </c>
      <c r="C182" s="4" t="s">
        <v>44</v>
      </c>
      <c r="D182" s="1">
        <v>4597</v>
      </c>
      <c r="E182">
        <v>65</v>
      </c>
      <c r="F182">
        <v>18</v>
      </c>
      <c r="G182">
        <v>6</v>
      </c>
      <c r="H182" s="1">
        <v>4035</v>
      </c>
      <c r="I182">
        <v>2</v>
      </c>
      <c r="J182">
        <v>5</v>
      </c>
      <c r="K182">
        <v>1</v>
      </c>
      <c r="L182">
        <v>11</v>
      </c>
      <c r="M182">
        <v>0</v>
      </c>
      <c r="N182">
        <v>84</v>
      </c>
      <c r="O182">
        <v>0</v>
      </c>
      <c r="P182">
        <v>37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2</v>
      </c>
      <c r="Y182">
        <v>2</v>
      </c>
      <c r="Z182">
        <v>0</v>
      </c>
      <c r="AA182">
        <v>0</v>
      </c>
      <c r="AB182">
        <v>5</v>
      </c>
      <c r="AC182">
        <v>15</v>
      </c>
      <c r="AD182">
        <v>0</v>
      </c>
      <c r="AE182">
        <v>0</v>
      </c>
      <c r="AF182">
        <v>0</v>
      </c>
      <c r="AG182">
        <v>5</v>
      </c>
      <c r="AH182">
        <v>5</v>
      </c>
      <c r="AI182">
        <v>42</v>
      </c>
      <c r="AJ182">
        <v>7</v>
      </c>
      <c r="AK182">
        <v>1</v>
      </c>
      <c r="AL182">
        <v>51</v>
      </c>
      <c r="AM182">
        <v>0</v>
      </c>
      <c r="AN182">
        <v>115</v>
      </c>
      <c r="AO182" s="1">
        <v>0</v>
      </c>
      <c r="AP182">
        <v>81</v>
      </c>
      <c r="AQ182" s="1">
        <v>0</v>
      </c>
    </row>
    <row r="183" spans="1:43" x14ac:dyDescent="0.3">
      <c r="A183" t="s">
        <v>96</v>
      </c>
      <c r="B183" t="s">
        <v>102</v>
      </c>
      <c r="C183" s="4" t="s">
        <v>40</v>
      </c>
      <c r="D183" s="1">
        <v>7828</v>
      </c>
      <c r="E183">
        <v>129</v>
      </c>
      <c r="F183">
        <v>99</v>
      </c>
      <c r="G183">
        <v>9</v>
      </c>
      <c r="H183" s="1">
        <v>5857</v>
      </c>
      <c r="I183">
        <v>31</v>
      </c>
      <c r="J183">
        <v>0</v>
      </c>
      <c r="K183">
        <v>57</v>
      </c>
      <c r="L183">
        <v>28</v>
      </c>
      <c r="M183">
        <v>0</v>
      </c>
      <c r="N183">
        <v>130</v>
      </c>
      <c r="O183">
        <v>0</v>
      </c>
      <c r="P183">
        <v>55</v>
      </c>
      <c r="Q183">
        <v>0</v>
      </c>
      <c r="R183">
        <v>2</v>
      </c>
      <c r="S183">
        <v>0</v>
      </c>
      <c r="T183">
        <v>9</v>
      </c>
      <c r="U183">
        <v>0</v>
      </c>
      <c r="V183">
        <v>8</v>
      </c>
      <c r="W183">
        <v>0</v>
      </c>
      <c r="X183">
        <v>1</v>
      </c>
      <c r="Y183">
        <v>5</v>
      </c>
      <c r="Z183">
        <v>0</v>
      </c>
      <c r="AA183">
        <v>0</v>
      </c>
      <c r="AB183">
        <v>8</v>
      </c>
      <c r="AC183">
        <v>41</v>
      </c>
      <c r="AD183">
        <v>0</v>
      </c>
      <c r="AE183">
        <v>0</v>
      </c>
      <c r="AF183">
        <v>0</v>
      </c>
      <c r="AG183">
        <v>17</v>
      </c>
      <c r="AH183">
        <v>66</v>
      </c>
      <c r="AI183">
        <v>8</v>
      </c>
      <c r="AJ183">
        <v>3</v>
      </c>
      <c r="AK183">
        <v>8</v>
      </c>
      <c r="AL183">
        <v>117</v>
      </c>
      <c r="AM183">
        <v>2</v>
      </c>
      <c r="AN183">
        <v>0</v>
      </c>
      <c r="AO183" s="1">
        <v>0</v>
      </c>
      <c r="AP183">
        <v>101</v>
      </c>
      <c r="AQ183" s="1">
        <v>1037</v>
      </c>
    </row>
    <row r="184" spans="1:43" x14ac:dyDescent="0.3">
      <c r="A184" t="s">
        <v>96</v>
      </c>
      <c r="B184" t="s">
        <v>102</v>
      </c>
      <c r="C184" s="4" t="s">
        <v>43</v>
      </c>
      <c r="D184" s="1">
        <v>3768</v>
      </c>
      <c r="E184">
        <v>75</v>
      </c>
      <c r="F184">
        <v>57</v>
      </c>
      <c r="G184">
        <v>0</v>
      </c>
      <c r="H184" s="1">
        <v>2323</v>
      </c>
      <c r="I184">
        <v>23</v>
      </c>
      <c r="J184">
        <v>0</v>
      </c>
      <c r="K184">
        <v>30</v>
      </c>
      <c r="L184">
        <v>19</v>
      </c>
      <c r="M184">
        <v>0</v>
      </c>
      <c r="N184">
        <v>21</v>
      </c>
      <c r="O184">
        <v>0</v>
      </c>
      <c r="P184">
        <v>11</v>
      </c>
      <c r="Q184">
        <v>0</v>
      </c>
      <c r="R184">
        <v>1</v>
      </c>
      <c r="S184">
        <v>0</v>
      </c>
      <c r="T184">
        <v>9</v>
      </c>
      <c r="U184">
        <v>0</v>
      </c>
      <c r="V184">
        <v>2</v>
      </c>
      <c r="W184">
        <v>0</v>
      </c>
      <c r="X184">
        <v>0</v>
      </c>
      <c r="Y184">
        <v>5</v>
      </c>
      <c r="Z184">
        <v>0</v>
      </c>
      <c r="AA184">
        <v>0</v>
      </c>
      <c r="AB184">
        <v>6</v>
      </c>
      <c r="AC184">
        <v>13</v>
      </c>
      <c r="AD184">
        <v>0</v>
      </c>
      <c r="AE184">
        <v>0</v>
      </c>
      <c r="AF184">
        <v>0</v>
      </c>
      <c r="AG184">
        <v>4</v>
      </c>
      <c r="AH184">
        <v>38</v>
      </c>
      <c r="AI184">
        <v>0</v>
      </c>
      <c r="AJ184">
        <v>3</v>
      </c>
      <c r="AK184">
        <v>5</v>
      </c>
      <c r="AL184">
        <v>32</v>
      </c>
      <c r="AM184">
        <v>1</v>
      </c>
      <c r="AN184">
        <v>0</v>
      </c>
      <c r="AO184" s="1">
        <v>0</v>
      </c>
      <c r="AP184">
        <v>53</v>
      </c>
      <c r="AQ184" s="1">
        <v>1037</v>
      </c>
    </row>
    <row r="185" spans="1:43" x14ac:dyDescent="0.3">
      <c r="A185" t="s">
        <v>96</v>
      </c>
      <c r="B185" t="s">
        <v>102</v>
      </c>
      <c r="C185" s="4" t="s">
        <v>44</v>
      </c>
      <c r="D185" s="1">
        <v>4060</v>
      </c>
      <c r="E185">
        <v>54</v>
      </c>
      <c r="F185">
        <v>42</v>
      </c>
      <c r="G185">
        <v>9</v>
      </c>
      <c r="H185" s="1">
        <v>3534</v>
      </c>
      <c r="I185">
        <v>8</v>
      </c>
      <c r="J185">
        <v>0</v>
      </c>
      <c r="K185">
        <v>27</v>
      </c>
      <c r="L185">
        <v>9</v>
      </c>
      <c r="M185">
        <v>0</v>
      </c>
      <c r="N185">
        <v>109</v>
      </c>
      <c r="O185">
        <v>0</v>
      </c>
      <c r="P185">
        <v>44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6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2</v>
      </c>
      <c r="AC185">
        <v>28</v>
      </c>
      <c r="AD185">
        <v>0</v>
      </c>
      <c r="AE185">
        <v>0</v>
      </c>
      <c r="AF185">
        <v>0</v>
      </c>
      <c r="AG185">
        <v>13</v>
      </c>
      <c r="AH185">
        <v>28</v>
      </c>
      <c r="AI185">
        <v>8</v>
      </c>
      <c r="AJ185">
        <v>0</v>
      </c>
      <c r="AK185">
        <v>3</v>
      </c>
      <c r="AL185">
        <v>85</v>
      </c>
      <c r="AM185">
        <v>1</v>
      </c>
      <c r="AN185">
        <v>0</v>
      </c>
      <c r="AO185" s="1">
        <v>0</v>
      </c>
      <c r="AP185">
        <v>48</v>
      </c>
      <c r="AQ185" s="1">
        <v>0</v>
      </c>
    </row>
    <row r="186" spans="1:43" x14ac:dyDescent="0.3">
      <c r="A186" t="s">
        <v>96</v>
      </c>
      <c r="B186" t="s">
        <v>103</v>
      </c>
      <c r="C186" s="4" t="s">
        <v>40</v>
      </c>
      <c r="D186" s="1">
        <v>3475</v>
      </c>
      <c r="E186">
        <v>40</v>
      </c>
      <c r="F186">
        <v>26</v>
      </c>
      <c r="G186">
        <v>5</v>
      </c>
      <c r="H186" s="1">
        <v>0</v>
      </c>
      <c r="I186" s="1">
        <v>2600</v>
      </c>
      <c r="J186">
        <v>0</v>
      </c>
      <c r="K186">
        <v>7</v>
      </c>
      <c r="L186">
        <v>1</v>
      </c>
      <c r="M186">
        <v>0</v>
      </c>
      <c r="N186">
        <v>121</v>
      </c>
      <c r="O186">
        <v>0</v>
      </c>
      <c r="P186">
        <v>26</v>
      </c>
      <c r="Q186">
        <v>0</v>
      </c>
      <c r="R186">
        <v>2</v>
      </c>
      <c r="S186">
        <v>1</v>
      </c>
      <c r="T186">
        <v>1</v>
      </c>
      <c r="U186">
        <v>0</v>
      </c>
      <c r="V186">
        <v>7</v>
      </c>
      <c r="W186">
        <v>2</v>
      </c>
      <c r="X186">
        <v>1</v>
      </c>
      <c r="Y186">
        <v>12</v>
      </c>
      <c r="Z186">
        <v>0</v>
      </c>
      <c r="AA186">
        <v>10</v>
      </c>
      <c r="AB186">
        <v>20</v>
      </c>
      <c r="AC186">
        <v>19</v>
      </c>
      <c r="AD186">
        <v>0</v>
      </c>
      <c r="AE186">
        <v>0</v>
      </c>
      <c r="AF186">
        <v>0</v>
      </c>
      <c r="AG186">
        <v>2</v>
      </c>
      <c r="AH186">
        <v>28</v>
      </c>
      <c r="AI186">
        <v>4</v>
      </c>
      <c r="AJ186">
        <v>3</v>
      </c>
      <c r="AK186">
        <v>10</v>
      </c>
      <c r="AL186">
        <v>33</v>
      </c>
      <c r="AM186">
        <v>2</v>
      </c>
      <c r="AN186">
        <v>0</v>
      </c>
      <c r="AO186" s="1">
        <v>0</v>
      </c>
      <c r="AP186">
        <v>22</v>
      </c>
      <c r="AQ186">
        <v>470</v>
      </c>
    </row>
    <row r="187" spans="1:43" x14ac:dyDescent="0.3">
      <c r="A187" t="s">
        <v>96</v>
      </c>
      <c r="B187" t="s">
        <v>103</v>
      </c>
      <c r="C187" s="4" t="s">
        <v>43</v>
      </c>
      <c r="D187" s="1">
        <v>1814</v>
      </c>
      <c r="E187">
        <v>25</v>
      </c>
      <c r="F187">
        <v>23</v>
      </c>
      <c r="G187">
        <v>2</v>
      </c>
      <c r="H187" s="1">
        <v>0</v>
      </c>
      <c r="I187" s="1">
        <v>1140</v>
      </c>
      <c r="J187">
        <v>0</v>
      </c>
      <c r="K187">
        <v>4</v>
      </c>
      <c r="L187">
        <v>1</v>
      </c>
      <c r="M187">
        <v>0</v>
      </c>
      <c r="N187">
        <v>35</v>
      </c>
      <c r="O187">
        <v>0</v>
      </c>
      <c r="P187">
        <v>10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3</v>
      </c>
      <c r="W187">
        <v>1</v>
      </c>
      <c r="X187">
        <v>0</v>
      </c>
      <c r="Y187">
        <v>12</v>
      </c>
      <c r="Z187">
        <v>0</v>
      </c>
      <c r="AA187">
        <v>10</v>
      </c>
      <c r="AB187">
        <v>18</v>
      </c>
      <c r="AC187">
        <v>5</v>
      </c>
      <c r="AD187">
        <v>0</v>
      </c>
      <c r="AE187">
        <v>0</v>
      </c>
      <c r="AF187">
        <v>0</v>
      </c>
      <c r="AG187">
        <v>1</v>
      </c>
      <c r="AH187">
        <v>13</v>
      </c>
      <c r="AI187">
        <v>1</v>
      </c>
      <c r="AJ187">
        <v>2</v>
      </c>
      <c r="AK187">
        <v>7</v>
      </c>
      <c r="AL187">
        <v>16</v>
      </c>
      <c r="AM187">
        <v>2</v>
      </c>
      <c r="AN187">
        <v>0</v>
      </c>
      <c r="AO187" s="1">
        <v>0</v>
      </c>
      <c r="AP187">
        <v>11</v>
      </c>
      <c r="AQ187">
        <v>470</v>
      </c>
    </row>
    <row r="188" spans="1:43" x14ac:dyDescent="0.3">
      <c r="A188" t="s">
        <v>96</v>
      </c>
      <c r="B188" t="s">
        <v>103</v>
      </c>
      <c r="C188" s="4" t="s">
        <v>44</v>
      </c>
      <c r="D188" s="1">
        <v>1661</v>
      </c>
      <c r="E188">
        <v>15</v>
      </c>
      <c r="F188">
        <v>3</v>
      </c>
      <c r="G188">
        <v>3</v>
      </c>
      <c r="H188" s="1">
        <v>0</v>
      </c>
      <c r="I188" s="1">
        <v>1460</v>
      </c>
      <c r="J188">
        <v>0</v>
      </c>
      <c r="K188">
        <v>3</v>
      </c>
      <c r="L188">
        <v>0</v>
      </c>
      <c r="M188">
        <v>0</v>
      </c>
      <c r="N188">
        <v>86</v>
      </c>
      <c r="O188">
        <v>0</v>
      </c>
      <c r="P188">
        <v>16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4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2</v>
      </c>
      <c r="AC188">
        <v>14</v>
      </c>
      <c r="AD188">
        <v>0</v>
      </c>
      <c r="AE188">
        <v>0</v>
      </c>
      <c r="AF188">
        <v>0</v>
      </c>
      <c r="AG188">
        <v>1</v>
      </c>
      <c r="AH188">
        <v>15</v>
      </c>
      <c r="AI188">
        <v>3</v>
      </c>
      <c r="AJ188">
        <v>1</v>
      </c>
      <c r="AK188">
        <v>3</v>
      </c>
      <c r="AL188">
        <v>17</v>
      </c>
      <c r="AM188">
        <v>0</v>
      </c>
      <c r="AN188">
        <v>0</v>
      </c>
      <c r="AO188" s="1">
        <v>0</v>
      </c>
      <c r="AP188">
        <v>11</v>
      </c>
      <c r="AQ188" s="1">
        <v>0</v>
      </c>
    </row>
    <row r="189" spans="1:43" x14ac:dyDescent="0.3">
      <c r="A189" t="s">
        <v>96</v>
      </c>
      <c r="B189" t="s">
        <v>104</v>
      </c>
      <c r="C189" s="4" t="s">
        <v>40</v>
      </c>
      <c r="D189" s="1">
        <v>3011</v>
      </c>
      <c r="E189">
        <v>35</v>
      </c>
      <c r="F189">
        <v>14</v>
      </c>
      <c r="G189">
        <v>6</v>
      </c>
      <c r="H189" s="1">
        <v>2529</v>
      </c>
      <c r="I189">
        <v>2</v>
      </c>
      <c r="J189">
        <v>0</v>
      </c>
      <c r="K189">
        <v>0</v>
      </c>
      <c r="L189">
        <v>4</v>
      </c>
      <c r="M189">
        <v>0</v>
      </c>
      <c r="N189">
        <v>23</v>
      </c>
      <c r="O189">
        <v>0</v>
      </c>
      <c r="P189">
        <v>13</v>
      </c>
      <c r="Q189">
        <v>6</v>
      </c>
      <c r="R189">
        <v>12</v>
      </c>
      <c r="S189">
        <v>0</v>
      </c>
      <c r="T189">
        <v>3</v>
      </c>
      <c r="U189">
        <v>5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17</v>
      </c>
      <c r="AD189">
        <v>0</v>
      </c>
      <c r="AE189">
        <v>0</v>
      </c>
      <c r="AF189">
        <v>0</v>
      </c>
      <c r="AG189">
        <v>0</v>
      </c>
      <c r="AH189">
        <v>9</v>
      </c>
      <c r="AI189">
        <v>5</v>
      </c>
      <c r="AJ189">
        <v>1</v>
      </c>
      <c r="AK189">
        <v>1</v>
      </c>
      <c r="AL189">
        <v>18</v>
      </c>
      <c r="AM189">
        <v>0</v>
      </c>
      <c r="AN189">
        <v>0</v>
      </c>
      <c r="AO189" s="1">
        <v>0</v>
      </c>
      <c r="AP189">
        <v>135</v>
      </c>
      <c r="AQ189">
        <v>171</v>
      </c>
    </row>
    <row r="190" spans="1:43" x14ac:dyDescent="0.3">
      <c r="A190" t="s">
        <v>96</v>
      </c>
      <c r="B190" t="s">
        <v>104</v>
      </c>
      <c r="C190" s="4" t="s">
        <v>43</v>
      </c>
      <c r="D190" s="1">
        <v>1485</v>
      </c>
      <c r="E190">
        <v>19</v>
      </c>
      <c r="F190">
        <v>7</v>
      </c>
      <c r="G190">
        <v>0</v>
      </c>
      <c r="H190" s="1">
        <v>1187</v>
      </c>
      <c r="I190">
        <v>1</v>
      </c>
      <c r="J190">
        <v>0</v>
      </c>
      <c r="K190">
        <v>0</v>
      </c>
      <c r="L190">
        <v>2</v>
      </c>
      <c r="M190">
        <v>0</v>
      </c>
      <c r="N190">
        <v>11</v>
      </c>
      <c r="O190">
        <v>0</v>
      </c>
      <c r="P190">
        <v>1</v>
      </c>
      <c r="Q190">
        <v>6</v>
      </c>
      <c r="R190">
        <v>2</v>
      </c>
      <c r="S190">
        <v>0</v>
      </c>
      <c r="T190">
        <v>3</v>
      </c>
      <c r="U190">
        <v>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</v>
      </c>
      <c r="AD190">
        <v>0</v>
      </c>
      <c r="AE190">
        <v>0</v>
      </c>
      <c r="AF190">
        <v>0</v>
      </c>
      <c r="AG190">
        <v>0</v>
      </c>
      <c r="AH190">
        <v>7</v>
      </c>
      <c r="AI190">
        <v>0</v>
      </c>
      <c r="AJ190">
        <v>0</v>
      </c>
      <c r="AK190">
        <v>0</v>
      </c>
      <c r="AL190">
        <v>6</v>
      </c>
      <c r="AM190">
        <v>0</v>
      </c>
      <c r="AN190">
        <v>0</v>
      </c>
      <c r="AO190" s="1">
        <v>0</v>
      </c>
      <c r="AP190">
        <v>54</v>
      </c>
      <c r="AQ190">
        <v>171</v>
      </c>
    </row>
    <row r="191" spans="1:43" x14ac:dyDescent="0.3">
      <c r="A191" t="s">
        <v>96</v>
      </c>
      <c r="B191" t="s">
        <v>104</v>
      </c>
      <c r="C191" s="4" t="s">
        <v>44</v>
      </c>
      <c r="D191" s="1">
        <v>1526</v>
      </c>
      <c r="E191">
        <v>16</v>
      </c>
      <c r="F191">
        <v>7</v>
      </c>
      <c r="G191">
        <v>6</v>
      </c>
      <c r="H191" s="1">
        <v>1342</v>
      </c>
      <c r="I191">
        <v>1</v>
      </c>
      <c r="J191">
        <v>0</v>
      </c>
      <c r="K191">
        <v>0</v>
      </c>
      <c r="L191">
        <v>2</v>
      </c>
      <c r="M191">
        <v>0</v>
      </c>
      <c r="N191">
        <v>12</v>
      </c>
      <c r="O191">
        <v>0</v>
      </c>
      <c r="P191">
        <v>12</v>
      </c>
      <c r="Q191">
        <v>0</v>
      </c>
      <c r="R191">
        <v>10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13</v>
      </c>
      <c r="AD191">
        <v>0</v>
      </c>
      <c r="AE191">
        <v>0</v>
      </c>
      <c r="AF191">
        <v>0</v>
      </c>
      <c r="AG191">
        <v>0</v>
      </c>
      <c r="AH191">
        <v>2</v>
      </c>
      <c r="AI191">
        <v>5</v>
      </c>
      <c r="AJ191">
        <v>1</v>
      </c>
      <c r="AK191">
        <v>1</v>
      </c>
      <c r="AL191">
        <v>12</v>
      </c>
      <c r="AM191">
        <v>0</v>
      </c>
      <c r="AN191">
        <v>0</v>
      </c>
      <c r="AO191" s="1">
        <v>0</v>
      </c>
      <c r="AP191">
        <v>81</v>
      </c>
      <c r="AQ191">
        <v>0</v>
      </c>
    </row>
    <row r="192" spans="1:43" x14ac:dyDescent="0.3">
      <c r="A192" t="s">
        <v>96</v>
      </c>
      <c r="B192" t="s">
        <v>105</v>
      </c>
      <c r="C192" s="4" t="s">
        <v>40</v>
      </c>
      <c r="D192" s="1">
        <v>2330</v>
      </c>
      <c r="E192">
        <v>11</v>
      </c>
      <c r="F192">
        <v>5</v>
      </c>
      <c r="G192">
        <v>12</v>
      </c>
      <c r="H192" s="1">
        <v>1627</v>
      </c>
      <c r="I192">
        <v>14</v>
      </c>
      <c r="J192">
        <v>0</v>
      </c>
      <c r="K192">
        <v>15</v>
      </c>
      <c r="L192">
        <v>17</v>
      </c>
      <c r="M192">
        <v>0</v>
      </c>
      <c r="N192">
        <v>32</v>
      </c>
      <c r="O192">
        <v>0</v>
      </c>
      <c r="P192">
        <v>9</v>
      </c>
      <c r="Q192">
        <v>0</v>
      </c>
      <c r="R192">
        <v>0</v>
      </c>
      <c r="S192">
        <v>2</v>
      </c>
      <c r="T192">
        <v>9</v>
      </c>
      <c r="U192">
        <v>16</v>
      </c>
      <c r="V192">
        <v>1</v>
      </c>
      <c r="W192">
        <v>2</v>
      </c>
      <c r="X192">
        <v>3</v>
      </c>
      <c r="Y192">
        <v>1</v>
      </c>
      <c r="Z192">
        <v>5</v>
      </c>
      <c r="AA192">
        <v>1</v>
      </c>
      <c r="AB192">
        <v>16</v>
      </c>
      <c r="AC192">
        <v>24</v>
      </c>
      <c r="AD192">
        <v>0</v>
      </c>
      <c r="AE192">
        <v>0</v>
      </c>
      <c r="AF192">
        <v>0</v>
      </c>
      <c r="AG192">
        <v>6</v>
      </c>
      <c r="AH192">
        <v>10</v>
      </c>
      <c r="AI192">
        <v>9</v>
      </c>
      <c r="AJ192">
        <v>2</v>
      </c>
      <c r="AK192">
        <v>1</v>
      </c>
      <c r="AL192">
        <v>22</v>
      </c>
      <c r="AM192">
        <v>3</v>
      </c>
      <c r="AN192">
        <v>0</v>
      </c>
      <c r="AO192" s="1">
        <v>0</v>
      </c>
      <c r="AP192">
        <v>39</v>
      </c>
      <c r="AQ192">
        <v>416</v>
      </c>
    </row>
    <row r="193" spans="1:43" x14ac:dyDescent="0.3">
      <c r="A193" t="s">
        <v>96</v>
      </c>
      <c r="B193" t="s">
        <v>105</v>
      </c>
      <c r="C193" s="4" t="s">
        <v>43</v>
      </c>
      <c r="D193" s="1">
        <v>1224</v>
      </c>
      <c r="E193">
        <v>1</v>
      </c>
      <c r="F193">
        <v>3</v>
      </c>
      <c r="G193">
        <v>2</v>
      </c>
      <c r="H193">
        <v>674</v>
      </c>
      <c r="I193">
        <v>11</v>
      </c>
      <c r="J193">
        <v>0</v>
      </c>
      <c r="K193">
        <v>4</v>
      </c>
      <c r="L193">
        <v>13</v>
      </c>
      <c r="M193">
        <v>0</v>
      </c>
      <c r="N193">
        <v>11</v>
      </c>
      <c r="O193">
        <v>0</v>
      </c>
      <c r="P193">
        <v>2</v>
      </c>
      <c r="Q193">
        <v>0</v>
      </c>
      <c r="R193">
        <v>0</v>
      </c>
      <c r="S193">
        <v>2</v>
      </c>
      <c r="T193">
        <v>9</v>
      </c>
      <c r="U193">
        <v>8</v>
      </c>
      <c r="V193">
        <v>0</v>
      </c>
      <c r="W193">
        <v>0</v>
      </c>
      <c r="X193">
        <v>0</v>
      </c>
      <c r="Y193">
        <v>1</v>
      </c>
      <c r="Z193">
        <v>5</v>
      </c>
      <c r="AA193">
        <v>1</v>
      </c>
      <c r="AB193">
        <v>14</v>
      </c>
      <c r="AC193">
        <v>6</v>
      </c>
      <c r="AD193">
        <v>0</v>
      </c>
      <c r="AE193">
        <v>0</v>
      </c>
      <c r="AF193">
        <v>0</v>
      </c>
      <c r="AG193">
        <v>2</v>
      </c>
      <c r="AH193">
        <v>9</v>
      </c>
      <c r="AI193">
        <v>7</v>
      </c>
      <c r="AJ193">
        <v>2</v>
      </c>
      <c r="AK193">
        <v>0</v>
      </c>
      <c r="AL193">
        <v>5</v>
      </c>
      <c r="AM193">
        <v>0</v>
      </c>
      <c r="AN193">
        <v>0</v>
      </c>
      <c r="AO193" s="1">
        <v>0</v>
      </c>
      <c r="AP193">
        <v>16</v>
      </c>
      <c r="AQ193">
        <v>416</v>
      </c>
    </row>
    <row r="194" spans="1:43" x14ac:dyDescent="0.3">
      <c r="A194" t="s">
        <v>96</v>
      </c>
      <c r="B194" t="s">
        <v>105</v>
      </c>
      <c r="C194" s="4" t="s">
        <v>44</v>
      </c>
      <c r="D194" s="1">
        <v>1106</v>
      </c>
      <c r="E194">
        <v>10</v>
      </c>
      <c r="F194">
        <v>2</v>
      </c>
      <c r="G194">
        <v>10</v>
      </c>
      <c r="H194">
        <v>953</v>
      </c>
      <c r="I194">
        <v>3</v>
      </c>
      <c r="J194">
        <v>0</v>
      </c>
      <c r="K194">
        <v>11</v>
      </c>
      <c r="L194">
        <v>4</v>
      </c>
      <c r="M194">
        <v>0</v>
      </c>
      <c r="N194">
        <v>21</v>
      </c>
      <c r="O194">
        <v>0</v>
      </c>
      <c r="P194">
        <v>7</v>
      </c>
      <c r="Q194">
        <v>0</v>
      </c>
      <c r="R194">
        <v>0</v>
      </c>
      <c r="S194">
        <v>0</v>
      </c>
      <c r="T194">
        <v>0</v>
      </c>
      <c r="U194">
        <v>8</v>
      </c>
      <c r="V194">
        <v>1</v>
      </c>
      <c r="W194">
        <v>2</v>
      </c>
      <c r="X194">
        <v>3</v>
      </c>
      <c r="Y194">
        <v>0</v>
      </c>
      <c r="Z194">
        <v>0</v>
      </c>
      <c r="AA194">
        <v>0</v>
      </c>
      <c r="AB194">
        <v>2</v>
      </c>
      <c r="AC194">
        <v>18</v>
      </c>
      <c r="AD194">
        <v>0</v>
      </c>
      <c r="AE194">
        <v>0</v>
      </c>
      <c r="AF194">
        <v>0</v>
      </c>
      <c r="AG194">
        <v>4</v>
      </c>
      <c r="AH194">
        <v>1</v>
      </c>
      <c r="AI194">
        <v>2</v>
      </c>
      <c r="AJ194">
        <v>0</v>
      </c>
      <c r="AK194">
        <v>1</v>
      </c>
      <c r="AL194">
        <v>17</v>
      </c>
      <c r="AM194">
        <v>3</v>
      </c>
      <c r="AN194">
        <v>0</v>
      </c>
      <c r="AO194" s="1">
        <v>0</v>
      </c>
      <c r="AP194">
        <v>23</v>
      </c>
      <c r="AQ194">
        <v>0</v>
      </c>
    </row>
    <row r="195" spans="1:43" x14ac:dyDescent="0.3">
      <c r="A195" t="s">
        <v>96</v>
      </c>
      <c r="B195" t="s">
        <v>106</v>
      </c>
      <c r="C195" s="4" t="s">
        <v>40</v>
      </c>
      <c r="D195" s="1">
        <v>2080</v>
      </c>
      <c r="E195">
        <v>51</v>
      </c>
      <c r="F195">
        <v>11</v>
      </c>
      <c r="G195">
        <v>0</v>
      </c>
      <c r="H195" s="1">
        <v>1352</v>
      </c>
      <c r="I195">
        <v>41</v>
      </c>
      <c r="J195">
        <v>0</v>
      </c>
      <c r="K195">
        <v>1</v>
      </c>
      <c r="L195">
        <v>0</v>
      </c>
      <c r="M195">
        <v>0</v>
      </c>
      <c r="N195">
        <v>24</v>
      </c>
      <c r="O195">
        <v>0</v>
      </c>
      <c r="P195">
        <v>12</v>
      </c>
      <c r="Q195">
        <v>0</v>
      </c>
      <c r="R195">
        <v>3</v>
      </c>
      <c r="S195">
        <v>0</v>
      </c>
      <c r="T195">
        <v>1</v>
      </c>
      <c r="U195">
        <v>0</v>
      </c>
      <c r="V195">
        <v>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6</v>
      </c>
      <c r="AC195">
        <v>3</v>
      </c>
      <c r="AD195">
        <v>0</v>
      </c>
      <c r="AE195">
        <v>0</v>
      </c>
      <c r="AF195">
        <v>0</v>
      </c>
      <c r="AG195">
        <v>0</v>
      </c>
      <c r="AH195">
        <v>4</v>
      </c>
      <c r="AI195">
        <v>0</v>
      </c>
      <c r="AJ195">
        <v>4</v>
      </c>
      <c r="AK195">
        <v>4</v>
      </c>
      <c r="AL195">
        <v>13</v>
      </c>
      <c r="AM195">
        <v>0</v>
      </c>
      <c r="AN195">
        <v>0</v>
      </c>
      <c r="AO195" s="1">
        <v>0</v>
      </c>
      <c r="AP195">
        <v>201</v>
      </c>
      <c r="AQ195">
        <v>344</v>
      </c>
    </row>
    <row r="196" spans="1:43" x14ac:dyDescent="0.3">
      <c r="A196" t="s">
        <v>96</v>
      </c>
      <c r="B196" t="s">
        <v>106</v>
      </c>
      <c r="C196" s="4" t="s">
        <v>43</v>
      </c>
      <c r="D196" s="1">
        <v>1117</v>
      </c>
      <c r="E196">
        <v>36</v>
      </c>
      <c r="F196">
        <v>5</v>
      </c>
      <c r="G196">
        <v>0</v>
      </c>
      <c r="H196">
        <v>578</v>
      </c>
      <c r="I196">
        <v>32</v>
      </c>
      <c r="J196">
        <v>0</v>
      </c>
      <c r="K196">
        <v>0</v>
      </c>
      <c r="L196">
        <v>0</v>
      </c>
      <c r="M196">
        <v>0</v>
      </c>
      <c r="N196">
        <v>3</v>
      </c>
      <c r="O196">
        <v>0</v>
      </c>
      <c r="P196">
        <v>4</v>
      </c>
      <c r="Q196">
        <v>0</v>
      </c>
      <c r="R196">
        <v>2</v>
      </c>
      <c r="S196">
        <v>0</v>
      </c>
      <c r="T196">
        <v>1</v>
      </c>
      <c r="U196">
        <v>0</v>
      </c>
      <c r="V196">
        <v>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4</v>
      </c>
      <c r="AC196">
        <v>3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2</v>
      </c>
      <c r="AK196">
        <v>4</v>
      </c>
      <c r="AL196">
        <v>3</v>
      </c>
      <c r="AM196">
        <v>0</v>
      </c>
      <c r="AN196">
        <v>0</v>
      </c>
      <c r="AO196" s="1">
        <v>0</v>
      </c>
      <c r="AP196">
        <v>92</v>
      </c>
      <c r="AQ196">
        <v>344</v>
      </c>
    </row>
    <row r="197" spans="1:43" x14ac:dyDescent="0.3">
      <c r="A197" t="s">
        <v>96</v>
      </c>
      <c r="B197" t="s">
        <v>106</v>
      </c>
      <c r="C197" s="4" t="s">
        <v>44</v>
      </c>
      <c r="D197">
        <v>963</v>
      </c>
      <c r="E197">
        <v>15</v>
      </c>
      <c r="F197">
        <v>6</v>
      </c>
      <c r="G197">
        <v>0</v>
      </c>
      <c r="H197">
        <v>774</v>
      </c>
      <c r="I197">
        <v>9</v>
      </c>
      <c r="J197">
        <v>0</v>
      </c>
      <c r="K197">
        <v>1</v>
      </c>
      <c r="L197">
        <v>0</v>
      </c>
      <c r="M197">
        <v>0</v>
      </c>
      <c r="N197">
        <v>21</v>
      </c>
      <c r="O197">
        <v>0</v>
      </c>
      <c r="P197">
        <v>8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3</v>
      </c>
      <c r="AI197">
        <v>0</v>
      </c>
      <c r="AJ197">
        <v>2</v>
      </c>
      <c r="AK197">
        <v>0</v>
      </c>
      <c r="AL197">
        <v>10</v>
      </c>
      <c r="AM197">
        <v>0</v>
      </c>
      <c r="AN197">
        <v>0</v>
      </c>
      <c r="AO197" s="1">
        <v>0</v>
      </c>
      <c r="AP197">
        <v>109</v>
      </c>
      <c r="AQ197">
        <v>0</v>
      </c>
    </row>
    <row r="198" spans="1:43" x14ac:dyDescent="0.3">
      <c r="A198" t="s">
        <v>96</v>
      </c>
      <c r="B198" t="s">
        <v>107</v>
      </c>
      <c r="C198" s="4" t="s">
        <v>40</v>
      </c>
      <c r="D198" s="1">
        <v>1982</v>
      </c>
      <c r="E198">
        <v>25</v>
      </c>
      <c r="F198">
        <v>0</v>
      </c>
      <c r="G198">
        <v>0</v>
      </c>
      <c r="H198" s="1">
        <v>1615</v>
      </c>
      <c r="I198">
        <v>5</v>
      </c>
      <c r="J198">
        <v>0</v>
      </c>
      <c r="K198">
        <v>1</v>
      </c>
      <c r="L198">
        <v>1</v>
      </c>
      <c r="M198">
        <v>0</v>
      </c>
      <c r="N198">
        <v>34</v>
      </c>
      <c r="O198">
        <v>0</v>
      </c>
      <c r="P198">
        <v>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12</v>
      </c>
      <c r="AD198">
        <v>0</v>
      </c>
      <c r="AE198">
        <v>0</v>
      </c>
      <c r="AF198">
        <v>0</v>
      </c>
      <c r="AG198">
        <v>2</v>
      </c>
      <c r="AH198">
        <v>9</v>
      </c>
      <c r="AI198">
        <v>0</v>
      </c>
      <c r="AJ198">
        <v>0</v>
      </c>
      <c r="AK198">
        <v>10</v>
      </c>
      <c r="AL198">
        <v>15</v>
      </c>
      <c r="AM198">
        <v>0</v>
      </c>
      <c r="AN198">
        <v>0</v>
      </c>
      <c r="AO198" s="1">
        <v>0</v>
      </c>
      <c r="AP198">
        <v>46</v>
      </c>
      <c r="AQ198">
        <v>198</v>
      </c>
    </row>
    <row r="199" spans="1:43" x14ac:dyDescent="0.3">
      <c r="A199" t="s">
        <v>96</v>
      </c>
      <c r="B199" t="s">
        <v>107</v>
      </c>
      <c r="C199" s="4" t="s">
        <v>43</v>
      </c>
      <c r="D199" s="1">
        <v>1126</v>
      </c>
      <c r="E199">
        <v>12</v>
      </c>
      <c r="F199">
        <v>0</v>
      </c>
      <c r="G199">
        <v>0</v>
      </c>
      <c r="H199">
        <v>843</v>
      </c>
      <c r="I199">
        <v>5</v>
      </c>
      <c r="J199">
        <v>0</v>
      </c>
      <c r="K199">
        <v>0</v>
      </c>
      <c r="L199">
        <v>0</v>
      </c>
      <c r="M199">
        <v>0</v>
      </c>
      <c r="N199">
        <v>18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7</v>
      </c>
      <c r="AD199">
        <v>0</v>
      </c>
      <c r="AE199">
        <v>0</v>
      </c>
      <c r="AF199">
        <v>0</v>
      </c>
      <c r="AG199">
        <v>0</v>
      </c>
      <c r="AH199">
        <v>8</v>
      </c>
      <c r="AI199">
        <v>0</v>
      </c>
      <c r="AJ199">
        <v>0</v>
      </c>
      <c r="AK199">
        <v>8</v>
      </c>
      <c r="AL199">
        <v>5</v>
      </c>
      <c r="AM199">
        <v>0</v>
      </c>
      <c r="AN199">
        <v>0</v>
      </c>
      <c r="AO199" s="1">
        <v>0</v>
      </c>
      <c r="AP199">
        <v>18</v>
      </c>
      <c r="AQ199">
        <v>198</v>
      </c>
    </row>
    <row r="200" spans="1:43" x14ac:dyDescent="0.3">
      <c r="A200" t="s">
        <v>96</v>
      </c>
      <c r="B200" t="s">
        <v>107</v>
      </c>
      <c r="C200" s="4" t="s">
        <v>44</v>
      </c>
      <c r="D200">
        <v>856</v>
      </c>
      <c r="E200">
        <v>13</v>
      </c>
      <c r="F200">
        <v>0</v>
      </c>
      <c r="G200">
        <v>0</v>
      </c>
      <c r="H200">
        <v>772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16</v>
      </c>
      <c r="O200">
        <v>0</v>
      </c>
      <c r="P200">
        <v>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5</v>
      </c>
      <c r="AD200">
        <v>0</v>
      </c>
      <c r="AE200">
        <v>0</v>
      </c>
      <c r="AF200">
        <v>0</v>
      </c>
      <c r="AG200">
        <v>2</v>
      </c>
      <c r="AH200">
        <v>1</v>
      </c>
      <c r="AI200">
        <v>0</v>
      </c>
      <c r="AJ200">
        <v>0</v>
      </c>
      <c r="AK200">
        <v>2</v>
      </c>
      <c r="AL200">
        <v>10</v>
      </c>
      <c r="AM200">
        <v>0</v>
      </c>
      <c r="AN200">
        <v>0</v>
      </c>
      <c r="AO200" s="1">
        <v>0</v>
      </c>
      <c r="AP200">
        <v>28</v>
      </c>
      <c r="AQ200">
        <v>0</v>
      </c>
    </row>
    <row r="201" spans="1:43" x14ac:dyDescent="0.3">
      <c r="A201" t="s">
        <v>96</v>
      </c>
      <c r="B201" t="s">
        <v>108</v>
      </c>
      <c r="C201" s="4" t="s">
        <v>40</v>
      </c>
      <c r="D201" s="1">
        <v>1923</v>
      </c>
      <c r="E201">
        <v>57</v>
      </c>
      <c r="F201">
        <v>1</v>
      </c>
      <c r="G201">
        <v>4</v>
      </c>
      <c r="H201" s="1">
        <v>1460</v>
      </c>
      <c r="I201">
        <v>0</v>
      </c>
      <c r="J201">
        <v>0</v>
      </c>
      <c r="K201">
        <v>7</v>
      </c>
      <c r="L201">
        <v>6</v>
      </c>
      <c r="M201">
        <v>0</v>
      </c>
      <c r="N201">
        <v>47</v>
      </c>
      <c r="O201">
        <v>0</v>
      </c>
      <c r="P201">
        <v>11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8</v>
      </c>
      <c r="AC201">
        <v>13</v>
      </c>
      <c r="AD201">
        <v>0</v>
      </c>
      <c r="AE201">
        <v>0</v>
      </c>
      <c r="AF201">
        <v>0</v>
      </c>
      <c r="AG201">
        <v>4</v>
      </c>
      <c r="AH201">
        <v>8</v>
      </c>
      <c r="AI201">
        <v>0</v>
      </c>
      <c r="AJ201">
        <v>0</v>
      </c>
      <c r="AK201">
        <v>9</v>
      </c>
      <c r="AL201">
        <v>7</v>
      </c>
      <c r="AM201">
        <v>5</v>
      </c>
      <c r="AN201">
        <v>0</v>
      </c>
      <c r="AO201" s="1">
        <v>0</v>
      </c>
      <c r="AP201">
        <v>60</v>
      </c>
      <c r="AQ201">
        <v>214</v>
      </c>
    </row>
    <row r="202" spans="1:43" x14ac:dyDescent="0.3">
      <c r="A202" t="s">
        <v>96</v>
      </c>
      <c r="B202" t="s">
        <v>108</v>
      </c>
      <c r="C202" s="4" t="s">
        <v>43</v>
      </c>
      <c r="D202" s="1">
        <v>1076</v>
      </c>
      <c r="E202">
        <v>36</v>
      </c>
      <c r="F202">
        <v>1</v>
      </c>
      <c r="G202">
        <v>0</v>
      </c>
      <c r="H202">
        <v>742</v>
      </c>
      <c r="I202">
        <v>0</v>
      </c>
      <c r="J202">
        <v>0</v>
      </c>
      <c r="K202">
        <v>7</v>
      </c>
      <c r="L202">
        <v>1</v>
      </c>
      <c r="M202">
        <v>0</v>
      </c>
      <c r="N202">
        <v>14</v>
      </c>
      <c r="O202">
        <v>0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7</v>
      </c>
      <c r="AC202">
        <v>11</v>
      </c>
      <c r="AD202">
        <v>0</v>
      </c>
      <c r="AE202">
        <v>0</v>
      </c>
      <c r="AF202">
        <v>0</v>
      </c>
      <c r="AG202">
        <v>2</v>
      </c>
      <c r="AH202">
        <v>3</v>
      </c>
      <c r="AI202">
        <v>0</v>
      </c>
      <c r="AJ202">
        <v>0</v>
      </c>
      <c r="AK202">
        <v>0</v>
      </c>
      <c r="AL202">
        <v>5</v>
      </c>
      <c r="AM202">
        <v>1</v>
      </c>
      <c r="AN202">
        <v>0</v>
      </c>
      <c r="AO202" s="1">
        <v>0</v>
      </c>
      <c r="AP202">
        <v>29</v>
      </c>
      <c r="AQ202">
        <v>214</v>
      </c>
    </row>
    <row r="203" spans="1:43" x14ac:dyDescent="0.3">
      <c r="A203" t="s">
        <v>96</v>
      </c>
      <c r="B203" t="s">
        <v>108</v>
      </c>
      <c r="C203" s="4" t="s">
        <v>44</v>
      </c>
      <c r="D203">
        <v>847</v>
      </c>
      <c r="E203">
        <v>21</v>
      </c>
      <c r="F203">
        <v>0</v>
      </c>
      <c r="G203">
        <v>4</v>
      </c>
      <c r="H203">
        <v>718</v>
      </c>
      <c r="I203">
        <v>0</v>
      </c>
      <c r="J203">
        <v>0</v>
      </c>
      <c r="K203">
        <v>0</v>
      </c>
      <c r="L203">
        <v>5</v>
      </c>
      <c r="M203">
        <v>0</v>
      </c>
      <c r="N203">
        <v>33</v>
      </c>
      <c r="O203">
        <v>0</v>
      </c>
      <c r="P203">
        <v>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2</v>
      </c>
      <c r="AD203">
        <v>0</v>
      </c>
      <c r="AE203">
        <v>0</v>
      </c>
      <c r="AF203">
        <v>0</v>
      </c>
      <c r="AG203">
        <v>2</v>
      </c>
      <c r="AH203">
        <v>5</v>
      </c>
      <c r="AI203">
        <v>0</v>
      </c>
      <c r="AJ203">
        <v>0</v>
      </c>
      <c r="AK203">
        <v>9</v>
      </c>
      <c r="AL203">
        <v>2</v>
      </c>
      <c r="AM203">
        <v>4</v>
      </c>
      <c r="AN203">
        <v>0</v>
      </c>
      <c r="AO203" s="1">
        <v>0</v>
      </c>
      <c r="AP203">
        <v>31</v>
      </c>
      <c r="AQ203">
        <v>0</v>
      </c>
    </row>
    <row r="204" spans="1:43" x14ac:dyDescent="0.3">
      <c r="A204" t="s">
        <v>96</v>
      </c>
      <c r="B204" t="s">
        <v>109</v>
      </c>
      <c r="C204" s="4" t="s">
        <v>40</v>
      </c>
      <c r="D204" s="1">
        <v>1822</v>
      </c>
      <c r="E204">
        <v>22</v>
      </c>
      <c r="F204">
        <v>15</v>
      </c>
      <c r="G204">
        <v>5</v>
      </c>
      <c r="H204">
        <v>0</v>
      </c>
      <c r="I204">
        <v>823</v>
      </c>
      <c r="J204">
        <v>0</v>
      </c>
      <c r="K204">
        <v>8</v>
      </c>
      <c r="L204">
        <v>0</v>
      </c>
      <c r="M204">
        <v>0</v>
      </c>
      <c r="N204">
        <v>19</v>
      </c>
      <c r="O204">
        <v>0</v>
      </c>
      <c r="P204">
        <v>8</v>
      </c>
      <c r="Q204">
        <v>0</v>
      </c>
      <c r="R204">
        <v>5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1</v>
      </c>
      <c r="Y204">
        <v>2</v>
      </c>
      <c r="Z204">
        <v>0</v>
      </c>
      <c r="AA204">
        <v>0</v>
      </c>
      <c r="AB204">
        <v>0</v>
      </c>
      <c r="AC204">
        <v>6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4</v>
      </c>
      <c r="AJ204">
        <v>1</v>
      </c>
      <c r="AK204">
        <v>6</v>
      </c>
      <c r="AL204">
        <v>12</v>
      </c>
      <c r="AM204">
        <v>0</v>
      </c>
      <c r="AN204">
        <v>0</v>
      </c>
      <c r="AO204" s="1">
        <v>0</v>
      </c>
      <c r="AP204">
        <v>11</v>
      </c>
      <c r="AQ204">
        <v>872</v>
      </c>
    </row>
    <row r="205" spans="1:43" x14ac:dyDescent="0.3">
      <c r="A205" t="s">
        <v>96</v>
      </c>
      <c r="B205" t="s">
        <v>109</v>
      </c>
      <c r="C205" s="4" t="s">
        <v>43</v>
      </c>
      <c r="D205" s="1">
        <v>1307</v>
      </c>
      <c r="E205">
        <v>16</v>
      </c>
      <c r="F205">
        <v>4</v>
      </c>
      <c r="G205">
        <v>0</v>
      </c>
      <c r="H205">
        <v>0</v>
      </c>
      <c r="I205">
        <v>375</v>
      </c>
      <c r="J205">
        <v>0</v>
      </c>
      <c r="K205">
        <v>2</v>
      </c>
      <c r="L205">
        <v>0</v>
      </c>
      <c r="M205">
        <v>0</v>
      </c>
      <c r="N205">
        <v>8</v>
      </c>
      <c r="O205">
        <v>0</v>
      </c>
      <c r="P205">
        <v>2</v>
      </c>
      <c r="Q205">
        <v>0</v>
      </c>
      <c r="R205">
        <v>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4</v>
      </c>
      <c r="AJ205">
        <v>1</v>
      </c>
      <c r="AK205">
        <v>6</v>
      </c>
      <c r="AL205">
        <v>4</v>
      </c>
      <c r="AM205">
        <v>0</v>
      </c>
      <c r="AN205">
        <v>0</v>
      </c>
      <c r="AO205" s="1">
        <v>0</v>
      </c>
      <c r="AP205">
        <v>6</v>
      </c>
      <c r="AQ205">
        <v>872</v>
      </c>
    </row>
    <row r="206" spans="1:43" x14ac:dyDescent="0.3">
      <c r="A206" t="s">
        <v>96</v>
      </c>
      <c r="B206" t="s">
        <v>109</v>
      </c>
      <c r="C206" s="4" t="s">
        <v>44</v>
      </c>
      <c r="D206">
        <v>515</v>
      </c>
      <c r="E206">
        <v>6</v>
      </c>
      <c r="F206">
        <v>11</v>
      </c>
      <c r="G206">
        <v>5</v>
      </c>
      <c r="H206">
        <v>0</v>
      </c>
      <c r="I206">
        <v>448</v>
      </c>
      <c r="J206">
        <v>0</v>
      </c>
      <c r="K206">
        <v>6</v>
      </c>
      <c r="L206">
        <v>0</v>
      </c>
      <c r="M206">
        <v>0</v>
      </c>
      <c r="N206">
        <v>11</v>
      </c>
      <c r="O206">
        <v>0</v>
      </c>
      <c r="P206">
        <v>6</v>
      </c>
      <c r="Q206">
        <v>0</v>
      </c>
      <c r="R206">
        <v>2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5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8</v>
      </c>
      <c r="AM206">
        <v>0</v>
      </c>
      <c r="AN206">
        <v>0</v>
      </c>
      <c r="AO206" s="1">
        <v>0</v>
      </c>
      <c r="AP206">
        <v>5</v>
      </c>
      <c r="AQ206">
        <v>0</v>
      </c>
    </row>
    <row r="207" spans="1:43" x14ac:dyDescent="0.3">
      <c r="A207" t="s">
        <v>96</v>
      </c>
      <c r="B207" t="s">
        <v>110</v>
      </c>
      <c r="C207" s="4" t="s">
        <v>40</v>
      </c>
      <c r="D207" s="1">
        <v>1319</v>
      </c>
      <c r="E207">
        <v>4</v>
      </c>
      <c r="F207">
        <v>1</v>
      </c>
      <c r="G207">
        <v>8</v>
      </c>
      <c r="H207">
        <v>514</v>
      </c>
      <c r="I207">
        <v>6</v>
      </c>
      <c r="J207">
        <v>0</v>
      </c>
      <c r="K207">
        <v>4</v>
      </c>
      <c r="L207">
        <v>8</v>
      </c>
      <c r="M207">
        <v>0</v>
      </c>
      <c r="N207">
        <v>7</v>
      </c>
      <c r="O207">
        <v>0</v>
      </c>
      <c r="P207">
        <v>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9</v>
      </c>
      <c r="AB207">
        <v>2</v>
      </c>
      <c r="AC207">
        <v>3</v>
      </c>
      <c r="AD207">
        <v>0</v>
      </c>
      <c r="AE207">
        <v>0</v>
      </c>
      <c r="AF207">
        <v>0</v>
      </c>
      <c r="AG207">
        <v>0</v>
      </c>
      <c r="AH207">
        <v>3</v>
      </c>
      <c r="AI207">
        <v>0</v>
      </c>
      <c r="AJ207">
        <v>1</v>
      </c>
      <c r="AK207">
        <v>10</v>
      </c>
      <c r="AL207">
        <v>5</v>
      </c>
      <c r="AM207">
        <v>0</v>
      </c>
      <c r="AN207">
        <v>0</v>
      </c>
      <c r="AO207" s="1">
        <v>0</v>
      </c>
      <c r="AP207">
        <v>9</v>
      </c>
      <c r="AQ207">
        <v>722</v>
      </c>
    </row>
    <row r="208" spans="1:43" x14ac:dyDescent="0.3">
      <c r="A208" t="s">
        <v>96</v>
      </c>
      <c r="B208" t="s">
        <v>110</v>
      </c>
      <c r="C208" s="4" t="s">
        <v>43</v>
      </c>
      <c r="D208">
        <v>967</v>
      </c>
      <c r="E208">
        <v>3</v>
      </c>
      <c r="F208">
        <v>0</v>
      </c>
      <c r="G208">
        <v>1</v>
      </c>
      <c r="H208">
        <v>195</v>
      </c>
      <c r="I208">
        <v>5</v>
      </c>
      <c r="J208">
        <v>0</v>
      </c>
      <c r="K208">
        <v>0</v>
      </c>
      <c r="L208">
        <v>8</v>
      </c>
      <c r="M208">
        <v>0</v>
      </c>
      <c r="N208">
        <v>3</v>
      </c>
      <c r="O208">
        <v>0</v>
      </c>
      <c r="P208">
        <v>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8</v>
      </c>
      <c r="AL208">
        <v>5</v>
      </c>
      <c r="AM208">
        <v>0</v>
      </c>
      <c r="AN208">
        <v>0</v>
      </c>
      <c r="AO208" s="1">
        <v>0</v>
      </c>
      <c r="AP208">
        <v>4</v>
      </c>
      <c r="AQ208">
        <v>722</v>
      </c>
    </row>
    <row r="209" spans="1:43" x14ac:dyDescent="0.3">
      <c r="A209" t="s">
        <v>96</v>
      </c>
      <c r="B209" t="s">
        <v>110</v>
      </c>
      <c r="C209" s="4" t="s">
        <v>44</v>
      </c>
      <c r="D209">
        <v>352</v>
      </c>
      <c r="E209">
        <v>1</v>
      </c>
      <c r="F209">
        <v>1</v>
      </c>
      <c r="G209">
        <v>7</v>
      </c>
      <c r="H209">
        <v>319</v>
      </c>
      <c r="I209">
        <v>1</v>
      </c>
      <c r="J209">
        <v>0</v>
      </c>
      <c r="K209">
        <v>4</v>
      </c>
      <c r="L209">
        <v>0</v>
      </c>
      <c r="M209">
        <v>0</v>
      </c>
      <c r="N209">
        <v>4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3</v>
      </c>
      <c r="AD209">
        <v>0</v>
      </c>
      <c r="AE209">
        <v>0</v>
      </c>
      <c r="AF209">
        <v>0</v>
      </c>
      <c r="AG209">
        <v>0</v>
      </c>
      <c r="AH209">
        <v>3</v>
      </c>
      <c r="AI209">
        <v>0</v>
      </c>
      <c r="AJ209">
        <v>0</v>
      </c>
      <c r="AK209">
        <v>2</v>
      </c>
      <c r="AL209">
        <v>0</v>
      </c>
      <c r="AM209">
        <v>0</v>
      </c>
      <c r="AN209">
        <v>0</v>
      </c>
      <c r="AO209" s="1">
        <v>0</v>
      </c>
      <c r="AP209">
        <v>5</v>
      </c>
      <c r="AQ209">
        <v>0</v>
      </c>
    </row>
    <row r="210" spans="1:43" x14ac:dyDescent="0.3">
      <c r="A210" t="s">
        <v>96</v>
      </c>
      <c r="B210" t="s">
        <v>111</v>
      </c>
      <c r="C210" s="4" t="s">
        <v>40</v>
      </c>
      <c r="D210" s="1">
        <v>1239</v>
      </c>
      <c r="E210">
        <v>14</v>
      </c>
      <c r="F210">
        <v>7</v>
      </c>
      <c r="G210">
        <v>4</v>
      </c>
      <c r="H210">
        <v>814</v>
      </c>
      <c r="I210">
        <v>1</v>
      </c>
      <c r="J210">
        <v>0</v>
      </c>
      <c r="K210">
        <v>4</v>
      </c>
      <c r="L210">
        <v>0</v>
      </c>
      <c r="M210">
        <v>0</v>
      </c>
      <c r="N210">
        <v>33</v>
      </c>
      <c r="O210">
        <v>0</v>
      </c>
      <c r="P210">
        <v>8</v>
      </c>
      <c r="Q210">
        <v>0</v>
      </c>
      <c r="R210">
        <v>4</v>
      </c>
      <c r="S210">
        <v>0</v>
      </c>
      <c r="T210">
        <v>0</v>
      </c>
      <c r="U210">
        <v>0</v>
      </c>
      <c r="V210">
        <v>2</v>
      </c>
      <c r="W210">
        <v>0</v>
      </c>
      <c r="X210">
        <v>1</v>
      </c>
      <c r="Y210">
        <v>0</v>
      </c>
      <c r="Z210">
        <v>0</v>
      </c>
      <c r="AA210">
        <v>1</v>
      </c>
      <c r="AB210">
        <v>0</v>
      </c>
      <c r="AC210">
        <v>28</v>
      </c>
      <c r="AD210">
        <v>0</v>
      </c>
      <c r="AE210">
        <v>0</v>
      </c>
      <c r="AF210">
        <v>0</v>
      </c>
      <c r="AG210">
        <v>1</v>
      </c>
      <c r="AH210">
        <v>5</v>
      </c>
      <c r="AI210">
        <v>3</v>
      </c>
      <c r="AJ210">
        <v>0</v>
      </c>
      <c r="AK210">
        <v>7</v>
      </c>
      <c r="AL210">
        <v>10</v>
      </c>
      <c r="AM210">
        <v>0</v>
      </c>
      <c r="AN210">
        <v>0</v>
      </c>
      <c r="AO210" s="1">
        <v>0</v>
      </c>
      <c r="AP210">
        <v>15</v>
      </c>
      <c r="AQ210">
        <v>277</v>
      </c>
    </row>
    <row r="211" spans="1:43" x14ac:dyDescent="0.3">
      <c r="A211" t="s">
        <v>96</v>
      </c>
      <c r="B211" t="s">
        <v>111</v>
      </c>
      <c r="C211" s="4" t="s">
        <v>43</v>
      </c>
      <c r="D211">
        <v>717</v>
      </c>
      <c r="E211">
        <v>6</v>
      </c>
      <c r="F211">
        <v>6</v>
      </c>
      <c r="G211">
        <v>0</v>
      </c>
      <c r="H211">
        <v>392</v>
      </c>
      <c r="I211">
        <v>0</v>
      </c>
      <c r="J211">
        <v>0</v>
      </c>
      <c r="K211">
        <v>2</v>
      </c>
      <c r="L211">
        <v>0</v>
      </c>
      <c r="M211">
        <v>0</v>
      </c>
      <c r="N211">
        <v>8</v>
      </c>
      <c r="O211">
        <v>0</v>
      </c>
      <c r="P211">
        <v>2</v>
      </c>
      <c r="Q211">
        <v>0</v>
      </c>
      <c r="R211">
        <v>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2</v>
      </c>
      <c r="AD211">
        <v>0</v>
      </c>
      <c r="AE211">
        <v>0</v>
      </c>
      <c r="AF211">
        <v>0</v>
      </c>
      <c r="AG211">
        <v>0</v>
      </c>
      <c r="AH211">
        <v>2</v>
      </c>
      <c r="AI211">
        <v>0</v>
      </c>
      <c r="AJ211">
        <v>0</v>
      </c>
      <c r="AK211">
        <v>7</v>
      </c>
      <c r="AL211">
        <v>1</v>
      </c>
      <c r="AM211">
        <v>0</v>
      </c>
      <c r="AN211">
        <v>0</v>
      </c>
      <c r="AO211" s="1">
        <v>0</v>
      </c>
      <c r="AP211">
        <v>7</v>
      </c>
      <c r="AQ211">
        <v>277</v>
      </c>
    </row>
    <row r="212" spans="1:43" x14ac:dyDescent="0.3">
      <c r="A212" t="s">
        <v>96</v>
      </c>
      <c r="B212" t="s">
        <v>111</v>
      </c>
      <c r="C212" s="4" t="s">
        <v>44</v>
      </c>
      <c r="D212">
        <v>522</v>
      </c>
      <c r="E212">
        <v>8</v>
      </c>
      <c r="F212">
        <v>1</v>
      </c>
      <c r="G212">
        <v>4</v>
      </c>
      <c r="H212">
        <v>422</v>
      </c>
      <c r="I212">
        <v>1</v>
      </c>
      <c r="J212">
        <v>0</v>
      </c>
      <c r="K212">
        <v>2</v>
      </c>
      <c r="L212">
        <v>0</v>
      </c>
      <c r="M212">
        <v>0</v>
      </c>
      <c r="N212">
        <v>25</v>
      </c>
      <c r="O212">
        <v>0</v>
      </c>
      <c r="P212">
        <v>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26</v>
      </c>
      <c r="AD212">
        <v>0</v>
      </c>
      <c r="AE212">
        <v>0</v>
      </c>
      <c r="AF212">
        <v>0</v>
      </c>
      <c r="AG212">
        <v>1</v>
      </c>
      <c r="AH212">
        <v>3</v>
      </c>
      <c r="AI212">
        <v>3</v>
      </c>
      <c r="AJ212">
        <v>0</v>
      </c>
      <c r="AK212">
        <v>0</v>
      </c>
      <c r="AL212">
        <v>9</v>
      </c>
      <c r="AM212">
        <v>0</v>
      </c>
      <c r="AN212">
        <v>0</v>
      </c>
      <c r="AO212" s="1">
        <v>0</v>
      </c>
      <c r="AP212">
        <v>8</v>
      </c>
      <c r="AQ212">
        <v>0</v>
      </c>
    </row>
    <row r="213" spans="1:43" x14ac:dyDescent="0.3">
      <c r="A213" t="s">
        <v>96</v>
      </c>
      <c r="B213" t="s">
        <v>112</v>
      </c>
      <c r="C213" s="4" t="s">
        <v>40</v>
      </c>
      <c r="D213" s="1">
        <v>1097</v>
      </c>
      <c r="E213">
        <v>30</v>
      </c>
      <c r="F213">
        <v>4</v>
      </c>
      <c r="G213">
        <v>3</v>
      </c>
      <c r="H213">
        <v>0</v>
      </c>
      <c r="I213">
        <v>716</v>
      </c>
      <c r="J213">
        <v>0</v>
      </c>
      <c r="K213">
        <v>13</v>
      </c>
      <c r="L213">
        <v>1</v>
      </c>
      <c r="M213">
        <v>0</v>
      </c>
      <c r="N213">
        <v>40</v>
      </c>
      <c r="O213">
        <v>0</v>
      </c>
      <c r="P213">
        <v>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5</v>
      </c>
      <c r="AD213">
        <v>0</v>
      </c>
      <c r="AE213">
        <v>0</v>
      </c>
      <c r="AF213">
        <v>0</v>
      </c>
      <c r="AG213">
        <v>1</v>
      </c>
      <c r="AH213">
        <v>9</v>
      </c>
      <c r="AI213">
        <v>0</v>
      </c>
      <c r="AJ213">
        <v>20</v>
      </c>
      <c r="AK213">
        <v>1</v>
      </c>
      <c r="AL213">
        <v>12</v>
      </c>
      <c r="AM213">
        <v>0</v>
      </c>
      <c r="AN213">
        <v>0</v>
      </c>
      <c r="AO213" s="1">
        <v>0</v>
      </c>
      <c r="AP213">
        <v>1</v>
      </c>
      <c r="AQ213">
        <v>235</v>
      </c>
    </row>
    <row r="214" spans="1:43" x14ac:dyDescent="0.3">
      <c r="A214" t="s">
        <v>96</v>
      </c>
      <c r="B214" t="s">
        <v>112</v>
      </c>
      <c r="C214" s="4" t="s">
        <v>43</v>
      </c>
      <c r="D214">
        <v>641</v>
      </c>
      <c r="E214">
        <v>22</v>
      </c>
      <c r="F214">
        <v>3</v>
      </c>
      <c r="G214">
        <v>0</v>
      </c>
      <c r="H214">
        <v>0</v>
      </c>
      <c r="I214">
        <v>333</v>
      </c>
      <c r="J214">
        <v>0</v>
      </c>
      <c r="K214">
        <v>7</v>
      </c>
      <c r="L214">
        <v>1</v>
      </c>
      <c r="M214">
        <v>0</v>
      </c>
      <c r="N214">
        <v>17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3</v>
      </c>
      <c r="AD214">
        <v>0</v>
      </c>
      <c r="AE214">
        <v>0</v>
      </c>
      <c r="AF214">
        <v>0</v>
      </c>
      <c r="AG214">
        <v>0</v>
      </c>
      <c r="AH214">
        <v>4</v>
      </c>
      <c r="AI214">
        <v>0</v>
      </c>
      <c r="AJ214">
        <v>14</v>
      </c>
      <c r="AK214">
        <v>1</v>
      </c>
      <c r="AL214">
        <v>0</v>
      </c>
      <c r="AM214">
        <v>0</v>
      </c>
      <c r="AN214">
        <v>0</v>
      </c>
      <c r="AO214" s="1">
        <v>0</v>
      </c>
      <c r="AP214">
        <v>0</v>
      </c>
      <c r="AQ214">
        <v>235</v>
      </c>
    </row>
    <row r="215" spans="1:43" x14ac:dyDescent="0.3">
      <c r="A215" t="s">
        <v>96</v>
      </c>
      <c r="B215" t="s">
        <v>112</v>
      </c>
      <c r="C215" s="4" t="s">
        <v>44</v>
      </c>
      <c r="D215">
        <v>456</v>
      </c>
      <c r="E215">
        <v>8</v>
      </c>
      <c r="F215">
        <v>1</v>
      </c>
      <c r="G215">
        <v>3</v>
      </c>
      <c r="H215">
        <v>0</v>
      </c>
      <c r="I215">
        <v>383</v>
      </c>
      <c r="J215">
        <v>0</v>
      </c>
      <c r="K215">
        <v>6</v>
      </c>
      <c r="L215">
        <v>0</v>
      </c>
      <c r="M215">
        <v>0</v>
      </c>
      <c r="N215">
        <v>23</v>
      </c>
      <c r="O215">
        <v>0</v>
      </c>
      <c r="P215">
        <v>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</v>
      </c>
      <c r="AD215">
        <v>0</v>
      </c>
      <c r="AE215">
        <v>0</v>
      </c>
      <c r="AF215">
        <v>0</v>
      </c>
      <c r="AG215">
        <v>1</v>
      </c>
      <c r="AH215">
        <v>5</v>
      </c>
      <c r="AI215">
        <v>0</v>
      </c>
      <c r="AJ215">
        <v>6</v>
      </c>
      <c r="AK215">
        <v>0</v>
      </c>
      <c r="AL215">
        <v>12</v>
      </c>
      <c r="AM215">
        <v>0</v>
      </c>
      <c r="AN215">
        <v>0</v>
      </c>
      <c r="AO215" s="1">
        <v>0</v>
      </c>
      <c r="AP215">
        <v>1</v>
      </c>
      <c r="AQ215">
        <v>0</v>
      </c>
    </row>
    <row r="216" spans="1:43" x14ac:dyDescent="0.3">
      <c r="A216" t="s">
        <v>96</v>
      </c>
      <c r="B216" t="s">
        <v>113</v>
      </c>
      <c r="C216" s="4" t="s">
        <v>40</v>
      </c>
      <c r="D216" s="1">
        <v>1092</v>
      </c>
      <c r="E216">
        <v>25</v>
      </c>
      <c r="F216">
        <v>3</v>
      </c>
      <c r="G216">
        <v>1</v>
      </c>
      <c r="H216">
        <v>898</v>
      </c>
      <c r="I216">
        <v>0</v>
      </c>
      <c r="J216">
        <v>0</v>
      </c>
      <c r="K216">
        <v>1</v>
      </c>
      <c r="L216">
        <v>4</v>
      </c>
      <c r="M216">
        <v>0</v>
      </c>
      <c r="N216">
        <v>12</v>
      </c>
      <c r="O216">
        <v>0</v>
      </c>
      <c r="P216">
        <v>2</v>
      </c>
      <c r="Q216">
        <v>0</v>
      </c>
      <c r="R216">
        <v>0</v>
      </c>
      <c r="S216">
        <v>0</v>
      </c>
      <c r="T216">
        <v>2</v>
      </c>
      <c r="U216">
        <v>0</v>
      </c>
      <c r="V216">
        <v>1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4</v>
      </c>
      <c r="AC216">
        <v>4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1</v>
      </c>
      <c r="AL216">
        <v>7</v>
      </c>
      <c r="AM216">
        <v>0</v>
      </c>
      <c r="AN216">
        <v>0</v>
      </c>
      <c r="AO216" s="1">
        <v>0</v>
      </c>
      <c r="AP216">
        <v>9</v>
      </c>
      <c r="AQ216">
        <v>116</v>
      </c>
    </row>
    <row r="217" spans="1:43" x14ac:dyDescent="0.3">
      <c r="A217" t="s">
        <v>96</v>
      </c>
      <c r="B217" t="s">
        <v>113</v>
      </c>
      <c r="C217" s="4" t="s">
        <v>43</v>
      </c>
      <c r="D217">
        <v>519</v>
      </c>
      <c r="E217">
        <v>9</v>
      </c>
      <c r="F217">
        <v>2</v>
      </c>
      <c r="G217">
        <v>1</v>
      </c>
      <c r="H217">
        <v>380</v>
      </c>
      <c r="I217">
        <v>0</v>
      </c>
      <c r="J217">
        <v>0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 s="1">
        <v>0</v>
      </c>
      <c r="AP217">
        <v>4</v>
      </c>
      <c r="AQ217">
        <v>116</v>
      </c>
    </row>
    <row r="218" spans="1:43" x14ac:dyDescent="0.3">
      <c r="A218" t="s">
        <v>96</v>
      </c>
      <c r="B218" t="s">
        <v>113</v>
      </c>
      <c r="C218" s="4" t="s">
        <v>44</v>
      </c>
      <c r="D218">
        <v>573</v>
      </c>
      <c r="E218">
        <v>16</v>
      </c>
      <c r="F218">
        <v>1</v>
      </c>
      <c r="G218">
        <v>0</v>
      </c>
      <c r="H218">
        <v>518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12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1</v>
      </c>
      <c r="AL218">
        <v>7</v>
      </c>
      <c r="AM218">
        <v>0</v>
      </c>
      <c r="AN218">
        <v>0</v>
      </c>
      <c r="AO218" s="1">
        <v>0</v>
      </c>
      <c r="AP218">
        <v>5</v>
      </c>
      <c r="AQ218">
        <v>0</v>
      </c>
    </row>
    <row r="219" spans="1:43" x14ac:dyDescent="0.3">
      <c r="A219" t="s">
        <v>96</v>
      </c>
      <c r="B219" t="s">
        <v>114</v>
      </c>
      <c r="C219" s="4" t="s">
        <v>40</v>
      </c>
      <c r="D219">
        <v>795</v>
      </c>
      <c r="E219">
        <v>0</v>
      </c>
      <c r="F219">
        <v>0</v>
      </c>
      <c r="G219">
        <v>1</v>
      </c>
      <c r="H219">
        <v>726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12</v>
      </c>
      <c r="AI219">
        <v>0</v>
      </c>
      <c r="AJ219">
        <v>24</v>
      </c>
      <c r="AK219">
        <v>3</v>
      </c>
      <c r="AL219">
        <v>16</v>
      </c>
      <c r="AM219">
        <v>0</v>
      </c>
      <c r="AN219">
        <v>0</v>
      </c>
      <c r="AO219" s="1">
        <v>0</v>
      </c>
      <c r="AP219">
        <v>2</v>
      </c>
      <c r="AQ219">
        <v>5</v>
      </c>
    </row>
    <row r="220" spans="1:43" x14ac:dyDescent="0.3">
      <c r="A220" t="s">
        <v>96</v>
      </c>
      <c r="B220" t="s">
        <v>114</v>
      </c>
      <c r="C220" s="4" t="s">
        <v>43</v>
      </c>
      <c r="D220">
        <v>506</v>
      </c>
      <c r="E220">
        <v>0</v>
      </c>
      <c r="F220">
        <v>0</v>
      </c>
      <c r="G220">
        <v>0</v>
      </c>
      <c r="H220">
        <v>456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7</v>
      </c>
      <c r="AI220">
        <v>0</v>
      </c>
      <c r="AJ220">
        <v>13</v>
      </c>
      <c r="AK220">
        <v>3</v>
      </c>
      <c r="AL220">
        <v>16</v>
      </c>
      <c r="AM220">
        <v>0</v>
      </c>
      <c r="AN220">
        <v>0</v>
      </c>
      <c r="AO220" s="1">
        <v>0</v>
      </c>
      <c r="AP220">
        <v>1</v>
      </c>
      <c r="AQ220">
        <v>5</v>
      </c>
    </row>
    <row r="221" spans="1:43" x14ac:dyDescent="0.3">
      <c r="A221" t="s">
        <v>96</v>
      </c>
      <c r="B221" t="s">
        <v>114</v>
      </c>
      <c r="C221" s="4" t="s">
        <v>44</v>
      </c>
      <c r="D221">
        <v>289</v>
      </c>
      <c r="E221">
        <v>0</v>
      </c>
      <c r="F221">
        <v>0</v>
      </c>
      <c r="G221">
        <v>1</v>
      </c>
      <c r="H221">
        <v>270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5</v>
      </c>
      <c r="AI221">
        <v>0</v>
      </c>
      <c r="AJ221">
        <v>11</v>
      </c>
      <c r="AK221">
        <v>0</v>
      </c>
      <c r="AL221">
        <v>0</v>
      </c>
      <c r="AM221">
        <v>0</v>
      </c>
      <c r="AN221">
        <v>0</v>
      </c>
      <c r="AO221" s="1">
        <v>0</v>
      </c>
      <c r="AP221">
        <v>1</v>
      </c>
      <c r="AQ221">
        <v>0</v>
      </c>
    </row>
    <row r="222" spans="1:43" x14ac:dyDescent="0.3">
      <c r="A222" t="s">
        <v>96</v>
      </c>
      <c r="B222" t="s">
        <v>115</v>
      </c>
      <c r="C222" s="4" t="s">
        <v>40</v>
      </c>
      <c r="D222">
        <v>725</v>
      </c>
      <c r="E222">
        <v>4</v>
      </c>
      <c r="F222">
        <v>15</v>
      </c>
      <c r="G222">
        <v>3</v>
      </c>
      <c r="H222">
        <v>383</v>
      </c>
      <c r="I222">
        <v>2</v>
      </c>
      <c r="J222">
        <v>0</v>
      </c>
      <c r="K222">
        <v>0</v>
      </c>
      <c r="L222">
        <v>1</v>
      </c>
      <c r="M222">
        <v>0</v>
      </c>
      <c r="N222">
        <v>7</v>
      </c>
      <c r="O222">
        <v>0</v>
      </c>
      <c r="P222">
        <v>5</v>
      </c>
      <c r="Q222">
        <v>0</v>
      </c>
      <c r="R222">
        <v>0</v>
      </c>
      <c r="S222">
        <v>0</v>
      </c>
      <c r="T222">
        <v>0</v>
      </c>
      <c r="U222">
        <v>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2</v>
      </c>
      <c r="AD222">
        <v>0</v>
      </c>
      <c r="AE222">
        <v>0</v>
      </c>
      <c r="AF222">
        <v>0</v>
      </c>
      <c r="AG222">
        <v>0</v>
      </c>
      <c r="AH222">
        <v>4</v>
      </c>
      <c r="AI222">
        <v>0</v>
      </c>
      <c r="AJ222">
        <v>0</v>
      </c>
      <c r="AK222">
        <v>0</v>
      </c>
      <c r="AL222">
        <v>4</v>
      </c>
      <c r="AM222">
        <v>0</v>
      </c>
      <c r="AN222">
        <v>0</v>
      </c>
      <c r="AO222" s="1">
        <v>0</v>
      </c>
      <c r="AP222">
        <v>13</v>
      </c>
      <c r="AQ222">
        <v>275</v>
      </c>
    </row>
    <row r="223" spans="1:43" x14ac:dyDescent="0.3">
      <c r="A223" t="s">
        <v>96</v>
      </c>
      <c r="B223" t="s">
        <v>115</v>
      </c>
      <c r="C223" s="4" t="s">
        <v>43</v>
      </c>
      <c r="D223">
        <v>470</v>
      </c>
      <c r="E223">
        <v>3</v>
      </c>
      <c r="F223">
        <v>8</v>
      </c>
      <c r="G223">
        <v>3</v>
      </c>
      <c r="H223">
        <v>157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2</v>
      </c>
      <c r="AI223">
        <v>0</v>
      </c>
      <c r="AJ223">
        <v>0</v>
      </c>
      <c r="AK223">
        <v>0</v>
      </c>
      <c r="AL223">
        <v>4</v>
      </c>
      <c r="AM223">
        <v>0</v>
      </c>
      <c r="AN223">
        <v>0</v>
      </c>
      <c r="AO223" s="1">
        <v>0</v>
      </c>
      <c r="AP223">
        <v>6</v>
      </c>
      <c r="AQ223">
        <v>275</v>
      </c>
    </row>
    <row r="224" spans="1:43" x14ac:dyDescent="0.3">
      <c r="A224" t="s">
        <v>96</v>
      </c>
      <c r="B224" t="s">
        <v>115</v>
      </c>
      <c r="C224" s="4" t="s">
        <v>44</v>
      </c>
      <c r="D224">
        <v>255</v>
      </c>
      <c r="E224">
        <v>1</v>
      </c>
      <c r="F224">
        <v>7</v>
      </c>
      <c r="G224">
        <v>0</v>
      </c>
      <c r="H224">
        <v>226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5</v>
      </c>
      <c r="O224">
        <v>0</v>
      </c>
      <c r="P224">
        <v>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 s="1">
        <v>0</v>
      </c>
      <c r="AP224">
        <v>7</v>
      </c>
      <c r="AQ224">
        <v>0</v>
      </c>
    </row>
    <row r="225" spans="1:43" x14ac:dyDescent="0.3">
      <c r="A225" t="s">
        <v>96</v>
      </c>
      <c r="B225" t="s">
        <v>116</v>
      </c>
      <c r="C225" s="4" t="s">
        <v>40</v>
      </c>
      <c r="D225">
        <v>653</v>
      </c>
      <c r="E225">
        <v>0</v>
      </c>
      <c r="F225">
        <v>4</v>
      </c>
      <c r="G225">
        <v>1</v>
      </c>
      <c r="H225">
        <v>256</v>
      </c>
      <c r="I225">
        <v>4</v>
      </c>
      <c r="J225">
        <v>0</v>
      </c>
      <c r="K225">
        <v>2</v>
      </c>
      <c r="L225">
        <v>0</v>
      </c>
      <c r="M225">
        <v>0</v>
      </c>
      <c r="N225">
        <v>5</v>
      </c>
      <c r="O225">
        <v>0</v>
      </c>
      <c r="P225">
        <v>2</v>
      </c>
      <c r="Q225">
        <v>0</v>
      </c>
      <c r="R225">
        <v>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4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9</v>
      </c>
      <c r="AM225">
        <v>0</v>
      </c>
      <c r="AN225">
        <v>0</v>
      </c>
      <c r="AO225" s="1">
        <v>0</v>
      </c>
      <c r="AP225">
        <v>1</v>
      </c>
      <c r="AQ225">
        <v>360</v>
      </c>
    </row>
    <row r="226" spans="1:43" x14ac:dyDescent="0.3">
      <c r="A226" t="s">
        <v>96</v>
      </c>
      <c r="B226" t="s">
        <v>116</v>
      </c>
      <c r="C226" s="4" t="s">
        <v>43</v>
      </c>
      <c r="D226">
        <v>500</v>
      </c>
      <c r="E226">
        <v>0</v>
      </c>
      <c r="F226">
        <v>4</v>
      </c>
      <c r="G226">
        <v>0</v>
      </c>
      <c r="H226">
        <v>125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 s="1">
        <v>0</v>
      </c>
      <c r="AP226">
        <v>0</v>
      </c>
      <c r="AQ226">
        <v>360</v>
      </c>
    </row>
    <row r="227" spans="1:43" x14ac:dyDescent="0.3">
      <c r="A227" t="s">
        <v>96</v>
      </c>
      <c r="B227" t="s">
        <v>116</v>
      </c>
      <c r="C227" s="4" t="s">
        <v>44</v>
      </c>
      <c r="D227">
        <v>153</v>
      </c>
      <c r="E227">
        <v>0</v>
      </c>
      <c r="F227">
        <v>0</v>
      </c>
      <c r="G227">
        <v>1</v>
      </c>
      <c r="H227">
        <v>131</v>
      </c>
      <c r="I227">
        <v>1</v>
      </c>
      <c r="J227">
        <v>0</v>
      </c>
      <c r="K227">
        <v>2</v>
      </c>
      <c r="L227">
        <v>0</v>
      </c>
      <c r="M227">
        <v>0</v>
      </c>
      <c r="N227">
        <v>5</v>
      </c>
      <c r="O227">
        <v>0</v>
      </c>
      <c r="P227">
        <v>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9</v>
      </c>
      <c r="AM227">
        <v>0</v>
      </c>
      <c r="AN227">
        <v>0</v>
      </c>
      <c r="AO227" s="1">
        <v>0</v>
      </c>
      <c r="AP227">
        <v>1</v>
      </c>
      <c r="AQ227">
        <v>0</v>
      </c>
    </row>
    <row r="228" spans="1:43" x14ac:dyDescent="0.3">
      <c r="A228" t="s">
        <v>96</v>
      </c>
      <c r="B228" t="s">
        <v>117</v>
      </c>
      <c r="C228" s="4" t="s">
        <v>40</v>
      </c>
      <c r="D228">
        <v>652</v>
      </c>
      <c r="E228">
        <v>1</v>
      </c>
      <c r="F228">
        <v>0</v>
      </c>
      <c r="G228">
        <v>0</v>
      </c>
      <c r="H228">
        <v>562</v>
      </c>
      <c r="I228">
        <v>1</v>
      </c>
      <c r="J228">
        <v>0</v>
      </c>
      <c r="K228">
        <v>8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5</v>
      </c>
      <c r="T228">
        <v>11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15</v>
      </c>
      <c r="AI228">
        <v>0</v>
      </c>
      <c r="AJ228">
        <v>25</v>
      </c>
      <c r="AK228">
        <v>0</v>
      </c>
      <c r="AL228">
        <v>0</v>
      </c>
      <c r="AM228">
        <v>0</v>
      </c>
      <c r="AN228">
        <v>0</v>
      </c>
      <c r="AO228" s="1">
        <v>0</v>
      </c>
      <c r="AP228">
        <v>0</v>
      </c>
      <c r="AQ228">
        <v>23</v>
      </c>
    </row>
    <row r="229" spans="1:43" x14ac:dyDescent="0.3">
      <c r="A229" t="s">
        <v>96</v>
      </c>
      <c r="B229" t="s">
        <v>117</v>
      </c>
      <c r="C229" s="4" t="s">
        <v>43</v>
      </c>
      <c r="D229">
        <v>451</v>
      </c>
      <c r="E229">
        <v>1</v>
      </c>
      <c r="F229">
        <v>0</v>
      </c>
      <c r="G229">
        <v>0</v>
      </c>
      <c r="H229">
        <v>397</v>
      </c>
      <c r="I229">
        <v>0</v>
      </c>
      <c r="J229">
        <v>0</v>
      </c>
      <c r="K229">
        <v>4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5</v>
      </c>
      <c r="T229">
        <v>11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4</v>
      </c>
      <c r="AI229">
        <v>0</v>
      </c>
      <c r="AJ229">
        <v>5</v>
      </c>
      <c r="AK229">
        <v>0</v>
      </c>
      <c r="AL229">
        <v>0</v>
      </c>
      <c r="AM229">
        <v>0</v>
      </c>
      <c r="AN229">
        <v>0</v>
      </c>
      <c r="AO229" s="1">
        <v>0</v>
      </c>
      <c r="AP229">
        <v>0</v>
      </c>
      <c r="AQ229">
        <v>23</v>
      </c>
    </row>
    <row r="230" spans="1:43" x14ac:dyDescent="0.3">
      <c r="A230" t="s">
        <v>96</v>
      </c>
      <c r="B230" t="s">
        <v>117</v>
      </c>
      <c r="C230" s="4" t="s">
        <v>44</v>
      </c>
      <c r="D230">
        <v>201</v>
      </c>
      <c r="E230">
        <v>0</v>
      </c>
      <c r="F230">
        <v>0</v>
      </c>
      <c r="G230">
        <v>0</v>
      </c>
      <c r="H230">
        <v>165</v>
      </c>
      <c r="I230">
        <v>1</v>
      </c>
      <c r="J230">
        <v>0</v>
      </c>
      <c r="K230">
        <v>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11</v>
      </c>
      <c r="AI230">
        <v>0</v>
      </c>
      <c r="AJ230">
        <v>20</v>
      </c>
      <c r="AK230">
        <v>0</v>
      </c>
      <c r="AL230">
        <v>0</v>
      </c>
      <c r="AM230">
        <v>0</v>
      </c>
      <c r="AN230">
        <v>0</v>
      </c>
      <c r="AO230" s="1">
        <v>0</v>
      </c>
      <c r="AP230">
        <v>0</v>
      </c>
      <c r="AQ230">
        <v>0</v>
      </c>
    </row>
    <row r="231" spans="1:43" x14ac:dyDescent="0.3">
      <c r="A231" t="s">
        <v>96</v>
      </c>
      <c r="B231" t="s">
        <v>118</v>
      </c>
      <c r="C231" s="4" t="s">
        <v>40</v>
      </c>
      <c r="D231">
        <v>617</v>
      </c>
      <c r="E231">
        <v>32</v>
      </c>
      <c r="F231">
        <v>1</v>
      </c>
      <c r="G231">
        <v>0</v>
      </c>
      <c r="H231">
        <v>0</v>
      </c>
      <c r="I231">
        <v>7</v>
      </c>
      <c r="J231">
        <v>0</v>
      </c>
      <c r="K231">
        <v>451</v>
      </c>
      <c r="L231">
        <v>1</v>
      </c>
      <c r="M231">
        <v>0</v>
      </c>
      <c r="N231">
        <v>20</v>
      </c>
      <c r="O231">
        <v>0</v>
      </c>
      <c r="P231">
        <v>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5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8</v>
      </c>
      <c r="AD231">
        <v>0</v>
      </c>
      <c r="AE231">
        <v>0</v>
      </c>
      <c r="AF231">
        <v>0</v>
      </c>
      <c r="AG231">
        <v>3</v>
      </c>
      <c r="AH231">
        <v>8</v>
      </c>
      <c r="AI231">
        <v>0</v>
      </c>
      <c r="AJ231">
        <v>9</v>
      </c>
      <c r="AK231">
        <v>3</v>
      </c>
      <c r="AL231">
        <v>8</v>
      </c>
      <c r="AM231">
        <v>0</v>
      </c>
      <c r="AN231">
        <v>0</v>
      </c>
      <c r="AO231" s="1">
        <v>0</v>
      </c>
      <c r="AP231">
        <v>3</v>
      </c>
      <c r="AQ231">
        <v>53</v>
      </c>
    </row>
    <row r="232" spans="1:43" x14ac:dyDescent="0.3">
      <c r="A232" t="s">
        <v>96</v>
      </c>
      <c r="B232" t="s">
        <v>118</v>
      </c>
      <c r="C232" s="4" t="s">
        <v>43</v>
      </c>
      <c r="D232">
        <v>336</v>
      </c>
      <c r="E232">
        <v>17</v>
      </c>
      <c r="F232">
        <v>1</v>
      </c>
      <c r="G232">
        <v>0</v>
      </c>
      <c r="H232">
        <v>0</v>
      </c>
      <c r="I232">
        <v>5</v>
      </c>
      <c r="J232">
        <v>0</v>
      </c>
      <c r="K232">
        <v>235</v>
      </c>
      <c r="L232">
        <v>1</v>
      </c>
      <c r="M232">
        <v>0</v>
      </c>
      <c r="N232">
        <v>12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4</v>
      </c>
      <c r="AD232">
        <v>0</v>
      </c>
      <c r="AE232">
        <v>0</v>
      </c>
      <c r="AF232">
        <v>0</v>
      </c>
      <c r="AG232">
        <v>2</v>
      </c>
      <c r="AH232">
        <v>0</v>
      </c>
      <c r="AI232">
        <v>0</v>
      </c>
      <c r="AJ232">
        <v>0</v>
      </c>
      <c r="AK232">
        <v>2</v>
      </c>
      <c r="AL232">
        <v>0</v>
      </c>
      <c r="AM232">
        <v>0</v>
      </c>
      <c r="AN232">
        <v>0</v>
      </c>
      <c r="AO232" s="1">
        <v>0</v>
      </c>
      <c r="AP232">
        <v>2</v>
      </c>
      <c r="AQ232">
        <v>53</v>
      </c>
    </row>
    <row r="233" spans="1:43" x14ac:dyDescent="0.3">
      <c r="A233" t="s">
        <v>96</v>
      </c>
      <c r="B233" t="s">
        <v>118</v>
      </c>
      <c r="C233" s="4" t="s">
        <v>44</v>
      </c>
      <c r="D233">
        <v>281</v>
      </c>
      <c r="E233">
        <v>15</v>
      </c>
      <c r="F233">
        <v>0</v>
      </c>
      <c r="G233">
        <v>0</v>
      </c>
      <c r="H233">
        <v>0</v>
      </c>
      <c r="I233">
        <v>2</v>
      </c>
      <c r="J233">
        <v>0</v>
      </c>
      <c r="K233">
        <v>216</v>
      </c>
      <c r="L233">
        <v>0</v>
      </c>
      <c r="M233">
        <v>0</v>
      </c>
      <c r="N233">
        <v>8</v>
      </c>
      <c r="O233">
        <v>0</v>
      </c>
      <c r="P233">
        <v>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4</v>
      </c>
      <c r="AD233">
        <v>0</v>
      </c>
      <c r="AE233">
        <v>0</v>
      </c>
      <c r="AF233">
        <v>0</v>
      </c>
      <c r="AG233">
        <v>1</v>
      </c>
      <c r="AH233">
        <v>8</v>
      </c>
      <c r="AI233">
        <v>0</v>
      </c>
      <c r="AJ233">
        <v>9</v>
      </c>
      <c r="AK233">
        <v>1</v>
      </c>
      <c r="AL233">
        <v>8</v>
      </c>
      <c r="AM233">
        <v>0</v>
      </c>
      <c r="AN233">
        <v>0</v>
      </c>
      <c r="AO233" s="1">
        <v>0</v>
      </c>
      <c r="AP233">
        <v>1</v>
      </c>
      <c r="AQ233">
        <v>0</v>
      </c>
    </row>
    <row r="234" spans="1:43" x14ac:dyDescent="0.3">
      <c r="A234" t="s">
        <v>96</v>
      </c>
      <c r="B234" t="s">
        <v>119</v>
      </c>
      <c r="C234" s="4" t="s">
        <v>40</v>
      </c>
      <c r="D234">
        <v>437</v>
      </c>
      <c r="E234">
        <v>6</v>
      </c>
      <c r="F234">
        <v>3</v>
      </c>
      <c r="G234">
        <v>0</v>
      </c>
      <c r="H234">
        <v>230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11</v>
      </c>
      <c r="O234">
        <v>0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s="1">
        <v>0</v>
      </c>
      <c r="AP234">
        <v>173</v>
      </c>
      <c r="AQ234">
        <v>11</v>
      </c>
    </row>
    <row r="235" spans="1:43" x14ac:dyDescent="0.3">
      <c r="A235" t="s">
        <v>96</v>
      </c>
      <c r="B235" t="s">
        <v>119</v>
      </c>
      <c r="C235" s="4" t="s">
        <v>43</v>
      </c>
      <c r="D235">
        <v>204</v>
      </c>
      <c r="E235">
        <v>1</v>
      </c>
      <c r="F235">
        <v>1</v>
      </c>
      <c r="G235">
        <v>0</v>
      </c>
      <c r="H235">
        <v>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4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 s="1">
        <v>0</v>
      </c>
      <c r="AP235">
        <v>79</v>
      </c>
      <c r="AQ235">
        <v>11</v>
      </c>
    </row>
    <row r="236" spans="1:43" x14ac:dyDescent="0.3">
      <c r="A236" t="s">
        <v>96</v>
      </c>
      <c r="B236" t="s">
        <v>119</v>
      </c>
      <c r="C236" s="4" t="s">
        <v>44</v>
      </c>
      <c r="D236">
        <v>233</v>
      </c>
      <c r="E236">
        <v>5</v>
      </c>
      <c r="F236">
        <v>2</v>
      </c>
      <c r="G236">
        <v>0</v>
      </c>
      <c r="H236">
        <v>122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7</v>
      </c>
      <c r="O236">
        <v>0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s="1">
        <v>0</v>
      </c>
      <c r="AP236">
        <v>94</v>
      </c>
      <c r="AQ236">
        <v>0</v>
      </c>
    </row>
    <row r="237" spans="1:43" x14ac:dyDescent="0.3">
      <c r="A237" t="s">
        <v>96</v>
      </c>
      <c r="B237" t="s">
        <v>120</v>
      </c>
      <c r="C237" s="4" t="s">
        <v>40</v>
      </c>
      <c r="D237">
        <v>388</v>
      </c>
      <c r="E237">
        <v>2</v>
      </c>
      <c r="F237">
        <v>1</v>
      </c>
      <c r="G237">
        <v>0</v>
      </c>
      <c r="H237">
        <v>240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12</v>
      </c>
      <c r="AL237">
        <v>0</v>
      </c>
      <c r="AM237">
        <v>0</v>
      </c>
      <c r="AN237">
        <v>0</v>
      </c>
      <c r="AO237" s="1">
        <v>0</v>
      </c>
      <c r="AP237">
        <v>16</v>
      </c>
      <c r="AQ237">
        <v>114</v>
      </c>
    </row>
    <row r="238" spans="1:43" x14ac:dyDescent="0.3">
      <c r="A238" t="s">
        <v>96</v>
      </c>
      <c r="B238" t="s">
        <v>120</v>
      </c>
      <c r="C238" s="4" t="s">
        <v>43</v>
      </c>
      <c r="D238">
        <v>264</v>
      </c>
      <c r="E238">
        <v>2</v>
      </c>
      <c r="F238">
        <v>1</v>
      </c>
      <c r="G238">
        <v>0</v>
      </c>
      <c r="H238">
        <v>138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6</v>
      </c>
      <c r="AL238">
        <v>0</v>
      </c>
      <c r="AM238">
        <v>0</v>
      </c>
      <c r="AN238">
        <v>0</v>
      </c>
      <c r="AO238" s="1">
        <v>0</v>
      </c>
      <c r="AP238">
        <v>1</v>
      </c>
      <c r="AQ238">
        <v>114</v>
      </c>
    </row>
    <row r="239" spans="1:43" x14ac:dyDescent="0.3">
      <c r="A239" t="s">
        <v>96</v>
      </c>
      <c r="B239" t="s">
        <v>120</v>
      </c>
      <c r="C239" s="4" t="s">
        <v>44</v>
      </c>
      <c r="D239">
        <v>124</v>
      </c>
      <c r="E239">
        <v>0</v>
      </c>
      <c r="F239">
        <v>0</v>
      </c>
      <c r="G239">
        <v>0</v>
      </c>
      <c r="H239">
        <v>102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6</v>
      </c>
      <c r="AL239">
        <v>0</v>
      </c>
      <c r="AM239">
        <v>0</v>
      </c>
      <c r="AN239">
        <v>0</v>
      </c>
      <c r="AO239" s="1">
        <v>0</v>
      </c>
      <c r="AP239">
        <v>15</v>
      </c>
      <c r="AQ239">
        <v>0</v>
      </c>
    </row>
    <row r="240" spans="1:43" x14ac:dyDescent="0.3">
      <c r="A240" t="s">
        <v>96</v>
      </c>
      <c r="B240" t="s">
        <v>121</v>
      </c>
      <c r="C240" s="4" t="s">
        <v>40</v>
      </c>
      <c r="D240">
        <v>350</v>
      </c>
      <c r="E240">
        <v>2</v>
      </c>
      <c r="F240">
        <v>0</v>
      </c>
      <c r="G240">
        <v>0</v>
      </c>
      <c r="H240">
        <v>201</v>
      </c>
      <c r="I240">
        <v>4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9</v>
      </c>
      <c r="AK240">
        <v>0</v>
      </c>
      <c r="AL240">
        <v>1</v>
      </c>
      <c r="AM240">
        <v>0</v>
      </c>
      <c r="AN240">
        <v>0</v>
      </c>
      <c r="AO240" s="1">
        <v>0</v>
      </c>
      <c r="AP240">
        <v>1</v>
      </c>
      <c r="AQ240">
        <v>130</v>
      </c>
    </row>
    <row r="241" spans="1:43" x14ac:dyDescent="0.3">
      <c r="A241" t="s">
        <v>96</v>
      </c>
      <c r="B241" t="s">
        <v>121</v>
      </c>
      <c r="C241" s="4" t="s">
        <v>43</v>
      </c>
      <c r="D241">
        <v>263</v>
      </c>
      <c r="E241">
        <v>2</v>
      </c>
      <c r="F241">
        <v>0</v>
      </c>
      <c r="G241">
        <v>0</v>
      </c>
      <c r="H241">
        <v>119</v>
      </c>
      <c r="I241">
        <v>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9</v>
      </c>
      <c r="AK241">
        <v>0</v>
      </c>
      <c r="AL241">
        <v>0</v>
      </c>
      <c r="AM241">
        <v>0</v>
      </c>
      <c r="AN241">
        <v>0</v>
      </c>
      <c r="AO241" s="1">
        <v>0</v>
      </c>
      <c r="AP241">
        <v>0</v>
      </c>
      <c r="AQ241">
        <v>130</v>
      </c>
    </row>
    <row r="242" spans="1:43" x14ac:dyDescent="0.3">
      <c r="A242" t="s">
        <v>96</v>
      </c>
      <c r="B242" t="s">
        <v>121</v>
      </c>
      <c r="C242" s="4" t="s">
        <v>44</v>
      </c>
      <c r="D242">
        <v>87</v>
      </c>
      <c r="E242">
        <v>0</v>
      </c>
      <c r="F242">
        <v>0</v>
      </c>
      <c r="G242">
        <v>0</v>
      </c>
      <c r="H242">
        <v>82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 s="1">
        <v>0</v>
      </c>
      <c r="AP242">
        <v>1</v>
      </c>
      <c r="AQ242">
        <v>0</v>
      </c>
    </row>
    <row r="243" spans="1:43" x14ac:dyDescent="0.3">
      <c r="A243" t="s">
        <v>96</v>
      </c>
      <c r="B243" t="s">
        <v>122</v>
      </c>
      <c r="C243" s="4" t="s">
        <v>40</v>
      </c>
      <c r="D243">
        <v>283</v>
      </c>
      <c r="E243">
        <v>11</v>
      </c>
      <c r="F243">
        <v>19</v>
      </c>
      <c r="G243">
        <v>2</v>
      </c>
      <c r="H243">
        <v>0</v>
      </c>
      <c r="I243">
        <v>0</v>
      </c>
      <c r="J243">
        <v>0</v>
      </c>
      <c r="K243">
        <v>122</v>
      </c>
      <c r="L243">
        <v>7</v>
      </c>
      <c r="M243">
        <v>0</v>
      </c>
      <c r="N243">
        <v>2</v>
      </c>
      <c r="O243">
        <v>0</v>
      </c>
      <c r="P243">
        <v>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12</v>
      </c>
      <c r="AC243">
        <v>0</v>
      </c>
      <c r="AD243">
        <v>0</v>
      </c>
      <c r="AE243">
        <v>0</v>
      </c>
      <c r="AF243">
        <v>0</v>
      </c>
      <c r="AG243">
        <v>2</v>
      </c>
      <c r="AH243">
        <v>2</v>
      </c>
      <c r="AI243">
        <v>0</v>
      </c>
      <c r="AJ243">
        <v>0</v>
      </c>
      <c r="AK243">
        <v>0</v>
      </c>
      <c r="AL243">
        <v>10</v>
      </c>
      <c r="AM243">
        <v>0</v>
      </c>
      <c r="AN243">
        <v>0</v>
      </c>
      <c r="AO243" s="1">
        <v>0</v>
      </c>
      <c r="AP243">
        <v>0</v>
      </c>
      <c r="AQ243">
        <v>85</v>
      </c>
    </row>
    <row r="244" spans="1:43" x14ac:dyDescent="0.3">
      <c r="A244" t="s">
        <v>96</v>
      </c>
      <c r="B244" t="s">
        <v>122</v>
      </c>
      <c r="C244" s="4" t="s">
        <v>43</v>
      </c>
      <c r="D244">
        <v>182</v>
      </c>
      <c r="E244">
        <v>6</v>
      </c>
      <c r="F244">
        <v>4</v>
      </c>
      <c r="G244">
        <v>2</v>
      </c>
      <c r="H244">
        <v>0</v>
      </c>
      <c r="I244">
        <v>0</v>
      </c>
      <c r="J244">
        <v>0</v>
      </c>
      <c r="K244">
        <v>63</v>
      </c>
      <c r="L244">
        <v>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</v>
      </c>
      <c r="Z244">
        <v>0</v>
      </c>
      <c r="AA244">
        <v>0</v>
      </c>
      <c r="AB244">
        <v>9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6</v>
      </c>
      <c r="AM244">
        <v>0</v>
      </c>
      <c r="AN244">
        <v>0</v>
      </c>
      <c r="AO244" s="1">
        <v>0</v>
      </c>
      <c r="AP244">
        <v>0</v>
      </c>
      <c r="AQ244">
        <v>85</v>
      </c>
    </row>
    <row r="245" spans="1:43" x14ac:dyDescent="0.3">
      <c r="A245" t="s">
        <v>96</v>
      </c>
      <c r="B245" t="s">
        <v>122</v>
      </c>
      <c r="C245" s="4" t="s">
        <v>44</v>
      </c>
      <c r="D245">
        <v>101</v>
      </c>
      <c r="E245">
        <v>5</v>
      </c>
      <c r="F245">
        <v>15</v>
      </c>
      <c r="G245">
        <v>0</v>
      </c>
      <c r="H245">
        <v>0</v>
      </c>
      <c r="I245">
        <v>0</v>
      </c>
      <c r="J245">
        <v>0</v>
      </c>
      <c r="K245">
        <v>59</v>
      </c>
      <c r="L245">
        <v>3</v>
      </c>
      <c r="M245">
        <v>0</v>
      </c>
      <c r="N245">
        <v>2</v>
      </c>
      <c r="O245">
        <v>0</v>
      </c>
      <c r="P245">
        <v>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</v>
      </c>
      <c r="AC245">
        <v>0</v>
      </c>
      <c r="AD245">
        <v>0</v>
      </c>
      <c r="AE245">
        <v>0</v>
      </c>
      <c r="AF245">
        <v>0</v>
      </c>
      <c r="AG245">
        <v>2</v>
      </c>
      <c r="AH245">
        <v>2</v>
      </c>
      <c r="AI245">
        <v>0</v>
      </c>
      <c r="AJ245">
        <v>0</v>
      </c>
      <c r="AK245">
        <v>0</v>
      </c>
      <c r="AL245">
        <v>4</v>
      </c>
      <c r="AM245">
        <v>0</v>
      </c>
      <c r="AN245">
        <v>0</v>
      </c>
      <c r="AO245" s="1">
        <v>0</v>
      </c>
      <c r="AP245">
        <v>0</v>
      </c>
      <c r="AQ245">
        <v>0</v>
      </c>
    </row>
    <row r="246" spans="1:43" x14ac:dyDescent="0.3">
      <c r="A246" t="s">
        <v>96</v>
      </c>
      <c r="B246" t="s">
        <v>123</v>
      </c>
      <c r="C246" s="4" t="s">
        <v>40</v>
      </c>
      <c r="D246">
        <v>192</v>
      </c>
      <c r="E246">
        <v>3</v>
      </c>
      <c r="F246">
        <v>16</v>
      </c>
      <c r="G246">
        <v>0</v>
      </c>
      <c r="H246">
        <v>0</v>
      </c>
      <c r="I246">
        <v>79</v>
      </c>
      <c r="J246">
        <v>0</v>
      </c>
      <c r="K246">
        <v>1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</v>
      </c>
      <c r="AM246">
        <v>1</v>
      </c>
      <c r="AN246">
        <v>0</v>
      </c>
      <c r="AO246" s="1">
        <v>0</v>
      </c>
      <c r="AP246">
        <v>0</v>
      </c>
      <c r="AQ246">
        <v>86</v>
      </c>
    </row>
    <row r="247" spans="1:43" x14ac:dyDescent="0.3">
      <c r="A247" t="s">
        <v>96</v>
      </c>
      <c r="B247" t="s">
        <v>123</v>
      </c>
      <c r="C247" s="4" t="s">
        <v>43</v>
      </c>
      <c r="D247">
        <v>152</v>
      </c>
      <c r="E247">
        <v>1</v>
      </c>
      <c r="F247">
        <v>10</v>
      </c>
      <c r="G247">
        <v>0</v>
      </c>
      <c r="H247">
        <v>0</v>
      </c>
      <c r="I247">
        <v>51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</v>
      </c>
      <c r="AM247">
        <v>1</v>
      </c>
      <c r="AN247">
        <v>0</v>
      </c>
      <c r="AO247" s="1">
        <v>0</v>
      </c>
      <c r="AP247">
        <v>0</v>
      </c>
      <c r="AQ247">
        <v>86</v>
      </c>
    </row>
    <row r="248" spans="1:43" x14ac:dyDescent="0.3">
      <c r="A248" t="s">
        <v>96</v>
      </c>
      <c r="B248" t="s">
        <v>123</v>
      </c>
      <c r="C248" s="4" t="s">
        <v>44</v>
      </c>
      <c r="D248">
        <v>40</v>
      </c>
      <c r="E248">
        <v>2</v>
      </c>
      <c r="F248">
        <v>6</v>
      </c>
      <c r="G248">
        <v>0</v>
      </c>
      <c r="H248">
        <v>0</v>
      </c>
      <c r="I248">
        <v>28</v>
      </c>
      <c r="J248">
        <v>0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 s="1">
        <v>0</v>
      </c>
      <c r="AP248">
        <v>0</v>
      </c>
      <c r="AQ248">
        <v>0</v>
      </c>
    </row>
    <row r="249" spans="1:43" x14ac:dyDescent="0.3">
      <c r="A249" t="s">
        <v>96</v>
      </c>
      <c r="B249" t="s">
        <v>124</v>
      </c>
      <c r="C249" s="4" t="s">
        <v>40</v>
      </c>
      <c r="D249">
        <v>189</v>
      </c>
      <c r="E249">
        <v>4</v>
      </c>
      <c r="F249">
        <v>1</v>
      </c>
      <c r="G249">
        <v>0</v>
      </c>
      <c r="H249">
        <v>138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 s="1">
        <v>0</v>
      </c>
      <c r="AP249">
        <v>0</v>
      </c>
      <c r="AQ249">
        <v>43</v>
      </c>
    </row>
    <row r="250" spans="1:43" x14ac:dyDescent="0.3">
      <c r="A250" t="s">
        <v>96</v>
      </c>
      <c r="B250" t="s">
        <v>124</v>
      </c>
      <c r="C250" s="4" t="s">
        <v>43</v>
      </c>
      <c r="D250">
        <v>130</v>
      </c>
      <c r="E250">
        <v>4</v>
      </c>
      <c r="F250">
        <v>1</v>
      </c>
      <c r="G250">
        <v>0</v>
      </c>
      <c r="H250">
        <v>80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 s="1">
        <v>0</v>
      </c>
      <c r="AP250">
        <v>0</v>
      </c>
      <c r="AQ250">
        <v>43</v>
      </c>
    </row>
    <row r="251" spans="1:43" x14ac:dyDescent="0.3">
      <c r="A251" t="s">
        <v>96</v>
      </c>
      <c r="B251" t="s">
        <v>124</v>
      </c>
      <c r="C251" s="4" t="s">
        <v>44</v>
      </c>
      <c r="D251">
        <v>59</v>
      </c>
      <c r="E251">
        <v>0</v>
      </c>
      <c r="F251">
        <v>0</v>
      </c>
      <c r="G251">
        <v>0</v>
      </c>
      <c r="H251">
        <v>58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s="1">
        <v>0</v>
      </c>
      <c r="AP251">
        <v>0</v>
      </c>
      <c r="AQ251">
        <v>0</v>
      </c>
    </row>
    <row r="252" spans="1:43" x14ac:dyDescent="0.3">
      <c r="A252" t="s">
        <v>96</v>
      </c>
      <c r="B252" t="s">
        <v>125</v>
      </c>
      <c r="C252" s="4" t="s">
        <v>40</v>
      </c>
      <c r="D252">
        <v>184</v>
      </c>
      <c r="E252">
        <v>9</v>
      </c>
      <c r="F252">
        <v>5</v>
      </c>
      <c r="G252">
        <v>0</v>
      </c>
      <c r="H252">
        <v>84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5</v>
      </c>
      <c r="AK252">
        <v>0</v>
      </c>
      <c r="AL252">
        <v>0</v>
      </c>
      <c r="AM252">
        <v>0</v>
      </c>
      <c r="AN252">
        <v>0</v>
      </c>
      <c r="AO252" s="1">
        <v>0</v>
      </c>
      <c r="AP252">
        <v>9</v>
      </c>
      <c r="AQ252">
        <v>67</v>
      </c>
    </row>
    <row r="253" spans="1:43" x14ac:dyDescent="0.3">
      <c r="A253" t="s">
        <v>96</v>
      </c>
      <c r="B253" t="s">
        <v>125</v>
      </c>
      <c r="C253" s="4" t="s">
        <v>43</v>
      </c>
      <c r="D253">
        <v>111</v>
      </c>
      <c r="E253">
        <v>7</v>
      </c>
      <c r="F253">
        <v>1</v>
      </c>
      <c r="G253">
        <v>0</v>
      </c>
      <c r="H253">
        <v>29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4</v>
      </c>
      <c r="AK253">
        <v>0</v>
      </c>
      <c r="AL253">
        <v>0</v>
      </c>
      <c r="AM253">
        <v>0</v>
      </c>
      <c r="AN253">
        <v>0</v>
      </c>
      <c r="AO253" s="1">
        <v>0</v>
      </c>
      <c r="AP253">
        <v>3</v>
      </c>
      <c r="AQ253">
        <v>67</v>
      </c>
    </row>
    <row r="254" spans="1:43" x14ac:dyDescent="0.3">
      <c r="A254" t="s">
        <v>96</v>
      </c>
      <c r="B254" t="s">
        <v>125</v>
      </c>
      <c r="C254" s="4" t="s">
        <v>44</v>
      </c>
      <c r="D254">
        <v>73</v>
      </c>
      <c r="E254">
        <v>2</v>
      </c>
      <c r="F254">
        <v>4</v>
      </c>
      <c r="G254">
        <v>0</v>
      </c>
      <c r="H254">
        <v>55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 s="1">
        <v>0</v>
      </c>
      <c r="AP254">
        <v>6</v>
      </c>
      <c r="AQ254">
        <v>0</v>
      </c>
    </row>
    <row r="255" spans="1:43" x14ac:dyDescent="0.3">
      <c r="A255" t="s">
        <v>96</v>
      </c>
      <c r="B255" t="s">
        <v>126</v>
      </c>
      <c r="C255" s="4" t="s">
        <v>40</v>
      </c>
      <c r="D255">
        <v>154</v>
      </c>
      <c r="E255">
        <v>0</v>
      </c>
      <c r="F255">
        <v>4</v>
      </c>
      <c r="G255">
        <v>1</v>
      </c>
      <c r="H255">
        <v>75</v>
      </c>
      <c r="I255">
        <v>1</v>
      </c>
      <c r="J255">
        <v>0</v>
      </c>
      <c r="K255">
        <v>11</v>
      </c>
      <c r="L255">
        <v>0</v>
      </c>
      <c r="M255">
        <v>0</v>
      </c>
      <c r="N255">
        <v>3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34</v>
      </c>
      <c r="AN255">
        <v>0</v>
      </c>
      <c r="AO255" s="1">
        <v>0</v>
      </c>
      <c r="AP255">
        <v>9</v>
      </c>
      <c r="AQ255">
        <v>10</v>
      </c>
    </row>
    <row r="256" spans="1:43" x14ac:dyDescent="0.3">
      <c r="A256" t="s">
        <v>96</v>
      </c>
      <c r="B256" t="s">
        <v>126</v>
      </c>
      <c r="C256" s="4" t="s">
        <v>43</v>
      </c>
      <c r="D256">
        <v>101</v>
      </c>
      <c r="E256">
        <v>0</v>
      </c>
      <c r="F256">
        <v>1</v>
      </c>
      <c r="G256">
        <v>1</v>
      </c>
      <c r="H256">
        <v>45</v>
      </c>
      <c r="I256">
        <v>1</v>
      </c>
      <c r="J256">
        <v>0</v>
      </c>
      <c r="K256">
        <v>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2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27</v>
      </c>
      <c r="AN256">
        <v>0</v>
      </c>
      <c r="AO256" s="1">
        <v>0</v>
      </c>
      <c r="AP256">
        <v>5</v>
      </c>
      <c r="AQ256">
        <v>10</v>
      </c>
    </row>
    <row r="257" spans="1:43" x14ac:dyDescent="0.3">
      <c r="A257" t="s">
        <v>96</v>
      </c>
      <c r="B257" t="s">
        <v>126</v>
      </c>
      <c r="C257" s="4" t="s">
        <v>44</v>
      </c>
      <c r="D257">
        <v>53</v>
      </c>
      <c r="E257">
        <v>0</v>
      </c>
      <c r="F257">
        <v>3</v>
      </c>
      <c r="G257">
        <v>0</v>
      </c>
      <c r="H257">
        <v>30</v>
      </c>
      <c r="I257">
        <v>0</v>
      </c>
      <c r="J257">
        <v>0</v>
      </c>
      <c r="K257">
        <v>5</v>
      </c>
      <c r="L257">
        <v>0</v>
      </c>
      <c r="M257">
        <v>0</v>
      </c>
      <c r="N257">
        <v>3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7</v>
      </c>
      <c r="AN257">
        <v>0</v>
      </c>
      <c r="AO257" s="1">
        <v>0</v>
      </c>
      <c r="AP257">
        <v>4</v>
      </c>
      <c r="AQ257">
        <v>0</v>
      </c>
    </row>
    <row r="258" spans="1:43" x14ac:dyDescent="0.3">
      <c r="A258" t="s">
        <v>96</v>
      </c>
      <c r="B258" t="s">
        <v>127</v>
      </c>
      <c r="C258" s="4" t="s">
        <v>40</v>
      </c>
      <c r="D258">
        <v>129</v>
      </c>
      <c r="E258">
        <v>2</v>
      </c>
      <c r="F258">
        <v>0</v>
      </c>
      <c r="G258">
        <v>0</v>
      </c>
      <c r="H258">
        <v>33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 s="1">
        <v>0</v>
      </c>
      <c r="AP258">
        <v>0</v>
      </c>
      <c r="AQ258">
        <v>90</v>
      </c>
    </row>
    <row r="259" spans="1:43" x14ac:dyDescent="0.3">
      <c r="A259" t="s">
        <v>96</v>
      </c>
      <c r="B259" t="s">
        <v>127</v>
      </c>
      <c r="C259" s="4" t="s">
        <v>43</v>
      </c>
      <c r="D259">
        <v>106</v>
      </c>
      <c r="E259">
        <v>0</v>
      </c>
      <c r="F259">
        <v>0</v>
      </c>
      <c r="G259">
        <v>0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 s="1">
        <v>0</v>
      </c>
      <c r="AP259">
        <v>0</v>
      </c>
      <c r="AQ259">
        <v>90</v>
      </c>
    </row>
    <row r="260" spans="1:43" x14ac:dyDescent="0.3">
      <c r="A260" t="s">
        <v>96</v>
      </c>
      <c r="B260" t="s">
        <v>127</v>
      </c>
      <c r="C260" s="4" t="s">
        <v>44</v>
      </c>
      <c r="D260">
        <v>23</v>
      </c>
      <c r="E260">
        <v>2</v>
      </c>
      <c r="F260">
        <v>0</v>
      </c>
      <c r="G260">
        <v>0</v>
      </c>
      <c r="H260">
        <v>18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s="1">
        <v>0</v>
      </c>
      <c r="AP260">
        <v>0</v>
      </c>
      <c r="AQ260">
        <v>0</v>
      </c>
    </row>
    <row r="261" spans="1:43" x14ac:dyDescent="0.3">
      <c r="A261" t="s">
        <v>96</v>
      </c>
      <c r="B261" t="s">
        <v>128</v>
      </c>
      <c r="C261" s="4" t="s">
        <v>40</v>
      </c>
      <c r="D261">
        <v>122</v>
      </c>
      <c r="E261">
        <v>2</v>
      </c>
      <c r="F261">
        <v>0</v>
      </c>
      <c r="G261">
        <v>0</v>
      </c>
      <c r="H261">
        <v>115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 s="1">
        <v>0</v>
      </c>
      <c r="AP261">
        <v>0</v>
      </c>
      <c r="AQ261">
        <v>3</v>
      </c>
    </row>
    <row r="262" spans="1:43" x14ac:dyDescent="0.3">
      <c r="A262" t="s">
        <v>96</v>
      </c>
      <c r="B262" t="s">
        <v>128</v>
      </c>
      <c r="C262" s="4" t="s">
        <v>43</v>
      </c>
      <c r="D262">
        <v>40</v>
      </c>
      <c r="E262">
        <v>0</v>
      </c>
      <c r="F262">
        <v>0</v>
      </c>
      <c r="G262">
        <v>0</v>
      </c>
      <c r="H262">
        <v>35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 s="1">
        <v>0</v>
      </c>
      <c r="AP262">
        <v>0</v>
      </c>
      <c r="AQ262">
        <v>3</v>
      </c>
    </row>
    <row r="263" spans="1:43" x14ac:dyDescent="0.3">
      <c r="A263" t="s">
        <v>96</v>
      </c>
      <c r="B263" t="s">
        <v>128</v>
      </c>
      <c r="C263" s="4" t="s">
        <v>44</v>
      </c>
      <c r="D263">
        <v>82</v>
      </c>
      <c r="E263">
        <v>2</v>
      </c>
      <c r="F263">
        <v>0</v>
      </c>
      <c r="G263">
        <v>0</v>
      </c>
      <c r="H263">
        <v>80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s="1">
        <v>0</v>
      </c>
      <c r="AP263">
        <v>0</v>
      </c>
      <c r="AQ263">
        <v>0</v>
      </c>
    </row>
    <row r="264" spans="1:43" x14ac:dyDescent="0.3">
      <c r="A264" t="s">
        <v>96</v>
      </c>
      <c r="B264" t="s">
        <v>129</v>
      </c>
      <c r="C264" s="4" t="s">
        <v>40</v>
      </c>
      <c r="D264">
        <v>120</v>
      </c>
      <c r="E264">
        <v>11</v>
      </c>
      <c r="F264">
        <v>0</v>
      </c>
      <c r="G264">
        <v>2</v>
      </c>
      <c r="H264">
        <v>0</v>
      </c>
      <c r="I264">
        <v>7</v>
      </c>
      <c r="J264">
        <v>0</v>
      </c>
      <c r="K264">
        <v>61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6</v>
      </c>
      <c r="AK264">
        <v>0</v>
      </c>
      <c r="AL264">
        <v>0</v>
      </c>
      <c r="AM264">
        <v>0</v>
      </c>
      <c r="AN264">
        <v>0</v>
      </c>
      <c r="AO264" s="1">
        <v>0</v>
      </c>
      <c r="AP264">
        <v>0</v>
      </c>
      <c r="AQ264">
        <v>24</v>
      </c>
    </row>
    <row r="265" spans="1:43" x14ac:dyDescent="0.3">
      <c r="A265" t="s">
        <v>96</v>
      </c>
      <c r="B265" t="s">
        <v>129</v>
      </c>
      <c r="C265" s="4" t="s">
        <v>43</v>
      </c>
      <c r="D265">
        <v>54</v>
      </c>
      <c r="E265">
        <v>7</v>
      </c>
      <c r="F265">
        <v>0</v>
      </c>
      <c r="G265">
        <v>0</v>
      </c>
      <c r="H265">
        <v>0</v>
      </c>
      <c r="I265">
        <v>4</v>
      </c>
      <c r="J265">
        <v>0</v>
      </c>
      <c r="K265">
        <v>15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 s="1">
        <v>0</v>
      </c>
      <c r="AP265">
        <v>0</v>
      </c>
      <c r="AQ265">
        <v>24</v>
      </c>
    </row>
    <row r="266" spans="1:43" x14ac:dyDescent="0.3">
      <c r="A266" t="s">
        <v>96</v>
      </c>
      <c r="B266" t="s">
        <v>129</v>
      </c>
      <c r="C266" s="4" t="s">
        <v>44</v>
      </c>
      <c r="D266">
        <v>66</v>
      </c>
      <c r="E266">
        <v>4</v>
      </c>
      <c r="F266">
        <v>0</v>
      </c>
      <c r="G266">
        <v>2</v>
      </c>
      <c r="H266">
        <v>0</v>
      </c>
      <c r="I266">
        <v>3</v>
      </c>
      <c r="J266">
        <v>0</v>
      </c>
      <c r="K266">
        <v>46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5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</v>
      </c>
      <c r="AK266">
        <v>0</v>
      </c>
      <c r="AL266">
        <v>0</v>
      </c>
      <c r="AM266">
        <v>0</v>
      </c>
      <c r="AN266">
        <v>0</v>
      </c>
      <c r="AO266" s="1">
        <v>0</v>
      </c>
      <c r="AP266">
        <v>0</v>
      </c>
      <c r="AQ266">
        <v>0</v>
      </c>
    </row>
    <row r="267" spans="1:43" x14ac:dyDescent="0.3">
      <c r="A267" t="s">
        <v>96</v>
      </c>
      <c r="B267" t="s">
        <v>130</v>
      </c>
      <c r="C267" s="4" t="s">
        <v>40</v>
      </c>
      <c r="D267">
        <v>2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 s="1">
        <v>0</v>
      </c>
      <c r="AP267">
        <v>0</v>
      </c>
      <c r="AQ267">
        <v>0</v>
      </c>
    </row>
    <row r="268" spans="1:43" x14ac:dyDescent="0.3">
      <c r="A268" t="s">
        <v>96</v>
      </c>
      <c r="B268" t="s">
        <v>130</v>
      </c>
      <c r="C268" s="4" t="s">
        <v>43</v>
      </c>
      <c r="D268">
        <v>2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 s="1">
        <v>0</v>
      </c>
      <c r="AP268">
        <v>0</v>
      </c>
      <c r="AQ268">
        <v>0</v>
      </c>
    </row>
    <row r="269" spans="1:43" x14ac:dyDescent="0.3">
      <c r="A269" t="s">
        <v>131</v>
      </c>
      <c r="B269" s="3" t="s">
        <v>40</v>
      </c>
      <c r="C269" s="4" t="s">
        <v>40</v>
      </c>
      <c r="D269" s="1">
        <v>1348324</v>
      </c>
      <c r="E269" s="1">
        <v>4853</v>
      </c>
      <c r="F269" s="1">
        <v>2800</v>
      </c>
      <c r="G269">
        <v>326</v>
      </c>
      <c r="H269" s="1">
        <v>970447</v>
      </c>
      <c r="I269" s="1">
        <v>39503</v>
      </c>
      <c r="J269">
        <v>110</v>
      </c>
      <c r="K269" s="1">
        <v>8697</v>
      </c>
      <c r="L269" s="1">
        <v>9266</v>
      </c>
      <c r="M269">
        <v>44</v>
      </c>
      <c r="N269" s="1">
        <v>27155</v>
      </c>
      <c r="O269" s="1">
        <v>0</v>
      </c>
      <c r="P269" s="1">
        <v>4479</v>
      </c>
      <c r="Q269">
        <v>75</v>
      </c>
      <c r="R269">
        <v>236</v>
      </c>
      <c r="S269">
        <v>830</v>
      </c>
      <c r="T269" s="1">
        <v>5015</v>
      </c>
      <c r="U269" s="1">
        <v>2654</v>
      </c>
      <c r="V269">
        <v>743</v>
      </c>
      <c r="W269">
        <v>813</v>
      </c>
      <c r="X269" s="1">
        <v>3489</v>
      </c>
      <c r="Y269">
        <v>674</v>
      </c>
      <c r="Z269">
        <v>315</v>
      </c>
      <c r="AA269">
        <v>149</v>
      </c>
      <c r="AB269" s="1">
        <v>1923</v>
      </c>
      <c r="AC269" s="1">
        <v>6440</v>
      </c>
      <c r="AD269">
        <v>0</v>
      </c>
      <c r="AE269">
        <v>0</v>
      </c>
      <c r="AF269">
        <v>0</v>
      </c>
      <c r="AG269" s="1">
        <v>2147</v>
      </c>
      <c r="AH269" s="1">
        <v>3390</v>
      </c>
      <c r="AI269" s="1">
        <v>2871</v>
      </c>
      <c r="AJ269" s="1">
        <v>27166</v>
      </c>
      <c r="AK269" s="1">
        <v>3986</v>
      </c>
      <c r="AL269" s="1">
        <v>11422</v>
      </c>
      <c r="AM269" s="1">
        <v>4794</v>
      </c>
      <c r="AN269" s="1">
        <v>4236</v>
      </c>
      <c r="AO269">
        <v>109</v>
      </c>
      <c r="AP269" s="1">
        <v>50481</v>
      </c>
      <c r="AQ269" s="1">
        <v>146686</v>
      </c>
    </row>
    <row r="270" spans="1:43" x14ac:dyDescent="0.3">
      <c r="A270" t="s">
        <v>131</v>
      </c>
      <c r="B270" s="3"/>
      <c r="C270" s="4" t="s">
        <v>259</v>
      </c>
      <c r="D270" s="1">
        <f>D274+D277+D280+D284+D287+D290+D294+D297+D300+D303+D306+D309+D312+D315+D318+D321+D324+D327+D330+D333+D336+D339+D342+D345+D348+D351+D354+D357+D360+D363+D366+D369+D372+D375+D378+D381+D384+D388+D391+D395+D398+D401+D404+D406+D408+D411+D414+D417+D419+D422+D425</f>
        <v>765505</v>
      </c>
      <c r="E270" s="1">
        <f t="shared" ref="E270:AQ270" si="10">E274+E277+E280+E284+E287+E290+E294+E297+E300+E303+E306+E309+E312+E315+E318+E321+E324+E327+E330+E333+E336+E339+E342+E345+E348+E351+E354+E357+E360+E363+E366+E369+E372+E375+E378+E381+E384+E388+E391+E395+E398+E401+E404+E406+E408+E411+E414+E417+E419+E422+E425</f>
        <v>2903</v>
      </c>
      <c r="F270" s="1">
        <f t="shared" si="10"/>
        <v>1683</v>
      </c>
      <c r="G270" s="1">
        <f t="shared" si="10"/>
        <v>33</v>
      </c>
      <c r="H270" s="1">
        <f t="shared" si="10"/>
        <v>494255</v>
      </c>
      <c r="I270" s="1">
        <f t="shared" si="10"/>
        <v>29716</v>
      </c>
      <c r="J270" s="1">
        <f t="shared" si="10"/>
        <v>75</v>
      </c>
      <c r="K270" s="1">
        <f t="shared" si="10"/>
        <v>3805</v>
      </c>
      <c r="L270" s="1">
        <f t="shared" si="10"/>
        <v>6515</v>
      </c>
      <c r="M270" s="1">
        <f t="shared" si="10"/>
        <v>5</v>
      </c>
      <c r="N270" s="1">
        <f t="shared" si="10"/>
        <v>10367</v>
      </c>
      <c r="O270" s="1">
        <f t="shared" si="10"/>
        <v>0</v>
      </c>
      <c r="P270" s="1">
        <f t="shared" si="10"/>
        <v>895</v>
      </c>
      <c r="Q270" s="1">
        <f t="shared" si="10"/>
        <v>52</v>
      </c>
      <c r="R270" s="1">
        <f t="shared" si="10"/>
        <v>156</v>
      </c>
      <c r="S270" s="1">
        <f t="shared" si="10"/>
        <v>753</v>
      </c>
      <c r="T270" s="1">
        <f t="shared" si="10"/>
        <v>4354</v>
      </c>
      <c r="U270" s="1">
        <f t="shared" si="10"/>
        <v>2517</v>
      </c>
      <c r="V270" s="1">
        <f t="shared" si="10"/>
        <v>197</v>
      </c>
      <c r="W270" s="1">
        <f t="shared" si="10"/>
        <v>649</v>
      </c>
      <c r="X270" s="1">
        <f t="shared" si="10"/>
        <v>1322</v>
      </c>
      <c r="Y270" s="1">
        <f t="shared" si="10"/>
        <v>532</v>
      </c>
      <c r="Z270" s="1">
        <f t="shared" si="10"/>
        <v>299</v>
      </c>
      <c r="AA270" s="1">
        <f t="shared" si="10"/>
        <v>145</v>
      </c>
      <c r="AB270" s="1">
        <f t="shared" si="10"/>
        <v>906</v>
      </c>
      <c r="AC270" s="1">
        <f t="shared" si="10"/>
        <v>4154</v>
      </c>
      <c r="AD270" s="1">
        <f t="shared" si="10"/>
        <v>0</v>
      </c>
      <c r="AE270" s="1">
        <f t="shared" si="10"/>
        <v>0</v>
      </c>
      <c r="AF270" s="1">
        <f t="shared" si="10"/>
        <v>0</v>
      </c>
      <c r="AG270" s="1">
        <f t="shared" si="10"/>
        <v>880</v>
      </c>
      <c r="AH270" s="1">
        <f t="shared" si="10"/>
        <v>1655</v>
      </c>
      <c r="AI270" s="1">
        <f t="shared" si="10"/>
        <v>1012</v>
      </c>
      <c r="AJ270" s="1">
        <f t="shared" si="10"/>
        <v>12148</v>
      </c>
      <c r="AK270" s="1">
        <f t="shared" si="10"/>
        <v>2310</v>
      </c>
      <c r="AL270" s="1">
        <f t="shared" si="10"/>
        <v>6421</v>
      </c>
      <c r="AM270" s="1">
        <f t="shared" si="10"/>
        <v>3413</v>
      </c>
      <c r="AN270" s="1">
        <f t="shared" si="10"/>
        <v>1156</v>
      </c>
      <c r="AO270" s="1">
        <f t="shared" si="10"/>
        <v>41</v>
      </c>
      <c r="AP270" s="1">
        <f t="shared" si="10"/>
        <v>23495</v>
      </c>
      <c r="AQ270" s="1">
        <f t="shared" si="10"/>
        <v>146686</v>
      </c>
    </row>
    <row r="271" spans="1:43" x14ac:dyDescent="0.3">
      <c r="A271" t="s">
        <v>131</v>
      </c>
      <c r="B271" s="3"/>
      <c r="C271" s="4" t="s">
        <v>260</v>
      </c>
      <c r="D271" s="1">
        <f>D275+D278+D281+D285+D288+D291+D295+D298+D301+D304+D307+D310+D313+D316+D319+D322+D325+D328+D331+D334+D337+D340+D343+D346+D349+D352+D355+D358+D361+D364+D367+D370+D373+D376+D379+D382+D385+D389+D392+D396+D399+D402+D409+D412+D415+D420+D423</f>
        <v>582795</v>
      </c>
      <c r="E271" s="1">
        <f t="shared" ref="E271:AQ271" si="11">E275+E278+E281+E285+E288+E291+E295+E298+E301+E304+E307+E310+E313+E316+E319+E322+E325+E328+E331+E334+E337+E340+E343+E346+E349+E352+E355+E358+E361+E364+E367+E370+E373+E376+E379+E382+E385+E389+E392+E396+E399+E402+E409+E412+E415+E420+E423</f>
        <v>1950</v>
      </c>
      <c r="F271" s="1">
        <f t="shared" si="11"/>
        <v>1117</v>
      </c>
      <c r="G271" s="1">
        <f t="shared" si="11"/>
        <v>293</v>
      </c>
      <c r="H271" s="1">
        <f t="shared" si="11"/>
        <v>476170</v>
      </c>
      <c r="I271" s="1">
        <f t="shared" si="11"/>
        <v>9787</v>
      </c>
      <c r="J271" s="1">
        <f t="shared" si="11"/>
        <v>35</v>
      </c>
      <c r="K271" s="1">
        <f t="shared" si="11"/>
        <v>4892</v>
      </c>
      <c r="L271" s="1">
        <f t="shared" si="11"/>
        <v>2751</v>
      </c>
      <c r="M271" s="1">
        <f t="shared" si="11"/>
        <v>39</v>
      </c>
      <c r="N271" s="1">
        <f t="shared" si="11"/>
        <v>16788</v>
      </c>
      <c r="O271" s="1">
        <f t="shared" si="11"/>
        <v>0</v>
      </c>
      <c r="P271" s="1">
        <f t="shared" si="11"/>
        <v>3584</v>
      </c>
      <c r="Q271" s="1">
        <f t="shared" si="11"/>
        <v>23</v>
      </c>
      <c r="R271" s="1">
        <f t="shared" si="11"/>
        <v>80</v>
      </c>
      <c r="S271" s="1">
        <f t="shared" si="11"/>
        <v>77</v>
      </c>
      <c r="T271" s="1">
        <f t="shared" si="11"/>
        <v>661</v>
      </c>
      <c r="U271" s="1">
        <f t="shared" si="11"/>
        <v>137</v>
      </c>
      <c r="V271" s="1">
        <f t="shared" si="11"/>
        <v>546</v>
      </c>
      <c r="W271" s="1">
        <f t="shared" si="11"/>
        <v>164</v>
      </c>
      <c r="X271" s="1">
        <f t="shared" si="11"/>
        <v>2167</v>
      </c>
      <c r="Y271" s="1">
        <f t="shared" si="11"/>
        <v>141</v>
      </c>
      <c r="Z271" s="1">
        <f t="shared" si="11"/>
        <v>16</v>
      </c>
      <c r="AA271" s="1">
        <f t="shared" si="11"/>
        <v>4</v>
      </c>
      <c r="AB271" s="1">
        <f t="shared" si="11"/>
        <v>1017</v>
      </c>
      <c r="AC271" s="1">
        <f t="shared" si="11"/>
        <v>2286</v>
      </c>
      <c r="AD271" s="1">
        <f t="shared" si="11"/>
        <v>0</v>
      </c>
      <c r="AE271" s="1">
        <f t="shared" si="11"/>
        <v>0</v>
      </c>
      <c r="AF271" s="1">
        <f t="shared" si="11"/>
        <v>0</v>
      </c>
      <c r="AG271" s="1">
        <f t="shared" si="11"/>
        <v>1267</v>
      </c>
      <c r="AH271" s="1">
        <f t="shared" si="11"/>
        <v>1735</v>
      </c>
      <c r="AI271" s="1">
        <f t="shared" si="11"/>
        <v>1859</v>
      </c>
      <c r="AJ271" s="1">
        <f t="shared" si="11"/>
        <v>15018</v>
      </c>
      <c r="AK271" s="1">
        <f t="shared" si="11"/>
        <v>1676</v>
      </c>
      <c r="AL271" s="1">
        <f t="shared" si="11"/>
        <v>5001</v>
      </c>
      <c r="AM271" s="1">
        <f t="shared" si="11"/>
        <v>1381</v>
      </c>
      <c r="AN271" s="1">
        <f t="shared" si="11"/>
        <v>3080</v>
      </c>
      <c r="AO271" s="1">
        <f t="shared" si="11"/>
        <v>68</v>
      </c>
      <c r="AP271" s="1">
        <f t="shared" si="11"/>
        <v>26985</v>
      </c>
      <c r="AQ271" s="1">
        <f t="shared" si="11"/>
        <v>0</v>
      </c>
    </row>
    <row r="272" spans="1:43" x14ac:dyDescent="0.3">
      <c r="A272" t="s">
        <v>131</v>
      </c>
      <c r="B272" s="3"/>
      <c r="C272" s="4" t="s">
        <v>261</v>
      </c>
      <c r="D272" s="1">
        <f>D282+D292+D386+D393</f>
        <v>24</v>
      </c>
      <c r="E272" s="1">
        <f t="shared" ref="E272:AQ272" si="12">E282+E292+E386+E393</f>
        <v>0</v>
      </c>
      <c r="F272" s="1">
        <f t="shared" si="12"/>
        <v>0</v>
      </c>
      <c r="G272" s="1">
        <f t="shared" si="12"/>
        <v>0</v>
      </c>
      <c r="H272" s="1">
        <f t="shared" si="12"/>
        <v>22</v>
      </c>
      <c r="I272" s="1">
        <f t="shared" si="12"/>
        <v>0</v>
      </c>
      <c r="J272" s="1">
        <f t="shared" si="12"/>
        <v>0</v>
      </c>
      <c r="K272" s="1">
        <f t="shared" si="12"/>
        <v>0</v>
      </c>
      <c r="L272" s="1">
        <f t="shared" si="12"/>
        <v>0</v>
      </c>
      <c r="M272" s="1">
        <f t="shared" si="12"/>
        <v>0</v>
      </c>
      <c r="N272" s="1">
        <f t="shared" si="12"/>
        <v>0</v>
      </c>
      <c r="O272" s="1">
        <f t="shared" si="12"/>
        <v>0</v>
      </c>
      <c r="P272" s="1">
        <f t="shared" si="12"/>
        <v>0</v>
      </c>
      <c r="Q272" s="1">
        <f t="shared" si="12"/>
        <v>0</v>
      </c>
      <c r="R272" s="1">
        <f t="shared" si="12"/>
        <v>0</v>
      </c>
      <c r="S272" s="1">
        <f t="shared" si="12"/>
        <v>0</v>
      </c>
      <c r="T272" s="1">
        <f t="shared" si="12"/>
        <v>0</v>
      </c>
      <c r="U272" s="1">
        <f t="shared" si="12"/>
        <v>0</v>
      </c>
      <c r="V272" s="1">
        <f t="shared" si="12"/>
        <v>0</v>
      </c>
      <c r="W272" s="1">
        <f t="shared" si="12"/>
        <v>0</v>
      </c>
      <c r="X272" s="1">
        <f t="shared" si="12"/>
        <v>0</v>
      </c>
      <c r="Y272" s="1">
        <f t="shared" si="12"/>
        <v>1</v>
      </c>
      <c r="Z272" s="1">
        <f t="shared" si="12"/>
        <v>0</v>
      </c>
      <c r="AA272" s="1">
        <f t="shared" si="12"/>
        <v>0</v>
      </c>
      <c r="AB272" s="1">
        <f t="shared" si="12"/>
        <v>0</v>
      </c>
      <c r="AC272" s="1">
        <f t="shared" si="12"/>
        <v>0</v>
      </c>
      <c r="AD272" s="1">
        <f t="shared" si="12"/>
        <v>0</v>
      </c>
      <c r="AE272" s="1">
        <f t="shared" si="12"/>
        <v>0</v>
      </c>
      <c r="AF272" s="1">
        <f t="shared" si="12"/>
        <v>0</v>
      </c>
      <c r="AG272" s="1">
        <f t="shared" si="12"/>
        <v>0</v>
      </c>
      <c r="AH272" s="1">
        <f t="shared" si="12"/>
        <v>0</v>
      </c>
      <c r="AI272" s="1">
        <f t="shared" si="12"/>
        <v>0</v>
      </c>
      <c r="AJ272" s="1">
        <f t="shared" si="12"/>
        <v>0</v>
      </c>
      <c r="AK272" s="1">
        <f t="shared" si="12"/>
        <v>0</v>
      </c>
      <c r="AL272" s="1">
        <f t="shared" si="12"/>
        <v>0</v>
      </c>
      <c r="AM272" s="1">
        <f t="shared" si="12"/>
        <v>0</v>
      </c>
      <c r="AN272" s="1">
        <f t="shared" si="12"/>
        <v>0</v>
      </c>
      <c r="AO272" s="1">
        <f t="shared" si="12"/>
        <v>0</v>
      </c>
      <c r="AP272" s="1">
        <f t="shared" si="12"/>
        <v>1</v>
      </c>
      <c r="AQ272" s="1">
        <f t="shared" si="12"/>
        <v>0</v>
      </c>
    </row>
    <row r="273" spans="1:43" x14ac:dyDescent="0.3">
      <c r="A273" t="s">
        <v>131</v>
      </c>
      <c r="B273" t="s">
        <v>132</v>
      </c>
      <c r="C273" s="4" t="s">
        <v>40</v>
      </c>
      <c r="D273" s="1">
        <v>232193</v>
      </c>
      <c r="E273">
        <v>293</v>
      </c>
      <c r="F273">
        <v>223</v>
      </c>
      <c r="G273">
        <v>30</v>
      </c>
      <c r="H273" s="1">
        <v>127172</v>
      </c>
      <c r="I273" s="1">
        <v>10097</v>
      </c>
      <c r="J273">
        <v>19</v>
      </c>
      <c r="K273" s="1">
        <v>1109</v>
      </c>
      <c r="L273">
        <v>816</v>
      </c>
      <c r="M273" s="1">
        <v>0</v>
      </c>
      <c r="N273" s="1">
        <v>2906</v>
      </c>
      <c r="O273" s="1">
        <v>0</v>
      </c>
      <c r="P273" s="1">
        <v>1616</v>
      </c>
      <c r="Q273">
        <v>2</v>
      </c>
      <c r="R273">
        <v>13</v>
      </c>
      <c r="S273">
        <v>122</v>
      </c>
      <c r="T273">
        <v>573</v>
      </c>
      <c r="U273">
        <v>174</v>
      </c>
      <c r="V273">
        <v>208</v>
      </c>
      <c r="W273">
        <v>78</v>
      </c>
      <c r="X273">
        <v>15</v>
      </c>
      <c r="Y273">
        <v>84</v>
      </c>
      <c r="Z273">
        <v>20</v>
      </c>
      <c r="AA273">
        <v>28</v>
      </c>
      <c r="AB273">
        <v>458</v>
      </c>
      <c r="AC273">
        <v>592</v>
      </c>
      <c r="AD273">
        <v>0</v>
      </c>
      <c r="AE273">
        <v>0</v>
      </c>
      <c r="AF273">
        <v>0</v>
      </c>
      <c r="AG273" s="1">
        <v>1762</v>
      </c>
      <c r="AH273" s="1">
        <v>1008</v>
      </c>
      <c r="AI273">
        <v>504</v>
      </c>
      <c r="AJ273" s="1">
        <v>20949</v>
      </c>
      <c r="AK273" s="1">
        <v>2149</v>
      </c>
      <c r="AL273" s="1">
        <v>2360</v>
      </c>
      <c r="AM273" s="1">
        <v>4687</v>
      </c>
      <c r="AN273" s="1">
        <v>0</v>
      </c>
      <c r="AO273" s="1">
        <v>0</v>
      </c>
      <c r="AP273" s="1">
        <v>8311</v>
      </c>
      <c r="AQ273" s="1">
        <v>43815</v>
      </c>
    </row>
    <row r="274" spans="1:43" x14ac:dyDescent="0.3">
      <c r="A274" t="s">
        <v>131</v>
      </c>
      <c r="B274" t="s">
        <v>132</v>
      </c>
      <c r="C274" s="4" t="s">
        <v>43</v>
      </c>
      <c r="D274" s="1">
        <v>124494</v>
      </c>
      <c r="E274">
        <v>165</v>
      </c>
      <c r="F274">
        <v>94</v>
      </c>
      <c r="G274">
        <v>1</v>
      </c>
      <c r="H274" s="1">
        <v>49690</v>
      </c>
      <c r="I274" s="1">
        <v>9622</v>
      </c>
      <c r="J274">
        <v>13</v>
      </c>
      <c r="K274">
        <v>666</v>
      </c>
      <c r="L274">
        <v>270</v>
      </c>
      <c r="M274">
        <v>0</v>
      </c>
      <c r="N274">
        <v>473</v>
      </c>
      <c r="O274">
        <v>0</v>
      </c>
      <c r="P274">
        <v>168</v>
      </c>
      <c r="Q274">
        <v>1</v>
      </c>
      <c r="R274">
        <v>6</v>
      </c>
      <c r="S274">
        <v>122</v>
      </c>
      <c r="T274">
        <v>454</v>
      </c>
      <c r="U274">
        <v>160</v>
      </c>
      <c r="V274">
        <v>25</v>
      </c>
      <c r="W274">
        <v>34</v>
      </c>
      <c r="X274">
        <v>0</v>
      </c>
      <c r="Y274">
        <v>79</v>
      </c>
      <c r="Z274">
        <v>20</v>
      </c>
      <c r="AA274">
        <v>28</v>
      </c>
      <c r="AB274">
        <v>155</v>
      </c>
      <c r="AC274">
        <v>327</v>
      </c>
      <c r="AD274">
        <v>0</v>
      </c>
      <c r="AE274">
        <v>0</v>
      </c>
      <c r="AF274">
        <v>0</v>
      </c>
      <c r="AG274">
        <v>685</v>
      </c>
      <c r="AH274">
        <v>359</v>
      </c>
      <c r="AI274">
        <v>128</v>
      </c>
      <c r="AJ274" s="1">
        <v>9195</v>
      </c>
      <c r="AK274">
        <v>967</v>
      </c>
      <c r="AL274">
        <v>239</v>
      </c>
      <c r="AM274" s="1">
        <v>3386</v>
      </c>
      <c r="AN274">
        <v>0</v>
      </c>
      <c r="AO274">
        <v>0</v>
      </c>
      <c r="AP274" s="1">
        <v>3147</v>
      </c>
      <c r="AQ274" s="1">
        <v>43815</v>
      </c>
    </row>
    <row r="275" spans="1:43" x14ac:dyDescent="0.3">
      <c r="A275" t="s">
        <v>131</v>
      </c>
      <c r="B275" t="s">
        <v>132</v>
      </c>
      <c r="C275" s="4" t="s">
        <v>44</v>
      </c>
      <c r="D275" s="1">
        <v>107699</v>
      </c>
      <c r="E275">
        <v>128</v>
      </c>
      <c r="F275">
        <v>129</v>
      </c>
      <c r="G275">
        <v>29</v>
      </c>
      <c r="H275" s="1">
        <v>77482</v>
      </c>
      <c r="I275">
        <v>475</v>
      </c>
      <c r="J275">
        <v>6</v>
      </c>
      <c r="K275">
        <v>443</v>
      </c>
      <c r="L275">
        <v>546</v>
      </c>
      <c r="M275">
        <v>0</v>
      </c>
      <c r="N275" s="1">
        <v>2433</v>
      </c>
      <c r="O275">
        <v>0</v>
      </c>
      <c r="P275" s="1">
        <v>1448</v>
      </c>
      <c r="Q275">
        <v>1</v>
      </c>
      <c r="R275">
        <v>7</v>
      </c>
      <c r="S275">
        <v>0</v>
      </c>
      <c r="T275">
        <v>119</v>
      </c>
      <c r="U275">
        <v>14</v>
      </c>
      <c r="V275">
        <v>183</v>
      </c>
      <c r="W275">
        <v>44</v>
      </c>
      <c r="X275">
        <v>15</v>
      </c>
      <c r="Y275">
        <v>5</v>
      </c>
      <c r="Z275">
        <v>0</v>
      </c>
      <c r="AA275">
        <v>0</v>
      </c>
      <c r="AB275">
        <v>303</v>
      </c>
      <c r="AC275">
        <v>265</v>
      </c>
      <c r="AD275">
        <v>0</v>
      </c>
      <c r="AE275">
        <v>0</v>
      </c>
      <c r="AF275">
        <v>0</v>
      </c>
      <c r="AG275" s="1">
        <v>1077</v>
      </c>
      <c r="AH275">
        <v>649</v>
      </c>
      <c r="AI275">
        <v>376</v>
      </c>
      <c r="AJ275" s="1">
        <v>11754</v>
      </c>
      <c r="AK275" s="1">
        <v>1182</v>
      </c>
      <c r="AL275" s="1">
        <v>2121</v>
      </c>
      <c r="AM275" s="1">
        <v>1301</v>
      </c>
      <c r="AN275" s="1">
        <v>0</v>
      </c>
      <c r="AO275" s="1">
        <v>0</v>
      </c>
      <c r="AP275" s="1">
        <v>5164</v>
      </c>
      <c r="AQ275" s="1">
        <v>0</v>
      </c>
    </row>
    <row r="276" spans="1:43" x14ac:dyDescent="0.3">
      <c r="A276" t="s">
        <v>131</v>
      </c>
      <c r="B276" t="s">
        <v>133</v>
      </c>
      <c r="C276" s="4" t="s">
        <v>40</v>
      </c>
      <c r="D276" s="1">
        <v>183363</v>
      </c>
      <c r="E276">
        <v>499</v>
      </c>
      <c r="F276">
        <v>699</v>
      </c>
      <c r="G276">
        <v>12</v>
      </c>
      <c r="H276" s="1">
        <v>149585</v>
      </c>
      <c r="I276">
        <v>323</v>
      </c>
      <c r="J276">
        <v>4</v>
      </c>
      <c r="K276">
        <v>18</v>
      </c>
      <c r="L276">
        <v>982</v>
      </c>
      <c r="M276">
        <v>21</v>
      </c>
      <c r="N276" s="1">
        <v>7061</v>
      </c>
      <c r="O276" s="1">
        <v>0</v>
      </c>
      <c r="P276">
        <v>953</v>
      </c>
      <c r="Q276">
        <v>31</v>
      </c>
      <c r="R276">
        <v>16</v>
      </c>
      <c r="S276">
        <v>115</v>
      </c>
      <c r="T276" s="1">
        <v>1289</v>
      </c>
      <c r="U276">
        <v>537</v>
      </c>
      <c r="V276">
        <v>87</v>
      </c>
      <c r="W276">
        <v>69</v>
      </c>
      <c r="X276">
        <v>41</v>
      </c>
      <c r="Y276">
        <v>79</v>
      </c>
      <c r="Z276">
        <v>24</v>
      </c>
      <c r="AA276">
        <v>13</v>
      </c>
      <c r="AB276">
        <v>200</v>
      </c>
      <c r="AC276" s="1">
        <v>1303</v>
      </c>
      <c r="AD276">
        <v>0</v>
      </c>
      <c r="AE276">
        <v>0</v>
      </c>
      <c r="AF276">
        <v>0</v>
      </c>
      <c r="AG276">
        <v>29</v>
      </c>
      <c r="AH276">
        <v>501</v>
      </c>
      <c r="AI276">
        <v>536</v>
      </c>
      <c r="AJ276">
        <v>625</v>
      </c>
      <c r="AK276">
        <v>302</v>
      </c>
      <c r="AL276" s="1">
        <v>1855</v>
      </c>
      <c r="AM276">
        <v>1</v>
      </c>
      <c r="AN276" s="1">
        <v>1988</v>
      </c>
      <c r="AO276" s="1">
        <v>0</v>
      </c>
      <c r="AP276" s="1">
        <v>2592</v>
      </c>
      <c r="AQ276" s="1">
        <v>10973</v>
      </c>
    </row>
    <row r="277" spans="1:43" x14ac:dyDescent="0.3">
      <c r="A277" t="s">
        <v>131</v>
      </c>
      <c r="B277" t="s">
        <v>133</v>
      </c>
      <c r="C277" s="4" t="s">
        <v>43</v>
      </c>
      <c r="D277" s="1">
        <v>97549</v>
      </c>
      <c r="E277">
        <v>296</v>
      </c>
      <c r="F277">
        <v>427</v>
      </c>
      <c r="G277">
        <v>1</v>
      </c>
      <c r="H277" s="1">
        <v>74274</v>
      </c>
      <c r="I277">
        <v>294</v>
      </c>
      <c r="J277">
        <v>2</v>
      </c>
      <c r="K277">
        <v>12</v>
      </c>
      <c r="L277">
        <v>711</v>
      </c>
      <c r="M277">
        <v>3</v>
      </c>
      <c r="N277" s="1">
        <v>3107</v>
      </c>
      <c r="O277" s="1">
        <v>0</v>
      </c>
      <c r="P277">
        <v>360</v>
      </c>
      <c r="Q277">
        <v>27</v>
      </c>
      <c r="R277">
        <v>14</v>
      </c>
      <c r="S277">
        <v>106</v>
      </c>
      <c r="T277" s="1">
        <v>1073</v>
      </c>
      <c r="U277">
        <v>502</v>
      </c>
      <c r="V277">
        <v>24</v>
      </c>
      <c r="W277">
        <v>57</v>
      </c>
      <c r="X277">
        <v>7</v>
      </c>
      <c r="Y277">
        <v>59</v>
      </c>
      <c r="Z277">
        <v>24</v>
      </c>
      <c r="AA277">
        <v>10</v>
      </c>
      <c r="AB277">
        <v>117</v>
      </c>
      <c r="AC277">
        <v>808</v>
      </c>
      <c r="AD277">
        <v>0</v>
      </c>
      <c r="AE277">
        <v>0</v>
      </c>
      <c r="AF277">
        <v>0</v>
      </c>
      <c r="AG277">
        <v>21</v>
      </c>
      <c r="AH277">
        <v>299</v>
      </c>
      <c r="AI277">
        <v>193</v>
      </c>
      <c r="AJ277">
        <v>354</v>
      </c>
      <c r="AK277">
        <v>259</v>
      </c>
      <c r="AL277" s="1">
        <v>1365</v>
      </c>
      <c r="AM277" s="1">
        <v>0</v>
      </c>
      <c r="AN277">
        <v>565</v>
      </c>
      <c r="AO277" s="1">
        <v>0</v>
      </c>
      <c r="AP277" s="1">
        <v>1205</v>
      </c>
      <c r="AQ277" s="1">
        <v>10973</v>
      </c>
    </row>
    <row r="278" spans="1:43" x14ac:dyDescent="0.3">
      <c r="A278" t="s">
        <v>131</v>
      </c>
      <c r="B278" t="s">
        <v>133</v>
      </c>
      <c r="C278" s="4" t="s">
        <v>44</v>
      </c>
      <c r="D278" s="1">
        <v>85814</v>
      </c>
      <c r="E278">
        <v>203</v>
      </c>
      <c r="F278">
        <v>272</v>
      </c>
      <c r="G278">
        <v>11</v>
      </c>
      <c r="H278" s="1">
        <v>75311</v>
      </c>
      <c r="I278">
        <v>29</v>
      </c>
      <c r="J278">
        <v>2</v>
      </c>
      <c r="K278">
        <v>6</v>
      </c>
      <c r="L278">
        <v>271</v>
      </c>
      <c r="M278">
        <v>18</v>
      </c>
      <c r="N278" s="1">
        <v>3954</v>
      </c>
      <c r="O278" s="1">
        <v>0</v>
      </c>
      <c r="P278">
        <v>593</v>
      </c>
      <c r="Q278">
        <v>4</v>
      </c>
      <c r="R278">
        <v>2</v>
      </c>
      <c r="S278">
        <v>9</v>
      </c>
      <c r="T278">
        <v>216</v>
      </c>
      <c r="U278">
        <v>35</v>
      </c>
      <c r="V278">
        <v>63</v>
      </c>
      <c r="W278">
        <v>12</v>
      </c>
      <c r="X278">
        <v>34</v>
      </c>
      <c r="Y278">
        <v>20</v>
      </c>
      <c r="Z278">
        <v>0</v>
      </c>
      <c r="AA278">
        <v>3</v>
      </c>
      <c r="AB278">
        <v>83</v>
      </c>
      <c r="AC278">
        <v>495</v>
      </c>
      <c r="AD278">
        <v>0</v>
      </c>
      <c r="AE278">
        <v>0</v>
      </c>
      <c r="AF278">
        <v>0</v>
      </c>
      <c r="AG278">
        <v>8</v>
      </c>
      <c r="AH278">
        <v>202</v>
      </c>
      <c r="AI278">
        <v>343</v>
      </c>
      <c r="AJ278">
        <v>271</v>
      </c>
      <c r="AK278">
        <v>43</v>
      </c>
      <c r="AL278">
        <v>490</v>
      </c>
      <c r="AM278">
        <v>1</v>
      </c>
      <c r="AN278" s="1">
        <v>1423</v>
      </c>
      <c r="AO278" s="1">
        <v>0</v>
      </c>
      <c r="AP278" s="1">
        <v>1387</v>
      </c>
      <c r="AQ278" s="1">
        <v>0</v>
      </c>
    </row>
    <row r="279" spans="1:43" x14ac:dyDescent="0.3">
      <c r="A279" t="s">
        <v>131</v>
      </c>
      <c r="B279" t="s">
        <v>134</v>
      </c>
      <c r="C279" s="4" t="s">
        <v>40</v>
      </c>
      <c r="D279" s="1">
        <v>178048</v>
      </c>
      <c r="E279">
        <v>591</v>
      </c>
      <c r="F279">
        <v>262</v>
      </c>
      <c r="G279">
        <v>117</v>
      </c>
      <c r="H279" s="1">
        <v>138729</v>
      </c>
      <c r="I279" s="1">
        <v>1556</v>
      </c>
      <c r="J279">
        <v>15</v>
      </c>
      <c r="K279">
        <v>16</v>
      </c>
      <c r="L279" s="1">
        <v>1322</v>
      </c>
      <c r="M279">
        <v>1</v>
      </c>
      <c r="N279" s="1">
        <v>4765</v>
      </c>
      <c r="O279" s="1">
        <v>0</v>
      </c>
      <c r="P279">
        <v>256</v>
      </c>
      <c r="Q279">
        <v>8</v>
      </c>
      <c r="R279">
        <v>47</v>
      </c>
      <c r="S279">
        <v>99</v>
      </c>
      <c r="T279" s="1">
        <v>1064</v>
      </c>
      <c r="U279">
        <v>628</v>
      </c>
      <c r="V279">
        <v>61</v>
      </c>
      <c r="W279">
        <v>192</v>
      </c>
      <c r="X279">
        <v>32</v>
      </c>
      <c r="Y279">
        <v>142</v>
      </c>
      <c r="Z279">
        <v>9</v>
      </c>
      <c r="AA279">
        <v>17</v>
      </c>
      <c r="AB279">
        <v>92</v>
      </c>
      <c r="AC279">
        <v>627</v>
      </c>
      <c r="AD279">
        <v>0</v>
      </c>
      <c r="AE279">
        <v>0</v>
      </c>
      <c r="AF279">
        <v>0</v>
      </c>
      <c r="AG279">
        <v>12</v>
      </c>
      <c r="AH279">
        <v>260</v>
      </c>
      <c r="AI279">
        <v>294</v>
      </c>
      <c r="AJ279" s="1">
        <v>1431</v>
      </c>
      <c r="AK279">
        <v>346</v>
      </c>
      <c r="AL279">
        <v>925</v>
      </c>
      <c r="AM279" s="1">
        <v>0</v>
      </c>
      <c r="AN279">
        <v>589</v>
      </c>
      <c r="AO279" s="1">
        <v>0</v>
      </c>
      <c r="AP279" s="1">
        <v>12430</v>
      </c>
      <c r="AQ279" s="1">
        <v>11113</v>
      </c>
    </row>
    <row r="280" spans="1:43" x14ac:dyDescent="0.3">
      <c r="A280" t="s">
        <v>131</v>
      </c>
      <c r="B280" t="s">
        <v>134</v>
      </c>
      <c r="C280" s="4" t="s">
        <v>43</v>
      </c>
      <c r="D280" s="1">
        <v>103480</v>
      </c>
      <c r="E280">
        <v>360</v>
      </c>
      <c r="F280">
        <v>134</v>
      </c>
      <c r="G280">
        <v>10</v>
      </c>
      <c r="H280" s="1">
        <v>77004</v>
      </c>
      <c r="I280" s="1">
        <v>1013</v>
      </c>
      <c r="J280">
        <v>8</v>
      </c>
      <c r="K280">
        <v>13</v>
      </c>
      <c r="L280" s="1">
        <v>1106</v>
      </c>
      <c r="M280" s="1">
        <v>0</v>
      </c>
      <c r="N280" s="1">
        <v>2015</v>
      </c>
      <c r="O280" s="1">
        <v>0</v>
      </c>
      <c r="P280">
        <v>53</v>
      </c>
      <c r="Q280">
        <v>2</v>
      </c>
      <c r="R280">
        <v>33</v>
      </c>
      <c r="S280">
        <v>76</v>
      </c>
      <c r="T280" s="1">
        <v>1034</v>
      </c>
      <c r="U280">
        <v>617</v>
      </c>
      <c r="V280">
        <v>25</v>
      </c>
      <c r="W280">
        <v>174</v>
      </c>
      <c r="X280">
        <v>11</v>
      </c>
      <c r="Y280">
        <v>96</v>
      </c>
      <c r="Z280">
        <v>9</v>
      </c>
      <c r="AA280">
        <v>17</v>
      </c>
      <c r="AB280">
        <v>18</v>
      </c>
      <c r="AC280">
        <v>430</v>
      </c>
      <c r="AD280">
        <v>0</v>
      </c>
      <c r="AE280">
        <v>0</v>
      </c>
      <c r="AF280">
        <v>0</v>
      </c>
      <c r="AG280">
        <v>9</v>
      </c>
      <c r="AH280">
        <v>130</v>
      </c>
      <c r="AI280">
        <v>91</v>
      </c>
      <c r="AJ280">
        <v>736</v>
      </c>
      <c r="AK280">
        <v>268</v>
      </c>
      <c r="AL280">
        <v>683</v>
      </c>
      <c r="AM280">
        <v>0</v>
      </c>
      <c r="AN280">
        <v>125</v>
      </c>
      <c r="AO280" s="1">
        <v>0</v>
      </c>
      <c r="AP280" s="1">
        <v>6067</v>
      </c>
      <c r="AQ280" s="1">
        <v>11113</v>
      </c>
    </row>
    <row r="281" spans="1:43" x14ac:dyDescent="0.3">
      <c r="A281" t="s">
        <v>131</v>
      </c>
      <c r="B281" t="s">
        <v>134</v>
      </c>
      <c r="C281" s="4" t="s">
        <v>44</v>
      </c>
      <c r="D281" s="1">
        <v>74549</v>
      </c>
      <c r="E281">
        <v>231</v>
      </c>
      <c r="F281">
        <v>128</v>
      </c>
      <c r="G281">
        <v>107</v>
      </c>
      <c r="H281" s="1">
        <v>61708</v>
      </c>
      <c r="I281">
        <v>543</v>
      </c>
      <c r="J281">
        <v>7</v>
      </c>
      <c r="K281">
        <v>3</v>
      </c>
      <c r="L281">
        <v>216</v>
      </c>
      <c r="M281">
        <v>1</v>
      </c>
      <c r="N281" s="1">
        <v>2750</v>
      </c>
      <c r="O281" s="1">
        <v>0</v>
      </c>
      <c r="P281">
        <v>203</v>
      </c>
      <c r="Q281">
        <v>6</v>
      </c>
      <c r="R281">
        <v>14</v>
      </c>
      <c r="S281">
        <v>23</v>
      </c>
      <c r="T281">
        <v>30</v>
      </c>
      <c r="U281">
        <v>11</v>
      </c>
      <c r="V281">
        <v>36</v>
      </c>
      <c r="W281">
        <v>18</v>
      </c>
      <c r="X281">
        <v>21</v>
      </c>
      <c r="Y281">
        <v>45</v>
      </c>
      <c r="Z281">
        <v>0</v>
      </c>
      <c r="AA281">
        <v>0</v>
      </c>
      <c r="AB281">
        <v>74</v>
      </c>
      <c r="AC281">
        <v>197</v>
      </c>
      <c r="AD281">
        <v>0</v>
      </c>
      <c r="AE281">
        <v>0</v>
      </c>
      <c r="AF281">
        <v>0</v>
      </c>
      <c r="AG281">
        <v>3</v>
      </c>
      <c r="AH281">
        <v>130</v>
      </c>
      <c r="AI281">
        <v>203</v>
      </c>
      <c r="AJ281">
        <v>695</v>
      </c>
      <c r="AK281">
        <v>78</v>
      </c>
      <c r="AL281">
        <v>242</v>
      </c>
      <c r="AM281" s="1">
        <v>0</v>
      </c>
      <c r="AN281">
        <v>464</v>
      </c>
      <c r="AO281" s="1">
        <v>0</v>
      </c>
      <c r="AP281" s="1">
        <v>6362</v>
      </c>
      <c r="AQ281" s="1">
        <v>0</v>
      </c>
    </row>
    <row r="282" spans="1:43" x14ac:dyDescent="0.3">
      <c r="A282" t="s">
        <v>131</v>
      </c>
      <c r="B282" t="s">
        <v>134</v>
      </c>
      <c r="C282" s="4" t="s">
        <v>94</v>
      </c>
      <c r="D282">
        <v>19</v>
      </c>
      <c r="E282">
        <v>0</v>
      </c>
      <c r="F282">
        <v>0</v>
      </c>
      <c r="G282">
        <v>0</v>
      </c>
      <c r="H282">
        <v>17</v>
      </c>
      <c r="I282">
        <v>0</v>
      </c>
      <c r="J282">
        <v>0</v>
      </c>
      <c r="K282">
        <v>0</v>
      </c>
      <c r="L282">
        <v>0</v>
      </c>
      <c r="M282">
        <v>0</v>
      </c>
      <c r="N282" s="1">
        <v>0</v>
      </c>
      <c r="O282" s="1">
        <v>0</v>
      </c>
      <c r="P282">
        <v>0</v>
      </c>
      <c r="Q282">
        <v>0</v>
      </c>
      <c r="R282">
        <v>0</v>
      </c>
      <c r="S282">
        <v>0</v>
      </c>
      <c r="T282" s="1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s="1">
        <v>0</v>
      </c>
      <c r="AP282">
        <v>1</v>
      </c>
      <c r="AQ282" s="1">
        <v>0</v>
      </c>
    </row>
    <row r="283" spans="1:43" x14ac:dyDescent="0.3">
      <c r="A283" t="s">
        <v>131</v>
      </c>
      <c r="B283" t="s">
        <v>135</v>
      </c>
      <c r="C283" s="4" t="s">
        <v>40</v>
      </c>
      <c r="D283" s="1">
        <v>175923</v>
      </c>
      <c r="E283">
        <v>522</v>
      </c>
      <c r="F283">
        <v>310</v>
      </c>
      <c r="G283">
        <v>25</v>
      </c>
      <c r="H283" s="1">
        <v>139848</v>
      </c>
      <c r="I283">
        <v>376</v>
      </c>
      <c r="J283">
        <v>12</v>
      </c>
      <c r="K283">
        <v>42</v>
      </c>
      <c r="L283" s="1">
        <v>1324</v>
      </c>
      <c r="M283">
        <v>4</v>
      </c>
      <c r="N283">
        <v>965</v>
      </c>
      <c r="O283" s="1">
        <v>0</v>
      </c>
      <c r="P283">
        <v>136</v>
      </c>
      <c r="Q283">
        <v>26</v>
      </c>
      <c r="R283">
        <v>13</v>
      </c>
      <c r="S283">
        <v>139</v>
      </c>
      <c r="T283">
        <v>374</v>
      </c>
      <c r="U283">
        <v>180</v>
      </c>
      <c r="V283">
        <v>83</v>
      </c>
      <c r="W283">
        <v>157</v>
      </c>
      <c r="X283" s="1">
        <v>2974</v>
      </c>
      <c r="Y283">
        <v>50</v>
      </c>
      <c r="Z283">
        <v>80</v>
      </c>
      <c r="AA283">
        <v>21</v>
      </c>
      <c r="AB283">
        <v>217</v>
      </c>
      <c r="AC283" s="1">
        <v>1759</v>
      </c>
      <c r="AD283">
        <v>0</v>
      </c>
      <c r="AE283">
        <v>0</v>
      </c>
      <c r="AF283">
        <v>0</v>
      </c>
      <c r="AG283">
        <v>98</v>
      </c>
      <c r="AH283">
        <v>590</v>
      </c>
      <c r="AI283">
        <v>362</v>
      </c>
      <c r="AJ283" s="1">
        <v>1966</v>
      </c>
      <c r="AK283">
        <v>365</v>
      </c>
      <c r="AL283" s="1">
        <v>2307</v>
      </c>
      <c r="AM283" s="1">
        <v>0</v>
      </c>
      <c r="AN283">
        <v>248</v>
      </c>
      <c r="AO283" s="1">
        <v>0</v>
      </c>
      <c r="AP283" s="1">
        <v>14662</v>
      </c>
      <c r="AQ283" s="1">
        <v>5688</v>
      </c>
    </row>
    <row r="284" spans="1:43" x14ac:dyDescent="0.3">
      <c r="A284" t="s">
        <v>131</v>
      </c>
      <c r="B284" t="s">
        <v>135</v>
      </c>
      <c r="C284" s="4" t="s">
        <v>43</v>
      </c>
      <c r="D284" s="1">
        <v>99123</v>
      </c>
      <c r="E284">
        <v>325</v>
      </c>
      <c r="F284">
        <v>191</v>
      </c>
      <c r="G284">
        <v>4</v>
      </c>
      <c r="H284" s="1">
        <v>76920</v>
      </c>
      <c r="I284">
        <v>338</v>
      </c>
      <c r="J284">
        <v>11</v>
      </c>
      <c r="K284">
        <v>31</v>
      </c>
      <c r="L284" s="1">
        <v>1008</v>
      </c>
      <c r="M284">
        <v>0</v>
      </c>
      <c r="N284">
        <v>316</v>
      </c>
      <c r="O284" s="1">
        <v>0</v>
      </c>
      <c r="P284">
        <v>49</v>
      </c>
      <c r="Q284">
        <v>17</v>
      </c>
      <c r="R284">
        <v>7</v>
      </c>
      <c r="S284">
        <v>139</v>
      </c>
      <c r="T284">
        <v>329</v>
      </c>
      <c r="U284">
        <v>170</v>
      </c>
      <c r="V284">
        <v>45</v>
      </c>
      <c r="W284">
        <v>140</v>
      </c>
      <c r="X284" s="1">
        <v>1131</v>
      </c>
      <c r="Y284">
        <v>43</v>
      </c>
      <c r="Z284">
        <v>80</v>
      </c>
      <c r="AA284">
        <v>21</v>
      </c>
      <c r="AB284">
        <v>152</v>
      </c>
      <c r="AC284" s="1">
        <v>1111</v>
      </c>
      <c r="AD284">
        <v>0</v>
      </c>
      <c r="AE284">
        <v>0</v>
      </c>
      <c r="AF284">
        <v>0</v>
      </c>
      <c r="AG284">
        <v>60</v>
      </c>
      <c r="AH284">
        <v>353</v>
      </c>
      <c r="AI284">
        <v>174</v>
      </c>
      <c r="AJ284">
        <v>868</v>
      </c>
      <c r="AK284">
        <v>283</v>
      </c>
      <c r="AL284" s="1">
        <v>1908</v>
      </c>
      <c r="AM284">
        <v>0</v>
      </c>
      <c r="AN284">
        <v>111</v>
      </c>
      <c r="AO284" s="1">
        <v>0</v>
      </c>
      <c r="AP284" s="1">
        <v>7100</v>
      </c>
      <c r="AQ284" s="1">
        <v>5688</v>
      </c>
    </row>
    <row r="285" spans="1:43" x14ac:dyDescent="0.3">
      <c r="A285" t="s">
        <v>131</v>
      </c>
      <c r="B285" t="s">
        <v>135</v>
      </c>
      <c r="C285" s="4" t="s">
        <v>44</v>
      </c>
      <c r="D285" s="1">
        <v>76800</v>
      </c>
      <c r="E285">
        <v>197</v>
      </c>
      <c r="F285">
        <v>119</v>
      </c>
      <c r="G285">
        <v>21</v>
      </c>
      <c r="H285" s="1">
        <v>62928</v>
      </c>
      <c r="I285">
        <v>38</v>
      </c>
      <c r="J285">
        <v>1</v>
      </c>
      <c r="K285">
        <v>11</v>
      </c>
      <c r="L285">
        <v>316</v>
      </c>
      <c r="M285">
        <v>4</v>
      </c>
      <c r="N285">
        <v>649</v>
      </c>
      <c r="O285" s="1">
        <v>0</v>
      </c>
      <c r="P285">
        <v>87</v>
      </c>
      <c r="Q285">
        <v>9</v>
      </c>
      <c r="R285">
        <v>6</v>
      </c>
      <c r="S285">
        <v>0</v>
      </c>
      <c r="T285">
        <v>45</v>
      </c>
      <c r="U285">
        <v>10</v>
      </c>
      <c r="V285">
        <v>38</v>
      </c>
      <c r="W285">
        <v>17</v>
      </c>
      <c r="X285" s="1">
        <v>1843</v>
      </c>
      <c r="Y285">
        <v>7</v>
      </c>
      <c r="Z285">
        <v>0</v>
      </c>
      <c r="AA285">
        <v>0</v>
      </c>
      <c r="AB285">
        <v>65</v>
      </c>
      <c r="AC285">
        <v>648</v>
      </c>
      <c r="AD285">
        <v>0</v>
      </c>
      <c r="AE285">
        <v>0</v>
      </c>
      <c r="AF285">
        <v>0</v>
      </c>
      <c r="AG285">
        <v>38</v>
      </c>
      <c r="AH285">
        <v>237</v>
      </c>
      <c r="AI285">
        <v>188</v>
      </c>
      <c r="AJ285" s="1">
        <v>1098</v>
      </c>
      <c r="AK285">
        <v>82</v>
      </c>
      <c r="AL285">
        <v>399</v>
      </c>
      <c r="AM285" s="1">
        <v>0</v>
      </c>
      <c r="AN285">
        <v>137</v>
      </c>
      <c r="AO285" s="1">
        <v>0</v>
      </c>
      <c r="AP285" s="1">
        <v>7562</v>
      </c>
      <c r="AQ285" s="1">
        <v>0</v>
      </c>
    </row>
    <row r="286" spans="1:43" x14ac:dyDescent="0.3">
      <c r="A286" t="s">
        <v>131</v>
      </c>
      <c r="B286" t="s">
        <v>136</v>
      </c>
      <c r="C286" s="4" t="s">
        <v>40</v>
      </c>
      <c r="D286" s="1">
        <v>82361</v>
      </c>
      <c r="E286">
        <v>200</v>
      </c>
      <c r="F286">
        <v>143</v>
      </c>
      <c r="G286">
        <v>25</v>
      </c>
      <c r="H286" s="1">
        <v>66676</v>
      </c>
      <c r="I286">
        <v>144</v>
      </c>
      <c r="J286">
        <v>2</v>
      </c>
      <c r="K286">
        <v>13</v>
      </c>
      <c r="L286">
        <v>759</v>
      </c>
      <c r="M286">
        <v>1</v>
      </c>
      <c r="N286" s="1">
        <v>1164</v>
      </c>
      <c r="O286" s="1">
        <v>0</v>
      </c>
      <c r="P286">
        <v>276</v>
      </c>
      <c r="Q286">
        <v>0</v>
      </c>
      <c r="R286">
        <v>22</v>
      </c>
      <c r="S286">
        <v>105</v>
      </c>
      <c r="T286">
        <v>273</v>
      </c>
      <c r="U286">
        <v>297</v>
      </c>
      <c r="V286">
        <v>30</v>
      </c>
      <c r="W286">
        <v>32</v>
      </c>
      <c r="X286">
        <v>7</v>
      </c>
      <c r="Y286">
        <v>39</v>
      </c>
      <c r="Z286">
        <v>0</v>
      </c>
      <c r="AA286">
        <v>12</v>
      </c>
      <c r="AB286">
        <v>128</v>
      </c>
      <c r="AC286">
        <v>348</v>
      </c>
      <c r="AD286">
        <v>0</v>
      </c>
      <c r="AE286">
        <v>0</v>
      </c>
      <c r="AF286">
        <v>0</v>
      </c>
      <c r="AG286">
        <v>10</v>
      </c>
      <c r="AH286">
        <v>140</v>
      </c>
      <c r="AI286">
        <v>165</v>
      </c>
      <c r="AJ286">
        <v>113</v>
      </c>
      <c r="AK286">
        <v>81</v>
      </c>
      <c r="AL286">
        <v>584</v>
      </c>
      <c r="AM286">
        <v>0</v>
      </c>
      <c r="AN286">
        <v>317</v>
      </c>
      <c r="AO286" s="1">
        <v>0</v>
      </c>
      <c r="AP286" s="1">
        <v>2707</v>
      </c>
      <c r="AQ286" s="1">
        <v>7548</v>
      </c>
    </row>
    <row r="287" spans="1:43" x14ac:dyDescent="0.3">
      <c r="A287" t="s">
        <v>131</v>
      </c>
      <c r="B287" t="s">
        <v>136</v>
      </c>
      <c r="C287" s="4" t="s">
        <v>43</v>
      </c>
      <c r="D287" s="1">
        <v>48010</v>
      </c>
      <c r="E287">
        <v>106</v>
      </c>
      <c r="F287">
        <v>79</v>
      </c>
      <c r="G287">
        <v>1</v>
      </c>
      <c r="H287" s="1">
        <v>36081</v>
      </c>
      <c r="I287">
        <v>129</v>
      </c>
      <c r="J287">
        <v>2</v>
      </c>
      <c r="K287">
        <v>13</v>
      </c>
      <c r="L287">
        <v>610</v>
      </c>
      <c r="M287">
        <v>0</v>
      </c>
      <c r="N287">
        <v>357</v>
      </c>
      <c r="O287" s="1">
        <v>0</v>
      </c>
      <c r="P287">
        <v>35</v>
      </c>
      <c r="Q287">
        <v>0</v>
      </c>
      <c r="R287">
        <v>15</v>
      </c>
      <c r="S287">
        <v>98</v>
      </c>
      <c r="T287">
        <v>240</v>
      </c>
      <c r="U287">
        <v>264</v>
      </c>
      <c r="V287">
        <v>2</v>
      </c>
      <c r="W287">
        <v>30</v>
      </c>
      <c r="X287">
        <v>5</v>
      </c>
      <c r="Y287">
        <v>27</v>
      </c>
      <c r="Z287">
        <v>0</v>
      </c>
      <c r="AA287">
        <v>12</v>
      </c>
      <c r="AB287">
        <v>66</v>
      </c>
      <c r="AC287">
        <v>242</v>
      </c>
      <c r="AD287">
        <v>0</v>
      </c>
      <c r="AE287">
        <v>0</v>
      </c>
      <c r="AF287">
        <v>0</v>
      </c>
      <c r="AG287">
        <v>6</v>
      </c>
      <c r="AH287">
        <v>74</v>
      </c>
      <c r="AI287">
        <v>53</v>
      </c>
      <c r="AJ287">
        <v>42</v>
      </c>
      <c r="AK287">
        <v>56</v>
      </c>
      <c r="AL287">
        <v>402</v>
      </c>
      <c r="AM287" s="1">
        <v>0</v>
      </c>
      <c r="AN287">
        <v>65</v>
      </c>
      <c r="AO287" s="1">
        <v>0</v>
      </c>
      <c r="AP287" s="1">
        <v>1350</v>
      </c>
      <c r="AQ287" s="1">
        <v>7548</v>
      </c>
    </row>
    <row r="288" spans="1:43" x14ac:dyDescent="0.3">
      <c r="A288" t="s">
        <v>131</v>
      </c>
      <c r="B288" t="s">
        <v>136</v>
      </c>
      <c r="C288" s="4" t="s">
        <v>44</v>
      </c>
      <c r="D288" s="1">
        <v>34351</v>
      </c>
      <c r="E288">
        <v>94</v>
      </c>
      <c r="F288">
        <v>64</v>
      </c>
      <c r="G288">
        <v>24</v>
      </c>
      <c r="H288" s="1">
        <v>30595</v>
      </c>
      <c r="I288">
        <v>15</v>
      </c>
      <c r="J288">
        <v>0</v>
      </c>
      <c r="K288">
        <v>0</v>
      </c>
      <c r="L288">
        <v>149</v>
      </c>
      <c r="M288">
        <v>1</v>
      </c>
      <c r="N288">
        <v>807</v>
      </c>
      <c r="O288" s="1">
        <v>0</v>
      </c>
      <c r="P288">
        <v>241</v>
      </c>
      <c r="Q288">
        <v>0</v>
      </c>
      <c r="R288">
        <v>7</v>
      </c>
      <c r="S288">
        <v>7</v>
      </c>
      <c r="T288">
        <v>33</v>
      </c>
      <c r="U288">
        <v>33</v>
      </c>
      <c r="V288">
        <v>28</v>
      </c>
      <c r="W288">
        <v>2</v>
      </c>
      <c r="X288">
        <v>2</v>
      </c>
      <c r="Y288">
        <v>12</v>
      </c>
      <c r="Z288">
        <v>0</v>
      </c>
      <c r="AA288">
        <v>0</v>
      </c>
      <c r="AB288">
        <v>62</v>
      </c>
      <c r="AC288">
        <v>106</v>
      </c>
      <c r="AD288">
        <v>0</v>
      </c>
      <c r="AE288">
        <v>0</v>
      </c>
      <c r="AF288">
        <v>0</v>
      </c>
      <c r="AG288">
        <v>4</v>
      </c>
      <c r="AH288">
        <v>66</v>
      </c>
      <c r="AI288">
        <v>112</v>
      </c>
      <c r="AJ288">
        <v>71</v>
      </c>
      <c r="AK288">
        <v>25</v>
      </c>
      <c r="AL288">
        <v>182</v>
      </c>
      <c r="AM288">
        <v>0</v>
      </c>
      <c r="AN288">
        <v>252</v>
      </c>
      <c r="AO288" s="1">
        <v>0</v>
      </c>
      <c r="AP288" s="1">
        <v>1357</v>
      </c>
      <c r="AQ288" s="1">
        <v>0</v>
      </c>
    </row>
    <row r="289" spans="1:43" x14ac:dyDescent="0.3">
      <c r="A289" t="s">
        <v>131</v>
      </c>
      <c r="B289" t="s">
        <v>137</v>
      </c>
      <c r="C289" s="4" t="s">
        <v>40</v>
      </c>
      <c r="D289" s="1">
        <v>63314</v>
      </c>
      <c r="E289">
        <v>167</v>
      </c>
      <c r="F289">
        <v>135</v>
      </c>
      <c r="G289">
        <v>0</v>
      </c>
      <c r="H289" s="1">
        <v>45307</v>
      </c>
      <c r="I289">
        <v>269</v>
      </c>
      <c r="J289">
        <v>1</v>
      </c>
      <c r="K289">
        <v>4</v>
      </c>
      <c r="L289">
        <v>442</v>
      </c>
      <c r="M289">
        <v>0</v>
      </c>
      <c r="N289" s="1">
        <v>1135</v>
      </c>
      <c r="O289" s="1">
        <v>0</v>
      </c>
      <c r="P289">
        <v>63</v>
      </c>
      <c r="Q289">
        <v>0</v>
      </c>
      <c r="R289">
        <v>4</v>
      </c>
      <c r="S289">
        <v>50</v>
      </c>
      <c r="T289">
        <v>197</v>
      </c>
      <c r="U289">
        <v>21</v>
      </c>
      <c r="V289">
        <v>15</v>
      </c>
      <c r="W289">
        <v>8</v>
      </c>
      <c r="X289">
        <v>0</v>
      </c>
      <c r="Y289">
        <v>17</v>
      </c>
      <c r="Z289">
        <v>68</v>
      </c>
      <c r="AA289">
        <v>14</v>
      </c>
      <c r="AB289">
        <v>59</v>
      </c>
      <c r="AC289">
        <v>157</v>
      </c>
      <c r="AD289">
        <v>0</v>
      </c>
      <c r="AE289">
        <v>0</v>
      </c>
      <c r="AF289">
        <v>0</v>
      </c>
      <c r="AG289">
        <v>5</v>
      </c>
      <c r="AH289">
        <v>93</v>
      </c>
      <c r="AI289">
        <v>120</v>
      </c>
      <c r="AJ289">
        <v>271</v>
      </c>
      <c r="AK289">
        <v>33</v>
      </c>
      <c r="AL289">
        <v>303</v>
      </c>
      <c r="AM289" s="1">
        <v>0</v>
      </c>
      <c r="AN289">
        <v>134</v>
      </c>
      <c r="AO289" s="1">
        <v>0</v>
      </c>
      <c r="AP289" s="1">
        <v>1056</v>
      </c>
      <c r="AQ289" s="1">
        <v>13166</v>
      </c>
    </row>
    <row r="290" spans="1:43" x14ac:dyDescent="0.3">
      <c r="A290" t="s">
        <v>131</v>
      </c>
      <c r="B290" t="s">
        <v>137</v>
      </c>
      <c r="C290" s="4" t="s">
        <v>43</v>
      </c>
      <c r="D290" s="1">
        <v>41403</v>
      </c>
      <c r="E290">
        <v>105</v>
      </c>
      <c r="F290">
        <v>94</v>
      </c>
      <c r="G290">
        <v>0</v>
      </c>
      <c r="H290" s="1">
        <v>25226</v>
      </c>
      <c r="I290">
        <v>259</v>
      </c>
      <c r="J290">
        <v>1</v>
      </c>
      <c r="K290">
        <v>3</v>
      </c>
      <c r="L290">
        <v>348</v>
      </c>
      <c r="M290">
        <v>0</v>
      </c>
      <c r="N290">
        <v>533</v>
      </c>
      <c r="O290" s="1">
        <v>0</v>
      </c>
      <c r="P290">
        <v>12</v>
      </c>
      <c r="Q290">
        <v>0</v>
      </c>
      <c r="R290">
        <v>2</v>
      </c>
      <c r="S290">
        <v>48</v>
      </c>
      <c r="T290">
        <v>182</v>
      </c>
      <c r="U290">
        <v>21</v>
      </c>
      <c r="V290">
        <v>9</v>
      </c>
      <c r="W290">
        <v>8</v>
      </c>
      <c r="X290">
        <v>0</v>
      </c>
      <c r="Y290">
        <v>17</v>
      </c>
      <c r="Z290">
        <v>68</v>
      </c>
      <c r="AA290">
        <v>14</v>
      </c>
      <c r="AB290">
        <v>28</v>
      </c>
      <c r="AC290">
        <v>138</v>
      </c>
      <c r="AD290">
        <v>0</v>
      </c>
      <c r="AE290">
        <v>0</v>
      </c>
      <c r="AF290">
        <v>0</v>
      </c>
      <c r="AG290">
        <v>4</v>
      </c>
      <c r="AH290">
        <v>73</v>
      </c>
      <c r="AI290">
        <v>43</v>
      </c>
      <c r="AJ290">
        <v>148</v>
      </c>
      <c r="AK290">
        <v>28</v>
      </c>
      <c r="AL290">
        <v>238</v>
      </c>
      <c r="AM290">
        <v>0</v>
      </c>
      <c r="AN290">
        <v>48</v>
      </c>
      <c r="AO290" s="1">
        <v>0</v>
      </c>
      <c r="AP290">
        <v>539</v>
      </c>
      <c r="AQ290" s="1">
        <v>13166</v>
      </c>
    </row>
    <row r="291" spans="1:43" x14ac:dyDescent="0.3">
      <c r="A291" t="s">
        <v>131</v>
      </c>
      <c r="B291" t="s">
        <v>137</v>
      </c>
      <c r="C291" s="4" t="s">
        <v>44</v>
      </c>
      <c r="D291" s="1">
        <v>21909</v>
      </c>
      <c r="E291">
        <v>62</v>
      </c>
      <c r="F291">
        <v>41</v>
      </c>
      <c r="G291">
        <v>0</v>
      </c>
      <c r="H291" s="1">
        <v>20079</v>
      </c>
      <c r="I291">
        <v>10</v>
      </c>
      <c r="J291">
        <v>0</v>
      </c>
      <c r="K291">
        <v>1</v>
      </c>
      <c r="L291">
        <v>94</v>
      </c>
      <c r="M291">
        <v>0</v>
      </c>
      <c r="N291">
        <v>602</v>
      </c>
      <c r="O291" s="1">
        <v>0</v>
      </c>
      <c r="P291">
        <v>51</v>
      </c>
      <c r="Q291">
        <v>0</v>
      </c>
      <c r="R291">
        <v>2</v>
      </c>
      <c r="S291">
        <v>2</v>
      </c>
      <c r="T291">
        <v>15</v>
      </c>
      <c r="U291">
        <v>0</v>
      </c>
      <c r="V291">
        <v>6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31</v>
      </c>
      <c r="AC291">
        <v>19</v>
      </c>
      <c r="AD291">
        <v>0</v>
      </c>
      <c r="AE291">
        <v>0</v>
      </c>
      <c r="AF291">
        <v>0</v>
      </c>
      <c r="AG291">
        <v>1</v>
      </c>
      <c r="AH291">
        <v>20</v>
      </c>
      <c r="AI291">
        <v>77</v>
      </c>
      <c r="AJ291">
        <v>123</v>
      </c>
      <c r="AK291">
        <v>5</v>
      </c>
      <c r="AL291">
        <v>65</v>
      </c>
      <c r="AM291" s="1">
        <v>0</v>
      </c>
      <c r="AN291">
        <v>86</v>
      </c>
      <c r="AO291" s="1">
        <v>0</v>
      </c>
      <c r="AP291">
        <v>517</v>
      </c>
      <c r="AQ291" s="1">
        <v>0</v>
      </c>
    </row>
    <row r="292" spans="1:43" x14ac:dyDescent="0.3">
      <c r="A292" t="s">
        <v>131</v>
      </c>
      <c r="B292" t="s">
        <v>137</v>
      </c>
      <c r="C292" s="4" t="s">
        <v>94</v>
      </c>
      <c r="D292">
        <v>2</v>
      </c>
      <c r="E292">
        <v>0</v>
      </c>
      <c r="F292">
        <v>0</v>
      </c>
      <c r="G292">
        <v>0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s="1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 s="1">
        <v>0</v>
      </c>
      <c r="AP292" s="1">
        <v>0</v>
      </c>
      <c r="AQ292" s="1">
        <v>0</v>
      </c>
    </row>
    <row r="293" spans="1:43" x14ac:dyDescent="0.3">
      <c r="A293" t="s">
        <v>131</v>
      </c>
      <c r="B293" t="s">
        <v>138</v>
      </c>
      <c r="C293" s="4" t="s">
        <v>40</v>
      </c>
      <c r="D293" s="1">
        <v>60007</v>
      </c>
      <c r="E293">
        <v>156</v>
      </c>
      <c r="F293">
        <v>194</v>
      </c>
      <c r="G293">
        <v>19</v>
      </c>
      <c r="H293" s="1">
        <v>51846</v>
      </c>
      <c r="I293">
        <v>37</v>
      </c>
      <c r="J293">
        <v>36</v>
      </c>
      <c r="K293">
        <v>8</v>
      </c>
      <c r="L293">
        <v>469</v>
      </c>
      <c r="M293">
        <v>1</v>
      </c>
      <c r="N293" s="1">
        <v>1877</v>
      </c>
      <c r="O293" s="1">
        <v>0</v>
      </c>
      <c r="P293">
        <v>162</v>
      </c>
      <c r="Q293">
        <v>0</v>
      </c>
      <c r="R293">
        <v>18</v>
      </c>
      <c r="S293">
        <v>50</v>
      </c>
      <c r="T293">
        <v>157</v>
      </c>
      <c r="U293">
        <v>24</v>
      </c>
      <c r="V293">
        <v>21</v>
      </c>
      <c r="W293">
        <v>21</v>
      </c>
      <c r="X293">
        <v>35</v>
      </c>
      <c r="Y293">
        <v>73</v>
      </c>
      <c r="Z293">
        <v>9</v>
      </c>
      <c r="AA293">
        <v>5</v>
      </c>
      <c r="AB293">
        <v>139</v>
      </c>
      <c r="AC293">
        <v>293</v>
      </c>
      <c r="AD293">
        <v>0</v>
      </c>
      <c r="AE293">
        <v>0</v>
      </c>
      <c r="AF293">
        <v>0</v>
      </c>
      <c r="AG293">
        <v>11</v>
      </c>
      <c r="AH293">
        <v>112</v>
      </c>
      <c r="AI293">
        <v>156</v>
      </c>
      <c r="AJ293">
        <v>244</v>
      </c>
      <c r="AK293">
        <v>39</v>
      </c>
      <c r="AL293">
        <v>486</v>
      </c>
      <c r="AM293" s="1">
        <v>0</v>
      </c>
      <c r="AN293">
        <v>317</v>
      </c>
      <c r="AO293" s="1">
        <v>0</v>
      </c>
      <c r="AP293" s="1">
        <v>1372</v>
      </c>
      <c r="AQ293" s="1">
        <v>1620</v>
      </c>
    </row>
    <row r="294" spans="1:43" x14ac:dyDescent="0.3">
      <c r="A294" t="s">
        <v>131</v>
      </c>
      <c r="B294" t="s">
        <v>138</v>
      </c>
      <c r="C294" s="4" t="s">
        <v>43</v>
      </c>
      <c r="D294" s="1">
        <v>31473</v>
      </c>
      <c r="E294">
        <v>110</v>
      </c>
      <c r="F294">
        <v>92</v>
      </c>
      <c r="G294">
        <v>5</v>
      </c>
      <c r="H294" s="1">
        <v>26527</v>
      </c>
      <c r="I294">
        <v>30</v>
      </c>
      <c r="J294">
        <v>23</v>
      </c>
      <c r="K294">
        <v>6</v>
      </c>
      <c r="L294">
        <v>340</v>
      </c>
      <c r="M294">
        <v>0</v>
      </c>
      <c r="N294">
        <v>750</v>
      </c>
      <c r="O294" s="1">
        <v>0</v>
      </c>
      <c r="P294">
        <v>35</v>
      </c>
      <c r="Q294">
        <v>0</v>
      </c>
      <c r="R294">
        <v>14</v>
      </c>
      <c r="S294">
        <v>50</v>
      </c>
      <c r="T294">
        <v>130</v>
      </c>
      <c r="U294">
        <v>23</v>
      </c>
      <c r="V294">
        <v>3</v>
      </c>
      <c r="W294">
        <v>19</v>
      </c>
      <c r="X294">
        <v>15</v>
      </c>
      <c r="Y294">
        <v>60</v>
      </c>
      <c r="Z294">
        <v>9</v>
      </c>
      <c r="AA294">
        <v>5</v>
      </c>
      <c r="AB294">
        <v>80</v>
      </c>
      <c r="AC294">
        <v>181</v>
      </c>
      <c r="AD294">
        <v>0</v>
      </c>
      <c r="AE294">
        <v>0</v>
      </c>
      <c r="AF294">
        <v>0</v>
      </c>
      <c r="AG294">
        <v>9</v>
      </c>
      <c r="AH294">
        <v>68</v>
      </c>
      <c r="AI294">
        <v>78</v>
      </c>
      <c r="AJ294">
        <v>149</v>
      </c>
      <c r="AK294">
        <v>28</v>
      </c>
      <c r="AL294">
        <v>303</v>
      </c>
      <c r="AM294">
        <v>0</v>
      </c>
      <c r="AN294">
        <v>81</v>
      </c>
      <c r="AO294" s="1">
        <v>0</v>
      </c>
      <c r="AP294">
        <v>630</v>
      </c>
      <c r="AQ294" s="1">
        <v>1620</v>
      </c>
    </row>
    <row r="295" spans="1:43" x14ac:dyDescent="0.3">
      <c r="A295" t="s">
        <v>131</v>
      </c>
      <c r="B295" t="s">
        <v>138</v>
      </c>
      <c r="C295" s="4" t="s">
        <v>44</v>
      </c>
      <c r="D295" s="1">
        <v>28534</v>
      </c>
      <c r="E295">
        <v>46</v>
      </c>
      <c r="F295">
        <v>102</v>
      </c>
      <c r="G295">
        <v>14</v>
      </c>
      <c r="H295" s="1">
        <v>25319</v>
      </c>
      <c r="I295">
        <v>7</v>
      </c>
      <c r="J295">
        <v>13</v>
      </c>
      <c r="K295">
        <v>2</v>
      </c>
      <c r="L295">
        <v>129</v>
      </c>
      <c r="M295">
        <v>1</v>
      </c>
      <c r="N295" s="1">
        <v>1127</v>
      </c>
      <c r="O295" s="1">
        <v>0</v>
      </c>
      <c r="P295">
        <v>127</v>
      </c>
      <c r="Q295">
        <v>0</v>
      </c>
      <c r="R295">
        <v>4</v>
      </c>
      <c r="S295">
        <v>0</v>
      </c>
      <c r="T295">
        <v>27</v>
      </c>
      <c r="U295">
        <v>1</v>
      </c>
      <c r="V295">
        <v>18</v>
      </c>
      <c r="W295">
        <v>2</v>
      </c>
      <c r="X295">
        <v>20</v>
      </c>
      <c r="Y295">
        <v>13</v>
      </c>
      <c r="Z295">
        <v>0</v>
      </c>
      <c r="AA295">
        <v>0</v>
      </c>
      <c r="AB295">
        <v>59</v>
      </c>
      <c r="AC295">
        <v>112</v>
      </c>
      <c r="AD295">
        <v>0</v>
      </c>
      <c r="AE295">
        <v>0</v>
      </c>
      <c r="AF295">
        <v>0</v>
      </c>
      <c r="AG295">
        <v>2</v>
      </c>
      <c r="AH295">
        <v>44</v>
      </c>
      <c r="AI295">
        <v>78</v>
      </c>
      <c r="AJ295">
        <v>95</v>
      </c>
      <c r="AK295">
        <v>11</v>
      </c>
      <c r="AL295">
        <v>183</v>
      </c>
      <c r="AM295" s="1">
        <v>0</v>
      </c>
      <c r="AN295">
        <v>236</v>
      </c>
      <c r="AO295" s="1">
        <v>0</v>
      </c>
      <c r="AP295">
        <v>742</v>
      </c>
      <c r="AQ295" s="1">
        <v>0</v>
      </c>
    </row>
    <row r="296" spans="1:43" x14ac:dyDescent="0.3">
      <c r="A296" t="s">
        <v>131</v>
      </c>
      <c r="B296" t="s">
        <v>139</v>
      </c>
      <c r="C296" s="4" t="s">
        <v>40</v>
      </c>
      <c r="D296" s="1">
        <v>54916</v>
      </c>
      <c r="E296">
        <v>238</v>
      </c>
      <c r="F296">
        <v>78</v>
      </c>
      <c r="G296">
        <v>12</v>
      </c>
      <c r="H296" s="1">
        <v>43500</v>
      </c>
      <c r="I296">
        <v>592</v>
      </c>
      <c r="J296">
        <v>2</v>
      </c>
      <c r="K296">
        <v>1</v>
      </c>
      <c r="L296">
        <v>302</v>
      </c>
      <c r="M296">
        <v>2</v>
      </c>
      <c r="N296">
        <v>730</v>
      </c>
      <c r="O296" s="1">
        <v>0</v>
      </c>
      <c r="P296">
        <v>59</v>
      </c>
      <c r="Q296">
        <v>3</v>
      </c>
      <c r="R296">
        <v>22</v>
      </c>
      <c r="S296">
        <v>12</v>
      </c>
      <c r="T296">
        <v>56</v>
      </c>
      <c r="U296">
        <v>52</v>
      </c>
      <c r="V296">
        <v>17</v>
      </c>
      <c r="W296">
        <v>22</v>
      </c>
      <c r="X296">
        <v>0</v>
      </c>
      <c r="Y296">
        <v>29</v>
      </c>
      <c r="Z296">
        <v>0</v>
      </c>
      <c r="AA296">
        <v>2</v>
      </c>
      <c r="AB296">
        <v>81</v>
      </c>
      <c r="AC296">
        <v>73</v>
      </c>
      <c r="AD296">
        <v>0</v>
      </c>
      <c r="AE296">
        <v>0</v>
      </c>
      <c r="AF296">
        <v>0</v>
      </c>
      <c r="AG296">
        <v>3</v>
      </c>
      <c r="AH296">
        <v>55</v>
      </c>
      <c r="AI296">
        <v>24</v>
      </c>
      <c r="AJ296">
        <v>3</v>
      </c>
      <c r="AK296">
        <v>47</v>
      </c>
      <c r="AL296">
        <v>274</v>
      </c>
      <c r="AM296">
        <v>0</v>
      </c>
      <c r="AN296">
        <v>121</v>
      </c>
      <c r="AO296" s="1">
        <v>0</v>
      </c>
      <c r="AP296">
        <v>417</v>
      </c>
      <c r="AQ296" s="1">
        <v>8087</v>
      </c>
    </row>
    <row r="297" spans="1:43" x14ac:dyDescent="0.3">
      <c r="A297" t="s">
        <v>131</v>
      </c>
      <c r="B297" t="s">
        <v>139</v>
      </c>
      <c r="C297" s="4" t="s">
        <v>43</v>
      </c>
      <c r="D297" s="1">
        <v>30090</v>
      </c>
      <c r="E297">
        <v>143</v>
      </c>
      <c r="F297">
        <v>55</v>
      </c>
      <c r="G297">
        <v>0</v>
      </c>
      <c r="H297" s="1">
        <v>20211</v>
      </c>
      <c r="I297">
        <v>569</v>
      </c>
      <c r="J297">
        <v>1</v>
      </c>
      <c r="K297">
        <v>1</v>
      </c>
      <c r="L297">
        <v>178</v>
      </c>
      <c r="M297">
        <v>0</v>
      </c>
      <c r="N297">
        <v>267</v>
      </c>
      <c r="O297" s="1">
        <v>0</v>
      </c>
      <c r="P297">
        <v>9</v>
      </c>
      <c r="Q297">
        <v>0</v>
      </c>
      <c r="R297">
        <v>17</v>
      </c>
      <c r="S297">
        <v>4</v>
      </c>
      <c r="T297">
        <v>37</v>
      </c>
      <c r="U297">
        <v>52</v>
      </c>
      <c r="V297">
        <v>6</v>
      </c>
      <c r="W297">
        <v>16</v>
      </c>
      <c r="X297">
        <v>0</v>
      </c>
      <c r="Y297">
        <v>21</v>
      </c>
      <c r="Z297">
        <v>0</v>
      </c>
      <c r="AA297">
        <v>2</v>
      </c>
      <c r="AB297">
        <v>24</v>
      </c>
      <c r="AC297">
        <v>40</v>
      </c>
      <c r="AD297">
        <v>0</v>
      </c>
      <c r="AE297">
        <v>0</v>
      </c>
      <c r="AF297">
        <v>0</v>
      </c>
      <c r="AG297">
        <v>1</v>
      </c>
      <c r="AH297">
        <v>19</v>
      </c>
      <c r="AI297">
        <v>12</v>
      </c>
      <c r="AJ297">
        <v>0</v>
      </c>
      <c r="AK297">
        <v>26</v>
      </c>
      <c r="AL297">
        <v>67</v>
      </c>
      <c r="AM297" s="1">
        <v>0</v>
      </c>
      <c r="AN297">
        <v>18</v>
      </c>
      <c r="AO297" s="1">
        <v>0</v>
      </c>
      <c r="AP297">
        <v>207</v>
      </c>
      <c r="AQ297" s="1">
        <v>8087</v>
      </c>
    </row>
    <row r="298" spans="1:43" x14ac:dyDescent="0.3">
      <c r="A298" t="s">
        <v>131</v>
      </c>
      <c r="B298" t="s">
        <v>139</v>
      </c>
      <c r="C298" s="4" t="s">
        <v>44</v>
      </c>
      <c r="D298" s="1">
        <v>24826</v>
      </c>
      <c r="E298">
        <v>95</v>
      </c>
      <c r="F298">
        <v>23</v>
      </c>
      <c r="G298">
        <v>12</v>
      </c>
      <c r="H298" s="1">
        <v>23289</v>
      </c>
      <c r="I298">
        <v>23</v>
      </c>
      <c r="J298">
        <v>1</v>
      </c>
      <c r="K298">
        <v>0</v>
      </c>
      <c r="L298">
        <v>124</v>
      </c>
      <c r="M298">
        <v>2</v>
      </c>
      <c r="N298">
        <v>463</v>
      </c>
      <c r="O298" s="1">
        <v>0</v>
      </c>
      <c r="P298">
        <v>50</v>
      </c>
      <c r="Q298">
        <v>3</v>
      </c>
      <c r="R298">
        <v>5</v>
      </c>
      <c r="S298">
        <v>8</v>
      </c>
      <c r="T298">
        <v>19</v>
      </c>
      <c r="U298">
        <v>0</v>
      </c>
      <c r="V298">
        <v>11</v>
      </c>
      <c r="W298">
        <v>6</v>
      </c>
      <c r="X298">
        <v>0</v>
      </c>
      <c r="Y298">
        <v>8</v>
      </c>
      <c r="Z298">
        <v>0</v>
      </c>
      <c r="AA298">
        <v>0</v>
      </c>
      <c r="AB298">
        <v>57</v>
      </c>
      <c r="AC298">
        <v>33</v>
      </c>
      <c r="AD298">
        <v>0</v>
      </c>
      <c r="AE298">
        <v>0</v>
      </c>
      <c r="AF298">
        <v>0</v>
      </c>
      <c r="AG298">
        <v>2</v>
      </c>
      <c r="AH298">
        <v>36</v>
      </c>
      <c r="AI298">
        <v>12</v>
      </c>
      <c r="AJ298">
        <v>3</v>
      </c>
      <c r="AK298">
        <v>21</v>
      </c>
      <c r="AL298">
        <v>207</v>
      </c>
      <c r="AM298">
        <v>0</v>
      </c>
      <c r="AN298">
        <v>103</v>
      </c>
      <c r="AO298" s="1">
        <v>0</v>
      </c>
      <c r="AP298">
        <v>210</v>
      </c>
      <c r="AQ298" s="1">
        <v>0</v>
      </c>
    </row>
    <row r="299" spans="1:43" x14ac:dyDescent="0.3">
      <c r="A299" t="s">
        <v>131</v>
      </c>
      <c r="B299" t="s">
        <v>140</v>
      </c>
      <c r="C299" s="4" t="s">
        <v>40</v>
      </c>
      <c r="D299" s="1">
        <v>29641</v>
      </c>
      <c r="E299">
        <v>222</v>
      </c>
      <c r="F299">
        <v>22</v>
      </c>
      <c r="G299">
        <v>0</v>
      </c>
      <c r="H299" s="1">
        <v>25572</v>
      </c>
      <c r="I299">
        <v>2</v>
      </c>
      <c r="J299">
        <v>1</v>
      </c>
      <c r="K299">
        <v>3</v>
      </c>
      <c r="L299">
        <v>145</v>
      </c>
      <c r="M299">
        <v>0</v>
      </c>
      <c r="N299">
        <v>563</v>
      </c>
      <c r="O299" s="1">
        <v>0</v>
      </c>
      <c r="P299">
        <v>83</v>
      </c>
      <c r="Q299">
        <v>0</v>
      </c>
      <c r="R299">
        <v>0</v>
      </c>
      <c r="S299">
        <v>11</v>
      </c>
      <c r="T299">
        <v>61</v>
      </c>
      <c r="U299">
        <v>1</v>
      </c>
      <c r="V299">
        <v>8</v>
      </c>
      <c r="W299">
        <v>11</v>
      </c>
      <c r="X299">
        <v>0</v>
      </c>
      <c r="Y299">
        <v>3</v>
      </c>
      <c r="Z299">
        <v>0</v>
      </c>
      <c r="AA299">
        <v>2</v>
      </c>
      <c r="AB299">
        <v>7</v>
      </c>
      <c r="AC299">
        <v>112</v>
      </c>
      <c r="AD299">
        <v>0</v>
      </c>
      <c r="AE299">
        <v>0</v>
      </c>
      <c r="AF299">
        <v>0</v>
      </c>
      <c r="AG299">
        <v>1</v>
      </c>
      <c r="AH299">
        <v>30</v>
      </c>
      <c r="AI299">
        <v>55</v>
      </c>
      <c r="AJ299">
        <v>240</v>
      </c>
      <c r="AK299">
        <v>24</v>
      </c>
      <c r="AL299">
        <v>149</v>
      </c>
      <c r="AM299" s="1">
        <v>0</v>
      </c>
      <c r="AN299">
        <v>0</v>
      </c>
      <c r="AO299" s="1">
        <v>0</v>
      </c>
      <c r="AP299" s="1">
        <v>1068</v>
      </c>
      <c r="AQ299" s="1">
        <v>1245</v>
      </c>
    </row>
    <row r="300" spans="1:43" x14ac:dyDescent="0.3">
      <c r="A300" t="s">
        <v>131</v>
      </c>
      <c r="B300" t="s">
        <v>140</v>
      </c>
      <c r="C300" s="4" t="s">
        <v>43</v>
      </c>
      <c r="D300" s="1">
        <v>15989</v>
      </c>
      <c r="E300">
        <v>147</v>
      </c>
      <c r="F300">
        <v>20</v>
      </c>
      <c r="G300">
        <v>0</v>
      </c>
      <c r="H300" s="1">
        <v>13258</v>
      </c>
      <c r="I300">
        <v>0</v>
      </c>
      <c r="J300">
        <v>1</v>
      </c>
      <c r="K300">
        <v>3</v>
      </c>
      <c r="L300">
        <v>96</v>
      </c>
      <c r="M300">
        <v>0</v>
      </c>
      <c r="N300">
        <v>286</v>
      </c>
      <c r="O300" s="1">
        <v>0</v>
      </c>
      <c r="P300">
        <v>15</v>
      </c>
      <c r="Q300">
        <v>0</v>
      </c>
      <c r="R300">
        <v>0</v>
      </c>
      <c r="S300">
        <v>0</v>
      </c>
      <c r="T300">
        <v>48</v>
      </c>
      <c r="U300">
        <v>1</v>
      </c>
      <c r="V300">
        <v>5</v>
      </c>
      <c r="W300">
        <v>8</v>
      </c>
      <c r="X300">
        <v>0</v>
      </c>
      <c r="Y300">
        <v>0</v>
      </c>
      <c r="Z300">
        <v>0</v>
      </c>
      <c r="AA300">
        <v>2</v>
      </c>
      <c r="AB300">
        <v>2</v>
      </c>
      <c r="AC300">
        <v>90</v>
      </c>
      <c r="AD300">
        <v>0</v>
      </c>
      <c r="AE300">
        <v>0</v>
      </c>
      <c r="AF300">
        <v>0</v>
      </c>
      <c r="AG300">
        <v>1</v>
      </c>
      <c r="AH300">
        <v>26</v>
      </c>
      <c r="AI300">
        <v>27</v>
      </c>
      <c r="AJ300">
        <v>51</v>
      </c>
      <c r="AK300">
        <v>11</v>
      </c>
      <c r="AL300">
        <v>119</v>
      </c>
      <c r="AM300">
        <v>0</v>
      </c>
      <c r="AN300">
        <v>0</v>
      </c>
      <c r="AO300" s="1">
        <v>0</v>
      </c>
      <c r="AP300">
        <v>527</v>
      </c>
      <c r="AQ300" s="1">
        <v>1245</v>
      </c>
    </row>
    <row r="301" spans="1:43" x14ac:dyDescent="0.3">
      <c r="A301" t="s">
        <v>131</v>
      </c>
      <c r="B301" t="s">
        <v>140</v>
      </c>
      <c r="C301" s="4" t="s">
        <v>44</v>
      </c>
      <c r="D301" s="1">
        <v>13652</v>
      </c>
      <c r="E301">
        <v>75</v>
      </c>
      <c r="F301">
        <v>2</v>
      </c>
      <c r="G301">
        <v>0</v>
      </c>
      <c r="H301" s="1">
        <v>12314</v>
      </c>
      <c r="I301">
        <v>2</v>
      </c>
      <c r="J301">
        <v>0</v>
      </c>
      <c r="K301">
        <v>0</v>
      </c>
      <c r="L301">
        <v>49</v>
      </c>
      <c r="M301">
        <v>0</v>
      </c>
      <c r="N301">
        <v>277</v>
      </c>
      <c r="O301" s="1">
        <v>0</v>
      </c>
      <c r="P301">
        <v>68</v>
      </c>
      <c r="Q301">
        <v>0</v>
      </c>
      <c r="R301">
        <v>0</v>
      </c>
      <c r="S301">
        <v>11</v>
      </c>
      <c r="T301">
        <v>13</v>
      </c>
      <c r="U301">
        <v>0</v>
      </c>
      <c r="V301">
        <v>3</v>
      </c>
      <c r="W301">
        <v>3</v>
      </c>
      <c r="X301">
        <v>0</v>
      </c>
      <c r="Y301">
        <v>3</v>
      </c>
      <c r="Z301">
        <v>0</v>
      </c>
      <c r="AA301">
        <v>0</v>
      </c>
      <c r="AB301">
        <v>5</v>
      </c>
      <c r="AC301">
        <v>22</v>
      </c>
      <c r="AD301">
        <v>0</v>
      </c>
      <c r="AE301">
        <v>0</v>
      </c>
      <c r="AF301">
        <v>0</v>
      </c>
      <c r="AG301">
        <v>0</v>
      </c>
      <c r="AH301">
        <v>4</v>
      </c>
      <c r="AI301">
        <v>28</v>
      </c>
      <c r="AJ301">
        <v>189</v>
      </c>
      <c r="AK301">
        <v>13</v>
      </c>
      <c r="AL301">
        <v>30</v>
      </c>
      <c r="AM301" s="1">
        <v>0</v>
      </c>
      <c r="AN301">
        <v>0</v>
      </c>
      <c r="AO301" s="1">
        <v>0</v>
      </c>
      <c r="AP301">
        <v>541</v>
      </c>
      <c r="AQ301" s="1">
        <v>0</v>
      </c>
    </row>
    <row r="302" spans="1:43" x14ac:dyDescent="0.3">
      <c r="A302" t="s">
        <v>131</v>
      </c>
      <c r="B302" t="s">
        <v>141</v>
      </c>
      <c r="C302" s="4" t="s">
        <v>40</v>
      </c>
      <c r="D302" s="1">
        <v>25636</v>
      </c>
      <c r="E302">
        <v>171</v>
      </c>
      <c r="F302">
        <v>50</v>
      </c>
      <c r="G302">
        <v>5</v>
      </c>
      <c r="H302" s="1">
        <v>21855</v>
      </c>
      <c r="I302">
        <v>98</v>
      </c>
      <c r="J302">
        <v>3</v>
      </c>
      <c r="K302">
        <v>2</v>
      </c>
      <c r="L302">
        <v>114</v>
      </c>
      <c r="M302">
        <v>0</v>
      </c>
      <c r="N302">
        <v>704</v>
      </c>
      <c r="O302" s="1">
        <v>0</v>
      </c>
      <c r="P302">
        <v>83</v>
      </c>
      <c r="Q302">
        <v>0</v>
      </c>
      <c r="R302">
        <v>15</v>
      </c>
      <c r="S302">
        <v>0</v>
      </c>
      <c r="T302">
        <v>150</v>
      </c>
      <c r="U302">
        <v>0</v>
      </c>
      <c r="V302">
        <v>20</v>
      </c>
      <c r="W302">
        <v>8</v>
      </c>
      <c r="X302">
        <v>0</v>
      </c>
      <c r="Y302">
        <v>25</v>
      </c>
      <c r="Z302">
        <v>15</v>
      </c>
      <c r="AA302">
        <v>0</v>
      </c>
      <c r="AB302">
        <v>22</v>
      </c>
      <c r="AC302">
        <v>119</v>
      </c>
      <c r="AD302">
        <v>0</v>
      </c>
      <c r="AE302">
        <v>0</v>
      </c>
      <c r="AF302">
        <v>0</v>
      </c>
      <c r="AG302">
        <v>6</v>
      </c>
      <c r="AH302">
        <v>48</v>
      </c>
      <c r="AI302">
        <v>54</v>
      </c>
      <c r="AJ302">
        <v>175</v>
      </c>
      <c r="AK302">
        <v>37</v>
      </c>
      <c r="AL302">
        <v>214</v>
      </c>
      <c r="AM302">
        <v>0</v>
      </c>
      <c r="AN302">
        <v>102</v>
      </c>
      <c r="AO302" s="1">
        <v>0</v>
      </c>
      <c r="AP302">
        <v>245</v>
      </c>
      <c r="AQ302" s="1">
        <v>1296</v>
      </c>
    </row>
    <row r="303" spans="1:43" x14ac:dyDescent="0.3">
      <c r="A303" t="s">
        <v>131</v>
      </c>
      <c r="B303" t="s">
        <v>141</v>
      </c>
      <c r="C303" s="4" t="s">
        <v>43</v>
      </c>
      <c r="D303" s="1">
        <v>14890</v>
      </c>
      <c r="E303">
        <v>123</v>
      </c>
      <c r="F303">
        <v>28</v>
      </c>
      <c r="G303">
        <v>0</v>
      </c>
      <c r="H303" s="1">
        <v>12161</v>
      </c>
      <c r="I303">
        <v>90</v>
      </c>
      <c r="J303">
        <v>3</v>
      </c>
      <c r="K303">
        <v>2</v>
      </c>
      <c r="L303">
        <v>90</v>
      </c>
      <c r="M303">
        <v>0</v>
      </c>
      <c r="N303">
        <v>308</v>
      </c>
      <c r="O303" s="1">
        <v>0</v>
      </c>
      <c r="P303">
        <v>15</v>
      </c>
      <c r="Q303">
        <v>0</v>
      </c>
      <c r="R303">
        <v>14</v>
      </c>
      <c r="S303">
        <v>0</v>
      </c>
      <c r="T303">
        <v>132</v>
      </c>
      <c r="U303">
        <v>0</v>
      </c>
      <c r="V303">
        <v>6</v>
      </c>
      <c r="W303">
        <v>8</v>
      </c>
      <c r="X303">
        <v>0</v>
      </c>
      <c r="Y303">
        <v>22</v>
      </c>
      <c r="Z303">
        <v>15</v>
      </c>
      <c r="AA303">
        <v>0</v>
      </c>
      <c r="AB303">
        <v>16</v>
      </c>
      <c r="AC303">
        <v>87</v>
      </c>
      <c r="AD303">
        <v>0</v>
      </c>
      <c r="AE303">
        <v>0</v>
      </c>
      <c r="AF303">
        <v>0</v>
      </c>
      <c r="AG303">
        <v>4</v>
      </c>
      <c r="AH303">
        <v>33</v>
      </c>
      <c r="AI303">
        <v>25</v>
      </c>
      <c r="AJ303">
        <v>84</v>
      </c>
      <c r="AK303">
        <v>15</v>
      </c>
      <c r="AL303">
        <v>161</v>
      </c>
      <c r="AM303" s="1">
        <v>0</v>
      </c>
      <c r="AN303">
        <v>25</v>
      </c>
      <c r="AO303" s="1">
        <v>0</v>
      </c>
      <c r="AP303">
        <v>127</v>
      </c>
      <c r="AQ303" s="1">
        <v>1296</v>
      </c>
    </row>
    <row r="304" spans="1:43" x14ac:dyDescent="0.3">
      <c r="A304" t="s">
        <v>131</v>
      </c>
      <c r="B304" t="s">
        <v>141</v>
      </c>
      <c r="C304" s="4" t="s">
        <v>44</v>
      </c>
      <c r="D304" s="1">
        <v>10746</v>
      </c>
      <c r="E304">
        <v>48</v>
      </c>
      <c r="F304">
        <v>22</v>
      </c>
      <c r="G304">
        <v>5</v>
      </c>
      <c r="H304" s="1">
        <v>9694</v>
      </c>
      <c r="I304">
        <v>8</v>
      </c>
      <c r="J304">
        <v>0</v>
      </c>
      <c r="K304">
        <v>0</v>
      </c>
      <c r="L304">
        <v>24</v>
      </c>
      <c r="M304">
        <v>0</v>
      </c>
      <c r="N304">
        <v>396</v>
      </c>
      <c r="O304" s="1">
        <v>0</v>
      </c>
      <c r="P304">
        <v>68</v>
      </c>
      <c r="Q304">
        <v>0</v>
      </c>
      <c r="R304">
        <v>1</v>
      </c>
      <c r="S304">
        <v>0</v>
      </c>
      <c r="T304">
        <v>18</v>
      </c>
      <c r="U304">
        <v>0</v>
      </c>
      <c r="V304">
        <v>14</v>
      </c>
      <c r="W304">
        <v>0</v>
      </c>
      <c r="X304">
        <v>0</v>
      </c>
      <c r="Y304">
        <v>3</v>
      </c>
      <c r="Z304">
        <v>0</v>
      </c>
      <c r="AA304">
        <v>0</v>
      </c>
      <c r="AB304">
        <v>6</v>
      </c>
      <c r="AC304">
        <v>32</v>
      </c>
      <c r="AD304">
        <v>0</v>
      </c>
      <c r="AE304">
        <v>0</v>
      </c>
      <c r="AF304">
        <v>0</v>
      </c>
      <c r="AG304">
        <v>2</v>
      </c>
      <c r="AH304">
        <v>15</v>
      </c>
      <c r="AI304">
        <v>29</v>
      </c>
      <c r="AJ304">
        <v>91</v>
      </c>
      <c r="AK304">
        <v>22</v>
      </c>
      <c r="AL304">
        <v>53</v>
      </c>
      <c r="AM304">
        <v>0</v>
      </c>
      <c r="AN304">
        <v>77</v>
      </c>
      <c r="AO304" s="1">
        <v>0</v>
      </c>
      <c r="AP304">
        <v>118</v>
      </c>
      <c r="AQ304" s="1">
        <v>0</v>
      </c>
    </row>
    <row r="305" spans="1:43" x14ac:dyDescent="0.3">
      <c r="A305" t="s">
        <v>131</v>
      </c>
      <c r="B305" t="s">
        <v>142</v>
      </c>
      <c r="C305" s="4" t="s">
        <v>40</v>
      </c>
      <c r="D305" s="1">
        <v>24082</v>
      </c>
      <c r="E305">
        <v>32</v>
      </c>
      <c r="F305">
        <v>24</v>
      </c>
      <c r="G305">
        <v>30</v>
      </c>
      <c r="H305" s="1">
        <v>0</v>
      </c>
      <c r="I305" s="1">
        <v>4278</v>
      </c>
      <c r="J305">
        <v>0</v>
      </c>
      <c r="K305" s="1">
        <v>3461</v>
      </c>
      <c r="L305">
        <v>298</v>
      </c>
      <c r="M305">
        <v>1</v>
      </c>
      <c r="N305">
        <v>240</v>
      </c>
      <c r="O305" s="1">
        <v>0</v>
      </c>
      <c r="P305">
        <v>177</v>
      </c>
      <c r="Q305">
        <v>0</v>
      </c>
      <c r="R305">
        <v>2</v>
      </c>
      <c r="S305">
        <v>5</v>
      </c>
      <c r="T305">
        <v>26</v>
      </c>
      <c r="U305">
        <v>73</v>
      </c>
      <c r="V305">
        <v>34</v>
      </c>
      <c r="W305">
        <v>1</v>
      </c>
      <c r="X305">
        <v>0</v>
      </c>
      <c r="Y305">
        <v>19</v>
      </c>
      <c r="Z305">
        <v>0</v>
      </c>
      <c r="AA305">
        <v>0</v>
      </c>
      <c r="AB305">
        <v>162</v>
      </c>
      <c r="AC305">
        <v>84</v>
      </c>
      <c r="AD305">
        <v>0</v>
      </c>
      <c r="AE305">
        <v>0</v>
      </c>
      <c r="AF305">
        <v>0</v>
      </c>
      <c r="AG305">
        <v>144</v>
      </c>
      <c r="AH305">
        <v>63</v>
      </c>
      <c r="AI305">
        <v>25</v>
      </c>
      <c r="AJ305">
        <v>574</v>
      </c>
      <c r="AK305">
        <v>96</v>
      </c>
      <c r="AL305">
        <v>237</v>
      </c>
      <c r="AM305">
        <v>101</v>
      </c>
      <c r="AN305">
        <v>0</v>
      </c>
      <c r="AO305">
        <v>108</v>
      </c>
      <c r="AP305">
        <v>214</v>
      </c>
      <c r="AQ305" s="1">
        <v>13573</v>
      </c>
    </row>
    <row r="306" spans="1:43" x14ac:dyDescent="0.3">
      <c r="A306" t="s">
        <v>131</v>
      </c>
      <c r="B306" t="s">
        <v>142</v>
      </c>
      <c r="C306" s="4" t="s">
        <v>43</v>
      </c>
      <c r="D306" s="1">
        <v>19864</v>
      </c>
      <c r="E306">
        <v>22</v>
      </c>
      <c r="F306">
        <v>10</v>
      </c>
      <c r="G306">
        <v>3</v>
      </c>
      <c r="H306" s="1">
        <v>0</v>
      </c>
      <c r="I306" s="1">
        <v>4111</v>
      </c>
      <c r="J306">
        <v>0</v>
      </c>
      <c r="K306" s="1">
        <v>1272</v>
      </c>
      <c r="L306">
        <v>83</v>
      </c>
      <c r="M306" s="1">
        <v>0</v>
      </c>
      <c r="N306">
        <v>46</v>
      </c>
      <c r="O306" s="1">
        <v>0</v>
      </c>
      <c r="P306">
        <v>7</v>
      </c>
      <c r="Q306" s="1">
        <v>0</v>
      </c>
      <c r="R306">
        <v>2</v>
      </c>
      <c r="S306">
        <v>5</v>
      </c>
      <c r="T306">
        <v>15</v>
      </c>
      <c r="U306">
        <v>73</v>
      </c>
      <c r="V306">
        <v>8</v>
      </c>
      <c r="W306">
        <v>0</v>
      </c>
      <c r="X306">
        <v>0</v>
      </c>
      <c r="Y306">
        <v>13</v>
      </c>
      <c r="Z306">
        <v>0</v>
      </c>
      <c r="AA306">
        <v>0</v>
      </c>
      <c r="AB306">
        <v>35</v>
      </c>
      <c r="AC306">
        <v>44</v>
      </c>
      <c r="AD306">
        <v>0</v>
      </c>
      <c r="AE306">
        <v>0</v>
      </c>
      <c r="AF306">
        <v>0</v>
      </c>
      <c r="AG306">
        <v>56</v>
      </c>
      <c r="AH306">
        <v>14</v>
      </c>
      <c r="AI306">
        <v>3</v>
      </c>
      <c r="AJ306">
        <v>251</v>
      </c>
      <c r="AK306">
        <v>51</v>
      </c>
      <c r="AL306">
        <v>41</v>
      </c>
      <c r="AM306">
        <v>23</v>
      </c>
      <c r="AN306">
        <v>0</v>
      </c>
      <c r="AO306">
        <v>40</v>
      </c>
      <c r="AP306">
        <v>63</v>
      </c>
      <c r="AQ306" s="1">
        <v>13573</v>
      </c>
    </row>
    <row r="307" spans="1:43" x14ac:dyDescent="0.3">
      <c r="A307" t="s">
        <v>131</v>
      </c>
      <c r="B307" t="s">
        <v>142</v>
      </c>
      <c r="C307" s="4" t="s">
        <v>44</v>
      </c>
      <c r="D307" s="1">
        <v>4218</v>
      </c>
      <c r="E307">
        <v>10</v>
      </c>
      <c r="F307">
        <v>14</v>
      </c>
      <c r="G307">
        <v>27</v>
      </c>
      <c r="H307" s="1">
        <v>0</v>
      </c>
      <c r="I307">
        <v>167</v>
      </c>
      <c r="J307">
        <v>0</v>
      </c>
      <c r="K307" s="1">
        <v>2189</v>
      </c>
      <c r="L307">
        <v>215</v>
      </c>
      <c r="M307">
        <v>1</v>
      </c>
      <c r="N307">
        <v>194</v>
      </c>
      <c r="O307" s="1">
        <v>0</v>
      </c>
      <c r="P307">
        <v>170</v>
      </c>
      <c r="Q307">
        <v>0</v>
      </c>
      <c r="R307">
        <v>0</v>
      </c>
      <c r="S307">
        <v>0</v>
      </c>
      <c r="T307">
        <v>11</v>
      </c>
      <c r="U307">
        <v>0</v>
      </c>
      <c r="V307">
        <v>26</v>
      </c>
      <c r="W307">
        <v>1</v>
      </c>
      <c r="X307">
        <v>0</v>
      </c>
      <c r="Y307">
        <v>6</v>
      </c>
      <c r="Z307">
        <v>0</v>
      </c>
      <c r="AA307">
        <v>0</v>
      </c>
      <c r="AB307">
        <v>127</v>
      </c>
      <c r="AC307">
        <v>40</v>
      </c>
      <c r="AD307">
        <v>0</v>
      </c>
      <c r="AE307">
        <v>0</v>
      </c>
      <c r="AF307">
        <v>0</v>
      </c>
      <c r="AG307">
        <v>88</v>
      </c>
      <c r="AH307">
        <v>49</v>
      </c>
      <c r="AI307">
        <v>22</v>
      </c>
      <c r="AJ307">
        <v>323</v>
      </c>
      <c r="AK307">
        <v>45</v>
      </c>
      <c r="AL307">
        <v>196</v>
      </c>
      <c r="AM307">
        <v>78</v>
      </c>
      <c r="AN307">
        <v>0</v>
      </c>
      <c r="AO307">
        <v>68</v>
      </c>
      <c r="AP307">
        <v>151</v>
      </c>
      <c r="AQ307" s="1">
        <v>0</v>
      </c>
    </row>
    <row r="308" spans="1:43" x14ac:dyDescent="0.3">
      <c r="A308" t="s">
        <v>131</v>
      </c>
      <c r="B308" t="s">
        <v>143</v>
      </c>
      <c r="C308" s="4" t="s">
        <v>40</v>
      </c>
      <c r="D308" s="1">
        <v>21744</v>
      </c>
      <c r="E308">
        <v>127</v>
      </c>
      <c r="F308">
        <v>60</v>
      </c>
      <c r="G308">
        <v>1</v>
      </c>
      <c r="H308" s="1">
        <v>17881</v>
      </c>
      <c r="I308">
        <v>33</v>
      </c>
      <c r="J308">
        <v>0</v>
      </c>
      <c r="K308">
        <v>3</v>
      </c>
      <c r="L308">
        <v>203</v>
      </c>
      <c r="M308">
        <v>7</v>
      </c>
      <c r="N308">
        <v>471</v>
      </c>
      <c r="O308" s="1">
        <v>0</v>
      </c>
      <c r="P308">
        <v>63</v>
      </c>
      <c r="Q308">
        <v>0</v>
      </c>
      <c r="R308">
        <v>8</v>
      </c>
      <c r="S308">
        <v>59</v>
      </c>
      <c r="T308">
        <v>76</v>
      </c>
      <c r="U308">
        <v>46</v>
      </c>
      <c r="V308">
        <v>5</v>
      </c>
      <c r="W308">
        <v>26</v>
      </c>
      <c r="X308">
        <v>0</v>
      </c>
      <c r="Y308">
        <v>1</v>
      </c>
      <c r="Z308">
        <v>28</v>
      </c>
      <c r="AA308">
        <v>12</v>
      </c>
      <c r="AB308">
        <v>54</v>
      </c>
      <c r="AC308">
        <v>66</v>
      </c>
      <c r="AD308">
        <v>0</v>
      </c>
      <c r="AE308">
        <v>0</v>
      </c>
      <c r="AF308">
        <v>0</v>
      </c>
      <c r="AG308">
        <v>2</v>
      </c>
      <c r="AH308">
        <v>36</v>
      </c>
      <c r="AI308">
        <v>87</v>
      </c>
      <c r="AJ308">
        <v>107</v>
      </c>
      <c r="AK308">
        <v>31</v>
      </c>
      <c r="AL308">
        <v>160</v>
      </c>
      <c r="AM308">
        <v>0</v>
      </c>
      <c r="AN308">
        <v>107</v>
      </c>
      <c r="AO308">
        <v>0</v>
      </c>
      <c r="AP308">
        <v>548</v>
      </c>
      <c r="AQ308" s="1">
        <v>1436</v>
      </c>
    </row>
    <row r="309" spans="1:43" x14ac:dyDescent="0.3">
      <c r="A309" t="s">
        <v>131</v>
      </c>
      <c r="B309" t="s">
        <v>143</v>
      </c>
      <c r="C309" s="4" t="s">
        <v>43</v>
      </c>
      <c r="D309" s="1">
        <v>11978</v>
      </c>
      <c r="E309">
        <v>82</v>
      </c>
      <c r="F309">
        <v>34</v>
      </c>
      <c r="G309">
        <v>0</v>
      </c>
      <c r="H309" s="1">
        <v>9231</v>
      </c>
      <c r="I309">
        <v>28</v>
      </c>
      <c r="J309">
        <v>0</v>
      </c>
      <c r="K309">
        <v>2</v>
      </c>
      <c r="L309">
        <v>148</v>
      </c>
      <c r="M309">
        <v>0</v>
      </c>
      <c r="N309">
        <v>183</v>
      </c>
      <c r="O309" s="1">
        <v>0</v>
      </c>
      <c r="P309">
        <v>15</v>
      </c>
      <c r="Q309">
        <v>0</v>
      </c>
      <c r="R309">
        <v>3</v>
      </c>
      <c r="S309">
        <v>59</v>
      </c>
      <c r="T309">
        <v>72</v>
      </c>
      <c r="U309">
        <v>41</v>
      </c>
      <c r="V309">
        <v>1</v>
      </c>
      <c r="W309">
        <v>23</v>
      </c>
      <c r="X309">
        <v>0</v>
      </c>
      <c r="Y309">
        <v>1</v>
      </c>
      <c r="Z309">
        <v>19</v>
      </c>
      <c r="AA309">
        <v>11</v>
      </c>
      <c r="AB309">
        <v>14</v>
      </c>
      <c r="AC309">
        <v>39</v>
      </c>
      <c r="AD309">
        <v>0</v>
      </c>
      <c r="AE309">
        <v>0</v>
      </c>
      <c r="AF309">
        <v>0</v>
      </c>
      <c r="AG309">
        <v>1</v>
      </c>
      <c r="AH309">
        <v>23</v>
      </c>
      <c r="AI309">
        <v>25</v>
      </c>
      <c r="AJ309">
        <v>61</v>
      </c>
      <c r="AK309">
        <v>21</v>
      </c>
      <c r="AL309">
        <v>104</v>
      </c>
      <c r="AM309">
        <v>0</v>
      </c>
      <c r="AN309">
        <v>36</v>
      </c>
      <c r="AO309">
        <v>0</v>
      </c>
      <c r="AP309">
        <v>265</v>
      </c>
      <c r="AQ309" s="1">
        <v>1436</v>
      </c>
    </row>
    <row r="310" spans="1:43" x14ac:dyDescent="0.3">
      <c r="A310" t="s">
        <v>131</v>
      </c>
      <c r="B310" t="s">
        <v>143</v>
      </c>
      <c r="C310" s="4" t="s">
        <v>44</v>
      </c>
      <c r="D310" s="1">
        <v>9766</v>
      </c>
      <c r="E310">
        <v>45</v>
      </c>
      <c r="F310">
        <v>26</v>
      </c>
      <c r="G310">
        <v>1</v>
      </c>
      <c r="H310" s="1">
        <v>8650</v>
      </c>
      <c r="I310">
        <v>5</v>
      </c>
      <c r="J310">
        <v>0</v>
      </c>
      <c r="K310">
        <v>1</v>
      </c>
      <c r="L310">
        <v>55</v>
      </c>
      <c r="M310">
        <v>7</v>
      </c>
      <c r="N310">
        <v>288</v>
      </c>
      <c r="O310" s="1">
        <v>0</v>
      </c>
      <c r="P310">
        <v>48</v>
      </c>
      <c r="Q310">
        <v>0</v>
      </c>
      <c r="R310">
        <v>5</v>
      </c>
      <c r="S310">
        <v>0</v>
      </c>
      <c r="T310">
        <v>4</v>
      </c>
      <c r="U310">
        <v>5</v>
      </c>
      <c r="V310">
        <v>4</v>
      </c>
      <c r="W310">
        <v>3</v>
      </c>
      <c r="X310">
        <v>0</v>
      </c>
      <c r="Y310">
        <v>0</v>
      </c>
      <c r="Z310">
        <v>9</v>
      </c>
      <c r="AA310">
        <v>1</v>
      </c>
      <c r="AB310">
        <v>40</v>
      </c>
      <c r="AC310">
        <v>27</v>
      </c>
      <c r="AD310">
        <v>0</v>
      </c>
      <c r="AE310">
        <v>0</v>
      </c>
      <c r="AF310">
        <v>0</v>
      </c>
      <c r="AG310">
        <v>1</v>
      </c>
      <c r="AH310">
        <v>13</v>
      </c>
      <c r="AI310">
        <v>62</v>
      </c>
      <c r="AJ310">
        <v>46</v>
      </c>
      <c r="AK310">
        <v>10</v>
      </c>
      <c r="AL310">
        <v>56</v>
      </c>
      <c r="AM310">
        <v>0</v>
      </c>
      <c r="AN310">
        <v>71</v>
      </c>
      <c r="AO310">
        <v>0</v>
      </c>
      <c r="AP310">
        <v>283</v>
      </c>
      <c r="AQ310" s="1">
        <v>0</v>
      </c>
    </row>
    <row r="311" spans="1:43" x14ac:dyDescent="0.3">
      <c r="A311" t="s">
        <v>131</v>
      </c>
      <c r="B311" t="s">
        <v>144</v>
      </c>
      <c r="C311" s="4" t="s">
        <v>40</v>
      </c>
      <c r="D311" s="1">
        <v>19038</v>
      </c>
      <c r="E311">
        <v>86</v>
      </c>
      <c r="F311">
        <v>107</v>
      </c>
      <c r="G311">
        <v>9</v>
      </c>
      <c r="H311" s="1">
        <v>11779</v>
      </c>
      <c r="I311" s="1">
        <v>1099</v>
      </c>
      <c r="J311">
        <v>0</v>
      </c>
      <c r="K311">
        <v>1</v>
      </c>
      <c r="L311">
        <v>34</v>
      </c>
      <c r="M311">
        <v>0</v>
      </c>
      <c r="N311">
        <v>203</v>
      </c>
      <c r="O311" s="1">
        <v>0</v>
      </c>
      <c r="P311">
        <v>30</v>
      </c>
      <c r="Q311">
        <v>0</v>
      </c>
      <c r="R311">
        <v>0</v>
      </c>
      <c r="S311">
        <v>3</v>
      </c>
      <c r="T311">
        <v>16</v>
      </c>
      <c r="U311">
        <v>72</v>
      </c>
      <c r="V311">
        <v>7</v>
      </c>
      <c r="W311">
        <v>15</v>
      </c>
      <c r="X311">
        <v>0</v>
      </c>
      <c r="Y311">
        <v>5</v>
      </c>
      <c r="Z311">
        <v>0</v>
      </c>
      <c r="AA311">
        <v>0</v>
      </c>
      <c r="AB311">
        <v>7</v>
      </c>
      <c r="AC311">
        <v>41</v>
      </c>
      <c r="AD311">
        <v>0</v>
      </c>
      <c r="AE311">
        <v>0</v>
      </c>
      <c r="AF311">
        <v>0</v>
      </c>
      <c r="AG311">
        <v>7</v>
      </c>
      <c r="AH311">
        <v>39</v>
      </c>
      <c r="AI311">
        <v>28</v>
      </c>
      <c r="AJ311">
        <v>1</v>
      </c>
      <c r="AK311">
        <v>35</v>
      </c>
      <c r="AL311">
        <v>84</v>
      </c>
      <c r="AM311">
        <v>0</v>
      </c>
      <c r="AN311">
        <v>0</v>
      </c>
      <c r="AO311">
        <v>0</v>
      </c>
      <c r="AP311">
        <v>490</v>
      </c>
      <c r="AQ311" s="1">
        <v>4840</v>
      </c>
    </row>
    <row r="312" spans="1:43" x14ac:dyDescent="0.3">
      <c r="A312" t="s">
        <v>131</v>
      </c>
      <c r="B312" t="s">
        <v>144</v>
      </c>
      <c r="C312" s="4" t="s">
        <v>43</v>
      </c>
      <c r="D312" s="1">
        <v>11668</v>
      </c>
      <c r="E312">
        <v>46</v>
      </c>
      <c r="F312">
        <v>87</v>
      </c>
      <c r="G312">
        <v>0</v>
      </c>
      <c r="H312" s="1">
        <v>5147</v>
      </c>
      <c r="I312" s="1">
        <v>1075</v>
      </c>
      <c r="J312">
        <v>0</v>
      </c>
      <c r="K312">
        <v>1</v>
      </c>
      <c r="L312">
        <v>22</v>
      </c>
      <c r="M312">
        <v>0</v>
      </c>
      <c r="N312">
        <v>70</v>
      </c>
      <c r="O312" s="1">
        <v>0</v>
      </c>
      <c r="P312">
        <v>5</v>
      </c>
      <c r="Q312">
        <v>0</v>
      </c>
      <c r="R312">
        <v>0</v>
      </c>
      <c r="S312">
        <v>3</v>
      </c>
      <c r="T312">
        <v>0</v>
      </c>
      <c r="U312">
        <v>69</v>
      </c>
      <c r="V312">
        <v>0</v>
      </c>
      <c r="W312">
        <v>11</v>
      </c>
      <c r="X312">
        <v>0</v>
      </c>
      <c r="Y312">
        <v>3</v>
      </c>
      <c r="Z312">
        <v>0</v>
      </c>
      <c r="AA312">
        <v>0</v>
      </c>
      <c r="AB312">
        <v>3</v>
      </c>
      <c r="AC312">
        <v>16</v>
      </c>
      <c r="AD312">
        <v>0</v>
      </c>
      <c r="AE312">
        <v>0</v>
      </c>
      <c r="AF312">
        <v>0</v>
      </c>
      <c r="AG312">
        <v>2</v>
      </c>
      <c r="AH312">
        <v>6</v>
      </c>
      <c r="AI312">
        <v>10</v>
      </c>
      <c r="AJ312">
        <v>0</v>
      </c>
      <c r="AK312">
        <v>10</v>
      </c>
      <c r="AL312">
        <v>24</v>
      </c>
      <c r="AM312">
        <v>0</v>
      </c>
      <c r="AN312">
        <v>0</v>
      </c>
      <c r="AO312">
        <v>0</v>
      </c>
      <c r="AP312">
        <v>218</v>
      </c>
      <c r="AQ312" s="1">
        <v>4840</v>
      </c>
    </row>
    <row r="313" spans="1:43" x14ac:dyDescent="0.3">
      <c r="A313" t="s">
        <v>131</v>
      </c>
      <c r="B313" t="s">
        <v>144</v>
      </c>
      <c r="C313" s="4" t="s">
        <v>44</v>
      </c>
      <c r="D313" s="1">
        <v>7370</v>
      </c>
      <c r="E313">
        <v>40</v>
      </c>
      <c r="F313">
        <v>20</v>
      </c>
      <c r="G313">
        <v>9</v>
      </c>
      <c r="H313" s="1">
        <v>6632</v>
      </c>
      <c r="I313">
        <v>24</v>
      </c>
      <c r="J313">
        <v>0</v>
      </c>
      <c r="K313">
        <v>0</v>
      </c>
      <c r="L313">
        <v>12</v>
      </c>
      <c r="M313">
        <v>0</v>
      </c>
      <c r="N313">
        <v>133</v>
      </c>
      <c r="O313" s="1">
        <v>0</v>
      </c>
      <c r="P313">
        <v>25</v>
      </c>
      <c r="Q313">
        <v>0</v>
      </c>
      <c r="R313">
        <v>0</v>
      </c>
      <c r="S313">
        <v>0</v>
      </c>
      <c r="T313">
        <v>16</v>
      </c>
      <c r="U313">
        <v>3</v>
      </c>
      <c r="V313">
        <v>7</v>
      </c>
      <c r="W313">
        <v>4</v>
      </c>
      <c r="X313">
        <v>0</v>
      </c>
      <c r="Y313">
        <v>2</v>
      </c>
      <c r="Z313">
        <v>0</v>
      </c>
      <c r="AA313">
        <v>0</v>
      </c>
      <c r="AB313">
        <v>4</v>
      </c>
      <c r="AC313">
        <v>25</v>
      </c>
      <c r="AD313">
        <v>0</v>
      </c>
      <c r="AE313">
        <v>0</v>
      </c>
      <c r="AF313">
        <v>0</v>
      </c>
      <c r="AG313">
        <v>5</v>
      </c>
      <c r="AH313">
        <v>33</v>
      </c>
      <c r="AI313">
        <v>18</v>
      </c>
      <c r="AJ313">
        <v>1</v>
      </c>
      <c r="AK313">
        <v>25</v>
      </c>
      <c r="AL313">
        <v>60</v>
      </c>
      <c r="AM313">
        <v>0</v>
      </c>
      <c r="AN313">
        <v>0</v>
      </c>
      <c r="AO313">
        <v>0</v>
      </c>
      <c r="AP313">
        <v>272</v>
      </c>
      <c r="AQ313" s="1">
        <v>0</v>
      </c>
    </row>
    <row r="314" spans="1:43" x14ac:dyDescent="0.3">
      <c r="A314" t="s">
        <v>131</v>
      </c>
      <c r="B314" t="s">
        <v>145</v>
      </c>
      <c r="C314" s="4" t="s">
        <v>40</v>
      </c>
      <c r="D314" s="1">
        <v>18161</v>
      </c>
      <c r="E314">
        <v>171</v>
      </c>
      <c r="F314">
        <v>39</v>
      </c>
      <c r="G314">
        <v>1</v>
      </c>
      <c r="H314" s="1">
        <v>15234</v>
      </c>
      <c r="I314">
        <v>137</v>
      </c>
      <c r="J314">
        <v>1</v>
      </c>
      <c r="K314">
        <v>2</v>
      </c>
      <c r="L314">
        <v>153</v>
      </c>
      <c r="M314">
        <v>1</v>
      </c>
      <c r="N314">
        <v>498</v>
      </c>
      <c r="O314" s="1">
        <v>0</v>
      </c>
      <c r="P314">
        <v>41</v>
      </c>
      <c r="Q314">
        <v>0</v>
      </c>
      <c r="R314">
        <v>3</v>
      </c>
      <c r="S314">
        <v>5</v>
      </c>
      <c r="T314">
        <v>174</v>
      </c>
      <c r="U314">
        <v>52</v>
      </c>
      <c r="V314">
        <v>5</v>
      </c>
      <c r="W314">
        <v>13</v>
      </c>
      <c r="X314">
        <v>0</v>
      </c>
      <c r="Y314">
        <v>10</v>
      </c>
      <c r="Z314">
        <v>7</v>
      </c>
      <c r="AA314">
        <v>3</v>
      </c>
      <c r="AB314">
        <v>10</v>
      </c>
      <c r="AC314">
        <v>152</v>
      </c>
      <c r="AD314">
        <v>0</v>
      </c>
      <c r="AE314">
        <v>0</v>
      </c>
      <c r="AF314">
        <v>0</v>
      </c>
      <c r="AG314">
        <v>3</v>
      </c>
      <c r="AH314">
        <v>14</v>
      </c>
      <c r="AI314">
        <v>120</v>
      </c>
      <c r="AJ314">
        <v>66</v>
      </c>
      <c r="AK314">
        <v>19</v>
      </c>
      <c r="AL314">
        <v>124</v>
      </c>
      <c r="AM314">
        <v>0</v>
      </c>
      <c r="AN314">
        <v>65</v>
      </c>
      <c r="AO314">
        <v>0</v>
      </c>
      <c r="AP314">
        <v>265</v>
      </c>
      <c r="AQ314">
        <v>773</v>
      </c>
    </row>
    <row r="315" spans="1:43" x14ac:dyDescent="0.3">
      <c r="A315" t="s">
        <v>131</v>
      </c>
      <c r="B315" t="s">
        <v>145</v>
      </c>
      <c r="C315" s="4" t="s">
        <v>43</v>
      </c>
      <c r="D315" s="1">
        <v>10521</v>
      </c>
      <c r="E315">
        <v>102</v>
      </c>
      <c r="F315">
        <v>30</v>
      </c>
      <c r="G315">
        <v>1</v>
      </c>
      <c r="H315" s="1">
        <v>8318</v>
      </c>
      <c r="I315">
        <v>121</v>
      </c>
      <c r="J315">
        <v>1</v>
      </c>
      <c r="K315">
        <v>2</v>
      </c>
      <c r="L315">
        <v>138</v>
      </c>
      <c r="M315">
        <v>0</v>
      </c>
      <c r="N315">
        <v>268</v>
      </c>
      <c r="O315" s="1">
        <v>0</v>
      </c>
      <c r="P315">
        <v>12</v>
      </c>
      <c r="Q315">
        <v>0</v>
      </c>
      <c r="R315">
        <v>0</v>
      </c>
      <c r="S315">
        <v>5</v>
      </c>
      <c r="T315">
        <v>158</v>
      </c>
      <c r="U315">
        <v>52</v>
      </c>
      <c r="V315">
        <v>1</v>
      </c>
      <c r="W315">
        <v>13</v>
      </c>
      <c r="X315">
        <v>0</v>
      </c>
      <c r="Y315">
        <v>10</v>
      </c>
      <c r="Z315">
        <v>0</v>
      </c>
      <c r="AA315">
        <v>3</v>
      </c>
      <c r="AB315">
        <v>9</v>
      </c>
      <c r="AC315">
        <v>139</v>
      </c>
      <c r="AD315">
        <v>0</v>
      </c>
      <c r="AE315">
        <v>0</v>
      </c>
      <c r="AF315">
        <v>0</v>
      </c>
      <c r="AG315">
        <v>1</v>
      </c>
      <c r="AH315">
        <v>12</v>
      </c>
      <c r="AI315">
        <v>50</v>
      </c>
      <c r="AJ315">
        <v>22</v>
      </c>
      <c r="AK315">
        <v>17</v>
      </c>
      <c r="AL315">
        <v>99</v>
      </c>
      <c r="AM315">
        <v>0</v>
      </c>
      <c r="AN315">
        <v>25</v>
      </c>
      <c r="AO315">
        <v>0</v>
      </c>
      <c r="AP315">
        <v>139</v>
      </c>
      <c r="AQ315">
        <v>773</v>
      </c>
    </row>
    <row r="316" spans="1:43" x14ac:dyDescent="0.3">
      <c r="A316" t="s">
        <v>131</v>
      </c>
      <c r="B316" t="s">
        <v>145</v>
      </c>
      <c r="C316" s="4" t="s">
        <v>44</v>
      </c>
      <c r="D316" s="1">
        <v>7640</v>
      </c>
      <c r="E316">
        <v>69</v>
      </c>
      <c r="F316">
        <v>9</v>
      </c>
      <c r="G316">
        <v>0</v>
      </c>
      <c r="H316" s="1">
        <v>6916</v>
      </c>
      <c r="I316">
        <v>16</v>
      </c>
      <c r="J316">
        <v>0</v>
      </c>
      <c r="K316">
        <v>0</v>
      </c>
      <c r="L316">
        <v>15</v>
      </c>
      <c r="M316">
        <v>1</v>
      </c>
      <c r="N316">
        <v>230</v>
      </c>
      <c r="O316" s="1">
        <v>0</v>
      </c>
      <c r="P316">
        <v>29</v>
      </c>
      <c r="Q316">
        <v>0</v>
      </c>
      <c r="R316">
        <v>3</v>
      </c>
      <c r="S316">
        <v>0</v>
      </c>
      <c r="T316">
        <v>16</v>
      </c>
      <c r="U316">
        <v>0</v>
      </c>
      <c r="V316">
        <v>4</v>
      </c>
      <c r="W316">
        <v>0</v>
      </c>
      <c r="X316">
        <v>0</v>
      </c>
      <c r="Y316">
        <v>0</v>
      </c>
      <c r="Z316">
        <v>7</v>
      </c>
      <c r="AA316">
        <v>0</v>
      </c>
      <c r="AB316">
        <v>1</v>
      </c>
      <c r="AC316">
        <v>13</v>
      </c>
      <c r="AD316">
        <v>0</v>
      </c>
      <c r="AE316">
        <v>0</v>
      </c>
      <c r="AF316">
        <v>0</v>
      </c>
      <c r="AG316">
        <v>2</v>
      </c>
      <c r="AH316">
        <v>2</v>
      </c>
      <c r="AI316">
        <v>70</v>
      </c>
      <c r="AJ316">
        <v>44</v>
      </c>
      <c r="AK316">
        <v>2</v>
      </c>
      <c r="AL316">
        <v>25</v>
      </c>
      <c r="AM316">
        <v>0</v>
      </c>
      <c r="AN316">
        <v>40</v>
      </c>
      <c r="AO316">
        <v>0</v>
      </c>
      <c r="AP316">
        <v>126</v>
      </c>
      <c r="AQ316" s="1">
        <v>0</v>
      </c>
    </row>
    <row r="317" spans="1:43" x14ac:dyDescent="0.3">
      <c r="A317" t="s">
        <v>131</v>
      </c>
      <c r="B317" t="s">
        <v>146</v>
      </c>
      <c r="C317" s="4" t="s">
        <v>40</v>
      </c>
      <c r="D317" s="1">
        <v>17664</v>
      </c>
      <c r="E317">
        <v>82</v>
      </c>
      <c r="F317">
        <v>56</v>
      </c>
      <c r="G317">
        <v>2</v>
      </c>
      <c r="H317" s="1">
        <v>14818</v>
      </c>
      <c r="I317">
        <v>14</v>
      </c>
      <c r="J317">
        <v>1</v>
      </c>
      <c r="K317">
        <v>3</v>
      </c>
      <c r="L317">
        <v>124</v>
      </c>
      <c r="M317">
        <v>0</v>
      </c>
      <c r="N317">
        <v>198</v>
      </c>
      <c r="O317" s="1">
        <v>0</v>
      </c>
      <c r="P317">
        <v>24</v>
      </c>
      <c r="Q317">
        <v>0</v>
      </c>
      <c r="R317">
        <v>6</v>
      </c>
      <c r="S317">
        <v>1</v>
      </c>
      <c r="T317">
        <v>77</v>
      </c>
      <c r="U317">
        <v>12</v>
      </c>
      <c r="V317">
        <v>9</v>
      </c>
      <c r="W317">
        <v>5</v>
      </c>
      <c r="X317">
        <v>2</v>
      </c>
      <c r="Y317">
        <v>7</v>
      </c>
      <c r="Z317">
        <v>12</v>
      </c>
      <c r="AA317">
        <v>0</v>
      </c>
      <c r="AB317">
        <v>52</v>
      </c>
      <c r="AC317">
        <v>57</v>
      </c>
      <c r="AD317">
        <v>0</v>
      </c>
      <c r="AE317">
        <v>0</v>
      </c>
      <c r="AF317">
        <v>0</v>
      </c>
      <c r="AG317">
        <v>6</v>
      </c>
      <c r="AH317">
        <v>17</v>
      </c>
      <c r="AI317">
        <v>22</v>
      </c>
      <c r="AJ317">
        <v>5</v>
      </c>
      <c r="AK317">
        <v>15</v>
      </c>
      <c r="AL317">
        <v>75</v>
      </c>
      <c r="AM317">
        <v>0</v>
      </c>
      <c r="AN317">
        <v>50</v>
      </c>
      <c r="AO317">
        <v>0</v>
      </c>
      <c r="AP317">
        <v>625</v>
      </c>
      <c r="AQ317" s="1">
        <v>1287</v>
      </c>
    </row>
    <row r="318" spans="1:43" x14ac:dyDescent="0.3">
      <c r="A318" t="s">
        <v>131</v>
      </c>
      <c r="B318" t="s">
        <v>146</v>
      </c>
      <c r="C318" s="4" t="s">
        <v>43</v>
      </c>
      <c r="D318" s="1">
        <v>9210</v>
      </c>
      <c r="E318">
        <v>19</v>
      </c>
      <c r="F318">
        <v>36</v>
      </c>
      <c r="G318">
        <v>1</v>
      </c>
      <c r="H318" s="1">
        <v>7057</v>
      </c>
      <c r="I318">
        <v>13</v>
      </c>
      <c r="J318">
        <v>1</v>
      </c>
      <c r="K318">
        <v>1</v>
      </c>
      <c r="L318">
        <v>110</v>
      </c>
      <c r="M318">
        <v>0</v>
      </c>
      <c r="N318">
        <v>90</v>
      </c>
      <c r="O318" s="1">
        <v>0</v>
      </c>
      <c r="P318">
        <v>4</v>
      </c>
      <c r="Q318">
        <v>0</v>
      </c>
      <c r="R318">
        <v>0</v>
      </c>
      <c r="S318">
        <v>1</v>
      </c>
      <c r="T318">
        <v>63</v>
      </c>
      <c r="U318">
        <v>12</v>
      </c>
      <c r="V318">
        <v>6</v>
      </c>
      <c r="W318">
        <v>3</v>
      </c>
      <c r="X318">
        <v>0</v>
      </c>
      <c r="Y318">
        <v>5</v>
      </c>
      <c r="Z318">
        <v>12</v>
      </c>
      <c r="AA318">
        <v>0</v>
      </c>
      <c r="AB318">
        <v>51</v>
      </c>
      <c r="AC318">
        <v>48</v>
      </c>
      <c r="AD318">
        <v>0</v>
      </c>
      <c r="AE318">
        <v>0</v>
      </c>
      <c r="AF318">
        <v>0</v>
      </c>
      <c r="AG318">
        <v>6</v>
      </c>
      <c r="AH318">
        <v>7</v>
      </c>
      <c r="AI318">
        <v>11</v>
      </c>
      <c r="AJ318">
        <v>2</v>
      </c>
      <c r="AK318">
        <v>15</v>
      </c>
      <c r="AL318">
        <v>33</v>
      </c>
      <c r="AM318">
        <v>0</v>
      </c>
      <c r="AN318">
        <v>12</v>
      </c>
      <c r="AO318">
        <v>0</v>
      </c>
      <c r="AP318">
        <v>304</v>
      </c>
      <c r="AQ318" s="1">
        <v>1287</v>
      </c>
    </row>
    <row r="319" spans="1:43" x14ac:dyDescent="0.3">
      <c r="A319" t="s">
        <v>131</v>
      </c>
      <c r="B319" t="s">
        <v>146</v>
      </c>
      <c r="C319" s="4" t="s">
        <v>44</v>
      </c>
      <c r="D319" s="1">
        <v>8454</v>
      </c>
      <c r="E319">
        <v>63</v>
      </c>
      <c r="F319">
        <v>20</v>
      </c>
      <c r="G319">
        <v>1</v>
      </c>
      <c r="H319" s="1">
        <v>7761</v>
      </c>
      <c r="I319">
        <v>1</v>
      </c>
      <c r="J319">
        <v>0</v>
      </c>
      <c r="K319">
        <v>2</v>
      </c>
      <c r="L319">
        <v>14</v>
      </c>
      <c r="M319">
        <v>0</v>
      </c>
      <c r="N319">
        <v>108</v>
      </c>
      <c r="O319" s="1">
        <v>0</v>
      </c>
      <c r="P319">
        <v>20</v>
      </c>
      <c r="Q319">
        <v>0</v>
      </c>
      <c r="R319">
        <v>6</v>
      </c>
      <c r="S319">
        <v>0</v>
      </c>
      <c r="T319">
        <v>14</v>
      </c>
      <c r="U319">
        <v>0</v>
      </c>
      <c r="V319">
        <v>3</v>
      </c>
      <c r="W319">
        <v>2</v>
      </c>
      <c r="X319">
        <v>2</v>
      </c>
      <c r="Y319">
        <v>2</v>
      </c>
      <c r="Z319">
        <v>0</v>
      </c>
      <c r="AA319">
        <v>0</v>
      </c>
      <c r="AB319">
        <v>1</v>
      </c>
      <c r="AC319">
        <v>9</v>
      </c>
      <c r="AD319">
        <v>0</v>
      </c>
      <c r="AE319">
        <v>0</v>
      </c>
      <c r="AF319">
        <v>0</v>
      </c>
      <c r="AG319">
        <v>0</v>
      </c>
      <c r="AH319">
        <v>10</v>
      </c>
      <c r="AI319">
        <v>11</v>
      </c>
      <c r="AJ319">
        <v>3</v>
      </c>
      <c r="AK319">
        <v>0</v>
      </c>
      <c r="AL319">
        <v>42</v>
      </c>
      <c r="AM319">
        <v>0</v>
      </c>
      <c r="AN319">
        <v>38</v>
      </c>
      <c r="AO319">
        <v>0</v>
      </c>
      <c r="AP319">
        <v>321</v>
      </c>
      <c r="AQ319" s="1">
        <v>0</v>
      </c>
    </row>
    <row r="320" spans="1:43" x14ac:dyDescent="0.3">
      <c r="A320" t="s">
        <v>131</v>
      </c>
      <c r="B320" t="s">
        <v>147</v>
      </c>
      <c r="C320" s="4" t="s">
        <v>40</v>
      </c>
      <c r="D320" s="1">
        <v>17415</v>
      </c>
      <c r="E320">
        <v>150</v>
      </c>
      <c r="F320">
        <v>18</v>
      </c>
      <c r="G320">
        <v>1</v>
      </c>
      <c r="H320" s="1">
        <v>14193</v>
      </c>
      <c r="I320">
        <v>4</v>
      </c>
      <c r="J320">
        <v>3</v>
      </c>
      <c r="K320">
        <v>21</v>
      </c>
      <c r="L320">
        <v>392</v>
      </c>
      <c r="M320">
        <v>1</v>
      </c>
      <c r="N320">
        <v>301</v>
      </c>
      <c r="O320" s="1">
        <v>0</v>
      </c>
      <c r="P320">
        <v>37</v>
      </c>
      <c r="Q320">
        <v>0</v>
      </c>
      <c r="R320">
        <v>4</v>
      </c>
      <c r="S320">
        <v>6</v>
      </c>
      <c r="T320">
        <v>64</v>
      </c>
      <c r="U320">
        <v>5</v>
      </c>
      <c r="V320">
        <v>13</v>
      </c>
      <c r="W320">
        <v>23</v>
      </c>
      <c r="X320">
        <v>0</v>
      </c>
      <c r="Y320">
        <v>2</v>
      </c>
      <c r="Z320">
        <v>7</v>
      </c>
      <c r="AA320">
        <v>4</v>
      </c>
      <c r="AB320">
        <v>16</v>
      </c>
      <c r="AC320">
        <v>66</v>
      </c>
      <c r="AD320">
        <v>0</v>
      </c>
      <c r="AE320">
        <v>0</v>
      </c>
      <c r="AF320">
        <v>0</v>
      </c>
      <c r="AG320">
        <v>0</v>
      </c>
      <c r="AH320">
        <v>15</v>
      </c>
      <c r="AI320">
        <v>2</v>
      </c>
      <c r="AJ320">
        <v>134</v>
      </c>
      <c r="AK320">
        <v>41</v>
      </c>
      <c r="AL320">
        <v>98</v>
      </c>
      <c r="AM320">
        <v>0</v>
      </c>
      <c r="AN320">
        <v>64</v>
      </c>
      <c r="AO320">
        <v>0</v>
      </c>
      <c r="AP320">
        <v>702</v>
      </c>
      <c r="AQ320" s="1">
        <v>1028</v>
      </c>
    </row>
    <row r="321" spans="1:43" x14ac:dyDescent="0.3">
      <c r="A321" t="s">
        <v>131</v>
      </c>
      <c r="B321" t="s">
        <v>147</v>
      </c>
      <c r="C321" s="4" t="s">
        <v>43</v>
      </c>
      <c r="D321" s="1">
        <v>10125</v>
      </c>
      <c r="E321">
        <v>81</v>
      </c>
      <c r="F321">
        <v>14</v>
      </c>
      <c r="G321">
        <v>0</v>
      </c>
      <c r="H321" s="1">
        <v>7844</v>
      </c>
      <c r="I321">
        <v>2</v>
      </c>
      <c r="J321">
        <v>2</v>
      </c>
      <c r="K321">
        <v>14</v>
      </c>
      <c r="L321">
        <v>332</v>
      </c>
      <c r="M321">
        <v>1</v>
      </c>
      <c r="N321">
        <v>120</v>
      </c>
      <c r="O321" s="1">
        <v>0</v>
      </c>
      <c r="P321">
        <v>9</v>
      </c>
      <c r="Q321">
        <v>0</v>
      </c>
      <c r="R321">
        <v>0</v>
      </c>
      <c r="S321">
        <v>6</v>
      </c>
      <c r="T321">
        <v>53</v>
      </c>
      <c r="U321">
        <v>3</v>
      </c>
      <c r="V321">
        <v>3</v>
      </c>
      <c r="W321">
        <v>23</v>
      </c>
      <c r="X321">
        <v>0</v>
      </c>
      <c r="Y321">
        <v>2</v>
      </c>
      <c r="Z321">
        <v>7</v>
      </c>
      <c r="AA321">
        <v>4</v>
      </c>
      <c r="AB321">
        <v>3</v>
      </c>
      <c r="AC321">
        <v>38</v>
      </c>
      <c r="AD321">
        <v>0</v>
      </c>
      <c r="AE321">
        <v>0</v>
      </c>
      <c r="AF321">
        <v>0</v>
      </c>
      <c r="AG321">
        <v>0</v>
      </c>
      <c r="AH321">
        <v>14</v>
      </c>
      <c r="AI321">
        <v>0</v>
      </c>
      <c r="AJ321">
        <v>64</v>
      </c>
      <c r="AK321">
        <v>27</v>
      </c>
      <c r="AL321">
        <v>66</v>
      </c>
      <c r="AM321">
        <v>0</v>
      </c>
      <c r="AN321">
        <v>13</v>
      </c>
      <c r="AO321">
        <v>0</v>
      </c>
      <c r="AP321">
        <v>352</v>
      </c>
      <c r="AQ321" s="1">
        <v>1028</v>
      </c>
    </row>
    <row r="322" spans="1:43" x14ac:dyDescent="0.3">
      <c r="A322" t="s">
        <v>131</v>
      </c>
      <c r="B322" t="s">
        <v>147</v>
      </c>
      <c r="C322" s="4" t="s">
        <v>44</v>
      </c>
      <c r="D322" s="1">
        <v>7290</v>
      </c>
      <c r="E322">
        <v>69</v>
      </c>
      <c r="F322">
        <v>4</v>
      </c>
      <c r="G322">
        <v>1</v>
      </c>
      <c r="H322" s="1">
        <v>6349</v>
      </c>
      <c r="I322">
        <v>2</v>
      </c>
      <c r="J322">
        <v>1</v>
      </c>
      <c r="K322">
        <v>7</v>
      </c>
      <c r="L322">
        <v>60</v>
      </c>
      <c r="M322">
        <v>0</v>
      </c>
      <c r="N322">
        <v>181</v>
      </c>
      <c r="O322" s="1">
        <v>0</v>
      </c>
      <c r="P322">
        <v>28</v>
      </c>
      <c r="Q322">
        <v>0</v>
      </c>
      <c r="R322">
        <v>4</v>
      </c>
      <c r="S322">
        <v>0</v>
      </c>
      <c r="T322">
        <v>11</v>
      </c>
      <c r="U322">
        <v>2</v>
      </c>
      <c r="V322">
        <v>10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13</v>
      </c>
      <c r="AC322">
        <v>28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2</v>
      </c>
      <c r="AJ322">
        <v>70</v>
      </c>
      <c r="AK322">
        <v>14</v>
      </c>
      <c r="AL322">
        <v>32</v>
      </c>
      <c r="AM322">
        <v>0</v>
      </c>
      <c r="AN322">
        <v>51</v>
      </c>
      <c r="AO322">
        <v>0</v>
      </c>
      <c r="AP322">
        <v>350</v>
      </c>
      <c r="AQ322" s="1">
        <v>0</v>
      </c>
    </row>
    <row r="323" spans="1:43" x14ac:dyDescent="0.3">
      <c r="A323" t="s">
        <v>131</v>
      </c>
      <c r="B323" t="s">
        <v>148</v>
      </c>
      <c r="C323" s="4" t="s">
        <v>40</v>
      </c>
      <c r="D323" s="1">
        <v>15906</v>
      </c>
      <c r="E323">
        <v>94</v>
      </c>
      <c r="F323">
        <v>2</v>
      </c>
      <c r="G323">
        <v>1</v>
      </c>
      <c r="H323" s="1">
        <v>11568</v>
      </c>
      <c r="I323">
        <v>15</v>
      </c>
      <c r="J323">
        <v>1</v>
      </c>
      <c r="K323">
        <v>10</v>
      </c>
      <c r="L323">
        <v>93</v>
      </c>
      <c r="M323">
        <v>1</v>
      </c>
      <c r="N323">
        <v>575</v>
      </c>
      <c r="O323" s="1">
        <v>0</v>
      </c>
      <c r="P323">
        <v>34</v>
      </c>
      <c r="Q323">
        <v>0</v>
      </c>
      <c r="R323">
        <v>1</v>
      </c>
      <c r="S323">
        <v>9</v>
      </c>
      <c r="T323">
        <v>67</v>
      </c>
      <c r="U323">
        <v>50</v>
      </c>
      <c r="V323">
        <v>7</v>
      </c>
      <c r="W323">
        <v>2</v>
      </c>
      <c r="X323">
        <v>0</v>
      </c>
      <c r="Y323">
        <v>10</v>
      </c>
      <c r="Z323">
        <v>0</v>
      </c>
      <c r="AA323">
        <v>0</v>
      </c>
      <c r="AB323">
        <v>10</v>
      </c>
      <c r="AC323">
        <v>34</v>
      </c>
      <c r="AD323">
        <v>0</v>
      </c>
      <c r="AE323">
        <v>0</v>
      </c>
      <c r="AF323">
        <v>0</v>
      </c>
      <c r="AG323">
        <v>0</v>
      </c>
      <c r="AH323">
        <v>14</v>
      </c>
      <c r="AI323">
        <v>4</v>
      </c>
      <c r="AJ323">
        <v>11</v>
      </c>
      <c r="AK323">
        <v>39</v>
      </c>
      <c r="AL323">
        <v>88</v>
      </c>
      <c r="AM323">
        <v>0</v>
      </c>
      <c r="AN323">
        <v>0</v>
      </c>
      <c r="AO323">
        <v>0</v>
      </c>
      <c r="AP323">
        <v>106</v>
      </c>
      <c r="AQ323" s="1">
        <v>3060</v>
      </c>
    </row>
    <row r="324" spans="1:43" x14ac:dyDescent="0.3">
      <c r="A324" t="s">
        <v>131</v>
      </c>
      <c r="B324" t="s">
        <v>148</v>
      </c>
      <c r="C324" s="4" t="s">
        <v>43</v>
      </c>
      <c r="D324" s="1">
        <v>9778</v>
      </c>
      <c r="E324">
        <v>46</v>
      </c>
      <c r="F324">
        <v>0</v>
      </c>
      <c r="G324">
        <v>0</v>
      </c>
      <c r="H324" s="1">
        <v>6067</v>
      </c>
      <c r="I324">
        <v>10</v>
      </c>
      <c r="J324">
        <v>1</v>
      </c>
      <c r="K324">
        <v>10</v>
      </c>
      <c r="L324">
        <v>84</v>
      </c>
      <c r="M324">
        <v>1</v>
      </c>
      <c r="N324">
        <v>203</v>
      </c>
      <c r="O324" s="1">
        <v>0</v>
      </c>
      <c r="P324">
        <v>15</v>
      </c>
      <c r="Q324">
        <v>0</v>
      </c>
      <c r="R324">
        <v>0</v>
      </c>
      <c r="S324">
        <v>4</v>
      </c>
      <c r="T324">
        <v>46</v>
      </c>
      <c r="U324">
        <v>49</v>
      </c>
      <c r="V324">
        <v>1</v>
      </c>
      <c r="W324">
        <v>2</v>
      </c>
      <c r="X324">
        <v>0</v>
      </c>
      <c r="Y324">
        <v>10</v>
      </c>
      <c r="Z324">
        <v>0</v>
      </c>
      <c r="AA324">
        <v>0</v>
      </c>
      <c r="AB324">
        <v>10</v>
      </c>
      <c r="AC324">
        <v>8</v>
      </c>
      <c r="AD324">
        <v>0</v>
      </c>
      <c r="AE324">
        <v>0</v>
      </c>
      <c r="AF324">
        <v>0</v>
      </c>
      <c r="AG324">
        <v>0</v>
      </c>
      <c r="AH324">
        <v>6</v>
      </c>
      <c r="AI324">
        <v>2</v>
      </c>
      <c r="AJ324">
        <v>3</v>
      </c>
      <c r="AK324">
        <v>31</v>
      </c>
      <c r="AL324">
        <v>55</v>
      </c>
      <c r="AM324">
        <v>0</v>
      </c>
      <c r="AN324">
        <v>0</v>
      </c>
      <c r="AO324">
        <v>0</v>
      </c>
      <c r="AP324">
        <v>54</v>
      </c>
      <c r="AQ324" s="1">
        <v>3060</v>
      </c>
    </row>
    <row r="325" spans="1:43" x14ac:dyDescent="0.3">
      <c r="A325" t="s">
        <v>131</v>
      </c>
      <c r="B325" t="s">
        <v>148</v>
      </c>
      <c r="C325" s="4" t="s">
        <v>44</v>
      </c>
      <c r="D325" s="1">
        <v>6128</v>
      </c>
      <c r="E325">
        <v>48</v>
      </c>
      <c r="F325">
        <v>2</v>
      </c>
      <c r="G325">
        <v>1</v>
      </c>
      <c r="H325" s="1">
        <v>5501</v>
      </c>
      <c r="I325">
        <v>5</v>
      </c>
      <c r="J325">
        <v>0</v>
      </c>
      <c r="K325">
        <v>0</v>
      </c>
      <c r="L325">
        <v>9</v>
      </c>
      <c r="M325">
        <v>0</v>
      </c>
      <c r="N325">
        <v>372</v>
      </c>
      <c r="O325" s="1">
        <v>0</v>
      </c>
      <c r="P325">
        <v>19</v>
      </c>
      <c r="Q325">
        <v>0</v>
      </c>
      <c r="R325">
        <v>1</v>
      </c>
      <c r="S325">
        <v>5</v>
      </c>
      <c r="T325">
        <v>21</v>
      </c>
      <c r="U325">
        <v>1</v>
      </c>
      <c r="V325">
        <v>6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26</v>
      </c>
      <c r="AD325">
        <v>0</v>
      </c>
      <c r="AE325">
        <v>0</v>
      </c>
      <c r="AF325">
        <v>0</v>
      </c>
      <c r="AG325">
        <v>0</v>
      </c>
      <c r="AH325">
        <v>8</v>
      </c>
      <c r="AI325">
        <v>2</v>
      </c>
      <c r="AJ325">
        <v>8</v>
      </c>
      <c r="AK325">
        <v>8</v>
      </c>
      <c r="AL325">
        <v>33</v>
      </c>
      <c r="AM325">
        <v>0</v>
      </c>
      <c r="AN325">
        <v>0</v>
      </c>
      <c r="AO325">
        <v>0</v>
      </c>
      <c r="AP325">
        <v>52</v>
      </c>
      <c r="AQ325" s="1">
        <v>0</v>
      </c>
    </row>
    <row r="326" spans="1:43" x14ac:dyDescent="0.3">
      <c r="A326" t="s">
        <v>131</v>
      </c>
      <c r="B326" t="s">
        <v>149</v>
      </c>
      <c r="C326" s="4" t="s">
        <v>40</v>
      </c>
      <c r="D326" s="1">
        <v>15338</v>
      </c>
      <c r="E326">
        <v>59</v>
      </c>
      <c r="F326">
        <v>18</v>
      </c>
      <c r="G326">
        <v>0</v>
      </c>
      <c r="H326" s="1">
        <v>12814</v>
      </c>
      <c r="I326">
        <v>35</v>
      </c>
      <c r="J326">
        <v>2</v>
      </c>
      <c r="K326">
        <v>4</v>
      </c>
      <c r="L326">
        <v>98</v>
      </c>
      <c r="M326">
        <v>0</v>
      </c>
      <c r="N326">
        <v>117</v>
      </c>
      <c r="O326" s="1">
        <v>0</v>
      </c>
      <c r="P326">
        <v>14</v>
      </c>
      <c r="Q326">
        <v>0</v>
      </c>
      <c r="R326">
        <v>6</v>
      </c>
      <c r="S326">
        <v>1</v>
      </c>
      <c r="T326">
        <v>24</v>
      </c>
      <c r="U326">
        <v>23</v>
      </c>
      <c r="V326">
        <v>11</v>
      </c>
      <c r="W326">
        <v>33</v>
      </c>
      <c r="X326">
        <v>383</v>
      </c>
      <c r="Y326">
        <v>0</v>
      </c>
      <c r="Z326">
        <v>7</v>
      </c>
      <c r="AA326">
        <v>2</v>
      </c>
      <c r="AB326">
        <v>16</v>
      </c>
      <c r="AC326">
        <v>177</v>
      </c>
      <c r="AD326">
        <v>0</v>
      </c>
      <c r="AE326">
        <v>0</v>
      </c>
      <c r="AF326">
        <v>0</v>
      </c>
      <c r="AG326">
        <v>0</v>
      </c>
      <c r="AH326">
        <v>49</v>
      </c>
      <c r="AI326">
        <v>23</v>
      </c>
      <c r="AJ326">
        <v>28</v>
      </c>
      <c r="AK326">
        <v>46</v>
      </c>
      <c r="AL326">
        <v>236</v>
      </c>
      <c r="AM326">
        <v>0</v>
      </c>
      <c r="AN326">
        <v>29</v>
      </c>
      <c r="AO326">
        <v>0</v>
      </c>
      <c r="AP326">
        <v>636</v>
      </c>
      <c r="AQ326">
        <v>447</v>
      </c>
    </row>
    <row r="327" spans="1:43" x14ac:dyDescent="0.3">
      <c r="A327" t="s">
        <v>131</v>
      </c>
      <c r="B327" t="s">
        <v>149</v>
      </c>
      <c r="C327" s="4" t="s">
        <v>43</v>
      </c>
      <c r="D327" s="1">
        <v>8826</v>
      </c>
      <c r="E327">
        <v>35</v>
      </c>
      <c r="F327">
        <v>16</v>
      </c>
      <c r="G327">
        <v>0</v>
      </c>
      <c r="H327" s="1">
        <v>7155</v>
      </c>
      <c r="I327">
        <v>29</v>
      </c>
      <c r="J327">
        <v>2</v>
      </c>
      <c r="K327">
        <v>4</v>
      </c>
      <c r="L327">
        <v>84</v>
      </c>
      <c r="M327">
        <v>0</v>
      </c>
      <c r="N327">
        <v>58</v>
      </c>
      <c r="O327" s="1">
        <v>0</v>
      </c>
      <c r="P327">
        <v>4</v>
      </c>
      <c r="Q327">
        <v>0</v>
      </c>
      <c r="R327">
        <v>4</v>
      </c>
      <c r="S327">
        <v>1</v>
      </c>
      <c r="T327">
        <v>22</v>
      </c>
      <c r="U327">
        <v>23</v>
      </c>
      <c r="V327">
        <v>4</v>
      </c>
      <c r="W327">
        <v>25</v>
      </c>
      <c r="X327">
        <v>153</v>
      </c>
      <c r="Y327">
        <v>0</v>
      </c>
      <c r="Z327">
        <v>7</v>
      </c>
      <c r="AA327">
        <v>2</v>
      </c>
      <c r="AB327">
        <v>11</v>
      </c>
      <c r="AC327">
        <v>125</v>
      </c>
      <c r="AD327">
        <v>0</v>
      </c>
      <c r="AE327">
        <v>0</v>
      </c>
      <c r="AF327">
        <v>0</v>
      </c>
      <c r="AG327">
        <v>0</v>
      </c>
      <c r="AH327">
        <v>39</v>
      </c>
      <c r="AI327">
        <v>7</v>
      </c>
      <c r="AJ327">
        <v>17</v>
      </c>
      <c r="AK327">
        <v>46</v>
      </c>
      <c r="AL327">
        <v>192</v>
      </c>
      <c r="AM327">
        <v>0</v>
      </c>
      <c r="AN327">
        <v>12</v>
      </c>
      <c r="AO327">
        <v>0</v>
      </c>
      <c r="AP327">
        <v>302</v>
      </c>
      <c r="AQ327">
        <v>447</v>
      </c>
    </row>
    <row r="328" spans="1:43" x14ac:dyDescent="0.3">
      <c r="A328" t="s">
        <v>131</v>
      </c>
      <c r="B328" t="s">
        <v>149</v>
      </c>
      <c r="C328" s="4" t="s">
        <v>44</v>
      </c>
      <c r="D328" s="1">
        <v>6512</v>
      </c>
      <c r="E328">
        <v>24</v>
      </c>
      <c r="F328">
        <v>2</v>
      </c>
      <c r="G328">
        <v>0</v>
      </c>
      <c r="H328" s="1">
        <v>5659</v>
      </c>
      <c r="I328">
        <v>6</v>
      </c>
      <c r="J328">
        <v>0</v>
      </c>
      <c r="K328">
        <v>0</v>
      </c>
      <c r="L328">
        <v>14</v>
      </c>
      <c r="M328">
        <v>0</v>
      </c>
      <c r="N328">
        <v>59</v>
      </c>
      <c r="O328" s="1">
        <v>0</v>
      </c>
      <c r="P328">
        <v>10</v>
      </c>
      <c r="Q328">
        <v>0</v>
      </c>
      <c r="R328">
        <v>2</v>
      </c>
      <c r="S328">
        <v>0</v>
      </c>
      <c r="T328">
        <v>2</v>
      </c>
      <c r="U328">
        <v>0</v>
      </c>
      <c r="V328">
        <v>7</v>
      </c>
      <c r="W328">
        <v>8</v>
      </c>
      <c r="X328">
        <v>230</v>
      </c>
      <c r="Y328">
        <v>0</v>
      </c>
      <c r="Z328">
        <v>0</v>
      </c>
      <c r="AA328">
        <v>0</v>
      </c>
      <c r="AB328">
        <v>5</v>
      </c>
      <c r="AC328">
        <v>52</v>
      </c>
      <c r="AD328">
        <v>0</v>
      </c>
      <c r="AE328">
        <v>0</v>
      </c>
      <c r="AF328">
        <v>0</v>
      </c>
      <c r="AG328">
        <v>0</v>
      </c>
      <c r="AH328">
        <v>10</v>
      </c>
      <c r="AI328">
        <v>16</v>
      </c>
      <c r="AJ328">
        <v>11</v>
      </c>
      <c r="AK328">
        <v>0</v>
      </c>
      <c r="AL328">
        <v>44</v>
      </c>
      <c r="AM328">
        <v>0</v>
      </c>
      <c r="AN328">
        <v>17</v>
      </c>
      <c r="AO328">
        <v>0</v>
      </c>
      <c r="AP328">
        <v>334</v>
      </c>
      <c r="AQ328" s="1">
        <v>0</v>
      </c>
    </row>
    <row r="329" spans="1:43" x14ac:dyDescent="0.3">
      <c r="A329" t="s">
        <v>131</v>
      </c>
      <c r="B329" t="s">
        <v>150</v>
      </c>
      <c r="C329" s="4" t="s">
        <v>40</v>
      </c>
      <c r="D329" s="1">
        <v>15042</v>
      </c>
      <c r="E329">
        <v>123</v>
      </c>
      <c r="F329">
        <v>31</v>
      </c>
      <c r="G329">
        <v>2</v>
      </c>
      <c r="H329" s="1">
        <v>12858</v>
      </c>
      <c r="I329">
        <v>140</v>
      </c>
      <c r="J329">
        <v>2</v>
      </c>
      <c r="K329">
        <v>0</v>
      </c>
      <c r="L329">
        <v>208</v>
      </c>
      <c r="M329">
        <v>0</v>
      </c>
      <c r="N329">
        <v>542</v>
      </c>
      <c r="O329" s="1">
        <v>0</v>
      </c>
      <c r="P329">
        <v>57</v>
      </c>
      <c r="Q329">
        <v>0</v>
      </c>
      <c r="R329">
        <v>0</v>
      </c>
      <c r="S329">
        <v>0</v>
      </c>
      <c r="T329">
        <v>138</v>
      </c>
      <c r="U329">
        <v>72</v>
      </c>
      <c r="V329">
        <v>9</v>
      </c>
      <c r="W329">
        <v>5</v>
      </c>
      <c r="X329">
        <v>0</v>
      </c>
      <c r="Y329">
        <v>0</v>
      </c>
      <c r="Z329">
        <v>7</v>
      </c>
      <c r="AA329">
        <v>0</v>
      </c>
      <c r="AB329">
        <v>21</v>
      </c>
      <c r="AC329">
        <v>38</v>
      </c>
      <c r="AD329">
        <v>0</v>
      </c>
      <c r="AE329">
        <v>0</v>
      </c>
      <c r="AF329">
        <v>0</v>
      </c>
      <c r="AG329">
        <v>1</v>
      </c>
      <c r="AH329">
        <v>11</v>
      </c>
      <c r="AI329">
        <v>64</v>
      </c>
      <c r="AJ329">
        <v>94</v>
      </c>
      <c r="AK329">
        <v>24</v>
      </c>
      <c r="AL329">
        <v>92</v>
      </c>
      <c r="AM329">
        <v>0</v>
      </c>
      <c r="AN329">
        <v>0</v>
      </c>
      <c r="AO329">
        <v>0</v>
      </c>
      <c r="AP329">
        <v>239</v>
      </c>
      <c r="AQ329">
        <v>264</v>
      </c>
    </row>
    <row r="330" spans="1:43" x14ac:dyDescent="0.3">
      <c r="A330" t="s">
        <v>131</v>
      </c>
      <c r="B330" t="s">
        <v>150</v>
      </c>
      <c r="C330" s="4" t="s">
        <v>43</v>
      </c>
      <c r="D330" s="1">
        <v>8496</v>
      </c>
      <c r="E330">
        <v>73</v>
      </c>
      <c r="F330">
        <v>23</v>
      </c>
      <c r="G330">
        <v>1</v>
      </c>
      <c r="H330" s="1">
        <v>7099</v>
      </c>
      <c r="I330">
        <v>121</v>
      </c>
      <c r="J330">
        <v>2</v>
      </c>
      <c r="K330">
        <v>0</v>
      </c>
      <c r="L330">
        <v>183</v>
      </c>
      <c r="M330">
        <v>0</v>
      </c>
      <c r="N330">
        <v>195</v>
      </c>
      <c r="O330" s="1">
        <v>0</v>
      </c>
      <c r="P330">
        <v>19</v>
      </c>
      <c r="Q330">
        <v>0</v>
      </c>
      <c r="R330">
        <v>0</v>
      </c>
      <c r="S330">
        <v>0</v>
      </c>
      <c r="T330">
        <v>128</v>
      </c>
      <c r="U330">
        <v>64</v>
      </c>
      <c r="V330">
        <v>1</v>
      </c>
      <c r="W330">
        <v>4</v>
      </c>
      <c r="X330">
        <v>0</v>
      </c>
      <c r="Y330">
        <v>0</v>
      </c>
      <c r="Z330">
        <v>7</v>
      </c>
      <c r="AA330">
        <v>0</v>
      </c>
      <c r="AB330">
        <v>11</v>
      </c>
      <c r="AC330">
        <v>28</v>
      </c>
      <c r="AD330">
        <v>0</v>
      </c>
      <c r="AE330">
        <v>0</v>
      </c>
      <c r="AF330">
        <v>0</v>
      </c>
      <c r="AG330">
        <v>0</v>
      </c>
      <c r="AH330">
        <v>8</v>
      </c>
      <c r="AI330">
        <v>29</v>
      </c>
      <c r="AJ330">
        <v>34</v>
      </c>
      <c r="AK330">
        <v>21</v>
      </c>
      <c r="AL330">
        <v>71</v>
      </c>
      <c r="AM330">
        <v>0</v>
      </c>
      <c r="AN330">
        <v>0</v>
      </c>
      <c r="AO330">
        <v>0</v>
      </c>
      <c r="AP330">
        <v>110</v>
      </c>
      <c r="AQ330">
        <v>264</v>
      </c>
    </row>
    <row r="331" spans="1:43" x14ac:dyDescent="0.3">
      <c r="A331" t="s">
        <v>131</v>
      </c>
      <c r="B331" t="s">
        <v>150</v>
      </c>
      <c r="C331" s="4" t="s">
        <v>44</v>
      </c>
      <c r="D331" s="1">
        <v>6546</v>
      </c>
      <c r="E331">
        <v>50</v>
      </c>
      <c r="F331">
        <v>8</v>
      </c>
      <c r="G331">
        <v>1</v>
      </c>
      <c r="H331" s="1">
        <v>5759</v>
      </c>
      <c r="I331">
        <v>19</v>
      </c>
      <c r="J331">
        <v>0</v>
      </c>
      <c r="K331">
        <v>0</v>
      </c>
      <c r="L331">
        <v>25</v>
      </c>
      <c r="M331">
        <v>0</v>
      </c>
      <c r="N331">
        <v>347</v>
      </c>
      <c r="O331" s="1">
        <v>0</v>
      </c>
      <c r="P331">
        <v>38</v>
      </c>
      <c r="Q331">
        <v>0</v>
      </c>
      <c r="R331">
        <v>0</v>
      </c>
      <c r="S331">
        <v>0</v>
      </c>
      <c r="T331">
        <v>10</v>
      </c>
      <c r="U331">
        <v>8</v>
      </c>
      <c r="V331">
        <v>8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10</v>
      </c>
      <c r="AC331">
        <v>10</v>
      </c>
      <c r="AD331">
        <v>0</v>
      </c>
      <c r="AE331">
        <v>0</v>
      </c>
      <c r="AF331">
        <v>0</v>
      </c>
      <c r="AG331">
        <v>1</v>
      </c>
      <c r="AH331">
        <v>3</v>
      </c>
      <c r="AI331">
        <v>35</v>
      </c>
      <c r="AJ331">
        <v>60</v>
      </c>
      <c r="AK331">
        <v>3</v>
      </c>
      <c r="AL331">
        <v>21</v>
      </c>
      <c r="AM331">
        <v>0</v>
      </c>
      <c r="AN331">
        <v>0</v>
      </c>
      <c r="AO331">
        <v>0</v>
      </c>
      <c r="AP331">
        <v>129</v>
      </c>
      <c r="AQ331">
        <v>0</v>
      </c>
    </row>
    <row r="332" spans="1:43" x14ac:dyDescent="0.3">
      <c r="A332" t="s">
        <v>131</v>
      </c>
      <c r="B332" t="s">
        <v>151</v>
      </c>
      <c r="C332" s="4" t="s">
        <v>40</v>
      </c>
      <c r="D332" s="1">
        <v>13354</v>
      </c>
      <c r="E332">
        <v>113</v>
      </c>
      <c r="F332">
        <v>55</v>
      </c>
      <c r="G332">
        <v>0</v>
      </c>
      <c r="H332" s="1">
        <v>11524</v>
      </c>
      <c r="I332">
        <v>5</v>
      </c>
      <c r="J332">
        <v>1</v>
      </c>
      <c r="K332">
        <v>0</v>
      </c>
      <c r="L332">
        <v>228</v>
      </c>
      <c r="M332">
        <v>1</v>
      </c>
      <c r="N332">
        <v>363</v>
      </c>
      <c r="O332" s="1">
        <v>0</v>
      </c>
      <c r="P332">
        <v>22</v>
      </c>
      <c r="Q332">
        <v>0</v>
      </c>
      <c r="R332">
        <v>2</v>
      </c>
      <c r="S332">
        <v>0</v>
      </c>
      <c r="T332">
        <v>28</v>
      </c>
      <c r="U332">
        <v>10</v>
      </c>
      <c r="V332">
        <v>7</v>
      </c>
      <c r="W332">
        <v>6</v>
      </c>
      <c r="X332">
        <v>0</v>
      </c>
      <c r="Y332">
        <v>9</v>
      </c>
      <c r="Z332">
        <v>0</v>
      </c>
      <c r="AA332">
        <v>8</v>
      </c>
      <c r="AB332">
        <v>20</v>
      </c>
      <c r="AC332">
        <v>21</v>
      </c>
      <c r="AD332">
        <v>0</v>
      </c>
      <c r="AE332">
        <v>0</v>
      </c>
      <c r="AF332">
        <v>0</v>
      </c>
      <c r="AG332">
        <v>3</v>
      </c>
      <c r="AH332">
        <v>30</v>
      </c>
      <c r="AI332">
        <v>0</v>
      </c>
      <c r="AJ332">
        <v>0</v>
      </c>
      <c r="AK332">
        <v>10</v>
      </c>
      <c r="AL332">
        <v>52</v>
      </c>
      <c r="AM332">
        <v>0</v>
      </c>
      <c r="AN332">
        <v>42</v>
      </c>
      <c r="AO332">
        <v>0</v>
      </c>
      <c r="AP332">
        <v>139</v>
      </c>
      <c r="AQ332">
        <v>655</v>
      </c>
    </row>
    <row r="333" spans="1:43" x14ac:dyDescent="0.3">
      <c r="A333" t="s">
        <v>131</v>
      </c>
      <c r="B333" t="s">
        <v>151</v>
      </c>
      <c r="C333" s="4" t="s">
        <v>43</v>
      </c>
      <c r="D333" s="1">
        <v>7420</v>
      </c>
      <c r="E333">
        <v>71</v>
      </c>
      <c r="F333">
        <v>47</v>
      </c>
      <c r="G333">
        <v>0</v>
      </c>
      <c r="H333" s="1">
        <v>6112</v>
      </c>
      <c r="I333">
        <v>3</v>
      </c>
      <c r="J333">
        <v>0</v>
      </c>
      <c r="K333">
        <v>0</v>
      </c>
      <c r="L333">
        <v>172</v>
      </c>
      <c r="M333">
        <v>0</v>
      </c>
      <c r="N333">
        <v>141</v>
      </c>
      <c r="O333" s="1">
        <v>0</v>
      </c>
      <c r="P333">
        <v>4</v>
      </c>
      <c r="Q333">
        <v>0</v>
      </c>
      <c r="R333">
        <v>2</v>
      </c>
      <c r="S333">
        <v>0</v>
      </c>
      <c r="T333">
        <v>25</v>
      </c>
      <c r="U333">
        <v>10</v>
      </c>
      <c r="V333">
        <v>0</v>
      </c>
      <c r="W333">
        <v>5</v>
      </c>
      <c r="X333">
        <v>0</v>
      </c>
      <c r="Y333">
        <v>9</v>
      </c>
      <c r="Z333">
        <v>0</v>
      </c>
      <c r="AA333">
        <v>8</v>
      </c>
      <c r="AB333">
        <v>16</v>
      </c>
      <c r="AC333">
        <v>17</v>
      </c>
      <c r="AD333">
        <v>0</v>
      </c>
      <c r="AE333">
        <v>0</v>
      </c>
      <c r="AF333">
        <v>0</v>
      </c>
      <c r="AG333">
        <v>0</v>
      </c>
      <c r="AH333">
        <v>16</v>
      </c>
      <c r="AI333">
        <v>0</v>
      </c>
      <c r="AJ333">
        <v>0</v>
      </c>
      <c r="AK333">
        <v>9</v>
      </c>
      <c r="AL333">
        <v>26</v>
      </c>
      <c r="AM333">
        <v>0</v>
      </c>
      <c r="AN333">
        <v>6</v>
      </c>
      <c r="AO333">
        <v>0</v>
      </c>
      <c r="AP333">
        <v>66</v>
      </c>
      <c r="AQ333">
        <v>655</v>
      </c>
    </row>
    <row r="334" spans="1:43" x14ac:dyDescent="0.3">
      <c r="A334" t="s">
        <v>131</v>
      </c>
      <c r="B334" t="s">
        <v>151</v>
      </c>
      <c r="C334" s="4" t="s">
        <v>44</v>
      </c>
      <c r="D334" s="1">
        <v>5934</v>
      </c>
      <c r="E334">
        <v>42</v>
      </c>
      <c r="F334">
        <v>8</v>
      </c>
      <c r="G334">
        <v>0</v>
      </c>
      <c r="H334" s="1">
        <v>5412</v>
      </c>
      <c r="I334">
        <v>2</v>
      </c>
      <c r="J334">
        <v>1</v>
      </c>
      <c r="K334">
        <v>0</v>
      </c>
      <c r="L334">
        <v>56</v>
      </c>
      <c r="M334">
        <v>1</v>
      </c>
      <c r="N334">
        <v>222</v>
      </c>
      <c r="O334" s="1">
        <v>0</v>
      </c>
      <c r="P334">
        <v>18</v>
      </c>
      <c r="Q334">
        <v>0</v>
      </c>
      <c r="R334">
        <v>0</v>
      </c>
      <c r="S334">
        <v>0</v>
      </c>
      <c r="T334">
        <v>3</v>
      </c>
      <c r="U334">
        <v>0</v>
      </c>
      <c r="V334">
        <v>7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4</v>
      </c>
      <c r="AC334">
        <v>4</v>
      </c>
      <c r="AD334">
        <v>0</v>
      </c>
      <c r="AE334">
        <v>0</v>
      </c>
      <c r="AF334">
        <v>0</v>
      </c>
      <c r="AG334">
        <v>3</v>
      </c>
      <c r="AH334">
        <v>14</v>
      </c>
      <c r="AI334">
        <v>0</v>
      </c>
      <c r="AJ334">
        <v>0</v>
      </c>
      <c r="AK334">
        <v>1</v>
      </c>
      <c r="AL334">
        <v>26</v>
      </c>
      <c r="AM334">
        <v>0</v>
      </c>
      <c r="AN334">
        <v>36</v>
      </c>
      <c r="AO334">
        <v>0</v>
      </c>
      <c r="AP334">
        <v>73</v>
      </c>
      <c r="AQ334">
        <v>0</v>
      </c>
    </row>
    <row r="335" spans="1:43" x14ac:dyDescent="0.3">
      <c r="A335" t="s">
        <v>131</v>
      </c>
      <c r="B335" t="s">
        <v>152</v>
      </c>
      <c r="C335" s="4" t="s">
        <v>40</v>
      </c>
      <c r="D335" s="1">
        <v>12691</v>
      </c>
      <c r="E335">
        <v>70</v>
      </c>
      <c r="F335">
        <v>10</v>
      </c>
      <c r="G335">
        <v>4</v>
      </c>
      <c r="H335" s="1">
        <v>7786</v>
      </c>
      <c r="I335" s="1">
        <v>1234</v>
      </c>
      <c r="J335">
        <v>0</v>
      </c>
      <c r="K335">
        <v>1</v>
      </c>
      <c r="L335">
        <v>46</v>
      </c>
      <c r="M335">
        <v>0</v>
      </c>
      <c r="N335">
        <v>63</v>
      </c>
      <c r="O335" s="1">
        <v>0</v>
      </c>
      <c r="P335">
        <v>18</v>
      </c>
      <c r="Q335">
        <v>0</v>
      </c>
      <c r="R335">
        <v>12</v>
      </c>
      <c r="S335">
        <v>11</v>
      </c>
      <c r="T335">
        <v>13</v>
      </c>
      <c r="U335">
        <v>184</v>
      </c>
      <c r="V335">
        <v>5</v>
      </c>
      <c r="W335">
        <v>17</v>
      </c>
      <c r="X335">
        <v>0</v>
      </c>
      <c r="Y335">
        <v>29</v>
      </c>
      <c r="Z335">
        <v>6</v>
      </c>
      <c r="AA335">
        <v>3</v>
      </c>
      <c r="AB335">
        <v>11</v>
      </c>
      <c r="AC335">
        <v>36</v>
      </c>
      <c r="AD335">
        <v>0</v>
      </c>
      <c r="AE335">
        <v>0</v>
      </c>
      <c r="AF335">
        <v>0</v>
      </c>
      <c r="AG335">
        <v>0</v>
      </c>
      <c r="AH335">
        <v>12</v>
      </c>
      <c r="AI335">
        <v>15</v>
      </c>
      <c r="AJ335">
        <v>17</v>
      </c>
      <c r="AK335">
        <v>7</v>
      </c>
      <c r="AL335">
        <v>60</v>
      </c>
      <c r="AM335">
        <v>0</v>
      </c>
      <c r="AN335">
        <v>0</v>
      </c>
      <c r="AO335">
        <v>0</v>
      </c>
      <c r="AP335">
        <v>66</v>
      </c>
      <c r="AQ335" s="1">
        <v>2955</v>
      </c>
    </row>
    <row r="336" spans="1:43" x14ac:dyDescent="0.3">
      <c r="A336" t="s">
        <v>131</v>
      </c>
      <c r="B336" t="s">
        <v>152</v>
      </c>
      <c r="C336" s="4" t="s">
        <v>43</v>
      </c>
      <c r="D336" s="1">
        <v>9147</v>
      </c>
      <c r="E336">
        <v>39</v>
      </c>
      <c r="F336">
        <v>10</v>
      </c>
      <c r="G336">
        <v>0</v>
      </c>
      <c r="H336" s="1">
        <v>4493</v>
      </c>
      <c r="I336" s="1">
        <v>1201</v>
      </c>
      <c r="J336">
        <v>0</v>
      </c>
      <c r="K336">
        <v>0</v>
      </c>
      <c r="L336">
        <v>34</v>
      </c>
      <c r="M336">
        <v>0</v>
      </c>
      <c r="N336">
        <v>21</v>
      </c>
      <c r="O336" s="1">
        <v>0</v>
      </c>
      <c r="P336">
        <v>6</v>
      </c>
      <c r="Q336">
        <v>0</v>
      </c>
      <c r="R336">
        <v>11</v>
      </c>
      <c r="S336">
        <v>8</v>
      </c>
      <c r="T336">
        <v>6</v>
      </c>
      <c r="U336">
        <v>182</v>
      </c>
      <c r="V336">
        <v>0</v>
      </c>
      <c r="W336">
        <v>17</v>
      </c>
      <c r="X336">
        <v>0</v>
      </c>
      <c r="Y336">
        <v>26</v>
      </c>
      <c r="Z336">
        <v>6</v>
      </c>
      <c r="AA336">
        <v>3</v>
      </c>
      <c r="AB336">
        <v>7</v>
      </c>
      <c r="AC336">
        <v>26</v>
      </c>
      <c r="AD336">
        <v>0</v>
      </c>
      <c r="AE336">
        <v>0</v>
      </c>
      <c r="AF336">
        <v>0</v>
      </c>
      <c r="AG336">
        <v>0</v>
      </c>
      <c r="AH336">
        <v>6</v>
      </c>
      <c r="AI336">
        <v>4</v>
      </c>
      <c r="AJ336">
        <v>12</v>
      </c>
      <c r="AK336">
        <v>7</v>
      </c>
      <c r="AL336">
        <v>35</v>
      </c>
      <c r="AM336">
        <v>0</v>
      </c>
      <c r="AN336">
        <v>0</v>
      </c>
      <c r="AO336">
        <v>0</v>
      </c>
      <c r="AP336">
        <v>32</v>
      </c>
      <c r="AQ336" s="1">
        <v>2955</v>
      </c>
    </row>
    <row r="337" spans="1:43" x14ac:dyDescent="0.3">
      <c r="A337" t="s">
        <v>131</v>
      </c>
      <c r="B337" t="s">
        <v>152</v>
      </c>
      <c r="C337" s="4" t="s">
        <v>44</v>
      </c>
      <c r="D337" s="1">
        <v>3544</v>
      </c>
      <c r="E337">
        <v>31</v>
      </c>
      <c r="F337">
        <v>0</v>
      </c>
      <c r="G337">
        <v>4</v>
      </c>
      <c r="H337" s="1">
        <v>3293</v>
      </c>
      <c r="I337">
        <v>33</v>
      </c>
      <c r="J337">
        <v>0</v>
      </c>
      <c r="K337">
        <v>1</v>
      </c>
      <c r="L337">
        <v>12</v>
      </c>
      <c r="M337">
        <v>0</v>
      </c>
      <c r="N337">
        <v>42</v>
      </c>
      <c r="O337" s="1">
        <v>0</v>
      </c>
      <c r="P337">
        <v>12</v>
      </c>
      <c r="Q337">
        <v>0</v>
      </c>
      <c r="R337">
        <v>1</v>
      </c>
      <c r="S337">
        <v>3</v>
      </c>
      <c r="T337">
        <v>7</v>
      </c>
      <c r="U337">
        <v>2</v>
      </c>
      <c r="V337">
        <v>5</v>
      </c>
      <c r="W337">
        <v>0</v>
      </c>
      <c r="X337">
        <v>0</v>
      </c>
      <c r="Y337">
        <v>3</v>
      </c>
      <c r="Z337">
        <v>0</v>
      </c>
      <c r="AA337">
        <v>0</v>
      </c>
      <c r="AB337">
        <v>4</v>
      </c>
      <c r="AC337">
        <v>10</v>
      </c>
      <c r="AD337">
        <v>0</v>
      </c>
      <c r="AE337">
        <v>0</v>
      </c>
      <c r="AF337">
        <v>0</v>
      </c>
      <c r="AG337">
        <v>0</v>
      </c>
      <c r="AH337">
        <v>6</v>
      </c>
      <c r="AI337">
        <v>11</v>
      </c>
      <c r="AJ337">
        <v>5</v>
      </c>
      <c r="AK337">
        <v>0</v>
      </c>
      <c r="AL337">
        <v>25</v>
      </c>
      <c r="AM337">
        <v>0</v>
      </c>
      <c r="AN337">
        <v>0</v>
      </c>
      <c r="AO337">
        <v>0</v>
      </c>
      <c r="AP337">
        <v>34</v>
      </c>
      <c r="AQ337">
        <v>0</v>
      </c>
    </row>
    <row r="338" spans="1:43" x14ac:dyDescent="0.3">
      <c r="A338" t="s">
        <v>131</v>
      </c>
      <c r="B338" t="s">
        <v>153</v>
      </c>
      <c r="C338" s="4" t="s">
        <v>40</v>
      </c>
      <c r="D338" s="1">
        <v>9420</v>
      </c>
      <c r="E338">
        <v>148</v>
      </c>
      <c r="F338">
        <v>11</v>
      </c>
      <c r="G338">
        <v>5</v>
      </c>
      <c r="H338" s="1">
        <v>7491</v>
      </c>
      <c r="I338">
        <v>8</v>
      </c>
      <c r="J338">
        <v>0</v>
      </c>
      <c r="K338">
        <v>1</v>
      </c>
      <c r="L338">
        <v>123</v>
      </c>
      <c r="M338">
        <v>1</v>
      </c>
      <c r="N338">
        <v>209</v>
      </c>
      <c r="O338" s="1">
        <v>0</v>
      </c>
      <c r="P338">
        <v>31</v>
      </c>
      <c r="Q338">
        <v>0</v>
      </c>
      <c r="R338">
        <v>3</v>
      </c>
      <c r="S338">
        <v>6</v>
      </c>
      <c r="T338">
        <v>10</v>
      </c>
      <c r="U338">
        <v>1</v>
      </c>
      <c r="V338">
        <v>6</v>
      </c>
      <c r="W338">
        <v>7</v>
      </c>
      <c r="X338">
        <v>0</v>
      </c>
      <c r="Y338">
        <v>3</v>
      </c>
      <c r="Z338">
        <v>0</v>
      </c>
      <c r="AA338">
        <v>0</v>
      </c>
      <c r="AB338">
        <v>20</v>
      </c>
      <c r="AC338">
        <v>11</v>
      </c>
      <c r="AD338">
        <v>0</v>
      </c>
      <c r="AE338">
        <v>0</v>
      </c>
      <c r="AF338">
        <v>0</v>
      </c>
      <c r="AG338">
        <v>7</v>
      </c>
      <c r="AH338">
        <v>23</v>
      </c>
      <c r="AI338">
        <v>6</v>
      </c>
      <c r="AJ338">
        <v>17</v>
      </c>
      <c r="AK338">
        <v>14</v>
      </c>
      <c r="AL338">
        <v>90</v>
      </c>
      <c r="AM338">
        <v>0</v>
      </c>
      <c r="AN338">
        <v>48</v>
      </c>
      <c r="AO338">
        <v>0</v>
      </c>
      <c r="AP338">
        <v>223</v>
      </c>
      <c r="AQ338">
        <v>897</v>
      </c>
    </row>
    <row r="339" spans="1:43" x14ac:dyDescent="0.3">
      <c r="A339" t="s">
        <v>131</v>
      </c>
      <c r="B339" t="s">
        <v>153</v>
      </c>
      <c r="C339" s="4" t="s">
        <v>43</v>
      </c>
      <c r="D339" s="1">
        <v>4907</v>
      </c>
      <c r="E339">
        <v>87</v>
      </c>
      <c r="F339">
        <v>2</v>
      </c>
      <c r="G339">
        <v>0</v>
      </c>
      <c r="H339" s="1">
        <v>3595</v>
      </c>
      <c r="I339">
        <v>6</v>
      </c>
      <c r="J339">
        <v>0</v>
      </c>
      <c r="K339">
        <v>1</v>
      </c>
      <c r="L339">
        <v>76</v>
      </c>
      <c r="M339">
        <v>0</v>
      </c>
      <c r="N339">
        <v>61</v>
      </c>
      <c r="O339" s="1">
        <v>0</v>
      </c>
      <c r="P339">
        <v>6</v>
      </c>
      <c r="Q339">
        <v>0</v>
      </c>
      <c r="R339">
        <v>0</v>
      </c>
      <c r="S339">
        <v>6</v>
      </c>
      <c r="T339">
        <v>8</v>
      </c>
      <c r="U339">
        <v>1</v>
      </c>
      <c r="V339">
        <v>0</v>
      </c>
      <c r="W339">
        <v>1</v>
      </c>
      <c r="X339">
        <v>0</v>
      </c>
      <c r="Y339">
        <v>3</v>
      </c>
      <c r="Z339">
        <v>0</v>
      </c>
      <c r="AA339">
        <v>0</v>
      </c>
      <c r="AB339">
        <v>12</v>
      </c>
      <c r="AC339">
        <v>3</v>
      </c>
      <c r="AD339">
        <v>0</v>
      </c>
      <c r="AE339">
        <v>0</v>
      </c>
      <c r="AF339">
        <v>0</v>
      </c>
      <c r="AG339">
        <v>6</v>
      </c>
      <c r="AH339">
        <v>3</v>
      </c>
      <c r="AI339">
        <v>0</v>
      </c>
      <c r="AJ339">
        <v>11</v>
      </c>
      <c r="AK339">
        <v>3</v>
      </c>
      <c r="AL339">
        <v>15</v>
      </c>
      <c r="AM339">
        <v>0</v>
      </c>
      <c r="AN339">
        <v>8</v>
      </c>
      <c r="AO339">
        <v>0</v>
      </c>
      <c r="AP339">
        <v>96</v>
      </c>
      <c r="AQ339">
        <v>897</v>
      </c>
    </row>
    <row r="340" spans="1:43" x14ac:dyDescent="0.3">
      <c r="A340" t="s">
        <v>131</v>
      </c>
      <c r="B340" t="s">
        <v>153</v>
      </c>
      <c r="C340" s="4" t="s">
        <v>44</v>
      </c>
      <c r="D340" s="1">
        <v>4513</v>
      </c>
      <c r="E340">
        <v>61</v>
      </c>
      <c r="F340">
        <v>9</v>
      </c>
      <c r="G340">
        <v>5</v>
      </c>
      <c r="H340" s="1">
        <v>3896</v>
      </c>
      <c r="I340">
        <v>2</v>
      </c>
      <c r="J340">
        <v>0</v>
      </c>
      <c r="K340">
        <v>0</v>
      </c>
      <c r="L340">
        <v>47</v>
      </c>
      <c r="M340">
        <v>1</v>
      </c>
      <c r="N340">
        <v>148</v>
      </c>
      <c r="O340" s="1">
        <v>0</v>
      </c>
      <c r="P340">
        <v>25</v>
      </c>
      <c r="Q340">
        <v>0</v>
      </c>
      <c r="R340">
        <v>3</v>
      </c>
      <c r="S340">
        <v>0</v>
      </c>
      <c r="T340">
        <v>2</v>
      </c>
      <c r="U340">
        <v>0</v>
      </c>
      <c r="V340">
        <v>6</v>
      </c>
      <c r="W340">
        <v>6</v>
      </c>
      <c r="X340">
        <v>0</v>
      </c>
      <c r="Y340">
        <v>0</v>
      </c>
      <c r="Z340">
        <v>0</v>
      </c>
      <c r="AA340">
        <v>0</v>
      </c>
      <c r="AB340">
        <v>8</v>
      </c>
      <c r="AC340">
        <v>8</v>
      </c>
      <c r="AD340">
        <v>0</v>
      </c>
      <c r="AE340">
        <v>0</v>
      </c>
      <c r="AF340">
        <v>0</v>
      </c>
      <c r="AG340">
        <v>1</v>
      </c>
      <c r="AH340">
        <v>20</v>
      </c>
      <c r="AI340">
        <v>6</v>
      </c>
      <c r="AJ340">
        <v>6</v>
      </c>
      <c r="AK340">
        <v>11</v>
      </c>
      <c r="AL340">
        <v>75</v>
      </c>
      <c r="AM340">
        <v>0</v>
      </c>
      <c r="AN340">
        <v>40</v>
      </c>
      <c r="AO340">
        <v>0</v>
      </c>
      <c r="AP340">
        <v>127</v>
      </c>
      <c r="AQ340">
        <v>0</v>
      </c>
    </row>
    <row r="341" spans="1:43" x14ac:dyDescent="0.3">
      <c r="A341" t="s">
        <v>131</v>
      </c>
      <c r="B341" t="s">
        <v>154</v>
      </c>
      <c r="C341" s="4" t="s">
        <v>40</v>
      </c>
      <c r="D341" s="1">
        <v>7868</v>
      </c>
      <c r="E341">
        <v>32</v>
      </c>
      <c r="F341">
        <v>10</v>
      </c>
      <c r="G341">
        <v>4</v>
      </c>
      <c r="H341" s="1">
        <v>4913</v>
      </c>
      <c r="I341">
        <v>490</v>
      </c>
      <c r="J341">
        <v>0</v>
      </c>
      <c r="K341">
        <v>1</v>
      </c>
      <c r="L341">
        <v>20</v>
      </c>
      <c r="M341">
        <v>0</v>
      </c>
      <c r="N341">
        <v>150</v>
      </c>
      <c r="O341" s="1">
        <v>0</v>
      </c>
      <c r="P341">
        <v>25</v>
      </c>
      <c r="Q341">
        <v>0</v>
      </c>
      <c r="R341">
        <v>0</v>
      </c>
      <c r="S341">
        <v>0</v>
      </c>
      <c r="T341">
        <v>5</v>
      </c>
      <c r="U341">
        <v>6</v>
      </c>
      <c r="V341">
        <v>3</v>
      </c>
      <c r="W341">
        <v>4</v>
      </c>
      <c r="X341">
        <v>0</v>
      </c>
      <c r="Y341">
        <v>3</v>
      </c>
      <c r="Z341">
        <v>7</v>
      </c>
      <c r="AA341">
        <v>0</v>
      </c>
      <c r="AB341">
        <v>6</v>
      </c>
      <c r="AC341">
        <v>39</v>
      </c>
      <c r="AD341">
        <v>0</v>
      </c>
      <c r="AE341">
        <v>0</v>
      </c>
      <c r="AF341">
        <v>0</v>
      </c>
      <c r="AG341">
        <v>2</v>
      </c>
      <c r="AH341">
        <v>13</v>
      </c>
      <c r="AI341">
        <v>21</v>
      </c>
      <c r="AJ341">
        <v>0</v>
      </c>
      <c r="AK341">
        <v>18</v>
      </c>
      <c r="AL341">
        <v>45</v>
      </c>
      <c r="AM341">
        <v>0</v>
      </c>
      <c r="AN341">
        <v>0</v>
      </c>
      <c r="AO341">
        <v>0</v>
      </c>
      <c r="AP341">
        <v>336</v>
      </c>
      <c r="AQ341" s="1">
        <v>1715</v>
      </c>
    </row>
    <row r="342" spans="1:43" x14ac:dyDescent="0.3">
      <c r="A342" t="s">
        <v>131</v>
      </c>
      <c r="B342" t="s">
        <v>154</v>
      </c>
      <c r="C342" s="4" t="s">
        <v>43</v>
      </c>
      <c r="D342" s="1">
        <v>4781</v>
      </c>
      <c r="E342">
        <v>16</v>
      </c>
      <c r="F342">
        <v>3</v>
      </c>
      <c r="G342">
        <v>0</v>
      </c>
      <c r="H342" s="1">
        <v>2240</v>
      </c>
      <c r="I342">
        <v>488</v>
      </c>
      <c r="J342">
        <v>0</v>
      </c>
      <c r="K342">
        <v>1</v>
      </c>
      <c r="L342">
        <v>15</v>
      </c>
      <c r="M342">
        <v>0</v>
      </c>
      <c r="N342">
        <v>47</v>
      </c>
      <c r="O342" s="1">
        <v>0</v>
      </c>
      <c r="P342">
        <v>4</v>
      </c>
      <c r="Q342">
        <v>0</v>
      </c>
      <c r="R342">
        <v>0</v>
      </c>
      <c r="S342">
        <v>0</v>
      </c>
      <c r="T342">
        <v>5</v>
      </c>
      <c r="U342">
        <v>6</v>
      </c>
      <c r="V342">
        <v>2</v>
      </c>
      <c r="W342">
        <v>4</v>
      </c>
      <c r="X342">
        <v>0</v>
      </c>
      <c r="Y342">
        <v>1</v>
      </c>
      <c r="Z342">
        <v>7</v>
      </c>
      <c r="AA342">
        <v>0</v>
      </c>
      <c r="AB342">
        <v>4</v>
      </c>
      <c r="AC342">
        <v>32</v>
      </c>
      <c r="AD342">
        <v>0</v>
      </c>
      <c r="AE342">
        <v>0</v>
      </c>
      <c r="AF342">
        <v>0</v>
      </c>
      <c r="AG342">
        <v>1</v>
      </c>
      <c r="AH342">
        <v>7</v>
      </c>
      <c r="AI342">
        <v>4</v>
      </c>
      <c r="AJ342">
        <v>0</v>
      </c>
      <c r="AK342">
        <v>11</v>
      </c>
      <c r="AL342">
        <v>24</v>
      </c>
      <c r="AM342">
        <v>0</v>
      </c>
      <c r="AN342">
        <v>0</v>
      </c>
      <c r="AO342">
        <v>0</v>
      </c>
      <c r="AP342">
        <v>144</v>
      </c>
      <c r="AQ342" s="1">
        <v>1715</v>
      </c>
    </row>
    <row r="343" spans="1:43" x14ac:dyDescent="0.3">
      <c r="A343" t="s">
        <v>131</v>
      </c>
      <c r="B343" t="s">
        <v>154</v>
      </c>
      <c r="C343" s="4" t="s">
        <v>44</v>
      </c>
      <c r="D343" s="1">
        <v>3087</v>
      </c>
      <c r="E343">
        <v>16</v>
      </c>
      <c r="F343">
        <v>7</v>
      </c>
      <c r="G343">
        <v>4</v>
      </c>
      <c r="H343" s="1">
        <v>2673</v>
      </c>
      <c r="I343">
        <v>2</v>
      </c>
      <c r="J343">
        <v>0</v>
      </c>
      <c r="K343">
        <v>0</v>
      </c>
      <c r="L343">
        <v>5</v>
      </c>
      <c r="M343">
        <v>0</v>
      </c>
      <c r="N343">
        <v>103</v>
      </c>
      <c r="O343" s="1">
        <v>0</v>
      </c>
      <c r="P343">
        <v>21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2</v>
      </c>
      <c r="Z343">
        <v>0</v>
      </c>
      <c r="AA343">
        <v>0</v>
      </c>
      <c r="AB343">
        <v>2</v>
      </c>
      <c r="AC343">
        <v>7</v>
      </c>
      <c r="AD343">
        <v>0</v>
      </c>
      <c r="AE343">
        <v>0</v>
      </c>
      <c r="AF343">
        <v>0</v>
      </c>
      <c r="AG343">
        <v>1</v>
      </c>
      <c r="AH343">
        <v>6</v>
      </c>
      <c r="AI343">
        <v>17</v>
      </c>
      <c r="AJ343">
        <v>0</v>
      </c>
      <c r="AK343">
        <v>7</v>
      </c>
      <c r="AL343">
        <v>21</v>
      </c>
      <c r="AM343">
        <v>0</v>
      </c>
      <c r="AN343">
        <v>0</v>
      </c>
      <c r="AO343">
        <v>0</v>
      </c>
      <c r="AP343">
        <v>192</v>
      </c>
      <c r="AQ343">
        <v>0</v>
      </c>
    </row>
    <row r="344" spans="1:43" x14ac:dyDescent="0.3">
      <c r="A344" t="s">
        <v>131</v>
      </c>
      <c r="B344" t="s">
        <v>155</v>
      </c>
      <c r="C344" s="4" t="s">
        <v>40</v>
      </c>
      <c r="D344" s="1">
        <v>7143</v>
      </c>
      <c r="E344">
        <v>12</v>
      </c>
      <c r="F344">
        <v>11</v>
      </c>
      <c r="G344">
        <v>0</v>
      </c>
      <c r="H344" s="1">
        <v>0</v>
      </c>
      <c r="I344" s="1">
        <v>4240</v>
      </c>
      <c r="J344">
        <v>0</v>
      </c>
      <c r="K344">
        <v>1</v>
      </c>
      <c r="L344">
        <v>50</v>
      </c>
      <c r="M344">
        <v>0</v>
      </c>
      <c r="N344">
        <v>47</v>
      </c>
      <c r="O344" s="1">
        <v>0</v>
      </c>
      <c r="P344">
        <v>5</v>
      </c>
      <c r="Q344">
        <v>0</v>
      </c>
      <c r="R344">
        <v>1</v>
      </c>
      <c r="S344">
        <v>0</v>
      </c>
      <c r="T344">
        <v>0</v>
      </c>
      <c r="U344">
        <v>70</v>
      </c>
      <c r="V344">
        <v>4</v>
      </c>
      <c r="W344">
        <v>16</v>
      </c>
      <c r="X344">
        <v>0</v>
      </c>
      <c r="Y344">
        <v>0</v>
      </c>
      <c r="Z344">
        <v>0</v>
      </c>
      <c r="AA344">
        <v>0</v>
      </c>
      <c r="AB344">
        <v>10</v>
      </c>
      <c r="AC344">
        <v>33</v>
      </c>
      <c r="AD344">
        <v>0</v>
      </c>
      <c r="AE344">
        <v>0</v>
      </c>
      <c r="AF344">
        <v>0</v>
      </c>
      <c r="AG344">
        <v>0</v>
      </c>
      <c r="AH344">
        <v>9</v>
      </c>
      <c r="AI344">
        <v>22</v>
      </c>
      <c r="AJ344">
        <v>0</v>
      </c>
      <c r="AK344">
        <v>30</v>
      </c>
      <c r="AL344">
        <v>36</v>
      </c>
      <c r="AM344">
        <v>0</v>
      </c>
      <c r="AN344">
        <v>0</v>
      </c>
      <c r="AO344">
        <v>0</v>
      </c>
      <c r="AP344">
        <v>77</v>
      </c>
      <c r="AQ344" s="1">
        <v>2469</v>
      </c>
    </row>
    <row r="345" spans="1:43" x14ac:dyDescent="0.3">
      <c r="A345" t="s">
        <v>131</v>
      </c>
      <c r="B345" t="s">
        <v>155</v>
      </c>
      <c r="C345" s="4" t="s">
        <v>43</v>
      </c>
      <c r="D345" s="1">
        <v>5393</v>
      </c>
      <c r="E345">
        <v>12</v>
      </c>
      <c r="F345">
        <v>11</v>
      </c>
      <c r="G345">
        <v>0</v>
      </c>
      <c r="H345" s="1">
        <v>0</v>
      </c>
      <c r="I345" s="1">
        <v>2670</v>
      </c>
      <c r="J345">
        <v>0</v>
      </c>
      <c r="K345">
        <v>0</v>
      </c>
      <c r="L345">
        <v>43</v>
      </c>
      <c r="M345">
        <v>0</v>
      </c>
      <c r="N345">
        <v>22</v>
      </c>
      <c r="O345" s="1">
        <v>0</v>
      </c>
      <c r="P345">
        <v>2</v>
      </c>
      <c r="Q345">
        <v>0</v>
      </c>
      <c r="R345">
        <v>1</v>
      </c>
      <c r="S345">
        <v>0</v>
      </c>
      <c r="T345">
        <v>0</v>
      </c>
      <c r="U345">
        <v>60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10</v>
      </c>
      <c r="AC345">
        <v>31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12</v>
      </c>
      <c r="AL345">
        <v>13</v>
      </c>
      <c r="AM345">
        <v>0</v>
      </c>
      <c r="AN345">
        <v>0</v>
      </c>
      <c r="AO345">
        <v>0</v>
      </c>
      <c r="AP345">
        <v>35</v>
      </c>
      <c r="AQ345" s="1">
        <v>2469</v>
      </c>
    </row>
    <row r="346" spans="1:43" x14ac:dyDescent="0.3">
      <c r="A346" t="s">
        <v>131</v>
      </c>
      <c r="B346" t="s">
        <v>155</v>
      </c>
      <c r="C346" s="4" t="s">
        <v>44</v>
      </c>
      <c r="D346" s="1">
        <v>1750</v>
      </c>
      <c r="E346">
        <v>0</v>
      </c>
      <c r="F346">
        <v>0</v>
      </c>
      <c r="G346">
        <v>0</v>
      </c>
      <c r="H346" s="1">
        <v>0</v>
      </c>
      <c r="I346" s="1">
        <v>1570</v>
      </c>
      <c r="J346">
        <v>0</v>
      </c>
      <c r="K346">
        <v>1</v>
      </c>
      <c r="L346">
        <v>7</v>
      </c>
      <c r="M346">
        <v>0</v>
      </c>
      <c r="N346">
        <v>25</v>
      </c>
      <c r="O346" s="1">
        <v>0</v>
      </c>
      <c r="P346">
        <v>3</v>
      </c>
      <c r="Q346">
        <v>0</v>
      </c>
      <c r="R346">
        <v>0</v>
      </c>
      <c r="S346">
        <v>0</v>
      </c>
      <c r="T346">
        <v>0</v>
      </c>
      <c r="U346">
        <v>10</v>
      </c>
      <c r="V346">
        <v>2</v>
      </c>
      <c r="W346">
        <v>16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</v>
      </c>
      <c r="AD346">
        <v>0</v>
      </c>
      <c r="AE346">
        <v>0</v>
      </c>
      <c r="AF346">
        <v>0</v>
      </c>
      <c r="AG346">
        <v>0</v>
      </c>
      <c r="AH346">
        <v>9</v>
      </c>
      <c r="AI346">
        <v>22</v>
      </c>
      <c r="AJ346">
        <v>0</v>
      </c>
      <c r="AK346">
        <v>18</v>
      </c>
      <c r="AL346">
        <v>23</v>
      </c>
      <c r="AM346">
        <v>0</v>
      </c>
      <c r="AN346">
        <v>0</v>
      </c>
      <c r="AO346">
        <v>0</v>
      </c>
      <c r="AP346">
        <v>42</v>
      </c>
      <c r="AQ346" s="1">
        <v>0</v>
      </c>
    </row>
    <row r="347" spans="1:43" x14ac:dyDescent="0.3">
      <c r="A347" t="s">
        <v>131</v>
      </c>
      <c r="B347" t="s">
        <v>156</v>
      </c>
      <c r="C347" s="4" t="s">
        <v>40</v>
      </c>
      <c r="D347" s="1">
        <v>6547</v>
      </c>
      <c r="E347">
        <v>0</v>
      </c>
      <c r="F347">
        <v>0</v>
      </c>
      <c r="G347">
        <v>0</v>
      </c>
      <c r="H347" s="1">
        <v>0</v>
      </c>
      <c r="I347" s="1">
        <v>6242</v>
      </c>
      <c r="J347">
        <v>0</v>
      </c>
      <c r="K347">
        <v>1</v>
      </c>
      <c r="L347">
        <v>12</v>
      </c>
      <c r="M347">
        <v>0</v>
      </c>
      <c r="N347">
        <v>25</v>
      </c>
      <c r="O347" s="1">
        <v>0</v>
      </c>
      <c r="P347">
        <v>7</v>
      </c>
      <c r="Q347">
        <v>0</v>
      </c>
      <c r="R347">
        <v>0</v>
      </c>
      <c r="S347">
        <v>0</v>
      </c>
      <c r="T347">
        <v>7</v>
      </c>
      <c r="U347">
        <v>2</v>
      </c>
      <c r="V347">
        <v>2</v>
      </c>
      <c r="W347">
        <v>4</v>
      </c>
      <c r="X347">
        <v>0</v>
      </c>
      <c r="Y347">
        <v>5</v>
      </c>
      <c r="Z347">
        <v>0</v>
      </c>
      <c r="AA347">
        <v>0</v>
      </c>
      <c r="AB347">
        <v>2</v>
      </c>
      <c r="AC347">
        <v>43</v>
      </c>
      <c r="AD347">
        <v>0</v>
      </c>
      <c r="AE347">
        <v>0</v>
      </c>
      <c r="AF347">
        <v>0</v>
      </c>
      <c r="AG347">
        <v>1</v>
      </c>
      <c r="AH347">
        <v>36</v>
      </c>
      <c r="AI347">
        <v>5</v>
      </c>
      <c r="AJ347">
        <v>2</v>
      </c>
      <c r="AK347">
        <v>23</v>
      </c>
      <c r="AL347">
        <v>94</v>
      </c>
      <c r="AM347">
        <v>0</v>
      </c>
      <c r="AN347">
        <v>6</v>
      </c>
      <c r="AO347">
        <v>0</v>
      </c>
      <c r="AP347">
        <v>28</v>
      </c>
      <c r="AQ347" s="1">
        <v>0</v>
      </c>
    </row>
    <row r="348" spans="1:43" x14ac:dyDescent="0.3">
      <c r="A348" t="s">
        <v>131</v>
      </c>
      <c r="B348" t="s">
        <v>156</v>
      </c>
      <c r="C348" s="4" t="s">
        <v>43</v>
      </c>
      <c r="D348" s="1">
        <v>2768</v>
      </c>
      <c r="E348">
        <v>0</v>
      </c>
      <c r="F348">
        <v>0</v>
      </c>
      <c r="G348">
        <v>0</v>
      </c>
      <c r="H348" s="1">
        <v>0</v>
      </c>
      <c r="I348" s="1">
        <v>2649</v>
      </c>
      <c r="J348">
        <v>0</v>
      </c>
      <c r="K348">
        <v>0</v>
      </c>
      <c r="L348">
        <v>9</v>
      </c>
      <c r="M348">
        <v>0</v>
      </c>
      <c r="N348">
        <v>2</v>
      </c>
      <c r="O348" s="1">
        <v>0</v>
      </c>
      <c r="P348">
        <v>0</v>
      </c>
      <c r="Q348">
        <v>0</v>
      </c>
      <c r="R348">
        <v>0</v>
      </c>
      <c r="S348">
        <v>0</v>
      </c>
      <c r="T348">
        <v>7</v>
      </c>
      <c r="U348">
        <v>0</v>
      </c>
      <c r="V348">
        <v>0</v>
      </c>
      <c r="W348">
        <v>4</v>
      </c>
      <c r="X348">
        <v>0</v>
      </c>
      <c r="Y348">
        <v>5</v>
      </c>
      <c r="Z348">
        <v>0</v>
      </c>
      <c r="AA348">
        <v>0</v>
      </c>
      <c r="AB348">
        <v>0</v>
      </c>
      <c r="AC348">
        <v>27</v>
      </c>
      <c r="AD348">
        <v>0</v>
      </c>
      <c r="AE348">
        <v>0</v>
      </c>
      <c r="AF348">
        <v>0</v>
      </c>
      <c r="AG348">
        <v>0</v>
      </c>
      <c r="AH348">
        <v>16</v>
      </c>
      <c r="AI348">
        <v>0</v>
      </c>
      <c r="AJ348">
        <v>2</v>
      </c>
      <c r="AK348">
        <v>11</v>
      </c>
      <c r="AL348">
        <v>22</v>
      </c>
      <c r="AM348">
        <v>0</v>
      </c>
      <c r="AN348">
        <v>1</v>
      </c>
      <c r="AO348">
        <v>0</v>
      </c>
      <c r="AP348">
        <v>13</v>
      </c>
      <c r="AQ348" s="1">
        <v>0</v>
      </c>
    </row>
    <row r="349" spans="1:43" x14ac:dyDescent="0.3">
      <c r="A349" t="s">
        <v>131</v>
      </c>
      <c r="B349" t="s">
        <v>156</v>
      </c>
      <c r="C349" s="4" t="s">
        <v>44</v>
      </c>
      <c r="D349" s="1">
        <v>3779</v>
      </c>
      <c r="E349">
        <v>0</v>
      </c>
      <c r="F349">
        <v>0</v>
      </c>
      <c r="G349">
        <v>0</v>
      </c>
      <c r="H349" s="1">
        <v>0</v>
      </c>
      <c r="I349" s="1">
        <v>3593</v>
      </c>
      <c r="J349">
        <v>0</v>
      </c>
      <c r="K349">
        <v>1</v>
      </c>
      <c r="L349">
        <v>3</v>
      </c>
      <c r="M349">
        <v>0</v>
      </c>
      <c r="N349">
        <v>23</v>
      </c>
      <c r="O349" s="1">
        <v>0</v>
      </c>
      <c r="P349">
        <v>7</v>
      </c>
      <c r="Q349">
        <v>0</v>
      </c>
      <c r="R349">
        <v>0</v>
      </c>
      <c r="S349">
        <v>0</v>
      </c>
      <c r="T349">
        <v>0</v>
      </c>
      <c r="U349">
        <v>2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</v>
      </c>
      <c r="AC349">
        <v>16</v>
      </c>
      <c r="AD349">
        <v>0</v>
      </c>
      <c r="AE349">
        <v>0</v>
      </c>
      <c r="AF349">
        <v>0</v>
      </c>
      <c r="AG349">
        <v>1</v>
      </c>
      <c r="AH349">
        <v>20</v>
      </c>
      <c r="AI349">
        <v>5</v>
      </c>
      <c r="AJ349">
        <v>0</v>
      </c>
      <c r="AK349">
        <v>12</v>
      </c>
      <c r="AL349">
        <v>72</v>
      </c>
      <c r="AM349">
        <v>0</v>
      </c>
      <c r="AN349">
        <v>5</v>
      </c>
      <c r="AO349">
        <v>0</v>
      </c>
      <c r="AP349">
        <v>15</v>
      </c>
      <c r="AQ349" s="1">
        <v>0</v>
      </c>
    </row>
    <row r="350" spans="1:43" x14ac:dyDescent="0.3">
      <c r="A350" t="s">
        <v>131</v>
      </c>
      <c r="B350" t="s">
        <v>157</v>
      </c>
      <c r="C350" s="4" t="s">
        <v>40</v>
      </c>
      <c r="D350" s="1">
        <v>6013</v>
      </c>
      <c r="E350">
        <v>48</v>
      </c>
      <c r="F350">
        <v>13</v>
      </c>
      <c r="G350">
        <v>10</v>
      </c>
      <c r="H350" s="1">
        <v>4967</v>
      </c>
      <c r="I350">
        <v>99</v>
      </c>
      <c r="J350">
        <v>0</v>
      </c>
      <c r="K350">
        <v>1</v>
      </c>
      <c r="L350">
        <v>67</v>
      </c>
      <c r="M350">
        <v>0</v>
      </c>
      <c r="N350">
        <v>293</v>
      </c>
      <c r="O350" s="1">
        <v>0</v>
      </c>
      <c r="P350">
        <v>13</v>
      </c>
      <c r="Q350">
        <v>0</v>
      </c>
      <c r="R350">
        <v>2</v>
      </c>
      <c r="S350">
        <v>6</v>
      </c>
      <c r="T350">
        <v>7</v>
      </c>
      <c r="U350">
        <v>2</v>
      </c>
      <c r="V350">
        <v>10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2</v>
      </c>
      <c r="AC350">
        <v>32</v>
      </c>
      <c r="AD350">
        <v>0</v>
      </c>
      <c r="AE350">
        <v>0</v>
      </c>
      <c r="AF350">
        <v>0</v>
      </c>
      <c r="AG350">
        <v>0</v>
      </c>
      <c r="AH350">
        <v>23</v>
      </c>
      <c r="AI350">
        <v>4</v>
      </c>
      <c r="AJ350">
        <v>0</v>
      </c>
      <c r="AK350">
        <v>11</v>
      </c>
      <c r="AL350">
        <v>26</v>
      </c>
      <c r="AM350">
        <v>0</v>
      </c>
      <c r="AN350">
        <v>0</v>
      </c>
      <c r="AO350">
        <v>0</v>
      </c>
      <c r="AP350">
        <v>78</v>
      </c>
      <c r="AQ350">
        <v>297</v>
      </c>
    </row>
    <row r="351" spans="1:43" x14ac:dyDescent="0.3">
      <c r="A351" t="s">
        <v>131</v>
      </c>
      <c r="B351" t="s">
        <v>157</v>
      </c>
      <c r="C351" s="4" t="s">
        <v>43</v>
      </c>
      <c r="D351" s="1">
        <v>2945</v>
      </c>
      <c r="E351">
        <v>20</v>
      </c>
      <c r="F351">
        <v>7</v>
      </c>
      <c r="G351">
        <v>1</v>
      </c>
      <c r="H351" s="1">
        <v>2285</v>
      </c>
      <c r="I351">
        <v>99</v>
      </c>
      <c r="J351">
        <v>0</v>
      </c>
      <c r="K351">
        <v>1</v>
      </c>
      <c r="L351">
        <v>20</v>
      </c>
      <c r="M351">
        <v>0</v>
      </c>
      <c r="N351">
        <v>124</v>
      </c>
      <c r="O351" s="1">
        <v>0</v>
      </c>
      <c r="P351">
        <v>3</v>
      </c>
      <c r="Q351">
        <v>0</v>
      </c>
      <c r="R351">
        <v>0</v>
      </c>
      <c r="S351">
        <v>0</v>
      </c>
      <c r="T351">
        <v>7</v>
      </c>
      <c r="U351">
        <v>2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24</v>
      </c>
      <c r="AD351">
        <v>0</v>
      </c>
      <c r="AE351">
        <v>0</v>
      </c>
      <c r="AF351">
        <v>0</v>
      </c>
      <c r="AG351">
        <v>0</v>
      </c>
      <c r="AH351">
        <v>10</v>
      </c>
      <c r="AI351">
        <v>0</v>
      </c>
      <c r="AJ351">
        <v>0</v>
      </c>
      <c r="AK351">
        <v>9</v>
      </c>
      <c r="AL351">
        <v>6</v>
      </c>
      <c r="AM351">
        <v>0</v>
      </c>
      <c r="AN351">
        <v>0</v>
      </c>
      <c r="AO351">
        <v>0</v>
      </c>
      <c r="AP351">
        <v>27</v>
      </c>
      <c r="AQ351">
        <v>297</v>
      </c>
    </row>
    <row r="352" spans="1:43" x14ac:dyDescent="0.3">
      <c r="A352" t="s">
        <v>131</v>
      </c>
      <c r="B352" t="s">
        <v>157</v>
      </c>
      <c r="C352" s="4" t="s">
        <v>44</v>
      </c>
      <c r="D352" s="1">
        <v>3068</v>
      </c>
      <c r="E352">
        <v>28</v>
      </c>
      <c r="F352">
        <v>6</v>
      </c>
      <c r="G352">
        <v>9</v>
      </c>
      <c r="H352" s="1">
        <v>2682</v>
      </c>
      <c r="I352" s="1">
        <v>0</v>
      </c>
      <c r="J352">
        <v>0</v>
      </c>
      <c r="K352">
        <v>0</v>
      </c>
      <c r="L352">
        <v>47</v>
      </c>
      <c r="M352">
        <v>0</v>
      </c>
      <c r="N352">
        <v>169</v>
      </c>
      <c r="O352" s="1">
        <v>0</v>
      </c>
      <c r="P352">
        <v>10</v>
      </c>
      <c r="Q352">
        <v>0</v>
      </c>
      <c r="R352">
        <v>2</v>
      </c>
      <c r="S352">
        <v>6</v>
      </c>
      <c r="T352">
        <v>0</v>
      </c>
      <c r="U352">
        <v>0</v>
      </c>
      <c r="V352">
        <v>8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1</v>
      </c>
      <c r="AC352">
        <v>8</v>
      </c>
      <c r="AD352">
        <v>0</v>
      </c>
      <c r="AE352">
        <v>0</v>
      </c>
      <c r="AF352">
        <v>0</v>
      </c>
      <c r="AG352">
        <v>0</v>
      </c>
      <c r="AH352">
        <v>13</v>
      </c>
      <c r="AI352">
        <v>4</v>
      </c>
      <c r="AJ352">
        <v>0</v>
      </c>
      <c r="AK352">
        <v>2</v>
      </c>
      <c r="AL352">
        <v>20</v>
      </c>
      <c r="AM352">
        <v>0</v>
      </c>
      <c r="AN352">
        <v>0</v>
      </c>
      <c r="AO352">
        <v>0</v>
      </c>
      <c r="AP352">
        <v>51</v>
      </c>
      <c r="AQ352" s="1">
        <v>0</v>
      </c>
    </row>
    <row r="353" spans="1:43" x14ac:dyDescent="0.3">
      <c r="A353" t="s">
        <v>131</v>
      </c>
      <c r="B353" t="s">
        <v>158</v>
      </c>
      <c r="C353" s="4" t="s">
        <v>40</v>
      </c>
      <c r="D353" s="1">
        <v>5261</v>
      </c>
      <c r="E353">
        <v>86</v>
      </c>
      <c r="F353">
        <v>18</v>
      </c>
      <c r="G353">
        <v>2</v>
      </c>
      <c r="H353" s="1">
        <v>4501</v>
      </c>
      <c r="I353" s="1">
        <v>0</v>
      </c>
      <c r="J353">
        <v>0</v>
      </c>
      <c r="K353">
        <v>1</v>
      </c>
      <c r="L353">
        <v>44</v>
      </c>
      <c r="M353">
        <v>0</v>
      </c>
      <c r="N353">
        <v>114</v>
      </c>
      <c r="O353" s="1">
        <v>0</v>
      </c>
      <c r="P353">
        <v>19</v>
      </c>
      <c r="Q353">
        <v>0</v>
      </c>
      <c r="R353">
        <v>7</v>
      </c>
      <c r="S353">
        <v>0</v>
      </c>
      <c r="T353">
        <v>10</v>
      </c>
      <c r="U353">
        <v>0</v>
      </c>
      <c r="V353">
        <v>5</v>
      </c>
      <c r="W353">
        <v>10</v>
      </c>
      <c r="X353">
        <v>0</v>
      </c>
      <c r="Y353">
        <v>1</v>
      </c>
      <c r="Z353">
        <v>0</v>
      </c>
      <c r="AA353">
        <v>1</v>
      </c>
      <c r="AB353">
        <v>7</v>
      </c>
      <c r="AC353">
        <v>1</v>
      </c>
      <c r="AD353">
        <v>0</v>
      </c>
      <c r="AE353">
        <v>0</v>
      </c>
      <c r="AF353">
        <v>0</v>
      </c>
      <c r="AG353">
        <v>4</v>
      </c>
      <c r="AH353">
        <v>18</v>
      </c>
      <c r="AI353">
        <v>0</v>
      </c>
      <c r="AJ353">
        <v>0</v>
      </c>
      <c r="AK353">
        <v>1</v>
      </c>
      <c r="AL353">
        <v>17</v>
      </c>
      <c r="AM353">
        <v>0</v>
      </c>
      <c r="AN353">
        <v>0</v>
      </c>
      <c r="AO353">
        <v>0</v>
      </c>
      <c r="AP353">
        <v>75</v>
      </c>
      <c r="AQ353">
        <v>319</v>
      </c>
    </row>
    <row r="354" spans="1:43" x14ac:dyDescent="0.3">
      <c r="A354" t="s">
        <v>131</v>
      </c>
      <c r="B354" t="s">
        <v>158</v>
      </c>
      <c r="C354" s="4" t="s">
        <v>43</v>
      </c>
      <c r="D354" s="1">
        <v>2913</v>
      </c>
      <c r="E354">
        <v>49</v>
      </c>
      <c r="F354">
        <v>14</v>
      </c>
      <c r="G354">
        <v>2</v>
      </c>
      <c r="H354" s="1">
        <v>2388</v>
      </c>
      <c r="I354" s="1">
        <v>0</v>
      </c>
      <c r="J354">
        <v>0</v>
      </c>
      <c r="K354">
        <v>0</v>
      </c>
      <c r="L354">
        <v>20</v>
      </c>
      <c r="M354">
        <v>0</v>
      </c>
      <c r="N354">
        <v>33</v>
      </c>
      <c r="O354" s="1">
        <v>0</v>
      </c>
      <c r="P354">
        <v>7</v>
      </c>
      <c r="Q354">
        <v>0</v>
      </c>
      <c r="R354">
        <v>7</v>
      </c>
      <c r="S354">
        <v>0</v>
      </c>
      <c r="T354">
        <v>10</v>
      </c>
      <c r="U354">
        <v>0</v>
      </c>
      <c r="V354">
        <v>0</v>
      </c>
      <c r="W354">
        <v>4</v>
      </c>
      <c r="X354">
        <v>0</v>
      </c>
      <c r="Y354">
        <v>0</v>
      </c>
      <c r="Z354">
        <v>0</v>
      </c>
      <c r="AA354">
        <v>1</v>
      </c>
      <c r="AB354">
        <v>6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10</v>
      </c>
      <c r="AI354">
        <v>0</v>
      </c>
      <c r="AJ354">
        <v>0</v>
      </c>
      <c r="AK354">
        <v>1</v>
      </c>
      <c r="AL354">
        <v>5</v>
      </c>
      <c r="AM354">
        <v>0</v>
      </c>
      <c r="AN354">
        <v>0</v>
      </c>
      <c r="AO354">
        <v>0</v>
      </c>
      <c r="AP354">
        <v>36</v>
      </c>
      <c r="AQ354">
        <v>319</v>
      </c>
    </row>
    <row r="355" spans="1:43" x14ac:dyDescent="0.3">
      <c r="A355" t="s">
        <v>131</v>
      </c>
      <c r="B355" t="s">
        <v>158</v>
      </c>
      <c r="C355" s="4" t="s">
        <v>44</v>
      </c>
      <c r="D355" s="1">
        <v>2348</v>
      </c>
      <c r="E355">
        <v>37</v>
      </c>
      <c r="F355">
        <v>4</v>
      </c>
      <c r="G355">
        <v>0</v>
      </c>
      <c r="H355" s="1">
        <v>2113</v>
      </c>
      <c r="I355" s="1">
        <v>0</v>
      </c>
      <c r="J355">
        <v>0</v>
      </c>
      <c r="K355">
        <v>1</v>
      </c>
      <c r="L355">
        <v>24</v>
      </c>
      <c r="M355">
        <v>0</v>
      </c>
      <c r="N355">
        <v>81</v>
      </c>
      <c r="O355" s="1">
        <v>0</v>
      </c>
      <c r="P355">
        <v>12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5</v>
      </c>
      <c r="W355">
        <v>6</v>
      </c>
      <c r="X355">
        <v>0</v>
      </c>
      <c r="Y355">
        <v>1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4</v>
      </c>
      <c r="AH355">
        <v>8</v>
      </c>
      <c r="AI355">
        <v>0</v>
      </c>
      <c r="AJ355">
        <v>0</v>
      </c>
      <c r="AK355">
        <v>0</v>
      </c>
      <c r="AL355">
        <v>12</v>
      </c>
      <c r="AM355">
        <v>0</v>
      </c>
      <c r="AN355">
        <v>0</v>
      </c>
      <c r="AO355">
        <v>0</v>
      </c>
      <c r="AP355">
        <v>39</v>
      </c>
      <c r="AQ355">
        <v>0</v>
      </c>
    </row>
    <row r="356" spans="1:43" x14ac:dyDescent="0.3">
      <c r="A356" t="s">
        <v>131</v>
      </c>
      <c r="B356" t="s">
        <v>159</v>
      </c>
      <c r="C356" s="4" t="s">
        <v>40</v>
      </c>
      <c r="D356" s="1">
        <v>4188</v>
      </c>
      <c r="E356">
        <v>22</v>
      </c>
      <c r="F356">
        <v>16</v>
      </c>
      <c r="G356">
        <v>0</v>
      </c>
      <c r="H356" s="1">
        <v>0</v>
      </c>
      <c r="I356" s="1">
        <v>2536</v>
      </c>
      <c r="J356">
        <v>0</v>
      </c>
      <c r="K356">
        <v>14</v>
      </c>
      <c r="L356">
        <v>18</v>
      </c>
      <c r="M356">
        <v>0</v>
      </c>
      <c r="N356">
        <v>38</v>
      </c>
      <c r="O356" s="1">
        <v>0</v>
      </c>
      <c r="P356">
        <v>9</v>
      </c>
      <c r="Q356">
        <v>0</v>
      </c>
      <c r="R356">
        <v>0</v>
      </c>
      <c r="S356">
        <v>0</v>
      </c>
      <c r="T356">
        <v>0</v>
      </c>
      <c r="U356">
        <v>12</v>
      </c>
      <c r="V356">
        <v>13</v>
      </c>
      <c r="W356">
        <v>2</v>
      </c>
      <c r="X356">
        <v>0</v>
      </c>
      <c r="Y356">
        <v>0</v>
      </c>
      <c r="Z356">
        <v>9</v>
      </c>
      <c r="AA356">
        <v>0</v>
      </c>
      <c r="AB356">
        <v>1</v>
      </c>
      <c r="AC356">
        <v>8</v>
      </c>
      <c r="AD356">
        <v>0</v>
      </c>
      <c r="AE356">
        <v>0</v>
      </c>
      <c r="AF356">
        <v>0</v>
      </c>
      <c r="AG356">
        <v>1</v>
      </c>
      <c r="AH356">
        <v>7</v>
      </c>
      <c r="AI356">
        <v>19</v>
      </c>
      <c r="AJ356">
        <v>0</v>
      </c>
      <c r="AK356">
        <v>1</v>
      </c>
      <c r="AL356">
        <v>29</v>
      </c>
      <c r="AM356">
        <v>0</v>
      </c>
      <c r="AN356">
        <v>0</v>
      </c>
      <c r="AO356">
        <v>0</v>
      </c>
      <c r="AP356">
        <v>59</v>
      </c>
      <c r="AQ356" s="1">
        <v>1374</v>
      </c>
    </row>
    <row r="357" spans="1:43" x14ac:dyDescent="0.3">
      <c r="A357" t="s">
        <v>131</v>
      </c>
      <c r="B357" t="s">
        <v>159</v>
      </c>
      <c r="C357" s="4" t="s">
        <v>43</v>
      </c>
      <c r="D357" s="1">
        <v>2823</v>
      </c>
      <c r="E357">
        <v>12</v>
      </c>
      <c r="F357">
        <v>11</v>
      </c>
      <c r="G357">
        <v>0</v>
      </c>
      <c r="H357" s="1">
        <v>0</v>
      </c>
      <c r="I357" s="1">
        <v>1301</v>
      </c>
      <c r="J357">
        <v>0</v>
      </c>
      <c r="K357">
        <v>11</v>
      </c>
      <c r="L357">
        <v>14</v>
      </c>
      <c r="M357">
        <v>0</v>
      </c>
      <c r="N357">
        <v>4</v>
      </c>
      <c r="O357" s="1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12</v>
      </c>
      <c r="V357">
        <v>11</v>
      </c>
      <c r="W357">
        <v>0</v>
      </c>
      <c r="X357">
        <v>0</v>
      </c>
      <c r="Y357">
        <v>0</v>
      </c>
      <c r="Z357">
        <v>9</v>
      </c>
      <c r="AA357">
        <v>0</v>
      </c>
      <c r="AB357">
        <v>1</v>
      </c>
      <c r="AC357">
        <v>4</v>
      </c>
      <c r="AD357">
        <v>0</v>
      </c>
      <c r="AE357">
        <v>0</v>
      </c>
      <c r="AF357">
        <v>0</v>
      </c>
      <c r="AG357">
        <v>1</v>
      </c>
      <c r="AH357">
        <v>1</v>
      </c>
      <c r="AI357">
        <v>4</v>
      </c>
      <c r="AJ357">
        <v>0</v>
      </c>
      <c r="AK357">
        <v>0</v>
      </c>
      <c r="AL357">
        <v>18</v>
      </c>
      <c r="AM357">
        <v>0</v>
      </c>
      <c r="AN357">
        <v>0</v>
      </c>
      <c r="AO357">
        <v>0</v>
      </c>
      <c r="AP357">
        <v>34</v>
      </c>
      <c r="AQ357" s="1">
        <v>1374</v>
      </c>
    </row>
    <row r="358" spans="1:43" x14ac:dyDescent="0.3">
      <c r="A358" t="s">
        <v>131</v>
      </c>
      <c r="B358" t="s">
        <v>159</v>
      </c>
      <c r="C358" s="4" t="s">
        <v>44</v>
      </c>
      <c r="D358" s="1">
        <v>1365</v>
      </c>
      <c r="E358">
        <v>10</v>
      </c>
      <c r="F358">
        <v>5</v>
      </c>
      <c r="G358">
        <v>0</v>
      </c>
      <c r="H358" s="1">
        <v>0</v>
      </c>
      <c r="I358" s="1">
        <v>1235</v>
      </c>
      <c r="J358">
        <v>0</v>
      </c>
      <c r="K358">
        <v>3</v>
      </c>
      <c r="L358">
        <v>4</v>
      </c>
      <c r="M358">
        <v>0</v>
      </c>
      <c r="N358">
        <v>34</v>
      </c>
      <c r="O358" s="1">
        <v>0</v>
      </c>
      <c r="P358">
        <v>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4</v>
      </c>
      <c r="AD358">
        <v>0</v>
      </c>
      <c r="AE358">
        <v>0</v>
      </c>
      <c r="AF358">
        <v>0</v>
      </c>
      <c r="AG358">
        <v>0</v>
      </c>
      <c r="AH358">
        <v>6</v>
      </c>
      <c r="AI358">
        <v>15</v>
      </c>
      <c r="AJ358">
        <v>0</v>
      </c>
      <c r="AK358">
        <v>1</v>
      </c>
      <c r="AL358">
        <v>11</v>
      </c>
      <c r="AM358">
        <v>0</v>
      </c>
      <c r="AN358">
        <v>0</v>
      </c>
      <c r="AO358">
        <v>0</v>
      </c>
      <c r="AP358">
        <v>25</v>
      </c>
      <c r="AQ358">
        <v>0</v>
      </c>
    </row>
    <row r="359" spans="1:43" x14ac:dyDescent="0.3">
      <c r="A359" t="s">
        <v>131</v>
      </c>
      <c r="B359" t="s">
        <v>160</v>
      </c>
      <c r="C359" s="4" t="s">
        <v>40</v>
      </c>
      <c r="D359" s="1">
        <v>3615</v>
      </c>
      <c r="E359">
        <v>28</v>
      </c>
      <c r="F359">
        <v>3</v>
      </c>
      <c r="G359">
        <v>4</v>
      </c>
      <c r="H359" s="1">
        <v>2426</v>
      </c>
      <c r="I359">
        <v>376</v>
      </c>
      <c r="J359">
        <v>0</v>
      </c>
      <c r="K359">
        <v>2</v>
      </c>
      <c r="L359">
        <v>29</v>
      </c>
      <c r="M359">
        <v>0</v>
      </c>
      <c r="N359">
        <v>65</v>
      </c>
      <c r="O359" s="1">
        <v>0</v>
      </c>
      <c r="P359">
        <v>15</v>
      </c>
      <c r="Q359">
        <v>0</v>
      </c>
      <c r="R359">
        <v>0</v>
      </c>
      <c r="S359">
        <v>5</v>
      </c>
      <c r="T359">
        <v>0</v>
      </c>
      <c r="U359">
        <v>32</v>
      </c>
      <c r="V359">
        <v>1</v>
      </c>
      <c r="W359">
        <v>0</v>
      </c>
      <c r="X359">
        <v>0</v>
      </c>
      <c r="Y359">
        <v>2</v>
      </c>
      <c r="Z359">
        <v>0</v>
      </c>
      <c r="AA359">
        <v>0</v>
      </c>
      <c r="AB359">
        <v>11</v>
      </c>
      <c r="AC359">
        <v>10</v>
      </c>
      <c r="AD359">
        <v>0</v>
      </c>
      <c r="AE359">
        <v>0</v>
      </c>
      <c r="AF359">
        <v>0</v>
      </c>
      <c r="AG359">
        <v>1</v>
      </c>
      <c r="AH359">
        <v>3</v>
      </c>
      <c r="AI359">
        <v>14</v>
      </c>
      <c r="AJ359">
        <v>1</v>
      </c>
      <c r="AK359">
        <v>4</v>
      </c>
      <c r="AL359">
        <v>21</v>
      </c>
      <c r="AM359">
        <v>0</v>
      </c>
      <c r="AN359">
        <v>1</v>
      </c>
      <c r="AO359">
        <v>0</v>
      </c>
      <c r="AP359">
        <v>52</v>
      </c>
      <c r="AQ359">
        <v>509</v>
      </c>
    </row>
    <row r="360" spans="1:43" x14ac:dyDescent="0.3">
      <c r="A360" t="s">
        <v>131</v>
      </c>
      <c r="B360" t="s">
        <v>160</v>
      </c>
      <c r="C360" s="4" t="s">
        <v>43</v>
      </c>
      <c r="D360" s="1">
        <v>2117</v>
      </c>
      <c r="E360">
        <v>14</v>
      </c>
      <c r="F360">
        <v>3</v>
      </c>
      <c r="G360">
        <v>0</v>
      </c>
      <c r="H360" s="1">
        <v>1125</v>
      </c>
      <c r="I360">
        <v>368</v>
      </c>
      <c r="J360">
        <v>0</v>
      </c>
      <c r="K360">
        <v>2</v>
      </c>
      <c r="L360">
        <v>11</v>
      </c>
      <c r="M360">
        <v>0</v>
      </c>
      <c r="N360">
        <v>14</v>
      </c>
      <c r="O360" s="1">
        <v>0</v>
      </c>
      <c r="P360">
        <v>1</v>
      </c>
      <c r="Q360">
        <v>0</v>
      </c>
      <c r="R360">
        <v>0</v>
      </c>
      <c r="S360">
        <v>2</v>
      </c>
      <c r="T360">
        <v>0</v>
      </c>
      <c r="U360">
        <v>32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4</v>
      </c>
      <c r="AJ360">
        <v>0</v>
      </c>
      <c r="AK360">
        <v>0</v>
      </c>
      <c r="AL360">
        <v>6</v>
      </c>
      <c r="AM360">
        <v>0</v>
      </c>
      <c r="AN360">
        <v>1</v>
      </c>
      <c r="AO360">
        <v>0</v>
      </c>
      <c r="AP360">
        <v>18</v>
      </c>
      <c r="AQ360">
        <v>509</v>
      </c>
    </row>
    <row r="361" spans="1:43" x14ac:dyDescent="0.3">
      <c r="A361" t="s">
        <v>131</v>
      </c>
      <c r="B361" t="s">
        <v>160</v>
      </c>
      <c r="C361" s="4" t="s">
        <v>44</v>
      </c>
      <c r="D361" s="1">
        <v>1498</v>
      </c>
      <c r="E361">
        <v>14</v>
      </c>
      <c r="F361">
        <v>0</v>
      </c>
      <c r="G361">
        <v>4</v>
      </c>
      <c r="H361" s="1">
        <v>1301</v>
      </c>
      <c r="I361">
        <v>8</v>
      </c>
      <c r="J361">
        <v>0</v>
      </c>
      <c r="K361">
        <v>0</v>
      </c>
      <c r="L361">
        <v>18</v>
      </c>
      <c r="M361">
        <v>0</v>
      </c>
      <c r="N361">
        <v>51</v>
      </c>
      <c r="O361" s="1">
        <v>0</v>
      </c>
      <c r="P361">
        <v>14</v>
      </c>
      <c r="Q361">
        <v>0</v>
      </c>
      <c r="R361">
        <v>0</v>
      </c>
      <c r="S361">
        <v>3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4</v>
      </c>
      <c r="AC361">
        <v>10</v>
      </c>
      <c r="AD361">
        <v>0</v>
      </c>
      <c r="AE361">
        <v>0</v>
      </c>
      <c r="AF361">
        <v>0</v>
      </c>
      <c r="AG361">
        <v>1</v>
      </c>
      <c r="AH361">
        <v>3</v>
      </c>
      <c r="AI361">
        <v>10</v>
      </c>
      <c r="AJ361">
        <v>1</v>
      </c>
      <c r="AK361">
        <v>4</v>
      </c>
      <c r="AL361">
        <v>15</v>
      </c>
      <c r="AM361">
        <v>0</v>
      </c>
      <c r="AN361">
        <v>0</v>
      </c>
      <c r="AO361">
        <v>0</v>
      </c>
      <c r="AP361">
        <v>34</v>
      </c>
      <c r="AQ361">
        <v>0</v>
      </c>
    </row>
    <row r="362" spans="1:43" x14ac:dyDescent="0.3">
      <c r="A362" t="s">
        <v>131</v>
      </c>
      <c r="B362" t="s">
        <v>161</v>
      </c>
      <c r="C362" s="4" t="s">
        <v>40</v>
      </c>
      <c r="D362" s="1">
        <v>2809</v>
      </c>
      <c r="E362">
        <v>85</v>
      </c>
      <c r="F362">
        <v>10</v>
      </c>
      <c r="G362">
        <v>0</v>
      </c>
      <c r="H362" s="1">
        <v>0</v>
      </c>
      <c r="I362" s="1">
        <v>2258</v>
      </c>
      <c r="J362">
        <v>0</v>
      </c>
      <c r="K362">
        <v>0</v>
      </c>
      <c r="L362">
        <v>89</v>
      </c>
      <c r="M362">
        <v>0</v>
      </c>
      <c r="N362">
        <v>31</v>
      </c>
      <c r="O362" s="1">
        <v>0</v>
      </c>
      <c r="P362">
        <v>3</v>
      </c>
      <c r="Q362">
        <v>5</v>
      </c>
      <c r="R362">
        <v>0</v>
      </c>
      <c r="S362">
        <v>0</v>
      </c>
      <c r="T362">
        <v>9</v>
      </c>
      <c r="U362">
        <v>0</v>
      </c>
      <c r="V362">
        <v>1</v>
      </c>
      <c r="W362">
        <v>0</v>
      </c>
      <c r="X362">
        <v>0</v>
      </c>
      <c r="Y362">
        <v>4</v>
      </c>
      <c r="Z362">
        <v>0</v>
      </c>
      <c r="AA362">
        <v>2</v>
      </c>
      <c r="AB362">
        <v>4</v>
      </c>
      <c r="AC362">
        <v>2</v>
      </c>
      <c r="AD362">
        <v>0</v>
      </c>
      <c r="AE362">
        <v>0</v>
      </c>
      <c r="AF362">
        <v>0</v>
      </c>
      <c r="AG362">
        <v>0</v>
      </c>
      <c r="AH362">
        <v>13</v>
      </c>
      <c r="AI362">
        <v>3</v>
      </c>
      <c r="AJ362">
        <v>0</v>
      </c>
      <c r="AK362">
        <v>1</v>
      </c>
      <c r="AL362">
        <v>56</v>
      </c>
      <c r="AM362">
        <v>0</v>
      </c>
      <c r="AN362">
        <v>0</v>
      </c>
      <c r="AO362">
        <v>0</v>
      </c>
      <c r="AP362">
        <v>63</v>
      </c>
      <c r="AQ362">
        <v>170</v>
      </c>
    </row>
    <row r="363" spans="1:43" x14ac:dyDescent="0.3">
      <c r="A363" t="s">
        <v>131</v>
      </c>
      <c r="B363" t="s">
        <v>161</v>
      </c>
      <c r="C363" s="4" t="s">
        <v>43</v>
      </c>
      <c r="D363" s="1">
        <v>1567</v>
      </c>
      <c r="E363">
        <v>48</v>
      </c>
      <c r="F363">
        <v>2</v>
      </c>
      <c r="G363">
        <v>0</v>
      </c>
      <c r="H363" s="1">
        <v>0</v>
      </c>
      <c r="I363" s="1">
        <v>1184</v>
      </c>
      <c r="J363">
        <v>0</v>
      </c>
      <c r="K363">
        <v>0</v>
      </c>
      <c r="L363">
        <v>58</v>
      </c>
      <c r="M363">
        <v>0</v>
      </c>
      <c r="N363">
        <v>9</v>
      </c>
      <c r="O363" s="1">
        <v>0</v>
      </c>
      <c r="P363">
        <v>1</v>
      </c>
      <c r="Q363">
        <v>5</v>
      </c>
      <c r="R363">
        <v>0</v>
      </c>
      <c r="S363">
        <v>0</v>
      </c>
      <c r="T363">
        <v>9</v>
      </c>
      <c r="U363">
        <v>0</v>
      </c>
      <c r="V363">
        <v>0</v>
      </c>
      <c r="W363">
        <v>0</v>
      </c>
      <c r="X363">
        <v>0</v>
      </c>
      <c r="Y363">
        <v>4</v>
      </c>
      <c r="Z363">
        <v>0</v>
      </c>
      <c r="AA363">
        <v>2</v>
      </c>
      <c r="AB363">
        <v>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3</v>
      </c>
      <c r="AJ363">
        <v>0</v>
      </c>
      <c r="AK363">
        <v>1</v>
      </c>
      <c r="AL363">
        <v>35</v>
      </c>
      <c r="AM363">
        <v>0</v>
      </c>
      <c r="AN363">
        <v>0</v>
      </c>
      <c r="AO363">
        <v>0</v>
      </c>
      <c r="AP363">
        <v>32</v>
      </c>
      <c r="AQ363">
        <v>170</v>
      </c>
    </row>
    <row r="364" spans="1:43" x14ac:dyDescent="0.3">
      <c r="A364" t="s">
        <v>131</v>
      </c>
      <c r="B364" t="s">
        <v>161</v>
      </c>
      <c r="C364" s="4" t="s">
        <v>44</v>
      </c>
      <c r="D364" s="1">
        <v>1242</v>
      </c>
      <c r="E364">
        <v>37</v>
      </c>
      <c r="F364">
        <v>8</v>
      </c>
      <c r="G364">
        <v>0</v>
      </c>
      <c r="H364" s="1">
        <v>0</v>
      </c>
      <c r="I364" s="1">
        <v>1074</v>
      </c>
      <c r="J364">
        <v>0</v>
      </c>
      <c r="K364">
        <v>0</v>
      </c>
      <c r="L364">
        <v>31</v>
      </c>
      <c r="M364">
        <v>0</v>
      </c>
      <c r="N364">
        <v>22</v>
      </c>
      <c r="O364" s="1">
        <v>0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2</v>
      </c>
      <c r="AD364">
        <v>0</v>
      </c>
      <c r="AE364">
        <v>0</v>
      </c>
      <c r="AF364">
        <v>0</v>
      </c>
      <c r="AG364">
        <v>0</v>
      </c>
      <c r="AH364">
        <v>12</v>
      </c>
      <c r="AI364">
        <v>0</v>
      </c>
      <c r="AJ364">
        <v>0</v>
      </c>
      <c r="AK364">
        <v>0</v>
      </c>
      <c r="AL364">
        <v>21</v>
      </c>
      <c r="AM364">
        <v>0</v>
      </c>
      <c r="AN364">
        <v>0</v>
      </c>
      <c r="AO364">
        <v>0</v>
      </c>
      <c r="AP364">
        <v>31</v>
      </c>
      <c r="AQ364">
        <v>0</v>
      </c>
    </row>
    <row r="365" spans="1:43" x14ac:dyDescent="0.3">
      <c r="A365" t="s">
        <v>131</v>
      </c>
      <c r="B365" t="s">
        <v>162</v>
      </c>
      <c r="C365" s="4" t="s">
        <v>40</v>
      </c>
      <c r="D365" s="1">
        <v>2737</v>
      </c>
      <c r="E365">
        <v>20</v>
      </c>
      <c r="F365">
        <v>15</v>
      </c>
      <c r="G365">
        <v>0</v>
      </c>
      <c r="H365" s="1">
        <v>0</v>
      </c>
      <c r="I365">
        <v>128</v>
      </c>
      <c r="J365">
        <v>0</v>
      </c>
      <c r="K365" s="1">
        <v>1486</v>
      </c>
      <c r="L365">
        <v>132</v>
      </c>
      <c r="M365">
        <v>0</v>
      </c>
      <c r="N365">
        <v>96</v>
      </c>
      <c r="O365" s="1">
        <v>0</v>
      </c>
      <c r="P365">
        <v>47</v>
      </c>
      <c r="Q365">
        <v>0</v>
      </c>
      <c r="R365">
        <v>0</v>
      </c>
      <c r="S365">
        <v>0</v>
      </c>
      <c r="T365">
        <v>4</v>
      </c>
      <c r="U365">
        <v>4</v>
      </c>
      <c r="V365">
        <v>6</v>
      </c>
      <c r="W365">
        <v>4</v>
      </c>
      <c r="X365">
        <v>0</v>
      </c>
      <c r="Y365">
        <v>10</v>
      </c>
      <c r="Z365">
        <v>0</v>
      </c>
      <c r="AA365">
        <v>0</v>
      </c>
      <c r="AB365">
        <v>38</v>
      </c>
      <c r="AC365">
        <v>14</v>
      </c>
      <c r="AD365">
        <v>0</v>
      </c>
      <c r="AE365">
        <v>0</v>
      </c>
      <c r="AF365">
        <v>0</v>
      </c>
      <c r="AG365">
        <v>9</v>
      </c>
      <c r="AH365">
        <v>35</v>
      </c>
      <c r="AI365">
        <v>14</v>
      </c>
      <c r="AJ365">
        <v>26</v>
      </c>
      <c r="AK365">
        <v>22</v>
      </c>
      <c r="AL365">
        <v>82</v>
      </c>
      <c r="AM365">
        <v>0</v>
      </c>
      <c r="AN365">
        <v>0</v>
      </c>
      <c r="AO365">
        <v>0</v>
      </c>
      <c r="AP365">
        <v>138</v>
      </c>
      <c r="AQ365">
        <v>407</v>
      </c>
    </row>
    <row r="366" spans="1:43" x14ac:dyDescent="0.3">
      <c r="A366" t="s">
        <v>131</v>
      </c>
      <c r="B366" t="s">
        <v>162</v>
      </c>
      <c r="C366" s="4" t="s">
        <v>43</v>
      </c>
      <c r="D366" s="1">
        <v>1238</v>
      </c>
      <c r="E366">
        <v>11</v>
      </c>
      <c r="F366">
        <v>7</v>
      </c>
      <c r="G366">
        <v>0</v>
      </c>
      <c r="H366" s="1">
        <v>0</v>
      </c>
      <c r="I366">
        <v>69</v>
      </c>
      <c r="J366">
        <v>0</v>
      </c>
      <c r="K366">
        <v>594</v>
      </c>
      <c r="L366">
        <v>31</v>
      </c>
      <c r="M366">
        <v>0</v>
      </c>
      <c r="N366">
        <v>3</v>
      </c>
      <c r="O366" s="1">
        <v>0</v>
      </c>
      <c r="P366">
        <v>0</v>
      </c>
      <c r="Q366">
        <v>0</v>
      </c>
      <c r="R366">
        <v>0</v>
      </c>
      <c r="S366">
        <v>0</v>
      </c>
      <c r="T366">
        <v>3</v>
      </c>
      <c r="U366">
        <v>4</v>
      </c>
      <c r="V366">
        <v>0</v>
      </c>
      <c r="W366">
        <v>0</v>
      </c>
      <c r="X366">
        <v>0</v>
      </c>
      <c r="Y366">
        <v>8</v>
      </c>
      <c r="Z366">
        <v>0</v>
      </c>
      <c r="AA366">
        <v>0</v>
      </c>
      <c r="AB366">
        <v>7</v>
      </c>
      <c r="AC366">
        <v>2</v>
      </c>
      <c r="AD366">
        <v>0</v>
      </c>
      <c r="AE366">
        <v>0</v>
      </c>
      <c r="AF366">
        <v>0</v>
      </c>
      <c r="AG366">
        <v>0</v>
      </c>
      <c r="AH366">
        <v>5</v>
      </c>
      <c r="AI366">
        <v>0</v>
      </c>
      <c r="AJ366">
        <v>18</v>
      </c>
      <c r="AK366">
        <v>8</v>
      </c>
      <c r="AL366">
        <v>8</v>
      </c>
      <c r="AM366">
        <v>0</v>
      </c>
      <c r="AN366">
        <v>0</v>
      </c>
      <c r="AO366">
        <v>0</v>
      </c>
      <c r="AP366">
        <v>53</v>
      </c>
      <c r="AQ366">
        <v>407</v>
      </c>
    </row>
    <row r="367" spans="1:43" x14ac:dyDescent="0.3">
      <c r="A367" t="s">
        <v>131</v>
      </c>
      <c r="B367" t="s">
        <v>162</v>
      </c>
      <c r="C367" s="4" t="s">
        <v>44</v>
      </c>
      <c r="D367" s="1">
        <v>1499</v>
      </c>
      <c r="E367">
        <v>9</v>
      </c>
      <c r="F367">
        <v>8</v>
      </c>
      <c r="G367">
        <v>0</v>
      </c>
      <c r="H367" s="1">
        <v>0</v>
      </c>
      <c r="I367">
        <v>59</v>
      </c>
      <c r="J367">
        <v>0</v>
      </c>
      <c r="K367">
        <v>892</v>
      </c>
      <c r="L367">
        <v>101</v>
      </c>
      <c r="M367">
        <v>0</v>
      </c>
      <c r="N367">
        <v>93</v>
      </c>
      <c r="O367" s="1">
        <v>0</v>
      </c>
      <c r="P367">
        <v>47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6</v>
      </c>
      <c r="W367">
        <v>4</v>
      </c>
      <c r="X367">
        <v>0</v>
      </c>
      <c r="Y367">
        <v>2</v>
      </c>
      <c r="Z367">
        <v>0</v>
      </c>
      <c r="AA367">
        <v>0</v>
      </c>
      <c r="AB367">
        <v>31</v>
      </c>
      <c r="AC367">
        <v>12</v>
      </c>
      <c r="AD367">
        <v>0</v>
      </c>
      <c r="AE367">
        <v>0</v>
      </c>
      <c r="AF367">
        <v>0</v>
      </c>
      <c r="AG367">
        <v>9</v>
      </c>
      <c r="AH367">
        <v>30</v>
      </c>
      <c r="AI367">
        <v>14</v>
      </c>
      <c r="AJ367">
        <v>8</v>
      </c>
      <c r="AK367">
        <v>14</v>
      </c>
      <c r="AL367">
        <v>74</v>
      </c>
      <c r="AM367">
        <v>0</v>
      </c>
      <c r="AN367">
        <v>0</v>
      </c>
      <c r="AO367">
        <v>0</v>
      </c>
      <c r="AP367">
        <v>85</v>
      </c>
      <c r="AQ367">
        <v>0</v>
      </c>
    </row>
    <row r="368" spans="1:43" x14ac:dyDescent="0.3">
      <c r="A368" t="s">
        <v>131</v>
      </c>
      <c r="B368" t="s">
        <v>163</v>
      </c>
      <c r="C368" s="4" t="s">
        <v>40</v>
      </c>
      <c r="D368" s="1">
        <v>2706</v>
      </c>
      <c r="E368">
        <v>39</v>
      </c>
      <c r="F368">
        <v>0</v>
      </c>
      <c r="G368">
        <v>0</v>
      </c>
      <c r="H368" s="1">
        <v>2327</v>
      </c>
      <c r="I368">
        <v>26</v>
      </c>
      <c r="J368">
        <v>4</v>
      </c>
      <c r="K368">
        <v>4</v>
      </c>
      <c r="L368">
        <v>46</v>
      </c>
      <c r="M368">
        <v>0</v>
      </c>
      <c r="N368">
        <v>53</v>
      </c>
      <c r="O368" s="1">
        <v>0</v>
      </c>
      <c r="P368">
        <v>7</v>
      </c>
      <c r="Q368">
        <v>0</v>
      </c>
      <c r="R368">
        <v>0</v>
      </c>
      <c r="S368">
        <v>0</v>
      </c>
      <c r="T368">
        <v>8</v>
      </c>
      <c r="U368">
        <v>8</v>
      </c>
      <c r="V368">
        <v>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5</v>
      </c>
      <c r="AC368">
        <v>18</v>
      </c>
      <c r="AD368">
        <v>0</v>
      </c>
      <c r="AE368">
        <v>0</v>
      </c>
      <c r="AF368">
        <v>0</v>
      </c>
      <c r="AG368">
        <v>0</v>
      </c>
      <c r="AH368">
        <v>3</v>
      </c>
      <c r="AI368">
        <v>1</v>
      </c>
      <c r="AJ368">
        <v>0</v>
      </c>
      <c r="AK368">
        <v>1</v>
      </c>
      <c r="AL368">
        <v>16</v>
      </c>
      <c r="AM368">
        <v>0</v>
      </c>
      <c r="AN368">
        <v>0</v>
      </c>
      <c r="AO368">
        <v>0</v>
      </c>
      <c r="AP368">
        <v>28</v>
      </c>
      <c r="AQ368">
        <v>110</v>
      </c>
    </row>
    <row r="369" spans="1:43" x14ac:dyDescent="0.3">
      <c r="A369" t="s">
        <v>131</v>
      </c>
      <c r="B369" t="s">
        <v>163</v>
      </c>
      <c r="C369" s="4" t="s">
        <v>43</v>
      </c>
      <c r="D369" s="1">
        <v>1317</v>
      </c>
      <c r="E369">
        <v>23</v>
      </c>
      <c r="F369">
        <v>0</v>
      </c>
      <c r="G369">
        <v>0</v>
      </c>
      <c r="H369" s="1">
        <v>1085</v>
      </c>
      <c r="I369">
        <v>26</v>
      </c>
      <c r="J369">
        <v>1</v>
      </c>
      <c r="K369">
        <v>3</v>
      </c>
      <c r="L369">
        <v>31</v>
      </c>
      <c r="M369">
        <v>0</v>
      </c>
      <c r="N369">
        <v>8</v>
      </c>
      <c r="O369" s="1">
        <v>0</v>
      </c>
      <c r="P369">
        <v>0</v>
      </c>
      <c r="Q369">
        <v>0</v>
      </c>
      <c r="R369">
        <v>0</v>
      </c>
      <c r="S369">
        <v>0</v>
      </c>
      <c r="T369">
        <v>8</v>
      </c>
      <c r="U369">
        <v>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4</v>
      </c>
      <c r="AD369">
        <v>0</v>
      </c>
      <c r="AE369">
        <v>0</v>
      </c>
      <c r="AF369">
        <v>0</v>
      </c>
      <c r="AG369">
        <v>0</v>
      </c>
      <c r="AH369">
        <v>2</v>
      </c>
      <c r="AI369">
        <v>0</v>
      </c>
      <c r="AJ369">
        <v>0</v>
      </c>
      <c r="AK369">
        <v>0</v>
      </c>
      <c r="AL369">
        <v>2</v>
      </c>
      <c r="AM369">
        <v>0</v>
      </c>
      <c r="AN369">
        <v>0</v>
      </c>
      <c r="AO369">
        <v>0</v>
      </c>
      <c r="AP369">
        <v>6</v>
      </c>
      <c r="AQ369">
        <v>110</v>
      </c>
    </row>
    <row r="370" spans="1:43" x14ac:dyDescent="0.3">
      <c r="A370" t="s">
        <v>131</v>
      </c>
      <c r="B370" t="s">
        <v>163</v>
      </c>
      <c r="C370" s="4" t="s">
        <v>44</v>
      </c>
      <c r="D370" s="1">
        <v>1389</v>
      </c>
      <c r="E370">
        <v>16</v>
      </c>
      <c r="F370">
        <v>0</v>
      </c>
      <c r="G370">
        <v>0</v>
      </c>
      <c r="H370" s="1">
        <v>1242</v>
      </c>
      <c r="I370">
        <v>0</v>
      </c>
      <c r="J370">
        <v>3</v>
      </c>
      <c r="K370">
        <v>1</v>
      </c>
      <c r="L370">
        <v>15</v>
      </c>
      <c r="M370">
        <v>0</v>
      </c>
      <c r="N370">
        <v>45</v>
      </c>
      <c r="O370" s="1">
        <v>0</v>
      </c>
      <c r="P370">
        <v>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5</v>
      </c>
      <c r="AC370">
        <v>14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1</v>
      </c>
      <c r="AJ370">
        <v>0</v>
      </c>
      <c r="AK370">
        <v>1</v>
      </c>
      <c r="AL370">
        <v>14</v>
      </c>
      <c r="AM370">
        <v>0</v>
      </c>
      <c r="AN370">
        <v>0</v>
      </c>
      <c r="AO370">
        <v>0</v>
      </c>
      <c r="AP370">
        <v>22</v>
      </c>
      <c r="AQ370">
        <v>0</v>
      </c>
    </row>
    <row r="371" spans="1:43" x14ac:dyDescent="0.3">
      <c r="A371" t="s">
        <v>131</v>
      </c>
      <c r="B371" t="s">
        <v>164</v>
      </c>
      <c r="C371" s="4" t="s">
        <v>40</v>
      </c>
      <c r="D371" s="1">
        <v>2310</v>
      </c>
      <c r="E371">
        <v>5</v>
      </c>
      <c r="F371">
        <v>0</v>
      </c>
      <c r="G371">
        <v>0</v>
      </c>
      <c r="H371" s="1">
        <v>0</v>
      </c>
      <c r="I371">
        <v>725</v>
      </c>
      <c r="J371">
        <v>0</v>
      </c>
      <c r="K371">
        <v>5</v>
      </c>
      <c r="L371">
        <v>1</v>
      </c>
      <c r="M371">
        <v>0</v>
      </c>
      <c r="N371">
        <v>0</v>
      </c>
      <c r="O371" s="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3</v>
      </c>
      <c r="V371">
        <v>3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5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20</v>
      </c>
      <c r="AQ371" s="1">
        <v>1530</v>
      </c>
    </row>
    <row r="372" spans="1:43" x14ac:dyDescent="0.3">
      <c r="A372" t="s">
        <v>131</v>
      </c>
      <c r="B372" t="s">
        <v>164</v>
      </c>
      <c r="C372" s="4" t="s">
        <v>43</v>
      </c>
      <c r="D372" s="1">
        <v>2158</v>
      </c>
      <c r="E372">
        <v>2</v>
      </c>
      <c r="F372">
        <v>0</v>
      </c>
      <c r="G372">
        <v>0</v>
      </c>
      <c r="H372" s="1">
        <v>0</v>
      </c>
      <c r="I372">
        <v>602</v>
      </c>
      <c r="J372">
        <v>0</v>
      </c>
      <c r="K372">
        <v>4</v>
      </c>
      <c r="L372">
        <v>0</v>
      </c>
      <c r="M372">
        <v>0</v>
      </c>
      <c r="N372">
        <v>0</v>
      </c>
      <c r="O372" s="1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6</v>
      </c>
      <c r="AQ372" s="1">
        <v>1530</v>
      </c>
    </row>
    <row r="373" spans="1:43" x14ac:dyDescent="0.3">
      <c r="A373" t="s">
        <v>131</v>
      </c>
      <c r="B373" t="s">
        <v>164</v>
      </c>
      <c r="C373" s="4" t="s">
        <v>44</v>
      </c>
      <c r="D373">
        <v>152</v>
      </c>
      <c r="E373">
        <v>3</v>
      </c>
      <c r="F373">
        <v>0</v>
      </c>
      <c r="G373">
        <v>0</v>
      </c>
      <c r="H373" s="1">
        <v>0</v>
      </c>
      <c r="I373">
        <v>123</v>
      </c>
      <c r="J373">
        <v>0</v>
      </c>
      <c r="K373">
        <v>1</v>
      </c>
      <c r="L373">
        <v>1</v>
      </c>
      <c r="M373">
        <v>0</v>
      </c>
      <c r="N373">
        <v>0</v>
      </c>
      <c r="O373" s="1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5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14</v>
      </c>
      <c r="AQ373">
        <v>0</v>
      </c>
    </row>
    <row r="374" spans="1:43" x14ac:dyDescent="0.3">
      <c r="A374" t="s">
        <v>131</v>
      </c>
      <c r="B374" t="s">
        <v>165</v>
      </c>
      <c r="C374" s="4" t="s">
        <v>40</v>
      </c>
      <c r="D374" s="1">
        <v>2188</v>
      </c>
      <c r="E374">
        <v>74</v>
      </c>
      <c r="F374">
        <v>81</v>
      </c>
      <c r="G374">
        <v>0</v>
      </c>
      <c r="H374" s="1">
        <v>0</v>
      </c>
      <c r="I374">
        <v>30</v>
      </c>
      <c r="J374">
        <v>0</v>
      </c>
      <c r="K374" s="1">
        <v>1023</v>
      </c>
      <c r="L374">
        <v>2</v>
      </c>
      <c r="M374">
        <v>0</v>
      </c>
      <c r="N374">
        <v>353</v>
      </c>
      <c r="O374" s="1">
        <v>0</v>
      </c>
      <c r="P374">
        <v>54</v>
      </c>
      <c r="Q374">
        <v>0</v>
      </c>
      <c r="R374">
        <v>0</v>
      </c>
      <c r="S374">
        <v>0</v>
      </c>
      <c r="T374">
        <v>52</v>
      </c>
      <c r="U374">
        <v>1</v>
      </c>
      <c r="V374">
        <v>14</v>
      </c>
      <c r="W374">
        <v>4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15</v>
      </c>
      <c r="AD374">
        <v>0</v>
      </c>
      <c r="AE374">
        <v>0</v>
      </c>
      <c r="AF374">
        <v>0</v>
      </c>
      <c r="AG374">
        <v>10</v>
      </c>
      <c r="AH374">
        <v>43</v>
      </c>
      <c r="AI374">
        <v>28</v>
      </c>
      <c r="AJ374">
        <v>1</v>
      </c>
      <c r="AK374">
        <v>47</v>
      </c>
      <c r="AL374">
        <v>60</v>
      </c>
      <c r="AM374">
        <v>2</v>
      </c>
      <c r="AN374">
        <v>0</v>
      </c>
      <c r="AO374">
        <v>0</v>
      </c>
      <c r="AP374">
        <v>28</v>
      </c>
      <c r="AQ374">
        <v>263</v>
      </c>
    </row>
    <row r="375" spans="1:43" x14ac:dyDescent="0.3">
      <c r="A375" t="s">
        <v>131</v>
      </c>
      <c r="B375" t="s">
        <v>165</v>
      </c>
      <c r="C375" s="4" t="s">
        <v>43</v>
      </c>
      <c r="D375" s="1">
        <v>1263</v>
      </c>
      <c r="E375">
        <v>45</v>
      </c>
      <c r="F375">
        <v>67</v>
      </c>
      <c r="G375">
        <v>0</v>
      </c>
      <c r="H375" s="1">
        <v>0</v>
      </c>
      <c r="I375">
        <v>29</v>
      </c>
      <c r="J375">
        <v>0</v>
      </c>
      <c r="K375">
        <v>517</v>
      </c>
      <c r="L375">
        <v>1</v>
      </c>
      <c r="M375">
        <v>0</v>
      </c>
      <c r="N375">
        <v>184</v>
      </c>
      <c r="O375" s="1">
        <v>0</v>
      </c>
      <c r="P375">
        <v>16</v>
      </c>
      <c r="Q375">
        <v>0</v>
      </c>
      <c r="R375">
        <v>0</v>
      </c>
      <c r="S375">
        <v>0</v>
      </c>
      <c r="T375">
        <v>44</v>
      </c>
      <c r="U375">
        <v>1</v>
      </c>
      <c r="V375">
        <v>4</v>
      </c>
      <c r="W375">
        <v>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7</v>
      </c>
      <c r="AD375">
        <v>0</v>
      </c>
      <c r="AE375">
        <v>0</v>
      </c>
      <c r="AF375">
        <v>0</v>
      </c>
      <c r="AG375">
        <v>4</v>
      </c>
      <c r="AH375">
        <v>12</v>
      </c>
      <c r="AI375">
        <v>6</v>
      </c>
      <c r="AJ375">
        <v>1</v>
      </c>
      <c r="AK375">
        <v>36</v>
      </c>
      <c r="AL375">
        <v>7</v>
      </c>
      <c r="AM375">
        <v>2</v>
      </c>
      <c r="AN375">
        <v>0</v>
      </c>
      <c r="AO375">
        <v>0</v>
      </c>
      <c r="AP375">
        <v>13</v>
      </c>
      <c r="AQ375">
        <v>263</v>
      </c>
    </row>
    <row r="376" spans="1:43" x14ac:dyDescent="0.3">
      <c r="A376" t="s">
        <v>131</v>
      </c>
      <c r="B376" t="s">
        <v>165</v>
      </c>
      <c r="C376" s="4" t="s">
        <v>44</v>
      </c>
      <c r="D376">
        <v>925</v>
      </c>
      <c r="E376">
        <v>29</v>
      </c>
      <c r="F376">
        <v>14</v>
      </c>
      <c r="G376">
        <v>0</v>
      </c>
      <c r="H376" s="1">
        <v>0</v>
      </c>
      <c r="I376">
        <v>1</v>
      </c>
      <c r="J376">
        <v>0</v>
      </c>
      <c r="K376">
        <v>506</v>
      </c>
      <c r="L376">
        <v>1</v>
      </c>
      <c r="M376">
        <v>0</v>
      </c>
      <c r="N376">
        <v>169</v>
      </c>
      <c r="O376" s="1">
        <v>0</v>
      </c>
      <c r="P376">
        <v>38</v>
      </c>
      <c r="Q376">
        <v>0</v>
      </c>
      <c r="R376">
        <v>0</v>
      </c>
      <c r="S376">
        <v>0</v>
      </c>
      <c r="T376">
        <v>8</v>
      </c>
      <c r="U376">
        <v>0</v>
      </c>
      <c r="V376">
        <v>10</v>
      </c>
      <c r="W376">
        <v>0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8</v>
      </c>
      <c r="AD376">
        <v>0</v>
      </c>
      <c r="AE376">
        <v>0</v>
      </c>
      <c r="AF376">
        <v>0</v>
      </c>
      <c r="AG376">
        <v>6</v>
      </c>
      <c r="AH376">
        <v>31</v>
      </c>
      <c r="AI376">
        <v>22</v>
      </c>
      <c r="AJ376">
        <v>0</v>
      </c>
      <c r="AK376">
        <v>11</v>
      </c>
      <c r="AL376">
        <v>53</v>
      </c>
      <c r="AM376">
        <v>0</v>
      </c>
      <c r="AN376">
        <v>0</v>
      </c>
      <c r="AO376">
        <v>0</v>
      </c>
      <c r="AP376">
        <v>15</v>
      </c>
      <c r="AQ376">
        <v>0</v>
      </c>
    </row>
    <row r="377" spans="1:43" x14ac:dyDescent="0.3">
      <c r="A377" t="s">
        <v>131</v>
      </c>
      <c r="B377" t="s">
        <v>166</v>
      </c>
      <c r="C377" s="4" t="s">
        <v>40</v>
      </c>
      <c r="D377" s="1">
        <v>1982</v>
      </c>
      <c r="E377">
        <v>21</v>
      </c>
      <c r="F377">
        <v>12</v>
      </c>
      <c r="G377">
        <v>0</v>
      </c>
      <c r="H377" s="1">
        <v>1645</v>
      </c>
      <c r="I377">
        <v>0</v>
      </c>
      <c r="J377">
        <v>0</v>
      </c>
      <c r="K377">
        <v>0</v>
      </c>
      <c r="L377">
        <v>14</v>
      </c>
      <c r="M377">
        <v>0</v>
      </c>
      <c r="N377">
        <v>45</v>
      </c>
      <c r="O377" s="1">
        <v>0</v>
      </c>
      <c r="P377">
        <v>0</v>
      </c>
      <c r="Q377">
        <v>0</v>
      </c>
      <c r="R377">
        <v>0</v>
      </c>
      <c r="S377">
        <v>0</v>
      </c>
      <c r="T377">
        <v>2</v>
      </c>
      <c r="U377">
        <v>0</v>
      </c>
      <c r="V377">
        <v>0</v>
      </c>
      <c r="W377">
        <v>14</v>
      </c>
      <c r="X377">
        <v>0</v>
      </c>
      <c r="Y377">
        <v>0</v>
      </c>
      <c r="Z377">
        <v>0</v>
      </c>
      <c r="AA377">
        <v>0</v>
      </c>
      <c r="AB377">
        <v>3</v>
      </c>
      <c r="AC377">
        <v>38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37</v>
      </c>
      <c r="AJ377">
        <v>11</v>
      </c>
      <c r="AK377">
        <v>0</v>
      </c>
      <c r="AL377">
        <v>4</v>
      </c>
      <c r="AM377">
        <v>0</v>
      </c>
      <c r="AN377">
        <v>6</v>
      </c>
      <c r="AO377">
        <v>0</v>
      </c>
      <c r="AP377">
        <v>87</v>
      </c>
      <c r="AQ377">
        <v>43</v>
      </c>
    </row>
    <row r="378" spans="1:43" x14ac:dyDescent="0.3">
      <c r="A378" t="s">
        <v>131</v>
      </c>
      <c r="B378" t="s">
        <v>166</v>
      </c>
      <c r="C378" s="4" t="s">
        <v>43</v>
      </c>
      <c r="D378" s="1">
        <v>1038</v>
      </c>
      <c r="E378">
        <v>21</v>
      </c>
      <c r="F378">
        <v>12</v>
      </c>
      <c r="G378">
        <v>0</v>
      </c>
      <c r="H378">
        <v>833</v>
      </c>
      <c r="I378">
        <v>0</v>
      </c>
      <c r="J378">
        <v>0</v>
      </c>
      <c r="K378">
        <v>0</v>
      </c>
      <c r="L378">
        <v>5</v>
      </c>
      <c r="M378">
        <v>0</v>
      </c>
      <c r="N378">
        <v>25</v>
      </c>
      <c r="O378" s="1">
        <v>0</v>
      </c>
      <c r="P378">
        <v>0</v>
      </c>
      <c r="Q378">
        <v>0</v>
      </c>
      <c r="R378">
        <v>0</v>
      </c>
      <c r="S378">
        <v>0</v>
      </c>
      <c r="T378">
        <v>2</v>
      </c>
      <c r="U378">
        <v>0</v>
      </c>
      <c r="V378">
        <v>0</v>
      </c>
      <c r="W378">
        <v>8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12</v>
      </c>
      <c r="AJ378">
        <v>2</v>
      </c>
      <c r="AK378">
        <v>0</v>
      </c>
      <c r="AL378">
        <v>1</v>
      </c>
      <c r="AM378">
        <v>0</v>
      </c>
      <c r="AN378">
        <v>3</v>
      </c>
      <c r="AO378">
        <v>0</v>
      </c>
      <c r="AP378">
        <v>41</v>
      </c>
      <c r="AQ378">
        <v>43</v>
      </c>
    </row>
    <row r="379" spans="1:43" x14ac:dyDescent="0.3">
      <c r="A379" t="s">
        <v>131</v>
      </c>
      <c r="B379" t="s">
        <v>166</v>
      </c>
      <c r="C379" s="4" t="s">
        <v>44</v>
      </c>
      <c r="D379">
        <v>944</v>
      </c>
      <c r="E379">
        <v>0</v>
      </c>
      <c r="F379">
        <v>0</v>
      </c>
      <c r="G379">
        <v>0</v>
      </c>
      <c r="H379">
        <v>812</v>
      </c>
      <c r="I379">
        <v>0</v>
      </c>
      <c r="J379">
        <v>0</v>
      </c>
      <c r="K379">
        <v>0</v>
      </c>
      <c r="L379">
        <v>9</v>
      </c>
      <c r="M379">
        <v>0</v>
      </c>
      <c r="N379">
        <v>20</v>
      </c>
      <c r="O379" s="1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6</v>
      </c>
      <c r="X379">
        <v>0</v>
      </c>
      <c r="Y379">
        <v>0</v>
      </c>
      <c r="Z379">
        <v>0</v>
      </c>
      <c r="AA379">
        <v>0</v>
      </c>
      <c r="AB379">
        <v>3</v>
      </c>
      <c r="AC379">
        <v>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25</v>
      </c>
      <c r="AJ379">
        <v>9</v>
      </c>
      <c r="AK379">
        <v>0</v>
      </c>
      <c r="AL379">
        <v>3</v>
      </c>
      <c r="AM379">
        <v>0</v>
      </c>
      <c r="AN379">
        <v>3</v>
      </c>
      <c r="AO379">
        <v>0</v>
      </c>
      <c r="AP379">
        <v>46</v>
      </c>
      <c r="AQ379">
        <v>0</v>
      </c>
    </row>
    <row r="380" spans="1:43" x14ac:dyDescent="0.3">
      <c r="A380" t="s">
        <v>131</v>
      </c>
      <c r="B380" t="s">
        <v>167</v>
      </c>
      <c r="C380" s="4" t="s">
        <v>40</v>
      </c>
      <c r="D380" s="1">
        <v>1868</v>
      </c>
      <c r="E380">
        <v>31</v>
      </c>
      <c r="F380">
        <v>43</v>
      </c>
      <c r="G380">
        <v>0</v>
      </c>
      <c r="H380" s="1">
        <v>0</v>
      </c>
      <c r="I380">
        <v>356</v>
      </c>
      <c r="J380">
        <v>0</v>
      </c>
      <c r="K380">
        <v>622</v>
      </c>
      <c r="L380">
        <v>34</v>
      </c>
      <c r="M380">
        <v>1</v>
      </c>
      <c r="N380">
        <v>62</v>
      </c>
      <c r="O380" s="1">
        <v>0</v>
      </c>
      <c r="P380">
        <v>17</v>
      </c>
      <c r="Q380">
        <v>0</v>
      </c>
      <c r="R380">
        <v>0</v>
      </c>
      <c r="S380">
        <v>4</v>
      </c>
      <c r="T380">
        <v>0</v>
      </c>
      <c r="U380">
        <v>0</v>
      </c>
      <c r="V380">
        <v>7</v>
      </c>
      <c r="W380">
        <v>4</v>
      </c>
      <c r="X380">
        <v>0</v>
      </c>
      <c r="Y380">
        <v>1</v>
      </c>
      <c r="Z380">
        <v>0</v>
      </c>
      <c r="AA380">
        <v>0</v>
      </c>
      <c r="AB380">
        <v>7</v>
      </c>
      <c r="AC380">
        <v>5</v>
      </c>
      <c r="AD380">
        <v>0</v>
      </c>
      <c r="AE380">
        <v>0</v>
      </c>
      <c r="AF380">
        <v>0</v>
      </c>
      <c r="AG380">
        <v>4</v>
      </c>
      <c r="AH380">
        <v>20</v>
      </c>
      <c r="AI380">
        <v>0</v>
      </c>
      <c r="AJ380">
        <v>0</v>
      </c>
      <c r="AK380">
        <v>12</v>
      </c>
      <c r="AL380">
        <v>24</v>
      </c>
      <c r="AM380">
        <v>1</v>
      </c>
      <c r="AN380">
        <v>0</v>
      </c>
      <c r="AO380">
        <v>0</v>
      </c>
      <c r="AP380">
        <v>6</v>
      </c>
      <c r="AQ380">
        <v>607</v>
      </c>
    </row>
    <row r="381" spans="1:43" x14ac:dyDescent="0.3">
      <c r="A381" t="s">
        <v>131</v>
      </c>
      <c r="B381" t="s">
        <v>167</v>
      </c>
      <c r="C381" s="4" t="s">
        <v>43</v>
      </c>
      <c r="D381" s="1">
        <v>1282</v>
      </c>
      <c r="E381">
        <v>21</v>
      </c>
      <c r="F381">
        <v>17</v>
      </c>
      <c r="G381">
        <v>0</v>
      </c>
      <c r="H381" s="1">
        <v>0</v>
      </c>
      <c r="I381">
        <v>342</v>
      </c>
      <c r="J381">
        <v>0</v>
      </c>
      <c r="K381">
        <v>253</v>
      </c>
      <c r="L381">
        <v>10</v>
      </c>
      <c r="M381">
        <v>0</v>
      </c>
      <c r="N381">
        <v>5</v>
      </c>
      <c r="O381" s="1">
        <v>0</v>
      </c>
      <c r="P381">
        <v>0</v>
      </c>
      <c r="Q381">
        <v>0</v>
      </c>
      <c r="R381">
        <v>0</v>
      </c>
      <c r="S381">
        <v>4</v>
      </c>
      <c r="T381">
        <v>0</v>
      </c>
      <c r="U381">
        <v>0</v>
      </c>
      <c r="V381">
        <v>1</v>
      </c>
      <c r="W381">
        <v>4</v>
      </c>
      <c r="X381">
        <v>0</v>
      </c>
      <c r="Y381">
        <v>1</v>
      </c>
      <c r="Z381">
        <v>0</v>
      </c>
      <c r="AA381">
        <v>0</v>
      </c>
      <c r="AB381">
        <v>3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11</v>
      </c>
      <c r="AL381">
        <v>0</v>
      </c>
      <c r="AM381">
        <v>0</v>
      </c>
      <c r="AN381">
        <v>0</v>
      </c>
      <c r="AO381">
        <v>0</v>
      </c>
      <c r="AP381">
        <v>2</v>
      </c>
      <c r="AQ381">
        <v>607</v>
      </c>
    </row>
    <row r="382" spans="1:43" x14ac:dyDescent="0.3">
      <c r="A382" t="s">
        <v>131</v>
      </c>
      <c r="B382" t="s">
        <v>167</v>
      </c>
      <c r="C382" s="4" t="s">
        <v>44</v>
      </c>
      <c r="D382">
        <v>586</v>
      </c>
      <c r="E382">
        <v>10</v>
      </c>
      <c r="F382">
        <v>26</v>
      </c>
      <c r="G382">
        <v>0</v>
      </c>
      <c r="H382" s="1">
        <v>0</v>
      </c>
      <c r="I382">
        <v>14</v>
      </c>
      <c r="J382">
        <v>0</v>
      </c>
      <c r="K382">
        <v>369</v>
      </c>
      <c r="L382">
        <v>24</v>
      </c>
      <c r="M382">
        <v>1</v>
      </c>
      <c r="N382">
        <v>57</v>
      </c>
      <c r="O382" s="1">
        <v>0</v>
      </c>
      <c r="P382">
        <v>17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6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4</v>
      </c>
      <c r="AC382">
        <v>5</v>
      </c>
      <c r="AD382">
        <v>0</v>
      </c>
      <c r="AE382">
        <v>0</v>
      </c>
      <c r="AF382">
        <v>0</v>
      </c>
      <c r="AG382">
        <v>3</v>
      </c>
      <c r="AH382">
        <v>20</v>
      </c>
      <c r="AI382">
        <v>0</v>
      </c>
      <c r="AJ382">
        <v>0</v>
      </c>
      <c r="AK382">
        <v>1</v>
      </c>
      <c r="AL382">
        <v>24</v>
      </c>
      <c r="AM382">
        <v>1</v>
      </c>
      <c r="AN382">
        <v>0</v>
      </c>
      <c r="AO382">
        <v>0</v>
      </c>
      <c r="AP382">
        <v>4</v>
      </c>
      <c r="AQ382">
        <v>0</v>
      </c>
    </row>
    <row r="383" spans="1:43" x14ac:dyDescent="0.3">
      <c r="A383" t="s">
        <v>131</v>
      </c>
      <c r="B383" t="s">
        <v>168</v>
      </c>
      <c r="C383" s="4" t="s">
        <v>40</v>
      </c>
      <c r="D383" s="1">
        <v>1121</v>
      </c>
      <c r="E383">
        <v>0</v>
      </c>
      <c r="F383">
        <v>0</v>
      </c>
      <c r="G383">
        <v>0</v>
      </c>
      <c r="H383">
        <v>769</v>
      </c>
      <c r="I383">
        <v>3</v>
      </c>
      <c r="J383">
        <v>0</v>
      </c>
      <c r="K383">
        <v>0</v>
      </c>
      <c r="L383">
        <v>1</v>
      </c>
      <c r="M383">
        <v>0</v>
      </c>
      <c r="N383">
        <v>0</v>
      </c>
      <c r="O383" s="1">
        <v>0</v>
      </c>
      <c r="P383">
        <v>0</v>
      </c>
      <c r="Q383">
        <v>0</v>
      </c>
      <c r="R383">
        <v>8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5</v>
      </c>
      <c r="AJ383">
        <v>53</v>
      </c>
      <c r="AK383">
        <v>3</v>
      </c>
      <c r="AL383">
        <v>3</v>
      </c>
      <c r="AM383">
        <v>0</v>
      </c>
      <c r="AN383">
        <v>0</v>
      </c>
      <c r="AO383">
        <v>0</v>
      </c>
      <c r="AP383">
        <v>203</v>
      </c>
      <c r="AQ383">
        <v>68</v>
      </c>
    </row>
    <row r="384" spans="1:43" x14ac:dyDescent="0.3">
      <c r="A384" t="s">
        <v>131</v>
      </c>
      <c r="B384" t="s">
        <v>168</v>
      </c>
      <c r="C384" s="4" t="s">
        <v>43</v>
      </c>
      <c r="D384">
        <v>580</v>
      </c>
      <c r="E384">
        <v>0</v>
      </c>
      <c r="F384">
        <v>0</v>
      </c>
      <c r="G384">
        <v>0</v>
      </c>
      <c r="H384">
        <v>376</v>
      </c>
      <c r="I384">
        <v>3</v>
      </c>
      <c r="J384">
        <v>0</v>
      </c>
      <c r="K384">
        <v>0</v>
      </c>
      <c r="L384">
        <v>1</v>
      </c>
      <c r="M384">
        <v>0</v>
      </c>
      <c r="N384">
        <v>0</v>
      </c>
      <c r="O384" s="1">
        <v>0</v>
      </c>
      <c r="P384">
        <v>0</v>
      </c>
      <c r="Q384">
        <v>0</v>
      </c>
      <c r="R384">
        <v>4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2</v>
      </c>
      <c r="AJ384">
        <v>21</v>
      </c>
      <c r="AK384">
        <v>3</v>
      </c>
      <c r="AL384">
        <v>0</v>
      </c>
      <c r="AM384">
        <v>0</v>
      </c>
      <c r="AN384">
        <v>0</v>
      </c>
      <c r="AO384">
        <v>0</v>
      </c>
      <c r="AP384">
        <v>97</v>
      </c>
      <c r="AQ384">
        <v>68</v>
      </c>
    </row>
    <row r="385" spans="1:43" x14ac:dyDescent="0.3">
      <c r="A385" t="s">
        <v>131</v>
      </c>
      <c r="B385" t="s">
        <v>168</v>
      </c>
      <c r="C385" s="4" t="s">
        <v>44</v>
      </c>
      <c r="D385">
        <v>540</v>
      </c>
      <c r="E385">
        <v>0</v>
      </c>
      <c r="F385">
        <v>0</v>
      </c>
      <c r="G385">
        <v>0</v>
      </c>
      <c r="H385">
        <v>392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s="1">
        <v>0</v>
      </c>
      <c r="P385">
        <v>0</v>
      </c>
      <c r="Q385">
        <v>0</v>
      </c>
      <c r="R385">
        <v>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3</v>
      </c>
      <c r="AJ385">
        <v>32</v>
      </c>
      <c r="AK385">
        <v>0</v>
      </c>
      <c r="AL385">
        <v>3</v>
      </c>
      <c r="AM385">
        <v>0</v>
      </c>
      <c r="AN385">
        <v>0</v>
      </c>
      <c r="AO385">
        <v>0</v>
      </c>
      <c r="AP385">
        <v>106</v>
      </c>
      <c r="AQ385">
        <v>0</v>
      </c>
    </row>
    <row r="386" spans="1:43" x14ac:dyDescent="0.3">
      <c r="A386" t="s">
        <v>131</v>
      </c>
      <c r="B386" t="s">
        <v>168</v>
      </c>
      <c r="C386" s="4" t="s">
        <v>94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s="1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spans="1:43" x14ac:dyDescent="0.3">
      <c r="A387" t="s">
        <v>131</v>
      </c>
      <c r="B387" t="s">
        <v>169</v>
      </c>
      <c r="C387" s="4" t="s">
        <v>40</v>
      </c>
      <c r="D387" s="1">
        <v>1028</v>
      </c>
      <c r="E387">
        <v>1</v>
      </c>
      <c r="F387">
        <v>10</v>
      </c>
      <c r="G387">
        <v>0</v>
      </c>
      <c r="H387">
        <v>0</v>
      </c>
      <c r="I387">
        <v>865</v>
      </c>
      <c r="J387">
        <v>0</v>
      </c>
      <c r="K387">
        <v>6</v>
      </c>
      <c r="L387">
        <v>3</v>
      </c>
      <c r="M387">
        <v>0</v>
      </c>
      <c r="N387">
        <v>23</v>
      </c>
      <c r="O387" s="1">
        <v>0</v>
      </c>
      <c r="P387">
        <v>2</v>
      </c>
      <c r="Q387">
        <v>0</v>
      </c>
      <c r="R387">
        <v>0</v>
      </c>
      <c r="S387">
        <v>0</v>
      </c>
      <c r="T387">
        <v>4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8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6</v>
      </c>
      <c r="AM387">
        <v>0</v>
      </c>
      <c r="AN387">
        <v>0</v>
      </c>
      <c r="AO387">
        <v>0</v>
      </c>
      <c r="AP387">
        <v>1</v>
      </c>
      <c r="AQ387">
        <v>96</v>
      </c>
    </row>
    <row r="388" spans="1:43" x14ac:dyDescent="0.3">
      <c r="A388" t="s">
        <v>131</v>
      </c>
      <c r="B388" t="s">
        <v>169</v>
      </c>
      <c r="C388" s="4" t="s">
        <v>43</v>
      </c>
      <c r="D388">
        <v>619</v>
      </c>
      <c r="E388">
        <v>1</v>
      </c>
      <c r="F388">
        <v>0</v>
      </c>
      <c r="G388">
        <v>0</v>
      </c>
      <c r="H388">
        <v>0</v>
      </c>
      <c r="I388">
        <v>491</v>
      </c>
      <c r="J388">
        <v>0</v>
      </c>
      <c r="K388">
        <v>6</v>
      </c>
      <c r="L388">
        <v>1</v>
      </c>
      <c r="M388">
        <v>0</v>
      </c>
      <c r="N388">
        <v>5</v>
      </c>
      <c r="O388" s="1">
        <v>0</v>
      </c>
      <c r="P388">
        <v>0</v>
      </c>
      <c r="Q388">
        <v>0</v>
      </c>
      <c r="R388">
        <v>0</v>
      </c>
      <c r="S388">
        <v>0</v>
      </c>
      <c r="T388">
        <v>4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8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</v>
      </c>
      <c r="AM388">
        <v>0</v>
      </c>
      <c r="AN388">
        <v>0</v>
      </c>
      <c r="AO388">
        <v>0</v>
      </c>
      <c r="AP388">
        <v>1</v>
      </c>
      <c r="AQ388">
        <v>96</v>
      </c>
    </row>
    <row r="389" spans="1:43" x14ac:dyDescent="0.3">
      <c r="A389" t="s">
        <v>131</v>
      </c>
      <c r="B389" t="s">
        <v>169</v>
      </c>
      <c r="C389" s="4" t="s">
        <v>44</v>
      </c>
      <c r="D389">
        <v>409</v>
      </c>
      <c r="E389">
        <v>0</v>
      </c>
      <c r="F389">
        <v>10</v>
      </c>
      <c r="G389">
        <v>0</v>
      </c>
      <c r="H389">
        <v>0</v>
      </c>
      <c r="I389">
        <v>374</v>
      </c>
      <c r="J389">
        <v>0</v>
      </c>
      <c r="K389">
        <v>0</v>
      </c>
      <c r="L389">
        <v>2</v>
      </c>
      <c r="M389">
        <v>0</v>
      </c>
      <c r="N389">
        <v>18</v>
      </c>
      <c r="O389" s="1">
        <v>0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spans="1:43" x14ac:dyDescent="0.3">
      <c r="A390" t="s">
        <v>131</v>
      </c>
      <c r="B390" t="s">
        <v>170</v>
      </c>
      <c r="C390" s="4" t="s">
        <v>40</v>
      </c>
      <c r="D390">
        <v>859</v>
      </c>
      <c r="E390">
        <v>12</v>
      </c>
      <c r="F390">
        <v>0</v>
      </c>
      <c r="G390">
        <v>5</v>
      </c>
      <c r="H390">
        <v>764</v>
      </c>
      <c r="I390">
        <v>0</v>
      </c>
      <c r="J390">
        <v>0</v>
      </c>
      <c r="K390">
        <v>0</v>
      </c>
      <c r="L390">
        <v>5</v>
      </c>
      <c r="M390">
        <v>0</v>
      </c>
      <c r="N390">
        <v>13</v>
      </c>
      <c r="O390" s="1">
        <v>0</v>
      </c>
      <c r="P390">
        <v>2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17</v>
      </c>
      <c r="AJ390">
        <v>0</v>
      </c>
      <c r="AK390">
        <v>0</v>
      </c>
      <c r="AL390">
        <v>5</v>
      </c>
      <c r="AM390">
        <v>0</v>
      </c>
      <c r="AN390">
        <v>0</v>
      </c>
      <c r="AO390">
        <v>0</v>
      </c>
      <c r="AP390">
        <v>18</v>
      </c>
      <c r="AQ390">
        <v>16</v>
      </c>
    </row>
    <row r="391" spans="1:43" x14ac:dyDescent="0.3">
      <c r="A391" t="s">
        <v>131</v>
      </c>
      <c r="B391" t="s">
        <v>170</v>
      </c>
      <c r="C391" s="4" t="s">
        <v>43</v>
      </c>
      <c r="D391">
        <v>442</v>
      </c>
      <c r="E391">
        <v>6</v>
      </c>
      <c r="F391">
        <v>0</v>
      </c>
      <c r="G391">
        <v>2</v>
      </c>
      <c r="H391">
        <v>392</v>
      </c>
      <c r="I391">
        <v>0</v>
      </c>
      <c r="J391">
        <v>0</v>
      </c>
      <c r="K391">
        <v>0</v>
      </c>
      <c r="L391">
        <v>5</v>
      </c>
      <c r="M391">
        <v>0</v>
      </c>
      <c r="N391">
        <v>0</v>
      </c>
      <c r="O391" s="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6</v>
      </c>
      <c r="AJ391">
        <v>0</v>
      </c>
      <c r="AK391">
        <v>0</v>
      </c>
      <c r="AL391">
        <v>5</v>
      </c>
      <c r="AM391">
        <v>0</v>
      </c>
      <c r="AN391">
        <v>0</v>
      </c>
      <c r="AO391">
        <v>0</v>
      </c>
      <c r="AP391">
        <v>10</v>
      </c>
      <c r="AQ391">
        <v>16</v>
      </c>
    </row>
    <row r="392" spans="1:43" x14ac:dyDescent="0.3">
      <c r="A392" t="s">
        <v>131</v>
      </c>
      <c r="B392" t="s">
        <v>170</v>
      </c>
      <c r="C392" s="4" t="s">
        <v>44</v>
      </c>
      <c r="D392">
        <v>415</v>
      </c>
      <c r="E392">
        <v>6</v>
      </c>
      <c r="F392">
        <v>0</v>
      </c>
      <c r="G392">
        <v>3</v>
      </c>
      <c r="H392">
        <v>370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13</v>
      </c>
      <c r="O392" s="1">
        <v>0</v>
      </c>
      <c r="P392">
        <v>2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8</v>
      </c>
      <c r="AQ392">
        <v>0</v>
      </c>
    </row>
    <row r="393" spans="1:43" x14ac:dyDescent="0.3">
      <c r="A393" t="s">
        <v>131</v>
      </c>
      <c r="B393" t="s">
        <v>170</v>
      </c>
      <c r="C393" s="4" t="s">
        <v>94</v>
      </c>
      <c r="D393">
        <v>2</v>
      </c>
      <c r="E393">
        <v>0</v>
      </c>
      <c r="F393">
        <v>0</v>
      </c>
      <c r="G393">
        <v>0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s="1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spans="1:43" x14ac:dyDescent="0.3">
      <c r="A394" t="s">
        <v>131</v>
      </c>
      <c r="B394" t="s">
        <v>171</v>
      </c>
      <c r="C394" s="4" t="s">
        <v>40</v>
      </c>
      <c r="D394">
        <v>694</v>
      </c>
      <c r="E394">
        <v>6</v>
      </c>
      <c r="F394">
        <v>6</v>
      </c>
      <c r="G394">
        <v>0</v>
      </c>
      <c r="H394">
        <v>0</v>
      </c>
      <c r="I394">
        <v>403</v>
      </c>
      <c r="J394">
        <v>0</v>
      </c>
      <c r="K394">
        <v>223</v>
      </c>
      <c r="L394">
        <v>8</v>
      </c>
      <c r="M394">
        <v>0</v>
      </c>
      <c r="N394">
        <v>4</v>
      </c>
      <c r="O394" s="1">
        <v>0</v>
      </c>
      <c r="P394">
        <v>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2</v>
      </c>
      <c r="AJ394">
        <v>0</v>
      </c>
      <c r="AK394">
        <v>0</v>
      </c>
      <c r="AL394">
        <v>12</v>
      </c>
      <c r="AM394">
        <v>1</v>
      </c>
      <c r="AN394">
        <v>0</v>
      </c>
      <c r="AO394">
        <v>0</v>
      </c>
      <c r="AP394">
        <v>23</v>
      </c>
      <c r="AQ394">
        <v>0</v>
      </c>
    </row>
    <row r="395" spans="1:43" x14ac:dyDescent="0.3">
      <c r="A395" t="s">
        <v>131</v>
      </c>
      <c r="B395" t="s">
        <v>171</v>
      </c>
      <c r="C395" s="4" t="s">
        <v>43</v>
      </c>
      <c r="D395">
        <v>369</v>
      </c>
      <c r="E395">
        <v>5</v>
      </c>
      <c r="F395">
        <v>5</v>
      </c>
      <c r="G395">
        <v>0</v>
      </c>
      <c r="H395">
        <v>0</v>
      </c>
      <c r="I395">
        <v>206</v>
      </c>
      <c r="J395">
        <v>0</v>
      </c>
      <c r="K395">
        <v>117</v>
      </c>
      <c r="L395">
        <v>7</v>
      </c>
      <c r="M395">
        <v>0</v>
      </c>
      <c r="N395">
        <v>2</v>
      </c>
      <c r="O395" s="1">
        <v>0</v>
      </c>
      <c r="P395">
        <v>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11</v>
      </c>
      <c r="AM395">
        <v>1</v>
      </c>
      <c r="AN395">
        <v>0</v>
      </c>
      <c r="AO395">
        <v>0</v>
      </c>
      <c r="AP395">
        <v>10</v>
      </c>
      <c r="AQ395">
        <v>0</v>
      </c>
    </row>
    <row r="396" spans="1:43" x14ac:dyDescent="0.3">
      <c r="A396" t="s">
        <v>131</v>
      </c>
      <c r="B396" t="s">
        <v>171</v>
      </c>
      <c r="C396" s="4" t="s">
        <v>44</v>
      </c>
      <c r="D396">
        <v>325</v>
      </c>
      <c r="E396">
        <v>1</v>
      </c>
      <c r="F396">
        <v>1</v>
      </c>
      <c r="G396">
        <v>0</v>
      </c>
      <c r="H396">
        <v>0</v>
      </c>
      <c r="I396">
        <v>197</v>
      </c>
      <c r="J396">
        <v>0</v>
      </c>
      <c r="K396">
        <v>106</v>
      </c>
      <c r="L396">
        <v>1</v>
      </c>
      <c r="M396">
        <v>0</v>
      </c>
      <c r="N396">
        <v>2</v>
      </c>
      <c r="O396" s="1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13</v>
      </c>
      <c r="AQ396">
        <v>0</v>
      </c>
    </row>
    <row r="397" spans="1:43" x14ac:dyDescent="0.3">
      <c r="A397" t="s">
        <v>131</v>
      </c>
      <c r="B397" t="s">
        <v>172</v>
      </c>
      <c r="C397" s="4" t="s">
        <v>40</v>
      </c>
      <c r="D397">
        <v>549</v>
      </c>
      <c r="E397">
        <v>4</v>
      </c>
      <c r="F397">
        <v>5</v>
      </c>
      <c r="G397">
        <v>0</v>
      </c>
      <c r="H397">
        <v>0</v>
      </c>
      <c r="I397">
        <v>11</v>
      </c>
      <c r="J397">
        <v>0</v>
      </c>
      <c r="K397">
        <v>153</v>
      </c>
      <c r="L397">
        <v>5</v>
      </c>
      <c r="M397">
        <v>0</v>
      </c>
      <c r="N397">
        <v>22</v>
      </c>
      <c r="O397" s="1">
        <v>0</v>
      </c>
      <c r="P397">
        <v>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4</v>
      </c>
      <c r="AC397">
        <v>6</v>
      </c>
      <c r="AD397">
        <v>0</v>
      </c>
      <c r="AE397">
        <v>0</v>
      </c>
      <c r="AF397">
        <v>0</v>
      </c>
      <c r="AG397">
        <v>2</v>
      </c>
      <c r="AH397">
        <v>0</v>
      </c>
      <c r="AI397">
        <v>6</v>
      </c>
      <c r="AJ397">
        <v>0</v>
      </c>
      <c r="AK397">
        <v>5</v>
      </c>
      <c r="AL397">
        <v>17</v>
      </c>
      <c r="AM397">
        <v>1</v>
      </c>
      <c r="AN397">
        <v>0</v>
      </c>
      <c r="AO397">
        <v>1</v>
      </c>
      <c r="AP397">
        <v>9</v>
      </c>
      <c r="AQ397">
        <v>291</v>
      </c>
    </row>
    <row r="398" spans="1:43" x14ac:dyDescent="0.3">
      <c r="A398" t="s">
        <v>131</v>
      </c>
      <c r="B398" t="s">
        <v>172</v>
      </c>
      <c r="C398" s="4" t="s">
        <v>43</v>
      </c>
      <c r="D398">
        <v>383</v>
      </c>
      <c r="E398">
        <v>2</v>
      </c>
      <c r="F398">
        <v>1</v>
      </c>
      <c r="G398">
        <v>0</v>
      </c>
      <c r="H398">
        <v>0</v>
      </c>
      <c r="I398">
        <v>10</v>
      </c>
      <c r="J398">
        <v>0</v>
      </c>
      <c r="K398">
        <v>54</v>
      </c>
      <c r="L398">
        <v>3</v>
      </c>
      <c r="M398">
        <v>0</v>
      </c>
      <c r="N398">
        <v>5</v>
      </c>
      <c r="O398" s="1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6</v>
      </c>
      <c r="AJ398">
        <v>0</v>
      </c>
      <c r="AK398">
        <v>3</v>
      </c>
      <c r="AL398">
        <v>0</v>
      </c>
      <c r="AM398">
        <v>1</v>
      </c>
      <c r="AN398">
        <v>0</v>
      </c>
      <c r="AO398">
        <v>1</v>
      </c>
      <c r="AP398">
        <v>3</v>
      </c>
      <c r="AQ398">
        <v>291</v>
      </c>
    </row>
    <row r="399" spans="1:43" x14ac:dyDescent="0.3">
      <c r="A399" t="s">
        <v>131</v>
      </c>
      <c r="B399" t="s">
        <v>172</v>
      </c>
      <c r="C399" s="4" t="s">
        <v>44</v>
      </c>
      <c r="D399">
        <v>166</v>
      </c>
      <c r="E399">
        <v>2</v>
      </c>
      <c r="F399">
        <v>4</v>
      </c>
      <c r="G399">
        <v>0</v>
      </c>
      <c r="H399">
        <v>0</v>
      </c>
      <c r="I399">
        <v>1</v>
      </c>
      <c r="J399">
        <v>0</v>
      </c>
      <c r="K399">
        <v>99</v>
      </c>
      <c r="L399">
        <v>2</v>
      </c>
      <c r="M399">
        <v>0</v>
      </c>
      <c r="N399">
        <v>17</v>
      </c>
      <c r="O399" s="1">
        <v>0</v>
      </c>
      <c r="P399">
        <v>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6</v>
      </c>
      <c r="AD399">
        <v>0</v>
      </c>
      <c r="AE399">
        <v>0</v>
      </c>
      <c r="AF399">
        <v>0</v>
      </c>
      <c r="AG399">
        <v>2</v>
      </c>
      <c r="AH399">
        <v>0</v>
      </c>
      <c r="AI399">
        <v>0</v>
      </c>
      <c r="AJ399">
        <v>0</v>
      </c>
      <c r="AK399">
        <v>2</v>
      </c>
      <c r="AL399">
        <v>17</v>
      </c>
      <c r="AM399">
        <v>0</v>
      </c>
      <c r="AN399">
        <v>0</v>
      </c>
      <c r="AO399">
        <v>0</v>
      </c>
      <c r="AP399">
        <v>6</v>
      </c>
      <c r="AQ399">
        <v>0</v>
      </c>
    </row>
    <row r="400" spans="1:43" x14ac:dyDescent="0.3">
      <c r="A400" t="s">
        <v>131</v>
      </c>
      <c r="B400" t="s">
        <v>173</v>
      </c>
      <c r="C400" s="4" t="s">
        <v>40</v>
      </c>
      <c r="D400">
        <v>470</v>
      </c>
      <c r="E400">
        <v>3</v>
      </c>
      <c r="F400">
        <v>0</v>
      </c>
      <c r="G400">
        <v>0</v>
      </c>
      <c r="H400">
        <v>0</v>
      </c>
      <c r="I400">
        <v>9</v>
      </c>
      <c r="J400">
        <v>0</v>
      </c>
      <c r="K400">
        <v>297</v>
      </c>
      <c r="L400">
        <v>5</v>
      </c>
      <c r="M400">
        <v>0</v>
      </c>
      <c r="N400">
        <v>55</v>
      </c>
      <c r="O400" s="1">
        <v>0</v>
      </c>
      <c r="P400">
        <v>7</v>
      </c>
      <c r="Q400">
        <v>0</v>
      </c>
      <c r="R400">
        <v>0</v>
      </c>
      <c r="S400">
        <v>6</v>
      </c>
      <c r="T400">
        <v>0</v>
      </c>
      <c r="U400">
        <v>0</v>
      </c>
      <c r="V400">
        <v>3</v>
      </c>
      <c r="W400">
        <v>0</v>
      </c>
      <c r="X400">
        <v>0</v>
      </c>
      <c r="Y400">
        <v>6</v>
      </c>
      <c r="Z400">
        <v>0</v>
      </c>
      <c r="AA400">
        <v>0</v>
      </c>
      <c r="AB400">
        <v>1</v>
      </c>
      <c r="AC400">
        <v>2</v>
      </c>
      <c r="AD400">
        <v>0</v>
      </c>
      <c r="AE400">
        <v>0</v>
      </c>
      <c r="AF400">
        <v>0</v>
      </c>
      <c r="AG400">
        <v>3</v>
      </c>
      <c r="AH400">
        <v>7</v>
      </c>
      <c r="AI400">
        <v>2</v>
      </c>
      <c r="AJ400">
        <v>0</v>
      </c>
      <c r="AK400">
        <v>6</v>
      </c>
      <c r="AL400">
        <v>12</v>
      </c>
      <c r="AM400">
        <v>0</v>
      </c>
      <c r="AN400">
        <v>0</v>
      </c>
      <c r="AO400">
        <v>0</v>
      </c>
      <c r="AP400">
        <v>21</v>
      </c>
      <c r="AQ400">
        <v>25</v>
      </c>
    </row>
    <row r="401" spans="1:43" x14ac:dyDescent="0.3">
      <c r="A401" t="s">
        <v>131</v>
      </c>
      <c r="B401" t="s">
        <v>173</v>
      </c>
      <c r="C401" s="4" t="s">
        <v>43</v>
      </c>
      <c r="D401">
        <v>180</v>
      </c>
      <c r="E401">
        <v>3</v>
      </c>
      <c r="F401">
        <v>0</v>
      </c>
      <c r="G401">
        <v>0</v>
      </c>
      <c r="H401">
        <v>0</v>
      </c>
      <c r="I401">
        <v>3</v>
      </c>
      <c r="J401">
        <v>0</v>
      </c>
      <c r="K401">
        <v>117</v>
      </c>
      <c r="L401">
        <v>1</v>
      </c>
      <c r="M401">
        <v>0</v>
      </c>
      <c r="N401">
        <v>0</v>
      </c>
      <c r="O401" s="1">
        <v>0</v>
      </c>
      <c r="P401">
        <v>0</v>
      </c>
      <c r="Q401">
        <v>0</v>
      </c>
      <c r="R401">
        <v>0</v>
      </c>
      <c r="S401">
        <v>6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6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3</v>
      </c>
      <c r="AI401">
        <v>0</v>
      </c>
      <c r="AJ401">
        <v>0</v>
      </c>
      <c r="AK401">
        <v>5</v>
      </c>
      <c r="AL401">
        <v>4</v>
      </c>
      <c r="AM401">
        <v>0</v>
      </c>
      <c r="AN401">
        <v>0</v>
      </c>
      <c r="AO401">
        <v>0</v>
      </c>
      <c r="AP401">
        <v>5</v>
      </c>
      <c r="AQ401">
        <v>25</v>
      </c>
    </row>
    <row r="402" spans="1:43" x14ac:dyDescent="0.3">
      <c r="A402" t="s">
        <v>131</v>
      </c>
      <c r="B402" t="s">
        <v>173</v>
      </c>
      <c r="C402" s="4" t="s">
        <v>44</v>
      </c>
      <c r="D402">
        <v>290</v>
      </c>
      <c r="E402">
        <v>0</v>
      </c>
      <c r="F402">
        <v>0</v>
      </c>
      <c r="G402">
        <v>0</v>
      </c>
      <c r="H402">
        <v>0</v>
      </c>
      <c r="I402">
        <v>6</v>
      </c>
      <c r="J402">
        <v>0</v>
      </c>
      <c r="K402">
        <v>180</v>
      </c>
      <c r="L402">
        <v>4</v>
      </c>
      <c r="M402">
        <v>0</v>
      </c>
      <c r="N402">
        <v>55</v>
      </c>
      <c r="O402" s="1">
        <v>0</v>
      </c>
      <c r="P402">
        <v>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</v>
      </c>
      <c r="AD402">
        <v>0</v>
      </c>
      <c r="AE402">
        <v>0</v>
      </c>
      <c r="AF402">
        <v>0</v>
      </c>
      <c r="AG402">
        <v>2</v>
      </c>
      <c r="AH402">
        <v>4</v>
      </c>
      <c r="AI402">
        <v>2</v>
      </c>
      <c r="AJ402">
        <v>0</v>
      </c>
      <c r="AK402">
        <v>1</v>
      </c>
      <c r="AL402">
        <v>8</v>
      </c>
      <c r="AM402">
        <v>0</v>
      </c>
      <c r="AN402">
        <v>0</v>
      </c>
      <c r="AO402">
        <v>0</v>
      </c>
      <c r="AP402">
        <v>16</v>
      </c>
      <c r="AQ402">
        <v>0</v>
      </c>
    </row>
    <row r="403" spans="1:43" x14ac:dyDescent="0.3">
      <c r="A403" t="s">
        <v>131</v>
      </c>
      <c r="B403" t="s">
        <v>174</v>
      </c>
      <c r="C403" s="4" t="s">
        <v>40</v>
      </c>
      <c r="D403">
        <v>293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s="1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293</v>
      </c>
    </row>
    <row r="404" spans="1:43" x14ac:dyDescent="0.3">
      <c r="A404" t="s">
        <v>131</v>
      </c>
      <c r="B404" t="s">
        <v>174</v>
      </c>
      <c r="C404" s="4" t="s">
        <v>43</v>
      </c>
      <c r="D404">
        <v>293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s="1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293</v>
      </c>
    </row>
    <row r="405" spans="1:43" x14ac:dyDescent="0.3">
      <c r="A405" t="s">
        <v>131</v>
      </c>
      <c r="B405" t="s">
        <v>175</v>
      </c>
      <c r="C405" s="4" t="s">
        <v>40</v>
      </c>
      <c r="D405">
        <v>216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s="1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216</v>
      </c>
    </row>
    <row r="406" spans="1:43" x14ac:dyDescent="0.3">
      <c r="A406" t="s">
        <v>131</v>
      </c>
      <c r="B406" t="s">
        <v>175</v>
      </c>
      <c r="C406" s="4" t="s">
        <v>43</v>
      </c>
      <c r="D406">
        <v>216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s="1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216</v>
      </c>
    </row>
    <row r="407" spans="1:43" x14ac:dyDescent="0.3">
      <c r="A407" t="s">
        <v>131</v>
      </c>
      <c r="B407" t="s">
        <v>176</v>
      </c>
      <c r="C407" s="4" t="s">
        <v>40</v>
      </c>
      <c r="D407">
        <v>163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134</v>
      </c>
      <c r="L407">
        <v>3</v>
      </c>
      <c r="M407">
        <v>0</v>
      </c>
      <c r="N407">
        <v>6</v>
      </c>
      <c r="O407" s="1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3</v>
      </c>
      <c r="AM407">
        <v>0</v>
      </c>
      <c r="AN407">
        <v>0</v>
      </c>
      <c r="AO407">
        <v>0</v>
      </c>
      <c r="AP407">
        <v>0</v>
      </c>
      <c r="AQ407">
        <v>14</v>
      </c>
    </row>
    <row r="408" spans="1:43" x14ac:dyDescent="0.3">
      <c r="A408" t="s">
        <v>131</v>
      </c>
      <c r="B408" t="s">
        <v>176</v>
      </c>
      <c r="C408" s="4" t="s">
        <v>43</v>
      </c>
      <c r="D408">
        <v>94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68</v>
      </c>
      <c r="L408">
        <v>3</v>
      </c>
      <c r="M408">
        <v>0</v>
      </c>
      <c r="N408">
        <v>3</v>
      </c>
      <c r="O408" s="1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3</v>
      </c>
      <c r="AM408">
        <v>0</v>
      </c>
      <c r="AN408">
        <v>0</v>
      </c>
      <c r="AO408">
        <v>0</v>
      </c>
      <c r="AP408">
        <v>0</v>
      </c>
      <c r="AQ408">
        <v>14</v>
      </c>
    </row>
    <row r="409" spans="1:43" x14ac:dyDescent="0.3">
      <c r="A409" t="s">
        <v>131</v>
      </c>
      <c r="B409" t="s">
        <v>176</v>
      </c>
      <c r="C409" s="4" t="s">
        <v>44</v>
      </c>
      <c r="D409">
        <v>69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66</v>
      </c>
      <c r="L409">
        <v>0</v>
      </c>
      <c r="M409">
        <v>0</v>
      </c>
      <c r="N409">
        <v>3</v>
      </c>
      <c r="O409" s="1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</row>
    <row r="410" spans="1:43" x14ac:dyDescent="0.3">
      <c r="A410" t="s">
        <v>131</v>
      </c>
      <c r="B410" t="s">
        <v>177</v>
      </c>
      <c r="C410" s="4" t="s">
        <v>40</v>
      </c>
      <c r="D410">
        <v>127</v>
      </c>
      <c r="E410">
        <v>0</v>
      </c>
      <c r="F410">
        <v>0</v>
      </c>
      <c r="G410">
        <v>0</v>
      </c>
      <c r="H410">
        <v>0</v>
      </c>
      <c r="I410">
        <v>110</v>
      </c>
      <c r="J410">
        <v>0</v>
      </c>
      <c r="K410">
        <v>0</v>
      </c>
      <c r="L410">
        <v>0</v>
      </c>
      <c r="M410">
        <v>0</v>
      </c>
      <c r="N410">
        <v>1</v>
      </c>
      <c r="O410" s="1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</v>
      </c>
      <c r="AO410">
        <v>0</v>
      </c>
      <c r="AP410">
        <v>12</v>
      </c>
      <c r="AQ410">
        <v>2</v>
      </c>
    </row>
    <row r="411" spans="1:43" x14ac:dyDescent="0.3">
      <c r="A411" t="s">
        <v>131</v>
      </c>
      <c r="B411" t="s">
        <v>177</v>
      </c>
      <c r="C411" s="4" t="s">
        <v>43</v>
      </c>
      <c r="D411">
        <v>69</v>
      </c>
      <c r="E411">
        <v>0</v>
      </c>
      <c r="F411">
        <v>0</v>
      </c>
      <c r="G411">
        <v>0</v>
      </c>
      <c r="H411">
        <v>0</v>
      </c>
      <c r="I411">
        <v>58</v>
      </c>
      <c r="J411">
        <v>0</v>
      </c>
      <c r="K411">
        <v>0</v>
      </c>
      <c r="L411">
        <v>0</v>
      </c>
      <c r="M411">
        <v>0</v>
      </c>
      <c r="N411">
        <v>1</v>
      </c>
      <c r="O411" s="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7</v>
      </c>
      <c r="AQ411">
        <v>2</v>
      </c>
    </row>
    <row r="412" spans="1:43" x14ac:dyDescent="0.3">
      <c r="A412" t="s">
        <v>131</v>
      </c>
      <c r="B412" t="s">
        <v>177</v>
      </c>
      <c r="C412" s="4" t="s">
        <v>44</v>
      </c>
      <c r="D412">
        <v>58</v>
      </c>
      <c r="E412">
        <v>0</v>
      </c>
      <c r="F412">
        <v>0</v>
      </c>
      <c r="G412">
        <v>0</v>
      </c>
      <c r="H412">
        <v>0</v>
      </c>
      <c r="I412">
        <v>52</v>
      </c>
      <c r="J412">
        <v>0</v>
      </c>
      <c r="K412">
        <v>0</v>
      </c>
      <c r="L412">
        <v>0</v>
      </c>
      <c r="M412">
        <v>0</v>
      </c>
      <c r="N412">
        <v>0</v>
      </c>
      <c r="O412" s="1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5</v>
      </c>
      <c r="AQ412">
        <v>0</v>
      </c>
    </row>
    <row r="413" spans="1:43" x14ac:dyDescent="0.3">
      <c r="A413" t="s">
        <v>131</v>
      </c>
      <c r="B413" t="s">
        <v>178</v>
      </c>
      <c r="C413" s="4" t="s">
        <v>40</v>
      </c>
      <c r="D413">
        <v>111</v>
      </c>
      <c r="E413">
        <v>0</v>
      </c>
      <c r="F413">
        <v>0</v>
      </c>
      <c r="G413">
        <v>0</v>
      </c>
      <c r="H413">
        <v>99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8</v>
      </c>
      <c r="O413" s="1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</v>
      </c>
    </row>
    <row r="414" spans="1:43" x14ac:dyDescent="0.3">
      <c r="A414" t="s">
        <v>131</v>
      </c>
      <c r="B414" t="s">
        <v>178</v>
      </c>
      <c r="C414" s="4" t="s">
        <v>43</v>
      </c>
      <c r="D414">
        <v>67</v>
      </c>
      <c r="E414">
        <v>0</v>
      </c>
      <c r="F414">
        <v>0</v>
      </c>
      <c r="G414">
        <v>0</v>
      </c>
      <c r="H414">
        <v>61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2</v>
      </c>
      <c r="O414" s="1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</v>
      </c>
    </row>
    <row r="415" spans="1:43" x14ac:dyDescent="0.3">
      <c r="A415" t="s">
        <v>131</v>
      </c>
      <c r="B415" t="s">
        <v>178</v>
      </c>
      <c r="C415" s="4" t="s">
        <v>44</v>
      </c>
      <c r="D415">
        <v>44</v>
      </c>
      <c r="E415">
        <v>0</v>
      </c>
      <c r="F415">
        <v>0</v>
      </c>
      <c r="G415">
        <v>0</v>
      </c>
      <c r="H415">
        <v>38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6</v>
      </c>
      <c r="O415" s="1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</row>
    <row r="416" spans="1:43" x14ac:dyDescent="0.3">
      <c r="A416" t="s">
        <v>131</v>
      </c>
      <c r="B416" t="s">
        <v>179</v>
      </c>
      <c r="C416" s="4" t="s">
        <v>40</v>
      </c>
      <c r="D416">
        <v>80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s="1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80</v>
      </c>
    </row>
    <row r="417" spans="1:43" x14ac:dyDescent="0.3">
      <c r="A417" t="s">
        <v>131</v>
      </c>
      <c r="B417" t="s">
        <v>179</v>
      </c>
      <c r="C417" s="4" t="s">
        <v>43</v>
      </c>
      <c r="D417">
        <v>80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s="1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80</v>
      </c>
    </row>
    <row r="418" spans="1:43" x14ac:dyDescent="0.3">
      <c r="A418" t="s">
        <v>131</v>
      </c>
      <c r="B418" t="s">
        <v>180</v>
      </c>
      <c r="C418" s="4" t="s">
        <v>40</v>
      </c>
      <c r="D418">
        <v>71</v>
      </c>
      <c r="E418">
        <v>0</v>
      </c>
      <c r="F418">
        <v>0</v>
      </c>
      <c r="G418">
        <v>0</v>
      </c>
      <c r="H418">
        <v>0</v>
      </c>
      <c r="I418">
        <v>59</v>
      </c>
      <c r="J418">
        <v>0</v>
      </c>
      <c r="K418">
        <v>0</v>
      </c>
      <c r="L418">
        <v>1</v>
      </c>
      <c r="M418">
        <v>0</v>
      </c>
      <c r="N418">
        <v>1</v>
      </c>
      <c r="O418" s="1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6</v>
      </c>
      <c r="AQ418">
        <v>4</v>
      </c>
    </row>
    <row r="419" spans="1:43" x14ac:dyDescent="0.3">
      <c r="A419" t="s">
        <v>131</v>
      </c>
      <c r="B419" t="s">
        <v>180</v>
      </c>
      <c r="C419" s="4" t="s">
        <v>43</v>
      </c>
      <c r="D419">
        <v>37</v>
      </c>
      <c r="E419">
        <v>0</v>
      </c>
      <c r="F419">
        <v>0</v>
      </c>
      <c r="G419">
        <v>0</v>
      </c>
      <c r="H419">
        <v>0</v>
      </c>
      <c r="I419">
        <v>29</v>
      </c>
      <c r="J419">
        <v>0</v>
      </c>
      <c r="K419">
        <v>0</v>
      </c>
      <c r="L419">
        <v>1</v>
      </c>
      <c r="M419">
        <v>0</v>
      </c>
      <c r="N419">
        <v>1</v>
      </c>
      <c r="O419" s="1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2</v>
      </c>
      <c r="AQ419">
        <v>4</v>
      </c>
    </row>
    <row r="420" spans="1:43" x14ac:dyDescent="0.3">
      <c r="A420" t="s">
        <v>131</v>
      </c>
      <c r="B420" t="s">
        <v>180</v>
      </c>
      <c r="C420" s="4" t="s">
        <v>44</v>
      </c>
      <c r="D420">
        <v>34</v>
      </c>
      <c r="E420">
        <v>0</v>
      </c>
      <c r="F420">
        <v>0</v>
      </c>
      <c r="G420">
        <v>0</v>
      </c>
      <c r="H420">
        <v>0</v>
      </c>
      <c r="I420">
        <v>30</v>
      </c>
      <c r="J420">
        <v>0</v>
      </c>
      <c r="K420">
        <v>0</v>
      </c>
      <c r="L420">
        <v>0</v>
      </c>
      <c r="M420">
        <v>0</v>
      </c>
      <c r="N420">
        <v>0</v>
      </c>
      <c r="O420" s="1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4</v>
      </c>
      <c r="AQ420">
        <v>0</v>
      </c>
    </row>
    <row r="421" spans="1:43" x14ac:dyDescent="0.3">
      <c r="A421" t="s">
        <v>131</v>
      </c>
      <c r="B421" t="s">
        <v>181</v>
      </c>
      <c r="C421" s="4" t="s">
        <v>40</v>
      </c>
      <c r="D421">
        <v>43</v>
      </c>
      <c r="E421">
        <v>1</v>
      </c>
      <c r="F421">
        <v>0</v>
      </c>
      <c r="G421">
        <v>0</v>
      </c>
      <c r="H421">
        <v>0</v>
      </c>
      <c r="I421">
        <v>41</v>
      </c>
      <c r="J421">
        <v>0</v>
      </c>
      <c r="K421">
        <v>0</v>
      </c>
      <c r="L421">
        <v>0</v>
      </c>
      <c r="M421">
        <v>0</v>
      </c>
      <c r="N421">
        <v>0</v>
      </c>
      <c r="O421" s="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spans="1:43" x14ac:dyDescent="0.3">
      <c r="A422" t="s">
        <v>131</v>
      </c>
      <c r="B422" t="s">
        <v>181</v>
      </c>
      <c r="C422" s="4" t="s">
        <v>43</v>
      </c>
      <c r="D422">
        <v>25</v>
      </c>
      <c r="E422">
        <v>0</v>
      </c>
      <c r="F422">
        <v>0</v>
      </c>
      <c r="G422">
        <v>0</v>
      </c>
      <c r="H422">
        <v>0</v>
      </c>
      <c r="I422">
        <v>25</v>
      </c>
      <c r="J422">
        <v>0</v>
      </c>
      <c r="K422">
        <v>0</v>
      </c>
      <c r="L422">
        <v>0</v>
      </c>
      <c r="M422">
        <v>0</v>
      </c>
      <c r="N422">
        <v>0</v>
      </c>
      <c r="O422" s="1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 x14ac:dyDescent="0.3">
      <c r="A423" t="s">
        <v>131</v>
      </c>
      <c r="B423" t="s">
        <v>181</v>
      </c>
      <c r="C423" s="4" t="s">
        <v>44</v>
      </c>
      <c r="D423">
        <v>18</v>
      </c>
      <c r="E423">
        <v>1</v>
      </c>
      <c r="F423">
        <v>0</v>
      </c>
      <c r="G423">
        <v>0</v>
      </c>
      <c r="H423">
        <v>0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 s="1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</row>
    <row r="424" spans="1:43" x14ac:dyDescent="0.3">
      <c r="A424" t="s">
        <v>131</v>
      </c>
      <c r="B424" t="s">
        <v>182</v>
      </c>
      <c r="C424" s="4" t="s">
        <v>40</v>
      </c>
      <c r="D424">
        <v>7</v>
      </c>
      <c r="E424">
        <v>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s="1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spans="1:43" x14ac:dyDescent="0.3">
      <c r="A425" t="s">
        <v>131</v>
      </c>
      <c r="B425" t="s">
        <v>182</v>
      </c>
      <c r="C425" s="4" t="s">
        <v>43</v>
      </c>
      <c r="D425">
        <v>7</v>
      </c>
      <c r="E425">
        <v>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s="1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spans="1:43" x14ac:dyDescent="0.3">
      <c r="A426" t="s">
        <v>183</v>
      </c>
      <c r="B426" s="3" t="s">
        <v>40</v>
      </c>
      <c r="C426" s="4" t="s">
        <v>40</v>
      </c>
      <c r="D426" s="1">
        <v>318535</v>
      </c>
      <c r="E426">
        <v>797</v>
      </c>
      <c r="F426">
        <v>860</v>
      </c>
      <c r="G426">
        <v>51</v>
      </c>
      <c r="H426" s="1">
        <v>34180</v>
      </c>
      <c r="I426" s="1">
        <v>225932</v>
      </c>
      <c r="J426">
        <v>31</v>
      </c>
      <c r="K426">
        <v>619</v>
      </c>
      <c r="L426">
        <v>423</v>
      </c>
      <c r="M426">
        <v>5</v>
      </c>
      <c r="N426">
        <v>414</v>
      </c>
      <c r="O426" s="1">
        <v>0</v>
      </c>
      <c r="P426">
        <v>84</v>
      </c>
      <c r="Q426">
        <v>23</v>
      </c>
      <c r="R426">
        <v>47</v>
      </c>
      <c r="S426">
        <v>41</v>
      </c>
      <c r="T426">
        <v>408</v>
      </c>
      <c r="U426">
        <v>248</v>
      </c>
      <c r="V426">
        <v>16</v>
      </c>
      <c r="W426">
        <v>113</v>
      </c>
      <c r="X426">
        <v>669</v>
      </c>
      <c r="Y426">
        <v>31</v>
      </c>
      <c r="Z426">
        <v>112</v>
      </c>
      <c r="AA426">
        <v>39</v>
      </c>
      <c r="AB426">
        <v>252</v>
      </c>
      <c r="AC426">
        <v>834</v>
      </c>
      <c r="AD426">
        <v>0</v>
      </c>
      <c r="AE426">
        <v>0</v>
      </c>
      <c r="AF426">
        <v>0</v>
      </c>
      <c r="AG426">
        <v>80</v>
      </c>
      <c r="AH426">
        <v>278</v>
      </c>
      <c r="AI426">
        <v>293</v>
      </c>
      <c r="AJ426" s="1">
        <v>15396</v>
      </c>
      <c r="AK426">
        <v>862</v>
      </c>
      <c r="AL426" s="1">
        <v>1292</v>
      </c>
      <c r="AM426">
        <v>6</v>
      </c>
      <c r="AN426">
        <v>190</v>
      </c>
      <c r="AO426">
        <v>0</v>
      </c>
      <c r="AP426" s="1">
        <v>24030</v>
      </c>
      <c r="AQ426" s="1">
        <v>9879</v>
      </c>
    </row>
    <row r="427" spans="1:43" x14ac:dyDescent="0.3">
      <c r="A427" t="s">
        <v>183</v>
      </c>
      <c r="B427" s="3"/>
      <c r="C427" s="4" t="s">
        <v>259</v>
      </c>
      <c r="D427" s="1">
        <f>D431+D435+D439+D442+D445+D448+D451+D454+D457+D460+D463+D466+D469+D472+D475</f>
        <v>160888</v>
      </c>
      <c r="E427" s="1">
        <f t="shared" ref="E427:AQ427" si="13">E431+E435+E439+E442+E445+E448+E451+E454+E457+E460+E463+E466+E469+E472+E475</f>
        <v>420</v>
      </c>
      <c r="F427" s="1">
        <f t="shared" si="13"/>
        <v>612</v>
      </c>
      <c r="G427" s="1">
        <f t="shared" si="13"/>
        <v>8</v>
      </c>
      <c r="H427" s="1">
        <f t="shared" si="13"/>
        <v>17344</v>
      </c>
      <c r="I427" s="1">
        <f t="shared" si="13"/>
        <v>109300</v>
      </c>
      <c r="J427" s="1">
        <f t="shared" si="13"/>
        <v>22</v>
      </c>
      <c r="K427" s="1">
        <f t="shared" si="13"/>
        <v>422</v>
      </c>
      <c r="L427" s="1">
        <f t="shared" si="13"/>
        <v>278</v>
      </c>
      <c r="M427" s="1">
        <f t="shared" si="13"/>
        <v>5</v>
      </c>
      <c r="N427" s="1">
        <f t="shared" si="13"/>
        <v>162</v>
      </c>
      <c r="O427" s="1">
        <f t="shared" si="13"/>
        <v>0</v>
      </c>
      <c r="P427" s="1">
        <f t="shared" si="13"/>
        <v>24</v>
      </c>
      <c r="Q427" s="1">
        <f t="shared" si="13"/>
        <v>10</v>
      </c>
      <c r="R427" s="1">
        <f t="shared" si="13"/>
        <v>18</v>
      </c>
      <c r="S427" s="1">
        <f t="shared" si="13"/>
        <v>27</v>
      </c>
      <c r="T427" s="1">
        <f t="shared" si="13"/>
        <v>348</v>
      </c>
      <c r="U427" s="1">
        <f t="shared" si="13"/>
        <v>235</v>
      </c>
      <c r="V427" s="1">
        <f t="shared" si="13"/>
        <v>5</v>
      </c>
      <c r="W427" s="1">
        <f t="shared" si="13"/>
        <v>92</v>
      </c>
      <c r="X427" s="1">
        <f t="shared" si="13"/>
        <v>206</v>
      </c>
      <c r="Y427" s="1">
        <f t="shared" si="13"/>
        <v>28</v>
      </c>
      <c r="Z427" s="1">
        <f t="shared" si="13"/>
        <v>112</v>
      </c>
      <c r="AA427" s="1">
        <f t="shared" si="13"/>
        <v>39</v>
      </c>
      <c r="AB427" s="1">
        <f t="shared" si="13"/>
        <v>153</v>
      </c>
      <c r="AC427" s="1">
        <f t="shared" si="13"/>
        <v>500</v>
      </c>
      <c r="AD427" s="1">
        <f t="shared" si="13"/>
        <v>0</v>
      </c>
      <c r="AE427" s="1">
        <f t="shared" si="13"/>
        <v>0</v>
      </c>
      <c r="AF427" s="1">
        <f t="shared" si="13"/>
        <v>0</v>
      </c>
      <c r="AG427" s="1">
        <f t="shared" si="13"/>
        <v>50</v>
      </c>
      <c r="AH427" s="1">
        <f t="shared" si="13"/>
        <v>169</v>
      </c>
      <c r="AI427" s="1">
        <f t="shared" si="13"/>
        <v>92</v>
      </c>
      <c r="AJ427" s="1">
        <f t="shared" si="13"/>
        <v>7806</v>
      </c>
      <c r="AK427" s="1">
        <f t="shared" si="13"/>
        <v>593</v>
      </c>
      <c r="AL427" s="1">
        <f t="shared" si="13"/>
        <v>1048</v>
      </c>
      <c r="AM427" s="1">
        <f t="shared" si="13"/>
        <v>0</v>
      </c>
      <c r="AN427" s="1">
        <f t="shared" si="13"/>
        <v>83</v>
      </c>
      <c r="AO427" s="1">
        <f t="shared" si="13"/>
        <v>0</v>
      </c>
      <c r="AP427" s="1">
        <f t="shared" si="13"/>
        <v>10798</v>
      </c>
      <c r="AQ427" s="1">
        <f t="shared" si="13"/>
        <v>9879</v>
      </c>
    </row>
    <row r="428" spans="1:43" x14ac:dyDescent="0.3">
      <c r="A428" t="s">
        <v>183</v>
      </c>
      <c r="B428" s="3"/>
      <c r="C428" s="4" t="s">
        <v>260</v>
      </c>
      <c r="D428" s="1">
        <f>D432+D436+D440+D443+D446+D449+D452+D455+D458+D461+D464+D467+D470+D473</f>
        <v>157627</v>
      </c>
      <c r="E428" s="1">
        <f t="shared" ref="E428:AQ428" si="14">E432+E436+E440+E443+E446+E449+E452+E455+E458+E461+E464+E467+E470+E473</f>
        <v>377</v>
      </c>
      <c r="F428" s="1">
        <f t="shared" si="14"/>
        <v>248</v>
      </c>
      <c r="G428" s="1">
        <f t="shared" si="14"/>
        <v>43</v>
      </c>
      <c r="H428" s="1">
        <f t="shared" si="14"/>
        <v>16832</v>
      </c>
      <c r="I428" s="1">
        <f t="shared" si="14"/>
        <v>116617</v>
      </c>
      <c r="J428" s="1">
        <f t="shared" si="14"/>
        <v>9</v>
      </c>
      <c r="K428" s="1">
        <f t="shared" si="14"/>
        <v>197</v>
      </c>
      <c r="L428" s="1">
        <f t="shared" si="14"/>
        <v>145</v>
      </c>
      <c r="M428" s="1">
        <f t="shared" si="14"/>
        <v>0</v>
      </c>
      <c r="N428" s="1">
        <f t="shared" si="14"/>
        <v>252</v>
      </c>
      <c r="O428" s="1">
        <f t="shared" si="14"/>
        <v>0</v>
      </c>
      <c r="P428" s="1">
        <f t="shared" si="14"/>
        <v>60</v>
      </c>
      <c r="Q428" s="1">
        <f t="shared" si="14"/>
        <v>13</v>
      </c>
      <c r="R428" s="1">
        <f t="shared" si="14"/>
        <v>29</v>
      </c>
      <c r="S428" s="1">
        <f t="shared" si="14"/>
        <v>14</v>
      </c>
      <c r="T428" s="1">
        <f t="shared" si="14"/>
        <v>60</v>
      </c>
      <c r="U428" s="1">
        <f t="shared" si="14"/>
        <v>13</v>
      </c>
      <c r="V428" s="1">
        <f t="shared" si="14"/>
        <v>11</v>
      </c>
      <c r="W428" s="1">
        <f t="shared" si="14"/>
        <v>21</v>
      </c>
      <c r="X428" s="1">
        <f t="shared" si="14"/>
        <v>463</v>
      </c>
      <c r="Y428" s="1">
        <f t="shared" si="14"/>
        <v>3</v>
      </c>
      <c r="Z428" s="1">
        <f t="shared" si="14"/>
        <v>0</v>
      </c>
      <c r="AA428" s="1">
        <f t="shared" si="14"/>
        <v>0</v>
      </c>
      <c r="AB428" s="1">
        <f t="shared" si="14"/>
        <v>99</v>
      </c>
      <c r="AC428" s="1">
        <f t="shared" si="14"/>
        <v>334</v>
      </c>
      <c r="AD428" s="1">
        <f t="shared" si="14"/>
        <v>0</v>
      </c>
      <c r="AE428" s="1">
        <f t="shared" si="14"/>
        <v>0</v>
      </c>
      <c r="AF428" s="1">
        <f t="shared" si="14"/>
        <v>0</v>
      </c>
      <c r="AG428" s="1">
        <f t="shared" si="14"/>
        <v>30</v>
      </c>
      <c r="AH428" s="1">
        <f t="shared" si="14"/>
        <v>109</v>
      </c>
      <c r="AI428" s="1">
        <f t="shared" si="14"/>
        <v>201</v>
      </c>
      <c r="AJ428" s="1">
        <f t="shared" si="14"/>
        <v>7590</v>
      </c>
      <c r="AK428" s="1">
        <f t="shared" si="14"/>
        <v>269</v>
      </c>
      <c r="AL428" s="1">
        <f t="shared" si="14"/>
        <v>244</v>
      </c>
      <c r="AM428" s="1">
        <f t="shared" si="14"/>
        <v>6</v>
      </c>
      <c r="AN428" s="1">
        <f t="shared" si="14"/>
        <v>107</v>
      </c>
      <c r="AO428" s="1">
        <f t="shared" si="14"/>
        <v>0</v>
      </c>
      <c r="AP428" s="1">
        <f t="shared" si="14"/>
        <v>13231</v>
      </c>
      <c r="AQ428" s="1">
        <f t="shared" si="14"/>
        <v>0</v>
      </c>
    </row>
    <row r="429" spans="1:43" x14ac:dyDescent="0.3">
      <c r="A429" t="s">
        <v>183</v>
      </c>
      <c r="B429" s="3"/>
      <c r="C429" s="4" t="s">
        <v>261</v>
      </c>
      <c r="D429" s="1">
        <f>D433+D437</f>
        <v>20</v>
      </c>
      <c r="E429" s="1">
        <f t="shared" ref="E429:AQ429" si="15">E433+E437</f>
        <v>0</v>
      </c>
      <c r="F429" s="1">
        <f t="shared" si="15"/>
        <v>0</v>
      </c>
      <c r="G429" s="1">
        <f t="shared" si="15"/>
        <v>0</v>
      </c>
      <c r="H429" s="1">
        <f t="shared" si="15"/>
        <v>4</v>
      </c>
      <c r="I429" s="1">
        <f t="shared" si="15"/>
        <v>15</v>
      </c>
      <c r="J429" s="1">
        <f t="shared" si="15"/>
        <v>0</v>
      </c>
      <c r="K429" s="1">
        <f t="shared" si="15"/>
        <v>0</v>
      </c>
      <c r="L429" s="1">
        <f t="shared" si="15"/>
        <v>0</v>
      </c>
      <c r="M429" s="1">
        <f t="shared" si="15"/>
        <v>0</v>
      </c>
      <c r="N429" s="1">
        <f t="shared" si="15"/>
        <v>0</v>
      </c>
      <c r="O429" s="1">
        <f t="shared" si="15"/>
        <v>0</v>
      </c>
      <c r="P429" s="1">
        <f t="shared" si="15"/>
        <v>0</v>
      </c>
      <c r="Q429" s="1">
        <f t="shared" si="15"/>
        <v>0</v>
      </c>
      <c r="R429" s="1">
        <f t="shared" si="15"/>
        <v>0</v>
      </c>
      <c r="S429" s="1">
        <f t="shared" si="15"/>
        <v>0</v>
      </c>
      <c r="T429" s="1">
        <f t="shared" si="15"/>
        <v>0</v>
      </c>
      <c r="U429" s="1">
        <f t="shared" si="15"/>
        <v>0</v>
      </c>
      <c r="V429" s="1">
        <f t="shared" si="15"/>
        <v>0</v>
      </c>
      <c r="W429" s="1">
        <f t="shared" si="15"/>
        <v>0</v>
      </c>
      <c r="X429" s="1">
        <f t="shared" si="15"/>
        <v>0</v>
      </c>
      <c r="Y429" s="1">
        <f t="shared" si="15"/>
        <v>0</v>
      </c>
      <c r="Z429" s="1">
        <f t="shared" si="15"/>
        <v>0</v>
      </c>
      <c r="AA429" s="1">
        <f t="shared" si="15"/>
        <v>0</v>
      </c>
      <c r="AB429" s="1">
        <f t="shared" si="15"/>
        <v>0</v>
      </c>
      <c r="AC429" s="1">
        <f t="shared" si="15"/>
        <v>0</v>
      </c>
      <c r="AD429" s="1">
        <f t="shared" si="15"/>
        <v>0</v>
      </c>
      <c r="AE429" s="1">
        <f t="shared" si="15"/>
        <v>0</v>
      </c>
      <c r="AF429" s="1">
        <f t="shared" si="15"/>
        <v>0</v>
      </c>
      <c r="AG429" s="1">
        <f t="shared" si="15"/>
        <v>0</v>
      </c>
      <c r="AH429" s="1">
        <f t="shared" si="15"/>
        <v>0</v>
      </c>
      <c r="AI429" s="1">
        <f t="shared" si="15"/>
        <v>0</v>
      </c>
      <c r="AJ429" s="1">
        <f t="shared" si="15"/>
        <v>0</v>
      </c>
      <c r="AK429" s="1">
        <f t="shared" si="15"/>
        <v>0</v>
      </c>
      <c r="AL429" s="1">
        <f t="shared" si="15"/>
        <v>0</v>
      </c>
      <c r="AM429" s="1">
        <f t="shared" si="15"/>
        <v>0</v>
      </c>
      <c r="AN429" s="1">
        <f t="shared" si="15"/>
        <v>0</v>
      </c>
      <c r="AO429" s="1">
        <f t="shared" si="15"/>
        <v>0</v>
      </c>
      <c r="AP429" s="1">
        <f t="shared" si="15"/>
        <v>1</v>
      </c>
      <c r="AQ429" s="1">
        <f t="shared" si="15"/>
        <v>0</v>
      </c>
    </row>
    <row r="430" spans="1:43" x14ac:dyDescent="0.3">
      <c r="A430" t="s">
        <v>183</v>
      </c>
      <c r="B430" t="s">
        <v>184</v>
      </c>
      <c r="C430" s="4" t="s">
        <v>40</v>
      </c>
      <c r="D430" s="1">
        <v>269487</v>
      </c>
      <c r="E430">
        <v>411</v>
      </c>
      <c r="F430">
        <v>601</v>
      </c>
      <c r="G430">
        <v>21</v>
      </c>
      <c r="H430">
        <v>0</v>
      </c>
      <c r="I430" s="1">
        <v>223956</v>
      </c>
      <c r="J430">
        <v>18</v>
      </c>
      <c r="K430">
        <v>143</v>
      </c>
      <c r="L430">
        <v>360</v>
      </c>
      <c r="M430">
        <v>5</v>
      </c>
      <c r="N430">
        <v>348</v>
      </c>
      <c r="O430">
        <v>0</v>
      </c>
      <c r="P430">
        <v>53</v>
      </c>
      <c r="Q430">
        <v>23</v>
      </c>
      <c r="R430">
        <v>41</v>
      </c>
      <c r="S430">
        <v>22</v>
      </c>
      <c r="T430">
        <v>339</v>
      </c>
      <c r="U430">
        <v>222</v>
      </c>
      <c r="V430">
        <v>11</v>
      </c>
      <c r="W430">
        <v>69</v>
      </c>
      <c r="X430">
        <v>470</v>
      </c>
      <c r="Y430">
        <v>28</v>
      </c>
      <c r="Z430">
        <v>87</v>
      </c>
      <c r="AA430">
        <v>25</v>
      </c>
      <c r="AB430">
        <v>210</v>
      </c>
      <c r="AC430">
        <v>586</v>
      </c>
      <c r="AD430">
        <v>0</v>
      </c>
      <c r="AE430">
        <v>0</v>
      </c>
      <c r="AF430">
        <v>0</v>
      </c>
      <c r="AG430">
        <v>65</v>
      </c>
      <c r="AH430">
        <v>204</v>
      </c>
      <c r="AI430">
        <v>235</v>
      </c>
      <c r="AJ430" s="1">
        <v>10577</v>
      </c>
      <c r="AK430">
        <v>618</v>
      </c>
      <c r="AL430">
        <v>968</v>
      </c>
      <c r="AM430">
        <v>6</v>
      </c>
      <c r="AN430">
        <v>162</v>
      </c>
      <c r="AO430">
        <v>0</v>
      </c>
      <c r="AP430" s="1">
        <v>21120</v>
      </c>
      <c r="AQ430" s="1">
        <v>7483</v>
      </c>
    </row>
    <row r="431" spans="1:43" x14ac:dyDescent="0.3">
      <c r="A431" t="s">
        <v>183</v>
      </c>
      <c r="B431" t="s">
        <v>184</v>
      </c>
      <c r="C431" s="4" t="s">
        <v>43</v>
      </c>
      <c r="D431" s="1">
        <v>134261</v>
      </c>
      <c r="E431">
        <v>202</v>
      </c>
      <c r="F431">
        <v>428</v>
      </c>
      <c r="G431">
        <v>0</v>
      </c>
      <c r="H431">
        <v>0</v>
      </c>
      <c r="I431" s="1">
        <v>108240</v>
      </c>
      <c r="J431">
        <v>13</v>
      </c>
      <c r="K431">
        <v>119</v>
      </c>
      <c r="L431">
        <v>235</v>
      </c>
      <c r="M431">
        <v>5</v>
      </c>
      <c r="N431">
        <v>138</v>
      </c>
      <c r="O431">
        <v>0</v>
      </c>
      <c r="P431">
        <v>15</v>
      </c>
      <c r="Q431">
        <v>10</v>
      </c>
      <c r="R431">
        <v>13</v>
      </c>
      <c r="S431">
        <v>16</v>
      </c>
      <c r="T431">
        <v>285</v>
      </c>
      <c r="U431">
        <v>214</v>
      </c>
      <c r="V431">
        <v>1</v>
      </c>
      <c r="W431">
        <v>57</v>
      </c>
      <c r="X431">
        <v>123</v>
      </c>
      <c r="Y431">
        <v>25</v>
      </c>
      <c r="Z431">
        <v>87</v>
      </c>
      <c r="AA431">
        <v>25</v>
      </c>
      <c r="AB431">
        <v>130</v>
      </c>
      <c r="AC431">
        <v>368</v>
      </c>
      <c r="AD431">
        <v>0</v>
      </c>
      <c r="AE431">
        <v>0</v>
      </c>
      <c r="AF431">
        <v>0</v>
      </c>
      <c r="AG431">
        <v>45</v>
      </c>
      <c r="AH431">
        <v>127</v>
      </c>
      <c r="AI431">
        <v>78</v>
      </c>
      <c r="AJ431" s="1">
        <v>5049</v>
      </c>
      <c r="AK431">
        <v>417</v>
      </c>
      <c r="AL431">
        <v>767</v>
      </c>
      <c r="AM431">
        <v>0</v>
      </c>
      <c r="AN431">
        <v>62</v>
      </c>
      <c r="AO431">
        <v>0</v>
      </c>
      <c r="AP431" s="1">
        <v>9484</v>
      </c>
      <c r="AQ431" s="1">
        <v>7483</v>
      </c>
    </row>
    <row r="432" spans="1:43" x14ac:dyDescent="0.3">
      <c r="A432" t="s">
        <v>183</v>
      </c>
      <c r="B432" t="s">
        <v>184</v>
      </c>
      <c r="C432" s="4" t="s">
        <v>44</v>
      </c>
      <c r="D432" s="1">
        <v>135210</v>
      </c>
      <c r="E432">
        <v>209</v>
      </c>
      <c r="F432">
        <v>173</v>
      </c>
      <c r="G432">
        <v>21</v>
      </c>
      <c r="H432">
        <v>0</v>
      </c>
      <c r="I432" s="1">
        <v>115701</v>
      </c>
      <c r="J432">
        <v>5</v>
      </c>
      <c r="K432">
        <v>24</v>
      </c>
      <c r="L432">
        <v>125</v>
      </c>
      <c r="M432">
        <v>0</v>
      </c>
      <c r="N432">
        <v>210</v>
      </c>
      <c r="O432">
        <v>0</v>
      </c>
      <c r="P432">
        <v>38</v>
      </c>
      <c r="Q432">
        <v>13</v>
      </c>
      <c r="R432">
        <v>28</v>
      </c>
      <c r="S432">
        <v>6</v>
      </c>
      <c r="T432">
        <v>54</v>
      </c>
      <c r="U432">
        <v>8</v>
      </c>
      <c r="V432">
        <v>10</v>
      </c>
      <c r="W432">
        <v>12</v>
      </c>
      <c r="X432">
        <v>347</v>
      </c>
      <c r="Y432">
        <v>3</v>
      </c>
      <c r="Z432">
        <v>0</v>
      </c>
      <c r="AA432">
        <v>0</v>
      </c>
      <c r="AB432">
        <v>80</v>
      </c>
      <c r="AC432">
        <v>218</v>
      </c>
      <c r="AD432">
        <v>0</v>
      </c>
      <c r="AE432">
        <v>0</v>
      </c>
      <c r="AF432">
        <v>0</v>
      </c>
      <c r="AG432">
        <v>20</v>
      </c>
      <c r="AH432">
        <v>77</v>
      </c>
      <c r="AI432">
        <v>157</v>
      </c>
      <c r="AJ432" s="1">
        <v>5528</v>
      </c>
      <c r="AK432">
        <v>201</v>
      </c>
      <c r="AL432">
        <v>201</v>
      </c>
      <c r="AM432">
        <v>6</v>
      </c>
      <c r="AN432">
        <v>100</v>
      </c>
      <c r="AO432">
        <v>0</v>
      </c>
      <c r="AP432" s="1">
        <v>11635</v>
      </c>
      <c r="AQ432">
        <v>0</v>
      </c>
    </row>
    <row r="433" spans="1:43" x14ac:dyDescent="0.3">
      <c r="A433" t="s">
        <v>183</v>
      </c>
      <c r="B433" t="s">
        <v>184</v>
      </c>
      <c r="C433" s="4" t="s">
        <v>94</v>
      </c>
      <c r="D433">
        <v>16</v>
      </c>
      <c r="E433">
        <v>0</v>
      </c>
      <c r="F433">
        <v>0</v>
      </c>
      <c r="G433">
        <v>0</v>
      </c>
      <c r="H433">
        <v>0</v>
      </c>
      <c r="I433">
        <v>15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 s="1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  <c r="AQ433" s="1">
        <v>0</v>
      </c>
    </row>
    <row r="434" spans="1:43" x14ac:dyDescent="0.3">
      <c r="A434" t="s">
        <v>183</v>
      </c>
      <c r="B434" t="s">
        <v>185</v>
      </c>
      <c r="C434" s="4" t="s">
        <v>40</v>
      </c>
      <c r="D434" s="1">
        <v>45556</v>
      </c>
      <c r="E434">
        <v>245</v>
      </c>
      <c r="F434">
        <v>125</v>
      </c>
      <c r="G434">
        <v>0</v>
      </c>
      <c r="H434" s="1">
        <v>34180</v>
      </c>
      <c r="I434">
        <v>9</v>
      </c>
      <c r="J434">
        <v>13</v>
      </c>
      <c r="K434">
        <v>40</v>
      </c>
      <c r="L434">
        <v>61</v>
      </c>
      <c r="M434">
        <v>0</v>
      </c>
      <c r="N434">
        <v>40</v>
      </c>
      <c r="O434">
        <v>0</v>
      </c>
      <c r="P434">
        <v>25</v>
      </c>
      <c r="Q434">
        <v>0</v>
      </c>
      <c r="R434">
        <v>5</v>
      </c>
      <c r="S434">
        <v>19</v>
      </c>
      <c r="T434">
        <v>59</v>
      </c>
      <c r="U434">
        <v>26</v>
      </c>
      <c r="V434">
        <v>3</v>
      </c>
      <c r="W434">
        <v>44</v>
      </c>
      <c r="X434">
        <v>199</v>
      </c>
      <c r="Y434">
        <v>3</v>
      </c>
      <c r="Z434">
        <v>25</v>
      </c>
      <c r="AA434">
        <v>14</v>
      </c>
      <c r="AB434">
        <v>36</v>
      </c>
      <c r="AC434">
        <v>241</v>
      </c>
      <c r="AD434">
        <v>0</v>
      </c>
      <c r="AE434">
        <v>0</v>
      </c>
      <c r="AF434">
        <v>0</v>
      </c>
      <c r="AG434">
        <v>14</v>
      </c>
      <c r="AH434">
        <v>50</v>
      </c>
      <c r="AI434">
        <v>47</v>
      </c>
      <c r="AJ434" s="1">
        <v>4735</v>
      </c>
      <c r="AK434">
        <v>234</v>
      </c>
      <c r="AL434">
        <v>294</v>
      </c>
      <c r="AM434">
        <v>0</v>
      </c>
      <c r="AN434">
        <v>28</v>
      </c>
      <c r="AO434">
        <v>0</v>
      </c>
      <c r="AP434" s="1">
        <v>2907</v>
      </c>
      <c r="AQ434" s="1">
        <v>1835</v>
      </c>
    </row>
    <row r="435" spans="1:43" x14ac:dyDescent="0.3">
      <c r="A435" t="s">
        <v>183</v>
      </c>
      <c r="B435" t="s">
        <v>185</v>
      </c>
      <c r="C435" s="4" t="s">
        <v>43</v>
      </c>
      <c r="D435" s="1">
        <v>24405</v>
      </c>
      <c r="E435">
        <v>133</v>
      </c>
      <c r="F435">
        <v>102</v>
      </c>
      <c r="G435">
        <v>0</v>
      </c>
      <c r="H435" s="1">
        <v>17344</v>
      </c>
      <c r="I435">
        <v>8</v>
      </c>
      <c r="J435">
        <v>9</v>
      </c>
      <c r="K435">
        <v>34</v>
      </c>
      <c r="L435">
        <v>41</v>
      </c>
      <c r="M435">
        <v>0</v>
      </c>
      <c r="N435">
        <v>16</v>
      </c>
      <c r="O435">
        <v>0</v>
      </c>
      <c r="P435">
        <v>7</v>
      </c>
      <c r="Q435">
        <v>0</v>
      </c>
      <c r="R435">
        <v>5</v>
      </c>
      <c r="S435">
        <v>11</v>
      </c>
      <c r="T435">
        <v>53</v>
      </c>
      <c r="U435">
        <v>21</v>
      </c>
      <c r="V435">
        <v>3</v>
      </c>
      <c r="W435">
        <v>35</v>
      </c>
      <c r="X435">
        <v>83</v>
      </c>
      <c r="Y435">
        <v>3</v>
      </c>
      <c r="Z435">
        <v>25</v>
      </c>
      <c r="AA435">
        <v>14</v>
      </c>
      <c r="AB435">
        <v>17</v>
      </c>
      <c r="AC435">
        <v>125</v>
      </c>
      <c r="AD435">
        <v>0</v>
      </c>
      <c r="AE435">
        <v>0</v>
      </c>
      <c r="AF435">
        <v>0</v>
      </c>
      <c r="AG435">
        <v>5</v>
      </c>
      <c r="AH435">
        <v>18</v>
      </c>
      <c r="AI435">
        <v>14</v>
      </c>
      <c r="AJ435" s="1">
        <v>2684</v>
      </c>
      <c r="AK435">
        <v>172</v>
      </c>
      <c r="AL435">
        <v>254</v>
      </c>
      <c r="AM435">
        <v>0</v>
      </c>
      <c r="AN435">
        <v>21</v>
      </c>
      <c r="AO435">
        <v>0</v>
      </c>
      <c r="AP435" s="1">
        <v>1313</v>
      </c>
      <c r="AQ435" s="1">
        <v>1835</v>
      </c>
    </row>
    <row r="436" spans="1:43" x14ac:dyDescent="0.3">
      <c r="A436" t="s">
        <v>183</v>
      </c>
      <c r="B436" t="s">
        <v>185</v>
      </c>
      <c r="C436" s="4" t="s">
        <v>44</v>
      </c>
      <c r="D436" s="1">
        <v>21147</v>
      </c>
      <c r="E436">
        <v>112</v>
      </c>
      <c r="F436">
        <v>23</v>
      </c>
      <c r="G436">
        <v>0</v>
      </c>
      <c r="H436" s="1">
        <v>16832</v>
      </c>
      <c r="I436">
        <v>1</v>
      </c>
      <c r="J436">
        <v>4</v>
      </c>
      <c r="K436">
        <v>6</v>
      </c>
      <c r="L436">
        <v>20</v>
      </c>
      <c r="M436">
        <v>0</v>
      </c>
      <c r="N436">
        <v>24</v>
      </c>
      <c r="O436">
        <v>0</v>
      </c>
      <c r="P436">
        <v>18</v>
      </c>
      <c r="Q436">
        <v>0</v>
      </c>
      <c r="R436">
        <v>0</v>
      </c>
      <c r="S436">
        <v>8</v>
      </c>
      <c r="T436">
        <v>6</v>
      </c>
      <c r="U436">
        <v>5</v>
      </c>
      <c r="V436">
        <v>0</v>
      </c>
      <c r="W436">
        <v>9</v>
      </c>
      <c r="X436">
        <v>116</v>
      </c>
      <c r="Y436">
        <v>0</v>
      </c>
      <c r="Z436">
        <v>0</v>
      </c>
      <c r="AA436">
        <v>0</v>
      </c>
      <c r="AB436">
        <v>19</v>
      </c>
      <c r="AC436">
        <v>116</v>
      </c>
      <c r="AD436">
        <v>0</v>
      </c>
      <c r="AE436">
        <v>0</v>
      </c>
      <c r="AF436">
        <v>0</v>
      </c>
      <c r="AG436">
        <v>9</v>
      </c>
      <c r="AH436">
        <v>32</v>
      </c>
      <c r="AI436">
        <v>33</v>
      </c>
      <c r="AJ436" s="1">
        <v>2051</v>
      </c>
      <c r="AK436">
        <v>62</v>
      </c>
      <c r="AL436">
        <v>40</v>
      </c>
      <c r="AM436">
        <v>0</v>
      </c>
      <c r="AN436">
        <v>7</v>
      </c>
      <c r="AO436">
        <v>0</v>
      </c>
      <c r="AP436" s="1">
        <v>1594</v>
      </c>
      <c r="AQ436" s="1">
        <v>0</v>
      </c>
    </row>
    <row r="437" spans="1:43" x14ac:dyDescent="0.3">
      <c r="A437" t="s">
        <v>183</v>
      </c>
      <c r="B437" t="s">
        <v>185</v>
      </c>
      <c r="C437" s="4" t="s">
        <v>94</v>
      </c>
      <c r="D437">
        <v>4</v>
      </c>
      <c r="E437">
        <v>0</v>
      </c>
      <c r="F437">
        <v>0</v>
      </c>
      <c r="G437">
        <v>0</v>
      </c>
      <c r="H437">
        <v>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 s="1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s="1">
        <v>0</v>
      </c>
      <c r="AQ437" s="1">
        <v>0</v>
      </c>
    </row>
    <row r="438" spans="1:43" x14ac:dyDescent="0.3">
      <c r="A438" t="s">
        <v>183</v>
      </c>
      <c r="B438" t="s">
        <v>186</v>
      </c>
      <c r="C438" s="4" t="s">
        <v>40</v>
      </c>
      <c r="D438">
        <v>944</v>
      </c>
      <c r="E438">
        <v>4</v>
      </c>
      <c r="F438">
        <v>9</v>
      </c>
      <c r="G438">
        <v>0</v>
      </c>
      <c r="H438" s="1">
        <v>0</v>
      </c>
      <c r="I438">
        <v>733</v>
      </c>
      <c r="J438">
        <v>0</v>
      </c>
      <c r="K438">
        <v>5</v>
      </c>
      <c r="L438">
        <v>2</v>
      </c>
      <c r="M438">
        <v>0</v>
      </c>
      <c r="N438">
        <v>15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4</v>
      </c>
      <c r="AC438">
        <v>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46</v>
      </c>
      <c r="AK438">
        <v>1</v>
      </c>
      <c r="AL438">
        <v>3</v>
      </c>
      <c r="AM438">
        <v>0</v>
      </c>
      <c r="AN438">
        <v>0</v>
      </c>
      <c r="AO438">
        <v>0</v>
      </c>
      <c r="AP438">
        <v>3</v>
      </c>
      <c r="AQ438">
        <v>111</v>
      </c>
    </row>
    <row r="439" spans="1:43" x14ac:dyDescent="0.3">
      <c r="A439" t="s">
        <v>183</v>
      </c>
      <c r="B439" t="s">
        <v>186</v>
      </c>
      <c r="C439" s="4" t="s">
        <v>43</v>
      </c>
      <c r="D439">
        <v>570</v>
      </c>
      <c r="E439">
        <v>3</v>
      </c>
      <c r="F439">
        <v>3</v>
      </c>
      <c r="G439">
        <v>0</v>
      </c>
      <c r="H439" s="1">
        <v>0</v>
      </c>
      <c r="I439">
        <v>393</v>
      </c>
      <c r="J439">
        <v>0</v>
      </c>
      <c r="K439">
        <v>1</v>
      </c>
      <c r="L439">
        <v>2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4</v>
      </c>
      <c r="AC439">
        <v>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41</v>
      </c>
      <c r="AK439">
        <v>0</v>
      </c>
      <c r="AL439">
        <v>2</v>
      </c>
      <c r="AM439">
        <v>0</v>
      </c>
      <c r="AN439">
        <v>0</v>
      </c>
      <c r="AO439">
        <v>0</v>
      </c>
      <c r="AP439">
        <v>1</v>
      </c>
      <c r="AQ439">
        <v>111</v>
      </c>
    </row>
    <row r="440" spans="1:43" x14ac:dyDescent="0.3">
      <c r="A440" t="s">
        <v>183</v>
      </c>
      <c r="B440" t="s">
        <v>186</v>
      </c>
      <c r="C440" s="4" t="s">
        <v>44</v>
      </c>
      <c r="D440">
        <v>374</v>
      </c>
      <c r="E440">
        <v>1</v>
      </c>
      <c r="F440">
        <v>6</v>
      </c>
      <c r="G440">
        <v>0</v>
      </c>
      <c r="H440" s="1">
        <v>0</v>
      </c>
      <c r="I440">
        <v>340</v>
      </c>
      <c r="J440">
        <v>0</v>
      </c>
      <c r="K440">
        <v>4</v>
      </c>
      <c r="L440">
        <v>0</v>
      </c>
      <c r="M440">
        <v>0</v>
      </c>
      <c r="N440">
        <v>13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5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2</v>
      </c>
      <c r="AQ440" s="1">
        <v>0</v>
      </c>
    </row>
    <row r="441" spans="1:43" x14ac:dyDescent="0.3">
      <c r="A441" t="s">
        <v>183</v>
      </c>
      <c r="B441" t="s">
        <v>187</v>
      </c>
      <c r="C441" s="4" t="s">
        <v>40</v>
      </c>
      <c r="D441">
        <v>574</v>
      </c>
      <c r="E441">
        <v>14</v>
      </c>
      <c r="F441">
        <v>68</v>
      </c>
      <c r="G441">
        <v>0</v>
      </c>
      <c r="H441" s="1">
        <v>0</v>
      </c>
      <c r="I441">
        <v>25</v>
      </c>
      <c r="J441">
        <v>0</v>
      </c>
      <c r="K441">
        <v>304</v>
      </c>
      <c r="L441">
        <v>0</v>
      </c>
      <c r="M441">
        <v>0</v>
      </c>
      <c r="N441">
        <v>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6</v>
      </c>
      <c r="AJ441">
        <v>6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145</v>
      </c>
    </row>
    <row r="442" spans="1:43" x14ac:dyDescent="0.3">
      <c r="A442" t="s">
        <v>183</v>
      </c>
      <c r="B442" t="s">
        <v>187</v>
      </c>
      <c r="C442" s="4" t="s">
        <v>43</v>
      </c>
      <c r="D442">
        <v>413</v>
      </c>
      <c r="E442">
        <v>6</v>
      </c>
      <c r="F442">
        <v>39</v>
      </c>
      <c r="G442">
        <v>0</v>
      </c>
      <c r="H442" s="1">
        <v>0</v>
      </c>
      <c r="I442">
        <v>23</v>
      </c>
      <c r="J442">
        <v>0</v>
      </c>
      <c r="K442">
        <v>191</v>
      </c>
      <c r="L442">
        <v>0</v>
      </c>
      <c r="M442">
        <v>0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6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145</v>
      </c>
    </row>
    <row r="443" spans="1:43" x14ac:dyDescent="0.3">
      <c r="A443" t="s">
        <v>183</v>
      </c>
      <c r="B443" t="s">
        <v>187</v>
      </c>
      <c r="C443" s="4" t="s">
        <v>44</v>
      </c>
      <c r="D443">
        <v>161</v>
      </c>
      <c r="E443">
        <v>8</v>
      </c>
      <c r="F443">
        <v>29</v>
      </c>
      <c r="G443">
        <v>0</v>
      </c>
      <c r="H443" s="1">
        <v>0</v>
      </c>
      <c r="I443">
        <v>2</v>
      </c>
      <c r="J443">
        <v>0</v>
      </c>
      <c r="K443">
        <v>113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6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 x14ac:dyDescent="0.3">
      <c r="A444" t="s">
        <v>183</v>
      </c>
      <c r="B444" t="s">
        <v>188</v>
      </c>
      <c r="C444" s="4" t="s">
        <v>40</v>
      </c>
      <c r="D444">
        <v>399</v>
      </c>
      <c r="E444">
        <v>5</v>
      </c>
      <c r="F444">
        <v>0</v>
      </c>
      <c r="G444">
        <v>14</v>
      </c>
      <c r="H444" s="1">
        <v>0</v>
      </c>
      <c r="I444">
        <v>379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spans="1:43" x14ac:dyDescent="0.3">
      <c r="A445" t="s">
        <v>183</v>
      </c>
      <c r="B445" t="s">
        <v>188</v>
      </c>
      <c r="C445" s="4" t="s">
        <v>43</v>
      </c>
      <c r="D445">
        <v>182</v>
      </c>
      <c r="E445">
        <v>4</v>
      </c>
      <c r="F445">
        <v>0</v>
      </c>
      <c r="G445">
        <v>3</v>
      </c>
      <c r="H445" s="1">
        <v>0</v>
      </c>
      <c r="I445">
        <v>174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 x14ac:dyDescent="0.3">
      <c r="A446" t="s">
        <v>183</v>
      </c>
      <c r="B446" t="s">
        <v>188</v>
      </c>
      <c r="C446" s="4" t="s">
        <v>44</v>
      </c>
      <c r="D446">
        <v>217</v>
      </c>
      <c r="E446">
        <v>1</v>
      </c>
      <c r="F446">
        <v>0</v>
      </c>
      <c r="G446">
        <v>11</v>
      </c>
      <c r="H446" s="1">
        <v>0</v>
      </c>
      <c r="I446">
        <v>205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</row>
    <row r="447" spans="1:43" x14ac:dyDescent="0.3">
      <c r="A447" t="s">
        <v>183</v>
      </c>
      <c r="B447" t="s">
        <v>189</v>
      </c>
      <c r="C447" s="4" t="s">
        <v>40</v>
      </c>
      <c r="D447">
        <v>313</v>
      </c>
      <c r="E447">
        <v>2</v>
      </c>
      <c r="F447">
        <v>0</v>
      </c>
      <c r="G447">
        <v>0</v>
      </c>
      <c r="H447" s="1">
        <v>0</v>
      </c>
      <c r="I447">
        <v>93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216</v>
      </c>
    </row>
    <row r="448" spans="1:43" x14ac:dyDescent="0.3">
      <c r="A448" t="s">
        <v>183</v>
      </c>
      <c r="B448" t="s">
        <v>189</v>
      </c>
      <c r="C448" s="4" t="s">
        <v>43</v>
      </c>
      <c r="D448">
        <v>275</v>
      </c>
      <c r="E448">
        <v>0</v>
      </c>
      <c r="F448">
        <v>0</v>
      </c>
      <c r="G448">
        <v>0</v>
      </c>
      <c r="H448" s="1">
        <v>0</v>
      </c>
      <c r="I448">
        <v>58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216</v>
      </c>
    </row>
    <row r="449" spans="1:43" x14ac:dyDescent="0.3">
      <c r="A449" t="s">
        <v>183</v>
      </c>
      <c r="B449" t="s">
        <v>189</v>
      </c>
      <c r="C449" s="4" t="s">
        <v>44</v>
      </c>
      <c r="D449">
        <v>38</v>
      </c>
      <c r="E449">
        <v>2</v>
      </c>
      <c r="F449">
        <v>0</v>
      </c>
      <c r="G449">
        <v>0</v>
      </c>
      <c r="H449" s="1">
        <v>0</v>
      </c>
      <c r="I449">
        <v>35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</row>
    <row r="450" spans="1:43" x14ac:dyDescent="0.3">
      <c r="A450" t="s">
        <v>183</v>
      </c>
      <c r="B450" t="s">
        <v>190</v>
      </c>
      <c r="C450" s="4" t="s">
        <v>40</v>
      </c>
      <c r="D450">
        <v>293</v>
      </c>
      <c r="E450">
        <v>13</v>
      </c>
      <c r="F450">
        <v>7</v>
      </c>
      <c r="G450">
        <v>0</v>
      </c>
      <c r="H450" s="1">
        <v>0</v>
      </c>
      <c r="I450">
        <v>57</v>
      </c>
      <c r="J450">
        <v>0</v>
      </c>
      <c r="K450">
        <v>118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24</v>
      </c>
      <c r="AI450">
        <v>0</v>
      </c>
      <c r="AJ450">
        <v>28</v>
      </c>
      <c r="AK450">
        <v>9</v>
      </c>
      <c r="AL450">
        <v>21</v>
      </c>
      <c r="AM450">
        <v>0</v>
      </c>
      <c r="AN450">
        <v>0</v>
      </c>
      <c r="AO450">
        <v>0</v>
      </c>
      <c r="AP450">
        <v>0</v>
      </c>
      <c r="AQ450">
        <v>6</v>
      </c>
    </row>
    <row r="451" spans="1:43" x14ac:dyDescent="0.3">
      <c r="A451" t="s">
        <v>183</v>
      </c>
      <c r="B451" t="s">
        <v>190</v>
      </c>
      <c r="C451" s="4" t="s">
        <v>43</v>
      </c>
      <c r="D451">
        <v>225</v>
      </c>
      <c r="E451">
        <v>11</v>
      </c>
      <c r="F451">
        <v>5</v>
      </c>
      <c r="G451">
        <v>0</v>
      </c>
      <c r="H451" s="1">
        <v>0</v>
      </c>
      <c r="I451">
        <v>50</v>
      </c>
      <c r="J451">
        <v>0</v>
      </c>
      <c r="K451">
        <v>70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24</v>
      </c>
      <c r="AI451">
        <v>0</v>
      </c>
      <c r="AJ451">
        <v>25</v>
      </c>
      <c r="AK451">
        <v>4</v>
      </c>
      <c r="AL451">
        <v>20</v>
      </c>
      <c r="AM451">
        <v>0</v>
      </c>
      <c r="AN451">
        <v>0</v>
      </c>
      <c r="AO451">
        <v>0</v>
      </c>
      <c r="AP451">
        <v>0</v>
      </c>
      <c r="AQ451">
        <v>6</v>
      </c>
    </row>
    <row r="452" spans="1:43" x14ac:dyDescent="0.3">
      <c r="A452" t="s">
        <v>183</v>
      </c>
      <c r="B452" t="s">
        <v>190</v>
      </c>
      <c r="C452" s="4" t="s">
        <v>44</v>
      </c>
      <c r="D452">
        <v>68</v>
      </c>
      <c r="E452">
        <v>2</v>
      </c>
      <c r="F452">
        <v>2</v>
      </c>
      <c r="G452">
        <v>0</v>
      </c>
      <c r="H452" s="1">
        <v>0</v>
      </c>
      <c r="I452">
        <v>7</v>
      </c>
      <c r="J452">
        <v>0</v>
      </c>
      <c r="K452">
        <v>48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3</v>
      </c>
      <c r="AK452">
        <v>5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spans="1:43" x14ac:dyDescent="0.3">
      <c r="A453" t="s">
        <v>183</v>
      </c>
      <c r="B453" t="s">
        <v>191</v>
      </c>
      <c r="C453" s="4" t="s">
        <v>40</v>
      </c>
      <c r="D453">
        <v>231</v>
      </c>
      <c r="E453">
        <v>35</v>
      </c>
      <c r="F453">
        <v>0</v>
      </c>
      <c r="G453">
        <v>10</v>
      </c>
      <c r="H453" s="1">
        <v>0</v>
      </c>
      <c r="I453">
        <v>182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4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spans="1:43" x14ac:dyDescent="0.3">
      <c r="A454" t="s">
        <v>183</v>
      </c>
      <c r="B454" t="s">
        <v>191</v>
      </c>
      <c r="C454" s="4" t="s">
        <v>43</v>
      </c>
      <c r="D454">
        <v>123</v>
      </c>
      <c r="E454">
        <v>18</v>
      </c>
      <c r="F454">
        <v>0</v>
      </c>
      <c r="G454">
        <v>4</v>
      </c>
      <c r="H454" s="1">
        <v>0</v>
      </c>
      <c r="I454">
        <v>97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4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spans="1:43" x14ac:dyDescent="0.3">
      <c r="A455" t="s">
        <v>183</v>
      </c>
      <c r="B455" t="s">
        <v>191</v>
      </c>
      <c r="C455" s="4" t="s">
        <v>44</v>
      </c>
      <c r="D455">
        <v>108</v>
      </c>
      <c r="E455">
        <v>17</v>
      </c>
      <c r="F455">
        <v>0</v>
      </c>
      <c r="G455">
        <v>6</v>
      </c>
      <c r="H455" s="1">
        <v>0</v>
      </c>
      <c r="I455">
        <v>85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 x14ac:dyDescent="0.3">
      <c r="A456" t="s">
        <v>183</v>
      </c>
      <c r="B456" t="s">
        <v>192</v>
      </c>
      <c r="C456" s="4" t="s">
        <v>40</v>
      </c>
      <c r="D456">
        <v>187</v>
      </c>
      <c r="E456">
        <v>31</v>
      </c>
      <c r="F456">
        <v>17</v>
      </c>
      <c r="G456">
        <v>0</v>
      </c>
      <c r="H456" s="1">
        <v>0</v>
      </c>
      <c r="I456">
        <v>121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5</v>
      </c>
      <c r="AJ456">
        <v>3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7</v>
      </c>
    </row>
    <row r="457" spans="1:43" x14ac:dyDescent="0.3">
      <c r="A457" t="s">
        <v>183</v>
      </c>
      <c r="B457" t="s">
        <v>192</v>
      </c>
      <c r="C457" s="4" t="s">
        <v>43</v>
      </c>
      <c r="D457">
        <v>111</v>
      </c>
      <c r="E457">
        <v>15</v>
      </c>
      <c r="F457">
        <v>14</v>
      </c>
      <c r="G457">
        <v>0</v>
      </c>
      <c r="H457" s="1">
        <v>0</v>
      </c>
      <c r="I457">
        <v>73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7</v>
      </c>
    </row>
    <row r="458" spans="1:43" x14ac:dyDescent="0.3">
      <c r="A458" t="s">
        <v>183</v>
      </c>
      <c r="B458" t="s">
        <v>192</v>
      </c>
      <c r="C458" s="4" t="s">
        <v>44</v>
      </c>
      <c r="D458">
        <v>76</v>
      </c>
      <c r="E458">
        <v>16</v>
      </c>
      <c r="F458">
        <v>3</v>
      </c>
      <c r="G458">
        <v>0</v>
      </c>
      <c r="H458" s="1">
        <v>0</v>
      </c>
      <c r="I458">
        <v>48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5</v>
      </c>
      <c r="AJ458">
        <v>3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</row>
    <row r="459" spans="1:43" x14ac:dyDescent="0.3">
      <c r="A459" t="s">
        <v>183</v>
      </c>
      <c r="B459" t="s">
        <v>193</v>
      </c>
      <c r="C459" s="4" t="s">
        <v>40</v>
      </c>
      <c r="D459">
        <v>165</v>
      </c>
      <c r="E459">
        <v>8</v>
      </c>
      <c r="F459">
        <v>8</v>
      </c>
      <c r="G459">
        <v>6</v>
      </c>
      <c r="H459" s="1">
        <v>0</v>
      </c>
      <c r="I459">
        <v>138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3</v>
      </c>
    </row>
    <row r="460" spans="1:43" x14ac:dyDescent="0.3">
      <c r="A460" t="s">
        <v>183</v>
      </c>
      <c r="B460" t="s">
        <v>193</v>
      </c>
      <c r="C460" s="4" t="s">
        <v>43</v>
      </c>
      <c r="D460">
        <v>53</v>
      </c>
      <c r="E460">
        <v>4</v>
      </c>
      <c r="F460">
        <v>8</v>
      </c>
      <c r="G460">
        <v>1</v>
      </c>
      <c r="H460" s="1">
        <v>0</v>
      </c>
      <c r="I460">
        <v>36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3</v>
      </c>
    </row>
    <row r="461" spans="1:43" x14ac:dyDescent="0.3">
      <c r="A461" t="s">
        <v>183</v>
      </c>
      <c r="B461" t="s">
        <v>193</v>
      </c>
      <c r="C461" s="4" t="s">
        <v>44</v>
      </c>
      <c r="D461">
        <v>112</v>
      </c>
      <c r="E461">
        <v>4</v>
      </c>
      <c r="F461">
        <v>0</v>
      </c>
      <c r="G461">
        <v>5</v>
      </c>
      <c r="H461" s="1">
        <v>0</v>
      </c>
      <c r="I461">
        <v>102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spans="1:43" x14ac:dyDescent="0.3">
      <c r="A462" t="s">
        <v>183</v>
      </c>
      <c r="B462" t="s">
        <v>194</v>
      </c>
      <c r="C462" s="4" t="s">
        <v>40</v>
      </c>
      <c r="D462">
        <v>136</v>
      </c>
      <c r="E462">
        <v>5</v>
      </c>
      <c r="F462">
        <v>5</v>
      </c>
      <c r="G462">
        <v>0</v>
      </c>
      <c r="H462" s="1">
        <v>0</v>
      </c>
      <c r="I462">
        <v>105</v>
      </c>
      <c r="J462">
        <v>0</v>
      </c>
      <c r="K462">
        <v>2</v>
      </c>
      <c r="L462">
        <v>0</v>
      </c>
      <c r="M462">
        <v>0</v>
      </c>
      <c r="N462">
        <v>3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12</v>
      </c>
    </row>
    <row r="463" spans="1:43" x14ac:dyDescent="0.3">
      <c r="A463" t="s">
        <v>183</v>
      </c>
      <c r="B463" t="s">
        <v>194</v>
      </c>
      <c r="C463" s="4" t="s">
        <v>43</v>
      </c>
      <c r="D463">
        <v>77</v>
      </c>
      <c r="E463">
        <v>5</v>
      </c>
      <c r="F463">
        <v>4</v>
      </c>
      <c r="G463">
        <v>0</v>
      </c>
      <c r="H463" s="1">
        <v>0</v>
      </c>
      <c r="I463">
        <v>50</v>
      </c>
      <c r="J463">
        <v>0</v>
      </c>
      <c r="K463">
        <v>1</v>
      </c>
      <c r="L463">
        <v>0</v>
      </c>
      <c r="M463">
        <v>0</v>
      </c>
      <c r="N463">
        <v>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12</v>
      </c>
    </row>
    <row r="464" spans="1:43" x14ac:dyDescent="0.3">
      <c r="A464" t="s">
        <v>183</v>
      </c>
      <c r="B464" t="s">
        <v>194</v>
      </c>
      <c r="C464" s="4" t="s">
        <v>44</v>
      </c>
      <c r="D464">
        <v>59</v>
      </c>
      <c r="E464">
        <v>0</v>
      </c>
      <c r="F464">
        <v>1</v>
      </c>
      <c r="G464">
        <v>0</v>
      </c>
      <c r="H464" s="1">
        <v>0</v>
      </c>
      <c r="I464">
        <v>55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</row>
    <row r="465" spans="1:43" x14ac:dyDescent="0.3">
      <c r="A465" t="s">
        <v>183</v>
      </c>
      <c r="B465" t="s">
        <v>195</v>
      </c>
      <c r="C465" s="4" t="s">
        <v>40</v>
      </c>
      <c r="D465">
        <v>123</v>
      </c>
      <c r="E465">
        <v>17</v>
      </c>
      <c r="F465">
        <v>19</v>
      </c>
      <c r="G465">
        <v>0</v>
      </c>
      <c r="H465" s="1">
        <v>0</v>
      </c>
      <c r="I465">
        <v>34</v>
      </c>
      <c r="J465">
        <v>0</v>
      </c>
      <c r="K465">
        <v>2</v>
      </c>
      <c r="L465">
        <v>0</v>
      </c>
      <c r="M465">
        <v>0</v>
      </c>
      <c r="N465">
        <v>2</v>
      </c>
      <c r="O465">
        <v>0</v>
      </c>
      <c r="P465">
        <v>3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45</v>
      </c>
    </row>
    <row r="466" spans="1:43" x14ac:dyDescent="0.3">
      <c r="A466" t="s">
        <v>183</v>
      </c>
      <c r="B466" t="s">
        <v>195</v>
      </c>
      <c r="C466" s="4" t="s">
        <v>43</v>
      </c>
      <c r="D466">
        <v>90</v>
      </c>
      <c r="E466">
        <v>13</v>
      </c>
      <c r="F466">
        <v>8</v>
      </c>
      <c r="G466">
        <v>0</v>
      </c>
      <c r="H466" s="1">
        <v>0</v>
      </c>
      <c r="I466">
        <v>21</v>
      </c>
      <c r="J466">
        <v>0</v>
      </c>
      <c r="K466">
        <v>2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45</v>
      </c>
    </row>
    <row r="467" spans="1:43" x14ac:dyDescent="0.3">
      <c r="A467" t="s">
        <v>183</v>
      </c>
      <c r="B467" t="s">
        <v>195</v>
      </c>
      <c r="C467" s="4" t="s">
        <v>44</v>
      </c>
      <c r="D467">
        <v>33</v>
      </c>
      <c r="E467">
        <v>4</v>
      </c>
      <c r="F467">
        <v>11</v>
      </c>
      <c r="G467">
        <v>0</v>
      </c>
      <c r="H467" s="1">
        <v>0</v>
      </c>
      <c r="I467">
        <v>13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0</v>
      </c>
      <c r="P467">
        <v>2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 x14ac:dyDescent="0.3">
      <c r="A468" t="s">
        <v>183</v>
      </c>
      <c r="B468" t="s">
        <v>196</v>
      </c>
      <c r="C468" s="4" t="s">
        <v>40</v>
      </c>
      <c r="D468">
        <v>77</v>
      </c>
      <c r="E468">
        <v>7</v>
      </c>
      <c r="F468">
        <v>0</v>
      </c>
      <c r="G468">
        <v>0</v>
      </c>
      <c r="H468" s="1">
        <v>0</v>
      </c>
      <c r="I468">
        <v>70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</row>
    <row r="469" spans="1:43" x14ac:dyDescent="0.3">
      <c r="A469" t="s">
        <v>183</v>
      </c>
      <c r="B469" t="s">
        <v>196</v>
      </c>
      <c r="C469" s="4" t="s">
        <v>43</v>
      </c>
      <c r="D469">
        <v>66</v>
      </c>
      <c r="E469">
        <v>6</v>
      </c>
      <c r="F469">
        <v>0</v>
      </c>
      <c r="G469">
        <v>0</v>
      </c>
      <c r="H469" s="1">
        <v>0</v>
      </c>
      <c r="I469">
        <v>60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</row>
    <row r="470" spans="1:43" x14ac:dyDescent="0.3">
      <c r="A470" t="s">
        <v>183</v>
      </c>
      <c r="B470" t="s">
        <v>196</v>
      </c>
      <c r="C470" s="4" t="s">
        <v>44</v>
      </c>
      <c r="D470">
        <v>11</v>
      </c>
      <c r="E470">
        <v>1</v>
      </c>
      <c r="F470">
        <v>0</v>
      </c>
      <c r="G470">
        <v>0</v>
      </c>
      <c r="H470" s="1">
        <v>0</v>
      </c>
      <c r="I470">
        <v>10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</row>
    <row r="471" spans="1:43" x14ac:dyDescent="0.3">
      <c r="A471" t="s">
        <v>183</v>
      </c>
      <c r="B471" t="s">
        <v>197</v>
      </c>
      <c r="C471" s="4" t="s">
        <v>40</v>
      </c>
      <c r="D471">
        <v>46</v>
      </c>
      <c r="E471">
        <v>0</v>
      </c>
      <c r="F471">
        <v>1</v>
      </c>
      <c r="G471">
        <v>0</v>
      </c>
      <c r="H471" s="1">
        <v>0</v>
      </c>
      <c r="I471">
        <v>30</v>
      </c>
      <c r="J471">
        <v>0</v>
      </c>
      <c r="K471">
        <v>3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12</v>
      </c>
    </row>
    <row r="472" spans="1:43" x14ac:dyDescent="0.3">
      <c r="A472" t="s">
        <v>183</v>
      </c>
      <c r="B472" t="s">
        <v>197</v>
      </c>
      <c r="C472" s="4" t="s">
        <v>43</v>
      </c>
      <c r="D472">
        <v>33</v>
      </c>
      <c r="E472">
        <v>0</v>
      </c>
      <c r="F472">
        <v>1</v>
      </c>
      <c r="G472">
        <v>0</v>
      </c>
      <c r="H472" s="1">
        <v>0</v>
      </c>
      <c r="I472">
        <v>17</v>
      </c>
      <c r="J472">
        <v>0</v>
      </c>
      <c r="K472">
        <v>3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12</v>
      </c>
    </row>
    <row r="473" spans="1:43" x14ac:dyDescent="0.3">
      <c r="A473" t="s">
        <v>183</v>
      </c>
      <c r="B473" t="s">
        <v>197</v>
      </c>
      <c r="C473" s="4" t="s">
        <v>44</v>
      </c>
      <c r="D473">
        <v>13</v>
      </c>
      <c r="E473">
        <v>0</v>
      </c>
      <c r="F473">
        <v>0</v>
      </c>
      <c r="G473">
        <v>0</v>
      </c>
      <c r="H473" s="1">
        <v>0</v>
      </c>
      <c r="I473">
        <v>13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spans="1:43" x14ac:dyDescent="0.3">
      <c r="A474" t="s">
        <v>183</v>
      </c>
      <c r="B474" t="s">
        <v>198</v>
      </c>
      <c r="C474" s="4" t="s">
        <v>40</v>
      </c>
      <c r="D474">
        <v>4</v>
      </c>
      <c r="E474">
        <v>0</v>
      </c>
      <c r="F474">
        <v>0</v>
      </c>
      <c r="G474">
        <v>0</v>
      </c>
      <c r="H474" s="1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4</v>
      </c>
    </row>
    <row r="475" spans="1:43" x14ac:dyDescent="0.3">
      <c r="A475" t="s">
        <v>183</v>
      </c>
      <c r="B475" t="s">
        <v>198</v>
      </c>
      <c r="C475" s="4" t="s">
        <v>43</v>
      </c>
      <c r="D475">
        <v>4</v>
      </c>
      <c r="E475">
        <v>0</v>
      </c>
      <c r="F475">
        <v>0</v>
      </c>
      <c r="G475">
        <v>0</v>
      </c>
      <c r="H475" s="1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4</v>
      </c>
    </row>
    <row r="476" spans="1:43" x14ac:dyDescent="0.3">
      <c r="A476" t="s">
        <v>199</v>
      </c>
      <c r="B476" s="3" t="s">
        <v>40</v>
      </c>
      <c r="C476" s="4" t="s">
        <v>40</v>
      </c>
      <c r="D476" s="1">
        <v>80363</v>
      </c>
      <c r="E476">
        <v>926</v>
      </c>
      <c r="F476">
        <v>980</v>
      </c>
      <c r="G476">
        <v>83</v>
      </c>
      <c r="H476" s="1">
        <v>5131</v>
      </c>
      <c r="I476" s="1">
        <v>10168</v>
      </c>
      <c r="J476">
        <v>6</v>
      </c>
      <c r="K476" s="1">
        <v>17971</v>
      </c>
      <c r="L476">
        <v>392</v>
      </c>
      <c r="M476">
        <v>1</v>
      </c>
      <c r="N476" s="1">
        <v>2492</v>
      </c>
      <c r="O476">
        <v>3</v>
      </c>
      <c r="P476">
        <v>681</v>
      </c>
      <c r="Q476">
        <v>0</v>
      </c>
      <c r="R476">
        <v>41</v>
      </c>
      <c r="S476">
        <v>9</v>
      </c>
      <c r="T476">
        <v>791</v>
      </c>
      <c r="U476">
        <v>230</v>
      </c>
      <c r="V476">
        <v>255</v>
      </c>
      <c r="W476">
        <v>92</v>
      </c>
      <c r="X476" s="1">
        <v>4343</v>
      </c>
      <c r="Y476">
        <v>161</v>
      </c>
      <c r="Z476">
        <v>40</v>
      </c>
      <c r="AA476">
        <v>2</v>
      </c>
      <c r="AB476">
        <v>102</v>
      </c>
      <c r="AC476">
        <v>506</v>
      </c>
      <c r="AD476">
        <v>0</v>
      </c>
      <c r="AE476">
        <v>0</v>
      </c>
      <c r="AF476">
        <v>0</v>
      </c>
      <c r="AG476">
        <v>171</v>
      </c>
      <c r="AH476">
        <v>711</v>
      </c>
      <c r="AI476">
        <v>473</v>
      </c>
      <c r="AJ476">
        <v>22</v>
      </c>
      <c r="AK476">
        <v>300</v>
      </c>
      <c r="AL476" s="1">
        <v>1517</v>
      </c>
      <c r="AM476" s="1">
        <v>1718</v>
      </c>
      <c r="AN476">
        <v>0</v>
      </c>
      <c r="AO476">
        <v>0</v>
      </c>
      <c r="AP476">
        <v>664</v>
      </c>
      <c r="AQ476" s="1">
        <v>29381</v>
      </c>
    </row>
    <row r="477" spans="1:43" x14ac:dyDescent="0.3">
      <c r="A477" t="s">
        <v>199</v>
      </c>
      <c r="B477" s="3"/>
      <c r="C477" s="4" t="s">
        <v>259</v>
      </c>
      <c r="D477" s="1">
        <f>D480+D483+D486+D489+D492+D495+D498+D501+D504+D507+D510+D513+D516+D519+D522+D525+D528+D531+D534+D537+D540+D543+D546+D549+D552+D555+D558+D561+D564+D567+D570+D573+D576+D579+D582+D585+D588+D591+D594+D597+D600+D603+D606+D609+D612+D615+D618+D621+D624+D627+D630+D633+D636+D639</f>
        <v>58543</v>
      </c>
      <c r="E477" s="1">
        <f t="shared" ref="E477:AQ477" si="16">E480+E483+E486+E489+E492+E495+E498+E501+E504+E507+E510+E513+E516+E519+E522+E525+E528+E531+E534+E537+E540+E543+E546+E549+E552+E555+E558+E561+E564+E567+E570+E573+E576+E579+E582+E585+E588+E591+E594+E597+E600+E603+E606+E609+E612+E615+E618+E621+E624+E627+E630+E633+E636+E639</f>
        <v>554</v>
      </c>
      <c r="F477" s="1">
        <f t="shared" si="16"/>
        <v>664</v>
      </c>
      <c r="G477" s="1">
        <f t="shared" si="16"/>
        <v>32</v>
      </c>
      <c r="H477" s="1">
        <f t="shared" si="16"/>
        <v>2064</v>
      </c>
      <c r="I477" s="1">
        <f t="shared" si="16"/>
        <v>5387</v>
      </c>
      <c r="J477" s="1">
        <f t="shared" si="16"/>
        <v>4</v>
      </c>
      <c r="K477" s="1">
        <f t="shared" si="16"/>
        <v>12465</v>
      </c>
      <c r="L477" s="1">
        <f t="shared" si="16"/>
        <v>301</v>
      </c>
      <c r="M477" s="1">
        <f t="shared" si="16"/>
        <v>1</v>
      </c>
      <c r="N477" s="1">
        <f t="shared" si="16"/>
        <v>1378</v>
      </c>
      <c r="O477" s="1">
        <f t="shared" si="16"/>
        <v>0</v>
      </c>
      <c r="P477" s="1">
        <f t="shared" si="16"/>
        <v>318</v>
      </c>
      <c r="Q477" s="1">
        <f t="shared" si="16"/>
        <v>0</v>
      </c>
      <c r="R477" s="1">
        <f t="shared" si="16"/>
        <v>37</v>
      </c>
      <c r="S477" s="1">
        <f t="shared" si="16"/>
        <v>9</v>
      </c>
      <c r="T477" s="1">
        <f t="shared" si="16"/>
        <v>743</v>
      </c>
      <c r="U477" s="1">
        <f t="shared" si="16"/>
        <v>223</v>
      </c>
      <c r="V477" s="1">
        <f t="shared" si="16"/>
        <v>137</v>
      </c>
      <c r="W477" s="1">
        <f t="shared" si="16"/>
        <v>70</v>
      </c>
      <c r="X477" s="1">
        <f t="shared" si="16"/>
        <v>802</v>
      </c>
      <c r="Y477" s="1">
        <f t="shared" si="16"/>
        <v>107</v>
      </c>
      <c r="Z477" s="1">
        <f t="shared" si="16"/>
        <v>40</v>
      </c>
      <c r="AA477" s="1">
        <f t="shared" si="16"/>
        <v>2</v>
      </c>
      <c r="AB477" s="1">
        <f t="shared" si="16"/>
        <v>76</v>
      </c>
      <c r="AC477" s="1">
        <f t="shared" si="16"/>
        <v>296</v>
      </c>
      <c r="AD477" s="1">
        <f t="shared" si="16"/>
        <v>0</v>
      </c>
      <c r="AE477" s="1">
        <f t="shared" si="16"/>
        <v>0</v>
      </c>
      <c r="AF477" s="1">
        <f t="shared" si="16"/>
        <v>0</v>
      </c>
      <c r="AG477" s="1">
        <f t="shared" si="16"/>
        <v>43</v>
      </c>
      <c r="AH477" s="1">
        <f t="shared" si="16"/>
        <v>456</v>
      </c>
      <c r="AI477" s="1">
        <f t="shared" si="16"/>
        <v>190</v>
      </c>
      <c r="AJ477" s="1">
        <f t="shared" si="16"/>
        <v>14</v>
      </c>
      <c r="AK477" s="1">
        <f t="shared" si="16"/>
        <v>235</v>
      </c>
      <c r="AL477" s="1">
        <f t="shared" si="16"/>
        <v>781</v>
      </c>
      <c r="AM477" s="1">
        <f t="shared" si="16"/>
        <v>1413</v>
      </c>
      <c r="AN477" s="1">
        <f t="shared" si="16"/>
        <v>0</v>
      </c>
      <c r="AO477" s="1">
        <f t="shared" si="16"/>
        <v>0</v>
      </c>
      <c r="AP477" s="1">
        <f t="shared" si="16"/>
        <v>320</v>
      </c>
      <c r="AQ477" s="1">
        <f t="shared" si="16"/>
        <v>29381</v>
      </c>
    </row>
    <row r="478" spans="1:43" x14ac:dyDescent="0.3">
      <c r="A478" t="s">
        <v>199</v>
      </c>
      <c r="B478" s="3"/>
      <c r="C478" s="4" t="s">
        <v>260</v>
      </c>
      <c r="D478" s="1">
        <f>D481+D484+D487+D490+D493+D496+D499+D502+D505+D508+D511+D514+D517+D520+D523+D526+D529+D532+D535+D538+D541+D544+D547+D550+D553+D556+D559+D562+D565+D568+D571+D574+D577+D580+D583+D586+D589+D592+D595+D598+D601+D604+D607+D610+D613+D616+D619+D622+D625+D628+D631+D634+D637+D640</f>
        <v>21820</v>
      </c>
      <c r="E478" s="1">
        <f t="shared" ref="E478:AQ478" si="17">E481+E484+E487+E490+E493+E496+E499+E502+E505+E508+E511+E514+E517+E520+E523+E526+E529+E532+E535+E538+E541+E544+E547+E550+E553+E556+E559+E562+E565+E568+E571+E574+E577+E580+E583+E586+E589+E592+E595+E598+E601+E604+E607+E610+E613+E616+E619+E622+E625+E628+E631+E634+E637+E640</f>
        <v>372</v>
      </c>
      <c r="F478" s="1">
        <f t="shared" si="17"/>
        <v>316</v>
      </c>
      <c r="G478" s="1">
        <f t="shared" si="17"/>
        <v>51</v>
      </c>
      <c r="H478" s="1">
        <f t="shared" si="17"/>
        <v>3067</v>
      </c>
      <c r="I478" s="1">
        <f t="shared" si="17"/>
        <v>4781</v>
      </c>
      <c r="J478" s="1">
        <f t="shared" si="17"/>
        <v>2</v>
      </c>
      <c r="K478" s="1">
        <f t="shared" si="17"/>
        <v>5506</v>
      </c>
      <c r="L478" s="1">
        <f t="shared" si="17"/>
        <v>91</v>
      </c>
      <c r="M478" s="1">
        <f t="shared" si="17"/>
        <v>0</v>
      </c>
      <c r="N478" s="1">
        <f t="shared" si="17"/>
        <v>1114</v>
      </c>
      <c r="O478" s="1">
        <f t="shared" si="17"/>
        <v>3</v>
      </c>
      <c r="P478" s="1">
        <f t="shared" si="17"/>
        <v>363</v>
      </c>
      <c r="Q478" s="1">
        <f t="shared" si="17"/>
        <v>0</v>
      </c>
      <c r="R478" s="1">
        <f t="shared" si="17"/>
        <v>4</v>
      </c>
      <c r="S478" s="1">
        <f t="shared" si="17"/>
        <v>0</v>
      </c>
      <c r="T478" s="1">
        <f t="shared" si="17"/>
        <v>48</v>
      </c>
      <c r="U478" s="1">
        <f t="shared" si="17"/>
        <v>7</v>
      </c>
      <c r="V478" s="1">
        <f t="shared" si="17"/>
        <v>118</v>
      </c>
      <c r="W478" s="1">
        <f t="shared" si="17"/>
        <v>22</v>
      </c>
      <c r="X478" s="1">
        <f t="shared" si="17"/>
        <v>3541</v>
      </c>
      <c r="Y478" s="1">
        <f t="shared" si="17"/>
        <v>54</v>
      </c>
      <c r="Z478" s="1">
        <f t="shared" si="17"/>
        <v>0</v>
      </c>
      <c r="AA478" s="1">
        <f t="shared" si="17"/>
        <v>0</v>
      </c>
      <c r="AB478" s="1">
        <f t="shared" si="17"/>
        <v>26</v>
      </c>
      <c r="AC478" s="1">
        <f t="shared" si="17"/>
        <v>210</v>
      </c>
      <c r="AD478" s="1">
        <f t="shared" si="17"/>
        <v>0</v>
      </c>
      <c r="AE478" s="1">
        <f t="shared" si="17"/>
        <v>0</v>
      </c>
      <c r="AF478" s="1">
        <f t="shared" si="17"/>
        <v>0</v>
      </c>
      <c r="AG478" s="1">
        <f t="shared" si="17"/>
        <v>128</v>
      </c>
      <c r="AH478" s="1">
        <f t="shared" si="17"/>
        <v>255</v>
      </c>
      <c r="AI478" s="1">
        <f t="shared" si="17"/>
        <v>283</v>
      </c>
      <c r="AJ478" s="1">
        <f t="shared" si="17"/>
        <v>8</v>
      </c>
      <c r="AK478" s="1">
        <f t="shared" si="17"/>
        <v>65</v>
      </c>
      <c r="AL478" s="1">
        <f t="shared" si="17"/>
        <v>736</v>
      </c>
      <c r="AM478" s="1">
        <f t="shared" si="17"/>
        <v>305</v>
      </c>
      <c r="AN478" s="1">
        <f t="shared" si="17"/>
        <v>0</v>
      </c>
      <c r="AO478" s="1">
        <f t="shared" si="17"/>
        <v>0</v>
      </c>
      <c r="AP478" s="1">
        <f t="shared" si="17"/>
        <v>344</v>
      </c>
      <c r="AQ478" s="1">
        <f t="shared" si="17"/>
        <v>0</v>
      </c>
    </row>
    <row r="479" spans="1:43" x14ac:dyDescent="0.3">
      <c r="A479" t="s">
        <v>199</v>
      </c>
      <c r="B479" t="s">
        <v>200</v>
      </c>
      <c r="C479" s="4" t="s">
        <v>40</v>
      </c>
      <c r="D479" s="1">
        <v>19882</v>
      </c>
      <c r="E479">
        <v>93</v>
      </c>
      <c r="F479">
        <v>9</v>
      </c>
      <c r="G479">
        <v>14</v>
      </c>
      <c r="H479" s="1">
        <v>0</v>
      </c>
      <c r="I479" s="1">
        <v>7749</v>
      </c>
      <c r="J479">
        <v>0</v>
      </c>
      <c r="K479">
        <v>46</v>
      </c>
      <c r="L479">
        <v>109</v>
      </c>
      <c r="M479">
        <v>0</v>
      </c>
      <c r="N479">
        <v>38</v>
      </c>
      <c r="O479">
        <v>0</v>
      </c>
      <c r="P479">
        <v>12</v>
      </c>
      <c r="Q479">
        <v>0</v>
      </c>
      <c r="R479">
        <v>1</v>
      </c>
      <c r="S479">
        <v>3</v>
      </c>
      <c r="T479">
        <v>46</v>
      </c>
      <c r="U479">
        <v>8</v>
      </c>
      <c r="V479">
        <v>47</v>
      </c>
      <c r="W479">
        <v>46</v>
      </c>
      <c r="X479" s="1">
        <v>4340</v>
      </c>
      <c r="Y479">
        <v>5</v>
      </c>
      <c r="Z479">
        <v>40</v>
      </c>
      <c r="AA479">
        <v>0</v>
      </c>
      <c r="AB479">
        <v>24</v>
      </c>
      <c r="AC479">
        <v>170</v>
      </c>
      <c r="AD479">
        <v>0</v>
      </c>
      <c r="AE479">
        <v>0</v>
      </c>
      <c r="AF479">
        <v>0</v>
      </c>
      <c r="AG479">
        <v>5</v>
      </c>
      <c r="AH479">
        <v>162</v>
      </c>
      <c r="AI479">
        <v>58</v>
      </c>
      <c r="AJ479">
        <v>11</v>
      </c>
      <c r="AK479">
        <v>19</v>
      </c>
      <c r="AL479">
        <v>261</v>
      </c>
      <c r="AM479">
        <v>66</v>
      </c>
      <c r="AN479">
        <v>0</v>
      </c>
      <c r="AO479">
        <v>0</v>
      </c>
      <c r="AP479">
        <v>372</v>
      </c>
      <c r="AQ479" s="1">
        <v>6128</v>
      </c>
    </row>
    <row r="480" spans="1:43" x14ac:dyDescent="0.3">
      <c r="A480" t="s">
        <v>199</v>
      </c>
      <c r="B480" t="s">
        <v>200</v>
      </c>
      <c r="C480" s="4" t="s">
        <v>43</v>
      </c>
      <c r="D480" s="1">
        <v>11616</v>
      </c>
      <c r="E480">
        <v>38</v>
      </c>
      <c r="F480">
        <v>4</v>
      </c>
      <c r="G480">
        <v>2</v>
      </c>
      <c r="H480" s="1">
        <v>0</v>
      </c>
      <c r="I480" s="1">
        <v>3718</v>
      </c>
      <c r="J480">
        <v>0</v>
      </c>
      <c r="K480">
        <v>22</v>
      </c>
      <c r="L480">
        <v>74</v>
      </c>
      <c r="M480">
        <v>0</v>
      </c>
      <c r="N480">
        <v>14</v>
      </c>
      <c r="O480">
        <v>0</v>
      </c>
      <c r="P480">
        <v>5</v>
      </c>
      <c r="Q480">
        <v>0</v>
      </c>
      <c r="R480">
        <v>1</v>
      </c>
      <c r="S480">
        <v>3</v>
      </c>
      <c r="T480">
        <v>46</v>
      </c>
      <c r="U480">
        <v>8</v>
      </c>
      <c r="V480">
        <v>12</v>
      </c>
      <c r="W480">
        <v>34</v>
      </c>
      <c r="X480">
        <v>801</v>
      </c>
      <c r="Y480">
        <v>5</v>
      </c>
      <c r="Z480">
        <v>40</v>
      </c>
      <c r="AA480">
        <v>0</v>
      </c>
      <c r="AB480">
        <v>23</v>
      </c>
      <c r="AC480">
        <v>83</v>
      </c>
      <c r="AD480">
        <v>0</v>
      </c>
      <c r="AE480">
        <v>0</v>
      </c>
      <c r="AF480">
        <v>0</v>
      </c>
      <c r="AG480">
        <v>1</v>
      </c>
      <c r="AH480">
        <v>110</v>
      </c>
      <c r="AI480">
        <v>27</v>
      </c>
      <c r="AJ480">
        <v>7</v>
      </c>
      <c r="AK480">
        <v>19</v>
      </c>
      <c r="AL480">
        <v>168</v>
      </c>
      <c r="AM480">
        <v>58</v>
      </c>
      <c r="AN480">
        <v>0</v>
      </c>
      <c r="AO480">
        <v>0</v>
      </c>
      <c r="AP480">
        <v>165</v>
      </c>
      <c r="AQ480" s="1">
        <v>6128</v>
      </c>
    </row>
    <row r="481" spans="1:43" x14ac:dyDescent="0.3">
      <c r="A481" t="s">
        <v>199</v>
      </c>
      <c r="B481" t="s">
        <v>200</v>
      </c>
      <c r="C481" s="4" t="s">
        <v>44</v>
      </c>
      <c r="D481" s="1">
        <v>8266</v>
      </c>
      <c r="E481">
        <v>55</v>
      </c>
      <c r="F481">
        <v>5</v>
      </c>
      <c r="G481">
        <v>12</v>
      </c>
      <c r="H481" s="1">
        <v>0</v>
      </c>
      <c r="I481" s="1">
        <v>4031</v>
      </c>
      <c r="J481">
        <v>0</v>
      </c>
      <c r="K481">
        <v>24</v>
      </c>
      <c r="L481">
        <v>35</v>
      </c>
      <c r="M481">
        <v>0</v>
      </c>
      <c r="N481">
        <v>24</v>
      </c>
      <c r="O481">
        <v>0</v>
      </c>
      <c r="P481">
        <v>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35</v>
      </c>
      <c r="W481">
        <v>12</v>
      </c>
      <c r="X481" s="1">
        <v>3539</v>
      </c>
      <c r="Y481">
        <v>0</v>
      </c>
      <c r="Z481">
        <v>0</v>
      </c>
      <c r="AA481">
        <v>0</v>
      </c>
      <c r="AB481">
        <v>1</v>
      </c>
      <c r="AC481">
        <v>87</v>
      </c>
      <c r="AD481">
        <v>0</v>
      </c>
      <c r="AE481">
        <v>0</v>
      </c>
      <c r="AF481">
        <v>0</v>
      </c>
      <c r="AG481">
        <v>4</v>
      </c>
      <c r="AH481">
        <v>52</v>
      </c>
      <c r="AI481">
        <v>31</v>
      </c>
      <c r="AJ481">
        <v>4</v>
      </c>
      <c r="AK481">
        <v>0</v>
      </c>
      <c r="AL481">
        <v>93</v>
      </c>
      <c r="AM481">
        <v>8</v>
      </c>
      <c r="AN481">
        <v>0</v>
      </c>
      <c r="AO481">
        <v>0</v>
      </c>
      <c r="AP481">
        <v>207</v>
      </c>
      <c r="AQ481" s="1">
        <v>0</v>
      </c>
    </row>
    <row r="482" spans="1:43" x14ac:dyDescent="0.3">
      <c r="A482" t="s">
        <v>199</v>
      </c>
      <c r="B482" t="s">
        <v>201</v>
      </c>
      <c r="C482" s="4" t="s">
        <v>40</v>
      </c>
      <c r="D482" s="1">
        <v>9965</v>
      </c>
      <c r="E482">
        <v>24</v>
      </c>
      <c r="F482">
        <v>90</v>
      </c>
      <c r="G482">
        <v>2</v>
      </c>
      <c r="H482" s="1">
        <v>0</v>
      </c>
      <c r="I482">
        <v>210</v>
      </c>
      <c r="J482">
        <v>0</v>
      </c>
      <c r="K482">
        <v>841</v>
      </c>
      <c r="L482">
        <v>28</v>
      </c>
      <c r="M482">
        <v>0</v>
      </c>
      <c r="N482">
        <v>160</v>
      </c>
      <c r="O482">
        <v>3</v>
      </c>
      <c r="P482">
        <v>39</v>
      </c>
      <c r="Q482">
        <v>0</v>
      </c>
      <c r="R482">
        <v>0</v>
      </c>
      <c r="S482">
        <v>6</v>
      </c>
      <c r="T482">
        <v>7</v>
      </c>
      <c r="U482">
        <v>1</v>
      </c>
      <c r="V482">
        <v>21</v>
      </c>
      <c r="W482">
        <v>8</v>
      </c>
      <c r="X482" s="1">
        <v>0</v>
      </c>
      <c r="Y482">
        <v>34</v>
      </c>
      <c r="Z482">
        <v>0</v>
      </c>
      <c r="AA482">
        <v>0</v>
      </c>
      <c r="AB482">
        <v>2</v>
      </c>
      <c r="AC482">
        <v>9</v>
      </c>
      <c r="AD482">
        <v>0</v>
      </c>
      <c r="AE482">
        <v>0</v>
      </c>
      <c r="AF482">
        <v>0</v>
      </c>
      <c r="AG482">
        <v>8</v>
      </c>
      <c r="AH482">
        <v>98</v>
      </c>
      <c r="AI482">
        <v>10</v>
      </c>
      <c r="AJ482">
        <v>0</v>
      </c>
      <c r="AK482">
        <v>27</v>
      </c>
      <c r="AL482">
        <v>24</v>
      </c>
      <c r="AM482">
        <v>38</v>
      </c>
      <c r="AN482">
        <v>0</v>
      </c>
      <c r="AO482">
        <v>0</v>
      </c>
      <c r="AP482">
        <v>0</v>
      </c>
      <c r="AQ482" s="1">
        <v>8275</v>
      </c>
    </row>
    <row r="483" spans="1:43" x14ac:dyDescent="0.3">
      <c r="A483" t="s">
        <v>199</v>
      </c>
      <c r="B483" t="s">
        <v>201</v>
      </c>
      <c r="C483" s="4" t="s">
        <v>43</v>
      </c>
      <c r="D483" s="1">
        <v>9481</v>
      </c>
      <c r="E483">
        <v>19</v>
      </c>
      <c r="F483">
        <v>63</v>
      </c>
      <c r="G483">
        <v>0</v>
      </c>
      <c r="H483" s="1">
        <v>0</v>
      </c>
      <c r="I483">
        <v>202</v>
      </c>
      <c r="J483">
        <v>0</v>
      </c>
      <c r="K483">
        <v>581</v>
      </c>
      <c r="L483">
        <v>17</v>
      </c>
      <c r="M483">
        <v>0</v>
      </c>
      <c r="N483">
        <v>108</v>
      </c>
      <c r="O483">
        <v>0</v>
      </c>
      <c r="P483">
        <v>22</v>
      </c>
      <c r="Q483">
        <v>0</v>
      </c>
      <c r="R483">
        <v>0</v>
      </c>
      <c r="S483">
        <v>6</v>
      </c>
      <c r="T483">
        <v>7</v>
      </c>
      <c r="U483">
        <v>1</v>
      </c>
      <c r="V483">
        <v>8</v>
      </c>
      <c r="W483">
        <v>8</v>
      </c>
      <c r="X483" s="1">
        <v>0</v>
      </c>
      <c r="Y483">
        <v>28</v>
      </c>
      <c r="Z483">
        <v>0</v>
      </c>
      <c r="AA483">
        <v>0</v>
      </c>
      <c r="AB483">
        <v>2</v>
      </c>
      <c r="AC483">
        <v>6</v>
      </c>
      <c r="AD483">
        <v>0</v>
      </c>
      <c r="AE483">
        <v>0</v>
      </c>
      <c r="AF483">
        <v>0</v>
      </c>
      <c r="AG483">
        <v>0</v>
      </c>
      <c r="AH483">
        <v>60</v>
      </c>
      <c r="AI483">
        <v>2</v>
      </c>
      <c r="AJ483">
        <v>0</v>
      </c>
      <c r="AK483">
        <v>24</v>
      </c>
      <c r="AL483">
        <v>13</v>
      </c>
      <c r="AM483">
        <v>29</v>
      </c>
      <c r="AN483">
        <v>0</v>
      </c>
      <c r="AO483">
        <v>0</v>
      </c>
      <c r="AP483">
        <v>0</v>
      </c>
      <c r="AQ483" s="1">
        <v>8275</v>
      </c>
    </row>
    <row r="484" spans="1:43" x14ac:dyDescent="0.3">
      <c r="A484" t="s">
        <v>199</v>
      </c>
      <c r="B484" t="s">
        <v>201</v>
      </c>
      <c r="C484" s="4" t="s">
        <v>44</v>
      </c>
      <c r="D484">
        <v>484</v>
      </c>
      <c r="E484">
        <v>5</v>
      </c>
      <c r="F484">
        <v>27</v>
      </c>
      <c r="G484">
        <v>2</v>
      </c>
      <c r="H484" s="1">
        <v>0</v>
      </c>
      <c r="I484">
        <v>8</v>
      </c>
      <c r="J484">
        <v>0</v>
      </c>
      <c r="K484">
        <v>260</v>
      </c>
      <c r="L484">
        <v>11</v>
      </c>
      <c r="M484">
        <v>0</v>
      </c>
      <c r="N484">
        <v>52</v>
      </c>
      <c r="O484">
        <v>3</v>
      </c>
      <c r="P484">
        <v>17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13</v>
      </c>
      <c r="W484">
        <v>0</v>
      </c>
      <c r="X484" s="1">
        <v>0</v>
      </c>
      <c r="Y484">
        <v>6</v>
      </c>
      <c r="Z484">
        <v>0</v>
      </c>
      <c r="AA484">
        <v>0</v>
      </c>
      <c r="AB484">
        <v>0</v>
      </c>
      <c r="AC484">
        <v>3</v>
      </c>
      <c r="AD484">
        <v>0</v>
      </c>
      <c r="AE484">
        <v>0</v>
      </c>
      <c r="AF484">
        <v>0</v>
      </c>
      <c r="AG484">
        <v>8</v>
      </c>
      <c r="AH484">
        <v>38</v>
      </c>
      <c r="AI484">
        <v>8</v>
      </c>
      <c r="AJ484">
        <v>0</v>
      </c>
      <c r="AK484">
        <v>3</v>
      </c>
      <c r="AL484">
        <v>11</v>
      </c>
      <c r="AM484">
        <v>9</v>
      </c>
      <c r="AN484">
        <v>0</v>
      </c>
      <c r="AO484">
        <v>0</v>
      </c>
      <c r="AP484">
        <v>0</v>
      </c>
      <c r="AQ484" s="1">
        <v>0</v>
      </c>
    </row>
    <row r="485" spans="1:43" x14ac:dyDescent="0.3">
      <c r="A485" t="s">
        <v>199</v>
      </c>
      <c r="B485" t="s">
        <v>202</v>
      </c>
      <c r="C485" s="4" t="s">
        <v>40</v>
      </c>
      <c r="D485" s="1">
        <v>7640</v>
      </c>
      <c r="E485">
        <v>78</v>
      </c>
      <c r="F485">
        <v>119</v>
      </c>
      <c r="G485">
        <v>8</v>
      </c>
      <c r="H485" s="1">
        <v>0</v>
      </c>
      <c r="I485">
        <v>298</v>
      </c>
      <c r="J485">
        <v>4</v>
      </c>
      <c r="K485" s="1">
        <v>3924</v>
      </c>
      <c r="L485">
        <v>49</v>
      </c>
      <c r="M485">
        <v>0</v>
      </c>
      <c r="N485">
        <v>216</v>
      </c>
      <c r="O485">
        <v>0</v>
      </c>
      <c r="P485">
        <v>70</v>
      </c>
      <c r="Q485">
        <v>0</v>
      </c>
      <c r="R485">
        <v>3</v>
      </c>
      <c r="S485">
        <v>0</v>
      </c>
      <c r="T485">
        <v>227</v>
      </c>
      <c r="U485">
        <v>56</v>
      </c>
      <c r="V485">
        <v>7</v>
      </c>
      <c r="W485">
        <v>16</v>
      </c>
      <c r="X485">
        <v>2</v>
      </c>
      <c r="Y485">
        <v>39</v>
      </c>
      <c r="Z485">
        <v>0</v>
      </c>
      <c r="AA485">
        <v>0</v>
      </c>
      <c r="AB485">
        <v>13</v>
      </c>
      <c r="AC485">
        <v>42</v>
      </c>
      <c r="AD485">
        <v>0</v>
      </c>
      <c r="AE485">
        <v>0</v>
      </c>
      <c r="AF485">
        <v>0</v>
      </c>
      <c r="AG485">
        <v>28</v>
      </c>
      <c r="AH485">
        <v>124</v>
      </c>
      <c r="AI485">
        <v>195</v>
      </c>
      <c r="AJ485">
        <v>0</v>
      </c>
      <c r="AK485">
        <v>55</v>
      </c>
      <c r="AL485">
        <v>235</v>
      </c>
      <c r="AM485">
        <v>511</v>
      </c>
      <c r="AN485">
        <v>0</v>
      </c>
      <c r="AO485">
        <v>0</v>
      </c>
      <c r="AP485">
        <v>2</v>
      </c>
      <c r="AQ485" s="1">
        <v>1319</v>
      </c>
    </row>
    <row r="486" spans="1:43" x14ac:dyDescent="0.3">
      <c r="A486" t="s">
        <v>199</v>
      </c>
      <c r="B486" t="s">
        <v>202</v>
      </c>
      <c r="C486" s="4" t="s">
        <v>43</v>
      </c>
      <c r="D486" s="1">
        <v>5964</v>
      </c>
      <c r="E486">
        <v>45</v>
      </c>
      <c r="F486">
        <v>106</v>
      </c>
      <c r="G486">
        <v>7</v>
      </c>
      <c r="H486" s="1">
        <v>0</v>
      </c>
      <c r="I486">
        <v>298</v>
      </c>
      <c r="J486">
        <v>2</v>
      </c>
      <c r="K486" s="1">
        <v>2892</v>
      </c>
      <c r="L486">
        <v>43</v>
      </c>
      <c r="M486">
        <v>0</v>
      </c>
      <c r="N486">
        <v>95</v>
      </c>
      <c r="O486">
        <v>0</v>
      </c>
      <c r="P486">
        <v>25</v>
      </c>
      <c r="Q486">
        <v>0</v>
      </c>
      <c r="R486">
        <v>3</v>
      </c>
      <c r="S486">
        <v>0</v>
      </c>
      <c r="T486">
        <v>201</v>
      </c>
      <c r="U486">
        <v>53</v>
      </c>
      <c r="V486">
        <v>3</v>
      </c>
      <c r="W486">
        <v>10</v>
      </c>
      <c r="X486">
        <v>1</v>
      </c>
      <c r="Y486">
        <v>32</v>
      </c>
      <c r="Z486">
        <v>0</v>
      </c>
      <c r="AA486">
        <v>0</v>
      </c>
      <c r="AB486">
        <v>9</v>
      </c>
      <c r="AC486">
        <v>30</v>
      </c>
      <c r="AD486">
        <v>0</v>
      </c>
      <c r="AE486">
        <v>0</v>
      </c>
      <c r="AF486">
        <v>0</v>
      </c>
      <c r="AG486">
        <v>11</v>
      </c>
      <c r="AH486">
        <v>82</v>
      </c>
      <c r="AI486">
        <v>76</v>
      </c>
      <c r="AJ486">
        <v>0</v>
      </c>
      <c r="AK486">
        <v>45</v>
      </c>
      <c r="AL486">
        <v>157</v>
      </c>
      <c r="AM486">
        <v>417</v>
      </c>
      <c r="AN486">
        <v>0</v>
      </c>
      <c r="AO486">
        <v>0</v>
      </c>
      <c r="AP486">
        <v>2</v>
      </c>
      <c r="AQ486" s="1">
        <v>1319</v>
      </c>
    </row>
    <row r="487" spans="1:43" x14ac:dyDescent="0.3">
      <c r="A487" t="s">
        <v>199</v>
      </c>
      <c r="B487" t="s">
        <v>202</v>
      </c>
      <c r="C487" s="4" t="s">
        <v>44</v>
      </c>
      <c r="D487" s="1">
        <v>1676</v>
      </c>
      <c r="E487">
        <v>33</v>
      </c>
      <c r="F487">
        <v>13</v>
      </c>
      <c r="G487">
        <v>1</v>
      </c>
      <c r="H487" s="1">
        <v>0</v>
      </c>
      <c r="I487">
        <v>0</v>
      </c>
      <c r="J487">
        <v>2</v>
      </c>
      <c r="K487" s="1">
        <v>1032</v>
      </c>
      <c r="L487">
        <v>6</v>
      </c>
      <c r="M487">
        <v>0</v>
      </c>
      <c r="N487">
        <v>121</v>
      </c>
      <c r="O487">
        <v>0</v>
      </c>
      <c r="P487">
        <v>45</v>
      </c>
      <c r="Q487">
        <v>0</v>
      </c>
      <c r="R487">
        <v>0</v>
      </c>
      <c r="S487">
        <v>0</v>
      </c>
      <c r="T487">
        <v>26</v>
      </c>
      <c r="U487">
        <v>3</v>
      </c>
      <c r="V487">
        <v>4</v>
      </c>
      <c r="W487">
        <v>6</v>
      </c>
      <c r="X487">
        <v>1</v>
      </c>
      <c r="Y487">
        <v>7</v>
      </c>
      <c r="Z487">
        <v>0</v>
      </c>
      <c r="AA487">
        <v>0</v>
      </c>
      <c r="AB487">
        <v>4</v>
      </c>
      <c r="AC487">
        <v>12</v>
      </c>
      <c r="AD487">
        <v>0</v>
      </c>
      <c r="AE487">
        <v>0</v>
      </c>
      <c r="AF487">
        <v>0</v>
      </c>
      <c r="AG487">
        <v>17</v>
      </c>
      <c r="AH487">
        <v>42</v>
      </c>
      <c r="AI487">
        <v>119</v>
      </c>
      <c r="AJ487">
        <v>0</v>
      </c>
      <c r="AK487">
        <v>10</v>
      </c>
      <c r="AL487">
        <v>78</v>
      </c>
      <c r="AM487">
        <v>94</v>
      </c>
      <c r="AN487">
        <v>0</v>
      </c>
      <c r="AO487">
        <v>0</v>
      </c>
      <c r="AP487">
        <v>0</v>
      </c>
      <c r="AQ487" s="1">
        <v>0</v>
      </c>
    </row>
    <row r="488" spans="1:43" x14ac:dyDescent="0.3">
      <c r="A488" t="s">
        <v>199</v>
      </c>
      <c r="B488" t="s">
        <v>203</v>
      </c>
      <c r="C488" s="4" t="s">
        <v>40</v>
      </c>
      <c r="D488" s="1">
        <v>6384</v>
      </c>
      <c r="E488">
        <v>44</v>
      </c>
      <c r="F488">
        <v>38</v>
      </c>
      <c r="G488">
        <v>13</v>
      </c>
      <c r="H488" s="1">
        <v>3653</v>
      </c>
      <c r="I488">
        <v>10</v>
      </c>
      <c r="J488">
        <v>0</v>
      </c>
      <c r="K488">
        <v>214</v>
      </c>
      <c r="L488">
        <v>18</v>
      </c>
      <c r="M488">
        <v>0</v>
      </c>
      <c r="N488">
        <v>323</v>
      </c>
      <c r="O488">
        <v>0</v>
      </c>
      <c r="P488">
        <v>54</v>
      </c>
      <c r="Q488">
        <v>0</v>
      </c>
      <c r="R488">
        <v>0</v>
      </c>
      <c r="S488">
        <v>0</v>
      </c>
      <c r="T488">
        <v>6</v>
      </c>
      <c r="U488">
        <v>6</v>
      </c>
      <c r="V488">
        <v>9</v>
      </c>
      <c r="W488">
        <v>1</v>
      </c>
      <c r="X488">
        <v>1</v>
      </c>
      <c r="Y488">
        <v>12</v>
      </c>
      <c r="Z488">
        <v>0</v>
      </c>
      <c r="AA488">
        <v>0</v>
      </c>
      <c r="AB488">
        <v>12</v>
      </c>
      <c r="AC488">
        <v>34</v>
      </c>
      <c r="AD488">
        <v>0</v>
      </c>
      <c r="AE488">
        <v>0</v>
      </c>
      <c r="AF488">
        <v>0</v>
      </c>
      <c r="AG488">
        <v>44</v>
      </c>
      <c r="AH488">
        <v>37</v>
      </c>
      <c r="AI488">
        <v>9</v>
      </c>
      <c r="AJ488">
        <v>0</v>
      </c>
      <c r="AK488">
        <v>47</v>
      </c>
      <c r="AL488">
        <v>544</v>
      </c>
      <c r="AM488">
        <v>168</v>
      </c>
      <c r="AN488">
        <v>0</v>
      </c>
      <c r="AO488">
        <v>0</v>
      </c>
      <c r="AP488">
        <v>34</v>
      </c>
      <c r="AQ488" s="1">
        <v>1053</v>
      </c>
    </row>
    <row r="489" spans="1:43" x14ac:dyDescent="0.3">
      <c r="A489" t="s">
        <v>199</v>
      </c>
      <c r="B489" t="s">
        <v>203</v>
      </c>
      <c r="C489" s="4" t="s">
        <v>43</v>
      </c>
      <c r="D489" s="1">
        <v>3039</v>
      </c>
      <c r="E489">
        <v>23</v>
      </c>
      <c r="F489">
        <v>17</v>
      </c>
      <c r="G489">
        <v>2</v>
      </c>
      <c r="H489" s="1">
        <v>1412</v>
      </c>
      <c r="I489">
        <v>7</v>
      </c>
      <c r="J489">
        <v>0</v>
      </c>
      <c r="K489">
        <v>97</v>
      </c>
      <c r="L489">
        <v>15</v>
      </c>
      <c r="M489">
        <v>0</v>
      </c>
      <c r="N489">
        <v>84</v>
      </c>
      <c r="O489">
        <v>0</v>
      </c>
      <c r="P489">
        <v>6</v>
      </c>
      <c r="Q489">
        <v>0</v>
      </c>
      <c r="R489">
        <v>0</v>
      </c>
      <c r="S489">
        <v>0</v>
      </c>
      <c r="T489">
        <v>5</v>
      </c>
      <c r="U489">
        <v>6</v>
      </c>
      <c r="V489">
        <v>0</v>
      </c>
      <c r="W489">
        <v>1</v>
      </c>
      <c r="X489">
        <v>0</v>
      </c>
      <c r="Y489">
        <v>2</v>
      </c>
      <c r="Z489">
        <v>0</v>
      </c>
      <c r="AA489">
        <v>0</v>
      </c>
      <c r="AB489">
        <v>6</v>
      </c>
      <c r="AC489">
        <v>10</v>
      </c>
      <c r="AD489">
        <v>0</v>
      </c>
      <c r="AE489">
        <v>0</v>
      </c>
      <c r="AF489">
        <v>0</v>
      </c>
      <c r="AG489">
        <v>7</v>
      </c>
      <c r="AH489">
        <v>18</v>
      </c>
      <c r="AI489">
        <v>1</v>
      </c>
      <c r="AJ489">
        <v>0</v>
      </c>
      <c r="AK489">
        <v>20</v>
      </c>
      <c r="AL489">
        <v>125</v>
      </c>
      <c r="AM489">
        <v>112</v>
      </c>
      <c r="AN489">
        <v>0</v>
      </c>
      <c r="AO489">
        <v>0</v>
      </c>
      <c r="AP489">
        <v>10</v>
      </c>
      <c r="AQ489" s="1">
        <v>1053</v>
      </c>
    </row>
    <row r="490" spans="1:43" x14ac:dyDescent="0.3">
      <c r="A490" t="s">
        <v>199</v>
      </c>
      <c r="B490" t="s">
        <v>203</v>
      </c>
      <c r="C490" s="4" t="s">
        <v>44</v>
      </c>
      <c r="D490" s="1">
        <v>3345</v>
      </c>
      <c r="E490">
        <v>21</v>
      </c>
      <c r="F490">
        <v>21</v>
      </c>
      <c r="G490">
        <v>11</v>
      </c>
      <c r="H490" s="1">
        <v>2241</v>
      </c>
      <c r="I490">
        <v>3</v>
      </c>
      <c r="J490">
        <v>0</v>
      </c>
      <c r="K490">
        <v>117</v>
      </c>
      <c r="L490">
        <v>3</v>
      </c>
      <c r="M490">
        <v>0</v>
      </c>
      <c r="N490">
        <v>239</v>
      </c>
      <c r="O490">
        <v>0</v>
      </c>
      <c r="P490">
        <v>48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9</v>
      </c>
      <c r="W490">
        <v>0</v>
      </c>
      <c r="X490">
        <v>1</v>
      </c>
      <c r="Y490">
        <v>10</v>
      </c>
      <c r="Z490">
        <v>0</v>
      </c>
      <c r="AA490">
        <v>0</v>
      </c>
      <c r="AB490">
        <v>6</v>
      </c>
      <c r="AC490">
        <v>24</v>
      </c>
      <c r="AD490">
        <v>0</v>
      </c>
      <c r="AE490">
        <v>0</v>
      </c>
      <c r="AF490">
        <v>0</v>
      </c>
      <c r="AG490">
        <v>37</v>
      </c>
      <c r="AH490">
        <v>19</v>
      </c>
      <c r="AI490">
        <v>8</v>
      </c>
      <c r="AJ490">
        <v>0</v>
      </c>
      <c r="AK490">
        <v>27</v>
      </c>
      <c r="AL490">
        <v>419</v>
      </c>
      <c r="AM490">
        <v>56</v>
      </c>
      <c r="AN490">
        <v>0</v>
      </c>
      <c r="AO490">
        <v>0</v>
      </c>
      <c r="AP490">
        <v>24</v>
      </c>
      <c r="AQ490" s="1">
        <v>0</v>
      </c>
    </row>
    <row r="491" spans="1:43" x14ac:dyDescent="0.3">
      <c r="A491" t="s">
        <v>199</v>
      </c>
      <c r="B491" t="s">
        <v>204</v>
      </c>
      <c r="C491" s="4" t="s">
        <v>40</v>
      </c>
      <c r="D491" s="1">
        <v>5147</v>
      </c>
      <c r="E491">
        <v>26</v>
      </c>
      <c r="F491">
        <v>122</v>
      </c>
      <c r="G491">
        <v>1</v>
      </c>
      <c r="H491" s="1">
        <v>0</v>
      </c>
      <c r="I491">
        <v>88</v>
      </c>
      <c r="J491">
        <v>0</v>
      </c>
      <c r="K491" s="1">
        <v>1511</v>
      </c>
      <c r="L491">
        <v>103</v>
      </c>
      <c r="M491">
        <v>0</v>
      </c>
      <c r="N491">
        <v>198</v>
      </c>
      <c r="O491">
        <v>0</v>
      </c>
      <c r="P491">
        <v>26</v>
      </c>
      <c r="Q491">
        <v>0</v>
      </c>
      <c r="R491">
        <v>7</v>
      </c>
      <c r="S491">
        <v>0</v>
      </c>
      <c r="T491">
        <v>0</v>
      </c>
      <c r="U491">
        <v>0</v>
      </c>
      <c r="V491">
        <v>14</v>
      </c>
      <c r="W491">
        <v>4</v>
      </c>
      <c r="X491">
        <v>0</v>
      </c>
      <c r="Y491">
        <v>6</v>
      </c>
      <c r="Z491">
        <v>0</v>
      </c>
      <c r="AA491">
        <v>0</v>
      </c>
      <c r="AB491">
        <v>5</v>
      </c>
      <c r="AC491">
        <v>46</v>
      </c>
      <c r="AD491">
        <v>0</v>
      </c>
      <c r="AE491">
        <v>0</v>
      </c>
      <c r="AF491">
        <v>0</v>
      </c>
      <c r="AG491">
        <v>11</v>
      </c>
      <c r="AH491">
        <v>19</v>
      </c>
      <c r="AI491">
        <v>15</v>
      </c>
      <c r="AJ491">
        <v>5</v>
      </c>
      <c r="AK491">
        <v>0</v>
      </c>
      <c r="AL491">
        <v>14</v>
      </c>
      <c r="AM491">
        <v>30</v>
      </c>
      <c r="AN491">
        <v>0</v>
      </c>
      <c r="AO491">
        <v>0</v>
      </c>
      <c r="AP491">
        <v>34</v>
      </c>
      <c r="AQ491" s="1">
        <v>2862</v>
      </c>
    </row>
    <row r="492" spans="1:43" x14ac:dyDescent="0.3">
      <c r="A492" t="s">
        <v>199</v>
      </c>
      <c r="B492" t="s">
        <v>204</v>
      </c>
      <c r="C492" s="4" t="s">
        <v>43</v>
      </c>
      <c r="D492" s="1">
        <v>4134</v>
      </c>
      <c r="E492">
        <v>5</v>
      </c>
      <c r="F492">
        <v>69</v>
      </c>
      <c r="G492">
        <v>1</v>
      </c>
      <c r="H492" s="1">
        <v>0</v>
      </c>
      <c r="I492">
        <v>57</v>
      </c>
      <c r="J492">
        <v>0</v>
      </c>
      <c r="K492">
        <v>795</v>
      </c>
      <c r="L492">
        <v>88</v>
      </c>
      <c r="M492">
        <v>0</v>
      </c>
      <c r="N492">
        <v>105</v>
      </c>
      <c r="O492">
        <v>0</v>
      </c>
      <c r="P492">
        <v>12</v>
      </c>
      <c r="Q492">
        <v>0</v>
      </c>
      <c r="R492">
        <v>7</v>
      </c>
      <c r="S492">
        <v>0</v>
      </c>
      <c r="T492">
        <v>0</v>
      </c>
      <c r="U492">
        <v>0</v>
      </c>
      <c r="V492">
        <v>12</v>
      </c>
      <c r="W492">
        <v>4</v>
      </c>
      <c r="X492">
        <v>0</v>
      </c>
      <c r="Y492">
        <v>6</v>
      </c>
      <c r="Z492">
        <v>0</v>
      </c>
      <c r="AA492">
        <v>0</v>
      </c>
      <c r="AB492">
        <v>4</v>
      </c>
      <c r="AC492">
        <v>28</v>
      </c>
      <c r="AD492">
        <v>0</v>
      </c>
      <c r="AE492">
        <v>0</v>
      </c>
      <c r="AF492">
        <v>0</v>
      </c>
      <c r="AG492">
        <v>0</v>
      </c>
      <c r="AH492">
        <v>17</v>
      </c>
      <c r="AI492">
        <v>7</v>
      </c>
      <c r="AJ492">
        <v>4</v>
      </c>
      <c r="AK492">
        <v>0</v>
      </c>
      <c r="AL492">
        <v>10</v>
      </c>
      <c r="AM492">
        <v>25</v>
      </c>
      <c r="AN492">
        <v>0</v>
      </c>
      <c r="AO492">
        <v>0</v>
      </c>
      <c r="AP492">
        <v>16</v>
      </c>
      <c r="AQ492" s="1">
        <v>2862</v>
      </c>
    </row>
    <row r="493" spans="1:43" x14ac:dyDescent="0.3">
      <c r="A493" t="s">
        <v>199</v>
      </c>
      <c r="B493" t="s">
        <v>204</v>
      </c>
      <c r="C493" s="4" t="s">
        <v>44</v>
      </c>
      <c r="D493" s="1">
        <v>1013</v>
      </c>
      <c r="E493">
        <v>21</v>
      </c>
      <c r="F493">
        <v>53</v>
      </c>
      <c r="G493">
        <v>0</v>
      </c>
      <c r="H493" s="1">
        <v>0</v>
      </c>
      <c r="I493">
        <v>31</v>
      </c>
      <c r="J493">
        <v>0</v>
      </c>
      <c r="K493">
        <v>716</v>
      </c>
      <c r="L493">
        <v>15</v>
      </c>
      <c r="M493">
        <v>0</v>
      </c>
      <c r="N493">
        <v>93</v>
      </c>
      <c r="O493">
        <v>0</v>
      </c>
      <c r="P493">
        <v>14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18</v>
      </c>
      <c r="AD493">
        <v>0</v>
      </c>
      <c r="AE493">
        <v>0</v>
      </c>
      <c r="AF493">
        <v>0</v>
      </c>
      <c r="AG493">
        <v>11</v>
      </c>
      <c r="AH493">
        <v>2</v>
      </c>
      <c r="AI493">
        <v>8</v>
      </c>
      <c r="AJ493">
        <v>1</v>
      </c>
      <c r="AK493">
        <v>0</v>
      </c>
      <c r="AL493">
        <v>4</v>
      </c>
      <c r="AM493">
        <v>5</v>
      </c>
      <c r="AN493">
        <v>0</v>
      </c>
      <c r="AO493">
        <v>0</v>
      </c>
      <c r="AP493">
        <v>18</v>
      </c>
      <c r="AQ493" s="1">
        <v>0</v>
      </c>
    </row>
    <row r="494" spans="1:43" x14ac:dyDescent="0.3">
      <c r="A494" t="s">
        <v>199</v>
      </c>
      <c r="B494" t="s">
        <v>205</v>
      </c>
      <c r="C494" s="4" t="s">
        <v>40</v>
      </c>
      <c r="D494" s="1">
        <v>3538</v>
      </c>
      <c r="E494">
        <v>22</v>
      </c>
      <c r="F494">
        <v>12</v>
      </c>
      <c r="G494">
        <v>2</v>
      </c>
      <c r="H494" s="1">
        <v>1429</v>
      </c>
      <c r="I494">
        <v>5</v>
      </c>
      <c r="J494">
        <v>0</v>
      </c>
      <c r="K494">
        <v>91</v>
      </c>
      <c r="L494">
        <v>4</v>
      </c>
      <c r="M494">
        <v>0</v>
      </c>
      <c r="N494">
        <v>95</v>
      </c>
      <c r="O494">
        <v>0</v>
      </c>
      <c r="P494">
        <v>25</v>
      </c>
      <c r="Q494">
        <v>0</v>
      </c>
      <c r="R494">
        <v>0</v>
      </c>
      <c r="S494">
        <v>0</v>
      </c>
      <c r="T494">
        <v>3</v>
      </c>
      <c r="U494">
        <v>6</v>
      </c>
      <c r="V494">
        <v>5</v>
      </c>
      <c r="W494">
        <v>4</v>
      </c>
      <c r="X494">
        <v>0</v>
      </c>
      <c r="Y494">
        <v>20</v>
      </c>
      <c r="Z494">
        <v>0</v>
      </c>
      <c r="AA494">
        <v>0</v>
      </c>
      <c r="AB494">
        <v>0</v>
      </c>
      <c r="AC494">
        <v>20</v>
      </c>
      <c r="AD494">
        <v>0</v>
      </c>
      <c r="AE494">
        <v>0</v>
      </c>
      <c r="AF494">
        <v>0</v>
      </c>
      <c r="AG494">
        <v>9</v>
      </c>
      <c r="AH494">
        <v>15</v>
      </c>
      <c r="AI494">
        <v>17</v>
      </c>
      <c r="AJ494">
        <v>0</v>
      </c>
      <c r="AK494">
        <v>8</v>
      </c>
      <c r="AL494">
        <v>70</v>
      </c>
      <c r="AM494">
        <v>194</v>
      </c>
      <c r="AN494">
        <v>0</v>
      </c>
      <c r="AO494">
        <v>0</v>
      </c>
      <c r="AP494">
        <v>5</v>
      </c>
      <c r="AQ494" s="1">
        <v>1477</v>
      </c>
    </row>
    <row r="495" spans="1:43" x14ac:dyDescent="0.3">
      <c r="A495" t="s">
        <v>199</v>
      </c>
      <c r="B495" t="s">
        <v>205</v>
      </c>
      <c r="C495" s="4" t="s">
        <v>43</v>
      </c>
      <c r="D495" s="1">
        <v>2420</v>
      </c>
      <c r="E495">
        <v>13</v>
      </c>
      <c r="F495">
        <v>11</v>
      </c>
      <c r="G495">
        <v>0</v>
      </c>
      <c r="H495">
        <v>620</v>
      </c>
      <c r="I495">
        <v>5</v>
      </c>
      <c r="J495">
        <v>0</v>
      </c>
      <c r="K495">
        <v>35</v>
      </c>
      <c r="L495">
        <v>1</v>
      </c>
      <c r="M495">
        <v>0</v>
      </c>
      <c r="N495">
        <v>36</v>
      </c>
      <c r="O495">
        <v>0</v>
      </c>
      <c r="P495">
        <v>4</v>
      </c>
      <c r="Q495">
        <v>0</v>
      </c>
      <c r="R495">
        <v>0</v>
      </c>
      <c r="S495">
        <v>0</v>
      </c>
      <c r="T495">
        <v>0</v>
      </c>
      <c r="U495">
        <v>6</v>
      </c>
      <c r="V495">
        <v>1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9</v>
      </c>
      <c r="AD495">
        <v>0</v>
      </c>
      <c r="AE495">
        <v>0</v>
      </c>
      <c r="AF495">
        <v>0</v>
      </c>
      <c r="AG495">
        <v>0</v>
      </c>
      <c r="AH495">
        <v>12</v>
      </c>
      <c r="AI495">
        <v>5</v>
      </c>
      <c r="AJ495">
        <v>0</v>
      </c>
      <c r="AK495">
        <v>2</v>
      </c>
      <c r="AL495">
        <v>25</v>
      </c>
      <c r="AM495">
        <v>154</v>
      </c>
      <c r="AN495">
        <v>0</v>
      </c>
      <c r="AO495">
        <v>0</v>
      </c>
      <c r="AP495">
        <v>3</v>
      </c>
      <c r="AQ495" s="1">
        <v>1477</v>
      </c>
    </row>
    <row r="496" spans="1:43" x14ac:dyDescent="0.3">
      <c r="A496" t="s">
        <v>199</v>
      </c>
      <c r="B496" t="s">
        <v>205</v>
      </c>
      <c r="C496" s="4" t="s">
        <v>44</v>
      </c>
      <c r="D496" s="1">
        <v>1118</v>
      </c>
      <c r="E496">
        <v>9</v>
      </c>
      <c r="F496">
        <v>1</v>
      </c>
      <c r="G496">
        <v>2</v>
      </c>
      <c r="H496">
        <v>809</v>
      </c>
      <c r="I496">
        <v>0</v>
      </c>
      <c r="J496">
        <v>0</v>
      </c>
      <c r="K496">
        <v>56</v>
      </c>
      <c r="L496">
        <v>3</v>
      </c>
      <c r="M496">
        <v>0</v>
      </c>
      <c r="N496">
        <v>59</v>
      </c>
      <c r="O496">
        <v>0</v>
      </c>
      <c r="P496">
        <v>21</v>
      </c>
      <c r="Q496">
        <v>0</v>
      </c>
      <c r="R496">
        <v>0</v>
      </c>
      <c r="S496">
        <v>0</v>
      </c>
      <c r="T496">
        <v>3</v>
      </c>
      <c r="U496">
        <v>0</v>
      </c>
      <c r="V496">
        <v>4</v>
      </c>
      <c r="W496">
        <v>4</v>
      </c>
      <c r="X496">
        <v>0</v>
      </c>
      <c r="Y496">
        <v>19</v>
      </c>
      <c r="Z496">
        <v>0</v>
      </c>
      <c r="AA496">
        <v>0</v>
      </c>
      <c r="AB496">
        <v>0</v>
      </c>
      <c r="AC496">
        <v>11</v>
      </c>
      <c r="AD496">
        <v>0</v>
      </c>
      <c r="AE496">
        <v>0</v>
      </c>
      <c r="AF496">
        <v>0</v>
      </c>
      <c r="AG496">
        <v>9</v>
      </c>
      <c r="AH496">
        <v>3</v>
      </c>
      <c r="AI496">
        <v>12</v>
      </c>
      <c r="AJ496">
        <v>0</v>
      </c>
      <c r="AK496">
        <v>6</v>
      </c>
      <c r="AL496">
        <v>45</v>
      </c>
      <c r="AM496">
        <v>40</v>
      </c>
      <c r="AN496">
        <v>0</v>
      </c>
      <c r="AO496">
        <v>0</v>
      </c>
      <c r="AP496">
        <v>2</v>
      </c>
      <c r="AQ496" s="1">
        <v>0</v>
      </c>
    </row>
    <row r="497" spans="1:43" x14ac:dyDescent="0.3">
      <c r="A497" t="s">
        <v>199</v>
      </c>
      <c r="B497" t="s">
        <v>206</v>
      </c>
      <c r="C497" s="4" t="s">
        <v>40</v>
      </c>
      <c r="D497" s="1">
        <v>3213</v>
      </c>
      <c r="E497">
        <v>3</v>
      </c>
      <c r="F497">
        <v>37</v>
      </c>
      <c r="G497">
        <v>0</v>
      </c>
      <c r="H497" s="1">
        <v>0</v>
      </c>
      <c r="I497">
        <v>68</v>
      </c>
      <c r="J497">
        <v>0</v>
      </c>
      <c r="K497">
        <v>378</v>
      </c>
      <c r="L497">
        <v>2</v>
      </c>
      <c r="M497">
        <v>0</v>
      </c>
      <c r="N497">
        <v>22</v>
      </c>
      <c r="O497">
        <v>0</v>
      </c>
      <c r="P497">
        <v>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0</v>
      </c>
      <c r="X497">
        <v>0</v>
      </c>
      <c r="Y497">
        <v>2</v>
      </c>
      <c r="Z497">
        <v>0</v>
      </c>
      <c r="AA497">
        <v>0</v>
      </c>
      <c r="AB497">
        <v>1</v>
      </c>
      <c r="AC497">
        <v>5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11</v>
      </c>
      <c r="AJ497">
        <v>0</v>
      </c>
      <c r="AK497">
        <v>2</v>
      </c>
      <c r="AL497">
        <v>1</v>
      </c>
      <c r="AM497">
        <v>6</v>
      </c>
      <c r="AN497">
        <v>0</v>
      </c>
      <c r="AO497">
        <v>0</v>
      </c>
      <c r="AP497">
        <v>21</v>
      </c>
      <c r="AQ497" s="1">
        <v>2647</v>
      </c>
    </row>
    <row r="498" spans="1:43" x14ac:dyDescent="0.3">
      <c r="A498" t="s">
        <v>199</v>
      </c>
      <c r="B498" t="s">
        <v>206</v>
      </c>
      <c r="C498" s="4" t="s">
        <v>43</v>
      </c>
      <c r="D498" s="1">
        <v>2960</v>
      </c>
      <c r="E498">
        <v>1</v>
      </c>
      <c r="F498">
        <v>20</v>
      </c>
      <c r="G498">
        <v>0</v>
      </c>
      <c r="H498" s="1">
        <v>0</v>
      </c>
      <c r="I498">
        <v>35</v>
      </c>
      <c r="J498">
        <v>0</v>
      </c>
      <c r="K498">
        <v>209</v>
      </c>
      <c r="L498">
        <v>2</v>
      </c>
      <c r="M498">
        <v>0</v>
      </c>
      <c r="N498">
        <v>14</v>
      </c>
      <c r="O498">
        <v>0</v>
      </c>
      <c r="P498">
        <v>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2</v>
      </c>
      <c r="Z498">
        <v>0</v>
      </c>
      <c r="AA498">
        <v>0</v>
      </c>
      <c r="AB498">
        <v>1</v>
      </c>
      <c r="AC498">
        <v>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4</v>
      </c>
      <c r="AJ498">
        <v>0</v>
      </c>
      <c r="AK498">
        <v>2</v>
      </c>
      <c r="AL498">
        <v>0</v>
      </c>
      <c r="AM498">
        <v>2</v>
      </c>
      <c r="AN498">
        <v>0</v>
      </c>
      <c r="AO498">
        <v>0</v>
      </c>
      <c r="AP498">
        <v>16</v>
      </c>
      <c r="AQ498" s="1">
        <v>2647</v>
      </c>
    </row>
    <row r="499" spans="1:43" x14ac:dyDescent="0.3">
      <c r="A499" t="s">
        <v>199</v>
      </c>
      <c r="B499" t="s">
        <v>206</v>
      </c>
      <c r="C499" s="4" t="s">
        <v>44</v>
      </c>
      <c r="D499">
        <v>253</v>
      </c>
      <c r="E499">
        <v>2</v>
      </c>
      <c r="F499">
        <v>17</v>
      </c>
      <c r="G499">
        <v>0</v>
      </c>
      <c r="H499" s="1">
        <v>0</v>
      </c>
      <c r="I499">
        <v>33</v>
      </c>
      <c r="J499">
        <v>0</v>
      </c>
      <c r="K499">
        <v>169</v>
      </c>
      <c r="L499">
        <v>0</v>
      </c>
      <c r="M499">
        <v>0</v>
      </c>
      <c r="N499">
        <v>8</v>
      </c>
      <c r="O499">
        <v>0</v>
      </c>
      <c r="P499">
        <v>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3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7</v>
      </c>
      <c r="AJ499">
        <v>0</v>
      </c>
      <c r="AK499">
        <v>0</v>
      </c>
      <c r="AL499">
        <v>1</v>
      </c>
      <c r="AM499">
        <v>4</v>
      </c>
      <c r="AN499">
        <v>0</v>
      </c>
      <c r="AO499">
        <v>0</v>
      </c>
      <c r="AP499">
        <v>5</v>
      </c>
      <c r="AQ499" s="1">
        <v>0</v>
      </c>
    </row>
    <row r="500" spans="1:43" x14ac:dyDescent="0.3">
      <c r="A500" t="s">
        <v>199</v>
      </c>
      <c r="B500" t="s">
        <v>207</v>
      </c>
      <c r="C500" s="4" t="s">
        <v>40</v>
      </c>
      <c r="D500" s="1">
        <v>2448</v>
      </c>
      <c r="E500">
        <v>68</v>
      </c>
      <c r="F500">
        <v>29</v>
      </c>
      <c r="G500">
        <v>0</v>
      </c>
      <c r="H500" s="1">
        <v>0</v>
      </c>
      <c r="I500">
        <v>8</v>
      </c>
      <c r="J500">
        <v>0</v>
      </c>
      <c r="K500" s="1">
        <v>1787</v>
      </c>
      <c r="L500">
        <v>1</v>
      </c>
      <c r="M500">
        <v>0</v>
      </c>
      <c r="N500">
        <v>17</v>
      </c>
      <c r="O500">
        <v>0</v>
      </c>
      <c r="P500">
        <v>2</v>
      </c>
      <c r="Q500">
        <v>0</v>
      </c>
      <c r="R500">
        <v>0</v>
      </c>
      <c r="S500">
        <v>0</v>
      </c>
      <c r="T500">
        <v>290</v>
      </c>
      <c r="U500">
        <v>16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2</v>
      </c>
      <c r="AD500">
        <v>0</v>
      </c>
      <c r="AE500">
        <v>0</v>
      </c>
      <c r="AF500">
        <v>0</v>
      </c>
      <c r="AG500">
        <v>6</v>
      </c>
      <c r="AH500">
        <v>27</v>
      </c>
      <c r="AI500">
        <v>41</v>
      </c>
      <c r="AJ500">
        <v>0</v>
      </c>
      <c r="AK500">
        <v>5</v>
      </c>
      <c r="AL500">
        <v>9</v>
      </c>
      <c r="AM500">
        <v>79</v>
      </c>
      <c r="AN500">
        <v>0</v>
      </c>
      <c r="AO500">
        <v>0</v>
      </c>
      <c r="AP500">
        <v>0</v>
      </c>
      <c r="AQ500">
        <v>59</v>
      </c>
    </row>
    <row r="501" spans="1:43" x14ac:dyDescent="0.3">
      <c r="A501" t="s">
        <v>199</v>
      </c>
      <c r="B501" t="s">
        <v>207</v>
      </c>
      <c r="C501" s="4" t="s">
        <v>43</v>
      </c>
      <c r="D501" s="1">
        <v>2328</v>
      </c>
      <c r="E501">
        <v>38</v>
      </c>
      <c r="F501">
        <v>26</v>
      </c>
      <c r="G501">
        <v>0</v>
      </c>
      <c r="H501" s="1">
        <v>0</v>
      </c>
      <c r="I501">
        <v>8</v>
      </c>
      <c r="J501">
        <v>0</v>
      </c>
      <c r="K501" s="1">
        <v>1746</v>
      </c>
      <c r="L501">
        <v>1</v>
      </c>
      <c r="M501">
        <v>0</v>
      </c>
      <c r="N501">
        <v>7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290</v>
      </c>
      <c r="U501">
        <v>16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</v>
      </c>
      <c r="AD501">
        <v>0</v>
      </c>
      <c r="AE501">
        <v>0</v>
      </c>
      <c r="AF501">
        <v>0</v>
      </c>
      <c r="AG501">
        <v>4</v>
      </c>
      <c r="AH501">
        <v>17</v>
      </c>
      <c r="AI501">
        <v>23</v>
      </c>
      <c r="AJ501">
        <v>0</v>
      </c>
      <c r="AK501">
        <v>4</v>
      </c>
      <c r="AL501">
        <v>8</v>
      </c>
      <c r="AM501">
        <v>78</v>
      </c>
      <c r="AN501">
        <v>0</v>
      </c>
      <c r="AO501">
        <v>0</v>
      </c>
      <c r="AP501">
        <v>0</v>
      </c>
      <c r="AQ501">
        <v>59</v>
      </c>
    </row>
    <row r="502" spans="1:43" x14ac:dyDescent="0.3">
      <c r="A502" t="s">
        <v>199</v>
      </c>
      <c r="B502" t="s">
        <v>207</v>
      </c>
      <c r="C502" s="4" t="s">
        <v>44</v>
      </c>
      <c r="D502">
        <v>120</v>
      </c>
      <c r="E502">
        <v>30</v>
      </c>
      <c r="F502">
        <v>3</v>
      </c>
      <c r="G502">
        <v>0</v>
      </c>
      <c r="H502" s="1">
        <v>0</v>
      </c>
      <c r="I502">
        <v>0</v>
      </c>
      <c r="J502">
        <v>0</v>
      </c>
      <c r="K502">
        <v>41</v>
      </c>
      <c r="L502">
        <v>0</v>
      </c>
      <c r="M502">
        <v>0</v>
      </c>
      <c r="N502">
        <v>10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2</v>
      </c>
      <c r="AH502">
        <v>10</v>
      </c>
      <c r="AI502">
        <v>18</v>
      </c>
      <c r="AJ502">
        <v>0</v>
      </c>
      <c r="AK502">
        <v>1</v>
      </c>
      <c r="AL502">
        <v>1</v>
      </c>
      <c r="AM502">
        <v>1</v>
      </c>
      <c r="AN502">
        <v>0</v>
      </c>
      <c r="AO502">
        <v>0</v>
      </c>
      <c r="AP502">
        <v>0</v>
      </c>
      <c r="AQ502" s="1">
        <v>0</v>
      </c>
    </row>
    <row r="503" spans="1:43" x14ac:dyDescent="0.3">
      <c r="A503" t="s">
        <v>199</v>
      </c>
      <c r="B503" t="s">
        <v>208</v>
      </c>
      <c r="C503" s="4" t="s">
        <v>40</v>
      </c>
      <c r="D503" s="1">
        <v>2344</v>
      </c>
      <c r="E503">
        <v>22</v>
      </c>
      <c r="F503">
        <v>23</v>
      </c>
      <c r="G503">
        <v>15</v>
      </c>
      <c r="H503" s="1">
        <v>0</v>
      </c>
      <c r="I503">
        <v>98</v>
      </c>
      <c r="J503">
        <v>2</v>
      </c>
      <c r="K503" s="1">
        <v>1256</v>
      </c>
      <c r="L503">
        <v>21</v>
      </c>
      <c r="M503">
        <v>0</v>
      </c>
      <c r="N503">
        <v>177</v>
      </c>
      <c r="O503">
        <v>0</v>
      </c>
      <c r="P503">
        <v>56</v>
      </c>
      <c r="Q503">
        <v>0</v>
      </c>
      <c r="R503">
        <v>0</v>
      </c>
      <c r="S503">
        <v>0</v>
      </c>
      <c r="T503">
        <v>21</v>
      </c>
      <c r="U503">
        <v>13</v>
      </c>
      <c r="V503">
        <v>16</v>
      </c>
      <c r="W503">
        <v>3</v>
      </c>
      <c r="X503">
        <v>0</v>
      </c>
      <c r="Y503">
        <v>5</v>
      </c>
      <c r="Z503">
        <v>0</v>
      </c>
      <c r="AA503">
        <v>0</v>
      </c>
      <c r="AB503">
        <v>8</v>
      </c>
      <c r="AC503">
        <v>19</v>
      </c>
      <c r="AD503">
        <v>0</v>
      </c>
      <c r="AE503">
        <v>0</v>
      </c>
      <c r="AF503">
        <v>0</v>
      </c>
      <c r="AG503">
        <v>11</v>
      </c>
      <c r="AH503">
        <v>35</v>
      </c>
      <c r="AI503">
        <v>9</v>
      </c>
      <c r="AJ503">
        <v>0</v>
      </c>
      <c r="AK503">
        <v>12</v>
      </c>
      <c r="AL503">
        <v>29</v>
      </c>
      <c r="AM503">
        <v>51</v>
      </c>
      <c r="AN503">
        <v>0</v>
      </c>
      <c r="AO503">
        <v>0</v>
      </c>
      <c r="AP503">
        <v>0</v>
      </c>
      <c r="AQ503">
        <v>442</v>
      </c>
    </row>
    <row r="504" spans="1:43" x14ac:dyDescent="0.3">
      <c r="A504" t="s">
        <v>199</v>
      </c>
      <c r="B504" t="s">
        <v>208</v>
      </c>
      <c r="C504" s="4" t="s">
        <v>43</v>
      </c>
      <c r="D504" s="1">
        <v>1908</v>
      </c>
      <c r="E504">
        <v>14</v>
      </c>
      <c r="F504">
        <v>16</v>
      </c>
      <c r="G504">
        <v>10</v>
      </c>
      <c r="H504" s="1">
        <v>0</v>
      </c>
      <c r="I504">
        <v>93</v>
      </c>
      <c r="J504">
        <v>2</v>
      </c>
      <c r="K504">
        <v>953</v>
      </c>
      <c r="L504">
        <v>18</v>
      </c>
      <c r="M504">
        <v>0</v>
      </c>
      <c r="N504">
        <v>133</v>
      </c>
      <c r="O504">
        <v>0</v>
      </c>
      <c r="P504">
        <v>30</v>
      </c>
      <c r="Q504">
        <v>0</v>
      </c>
      <c r="R504">
        <v>0</v>
      </c>
      <c r="S504">
        <v>0</v>
      </c>
      <c r="T504">
        <v>16</v>
      </c>
      <c r="U504">
        <v>13</v>
      </c>
      <c r="V504">
        <v>12</v>
      </c>
      <c r="W504">
        <v>3</v>
      </c>
      <c r="X504">
        <v>0</v>
      </c>
      <c r="Y504">
        <v>4</v>
      </c>
      <c r="Z504">
        <v>0</v>
      </c>
      <c r="AA504">
        <v>0</v>
      </c>
      <c r="AB504">
        <v>8</v>
      </c>
      <c r="AC504">
        <v>14</v>
      </c>
      <c r="AD504">
        <v>0</v>
      </c>
      <c r="AE504">
        <v>0</v>
      </c>
      <c r="AF504">
        <v>0</v>
      </c>
      <c r="AG504">
        <v>5</v>
      </c>
      <c r="AH504">
        <v>29</v>
      </c>
      <c r="AI504">
        <v>5</v>
      </c>
      <c r="AJ504">
        <v>0</v>
      </c>
      <c r="AK504">
        <v>12</v>
      </c>
      <c r="AL504">
        <v>28</v>
      </c>
      <c r="AM504">
        <v>48</v>
      </c>
      <c r="AN504">
        <v>0</v>
      </c>
      <c r="AO504">
        <v>0</v>
      </c>
      <c r="AP504">
        <v>0</v>
      </c>
      <c r="AQ504">
        <v>442</v>
      </c>
    </row>
    <row r="505" spans="1:43" x14ac:dyDescent="0.3">
      <c r="A505" t="s">
        <v>199</v>
      </c>
      <c r="B505" t="s">
        <v>208</v>
      </c>
      <c r="C505" s="4" t="s">
        <v>44</v>
      </c>
      <c r="D505">
        <v>436</v>
      </c>
      <c r="E505">
        <v>8</v>
      </c>
      <c r="F505">
        <v>7</v>
      </c>
      <c r="G505">
        <v>5</v>
      </c>
      <c r="H505" s="1">
        <v>0</v>
      </c>
      <c r="I505">
        <v>5</v>
      </c>
      <c r="J505">
        <v>0</v>
      </c>
      <c r="K505">
        <v>303</v>
      </c>
      <c r="L505">
        <v>3</v>
      </c>
      <c r="M505">
        <v>0</v>
      </c>
      <c r="N505">
        <v>44</v>
      </c>
      <c r="O505">
        <v>0</v>
      </c>
      <c r="P505">
        <v>26</v>
      </c>
      <c r="Q505">
        <v>0</v>
      </c>
      <c r="R505">
        <v>0</v>
      </c>
      <c r="S505">
        <v>0</v>
      </c>
      <c r="T505">
        <v>5</v>
      </c>
      <c r="U505">
        <v>0</v>
      </c>
      <c r="V505">
        <v>4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5</v>
      </c>
      <c r="AD505">
        <v>0</v>
      </c>
      <c r="AE505">
        <v>0</v>
      </c>
      <c r="AF505">
        <v>0</v>
      </c>
      <c r="AG505">
        <v>6</v>
      </c>
      <c r="AH505">
        <v>6</v>
      </c>
      <c r="AI505">
        <v>4</v>
      </c>
      <c r="AJ505">
        <v>0</v>
      </c>
      <c r="AK505">
        <v>0</v>
      </c>
      <c r="AL505">
        <v>1</v>
      </c>
      <c r="AM505">
        <v>3</v>
      </c>
      <c r="AN505">
        <v>0</v>
      </c>
      <c r="AO505">
        <v>0</v>
      </c>
      <c r="AP505">
        <v>0</v>
      </c>
      <c r="AQ505">
        <v>0</v>
      </c>
    </row>
    <row r="506" spans="1:43" x14ac:dyDescent="0.3">
      <c r="A506" t="s">
        <v>199</v>
      </c>
      <c r="B506" t="s">
        <v>209</v>
      </c>
      <c r="C506" s="4" t="s">
        <v>40</v>
      </c>
      <c r="D506" s="1">
        <v>2261</v>
      </c>
      <c r="E506">
        <v>6</v>
      </c>
      <c r="F506">
        <v>4</v>
      </c>
      <c r="G506">
        <v>0</v>
      </c>
      <c r="H506" s="1">
        <v>0</v>
      </c>
      <c r="I506">
        <v>901</v>
      </c>
      <c r="J506">
        <v>0</v>
      </c>
      <c r="K506">
        <v>4</v>
      </c>
      <c r="L506">
        <v>0</v>
      </c>
      <c r="M506">
        <v>0</v>
      </c>
      <c r="N506">
        <v>10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7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129</v>
      </c>
      <c r="AQ506" s="1">
        <v>1196</v>
      </c>
    </row>
    <row r="507" spans="1:43" x14ac:dyDescent="0.3">
      <c r="A507" t="s">
        <v>199</v>
      </c>
      <c r="B507" t="s">
        <v>209</v>
      </c>
      <c r="C507" s="4" t="s">
        <v>43</v>
      </c>
      <c r="D507" s="1">
        <v>1698</v>
      </c>
      <c r="E507">
        <v>5</v>
      </c>
      <c r="F507">
        <v>4</v>
      </c>
      <c r="G507">
        <v>0</v>
      </c>
      <c r="H507" s="1">
        <v>0</v>
      </c>
      <c r="I507">
        <v>427</v>
      </c>
      <c r="J507">
        <v>0</v>
      </c>
      <c r="K507">
        <v>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61</v>
      </c>
      <c r="AQ507" s="1">
        <v>1196</v>
      </c>
    </row>
    <row r="508" spans="1:43" x14ac:dyDescent="0.3">
      <c r="A508" t="s">
        <v>199</v>
      </c>
      <c r="B508" t="s">
        <v>209</v>
      </c>
      <c r="C508" s="4" t="s">
        <v>44</v>
      </c>
      <c r="D508">
        <v>563</v>
      </c>
      <c r="E508">
        <v>1</v>
      </c>
      <c r="F508">
        <v>0</v>
      </c>
      <c r="G508">
        <v>0</v>
      </c>
      <c r="H508" s="1">
        <v>0</v>
      </c>
      <c r="I508">
        <v>474</v>
      </c>
      <c r="J508">
        <v>0</v>
      </c>
      <c r="K508">
        <v>0</v>
      </c>
      <c r="L508">
        <v>0</v>
      </c>
      <c r="M508">
        <v>0</v>
      </c>
      <c r="N508">
        <v>10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7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2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68</v>
      </c>
      <c r="AQ508">
        <v>0</v>
      </c>
    </row>
    <row r="509" spans="1:43" x14ac:dyDescent="0.3">
      <c r="A509" t="s">
        <v>199</v>
      </c>
      <c r="B509" t="s">
        <v>210</v>
      </c>
      <c r="C509" s="4" t="s">
        <v>40</v>
      </c>
      <c r="D509" s="1">
        <v>2177</v>
      </c>
      <c r="E509">
        <v>42</v>
      </c>
      <c r="F509">
        <v>56</v>
      </c>
      <c r="G509">
        <v>7</v>
      </c>
      <c r="H509" s="1">
        <v>0</v>
      </c>
      <c r="I509">
        <v>37</v>
      </c>
      <c r="J509">
        <v>0</v>
      </c>
      <c r="K509" s="1">
        <v>1149</v>
      </c>
      <c r="L509">
        <v>11</v>
      </c>
      <c r="M509">
        <v>0</v>
      </c>
      <c r="N509">
        <v>176</v>
      </c>
      <c r="O509">
        <v>0</v>
      </c>
      <c r="P509">
        <v>45</v>
      </c>
      <c r="Q509">
        <v>0</v>
      </c>
      <c r="R509">
        <v>13</v>
      </c>
      <c r="S509">
        <v>0</v>
      </c>
      <c r="T509">
        <v>105</v>
      </c>
      <c r="U509">
        <v>81</v>
      </c>
      <c r="V509">
        <v>12</v>
      </c>
      <c r="W509">
        <v>4</v>
      </c>
      <c r="X509">
        <v>0</v>
      </c>
      <c r="Y509">
        <v>12</v>
      </c>
      <c r="Z509">
        <v>0</v>
      </c>
      <c r="AA509">
        <v>0</v>
      </c>
      <c r="AB509">
        <v>14</v>
      </c>
      <c r="AC509">
        <v>22</v>
      </c>
      <c r="AD509">
        <v>0</v>
      </c>
      <c r="AE509">
        <v>0</v>
      </c>
      <c r="AF509">
        <v>0</v>
      </c>
      <c r="AG509">
        <v>12</v>
      </c>
      <c r="AH509">
        <v>27</v>
      </c>
      <c r="AI509">
        <v>51</v>
      </c>
      <c r="AJ509">
        <v>0</v>
      </c>
      <c r="AK509">
        <v>37</v>
      </c>
      <c r="AL509">
        <v>88</v>
      </c>
      <c r="AM509">
        <v>60</v>
      </c>
      <c r="AN509">
        <v>0</v>
      </c>
      <c r="AO509">
        <v>0</v>
      </c>
      <c r="AP509">
        <v>0</v>
      </c>
      <c r="AQ509">
        <v>116</v>
      </c>
    </row>
    <row r="510" spans="1:43" x14ac:dyDescent="0.3">
      <c r="A510" t="s">
        <v>199</v>
      </c>
      <c r="B510" t="s">
        <v>210</v>
      </c>
      <c r="C510" s="4" t="s">
        <v>43</v>
      </c>
      <c r="D510" s="1">
        <v>1544</v>
      </c>
      <c r="E510">
        <v>31</v>
      </c>
      <c r="F510">
        <v>29</v>
      </c>
      <c r="G510">
        <v>3</v>
      </c>
      <c r="H510" s="1">
        <v>0</v>
      </c>
      <c r="I510">
        <v>35</v>
      </c>
      <c r="J510">
        <v>0</v>
      </c>
      <c r="K510">
        <v>735</v>
      </c>
      <c r="L510">
        <v>7</v>
      </c>
      <c r="M510">
        <v>0</v>
      </c>
      <c r="N510">
        <v>111</v>
      </c>
      <c r="O510">
        <v>0</v>
      </c>
      <c r="P510">
        <v>18</v>
      </c>
      <c r="Q510">
        <v>0</v>
      </c>
      <c r="R510">
        <v>13</v>
      </c>
      <c r="S510">
        <v>0</v>
      </c>
      <c r="T510">
        <v>99</v>
      </c>
      <c r="U510">
        <v>80</v>
      </c>
      <c r="V510">
        <v>9</v>
      </c>
      <c r="W510">
        <v>4</v>
      </c>
      <c r="X510">
        <v>0</v>
      </c>
      <c r="Y510">
        <v>9</v>
      </c>
      <c r="Z510">
        <v>0</v>
      </c>
      <c r="AA510">
        <v>0</v>
      </c>
      <c r="AB510">
        <v>12</v>
      </c>
      <c r="AC510">
        <v>17</v>
      </c>
      <c r="AD510">
        <v>0</v>
      </c>
      <c r="AE510">
        <v>0</v>
      </c>
      <c r="AF510">
        <v>0</v>
      </c>
      <c r="AG510">
        <v>5</v>
      </c>
      <c r="AH510">
        <v>18</v>
      </c>
      <c r="AI510">
        <v>20</v>
      </c>
      <c r="AJ510">
        <v>0</v>
      </c>
      <c r="AK510">
        <v>30</v>
      </c>
      <c r="AL510">
        <v>88</v>
      </c>
      <c r="AM510">
        <v>55</v>
      </c>
      <c r="AN510">
        <v>0</v>
      </c>
      <c r="AO510">
        <v>0</v>
      </c>
      <c r="AP510">
        <v>0</v>
      </c>
      <c r="AQ510">
        <v>116</v>
      </c>
    </row>
    <row r="511" spans="1:43" x14ac:dyDescent="0.3">
      <c r="A511" t="s">
        <v>199</v>
      </c>
      <c r="B511" t="s">
        <v>210</v>
      </c>
      <c r="C511" s="4" t="s">
        <v>44</v>
      </c>
      <c r="D511">
        <v>633</v>
      </c>
      <c r="E511">
        <v>11</v>
      </c>
      <c r="F511">
        <v>27</v>
      </c>
      <c r="G511">
        <v>4</v>
      </c>
      <c r="H511" s="1">
        <v>0</v>
      </c>
      <c r="I511">
        <v>2</v>
      </c>
      <c r="J511">
        <v>0</v>
      </c>
      <c r="K511">
        <v>414</v>
      </c>
      <c r="L511">
        <v>4</v>
      </c>
      <c r="M511">
        <v>0</v>
      </c>
      <c r="N511">
        <v>65</v>
      </c>
      <c r="O511">
        <v>0</v>
      </c>
      <c r="P511">
        <v>27</v>
      </c>
      <c r="Q511">
        <v>0</v>
      </c>
      <c r="R511">
        <v>0</v>
      </c>
      <c r="S511">
        <v>0</v>
      </c>
      <c r="T511">
        <v>6</v>
      </c>
      <c r="U511">
        <v>1</v>
      </c>
      <c r="V511">
        <v>3</v>
      </c>
      <c r="W511">
        <v>0</v>
      </c>
      <c r="X511">
        <v>0</v>
      </c>
      <c r="Y511">
        <v>3</v>
      </c>
      <c r="Z511">
        <v>0</v>
      </c>
      <c r="AA511">
        <v>0</v>
      </c>
      <c r="AB511">
        <v>2</v>
      </c>
      <c r="AC511">
        <v>5</v>
      </c>
      <c r="AD511">
        <v>0</v>
      </c>
      <c r="AE511">
        <v>0</v>
      </c>
      <c r="AF511">
        <v>0</v>
      </c>
      <c r="AG511">
        <v>7</v>
      </c>
      <c r="AH511">
        <v>9</v>
      </c>
      <c r="AI511">
        <v>31</v>
      </c>
      <c r="AJ511">
        <v>0</v>
      </c>
      <c r="AK511">
        <v>7</v>
      </c>
      <c r="AL511">
        <v>0</v>
      </c>
      <c r="AM511">
        <v>5</v>
      </c>
      <c r="AN511">
        <v>0</v>
      </c>
      <c r="AO511">
        <v>0</v>
      </c>
      <c r="AP511">
        <v>0</v>
      </c>
      <c r="AQ511">
        <v>0</v>
      </c>
    </row>
    <row r="512" spans="1:43" x14ac:dyDescent="0.3">
      <c r="A512" t="s">
        <v>199</v>
      </c>
      <c r="B512" t="s">
        <v>211</v>
      </c>
      <c r="C512" s="4" t="s">
        <v>40</v>
      </c>
      <c r="D512" s="1">
        <v>2040</v>
      </c>
      <c r="E512">
        <v>80</v>
      </c>
      <c r="F512">
        <v>41</v>
      </c>
      <c r="G512">
        <v>0</v>
      </c>
      <c r="H512" s="1">
        <v>0</v>
      </c>
      <c r="I512">
        <v>224</v>
      </c>
      <c r="J512">
        <v>0</v>
      </c>
      <c r="K512">
        <v>954</v>
      </c>
      <c r="L512">
        <v>1</v>
      </c>
      <c r="M512">
        <v>0</v>
      </c>
      <c r="N512">
        <v>149</v>
      </c>
      <c r="O512">
        <v>0</v>
      </c>
      <c r="P512">
        <v>30</v>
      </c>
      <c r="Q512">
        <v>0</v>
      </c>
      <c r="R512">
        <v>2</v>
      </c>
      <c r="S512">
        <v>0</v>
      </c>
      <c r="T512">
        <v>9</v>
      </c>
      <c r="U512">
        <v>0</v>
      </c>
      <c r="V512">
        <v>16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18</v>
      </c>
      <c r="AD512">
        <v>0</v>
      </c>
      <c r="AE512">
        <v>0</v>
      </c>
      <c r="AF512">
        <v>0</v>
      </c>
      <c r="AG512">
        <v>3</v>
      </c>
      <c r="AH512">
        <v>14</v>
      </c>
      <c r="AI512">
        <v>10</v>
      </c>
      <c r="AJ512">
        <v>4</v>
      </c>
      <c r="AK512">
        <v>16</v>
      </c>
      <c r="AL512">
        <v>5</v>
      </c>
      <c r="AM512">
        <v>68</v>
      </c>
      <c r="AN512">
        <v>0</v>
      </c>
      <c r="AO512">
        <v>0</v>
      </c>
      <c r="AP512">
        <v>26</v>
      </c>
      <c r="AQ512">
        <v>369</v>
      </c>
    </row>
    <row r="513" spans="1:43" x14ac:dyDescent="0.3">
      <c r="A513" t="s">
        <v>199</v>
      </c>
      <c r="B513" t="s">
        <v>211</v>
      </c>
      <c r="C513" s="4" t="s">
        <v>43</v>
      </c>
      <c r="D513" s="1">
        <v>1596</v>
      </c>
      <c r="E513">
        <v>57</v>
      </c>
      <c r="F513">
        <v>29</v>
      </c>
      <c r="G513">
        <v>0</v>
      </c>
      <c r="H513" s="1">
        <v>0</v>
      </c>
      <c r="I513">
        <v>221</v>
      </c>
      <c r="J513">
        <v>0</v>
      </c>
      <c r="K513">
        <v>652</v>
      </c>
      <c r="L513">
        <v>1</v>
      </c>
      <c r="M513">
        <v>0</v>
      </c>
      <c r="N513">
        <v>102</v>
      </c>
      <c r="O513">
        <v>0</v>
      </c>
      <c r="P513">
        <v>13</v>
      </c>
      <c r="Q513">
        <v>0</v>
      </c>
      <c r="R513">
        <v>1</v>
      </c>
      <c r="S513">
        <v>0</v>
      </c>
      <c r="T513">
        <v>9</v>
      </c>
      <c r="U513">
        <v>0</v>
      </c>
      <c r="V513">
        <v>14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10</v>
      </c>
      <c r="AD513">
        <v>0</v>
      </c>
      <c r="AE513">
        <v>0</v>
      </c>
      <c r="AF513">
        <v>0</v>
      </c>
      <c r="AG513">
        <v>0</v>
      </c>
      <c r="AH513">
        <v>3</v>
      </c>
      <c r="AI513">
        <v>4</v>
      </c>
      <c r="AJ513">
        <v>2</v>
      </c>
      <c r="AK513">
        <v>16</v>
      </c>
      <c r="AL513">
        <v>5</v>
      </c>
      <c r="AM513">
        <v>61</v>
      </c>
      <c r="AN513">
        <v>0</v>
      </c>
      <c r="AO513">
        <v>0</v>
      </c>
      <c r="AP513">
        <v>26</v>
      </c>
      <c r="AQ513">
        <v>369</v>
      </c>
    </row>
    <row r="514" spans="1:43" x14ac:dyDescent="0.3">
      <c r="A514" t="s">
        <v>199</v>
      </c>
      <c r="B514" t="s">
        <v>211</v>
      </c>
      <c r="C514" s="4" t="s">
        <v>44</v>
      </c>
      <c r="D514">
        <v>444</v>
      </c>
      <c r="E514">
        <v>23</v>
      </c>
      <c r="F514">
        <v>12</v>
      </c>
      <c r="G514">
        <v>0</v>
      </c>
      <c r="H514" s="1">
        <v>0</v>
      </c>
      <c r="I514">
        <v>3</v>
      </c>
      <c r="J514">
        <v>0</v>
      </c>
      <c r="K514">
        <v>302</v>
      </c>
      <c r="L514">
        <v>0</v>
      </c>
      <c r="M514">
        <v>0</v>
      </c>
      <c r="N514">
        <v>47</v>
      </c>
      <c r="O514">
        <v>0</v>
      </c>
      <c r="P514">
        <v>17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8</v>
      </c>
      <c r="AD514">
        <v>0</v>
      </c>
      <c r="AE514">
        <v>0</v>
      </c>
      <c r="AF514">
        <v>0</v>
      </c>
      <c r="AG514">
        <v>3</v>
      </c>
      <c r="AH514">
        <v>11</v>
      </c>
      <c r="AI514">
        <v>6</v>
      </c>
      <c r="AJ514">
        <v>2</v>
      </c>
      <c r="AK514">
        <v>0</v>
      </c>
      <c r="AL514">
        <v>0</v>
      </c>
      <c r="AM514">
        <v>7</v>
      </c>
      <c r="AN514">
        <v>0</v>
      </c>
      <c r="AO514">
        <v>0</v>
      </c>
      <c r="AP514">
        <v>0</v>
      </c>
      <c r="AQ514">
        <v>0</v>
      </c>
    </row>
    <row r="515" spans="1:43" x14ac:dyDescent="0.3">
      <c r="A515" t="s">
        <v>199</v>
      </c>
      <c r="B515" t="s">
        <v>212</v>
      </c>
      <c r="C515" s="4" t="s">
        <v>40</v>
      </c>
      <c r="D515" s="1">
        <v>1968</v>
      </c>
      <c r="E515">
        <v>19</v>
      </c>
      <c r="F515">
        <v>14</v>
      </c>
      <c r="G515">
        <v>0</v>
      </c>
      <c r="H515" s="1">
        <v>0</v>
      </c>
      <c r="I515">
        <v>30</v>
      </c>
      <c r="J515">
        <v>0</v>
      </c>
      <c r="K515">
        <v>795</v>
      </c>
      <c r="L515">
        <v>13</v>
      </c>
      <c r="M515">
        <v>0</v>
      </c>
      <c r="N515">
        <v>53</v>
      </c>
      <c r="O515">
        <v>0</v>
      </c>
      <c r="P515">
        <v>47</v>
      </c>
      <c r="Q515">
        <v>0</v>
      </c>
      <c r="R515">
        <v>0</v>
      </c>
      <c r="S515">
        <v>0</v>
      </c>
      <c r="T515">
        <v>17</v>
      </c>
      <c r="U515">
        <v>13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23</v>
      </c>
      <c r="AD515">
        <v>0</v>
      </c>
      <c r="AE515">
        <v>0</v>
      </c>
      <c r="AF515">
        <v>0</v>
      </c>
      <c r="AG515">
        <v>10</v>
      </c>
      <c r="AH515">
        <v>20</v>
      </c>
      <c r="AI515">
        <v>5</v>
      </c>
      <c r="AJ515">
        <v>0</v>
      </c>
      <c r="AK515">
        <v>22</v>
      </c>
      <c r="AL515">
        <v>110</v>
      </c>
      <c r="AM515">
        <v>75</v>
      </c>
      <c r="AN515">
        <v>0</v>
      </c>
      <c r="AO515">
        <v>0</v>
      </c>
      <c r="AP515">
        <v>3</v>
      </c>
      <c r="AQ515">
        <v>698</v>
      </c>
    </row>
    <row r="516" spans="1:43" x14ac:dyDescent="0.3">
      <c r="A516" t="s">
        <v>199</v>
      </c>
      <c r="B516" t="s">
        <v>212</v>
      </c>
      <c r="C516" s="4" t="s">
        <v>43</v>
      </c>
      <c r="D516" s="1">
        <v>1403</v>
      </c>
      <c r="E516">
        <v>10</v>
      </c>
      <c r="F516">
        <v>14</v>
      </c>
      <c r="G516">
        <v>0</v>
      </c>
      <c r="H516" s="1">
        <v>0</v>
      </c>
      <c r="I516">
        <v>24</v>
      </c>
      <c r="J516">
        <v>0</v>
      </c>
      <c r="K516">
        <v>458</v>
      </c>
      <c r="L516">
        <v>7</v>
      </c>
      <c r="M516">
        <v>0</v>
      </c>
      <c r="N516">
        <v>22</v>
      </c>
      <c r="O516">
        <v>0</v>
      </c>
      <c r="P516">
        <v>9</v>
      </c>
      <c r="Q516">
        <v>0</v>
      </c>
      <c r="R516">
        <v>0</v>
      </c>
      <c r="S516">
        <v>0</v>
      </c>
      <c r="T516">
        <v>13</v>
      </c>
      <c r="U516">
        <v>13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7</v>
      </c>
      <c r="AD516">
        <v>0</v>
      </c>
      <c r="AE516">
        <v>0</v>
      </c>
      <c r="AF516">
        <v>0</v>
      </c>
      <c r="AG516">
        <v>3</v>
      </c>
      <c r="AH516">
        <v>7</v>
      </c>
      <c r="AI516">
        <v>0</v>
      </c>
      <c r="AJ516">
        <v>0</v>
      </c>
      <c r="AK516">
        <v>17</v>
      </c>
      <c r="AL516">
        <v>40</v>
      </c>
      <c r="AM516">
        <v>59</v>
      </c>
      <c r="AN516">
        <v>0</v>
      </c>
      <c r="AO516">
        <v>0</v>
      </c>
      <c r="AP516">
        <v>1</v>
      </c>
      <c r="AQ516">
        <v>698</v>
      </c>
    </row>
    <row r="517" spans="1:43" x14ac:dyDescent="0.3">
      <c r="A517" t="s">
        <v>199</v>
      </c>
      <c r="B517" t="s">
        <v>212</v>
      </c>
      <c r="C517" s="4" t="s">
        <v>44</v>
      </c>
      <c r="D517">
        <v>565</v>
      </c>
      <c r="E517">
        <v>9</v>
      </c>
      <c r="F517">
        <v>0</v>
      </c>
      <c r="G517">
        <v>0</v>
      </c>
      <c r="H517" s="1">
        <v>0</v>
      </c>
      <c r="I517">
        <v>6</v>
      </c>
      <c r="J517">
        <v>0</v>
      </c>
      <c r="K517">
        <v>337</v>
      </c>
      <c r="L517">
        <v>6</v>
      </c>
      <c r="M517">
        <v>0</v>
      </c>
      <c r="N517">
        <v>31</v>
      </c>
      <c r="O517">
        <v>0</v>
      </c>
      <c r="P517">
        <v>38</v>
      </c>
      <c r="Q517">
        <v>0</v>
      </c>
      <c r="R517">
        <v>0</v>
      </c>
      <c r="S517">
        <v>0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16</v>
      </c>
      <c r="AD517">
        <v>0</v>
      </c>
      <c r="AE517">
        <v>0</v>
      </c>
      <c r="AF517">
        <v>0</v>
      </c>
      <c r="AG517">
        <v>7</v>
      </c>
      <c r="AH517">
        <v>13</v>
      </c>
      <c r="AI517">
        <v>5</v>
      </c>
      <c r="AJ517">
        <v>0</v>
      </c>
      <c r="AK517">
        <v>5</v>
      </c>
      <c r="AL517">
        <v>70</v>
      </c>
      <c r="AM517">
        <v>16</v>
      </c>
      <c r="AN517">
        <v>0</v>
      </c>
      <c r="AO517">
        <v>0</v>
      </c>
      <c r="AP517">
        <v>2</v>
      </c>
      <c r="AQ517">
        <v>0</v>
      </c>
    </row>
    <row r="518" spans="1:43" x14ac:dyDescent="0.3">
      <c r="A518" t="s">
        <v>199</v>
      </c>
      <c r="B518" t="s">
        <v>213</v>
      </c>
      <c r="C518" s="4" t="s">
        <v>40</v>
      </c>
      <c r="D518" s="1">
        <v>1966</v>
      </c>
      <c r="E518">
        <v>0</v>
      </c>
      <c r="F518">
        <v>0</v>
      </c>
      <c r="G518">
        <v>0</v>
      </c>
      <c r="H518" s="1">
        <v>0</v>
      </c>
      <c r="I518">
        <v>49</v>
      </c>
      <c r="J518">
        <v>0</v>
      </c>
      <c r="K518">
        <v>216</v>
      </c>
      <c r="L518">
        <v>0</v>
      </c>
      <c r="M518">
        <v>0</v>
      </c>
      <c r="N518">
        <v>30</v>
      </c>
      <c r="O518">
        <v>0</v>
      </c>
      <c r="P518">
        <v>10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3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4</v>
      </c>
      <c r="AM518">
        <v>0</v>
      </c>
      <c r="AN518">
        <v>0</v>
      </c>
      <c r="AO518">
        <v>0</v>
      </c>
      <c r="AP518">
        <v>6</v>
      </c>
      <c r="AQ518" s="1">
        <v>1645</v>
      </c>
    </row>
    <row r="519" spans="1:43" x14ac:dyDescent="0.3">
      <c r="A519" t="s">
        <v>199</v>
      </c>
      <c r="B519" t="s">
        <v>213</v>
      </c>
      <c r="C519" s="4" t="s">
        <v>43</v>
      </c>
      <c r="D519" s="1">
        <v>1792</v>
      </c>
      <c r="E519">
        <v>0</v>
      </c>
      <c r="F519">
        <v>0</v>
      </c>
      <c r="G519">
        <v>0</v>
      </c>
      <c r="H519" s="1">
        <v>0</v>
      </c>
      <c r="I519">
        <v>40</v>
      </c>
      <c r="J519">
        <v>0</v>
      </c>
      <c r="K519">
        <v>89</v>
      </c>
      <c r="L519">
        <v>0</v>
      </c>
      <c r="M519">
        <v>0</v>
      </c>
      <c r="N519">
        <v>9</v>
      </c>
      <c r="O519">
        <v>0</v>
      </c>
      <c r="P519">
        <v>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2</v>
      </c>
      <c r="AQ519" s="1">
        <v>1645</v>
      </c>
    </row>
    <row r="520" spans="1:43" x14ac:dyDescent="0.3">
      <c r="A520" t="s">
        <v>199</v>
      </c>
      <c r="B520" t="s">
        <v>213</v>
      </c>
      <c r="C520" s="4" t="s">
        <v>44</v>
      </c>
      <c r="D520">
        <v>174</v>
      </c>
      <c r="E520">
        <v>0</v>
      </c>
      <c r="F520">
        <v>0</v>
      </c>
      <c r="G520">
        <v>0</v>
      </c>
      <c r="H520" s="1">
        <v>0</v>
      </c>
      <c r="I520">
        <v>9</v>
      </c>
      <c r="J520">
        <v>0</v>
      </c>
      <c r="K520">
        <v>127</v>
      </c>
      <c r="L520">
        <v>0</v>
      </c>
      <c r="M520">
        <v>0</v>
      </c>
      <c r="N520">
        <v>21</v>
      </c>
      <c r="O520">
        <v>0</v>
      </c>
      <c r="P520">
        <v>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4</v>
      </c>
      <c r="AM520">
        <v>0</v>
      </c>
      <c r="AN520">
        <v>0</v>
      </c>
      <c r="AO520">
        <v>0</v>
      </c>
      <c r="AP520">
        <v>4</v>
      </c>
      <c r="AQ520">
        <v>0</v>
      </c>
    </row>
    <row r="521" spans="1:43" x14ac:dyDescent="0.3">
      <c r="A521" t="s">
        <v>199</v>
      </c>
      <c r="B521" t="s">
        <v>214</v>
      </c>
      <c r="C521" s="4" t="s">
        <v>40</v>
      </c>
      <c r="D521" s="1">
        <v>1093</v>
      </c>
      <c r="E521">
        <v>7</v>
      </c>
      <c r="F521">
        <v>16</v>
      </c>
      <c r="G521">
        <v>1</v>
      </c>
      <c r="H521" s="1">
        <v>0</v>
      </c>
      <c r="I521">
        <v>8</v>
      </c>
      <c r="J521">
        <v>0</v>
      </c>
      <c r="K521">
        <v>629</v>
      </c>
      <c r="L521">
        <v>0</v>
      </c>
      <c r="M521">
        <v>0</v>
      </c>
      <c r="N521">
        <v>118</v>
      </c>
      <c r="O521">
        <v>0</v>
      </c>
      <c r="P521">
        <v>29</v>
      </c>
      <c r="Q521">
        <v>0</v>
      </c>
      <c r="R521">
        <v>3</v>
      </c>
      <c r="S521">
        <v>0</v>
      </c>
      <c r="T521">
        <v>2</v>
      </c>
      <c r="U521">
        <v>0</v>
      </c>
      <c r="V521">
        <v>11</v>
      </c>
      <c r="W521">
        <v>3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18</v>
      </c>
      <c r="AD521">
        <v>0</v>
      </c>
      <c r="AE521">
        <v>0</v>
      </c>
      <c r="AF521">
        <v>0</v>
      </c>
      <c r="AG521">
        <v>4</v>
      </c>
      <c r="AH521">
        <v>13</v>
      </c>
      <c r="AI521">
        <v>2</v>
      </c>
      <c r="AJ521">
        <v>0</v>
      </c>
      <c r="AK521">
        <v>4</v>
      </c>
      <c r="AL521">
        <v>15</v>
      </c>
      <c r="AM521">
        <v>20</v>
      </c>
      <c r="AN521">
        <v>0</v>
      </c>
      <c r="AO521">
        <v>0</v>
      </c>
      <c r="AP521">
        <v>13</v>
      </c>
      <c r="AQ521">
        <v>175</v>
      </c>
    </row>
    <row r="522" spans="1:43" x14ac:dyDescent="0.3">
      <c r="A522" t="s">
        <v>199</v>
      </c>
      <c r="B522" t="s">
        <v>214</v>
      </c>
      <c r="C522" s="4" t="s">
        <v>43</v>
      </c>
      <c r="D522">
        <v>723</v>
      </c>
      <c r="E522">
        <v>3</v>
      </c>
      <c r="F522">
        <v>9</v>
      </c>
      <c r="G522">
        <v>1</v>
      </c>
      <c r="H522" s="1">
        <v>0</v>
      </c>
      <c r="I522">
        <v>4</v>
      </c>
      <c r="J522">
        <v>0</v>
      </c>
      <c r="K522">
        <v>373</v>
      </c>
      <c r="L522">
        <v>0</v>
      </c>
      <c r="M522">
        <v>0</v>
      </c>
      <c r="N522">
        <v>70</v>
      </c>
      <c r="O522">
        <v>0</v>
      </c>
      <c r="P522">
        <v>24</v>
      </c>
      <c r="Q522">
        <v>0</v>
      </c>
      <c r="R522">
        <v>1</v>
      </c>
      <c r="S522">
        <v>0</v>
      </c>
      <c r="T522">
        <v>2</v>
      </c>
      <c r="U522">
        <v>0</v>
      </c>
      <c r="V522">
        <v>4</v>
      </c>
      <c r="W522">
        <v>3</v>
      </c>
      <c r="X522">
        <v>0</v>
      </c>
      <c r="Y522">
        <v>2</v>
      </c>
      <c r="Z522">
        <v>0</v>
      </c>
      <c r="AA522">
        <v>0</v>
      </c>
      <c r="AB522">
        <v>0</v>
      </c>
      <c r="AC522">
        <v>13</v>
      </c>
      <c r="AD522">
        <v>0</v>
      </c>
      <c r="AE522">
        <v>0</v>
      </c>
      <c r="AF522">
        <v>0</v>
      </c>
      <c r="AG522">
        <v>0</v>
      </c>
      <c r="AH522">
        <v>5</v>
      </c>
      <c r="AI522">
        <v>2</v>
      </c>
      <c r="AJ522">
        <v>0</v>
      </c>
      <c r="AK522">
        <v>2</v>
      </c>
      <c r="AL522">
        <v>14</v>
      </c>
      <c r="AM522">
        <v>15</v>
      </c>
      <c r="AN522">
        <v>0</v>
      </c>
      <c r="AO522">
        <v>0</v>
      </c>
      <c r="AP522">
        <v>1</v>
      </c>
      <c r="AQ522">
        <v>175</v>
      </c>
    </row>
    <row r="523" spans="1:43" x14ac:dyDescent="0.3">
      <c r="A523" t="s">
        <v>199</v>
      </c>
      <c r="B523" t="s">
        <v>214</v>
      </c>
      <c r="C523" s="4" t="s">
        <v>44</v>
      </c>
      <c r="D523">
        <v>370</v>
      </c>
      <c r="E523">
        <v>4</v>
      </c>
      <c r="F523">
        <v>7</v>
      </c>
      <c r="G523">
        <v>0</v>
      </c>
      <c r="H523" s="1">
        <v>0</v>
      </c>
      <c r="I523">
        <v>4</v>
      </c>
      <c r="J523">
        <v>0</v>
      </c>
      <c r="K523">
        <v>256</v>
      </c>
      <c r="L523">
        <v>0</v>
      </c>
      <c r="M523">
        <v>0</v>
      </c>
      <c r="N523">
        <v>48</v>
      </c>
      <c r="O523">
        <v>0</v>
      </c>
      <c r="P523">
        <v>5</v>
      </c>
      <c r="Q523">
        <v>0</v>
      </c>
      <c r="R523">
        <v>2</v>
      </c>
      <c r="S523">
        <v>0</v>
      </c>
      <c r="T523">
        <v>0</v>
      </c>
      <c r="U523">
        <v>0</v>
      </c>
      <c r="V523">
        <v>7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5</v>
      </c>
      <c r="AD523">
        <v>0</v>
      </c>
      <c r="AE523">
        <v>0</v>
      </c>
      <c r="AF523">
        <v>0</v>
      </c>
      <c r="AG523">
        <v>4</v>
      </c>
      <c r="AH523">
        <v>8</v>
      </c>
      <c r="AI523">
        <v>0</v>
      </c>
      <c r="AJ523">
        <v>0</v>
      </c>
      <c r="AK523">
        <v>2</v>
      </c>
      <c r="AL523">
        <v>1</v>
      </c>
      <c r="AM523">
        <v>5</v>
      </c>
      <c r="AN523">
        <v>0</v>
      </c>
      <c r="AO523">
        <v>0</v>
      </c>
      <c r="AP523">
        <v>12</v>
      </c>
      <c r="AQ523">
        <v>0</v>
      </c>
    </row>
    <row r="524" spans="1:43" x14ac:dyDescent="0.3">
      <c r="A524" t="s">
        <v>199</v>
      </c>
      <c r="B524" t="s">
        <v>215</v>
      </c>
      <c r="C524" s="4" t="s">
        <v>40</v>
      </c>
      <c r="D524">
        <v>857</v>
      </c>
      <c r="E524">
        <v>7</v>
      </c>
      <c r="F524">
        <v>24</v>
      </c>
      <c r="G524">
        <v>0</v>
      </c>
      <c r="H524" s="1">
        <v>0</v>
      </c>
      <c r="I524">
        <v>8</v>
      </c>
      <c r="J524">
        <v>0</v>
      </c>
      <c r="K524">
        <v>421</v>
      </c>
      <c r="L524">
        <v>0</v>
      </c>
      <c r="M524">
        <v>0</v>
      </c>
      <c r="N524">
        <v>158</v>
      </c>
      <c r="O524">
        <v>0</v>
      </c>
      <c r="P524">
        <v>38</v>
      </c>
      <c r="Q524">
        <v>0</v>
      </c>
      <c r="R524">
        <v>0</v>
      </c>
      <c r="S524">
        <v>0</v>
      </c>
      <c r="T524">
        <v>4</v>
      </c>
      <c r="U524">
        <v>0</v>
      </c>
      <c r="V524">
        <v>18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</v>
      </c>
      <c r="AC524">
        <v>10</v>
      </c>
      <c r="AD524">
        <v>0</v>
      </c>
      <c r="AE524">
        <v>0</v>
      </c>
      <c r="AF524">
        <v>0</v>
      </c>
      <c r="AG524">
        <v>1</v>
      </c>
      <c r="AH524">
        <v>17</v>
      </c>
      <c r="AI524">
        <v>0</v>
      </c>
      <c r="AJ524">
        <v>0</v>
      </c>
      <c r="AK524">
        <v>2</v>
      </c>
      <c r="AL524">
        <v>0</v>
      </c>
      <c r="AM524">
        <v>93</v>
      </c>
      <c r="AN524">
        <v>0</v>
      </c>
      <c r="AO524">
        <v>0</v>
      </c>
      <c r="AP524">
        <v>12</v>
      </c>
      <c r="AQ524">
        <v>42</v>
      </c>
    </row>
    <row r="525" spans="1:43" x14ac:dyDescent="0.3">
      <c r="A525" t="s">
        <v>199</v>
      </c>
      <c r="B525" t="s">
        <v>215</v>
      </c>
      <c r="C525" s="4" t="s">
        <v>43</v>
      </c>
      <c r="D525">
        <v>633</v>
      </c>
      <c r="E525">
        <v>5</v>
      </c>
      <c r="F525">
        <v>16</v>
      </c>
      <c r="G525">
        <v>0</v>
      </c>
      <c r="H525" s="1">
        <v>0</v>
      </c>
      <c r="I525">
        <v>3</v>
      </c>
      <c r="J525">
        <v>0</v>
      </c>
      <c r="K525">
        <v>308</v>
      </c>
      <c r="L525">
        <v>0</v>
      </c>
      <c r="M525">
        <v>0</v>
      </c>
      <c r="N525">
        <v>113</v>
      </c>
      <c r="O525">
        <v>0</v>
      </c>
      <c r="P525">
        <v>26</v>
      </c>
      <c r="Q525">
        <v>0</v>
      </c>
      <c r="R525">
        <v>0</v>
      </c>
      <c r="S525">
        <v>0</v>
      </c>
      <c r="T525">
        <v>2</v>
      </c>
      <c r="U525">
        <v>0</v>
      </c>
      <c r="V525">
        <v>14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</v>
      </c>
      <c r="AC525">
        <v>9</v>
      </c>
      <c r="AD525">
        <v>0</v>
      </c>
      <c r="AE525">
        <v>0</v>
      </c>
      <c r="AF525">
        <v>0</v>
      </c>
      <c r="AG525">
        <v>0</v>
      </c>
      <c r="AH525">
        <v>8</v>
      </c>
      <c r="AI525">
        <v>0</v>
      </c>
      <c r="AJ525">
        <v>0</v>
      </c>
      <c r="AK525">
        <v>2</v>
      </c>
      <c r="AL525">
        <v>0</v>
      </c>
      <c r="AM525">
        <v>71</v>
      </c>
      <c r="AN525">
        <v>0</v>
      </c>
      <c r="AO525">
        <v>0</v>
      </c>
      <c r="AP525">
        <v>12</v>
      </c>
      <c r="AQ525">
        <v>42</v>
      </c>
    </row>
    <row r="526" spans="1:43" x14ac:dyDescent="0.3">
      <c r="A526" t="s">
        <v>199</v>
      </c>
      <c r="B526" t="s">
        <v>215</v>
      </c>
      <c r="C526" s="4" t="s">
        <v>44</v>
      </c>
      <c r="D526">
        <v>224</v>
      </c>
      <c r="E526">
        <v>2</v>
      </c>
      <c r="F526">
        <v>8</v>
      </c>
      <c r="G526">
        <v>0</v>
      </c>
      <c r="H526" s="1">
        <v>0</v>
      </c>
      <c r="I526">
        <v>5</v>
      </c>
      <c r="J526">
        <v>0</v>
      </c>
      <c r="K526">
        <v>113</v>
      </c>
      <c r="L526">
        <v>0</v>
      </c>
      <c r="M526">
        <v>0</v>
      </c>
      <c r="N526">
        <v>45</v>
      </c>
      <c r="O526">
        <v>0</v>
      </c>
      <c r="P526">
        <v>12</v>
      </c>
      <c r="Q526">
        <v>0</v>
      </c>
      <c r="R526">
        <v>0</v>
      </c>
      <c r="S526">
        <v>0</v>
      </c>
      <c r="T526">
        <v>2</v>
      </c>
      <c r="U526">
        <v>0</v>
      </c>
      <c r="V526">
        <v>4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1</v>
      </c>
      <c r="AH526">
        <v>9</v>
      </c>
      <c r="AI526">
        <v>0</v>
      </c>
      <c r="AJ526">
        <v>0</v>
      </c>
      <c r="AK526">
        <v>0</v>
      </c>
      <c r="AL526">
        <v>0</v>
      </c>
      <c r="AM526">
        <v>22</v>
      </c>
      <c r="AN526">
        <v>0</v>
      </c>
      <c r="AO526">
        <v>0</v>
      </c>
      <c r="AP526">
        <v>0</v>
      </c>
      <c r="AQ526">
        <v>0</v>
      </c>
    </row>
    <row r="527" spans="1:43" x14ac:dyDescent="0.3">
      <c r="A527" t="s">
        <v>199</v>
      </c>
      <c r="B527" t="s">
        <v>216</v>
      </c>
      <c r="C527" s="4" t="s">
        <v>40</v>
      </c>
      <c r="D527">
        <v>631</v>
      </c>
      <c r="E527">
        <v>41</v>
      </c>
      <c r="F527">
        <v>41</v>
      </c>
      <c r="G527">
        <v>2</v>
      </c>
      <c r="H527" s="1">
        <v>0</v>
      </c>
      <c r="I527">
        <v>6</v>
      </c>
      <c r="J527">
        <v>0</v>
      </c>
      <c r="K527">
        <v>456</v>
      </c>
      <c r="L527">
        <v>1</v>
      </c>
      <c r="M527">
        <v>0</v>
      </c>
      <c r="N527">
        <v>18</v>
      </c>
      <c r="O527">
        <v>0</v>
      </c>
      <c r="P527">
        <v>10</v>
      </c>
      <c r="Q527">
        <v>0</v>
      </c>
      <c r="R527">
        <v>0</v>
      </c>
      <c r="S527">
        <v>0</v>
      </c>
      <c r="T527">
        <v>3</v>
      </c>
      <c r="U527">
        <v>3</v>
      </c>
      <c r="V527">
        <v>2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8</v>
      </c>
      <c r="AC527">
        <v>2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4</v>
      </c>
      <c r="AM527">
        <v>10</v>
      </c>
      <c r="AN527">
        <v>0</v>
      </c>
      <c r="AO527">
        <v>0</v>
      </c>
      <c r="AP527">
        <v>0</v>
      </c>
      <c r="AQ527">
        <v>21</v>
      </c>
    </row>
    <row r="528" spans="1:43" x14ac:dyDescent="0.3">
      <c r="A528" t="s">
        <v>199</v>
      </c>
      <c r="B528" t="s">
        <v>216</v>
      </c>
      <c r="C528" s="4" t="s">
        <v>43</v>
      </c>
      <c r="D528">
        <v>417</v>
      </c>
      <c r="E528">
        <v>30</v>
      </c>
      <c r="F528">
        <v>29</v>
      </c>
      <c r="G528">
        <v>0</v>
      </c>
      <c r="H528" s="1">
        <v>0</v>
      </c>
      <c r="I528">
        <v>5</v>
      </c>
      <c r="J528">
        <v>0</v>
      </c>
      <c r="K528">
        <v>288</v>
      </c>
      <c r="L528">
        <v>1</v>
      </c>
      <c r="M528">
        <v>0</v>
      </c>
      <c r="N528">
        <v>12</v>
      </c>
      <c r="O528">
        <v>0</v>
      </c>
      <c r="P528">
        <v>7</v>
      </c>
      <c r="Q528">
        <v>0</v>
      </c>
      <c r="R528">
        <v>0</v>
      </c>
      <c r="S528">
        <v>0</v>
      </c>
      <c r="T528">
        <v>3</v>
      </c>
      <c r="U528">
        <v>3</v>
      </c>
      <c r="V528">
        <v>0</v>
      </c>
      <c r="W528">
        <v>0</v>
      </c>
      <c r="X528">
        <v>0</v>
      </c>
      <c r="Y528">
        <v>2</v>
      </c>
      <c r="Z528">
        <v>0</v>
      </c>
      <c r="AA528">
        <v>0</v>
      </c>
      <c r="AB528">
        <v>4</v>
      </c>
      <c r="AC528">
        <v>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3</v>
      </c>
      <c r="AM528">
        <v>7</v>
      </c>
      <c r="AN528">
        <v>0</v>
      </c>
      <c r="AO528">
        <v>0</v>
      </c>
      <c r="AP528">
        <v>0</v>
      </c>
      <c r="AQ528">
        <v>21</v>
      </c>
    </row>
    <row r="529" spans="1:43" x14ac:dyDescent="0.3">
      <c r="A529" t="s">
        <v>199</v>
      </c>
      <c r="B529" t="s">
        <v>216</v>
      </c>
      <c r="C529" s="4" t="s">
        <v>44</v>
      </c>
      <c r="D529">
        <v>214</v>
      </c>
      <c r="E529">
        <v>11</v>
      </c>
      <c r="F529">
        <v>12</v>
      </c>
      <c r="G529">
        <v>2</v>
      </c>
      <c r="H529" s="1">
        <v>0</v>
      </c>
      <c r="I529">
        <v>1</v>
      </c>
      <c r="J529">
        <v>0</v>
      </c>
      <c r="K529">
        <v>168</v>
      </c>
      <c r="L529">
        <v>0</v>
      </c>
      <c r="M529">
        <v>0</v>
      </c>
      <c r="N529">
        <v>6</v>
      </c>
      <c r="O529">
        <v>0</v>
      </c>
      <c r="P529">
        <v>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4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1</v>
      </c>
      <c r="AM529">
        <v>3</v>
      </c>
      <c r="AN529">
        <v>0</v>
      </c>
      <c r="AO529">
        <v>0</v>
      </c>
      <c r="AP529">
        <v>0</v>
      </c>
      <c r="AQ529">
        <v>0</v>
      </c>
    </row>
    <row r="530" spans="1:43" x14ac:dyDescent="0.3">
      <c r="A530" t="s">
        <v>199</v>
      </c>
      <c r="B530" t="s">
        <v>217</v>
      </c>
      <c r="C530" s="4" t="s">
        <v>40</v>
      </c>
      <c r="D530">
        <v>624</v>
      </c>
      <c r="E530">
        <v>16</v>
      </c>
      <c r="F530">
        <v>18</v>
      </c>
      <c r="G530">
        <v>0</v>
      </c>
      <c r="H530" s="1">
        <v>0</v>
      </c>
      <c r="I530">
        <v>4</v>
      </c>
      <c r="J530">
        <v>0</v>
      </c>
      <c r="K530">
        <v>416</v>
      </c>
      <c r="L530">
        <v>0</v>
      </c>
      <c r="M530">
        <v>0</v>
      </c>
      <c r="N530">
        <v>48</v>
      </c>
      <c r="O530">
        <v>0</v>
      </c>
      <c r="P530">
        <v>49</v>
      </c>
      <c r="Q530">
        <v>0</v>
      </c>
      <c r="R530">
        <v>2</v>
      </c>
      <c r="S530">
        <v>0</v>
      </c>
      <c r="T530">
        <v>0</v>
      </c>
      <c r="U530">
        <v>0</v>
      </c>
      <c r="V530">
        <v>3</v>
      </c>
      <c r="W530">
        <v>0</v>
      </c>
      <c r="X530">
        <v>0</v>
      </c>
      <c r="Y530">
        <v>4</v>
      </c>
      <c r="Z530">
        <v>0</v>
      </c>
      <c r="AA530">
        <v>0</v>
      </c>
      <c r="AB530">
        <v>0</v>
      </c>
      <c r="AC530">
        <v>16</v>
      </c>
      <c r="AD530">
        <v>0</v>
      </c>
      <c r="AE530">
        <v>0</v>
      </c>
      <c r="AF530">
        <v>0</v>
      </c>
      <c r="AG530">
        <v>0</v>
      </c>
      <c r="AH530">
        <v>22</v>
      </c>
      <c r="AI530">
        <v>8</v>
      </c>
      <c r="AJ530">
        <v>0</v>
      </c>
      <c r="AK530">
        <v>9</v>
      </c>
      <c r="AL530">
        <v>0</v>
      </c>
      <c r="AM530">
        <v>4</v>
      </c>
      <c r="AN530">
        <v>0</v>
      </c>
      <c r="AO530">
        <v>0</v>
      </c>
      <c r="AP530">
        <v>0</v>
      </c>
      <c r="AQ530">
        <v>5</v>
      </c>
    </row>
    <row r="531" spans="1:43" x14ac:dyDescent="0.3">
      <c r="A531" t="s">
        <v>199</v>
      </c>
      <c r="B531" t="s">
        <v>217</v>
      </c>
      <c r="C531" s="4" t="s">
        <v>43</v>
      </c>
      <c r="D531">
        <v>439</v>
      </c>
      <c r="E531">
        <v>7</v>
      </c>
      <c r="F531">
        <v>10</v>
      </c>
      <c r="G531">
        <v>0</v>
      </c>
      <c r="H531" s="1">
        <v>0</v>
      </c>
      <c r="I531">
        <v>4</v>
      </c>
      <c r="J531">
        <v>0</v>
      </c>
      <c r="K531">
        <v>293</v>
      </c>
      <c r="L531">
        <v>0</v>
      </c>
      <c r="M531">
        <v>0</v>
      </c>
      <c r="N531">
        <v>31</v>
      </c>
      <c r="O531">
        <v>0</v>
      </c>
      <c r="P531">
        <v>37</v>
      </c>
      <c r="Q531">
        <v>0</v>
      </c>
      <c r="R531">
        <v>2</v>
      </c>
      <c r="S531">
        <v>0</v>
      </c>
      <c r="T531">
        <v>0</v>
      </c>
      <c r="U531">
        <v>0</v>
      </c>
      <c r="V531">
        <v>3</v>
      </c>
      <c r="W531">
        <v>0</v>
      </c>
      <c r="X531">
        <v>0</v>
      </c>
      <c r="Y531">
        <v>4</v>
      </c>
      <c r="Z531">
        <v>0</v>
      </c>
      <c r="AA531">
        <v>0</v>
      </c>
      <c r="AB531">
        <v>0</v>
      </c>
      <c r="AC531">
        <v>16</v>
      </c>
      <c r="AD531">
        <v>0</v>
      </c>
      <c r="AE531">
        <v>0</v>
      </c>
      <c r="AF531">
        <v>0</v>
      </c>
      <c r="AG531">
        <v>0</v>
      </c>
      <c r="AH531">
        <v>15</v>
      </c>
      <c r="AI531">
        <v>0</v>
      </c>
      <c r="AJ531">
        <v>0</v>
      </c>
      <c r="AK531">
        <v>8</v>
      </c>
      <c r="AL531">
        <v>0</v>
      </c>
      <c r="AM531">
        <v>4</v>
      </c>
      <c r="AN531">
        <v>0</v>
      </c>
      <c r="AO531">
        <v>0</v>
      </c>
      <c r="AP531">
        <v>0</v>
      </c>
      <c r="AQ531">
        <v>5</v>
      </c>
    </row>
    <row r="532" spans="1:43" x14ac:dyDescent="0.3">
      <c r="A532" t="s">
        <v>199</v>
      </c>
      <c r="B532" t="s">
        <v>217</v>
      </c>
      <c r="C532" s="4" t="s">
        <v>44</v>
      </c>
      <c r="D532">
        <v>185</v>
      </c>
      <c r="E532">
        <v>9</v>
      </c>
      <c r="F532">
        <v>8</v>
      </c>
      <c r="G532">
        <v>0</v>
      </c>
      <c r="H532" s="1">
        <v>0</v>
      </c>
      <c r="I532">
        <v>0</v>
      </c>
      <c r="J532">
        <v>0</v>
      </c>
      <c r="K532">
        <v>123</v>
      </c>
      <c r="L532">
        <v>0</v>
      </c>
      <c r="M532">
        <v>0</v>
      </c>
      <c r="N532">
        <v>17</v>
      </c>
      <c r="O532">
        <v>0</v>
      </c>
      <c r="P532">
        <v>12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7</v>
      </c>
      <c r="AI532">
        <v>8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</row>
    <row r="533" spans="1:43" x14ac:dyDescent="0.3">
      <c r="A533" t="s">
        <v>199</v>
      </c>
      <c r="B533" t="s">
        <v>218</v>
      </c>
      <c r="C533" s="4" t="s">
        <v>40</v>
      </c>
      <c r="D533">
        <v>582</v>
      </c>
      <c r="E533">
        <v>3</v>
      </c>
      <c r="F533">
        <v>19</v>
      </c>
      <c r="G533">
        <v>8</v>
      </c>
      <c r="H533" s="1">
        <v>0</v>
      </c>
      <c r="I533">
        <v>5</v>
      </c>
      <c r="J533">
        <v>0</v>
      </c>
      <c r="K533">
        <v>333</v>
      </c>
      <c r="L533">
        <v>6</v>
      </c>
      <c r="M533">
        <v>0</v>
      </c>
      <c r="N533">
        <v>60</v>
      </c>
      <c r="O533">
        <v>0</v>
      </c>
      <c r="P533">
        <v>24</v>
      </c>
      <c r="Q533">
        <v>0</v>
      </c>
      <c r="R533">
        <v>0</v>
      </c>
      <c r="S533">
        <v>0</v>
      </c>
      <c r="T533">
        <v>3</v>
      </c>
      <c r="U533">
        <v>4</v>
      </c>
      <c r="V533">
        <v>9</v>
      </c>
      <c r="W533">
        <v>0</v>
      </c>
      <c r="X533">
        <v>0</v>
      </c>
      <c r="Y533">
        <v>4</v>
      </c>
      <c r="Z533">
        <v>0</v>
      </c>
      <c r="AA533">
        <v>0</v>
      </c>
      <c r="AB533">
        <v>3</v>
      </c>
      <c r="AC533">
        <v>3</v>
      </c>
      <c r="AD533">
        <v>0</v>
      </c>
      <c r="AE533">
        <v>0</v>
      </c>
      <c r="AF533">
        <v>0</v>
      </c>
      <c r="AG533">
        <v>2</v>
      </c>
      <c r="AH533">
        <v>9</v>
      </c>
      <c r="AI533">
        <v>1</v>
      </c>
      <c r="AJ533">
        <v>0</v>
      </c>
      <c r="AK533">
        <v>11</v>
      </c>
      <c r="AL533">
        <v>15</v>
      </c>
      <c r="AM533">
        <v>17</v>
      </c>
      <c r="AN533">
        <v>0</v>
      </c>
      <c r="AO533">
        <v>0</v>
      </c>
      <c r="AP533">
        <v>0</v>
      </c>
      <c r="AQ533">
        <v>43</v>
      </c>
    </row>
    <row r="534" spans="1:43" x14ac:dyDescent="0.3">
      <c r="A534" t="s">
        <v>199</v>
      </c>
      <c r="B534" t="s">
        <v>218</v>
      </c>
      <c r="C534" s="4" t="s">
        <v>43</v>
      </c>
      <c r="D534">
        <v>378</v>
      </c>
      <c r="E534">
        <v>3</v>
      </c>
      <c r="F534">
        <v>14</v>
      </c>
      <c r="G534">
        <v>6</v>
      </c>
      <c r="H534" s="1">
        <v>0</v>
      </c>
      <c r="I534">
        <v>5</v>
      </c>
      <c r="J534">
        <v>0</v>
      </c>
      <c r="K534">
        <v>190</v>
      </c>
      <c r="L534">
        <v>6</v>
      </c>
      <c r="M534">
        <v>0</v>
      </c>
      <c r="N534">
        <v>41</v>
      </c>
      <c r="O534">
        <v>0</v>
      </c>
      <c r="P534">
        <v>12</v>
      </c>
      <c r="Q534">
        <v>0</v>
      </c>
      <c r="R534">
        <v>0</v>
      </c>
      <c r="S534">
        <v>0</v>
      </c>
      <c r="T534">
        <v>3</v>
      </c>
      <c r="U534">
        <v>4</v>
      </c>
      <c r="V534">
        <v>8</v>
      </c>
      <c r="W534">
        <v>0</v>
      </c>
      <c r="X534">
        <v>0</v>
      </c>
      <c r="Y534">
        <v>3</v>
      </c>
      <c r="Z534">
        <v>0</v>
      </c>
      <c r="AA534">
        <v>0</v>
      </c>
      <c r="AB534">
        <v>0</v>
      </c>
      <c r="AC534">
        <v>3</v>
      </c>
      <c r="AD534">
        <v>0</v>
      </c>
      <c r="AE534">
        <v>0</v>
      </c>
      <c r="AF534">
        <v>0</v>
      </c>
      <c r="AG534">
        <v>1</v>
      </c>
      <c r="AH534">
        <v>6</v>
      </c>
      <c r="AI534">
        <v>0</v>
      </c>
      <c r="AJ534">
        <v>0</v>
      </c>
      <c r="AK534">
        <v>10</v>
      </c>
      <c r="AL534">
        <v>12</v>
      </c>
      <c r="AM534">
        <v>8</v>
      </c>
      <c r="AN534">
        <v>0</v>
      </c>
      <c r="AO534">
        <v>0</v>
      </c>
      <c r="AP534">
        <v>0</v>
      </c>
      <c r="AQ534">
        <v>43</v>
      </c>
    </row>
    <row r="535" spans="1:43" x14ac:dyDescent="0.3">
      <c r="A535" t="s">
        <v>199</v>
      </c>
      <c r="B535" t="s">
        <v>218</v>
      </c>
      <c r="C535" s="4" t="s">
        <v>44</v>
      </c>
      <c r="D535">
        <v>204</v>
      </c>
      <c r="E535">
        <v>0</v>
      </c>
      <c r="F535">
        <v>5</v>
      </c>
      <c r="G535">
        <v>2</v>
      </c>
      <c r="H535" s="1">
        <v>0</v>
      </c>
      <c r="I535">
        <v>0</v>
      </c>
      <c r="J535">
        <v>0</v>
      </c>
      <c r="K535">
        <v>143</v>
      </c>
      <c r="L535">
        <v>0</v>
      </c>
      <c r="M535">
        <v>0</v>
      </c>
      <c r="N535">
        <v>19</v>
      </c>
      <c r="O535">
        <v>0</v>
      </c>
      <c r="P535">
        <v>12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3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3</v>
      </c>
      <c r="AI535">
        <v>1</v>
      </c>
      <c r="AJ535">
        <v>0</v>
      </c>
      <c r="AK535">
        <v>1</v>
      </c>
      <c r="AL535">
        <v>3</v>
      </c>
      <c r="AM535">
        <v>9</v>
      </c>
      <c r="AN535">
        <v>0</v>
      </c>
      <c r="AO535">
        <v>0</v>
      </c>
      <c r="AP535">
        <v>0</v>
      </c>
      <c r="AQ535">
        <v>0</v>
      </c>
    </row>
    <row r="536" spans="1:43" x14ac:dyDescent="0.3">
      <c r="A536" t="s">
        <v>199</v>
      </c>
      <c r="B536" t="s">
        <v>219</v>
      </c>
      <c r="C536" s="4" t="s">
        <v>40</v>
      </c>
      <c r="D536">
        <v>497</v>
      </c>
      <c r="E536">
        <v>22</v>
      </c>
      <c r="F536">
        <v>39</v>
      </c>
      <c r="G536">
        <v>0</v>
      </c>
      <c r="H536" s="1">
        <v>0</v>
      </c>
      <c r="I536">
        <v>1</v>
      </c>
      <c r="J536">
        <v>0</v>
      </c>
      <c r="K536">
        <v>316</v>
      </c>
      <c r="L536">
        <v>8</v>
      </c>
      <c r="M536">
        <v>0</v>
      </c>
      <c r="N536">
        <v>20</v>
      </c>
      <c r="O536">
        <v>0</v>
      </c>
      <c r="P536">
        <v>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4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9</v>
      </c>
      <c r="AD536">
        <v>0</v>
      </c>
      <c r="AE536">
        <v>0</v>
      </c>
      <c r="AF536">
        <v>0</v>
      </c>
      <c r="AG536">
        <v>1</v>
      </c>
      <c r="AH536">
        <v>2</v>
      </c>
      <c r="AI536">
        <v>7</v>
      </c>
      <c r="AJ536">
        <v>0</v>
      </c>
      <c r="AK536">
        <v>0</v>
      </c>
      <c r="AL536">
        <v>26</v>
      </c>
      <c r="AM536">
        <v>20</v>
      </c>
      <c r="AN536">
        <v>0</v>
      </c>
      <c r="AO536">
        <v>0</v>
      </c>
      <c r="AP536">
        <v>0</v>
      </c>
      <c r="AQ536">
        <v>13</v>
      </c>
    </row>
    <row r="537" spans="1:43" x14ac:dyDescent="0.3">
      <c r="A537" t="s">
        <v>199</v>
      </c>
      <c r="B537" t="s">
        <v>219</v>
      </c>
      <c r="C537" s="4" t="s">
        <v>43</v>
      </c>
      <c r="D537">
        <v>376</v>
      </c>
      <c r="E537">
        <v>14</v>
      </c>
      <c r="F537">
        <v>33</v>
      </c>
      <c r="G537">
        <v>0</v>
      </c>
      <c r="H537" s="1">
        <v>0</v>
      </c>
      <c r="I537">
        <v>1</v>
      </c>
      <c r="J537">
        <v>0</v>
      </c>
      <c r="K537">
        <v>237</v>
      </c>
      <c r="L537">
        <v>7</v>
      </c>
      <c r="M537">
        <v>0</v>
      </c>
      <c r="N537">
        <v>11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8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7</v>
      </c>
      <c r="AJ537">
        <v>0</v>
      </c>
      <c r="AK537">
        <v>0</v>
      </c>
      <c r="AL537">
        <v>25</v>
      </c>
      <c r="AM537">
        <v>17</v>
      </c>
      <c r="AN537">
        <v>0</v>
      </c>
      <c r="AO537">
        <v>0</v>
      </c>
      <c r="AP537">
        <v>0</v>
      </c>
      <c r="AQ537">
        <v>13</v>
      </c>
    </row>
    <row r="538" spans="1:43" x14ac:dyDescent="0.3">
      <c r="A538" t="s">
        <v>199</v>
      </c>
      <c r="B538" t="s">
        <v>219</v>
      </c>
      <c r="C538" s="4" t="s">
        <v>44</v>
      </c>
      <c r="D538">
        <v>121</v>
      </c>
      <c r="E538">
        <v>8</v>
      </c>
      <c r="F538">
        <v>6</v>
      </c>
      <c r="G538">
        <v>0</v>
      </c>
      <c r="H538" s="1">
        <v>0</v>
      </c>
      <c r="I538">
        <v>0</v>
      </c>
      <c r="J538">
        <v>0</v>
      </c>
      <c r="K538">
        <v>79</v>
      </c>
      <c r="L538">
        <v>1</v>
      </c>
      <c r="M538">
        <v>0</v>
      </c>
      <c r="N538">
        <v>9</v>
      </c>
      <c r="O538">
        <v>0</v>
      </c>
      <c r="P538">
        <v>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4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1</v>
      </c>
      <c r="AH538">
        <v>1</v>
      </c>
      <c r="AI538">
        <v>0</v>
      </c>
      <c r="AJ538">
        <v>0</v>
      </c>
      <c r="AK538">
        <v>0</v>
      </c>
      <c r="AL538">
        <v>1</v>
      </c>
      <c r="AM538">
        <v>3</v>
      </c>
      <c r="AN538">
        <v>0</v>
      </c>
      <c r="AO538">
        <v>0</v>
      </c>
      <c r="AP538">
        <v>0</v>
      </c>
      <c r="AQ538">
        <v>0</v>
      </c>
    </row>
    <row r="539" spans="1:43" x14ac:dyDescent="0.3">
      <c r="A539" t="s">
        <v>199</v>
      </c>
      <c r="B539" t="s">
        <v>220</v>
      </c>
      <c r="C539" s="4" t="s">
        <v>40</v>
      </c>
      <c r="D539">
        <v>490</v>
      </c>
      <c r="E539">
        <v>13</v>
      </c>
      <c r="F539">
        <v>1</v>
      </c>
      <c r="G539">
        <v>0</v>
      </c>
      <c r="H539" s="1">
        <v>0</v>
      </c>
      <c r="I539">
        <v>2</v>
      </c>
      <c r="J539">
        <v>0</v>
      </c>
      <c r="K539">
        <v>268</v>
      </c>
      <c r="L539">
        <v>1</v>
      </c>
      <c r="M539">
        <v>0</v>
      </c>
      <c r="N539">
        <v>22</v>
      </c>
      <c r="O539">
        <v>0</v>
      </c>
      <c r="P539">
        <v>4</v>
      </c>
      <c r="Q539">
        <v>0</v>
      </c>
      <c r="R539">
        <v>0</v>
      </c>
      <c r="S539">
        <v>0</v>
      </c>
      <c r="T539">
        <v>35</v>
      </c>
      <c r="U539">
        <v>9</v>
      </c>
      <c r="V539">
        <v>2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20</v>
      </c>
      <c r="AD539">
        <v>0</v>
      </c>
      <c r="AE539">
        <v>0</v>
      </c>
      <c r="AF539">
        <v>0</v>
      </c>
      <c r="AG539">
        <v>1</v>
      </c>
      <c r="AH539">
        <v>15</v>
      </c>
      <c r="AI539">
        <v>6</v>
      </c>
      <c r="AJ539">
        <v>0</v>
      </c>
      <c r="AK539">
        <v>1</v>
      </c>
      <c r="AL539">
        <v>1</v>
      </c>
      <c r="AM539">
        <v>25</v>
      </c>
      <c r="AN539">
        <v>0</v>
      </c>
      <c r="AO539">
        <v>0</v>
      </c>
      <c r="AP539">
        <v>0</v>
      </c>
      <c r="AQ539">
        <v>63</v>
      </c>
    </row>
    <row r="540" spans="1:43" x14ac:dyDescent="0.3">
      <c r="A540" t="s">
        <v>199</v>
      </c>
      <c r="B540" t="s">
        <v>220</v>
      </c>
      <c r="C540" s="4" t="s">
        <v>43</v>
      </c>
      <c r="D540">
        <v>396</v>
      </c>
      <c r="E540">
        <v>7</v>
      </c>
      <c r="F540">
        <v>1</v>
      </c>
      <c r="G540">
        <v>0</v>
      </c>
      <c r="H540" s="1">
        <v>0</v>
      </c>
      <c r="I540">
        <v>2</v>
      </c>
      <c r="J540">
        <v>0</v>
      </c>
      <c r="K540">
        <v>217</v>
      </c>
      <c r="L540">
        <v>1</v>
      </c>
      <c r="M540">
        <v>0</v>
      </c>
      <c r="N540">
        <v>9</v>
      </c>
      <c r="O540">
        <v>0</v>
      </c>
      <c r="P540">
        <v>3</v>
      </c>
      <c r="Q540">
        <v>0</v>
      </c>
      <c r="R540">
        <v>0</v>
      </c>
      <c r="S540">
        <v>0</v>
      </c>
      <c r="T540">
        <v>35</v>
      </c>
      <c r="U540">
        <v>8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13</v>
      </c>
      <c r="AD540">
        <v>0</v>
      </c>
      <c r="AE540">
        <v>0</v>
      </c>
      <c r="AF540">
        <v>0</v>
      </c>
      <c r="AG540">
        <v>0</v>
      </c>
      <c r="AH540">
        <v>7</v>
      </c>
      <c r="AI540">
        <v>2</v>
      </c>
      <c r="AJ540">
        <v>0</v>
      </c>
      <c r="AK540">
        <v>1</v>
      </c>
      <c r="AL540">
        <v>1</v>
      </c>
      <c r="AM540">
        <v>25</v>
      </c>
      <c r="AN540">
        <v>0</v>
      </c>
      <c r="AO540">
        <v>0</v>
      </c>
      <c r="AP540">
        <v>0</v>
      </c>
      <c r="AQ540">
        <v>63</v>
      </c>
    </row>
    <row r="541" spans="1:43" x14ac:dyDescent="0.3">
      <c r="A541" t="s">
        <v>199</v>
      </c>
      <c r="B541" t="s">
        <v>220</v>
      </c>
      <c r="C541" s="4" t="s">
        <v>44</v>
      </c>
      <c r="D541">
        <v>94</v>
      </c>
      <c r="E541">
        <v>6</v>
      </c>
      <c r="F541">
        <v>0</v>
      </c>
      <c r="G541">
        <v>0</v>
      </c>
      <c r="H541" s="1">
        <v>0</v>
      </c>
      <c r="I541">
        <v>0</v>
      </c>
      <c r="J541">
        <v>0</v>
      </c>
      <c r="K541">
        <v>51</v>
      </c>
      <c r="L541">
        <v>0</v>
      </c>
      <c r="M541">
        <v>0</v>
      </c>
      <c r="N541">
        <v>13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7</v>
      </c>
      <c r="AD541">
        <v>0</v>
      </c>
      <c r="AE541">
        <v>0</v>
      </c>
      <c r="AF541">
        <v>0</v>
      </c>
      <c r="AG541">
        <v>1</v>
      </c>
      <c r="AH541">
        <v>8</v>
      </c>
      <c r="AI541">
        <v>4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spans="1:43" x14ac:dyDescent="0.3">
      <c r="A542" t="s">
        <v>199</v>
      </c>
      <c r="B542" t="s">
        <v>221</v>
      </c>
      <c r="C542" s="4" t="s">
        <v>40</v>
      </c>
      <c r="D542">
        <v>411</v>
      </c>
      <c r="E542">
        <v>3</v>
      </c>
      <c r="F542">
        <v>5</v>
      </c>
      <c r="G542">
        <v>0</v>
      </c>
      <c r="H542" s="1">
        <v>0</v>
      </c>
      <c r="I542">
        <v>3</v>
      </c>
      <c r="J542">
        <v>0</v>
      </c>
      <c r="K542">
        <v>111</v>
      </c>
      <c r="L542">
        <v>0</v>
      </c>
      <c r="M542">
        <v>0</v>
      </c>
      <c r="N542">
        <v>168</v>
      </c>
      <c r="O542">
        <v>0</v>
      </c>
      <c r="P542">
        <v>20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26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1</v>
      </c>
      <c r="AH542">
        <v>7</v>
      </c>
      <c r="AI542">
        <v>0</v>
      </c>
      <c r="AJ542">
        <v>0</v>
      </c>
      <c r="AK542">
        <v>7</v>
      </c>
      <c r="AL542">
        <v>1</v>
      </c>
      <c r="AM542">
        <v>57</v>
      </c>
      <c r="AN542">
        <v>0</v>
      </c>
      <c r="AO542">
        <v>0</v>
      </c>
      <c r="AP542">
        <v>0</v>
      </c>
      <c r="AQ542">
        <v>1</v>
      </c>
    </row>
    <row r="543" spans="1:43" x14ac:dyDescent="0.3">
      <c r="A543" t="s">
        <v>199</v>
      </c>
      <c r="B543" t="s">
        <v>221</v>
      </c>
      <c r="C543" s="4" t="s">
        <v>43</v>
      </c>
      <c r="D543">
        <v>335</v>
      </c>
      <c r="E543">
        <v>3</v>
      </c>
      <c r="F543">
        <v>4</v>
      </c>
      <c r="G543">
        <v>0</v>
      </c>
      <c r="H543" s="1">
        <v>0</v>
      </c>
      <c r="I543">
        <v>2</v>
      </c>
      <c r="J543">
        <v>0</v>
      </c>
      <c r="K543">
        <v>89</v>
      </c>
      <c r="L543">
        <v>0</v>
      </c>
      <c r="M543">
        <v>0</v>
      </c>
      <c r="N543">
        <v>137</v>
      </c>
      <c r="O543">
        <v>0</v>
      </c>
      <c r="P543">
        <v>13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19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5</v>
      </c>
      <c r="AI543">
        <v>0</v>
      </c>
      <c r="AJ543">
        <v>0</v>
      </c>
      <c r="AK543">
        <v>7</v>
      </c>
      <c r="AL543">
        <v>0</v>
      </c>
      <c r="AM543">
        <v>54</v>
      </c>
      <c r="AN543">
        <v>0</v>
      </c>
      <c r="AO543">
        <v>0</v>
      </c>
      <c r="AP543">
        <v>0</v>
      </c>
      <c r="AQ543">
        <v>1</v>
      </c>
    </row>
    <row r="544" spans="1:43" x14ac:dyDescent="0.3">
      <c r="A544" t="s">
        <v>199</v>
      </c>
      <c r="B544" t="s">
        <v>221</v>
      </c>
      <c r="C544" s="4" t="s">
        <v>44</v>
      </c>
      <c r="D544">
        <v>76</v>
      </c>
      <c r="E544">
        <v>0</v>
      </c>
      <c r="F544">
        <v>1</v>
      </c>
      <c r="G544">
        <v>0</v>
      </c>
      <c r="H544" s="1">
        <v>0</v>
      </c>
      <c r="I544">
        <v>1</v>
      </c>
      <c r="J544">
        <v>0</v>
      </c>
      <c r="K544">
        <v>22</v>
      </c>
      <c r="L544">
        <v>0</v>
      </c>
      <c r="M544">
        <v>0</v>
      </c>
      <c r="N544">
        <v>31</v>
      </c>
      <c r="O544">
        <v>0</v>
      </c>
      <c r="P544">
        <v>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7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2</v>
      </c>
      <c r="AI544">
        <v>0</v>
      </c>
      <c r="AJ544">
        <v>0</v>
      </c>
      <c r="AK544">
        <v>0</v>
      </c>
      <c r="AL544">
        <v>1</v>
      </c>
      <c r="AM544">
        <v>3</v>
      </c>
      <c r="AN544">
        <v>0</v>
      </c>
      <c r="AO544">
        <v>0</v>
      </c>
      <c r="AP544">
        <v>0</v>
      </c>
      <c r="AQ544">
        <v>0</v>
      </c>
    </row>
    <row r="545" spans="1:43" x14ac:dyDescent="0.3">
      <c r="A545" t="s">
        <v>199</v>
      </c>
      <c r="B545" t="s">
        <v>222</v>
      </c>
      <c r="C545" s="4" t="s">
        <v>40</v>
      </c>
      <c r="D545">
        <v>375</v>
      </c>
      <c r="E545">
        <v>4</v>
      </c>
      <c r="F545">
        <v>15</v>
      </c>
      <c r="G545">
        <v>1</v>
      </c>
      <c r="H545" s="1">
        <v>0</v>
      </c>
      <c r="I545">
        <v>7</v>
      </c>
      <c r="J545">
        <v>0</v>
      </c>
      <c r="K545">
        <v>57</v>
      </c>
      <c r="L545">
        <v>0</v>
      </c>
      <c r="M545">
        <v>0</v>
      </c>
      <c r="N545">
        <v>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2</v>
      </c>
      <c r="AI545">
        <v>3</v>
      </c>
      <c r="AJ545">
        <v>0</v>
      </c>
      <c r="AK545">
        <v>0</v>
      </c>
      <c r="AL545">
        <v>1</v>
      </c>
      <c r="AM545">
        <v>15</v>
      </c>
      <c r="AN545">
        <v>0</v>
      </c>
      <c r="AO545">
        <v>0</v>
      </c>
      <c r="AP545">
        <v>0</v>
      </c>
      <c r="AQ545">
        <v>264</v>
      </c>
    </row>
    <row r="546" spans="1:43" x14ac:dyDescent="0.3">
      <c r="A546" t="s">
        <v>199</v>
      </c>
      <c r="B546" t="s">
        <v>222</v>
      </c>
      <c r="C546" s="4" t="s">
        <v>43</v>
      </c>
      <c r="D546">
        <v>342</v>
      </c>
      <c r="E546">
        <v>4</v>
      </c>
      <c r="F546">
        <v>4</v>
      </c>
      <c r="G546">
        <v>0</v>
      </c>
      <c r="H546" s="1">
        <v>0</v>
      </c>
      <c r="I546">
        <v>3</v>
      </c>
      <c r="J546">
        <v>0</v>
      </c>
      <c r="K546">
        <v>45</v>
      </c>
      <c r="L546">
        <v>0</v>
      </c>
      <c r="M546">
        <v>0</v>
      </c>
      <c r="N546">
        <v>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</v>
      </c>
      <c r="AI546">
        <v>1</v>
      </c>
      <c r="AJ546">
        <v>0</v>
      </c>
      <c r="AK546">
        <v>0</v>
      </c>
      <c r="AL546">
        <v>1</v>
      </c>
      <c r="AM546">
        <v>13</v>
      </c>
      <c r="AN546">
        <v>0</v>
      </c>
      <c r="AO546">
        <v>0</v>
      </c>
      <c r="AP546">
        <v>0</v>
      </c>
      <c r="AQ546">
        <v>264</v>
      </c>
    </row>
    <row r="547" spans="1:43" x14ac:dyDescent="0.3">
      <c r="A547" t="s">
        <v>199</v>
      </c>
      <c r="B547" t="s">
        <v>222</v>
      </c>
      <c r="C547" s="4" t="s">
        <v>44</v>
      </c>
      <c r="D547">
        <v>33</v>
      </c>
      <c r="E547">
        <v>0</v>
      </c>
      <c r="F547">
        <v>11</v>
      </c>
      <c r="G547">
        <v>1</v>
      </c>
      <c r="H547" s="1">
        <v>0</v>
      </c>
      <c r="I547">
        <v>4</v>
      </c>
      <c r="J547">
        <v>0</v>
      </c>
      <c r="K547">
        <v>12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</v>
      </c>
      <c r="AJ547">
        <v>0</v>
      </c>
      <c r="AK547">
        <v>0</v>
      </c>
      <c r="AL547">
        <v>0</v>
      </c>
      <c r="AM547">
        <v>2</v>
      </c>
      <c r="AN547">
        <v>0</v>
      </c>
      <c r="AO547">
        <v>0</v>
      </c>
      <c r="AP547">
        <v>0</v>
      </c>
      <c r="AQ547">
        <v>0</v>
      </c>
    </row>
    <row r="548" spans="1:43" x14ac:dyDescent="0.3">
      <c r="A548" t="s">
        <v>199</v>
      </c>
      <c r="B548" t="s">
        <v>223</v>
      </c>
      <c r="C548" s="4" t="s">
        <v>40</v>
      </c>
      <c r="D548">
        <v>374</v>
      </c>
      <c r="E548">
        <v>25</v>
      </c>
      <c r="F548">
        <v>20</v>
      </c>
      <c r="G548">
        <v>0</v>
      </c>
      <c r="H548" s="1">
        <v>0</v>
      </c>
      <c r="I548">
        <v>1</v>
      </c>
      <c r="J548">
        <v>0</v>
      </c>
      <c r="K548">
        <v>253</v>
      </c>
      <c r="L548">
        <v>0</v>
      </c>
      <c r="M548">
        <v>0</v>
      </c>
      <c r="N548">
        <v>12</v>
      </c>
      <c r="O548">
        <v>0</v>
      </c>
      <c r="P548">
        <v>8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4</v>
      </c>
      <c r="AD548">
        <v>0</v>
      </c>
      <c r="AE548">
        <v>0</v>
      </c>
      <c r="AF548">
        <v>0</v>
      </c>
      <c r="AG548">
        <v>1</v>
      </c>
      <c r="AH548">
        <v>1</v>
      </c>
      <c r="AI548">
        <v>0</v>
      </c>
      <c r="AJ548">
        <v>0</v>
      </c>
      <c r="AK548">
        <v>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43</v>
      </c>
    </row>
    <row r="549" spans="1:43" x14ac:dyDescent="0.3">
      <c r="A549" t="s">
        <v>199</v>
      </c>
      <c r="B549" t="s">
        <v>223</v>
      </c>
      <c r="C549" s="4" t="s">
        <v>43</v>
      </c>
      <c r="D549">
        <v>260</v>
      </c>
      <c r="E549">
        <v>15</v>
      </c>
      <c r="F549">
        <v>10</v>
      </c>
      <c r="G549">
        <v>0</v>
      </c>
      <c r="H549" s="1">
        <v>0</v>
      </c>
      <c r="I549">
        <v>0</v>
      </c>
      <c r="J549">
        <v>0</v>
      </c>
      <c r="K549">
        <v>175</v>
      </c>
      <c r="L549">
        <v>0</v>
      </c>
      <c r="M549">
        <v>0</v>
      </c>
      <c r="N549">
        <v>3</v>
      </c>
      <c r="O549">
        <v>0</v>
      </c>
      <c r="P549">
        <v>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4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43</v>
      </c>
    </row>
    <row r="550" spans="1:43" x14ac:dyDescent="0.3">
      <c r="A550" t="s">
        <v>199</v>
      </c>
      <c r="B550" t="s">
        <v>223</v>
      </c>
      <c r="C550" s="4" t="s">
        <v>44</v>
      </c>
      <c r="D550">
        <v>114</v>
      </c>
      <c r="E550">
        <v>10</v>
      </c>
      <c r="F550">
        <v>10</v>
      </c>
      <c r="G550">
        <v>0</v>
      </c>
      <c r="H550" s="1">
        <v>0</v>
      </c>
      <c r="I550">
        <v>1</v>
      </c>
      <c r="J550">
        <v>0</v>
      </c>
      <c r="K550">
        <v>78</v>
      </c>
      <c r="L550">
        <v>0</v>
      </c>
      <c r="M550">
        <v>0</v>
      </c>
      <c r="N550">
        <v>9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2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</row>
    <row r="551" spans="1:43" x14ac:dyDescent="0.3">
      <c r="A551" t="s">
        <v>199</v>
      </c>
      <c r="B551" t="s">
        <v>224</v>
      </c>
      <c r="C551" s="4" t="s">
        <v>40</v>
      </c>
      <c r="D551">
        <v>336</v>
      </c>
      <c r="E551">
        <v>29</v>
      </c>
      <c r="F551">
        <v>0</v>
      </c>
      <c r="G551">
        <v>0</v>
      </c>
      <c r="H551" s="1">
        <v>0</v>
      </c>
      <c r="I551">
        <v>1</v>
      </c>
      <c r="J551">
        <v>0</v>
      </c>
      <c r="K551">
        <v>252</v>
      </c>
      <c r="L551">
        <v>0</v>
      </c>
      <c r="M551">
        <v>1</v>
      </c>
      <c r="N551">
        <v>15</v>
      </c>
      <c r="O551">
        <v>0</v>
      </c>
      <c r="P551">
        <v>3</v>
      </c>
      <c r="Q551">
        <v>0</v>
      </c>
      <c r="R551">
        <v>2</v>
      </c>
      <c r="S551">
        <v>0</v>
      </c>
      <c r="T551">
        <v>0</v>
      </c>
      <c r="U551">
        <v>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3</v>
      </c>
      <c r="AH551">
        <v>0</v>
      </c>
      <c r="AI551">
        <v>3</v>
      </c>
      <c r="AJ551">
        <v>0</v>
      </c>
      <c r="AK551">
        <v>0</v>
      </c>
      <c r="AL551">
        <v>3</v>
      </c>
      <c r="AM551">
        <v>2</v>
      </c>
      <c r="AN551">
        <v>0</v>
      </c>
      <c r="AO551">
        <v>0</v>
      </c>
      <c r="AP551">
        <v>1</v>
      </c>
      <c r="AQ551">
        <v>14</v>
      </c>
    </row>
    <row r="552" spans="1:43" x14ac:dyDescent="0.3">
      <c r="A552" t="s">
        <v>199</v>
      </c>
      <c r="B552" t="s">
        <v>224</v>
      </c>
      <c r="C552" s="4" t="s">
        <v>43</v>
      </c>
      <c r="D552">
        <v>226</v>
      </c>
      <c r="E552">
        <v>21</v>
      </c>
      <c r="F552">
        <v>0</v>
      </c>
      <c r="G552">
        <v>0</v>
      </c>
      <c r="H552" s="1">
        <v>0</v>
      </c>
      <c r="I552">
        <v>1</v>
      </c>
      <c r="J552">
        <v>0</v>
      </c>
      <c r="K552">
        <v>165</v>
      </c>
      <c r="L552">
        <v>0</v>
      </c>
      <c r="M552">
        <v>1</v>
      </c>
      <c r="N552">
        <v>8</v>
      </c>
      <c r="O552">
        <v>0</v>
      </c>
      <c r="P552">
        <v>2</v>
      </c>
      <c r="Q552">
        <v>0</v>
      </c>
      <c r="R552">
        <v>2</v>
      </c>
      <c r="S552">
        <v>0</v>
      </c>
      <c r="T552">
        <v>0</v>
      </c>
      <c r="U552">
        <v>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</v>
      </c>
      <c r="AM552">
        <v>2</v>
      </c>
      <c r="AN552">
        <v>0</v>
      </c>
      <c r="AO552">
        <v>0</v>
      </c>
      <c r="AP552">
        <v>1</v>
      </c>
      <c r="AQ552">
        <v>14</v>
      </c>
    </row>
    <row r="553" spans="1:43" x14ac:dyDescent="0.3">
      <c r="A553" t="s">
        <v>199</v>
      </c>
      <c r="B553" t="s">
        <v>224</v>
      </c>
      <c r="C553" s="4" t="s">
        <v>44</v>
      </c>
      <c r="D553">
        <v>110</v>
      </c>
      <c r="E553">
        <v>8</v>
      </c>
      <c r="F553">
        <v>0</v>
      </c>
      <c r="G553">
        <v>0</v>
      </c>
      <c r="H553" s="1">
        <v>0</v>
      </c>
      <c r="I553">
        <v>0</v>
      </c>
      <c r="J553">
        <v>0</v>
      </c>
      <c r="K553">
        <v>87</v>
      </c>
      <c r="L553">
        <v>0</v>
      </c>
      <c r="M553">
        <v>0</v>
      </c>
      <c r="N553">
        <v>7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3</v>
      </c>
      <c r="AH553">
        <v>0</v>
      </c>
      <c r="AI553">
        <v>3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</row>
    <row r="554" spans="1:43" x14ac:dyDescent="0.3">
      <c r="A554" t="s">
        <v>199</v>
      </c>
      <c r="B554" t="s">
        <v>225</v>
      </c>
      <c r="C554" s="4" t="s">
        <v>40</v>
      </c>
      <c r="D554">
        <v>288</v>
      </c>
      <c r="E554">
        <v>11</v>
      </c>
      <c r="F554">
        <v>4</v>
      </c>
      <c r="G554">
        <v>0</v>
      </c>
      <c r="H554" s="1">
        <v>0</v>
      </c>
      <c r="I554">
        <v>155</v>
      </c>
      <c r="J554">
        <v>0</v>
      </c>
      <c r="K554">
        <v>4</v>
      </c>
      <c r="L554">
        <v>0</v>
      </c>
      <c r="M554">
        <v>0</v>
      </c>
      <c r="N554">
        <v>13</v>
      </c>
      <c r="O554">
        <v>0</v>
      </c>
      <c r="P554">
        <v>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2</v>
      </c>
      <c r="AI554">
        <v>0</v>
      </c>
      <c r="AJ554">
        <v>0</v>
      </c>
      <c r="AK554">
        <v>2</v>
      </c>
      <c r="AL554">
        <v>1</v>
      </c>
      <c r="AM554">
        <v>2</v>
      </c>
      <c r="AN554">
        <v>0</v>
      </c>
      <c r="AO554">
        <v>0</v>
      </c>
      <c r="AP554">
        <v>2</v>
      </c>
      <c r="AQ554">
        <v>86</v>
      </c>
    </row>
    <row r="555" spans="1:43" x14ac:dyDescent="0.3">
      <c r="A555" t="s">
        <v>199</v>
      </c>
      <c r="B555" t="s">
        <v>225</v>
      </c>
      <c r="C555" s="4" t="s">
        <v>43</v>
      </c>
      <c r="D555">
        <v>187</v>
      </c>
      <c r="E555">
        <v>7</v>
      </c>
      <c r="F555">
        <v>0</v>
      </c>
      <c r="G555">
        <v>0</v>
      </c>
      <c r="H555" s="1">
        <v>0</v>
      </c>
      <c r="I555">
        <v>85</v>
      </c>
      <c r="J555">
        <v>0</v>
      </c>
      <c r="K555">
        <v>0</v>
      </c>
      <c r="L555">
        <v>0</v>
      </c>
      <c r="M555">
        <v>0</v>
      </c>
      <c r="N555">
        <v>2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2</v>
      </c>
      <c r="AI555">
        <v>0</v>
      </c>
      <c r="AJ555">
        <v>0</v>
      </c>
      <c r="AK555">
        <v>2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86</v>
      </c>
    </row>
    <row r="556" spans="1:43" x14ac:dyDescent="0.3">
      <c r="A556" t="s">
        <v>199</v>
      </c>
      <c r="B556" t="s">
        <v>225</v>
      </c>
      <c r="C556" s="4" t="s">
        <v>44</v>
      </c>
      <c r="D556">
        <v>101</v>
      </c>
      <c r="E556">
        <v>4</v>
      </c>
      <c r="F556">
        <v>4</v>
      </c>
      <c r="G556">
        <v>0</v>
      </c>
      <c r="H556" s="1">
        <v>0</v>
      </c>
      <c r="I556">
        <v>70</v>
      </c>
      <c r="J556">
        <v>0</v>
      </c>
      <c r="K556">
        <v>4</v>
      </c>
      <c r="L556">
        <v>0</v>
      </c>
      <c r="M556">
        <v>0</v>
      </c>
      <c r="N556">
        <v>11</v>
      </c>
      <c r="O556">
        <v>0</v>
      </c>
      <c r="P556">
        <v>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2</v>
      </c>
      <c r="AN556">
        <v>0</v>
      </c>
      <c r="AO556">
        <v>0</v>
      </c>
      <c r="AP556">
        <v>1</v>
      </c>
      <c r="AQ556">
        <v>0</v>
      </c>
    </row>
    <row r="557" spans="1:43" x14ac:dyDescent="0.3">
      <c r="A557" t="s">
        <v>199</v>
      </c>
      <c r="B557" t="s">
        <v>226</v>
      </c>
      <c r="C557" s="4" t="s">
        <v>40</v>
      </c>
      <c r="D557">
        <v>193</v>
      </c>
      <c r="E557">
        <v>9</v>
      </c>
      <c r="F557">
        <v>29</v>
      </c>
      <c r="G557">
        <v>0</v>
      </c>
      <c r="H557" s="1">
        <v>0</v>
      </c>
      <c r="I557">
        <v>0</v>
      </c>
      <c r="J557">
        <v>0</v>
      </c>
      <c r="K557">
        <v>79</v>
      </c>
      <c r="L557">
        <v>0</v>
      </c>
      <c r="M557">
        <v>0</v>
      </c>
      <c r="N557">
        <v>44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5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26</v>
      </c>
    </row>
    <row r="558" spans="1:43" x14ac:dyDescent="0.3">
      <c r="A558" t="s">
        <v>199</v>
      </c>
      <c r="B558" t="s">
        <v>226</v>
      </c>
      <c r="C558" s="4" t="s">
        <v>43</v>
      </c>
      <c r="D558">
        <v>111</v>
      </c>
      <c r="E558">
        <v>3</v>
      </c>
      <c r="F558">
        <v>12</v>
      </c>
      <c r="G558">
        <v>0</v>
      </c>
      <c r="H558" s="1">
        <v>0</v>
      </c>
      <c r="I558">
        <v>0</v>
      </c>
      <c r="J558">
        <v>0</v>
      </c>
      <c r="K558">
        <v>45</v>
      </c>
      <c r="L558">
        <v>0</v>
      </c>
      <c r="M558">
        <v>0</v>
      </c>
      <c r="N558">
        <v>21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26</v>
      </c>
    </row>
    <row r="559" spans="1:43" x14ac:dyDescent="0.3">
      <c r="A559" t="s">
        <v>199</v>
      </c>
      <c r="B559" t="s">
        <v>226</v>
      </c>
      <c r="C559" s="4" t="s">
        <v>44</v>
      </c>
      <c r="D559">
        <v>82</v>
      </c>
      <c r="E559">
        <v>6</v>
      </c>
      <c r="F559">
        <v>17</v>
      </c>
      <c r="G559">
        <v>0</v>
      </c>
      <c r="H559" s="1">
        <v>0</v>
      </c>
      <c r="I559">
        <v>0</v>
      </c>
      <c r="J559">
        <v>0</v>
      </c>
      <c r="K559">
        <v>34</v>
      </c>
      <c r="L559">
        <v>0</v>
      </c>
      <c r="M559">
        <v>0</v>
      </c>
      <c r="N559">
        <v>23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2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</row>
    <row r="560" spans="1:43" x14ac:dyDescent="0.3">
      <c r="A560" t="s">
        <v>199</v>
      </c>
      <c r="B560" t="s">
        <v>227</v>
      </c>
      <c r="C560" s="4" t="s">
        <v>40</v>
      </c>
      <c r="D560">
        <v>192</v>
      </c>
      <c r="E560">
        <v>40</v>
      </c>
      <c r="F560">
        <v>30</v>
      </c>
      <c r="G560">
        <v>0</v>
      </c>
      <c r="H560" s="1">
        <v>0</v>
      </c>
      <c r="I560">
        <v>4</v>
      </c>
      <c r="J560">
        <v>0</v>
      </c>
      <c r="K560">
        <v>63</v>
      </c>
      <c r="L560">
        <v>5</v>
      </c>
      <c r="M560">
        <v>0</v>
      </c>
      <c r="N560">
        <v>10</v>
      </c>
      <c r="O560">
        <v>0</v>
      </c>
      <c r="P560">
        <v>3</v>
      </c>
      <c r="Q560">
        <v>0</v>
      </c>
      <c r="R560">
        <v>0</v>
      </c>
      <c r="S560">
        <v>0</v>
      </c>
      <c r="T560">
        <v>5</v>
      </c>
      <c r="U560">
        <v>5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1</v>
      </c>
      <c r="AH560">
        <v>4</v>
      </c>
      <c r="AI560">
        <v>0</v>
      </c>
      <c r="AJ560">
        <v>0</v>
      </c>
      <c r="AK560">
        <v>1</v>
      </c>
      <c r="AL560">
        <v>2</v>
      </c>
      <c r="AM560">
        <v>3</v>
      </c>
      <c r="AN560">
        <v>0</v>
      </c>
      <c r="AO560">
        <v>0</v>
      </c>
      <c r="AP560">
        <v>0</v>
      </c>
      <c r="AQ560">
        <v>14</v>
      </c>
    </row>
    <row r="561" spans="1:43" x14ac:dyDescent="0.3">
      <c r="A561" t="s">
        <v>199</v>
      </c>
      <c r="B561" t="s">
        <v>227</v>
      </c>
      <c r="C561" s="4" t="s">
        <v>43</v>
      </c>
      <c r="D561">
        <v>115</v>
      </c>
      <c r="E561">
        <v>23</v>
      </c>
      <c r="F561">
        <v>13</v>
      </c>
      <c r="G561">
        <v>0</v>
      </c>
      <c r="H561" s="1">
        <v>0</v>
      </c>
      <c r="I561">
        <v>3</v>
      </c>
      <c r="J561">
        <v>0</v>
      </c>
      <c r="K561">
        <v>33</v>
      </c>
      <c r="L561">
        <v>3</v>
      </c>
      <c r="M561">
        <v>0</v>
      </c>
      <c r="N561">
        <v>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5</v>
      </c>
      <c r="U561">
        <v>5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1</v>
      </c>
      <c r="AH561">
        <v>1</v>
      </c>
      <c r="AI561">
        <v>0</v>
      </c>
      <c r="AJ561">
        <v>0</v>
      </c>
      <c r="AK561">
        <v>1</v>
      </c>
      <c r="AL561">
        <v>2</v>
      </c>
      <c r="AM561">
        <v>3</v>
      </c>
      <c r="AN561">
        <v>0</v>
      </c>
      <c r="AO561">
        <v>0</v>
      </c>
      <c r="AP561">
        <v>0</v>
      </c>
      <c r="AQ561">
        <v>14</v>
      </c>
    </row>
    <row r="562" spans="1:43" x14ac:dyDescent="0.3">
      <c r="A562" t="s">
        <v>199</v>
      </c>
      <c r="B562" t="s">
        <v>227</v>
      </c>
      <c r="C562" s="4" t="s">
        <v>44</v>
      </c>
      <c r="D562">
        <v>77</v>
      </c>
      <c r="E562">
        <v>17</v>
      </c>
      <c r="F562">
        <v>17</v>
      </c>
      <c r="G562">
        <v>0</v>
      </c>
      <c r="H562" s="1">
        <v>0</v>
      </c>
      <c r="I562">
        <v>1</v>
      </c>
      <c r="J562">
        <v>0</v>
      </c>
      <c r="K562">
        <v>30</v>
      </c>
      <c r="L562">
        <v>2</v>
      </c>
      <c r="M562">
        <v>0</v>
      </c>
      <c r="N562">
        <v>4</v>
      </c>
      <c r="O562">
        <v>0</v>
      </c>
      <c r="P562">
        <v>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3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</row>
    <row r="563" spans="1:43" x14ac:dyDescent="0.3">
      <c r="A563" t="s">
        <v>199</v>
      </c>
      <c r="B563" t="s">
        <v>228</v>
      </c>
      <c r="C563" s="4" t="s">
        <v>40</v>
      </c>
      <c r="D563">
        <v>189</v>
      </c>
      <c r="E563">
        <v>5</v>
      </c>
      <c r="F563">
        <v>3</v>
      </c>
      <c r="G563">
        <v>0</v>
      </c>
      <c r="H563" s="1">
        <v>0</v>
      </c>
      <c r="I563">
        <v>4</v>
      </c>
      <c r="J563">
        <v>0</v>
      </c>
      <c r="K563">
        <v>96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79</v>
      </c>
    </row>
    <row r="564" spans="1:43" x14ac:dyDescent="0.3">
      <c r="A564" t="s">
        <v>199</v>
      </c>
      <c r="B564" t="s">
        <v>228</v>
      </c>
      <c r="C564" s="4" t="s">
        <v>43</v>
      </c>
      <c r="D564">
        <v>144</v>
      </c>
      <c r="E564">
        <v>2</v>
      </c>
      <c r="F564">
        <v>3</v>
      </c>
      <c r="G564">
        <v>0</v>
      </c>
      <c r="H564" s="1">
        <v>0</v>
      </c>
      <c r="I564">
        <v>3</v>
      </c>
      <c r="J564">
        <v>0</v>
      </c>
      <c r="K564">
        <v>55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79</v>
      </c>
    </row>
    <row r="565" spans="1:43" x14ac:dyDescent="0.3">
      <c r="A565" t="s">
        <v>199</v>
      </c>
      <c r="B565" t="s">
        <v>228</v>
      </c>
      <c r="C565" s="4" t="s">
        <v>44</v>
      </c>
      <c r="D565">
        <v>45</v>
      </c>
      <c r="E565">
        <v>3</v>
      </c>
      <c r="F565">
        <v>0</v>
      </c>
      <c r="G565">
        <v>0</v>
      </c>
      <c r="H565" s="1">
        <v>0</v>
      </c>
      <c r="I565">
        <v>1</v>
      </c>
      <c r="J565">
        <v>0</v>
      </c>
      <c r="K565">
        <v>41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</row>
    <row r="566" spans="1:43" x14ac:dyDescent="0.3">
      <c r="A566" t="s">
        <v>199</v>
      </c>
      <c r="B566" t="s">
        <v>229</v>
      </c>
      <c r="C566" s="4" t="s">
        <v>40</v>
      </c>
      <c r="D566">
        <v>188</v>
      </c>
      <c r="E566">
        <v>24</v>
      </c>
      <c r="F566">
        <v>2</v>
      </c>
      <c r="G566">
        <v>0</v>
      </c>
      <c r="H566" s="1">
        <v>0</v>
      </c>
      <c r="I566">
        <v>1</v>
      </c>
      <c r="J566">
        <v>0</v>
      </c>
      <c r="K566">
        <v>120</v>
      </c>
      <c r="L566">
        <v>0</v>
      </c>
      <c r="M566">
        <v>0</v>
      </c>
      <c r="N566">
        <v>15</v>
      </c>
      <c r="O566">
        <v>0</v>
      </c>
      <c r="P566">
        <v>11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</v>
      </c>
      <c r="AC566">
        <v>4</v>
      </c>
      <c r="AD566">
        <v>0</v>
      </c>
      <c r="AE566">
        <v>0</v>
      </c>
      <c r="AF566">
        <v>0</v>
      </c>
      <c r="AG566">
        <v>1</v>
      </c>
      <c r="AH566">
        <v>5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</row>
    <row r="567" spans="1:43" x14ac:dyDescent="0.3">
      <c r="A567" t="s">
        <v>199</v>
      </c>
      <c r="B567" t="s">
        <v>229</v>
      </c>
      <c r="C567" s="4" t="s">
        <v>43</v>
      </c>
      <c r="D567">
        <v>102</v>
      </c>
      <c r="E567">
        <v>16</v>
      </c>
      <c r="F567">
        <v>2</v>
      </c>
      <c r="G567">
        <v>0</v>
      </c>
      <c r="H567" s="1">
        <v>0</v>
      </c>
      <c r="I567">
        <v>0</v>
      </c>
      <c r="J567">
        <v>0</v>
      </c>
      <c r="K567">
        <v>62</v>
      </c>
      <c r="L567">
        <v>0</v>
      </c>
      <c r="M567">
        <v>0</v>
      </c>
      <c r="N567">
        <v>8</v>
      </c>
      <c r="O567">
        <v>0</v>
      </c>
      <c r="P567">
        <v>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4</v>
      </c>
      <c r="AD567">
        <v>0</v>
      </c>
      <c r="AE567">
        <v>0</v>
      </c>
      <c r="AF567">
        <v>0</v>
      </c>
      <c r="AG567">
        <v>0</v>
      </c>
      <c r="AH567">
        <v>5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 spans="1:43" x14ac:dyDescent="0.3">
      <c r="A568" t="s">
        <v>199</v>
      </c>
      <c r="B568" t="s">
        <v>229</v>
      </c>
      <c r="C568" s="4" t="s">
        <v>44</v>
      </c>
      <c r="D568">
        <v>86</v>
      </c>
      <c r="E568">
        <v>8</v>
      </c>
      <c r="F568">
        <v>0</v>
      </c>
      <c r="G568">
        <v>0</v>
      </c>
      <c r="H568" s="1">
        <v>0</v>
      </c>
      <c r="I568">
        <v>1</v>
      </c>
      <c r="J568">
        <v>0</v>
      </c>
      <c r="K568">
        <v>58</v>
      </c>
      <c r="L568">
        <v>0</v>
      </c>
      <c r="M568">
        <v>0</v>
      </c>
      <c r="N568">
        <v>7</v>
      </c>
      <c r="O568">
        <v>0</v>
      </c>
      <c r="P568">
        <v>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2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</row>
    <row r="569" spans="1:43" x14ac:dyDescent="0.3">
      <c r="A569" t="s">
        <v>199</v>
      </c>
      <c r="B569" t="s">
        <v>230</v>
      </c>
      <c r="C569" s="4" t="s">
        <v>40</v>
      </c>
      <c r="D569">
        <v>173</v>
      </c>
      <c r="E569">
        <v>13</v>
      </c>
      <c r="F569">
        <v>25</v>
      </c>
      <c r="G569">
        <v>1</v>
      </c>
      <c r="H569">
        <v>3</v>
      </c>
      <c r="I569">
        <v>1</v>
      </c>
      <c r="J569">
        <v>0</v>
      </c>
      <c r="K569">
        <v>65</v>
      </c>
      <c r="L569">
        <v>0</v>
      </c>
      <c r="M569">
        <v>0</v>
      </c>
      <c r="N569">
        <v>26</v>
      </c>
      <c r="O569">
        <v>0</v>
      </c>
      <c r="P569">
        <v>3</v>
      </c>
      <c r="Q569">
        <v>0</v>
      </c>
      <c r="R569">
        <v>0</v>
      </c>
      <c r="S569">
        <v>0</v>
      </c>
      <c r="T569">
        <v>0</v>
      </c>
      <c r="U569">
        <v>2</v>
      </c>
      <c r="V569">
        <v>5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3</v>
      </c>
      <c r="AI569">
        <v>0</v>
      </c>
      <c r="AJ569">
        <v>0</v>
      </c>
      <c r="AK569">
        <v>2</v>
      </c>
      <c r="AL569">
        <v>3</v>
      </c>
      <c r="AM569">
        <v>19</v>
      </c>
      <c r="AN569">
        <v>0</v>
      </c>
      <c r="AO569">
        <v>0</v>
      </c>
      <c r="AP569">
        <v>0</v>
      </c>
      <c r="AQ569">
        <v>2</v>
      </c>
    </row>
    <row r="570" spans="1:43" x14ac:dyDescent="0.3">
      <c r="A570" t="s">
        <v>199</v>
      </c>
      <c r="B570" t="s">
        <v>230</v>
      </c>
      <c r="C570" s="4" t="s">
        <v>43</v>
      </c>
      <c r="D570">
        <v>130</v>
      </c>
      <c r="E570">
        <v>13</v>
      </c>
      <c r="F570">
        <v>24</v>
      </c>
      <c r="G570">
        <v>0</v>
      </c>
      <c r="H570">
        <v>1</v>
      </c>
      <c r="I570">
        <v>1</v>
      </c>
      <c r="J570">
        <v>0</v>
      </c>
      <c r="K570">
        <v>48</v>
      </c>
      <c r="L570">
        <v>0</v>
      </c>
      <c r="M570">
        <v>0</v>
      </c>
      <c r="N570">
        <v>15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3</v>
      </c>
      <c r="AI570">
        <v>0</v>
      </c>
      <c r="AJ570">
        <v>0</v>
      </c>
      <c r="AK570">
        <v>2</v>
      </c>
      <c r="AL570">
        <v>3</v>
      </c>
      <c r="AM570">
        <v>14</v>
      </c>
      <c r="AN570">
        <v>0</v>
      </c>
      <c r="AO570">
        <v>0</v>
      </c>
      <c r="AP570">
        <v>0</v>
      </c>
      <c r="AQ570">
        <v>2</v>
      </c>
    </row>
    <row r="571" spans="1:43" x14ac:dyDescent="0.3">
      <c r="A571" t="s">
        <v>199</v>
      </c>
      <c r="B571" t="s">
        <v>230</v>
      </c>
      <c r="C571" s="4" t="s">
        <v>44</v>
      </c>
      <c r="D571">
        <v>43</v>
      </c>
      <c r="E571">
        <v>0</v>
      </c>
      <c r="F571">
        <v>1</v>
      </c>
      <c r="G571">
        <v>1</v>
      </c>
      <c r="H571">
        <v>2</v>
      </c>
      <c r="I571">
        <v>0</v>
      </c>
      <c r="J571">
        <v>0</v>
      </c>
      <c r="K571">
        <v>17</v>
      </c>
      <c r="L571">
        <v>0</v>
      </c>
      <c r="M571">
        <v>0</v>
      </c>
      <c r="N571">
        <v>11</v>
      </c>
      <c r="O571">
        <v>0</v>
      </c>
      <c r="P571">
        <v>2</v>
      </c>
      <c r="Q571">
        <v>0</v>
      </c>
      <c r="R571">
        <v>0</v>
      </c>
      <c r="S571">
        <v>0</v>
      </c>
      <c r="T571">
        <v>0</v>
      </c>
      <c r="U571">
        <v>2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5</v>
      </c>
      <c r="AN571">
        <v>0</v>
      </c>
      <c r="AO571">
        <v>0</v>
      </c>
      <c r="AP571">
        <v>0</v>
      </c>
      <c r="AQ571">
        <v>0</v>
      </c>
    </row>
    <row r="572" spans="1:43" x14ac:dyDescent="0.3">
      <c r="A572" t="s">
        <v>199</v>
      </c>
      <c r="B572" t="s">
        <v>231</v>
      </c>
      <c r="C572" s="4" t="s">
        <v>40</v>
      </c>
      <c r="D572">
        <v>172</v>
      </c>
      <c r="E572">
        <v>10</v>
      </c>
      <c r="F572">
        <v>10</v>
      </c>
      <c r="G572">
        <v>2</v>
      </c>
      <c r="H572">
        <v>0</v>
      </c>
      <c r="I572">
        <v>0</v>
      </c>
      <c r="J572">
        <v>0</v>
      </c>
      <c r="K572">
        <v>114</v>
      </c>
      <c r="L572">
        <v>1</v>
      </c>
      <c r="M572">
        <v>0</v>
      </c>
      <c r="N572">
        <v>11</v>
      </c>
      <c r="O572">
        <v>0</v>
      </c>
      <c r="P572">
        <v>5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3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</v>
      </c>
      <c r="AL572">
        <v>8</v>
      </c>
      <c r="AM572">
        <v>0</v>
      </c>
      <c r="AN572">
        <v>0</v>
      </c>
      <c r="AO572">
        <v>0</v>
      </c>
      <c r="AP572">
        <v>1</v>
      </c>
      <c r="AQ572">
        <v>4</v>
      </c>
    </row>
    <row r="573" spans="1:43" x14ac:dyDescent="0.3">
      <c r="A573" t="s">
        <v>199</v>
      </c>
      <c r="B573" t="s">
        <v>231</v>
      </c>
      <c r="C573" s="4" t="s">
        <v>43</v>
      </c>
      <c r="D573">
        <v>108</v>
      </c>
      <c r="E573">
        <v>7</v>
      </c>
      <c r="F573">
        <v>7</v>
      </c>
      <c r="G573">
        <v>0</v>
      </c>
      <c r="H573">
        <v>0</v>
      </c>
      <c r="I573">
        <v>0</v>
      </c>
      <c r="J573">
        <v>0</v>
      </c>
      <c r="K573">
        <v>65</v>
      </c>
      <c r="L573">
        <v>1</v>
      </c>
      <c r="M573">
        <v>0</v>
      </c>
      <c r="N573">
        <v>6</v>
      </c>
      <c r="O573">
        <v>0</v>
      </c>
      <c r="P573">
        <v>3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3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8</v>
      </c>
      <c r="AM573">
        <v>0</v>
      </c>
      <c r="AN573">
        <v>0</v>
      </c>
      <c r="AO573">
        <v>0</v>
      </c>
      <c r="AP573">
        <v>1</v>
      </c>
      <c r="AQ573">
        <v>4</v>
      </c>
    </row>
    <row r="574" spans="1:43" x14ac:dyDescent="0.3">
      <c r="A574" t="s">
        <v>199</v>
      </c>
      <c r="B574" t="s">
        <v>231</v>
      </c>
      <c r="C574" s="4" t="s">
        <v>44</v>
      </c>
      <c r="D574">
        <v>64</v>
      </c>
      <c r="E574">
        <v>3</v>
      </c>
      <c r="F574">
        <v>3</v>
      </c>
      <c r="G574">
        <v>2</v>
      </c>
      <c r="H574">
        <v>0</v>
      </c>
      <c r="I574">
        <v>0</v>
      </c>
      <c r="J574">
        <v>0</v>
      </c>
      <c r="K574">
        <v>49</v>
      </c>
      <c r="L574">
        <v>0</v>
      </c>
      <c r="M574">
        <v>0</v>
      </c>
      <c r="N574">
        <v>5</v>
      </c>
      <c r="O574">
        <v>0</v>
      </c>
      <c r="P574">
        <v>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</row>
    <row r="575" spans="1:43" x14ac:dyDescent="0.3">
      <c r="A575" t="s">
        <v>199</v>
      </c>
      <c r="B575" t="s">
        <v>232</v>
      </c>
      <c r="C575" s="4" t="s">
        <v>40</v>
      </c>
      <c r="D575">
        <v>172</v>
      </c>
      <c r="E575">
        <v>4</v>
      </c>
      <c r="F575">
        <v>2</v>
      </c>
      <c r="G575">
        <v>1</v>
      </c>
      <c r="H575">
        <v>0</v>
      </c>
      <c r="I575">
        <v>0</v>
      </c>
      <c r="J575">
        <v>0</v>
      </c>
      <c r="K575">
        <v>95</v>
      </c>
      <c r="L575">
        <v>0</v>
      </c>
      <c r="M575">
        <v>0</v>
      </c>
      <c r="N575">
        <v>7</v>
      </c>
      <c r="O575">
        <v>0</v>
      </c>
      <c r="P575">
        <v>2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2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2</v>
      </c>
      <c r="AH575">
        <v>5</v>
      </c>
      <c r="AI575">
        <v>4</v>
      </c>
      <c r="AJ575">
        <v>0</v>
      </c>
      <c r="AK575">
        <v>0</v>
      </c>
      <c r="AL575">
        <v>13</v>
      </c>
      <c r="AM575">
        <v>15</v>
      </c>
      <c r="AN575">
        <v>0</v>
      </c>
      <c r="AO575">
        <v>0</v>
      </c>
      <c r="AP575">
        <v>0</v>
      </c>
      <c r="AQ575">
        <v>18</v>
      </c>
    </row>
    <row r="576" spans="1:43" x14ac:dyDescent="0.3">
      <c r="A576" t="s">
        <v>199</v>
      </c>
      <c r="B576" t="s">
        <v>232</v>
      </c>
      <c r="C576" s="4" t="s">
        <v>43</v>
      </c>
      <c r="D576">
        <v>144</v>
      </c>
      <c r="E576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75</v>
      </c>
      <c r="L576">
        <v>0</v>
      </c>
      <c r="M576">
        <v>0</v>
      </c>
      <c r="N576">
        <v>6</v>
      </c>
      <c r="O576">
        <v>0</v>
      </c>
      <c r="P576">
        <v>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2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2</v>
      </c>
      <c r="AH576">
        <v>3</v>
      </c>
      <c r="AI576">
        <v>3</v>
      </c>
      <c r="AJ576">
        <v>0</v>
      </c>
      <c r="AK576">
        <v>0</v>
      </c>
      <c r="AL576">
        <v>13</v>
      </c>
      <c r="AM576">
        <v>15</v>
      </c>
      <c r="AN576">
        <v>0</v>
      </c>
      <c r="AO576">
        <v>0</v>
      </c>
      <c r="AP576">
        <v>0</v>
      </c>
      <c r="AQ576">
        <v>18</v>
      </c>
    </row>
    <row r="577" spans="1:43" x14ac:dyDescent="0.3">
      <c r="A577" t="s">
        <v>199</v>
      </c>
      <c r="B577" t="s">
        <v>232</v>
      </c>
      <c r="C577" s="4" t="s">
        <v>44</v>
      </c>
      <c r="D577">
        <v>28</v>
      </c>
      <c r="E577">
        <v>0</v>
      </c>
      <c r="F577">
        <v>2</v>
      </c>
      <c r="G577">
        <v>1</v>
      </c>
      <c r="H577">
        <v>0</v>
      </c>
      <c r="I577">
        <v>0</v>
      </c>
      <c r="J577">
        <v>0</v>
      </c>
      <c r="K577">
        <v>20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2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8" spans="1:43" x14ac:dyDescent="0.3">
      <c r="A578" t="s">
        <v>199</v>
      </c>
      <c r="B578" t="s">
        <v>233</v>
      </c>
      <c r="C578" s="4" t="s">
        <v>40</v>
      </c>
      <c r="D578">
        <v>163</v>
      </c>
      <c r="E578">
        <v>4</v>
      </c>
      <c r="F578">
        <v>3</v>
      </c>
      <c r="G578">
        <v>0</v>
      </c>
      <c r="H578">
        <v>0</v>
      </c>
      <c r="I578">
        <v>3</v>
      </c>
      <c r="J578">
        <v>0</v>
      </c>
      <c r="K578">
        <v>60</v>
      </c>
      <c r="L578">
        <v>2</v>
      </c>
      <c r="M578">
        <v>0</v>
      </c>
      <c r="N578">
        <v>9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6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2</v>
      </c>
      <c r="AC578">
        <v>3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3</v>
      </c>
      <c r="AJ578">
        <v>0</v>
      </c>
      <c r="AK578">
        <v>0</v>
      </c>
      <c r="AL578">
        <v>9</v>
      </c>
      <c r="AM578">
        <v>52</v>
      </c>
      <c r="AN578">
        <v>0</v>
      </c>
      <c r="AO578">
        <v>0</v>
      </c>
      <c r="AP578">
        <v>0</v>
      </c>
      <c r="AQ578">
        <v>4</v>
      </c>
    </row>
    <row r="579" spans="1:43" x14ac:dyDescent="0.3">
      <c r="A579" t="s">
        <v>199</v>
      </c>
      <c r="B579" t="s">
        <v>233</v>
      </c>
      <c r="C579" s="4" t="s">
        <v>43</v>
      </c>
      <c r="D579">
        <v>141</v>
      </c>
      <c r="E579">
        <v>4</v>
      </c>
      <c r="F579">
        <v>3</v>
      </c>
      <c r="G579">
        <v>0</v>
      </c>
      <c r="H579">
        <v>0</v>
      </c>
      <c r="I579">
        <v>3</v>
      </c>
      <c r="J579">
        <v>0</v>
      </c>
      <c r="K579">
        <v>47</v>
      </c>
      <c r="L579">
        <v>2</v>
      </c>
      <c r="M579">
        <v>0</v>
      </c>
      <c r="N579">
        <v>6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6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</v>
      </c>
      <c r="AC579">
        <v>3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1</v>
      </c>
      <c r="AJ579">
        <v>0</v>
      </c>
      <c r="AK579">
        <v>0</v>
      </c>
      <c r="AL579">
        <v>9</v>
      </c>
      <c r="AM579">
        <v>49</v>
      </c>
      <c r="AN579">
        <v>0</v>
      </c>
      <c r="AO579">
        <v>0</v>
      </c>
      <c r="AP579">
        <v>0</v>
      </c>
      <c r="AQ579">
        <v>4</v>
      </c>
    </row>
    <row r="580" spans="1:43" x14ac:dyDescent="0.3">
      <c r="A580" t="s">
        <v>199</v>
      </c>
      <c r="B580" t="s">
        <v>233</v>
      </c>
      <c r="C580" s="4" t="s">
        <v>44</v>
      </c>
      <c r="D580">
        <v>22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13</v>
      </c>
      <c r="L580">
        <v>0</v>
      </c>
      <c r="M580">
        <v>0</v>
      </c>
      <c r="N580">
        <v>3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2</v>
      </c>
      <c r="AJ580">
        <v>0</v>
      </c>
      <c r="AK580">
        <v>0</v>
      </c>
      <c r="AL580">
        <v>0</v>
      </c>
      <c r="AM580">
        <v>3</v>
      </c>
      <c r="AN580">
        <v>0</v>
      </c>
      <c r="AO580">
        <v>0</v>
      </c>
      <c r="AP580">
        <v>0</v>
      </c>
      <c r="AQ580">
        <v>0</v>
      </c>
    </row>
    <row r="581" spans="1:43" x14ac:dyDescent="0.3">
      <c r="A581" t="s">
        <v>199</v>
      </c>
      <c r="B581" t="s">
        <v>234</v>
      </c>
      <c r="C581" s="4" t="s">
        <v>40</v>
      </c>
      <c r="D581">
        <v>141</v>
      </c>
      <c r="E581">
        <v>9</v>
      </c>
      <c r="F581">
        <v>12</v>
      </c>
      <c r="G581">
        <v>1</v>
      </c>
      <c r="H581">
        <v>0</v>
      </c>
      <c r="I581">
        <v>4</v>
      </c>
      <c r="J581">
        <v>0</v>
      </c>
      <c r="K581">
        <v>95</v>
      </c>
      <c r="L581">
        <v>2</v>
      </c>
      <c r="M581">
        <v>0</v>
      </c>
      <c r="N581">
        <v>2</v>
      </c>
      <c r="O581">
        <v>0</v>
      </c>
      <c r="P581">
        <v>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4</v>
      </c>
      <c r="AI581">
        <v>0</v>
      </c>
      <c r="AJ581">
        <v>0</v>
      </c>
      <c r="AK581">
        <v>1</v>
      </c>
      <c r="AL581">
        <v>1</v>
      </c>
      <c r="AM581">
        <v>2</v>
      </c>
      <c r="AN581">
        <v>0</v>
      </c>
      <c r="AO581">
        <v>0</v>
      </c>
      <c r="AP581">
        <v>0</v>
      </c>
      <c r="AQ581">
        <v>2</v>
      </c>
    </row>
    <row r="582" spans="1:43" x14ac:dyDescent="0.3">
      <c r="A582" t="s">
        <v>199</v>
      </c>
      <c r="B582" t="s">
        <v>234</v>
      </c>
      <c r="C582" s="4" t="s">
        <v>43</v>
      </c>
      <c r="D582">
        <v>92</v>
      </c>
      <c r="E582">
        <v>8</v>
      </c>
      <c r="F582">
        <v>8</v>
      </c>
      <c r="G582">
        <v>0</v>
      </c>
      <c r="H582">
        <v>0</v>
      </c>
      <c r="I582">
        <v>4</v>
      </c>
      <c r="J582">
        <v>0</v>
      </c>
      <c r="K582">
        <v>55</v>
      </c>
      <c r="L582">
        <v>2</v>
      </c>
      <c r="M582">
        <v>0</v>
      </c>
      <c r="N582">
        <v>1</v>
      </c>
      <c r="O582">
        <v>0</v>
      </c>
      <c r="P582">
        <v>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4</v>
      </c>
      <c r="AI582">
        <v>0</v>
      </c>
      <c r="AJ582">
        <v>0</v>
      </c>
      <c r="AK582">
        <v>1</v>
      </c>
      <c r="AL582">
        <v>1</v>
      </c>
      <c r="AM582">
        <v>2</v>
      </c>
      <c r="AN582">
        <v>0</v>
      </c>
      <c r="AO582">
        <v>0</v>
      </c>
      <c r="AP582">
        <v>0</v>
      </c>
      <c r="AQ582">
        <v>2</v>
      </c>
    </row>
    <row r="583" spans="1:43" x14ac:dyDescent="0.3">
      <c r="A583" t="s">
        <v>199</v>
      </c>
      <c r="B583" t="s">
        <v>234</v>
      </c>
      <c r="C583" s="4" t="s">
        <v>44</v>
      </c>
      <c r="D583">
        <v>49</v>
      </c>
      <c r="E583">
        <v>1</v>
      </c>
      <c r="F583">
        <v>4</v>
      </c>
      <c r="G583">
        <v>1</v>
      </c>
      <c r="H583">
        <v>0</v>
      </c>
      <c r="I583">
        <v>0</v>
      </c>
      <c r="J583">
        <v>0</v>
      </c>
      <c r="K583">
        <v>40</v>
      </c>
      <c r="L583">
        <v>0</v>
      </c>
      <c r="M583">
        <v>0</v>
      </c>
      <c r="N583">
        <v>1</v>
      </c>
      <c r="O583">
        <v>0</v>
      </c>
      <c r="P583">
        <v>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</row>
    <row r="584" spans="1:43" x14ac:dyDescent="0.3">
      <c r="A584" t="s">
        <v>199</v>
      </c>
      <c r="B584" t="s">
        <v>235</v>
      </c>
      <c r="C584" s="4" t="s">
        <v>40</v>
      </c>
      <c r="D584">
        <v>140</v>
      </c>
      <c r="E584">
        <v>7</v>
      </c>
      <c r="F584">
        <v>11</v>
      </c>
      <c r="G584">
        <v>0</v>
      </c>
      <c r="H584">
        <v>0</v>
      </c>
      <c r="I584">
        <v>99</v>
      </c>
      <c r="J584">
        <v>0</v>
      </c>
      <c r="K584">
        <v>13</v>
      </c>
      <c r="L584">
        <v>0</v>
      </c>
      <c r="M584">
        <v>0</v>
      </c>
      <c r="N584">
        <v>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4</v>
      </c>
    </row>
    <row r="585" spans="1:43" x14ac:dyDescent="0.3">
      <c r="A585" t="s">
        <v>199</v>
      </c>
      <c r="B585" t="s">
        <v>235</v>
      </c>
      <c r="C585" s="4" t="s">
        <v>43</v>
      </c>
      <c r="D585">
        <v>71</v>
      </c>
      <c r="E585">
        <v>2</v>
      </c>
      <c r="F585">
        <v>3</v>
      </c>
      <c r="G585">
        <v>0</v>
      </c>
      <c r="H585">
        <v>0</v>
      </c>
      <c r="I585">
        <v>51</v>
      </c>
      <c r="J585">
        <v>0</v>
      </c>
      <c r="K585">
        <v>10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4</v>
      </c>
    </row>
    <row r="586" spans="1:43" x14ac:dyDescent="0.3">
      <c r="A586" t="s">
        <v>199</v>
      </c>
      <c r="B586" t="s">
        <v>235</v>
      </c>
      <c r="C586" s="4" t="s">
        <v>44</v>
      </c>
      <c r="D586">
        <v>69</v>
      </c>
      <c r="E586">
        <v>5</v>
      </c>
      <c r="F586">
        <v>8</v>
      </c>
      <c r="G586">
        <v>0</v>
      </c>
      <c r="H586">
        <v>0</v>
      </c>
      <c r="I586">
        <v>48</v>
      </c>
      <c r="J586">
        <v>0</v>
      </c>
      <c r="K586">
        <v>3</v>
      </c>
      <c r="L586">
        <v>0</v>
      </c>
      <c r="M586">
        <v>0</v>
      </c>
      <c r="N586">
        <v>3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</row>
    <row r="587" spans="1:43" x14ac:dyDescent="0.3">
      <c r="A587" t="s">
        <v>199</v>
      </c>
      <c r="B587" t="s">
        <v>236</v>
      </c>
      <c r="C587" s="4" t="s">
        <v>40</v>
      </c>
      <c r="D587">
        <v>134</v>
      </c>
      <c r="E587">
        <v>5</v>
      </c>
      <c r="F587">
        <v>8</v>
      </c>
      <c r="G587">
        <v>1</v>
      </c>
      <c r="H587">
        <v>0</v>
      </c>
      <c r="I587">
        <v>1</v>
      </c>
      <c r="J587">
        <v>0</v>
      </c>
      <c r="K587">
        <v>85</v>
      </c>
      <c r="L587">
        <v>0</v>
      </c>
      <c r="M587">
        <v>0</v>
      </c>
      <c r="N587">
        <v>4</v>
      </c>
      <c r="O587">
        <v>0</v>
      </c>
      <c r="P587">
        <v>9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4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6</v>
      </c>
      <c r="AM587">
        <v>8</v>
      </c>
      <c r="AN587">
        <v>0</v>
      </c>
      <c r="AO587">
        <v>0</v>
      </c>
      <c r="AP587">
        <v>0</v>
      </c>
      <c r="AQ587">
        <v>0</v>
      </c>
    </row>
    <row r="588" spans="1:43" x14ac:dyDescent="0.3">
      <c r="A588" t="s">
        <v>199</v>
      </c>
      <c r="B588" t="s">
        <v>236</v>
      </c>
      <c r="C588" s="4" t="s">
        <v>43</v>
      </c>
      <c r="D588">
        <v>95</v>
      </c>
      <c r="E588">
        <v>2</v>
      </c>
      <c r="F588">
        <v>7</v>
      </c>
      <c r="G588">
        <v>0</v>
      </c>
      <c r="H588">
        <v>0</v>
      </c>
      <c r="I588">
        <v>1</v>
      </c>
      <c r="J588">
        <v>0</v>
      </c>
      <c r="K588">
        <v>60</v>
      </c>
      <c r="L588">
        <v>0</v>
      </c>
      <c r="M588">
        <v>0</v>
      </c>
      <c r="N588">
        <v>2</v>
      </c>
      <c r="O588">
        <v>0</v>
      </c>
      <c r="P588">
        <v>6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6</v>
      </c>
      <c r="AM588">
        <v>8</v>
      </c>
      <c r="AN588">
        <v>0</v>
      </c>
      <c r="AO588">
        <v>0</v>
      </c>
      <c r="AP588">
        <v>0</v>
      </c>
      <c r="AQ588">
        <v>0</v>
      </c>
    </row>
    <row r="589" spans="1:43" x14ac:dyDescent="0.3">
      <c r="A589" t="s">
        <v>199</v>
      </c>
      <c r="B589" t="s">
        <v>236</v>
      </c>
      <c r="C589" s="4" t="s">
        <v>44</v>
      </c>
      <c r="D589">
        <v>39</v>
      </c>
      <c r="E589">
        <v>3</v>
      </c>
      <c r="F589">
        <v>1</v>
      </c>
      <c r="G589">
        <v>1</v>
      </c>
      <c r="H589">
        <v>0</v>
      </c>
      <c r="I589">
        <v>0</v>
      </c>
      <c r="J589">
        <v>0</v>
      </c>
      <c r="K589">
        <v>25</v>
      </c>
      <c r="L589">
        <v>0</v>
      </c>
      <c r="M589">
        <v>0</v>
      </c>
      <c r="N589">
        <v>2</v>
      </c>
      <c r="O589">
        <v>0</v>
      </c>
      <c r="P589">
        <v>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4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</row>
    <row r="590" spans="1:43" x14ac:dyDescent="0.3">
      <c r="A590" t="s">
        <v>199</v>
      </c>
      <c r="B590" t="s">
        <v>237</v>
      </c>
      <c r="C590" s="4" t="s">
        <v>40</v>
      </c>
      <c r="D590">
        <v>127</v>
      </c>
      <c r="E590">
        <v>15</v>
      </c>
      <c r="F590">
        <v>8</v>
      </c>
      <c r="G590">
        <v>0</v>
      </c>
      <c r="H590">
        <v>0</v>
      </c>
      <c r="I590">
        <v>2</v>
      </c>
      <c r="J590">
        <v>0</v>
      </c>
      <c r="K590">
        <v>74</v>
      </c>
      <c r="L590">
        <v>1</v>
      </c>
      <c r="M590">
        <v>0</v>
      </c>
      <c r="N590">
        <v>8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5</v>
      </c>
      <c r="AH590">
        <v>1</v>
      </c>
      <c r="AI590">
        <v>4</v>
      </c>
      <c r="AJ590">
        <v>0</v>
      </c>
      <c r="AK590">
        <v>0</v>
      </c>
      <c r="AL590">
        <v>1</v>
      </c>
      <c r="AM590">
        <v>5</v>
      </c>
      <c r="AN590">
        <v>0</v>
      </c>
      <c r="AO590">
        <v>0</v>
      </c>
      <c r="AP590">
        <v>0</v>
      </c>
      <c r="AQ590">
        <v>2</v>
      </c>
    </row>
    <row r="591" spans="1:43" x14ac:dyDescent="0.3">
      <c r="A591" t="s">
        <v>199</v>
      </c>
      <c r="B591" t="s">
        <v>237</v>
      </c>
      <c r="C591" s="4" t="s">
        <v>43</v>
      </c>
      <c r="D591">
        <v>88</v>
      </c>
      <c r="E591">
        <v>6</v>
      </c>
      <c r="F591">
        <v>7</v>
      </c>
      <c r="G591">
        <v>0</v>
      </c>
      <c r="H591">
        <v>0</v>
      </c>
      <c r="I591">
        <v>2</v>
      </c>
      <c r="J591">
        <v>0</v>
      </c>
      <c r="K591">
        <v>53</v>
      </c>
      <c r="L591">
        <v>1</v>
      </c>
      <c r="M591">
        <v>0</v>
      </c>
      <c r="N591">
        <v>6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</v>
      </c>
      <c r="AH591">
        <v>1</v>
      </c>
      <c r="AI591">
        <v>0</v>
      </c>
      <c r="AJ591">
        <v>0</v>
      </c>
      <c r="AK591">
        <v>0</v>
      </c>
      <c r="AL591">
        <v>1</v>
      </c>
      <c r="AM591">
        <v>5</v>
      </c>
      <c r="AN591">
        <v>0</v>
      </c>
      <c r="AO591">
        <v>0</v>
      </c>
      <c r="AP591">
        <v>0</v>
      </c>
      <c r="AQ591">
        <v>2</v>
      </c>
    </row>
    <row r="592" spans="1:43" x14ac:dyDescent="0.3">
      <c r="A592" t="s">
        <v>199</v>
      </c>
      <c r="B592" t="s">
        <v>237</v>
      </c>
      <c r="C592" s="4" t="s">
        <v>44</v>
      </c>
      <c r="D592">
        <v>39</v>
      </c>
      <c r="E592">
        <v>9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21</v>
      </c>
      <c r="L592">
        <v>0</v>
      </c>
      <c r="M592">
        <v>0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2</v>
      </c>
      <c r="AH592">
        <v>0</v>
      </c>
      <c r="AI592">
        <v>4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</row>
    <row r="593" spans="1:43" x14ac:dyDescent="0.3">
      <c r="A593" t="s">
        <v>199</v>
      </c>
      <c r="B593" t="s">
        <v>238</v>
      </c>
      <c r="C593" s="4" t="s">
        <v>40</v>
      </c>
      <c r="D593">
        <v>111</v>
      </c>
      <c r="E593">
        <v>4</v>
      </c>
      <c r="F593">
        <v>0</v>
      </c>
      <c r="G593">
        <v>0</v>
      </c>
      <c r="H593">
        <v>0</v>
      </c>
      <c r="I593">
        <v>62</v>
      </c>
      <c r="J593">
        <v>0</v>
      </c>
      <c r="K593">
        <v>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2</v>
      </c>
      <c r="AQ593">
        <v>40</v>
      </c>
    </row>
    <row r="594" spans="1:43" x14ac:dyDescent="0.3">
      <c r="A594" t="s">
        <v>199</v>
      </c>
      <c r="B594" t="s">
        <v>238</v>
      </c>
      <c r="C594" s="4" t="s">
        <v>43</v>
      </c>
      <c r="D594">
        <v>69</v>
      </c>
      <c r="E594">
        <v>2</v>
      </c>
      <c r="F594">
        <v>0</v>
      </c>
      <c r="G594">
        <v>0</v>
      </c>
      <c r="H594">
        <v>0</v>
      </c>
      <c r="I594">
        <v>25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40</v>
      </c>
    </row>
    <row r="595" spans="1:43" x14ac:dyDescent="0.3">
      <c r="A595" t="s">
        <v>199</v>
      </c>
      <c r="B595" t="s">
        <v>238</v>
      </c>
      <c r="C595" s="4" t="s">
        <v>44</v>
      </c>
      <c r="D595">
        <v>42</v>
      </c>
      <c r="E595">
        <v>2</v>
      </c>
      <c r="F595">
        <v>0</v>
      </c>
      <c r="G595">
        <v>0</v>
      </c>
      <c r="H595">
        <v>0</v>
      </c>
      <c r="I595">
        <v>37</v>
      </c>
      <c r="J595">
        <v>0</v>
      </c>
      <c r="K595">
        <v>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0</v>
      </c>
    </row>
    <row r="596" spans="1:43" x14ac:dyDescent="0.3">
      <c r="A596" t="s">
        <v>199</v>
      </c>
      <c r="B596" t="s">
        <v>239</v>
      </c>
      <c r="C596" s="4" t="s">
        <v>40</v>
      </c>
      <c r="D596">
        <v>105</v>
      </c>
      <c r="E596">
        <v>31</v>
      </c>
      <c r="F596">
        <v>16</v>
      </c>
      <c r="G596">
        <v>0</v>
      </c>
      <c r="H596">
        <v>0</v>
      </c>
      <c r="I596">
        <v>0</v>
      </c>
      <c r="J596">
        <v>0</v>
      </c>
      <c r="K596">
        <v>26</v>
      </c>
      <c r="L596">
        <v>0</v>
      </c>
      <c r="M596">
        <v>0</v>
      </c>
      <c r="N596">
        <v>5</v>
      </c>
      <c r="O596">
        <v>0</v>
      </c>
      <c r="P596">
        <v>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4</v>
      </c>
      <c r="AM596">
        <v>0</v>
      </c>
      <c r="AN596">
        <v>0</v>
      </c>
      <c r="AO596">
        <v>0</v>
      </c>
      <c r="AP596">
        <v>0</v>
      </c>
      <c r="AQ596">
        <v>20</v>
      </c>
    </row>
    <row r="597" spans="1:43" x14ac:dyDescent="0.3">
      <c r="A597" t="s">
        <v>199</v>
      </c>
      <c r="B597" t="s">
        <v>239</v>
      </c>
      <c r="C597" s="4" t="s">
        <v>43</v>
      </c>
      <c r="D597">
        <v>87</v>
      </c>
      <c r="E597">
        <v>23</v>
      </c>
      <c r="F597">
        <v>15</v>
      </c>
      <c r="G597">
        <v>0</v>
      </c>
      <c r="H597">
        <v>0</v>
      </c>
      <c r="I597">
        <v>0</v>
      </c>
      <c r="J597">
        <v>0</v>
      </c>
      <c r="K597">
        <v>19</v>
      </c>
      <c r="L597">
        <v>0</v>
      </c>
      <c r="M597">
        <v>0</v>
      </c>
      <c r="N597">
        <v>5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4</v>
      </c>
      <c r="AM597">
        <v>0</v>
      </c>
      <c r="AN597">
        <v>0</v>
      </c>
      <c r="AO597">
        <v>0</v>
      </c>
      <c r="AP597">
        <v>0</v>
      </c>
      <c r="AQ597">
        <v>20</v>
      </c>
    </row>
    <row r="598" spans="1:43" x14ac:dyDescent="0.3">
      <c r="A598" t="s">
        <v>199</v>
      </c>
      <c r="B598" t="s">
        <v>239</v>
      </c>
      <c r="C598" s="4" t="s">
        <v>44</v>
      </c>
      <c r="D598">
        <v>18</v>
      </c>
      <c r="E598">
        <v>8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7</v>
      </c>
      <c r="L598">
        <v>0</v>
      </c>
      <c r="M598">
        <v>0</v>
      </c>
      <c r="N598">
        <v>0</v>
      </c>
      <c r="O598">
        <v>0</v>
      </c>
      <c r="P598">
        <v>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</row>
    <row r="599" spans="1:43" x14ac:dyDescent="0.3">
      <c r="A599" t="s">
        <v>199</v>
      </c>
      <c r="B599" t="s">
        <v>240</v>
      </c>
      <c r="C599" s="4" t="s">
        <v>40</v>
      </c>
      <c r="D599">
        <v>100</v>
      </c>
      <c r="E599">
        <v>5</v>
      </c>
      <c r="F599">
        <v>9</v>
      </c>
      <c r="G599">
        <v>0</v>
      </c>
      <c r="H599">
        <v>0</v>
      </c>
      <c r="I599">
        <v>1</v>
      </c>
      <c r="J599">
        <v>0</v>
      </c>
      <c r="K599">
        <v>11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4</v>
      </c>
      <c r="AI599">
        <v>1</v>
      </c>
      <c r="AJ599">
        <v>0</v>
      </c>
      <c r="AK599">
        <v>6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62</v>
      </c>
    </row>
    <row r="600" spans="1:43" x14ac:dyDescent="0.3">
      <c r="A600" t="s">
        <v>199</v>
      </c>
      <c r="B600" t="s">
        <v>240</v>
      </c>
      <c r="C600" s="4" t="s">
        <v>43</v>
      </c>
      <c r="D600">
        <v>89</v>
      </c>
      <c r="E600">
        <v>5</v>
      </c>
      <c r="F600">
        <v>7</v>
      </c>
      <c r="G600">
        <v>0</v>
      </c>
      <c r="H600">
        <v>0</v>
      </c>
      <c r="I600">
        <v>0</v>
      </c>
      <c r="J600">
        <v>0</v>
      </c>
      <c r="K600">
        <v>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6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62</v>
      </c>
    </row>
    <row r="601" spans="1:43" x14ac:dyDescent="0.3">
      <c r="A601" t="s">
        <v>199</v>
      </c>
      <c r="B601" t="s">
        <v>240</v>
      </c>
      <c r="C601" s="4" t="s">
        <v>44</v>
      </c>
      <c r="D601">
        <v>11</v>
      </c>
      <c r="E601">
        <v>0</v>
      </c>
      <c r="F601">
        <v>2</v>
      </c>
      <c r="G601">
        <v>0</v>
      </c>
      <c r="H601">
        <v>0</v>
      </c>
      <c r="I601">
        <v>1</v>
      </c>
      <c r="J601">
        <v>0</v>
      </c>
      <c r="K601">
        <v>3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3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</row>
    <row r="602" spans="1:43" x14ac:dyDescent="0.3">
      <c r="A602" t="s">
        <v>199</v>
      </c>
      <c r="B602" t="s">
        <v>241</v>
      </c>
      <c r="C602" s="4" t="s">
        <v>40</v>
      </c>
      <c r="D602">
        <v>75</v>
      </c>
      <c r="E602">
        <v>4</v>
      </c>
      <c r="F602">
        <v>1</v>
      </c>
      <c r="G602">
        <v>0</v>
      </c>
      <c r="H602">
        <v>0</v>
      </c>
      <c r="I602">
        <v>3</v>
      </c>
      <c r="J602">
        <v>0</v>
      </c>
      <c r="K602">
        <v>57</v>
      </c>
      <c r="L602">
        <v>0</v>
      </c>
      <c r="M602">
        <v>0</v>
      </c>
      <c r="N602">
        <v>7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2</v>
      </c>
      <c r="AN602">
        <v>0</v>
      </c>
      <c r="AO602">
        <v>0</v>
      </c>
      <c r="AP602">
        <v>0</v>
      </c>
      <c r="AQ602">
        <v>0</v>
      </c>
    </row>
    <row r="603" spans="1:43" x14ac:dyDescent="0.3">
      <c r="A603" t="s">
        <v>199</v>
      </c>
      <c r="B603" t="s">
        <v>241</v>
      </c>
      <c r="C603" s="4" t="s">
        <v>43</v>
      </c>
      <c r="D603">
        <v>50</v>
      </c>
      <c r="E603">
        <v>4</v>
      </c>
      <c r="F603">
        <v>1</v>
      </c>
      <c r="G603">
        <v>0</v>
      </c>
      <c r="H603">
        <v>0</v>
      </c>
      <c r="I603">
        <v>3</v>
      </c>
      <c r="J603">
        <v>0</v>
      </c>
      <c r="K603">
        <v>39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2</v>
      </c>
      <c r="AN603">
        <v>0</v>
      </c>
      <c r="AO603">
        <v>0</v>
      </c>
      <c r="AP603">
        <v>0</v>
      </c>
      <c r="AQ603">
        <v>0</v>
      </c>
    </row>
    <row r="604" spans="1:43" x14ac:dyDescent="0.3">
      <c r="A604" t="s">
        <v>199</v>
      </c>
      <c r="B604" t="s">
        <v>241</v>
      </c>
      <c r="C604" s="4" t="s">
        <v>44</v>
      </c>
      <c r="D604">
        <v>25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18</v>
      </c>
      <c r="L604">
        <v>0</v>
      </c>
      <c r="M604">
        <v>0</v>
      </c>
      <c r="N604">
        <v>7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</row>
    <row r="605" spans="1:43" x14ac:dyDescent="0.3">
      <c r="A605" t="s">
        <v>199</v>
      </c>
      <c r="B605" t="s">
        <v>242</v>
      </c>
      <c r="C605" s="4" t="s">
        <v>40</v>
      </c>
      <c r="D605">
        <v>73</v>
      </c>
      <c r="E605">
        <v>9</v>
      </c>
      <c r="F605">
        <v>4</v>
      </c>
      <c r="G605">
        <v>3</v>
      </c>
      <c r="H605">
        <v>0</v>
      </c>
      <c r="I605">
        <v>5</v>
      </c>
      <c r="J605">
        <v>0</v>
      </c>
      <c r="K605">
        <v>9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42</v>
      </c>
    </row>
    <row r="606" spans="1:43" x14ac:dyDescent="0.3">
      <c r="A606" t="s">
        <v>199</v>
      </c>
      <c r="B606" t="s">
        <v>242</v>
      </c>
      <c r="C606" s="4" t="s">
        <v>43</v>
      </c>
      <c r="D606">
        <v>56</v>
      </c>
      <c r="E606">
        <v>3</v>
      </c>
      <c r="F606">
        <v>3</v>
      </c>
      <c r="G606">
        <v>0</v>
      </c>
      <c r="H606">
        <v>0</v>
      </c>
      <c r="I606">
        <v>5</v>
      </c>
      <c r="J606">
        <v>0</v>
      </c>
      <c r="K606">
        <v>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42</v>
      </c>
    </row>
    <row r="607" spans="1:43" x14ac:dyDescent="0.3">
      <c r="A607" t="s">
        <v>199</v>
      </c>
      <c r="B607" t="s">
        <v>242</v>
      </c>
      <c r="C607" s="4" t="s">
        <v>44</v>
      </c>
      <c r="D607">
        <v>17</v>
      </c>
      <c r="E607">
        <v>6</v>
      </c>
      <c r="F607">
        <v>1</v>
      </c>
      <c r="G607">
        <v>3</v>
      </c>
      <c r="H607">
        <v>0</v>
      </c>
      <c r="I607">
        <v>0</v>
      </c>
      <c r="J607">
        <v>0</v>
      </c>
      <c r="K607">
        <v>6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</row>
    <row r="608" spans="1:43" x14ac:dyDescent="0.3">
      <c r="A608" t="s">
        <v>199</v>
      </c>
      <c r="B608" t="s">
        <v>243</v>
      </c>
      <c r="C608" s="4" t="s">
        <v>40</v>
      </c>
      <c r="D608">
        <v>62</v>
      </c>
      <c r="E608">
        <v>6</v>
      </c>
      <c r="F608">
        <v>0</v>
      </c>
      <c r="G608">
        <v>0</v>
      </c>
      <c r="H608">
        <v>46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3</v>
      </c>
      <c r="O608">
        <v>0</v>
      </c>
      <c r="P608">
        <v>2</v>
      </c>
      <c r="Q608">
        <v>0</v>
      </c>
      <c r="R608">
        <v>4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</row>
    <row r="609" spans="1:43" x14ac:dyDescent="0.3">
      <c r="A609" t="s">
        <v>199</v>
      </c>
      <c r="B609" t="s">
        <v>243</v>
      </c>
      <c r="C609" s="4" t="s">
        <v>43</v>
      </c>
      <c r="D609">
        <v>40</v>
      </c>
      <c r="E609">
        <v>1</v>
      </c>
      <c r="F609">
        <v>0</v>
      </c>
      <c r="G609">
        <v>0</v>
      </c>
      <c r="H609">
        <v>31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3</v>
      </c>
      <c r="O609">
        <v>0</v>
      </c>
      <c r="P609">
        <v>0</v>
      </c>
      <c r="Q609">
        <v>0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 x14ac:dyDescent="0.3">
      <c r="A610" t="s">
        <v>199</v>
      </c>
      <c r="B610" t="s">
        <v>243</v>
      </c>
      <c r="C610" s="4" t="s">
        <v>44</v>
      </c>
      <c r="D610">
        <v>22</v>
      </c>
      <c r="E610">
        <v>5</v>
      </c>
      <c r="F610">
        <v>0</v>
      </c>
      <c r="G610">
        <v>0</v>
      </c>
      <c r="H610">
        <v>15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</row>
    <row r="611" spans="1:43" x14ac:dyDescent="0.3">
      <c r="A611" t="s">
        <v>199</v>
      </c>
      <c r="B611" t="s">
        <v>244</v>
      </c>
      <c r="C611" s="4" t="s">
        <v>40</v>
      </c>
      <c r="D611">
        <v>53</v>
      </c>
      <c r="E611">
        <v>0</v>
      </c>
      <c r="F611">
        <v>1</v>
      </c>
      <c r="G611">
        <v>0</v>
      </c>
      <c r="H611">
        <v>0</v>
      </c>
      <c r="I611">
        <v>1</v>
      </c>
      <c r="J611">
        <v>0</v>
      </c>
      <c r="K611">
        <v>36</v>
      </c>
      <c r="L611">
        <v>0</v>
      </c>
      <c r="M611">
        <v>0</v>
      </c>
      <c r="N611">
        <v>5</v>
      </c>
      <c r="O611">
        <v>0</v>
      </c>
      <c r="P611">
        <v>4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5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</row>
    <row r="612" spans="1:43" x14ac:dyDescent="0.3">
      <c r="A612" t="s">
        <v>199</v>
      </c>
      <c r="B612" t="s">
        <v>244</v>
      </c>
      <c r="C612" s="4" t="s">
        <v>43</v>
      </c>
      <c r="D612">
        <v>38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26</v>
      </c>
      <c r="L612">
        <v>0</v>
      </c>
      <c r="M612">
        <v>0</v>
      </c>
      <c r="N612">
        <v>4</v>
      </c>
      <c r="O612">
        <v>0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5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</row>
    <row r="613" spans="1:43" x14ac:dyDescent="0.3">
      <c r="A613" t="s">
        <v>199</v>
      </c>
      <c r="B613" t="s">
        <v>244</v>
      </c>
      <c r="C613" s="4" t="s">
        <v>44</v>
      </c>
      <c r="D613">
        <v>15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10</v>
      </c>
      <c r="L613">
        <v>0</v>
      </c>
      <c r="M613">
        <v>0</v>
      </c>
      <c r="N613">
        <v>1</v>
      </c>
      <c r="O613">
        <v>0</v>
      </c>
      <c r="P613">
        <v>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4" spans="1:43" x14ac:dyDescent="0.3">
      <c r="A614" t="s">
        <v>199</v>
      </c>
      <c r="B614" t="s">
        <v>245</v>
      </c>
      <c r="C614" s="4" t="s">
        <v>40</v>
      </c>
      <c r="D614">
        <v>52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34</v>
      </c>
      <c r="L614">
        <v>2</v>
      </c>
      <c r="M614">
        <v>0</v>
      </c>
      <c r="N614">
        <v>7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</v>
      </c>
      <c r="W614">
        <v>0</v>
      </c>
      <c r="X614">
        <v>0</v>
      </c>
      <c r="Y614">
        <v>0</v>
      </c>
      <c r="Z614">
        <v>0</v>
      </c>
      <c r="AA614">
        <v>2</v>
      </c>
      <c r="AB614">
        <v>2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</row>
    <row r="615" spans="1:43" x14ac:dyDescent="0.3">
      <c r="A615" t="s">
        <v>199</v>
      </c>
      <c r="B615" t="s">
        <v>245</v>
      </c>
      <c r="C615" s="4" t="s">
        <v>43</v>
      </c>
      <c r="D615">
        <v>32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20</v>
      </c>
      <c r="L615">
        <v>1</v>
      </c>
      <c r="M615">
        <v>0</v>
      </c>
      <c r="N615">
        <v>4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</v>
      </c>
      <c r="W615">
        <v>0</v>
      </c>
      <c r="X615">
        <v>0</v>
      </c>
      <c r="Y615">
        <v>0</v>
      </c>
      <c r="Z615">
        <v>0</v>
      </c>
      <c r="AA615">
        <v>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spans="1:43" x14ac:dyDescent="0.3">
      <c r="A616" t="s">
        <v>199</v>
      </c>
      <c r="B616" t="s">
        <v>245</v>
      </c>
      <c r="C616" s="4" t="s">
        <v>44</v>
      </c>
      <c r="D616">
        <v>20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14</v>
      </c>
      <c r="L616">
        <v>1</v>
      </c>
      <c r="M616">
        <v>0</v>
      </c>
      <c r="N616">
        <v>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</row>
    <row r="617" spans="1:43" x14ac:dyDescent="0.3">
      <c r="A617" t="s">
        <v>199</v>
      </c>
      <c r="B617" t="s">
        <v>246</v>
      </c>
      <c r="C617" s="4" t="s">
        <v>40</v>
      </c>
      <c r="D617">
        <v>43</v>
      </c>
      <c r="E617">
        <v>3</v>
      </c>
      <c r="F617">
        <v>6</v>
      </c>
      <c r="G617">
        <v>0</v>
      </c>
      <c r="H617">
        <v>0</v>
      </c>
      <c r="I617">
        <v>0</v>
      </c>
      <c r="J617">
        <v>0</v>
      </c>
      <c r="K617">
        <v>24</v>
      </c>
      <c r="L617">
        <v>0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6</v>
      </c>
      <c r="AM617">
        <v>0</v>
      </c>
      <c r="AN617">
        <v>0</v>
      </c>
      <c r="AO617">
        <v>0</v>
      </c>
      <c r="AP617">
        <v>0</v>
      </c>
      <c r="AQ617">
        <v>0</v>
      </c>
    </row>
    <row r="618" spans="1:43" x14ac:dyDescent="0.3">
      <c r="A618" t="s">
        <v>199</v>
      </c>
      <c r="B618" t="s">
        <v>246</v>
      </c>
      <c r="C618" s="4" t="s">
        <v>43</v>
      </c>
      <c r="D618">
        <v>31</v>
      </c>
      <c r="E618">
        <v>3</v>
      </c>
      <c r="F618">
        <v>6</v>
      </c>
      <c r="G618">
        <v>0</v>
      </c>
      <c r="H618">
        <v>0</v>
      </c>
      <c r="I618">
        <v>0</v>
      </c>
      <c r="J618">
        <v>0</v>
      </c>
      <c r="K618">
        <v>15</v>
      </c>
      <c r="L618">
        <v>0</v>
      </c>
      <c r="M618">
        <v>0</v>
      </c>
      <c r="N618">
        <v>0</v>
      </c>
      <c r="O618">
        <v>0</v>
      </c>
      <c r="P618">
        <v>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5</v>
      </c>
      <c r="AM618">
        <v>0</v>
      </c>
      <c r="AN618">
        <v>0</v>
      </c>
      <c r="AO618">
        <v>0</v>
      </c>
      <c r="AP618">
        <v>0</v>
      </c>
      <c r="AQ618">
        <v>0</v>
      </c>
    </row>
    <row r="619" spans="1:43" x14ac:dyDescent="0.3">
      <c r="A619" t="s">
        <v>199</v>
      </c>
      <c r="B619" t="s">
        <v>246</v>
      </c>
      <c r="C619" s="4" t="s">
        <v>44</v>
      </c>
      <c r="D619">
        <v>12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9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</row>
    <row r="620" spans="1:43" x14ac:dyDescent="0.3">
      <c r="A620" t="s">
        <v>199</v>
      </c>
      <c r="B620" t="s">
        <v>247</v>
      </c>
      <c r="C620" s="4" t="s">
        <v>40</v>
      </c>
      <c r="D620">
        <v>39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31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</v>
      </c>
      <c r="AI620">
        <v>0</v>
      </c>
      <c r="AJ620">
        <v>0</v>
      </c>
      <c r="AK620">
        <v>0</v>
      </c>
      <c r="AL620">
        <v>3</v>
      </c>
      <c r="AM620">
        <v>0</v>
      </c>
      <c r="AN620">
        <v>0</v>
      </c>
      <c r="AO620">
        <v>0</v>
      </c>
      <c r="AP620">
        <v>0</v>
      </c>
      <c r="AQ620">
        <v>0</v>
      </c>
    </row>
    <row r="621" spans="1:43" x14ac:dyDescent="0.3">
      <c r="A621" t="s">
        <v>199</v>
      </c>
      <c r="B621" t="s">
        <v>247</v>
      </c>
      <c r="C621" s="4" t="s">
        <v>43</v>
      </c>
      <c r="D621">
        <v>32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24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</v>
      </c>
      <c r="AI621">
        <v>0</v>
      </c>
      <c r="AJ621">
        <v>0</v>
      </c>
      <c r="AK621">
        <v>0</v>
      </c>
      <c r="AL621">
        <v>3</v>
      </c>
      <c r="AM621">
        <v>0</v>
      </c>
      <c r="AN621">
        <v>0</v>
      </c>
      <c r="AO621">
        <v>0</v>
      </c>
      <c r="AP621">
        <v>0</v>
      </c>
      <c r="AQ621">
        <v>0</v>
      </c>
    </row>
    <row r="622" spans="1:43" x14ac:dyDescent="0.3">
      <c r="A622" t="s">
        <v>199</v>
      </c>
      <c r="B622" t="s">
        <v>247</v>
      </c>
      <c r="C622" s="4" t="s">
        <v>44</v>
      </c>
      <c r="D622">
        <v>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3" spans="1:43" x14ac:dyDescent="0.3">
      <c r="A623" t="s">
        <v>199</v>
      </c>
      <c r="B623" t="s">
        <v>248</v>
      </c>
      <c r="C623" s="4" t="s">
        <v>40</v>
      </c>
      <c r="D623">
        <v>36</v>
      </c>
      <c r="E623">
        <v>1</v>
      </c>
      <c r="F623">
        <v>2</v>
      </c>
      <c r="G623">
        <v>0</v>
      </c>
      <c r="H623">
        <v>0</v>
      </c>
      <c r="I623">
        <v>0</v>
      </c>
      <c r="J623">
        <v>0</v>
      </c>
      <c r="K623">
        <v>24</v>
      </c>
      <c r="L623">
        <v>0</v>
      </c>
      <c r="M623">
        <v>0</v>
      </c>
      <c r="N623">
        <v>3</v>
      </c>
      <c r="O623">
        <v>0</v>
      </c>
      <c r="P623">
        <v>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</row>
    <row r="624" spans="1:43" x14ac:dyDescent="0.3">
      <c r="A624" t="s">
        <v>199</v>
      </c>
      <c r="B624" t="s">
        <v>248</v>
      </c>
      <c r="C624" s="4" t="s">
        <v>43</v>
      </c>
      <c r="D624">
        <v>23</v>
      </c>
      <c r="E624">
        <v>1</v>
      </c>
      <c r="F624">
        <v>2</v>
      </c>
      <c r="G624">
        <v>0</v>
      </c>
      <c r="H624">
        <v>0</v>
      </c>
      <c r="I624">
        <v>0</v>
      </c>
      <c r="J624">
        <v>0</v>
      </c>
      <c r="K624">
        <v>11</v>
      </c>
      <c r="L624">
        <v>0</v>
      </c>
      <c r="M624">
        <v>0</v>
      </c>
      <c r="N624">
        <v>3</v>
      </c>
      <c r="O624">
        <v>0</v>
      </c>
      <c r="P624">
        <v>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</v>
      </c>
    </row>
    <row r="625" spans="1:43" x14ac:dyDescent="0.3">
      <c r="A625" t="s">
        <v>199</v>
      </c>
      <c r="B625" t="s">
        <v>248</v>
      </c>
      <c r="C625" s="4" t="s">
        <v>44</v>
      </c>
      <c r="D625">
        <v>13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spans="1:43" x14ac:dyDescent="0.3">
      <c r="A626" t="s">
        <v>199</v>
      </c>
      <c r="B626" t="s">
        <v>249</v>
      </c>
      <c r="C626" s="4" t="s">
        <v>40</v>
      </c>
      <c r="D626">
        <v>31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22</v>
      </c>
      <c r="L626">
        <v>1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4</v>
      </c>
    </row>
    <row r="627" spans="1:43" x14ac:dyDescent="0.3">
      <c r="A627" t="s">
        <v>199</v>
      </c>
      <c r="B627" t="s">
        <v>249</v>
      </c>
      <c r="C627" s="4" t="s">
        <v>43</v>
      </c>
      <c r="D627">
        <v>21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13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4</v>
      </c>
    </row>
    <row r="628" spans="1:43" x14ac:dyDescent="0.3">
      <c r="A628" t="s">
        <v>199</v>
      </c>
      <c r="B628" t="s">
        <v>249</v>
      </c>
      <c r="C628" s="4" t="s">
        <v>44</v>
      </c>
      <c r="D628">
        <v>10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9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</row>
    <row r="629" spans="1:43" x14ac:dyDescent="0.3">
      <c r="A629" t="s">
        <v>199</v>
      </c>
      <c r="B629" t="s">
        <v>250</v>
      </c>
      <c r="C629" s="4" t="s">
        <v>40</v>
      </c>
      <c r="D629">
        <v>24</v>
      </c>
      <c r="E629">
        <v>1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21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</row>
    <row r="630" spans="1:43" x14ac:dyDescent="0.3">
      <c r="A630" t="s">
        <v>199</v>
      </c>
      <c r="B630" t="s">
        <v>250</v>
      </c>
      <c r="C630" s="4" t="s">
        <v>43</v>
      </c>
      <c r="D630">
        <v>14</v>
      </c>
      <c r="E630">
        <v>1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11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</row>
    <row r="631" spans="1:43" x14ac:dyDescent="0.3">
      <c r="A631" t="s">
        <v>199</v>
      </c>
      <c r="B631" t="s">
        <v>250</v>
      </c>
      <c r="C631" s="4" t="s">
        <v>44</v>
      </c>
      <c r="D631">
        <v>10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</row>
    <row r="632" spans="1:43" x14ac:dyDescent="0.3">
      <c r="A632" t="s">
        <v>199</v>
      </c>
      <c r="B632" t="s">
        <v>251</v>
      </c>
      <c r="C632" s="4" t="s">
        <v>40</v>
      </c>
      <c r="D632">
        <v>18</v>
      </c>
      <c r="E632">
        <v>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9</v>
      </c>
      <c r="L632">
        <v>0</v>
      </c>
      <c r="M632">
        <v>0</v>
      </c>
      <c r="N632">
        <v>0</v>
      </c>
      <c r="O632">
        <v>0</v>
      </c>
      <c r="P632">
        <v>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1</v>
      </c>
    </row>
    <row r="633" spans="1:43" x14ac:dyDescent="0.3">
      <c r="A633" t="s">
        <v>199</v>
      </c>
      <c r="B633" t="s">
        <v>251</v>
      </c>
      <c r="C633" s="4" t="s">
        <v>43</v>
      </c>
      <c r="D633">
        <v>11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7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1</v>
      </c>
    </row>
    <row r="634" spans="1:43" x14ac:dyDescent="0.3">
      <c r="A634" t="s">
        <v>199</v>
      </c>
      <c r="B634" t="s">
        <v>251</v>
      </c>
      <c r="C634" s="4" t="s">
        <v>44</v>
      </c>
      <c r="D634">
        <v>7</v>
      </c>
      <c r="E634">
        <v>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</row>
    <row r="635" spans="1:43" x14ac:dyDescent="0.3">
      <c r="A635" t="s">
        <v>199</v>
      </c>
      <c r="B635" t="s">
        <v>252</v>
      </c>
      <c r="C635" s="4" t="s">
        <v>40</v>
      </c>
      <c r="D635">
        <v>15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0</v>
      </c>
    </row>
    <row r="636" spans="1:43" x14ac:dyDescent="0.3">
      <c r="A636" t="s">
        <v>199</v>
      </c>
      <c r="B636" t="s">
        <v>252</v>
      </c>
      <c r="C636" s="4" t="s">
        <v>43</v>
      </c>
      <c r="D636">
        <v>8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0</v>
      </c>
    </row>
    <row r="637" spans="1:43" x14ac:dyDescent="0.3">
      <c r="A637" t="s">
        <v>199</v>
      </c>
      <c r="B637" t="s">
        <v>252</v>
      </c>
      <c r="C637" s="4" t="s">
        <v>44</v>
      </c>
      <c r="D637">
        <v>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</row>
    <row r="638" spans="1:43" x14ac:dyDescent="0.3">
      <c r="A638" t="s">
        <v>199</v>
      </c>
      <c r="B638" t="s">
        <v>253</v>
      </c>
      <c r="C638" s="4" t="s">
        <v>40</v>
      </c>
      <c r="D638">
        <v>11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9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</row>
    <row r="639" spans="1:43" x14ac:dyDescent="0.3">
      <c r="A639" t="s">
        <v>199</v>
      </c>
      <c r="B639" t="s">
        <v>253</v>
      </c>
      <c r="C639" s="4" t="s">
        <v>43</v>
      </c>
      <c r="D639">
        <v>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5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</row>
    <row r="640" spans="1:43" x14ac:dyDescent="0.3">
      <c r="A640" t="s">
        <v>199</v>
      </c>
      <c r="B640" t="s">
        <v>253</v>
      </c>
      <c r="C640" s="4" t="s">
        <v>44</v>
      </c>
      <c r="D640">
        <v>5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</row>
    <row r="641" spans="1:43" x14ac:dyDescent="0.3">
      <c r="A641" s="3" t="s">
        <v>254</v>
      </c>
      <c r="B641" s="3"/>
      <c r="C641" s="4" t="s">
        <v>40</v>
      </c>
      <c r="D641" s="1">
        <v>1449</v>
      </c>
      <c r="E641">
        <v>9</v>
      </c>
      <c r="F641">
        <v>998</v>
      </c>
      <c r="G641">
        <v>0</v>
      </c>
      <c r="H641">
        <v>0</v>
      </c>
      <c r="I641">
        <v>78</v>
      </c>
      <c r="J641">
        <v>0</v>
      </c>
      <c r="K641">
        <v>233</v>
      </c>
      <c r="L641">
        <v>12</v>
      </c>
      <c r="M641">
        <v>0</v>
      </c>
      <c r="N641">
        <v>9</v>
      </c>
      <c r="O641">
        <v>0</v>
      </c>
      <c r="P641">
        <v>4</v>
      </c>
      <c r="Q641">
        <v>0</v>
      </c>
      <c r="R641">
        <v>3</v>
      </c>
      <c r="S641">
        <v>0</v>
      </c>
      <c r="T641">
        <v>1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8</v>
      </c>
      <c r="AH641">
        <v>14</v>
      </c>
      <c r="AI641">
        <v>1</v>
      </c>
      <c r="AJ641">
        <v>2</v>
      </c>
      <c r="AK641">
        <v>0</v>
      </c>
      <c r="AL641">
        <v>3</v>
      </c>
      <c r="AM641">
        <v>2</v>
      </c>
      <c r="AN641">
        <v>0</v>
      </c>
      <c r="AO641">
        <v>0</v>
      </c>
      <c r="AP641">
        <v>7</v>
      </c>
      <c r="AQ641">
        <v>64</v>
      </c>
    </row>
    <row r="642" spans="1:43" x14ac:dyDescent="0.3">
      <c r="A642" s="3"/>
      <c r="B642" s="3"/>
      <c r="C642" s="4" t="s">
        <v>259</v>
      </c>
      <c r="D642" s="1">
        <v>865</v>
      </c>
      <c r="E642" s="1">
        <v>0</v>
      </c>
      <c r="F642" s="1">
        <v>580</v>
      </c>
      <c r="G642" s="1">
        <v>0</v>
      </c>
      <c r="H642" s="1">
        <v>0</v>
      </c>
      <c r="I642" s="1">
        <v>76</v>
      </c>
      <c r="J642" s="1">
        <v>0</v>
      </c>
      <c r="K642" s="1">
        <v>109</v>
      </c>
      <c r="L642" s="1">
        <v>11</v>
      </c>
      <c r="M642" s="1">
        <v>0</v>
      </c>
      <c r="N642" s="1">
        <v>3</v>
      </c>
      <c r="O642" s="1">
        <v>0</v>
      </c>
      <c r="P642" s="1">
        <v>1</v>
      </c>
      <c r="Q642" s="1">
        <v>0</v>
      </c>
      <c r="R642" s="1">
        <v>3</v>
      </c>
      <c r="S642" s="1">
        <v>0</v>
      </c>
      <c r="T642" s="1">
        <v>1</v>
      </c>
      <c r="U642" s="1">
        <v>1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6</v>
      </c>
      <c r="AH642" s="1">
        <v>4</v>
      </c>
      <c r="AI642" s="1">
        <v>1</v>
      </c>
      <c r="AJ642" s="1">
        <v>0</v>
      </c>
      <c r="AK642" s="1">
        <v>0</v>
      </c>
      <c r="AL642" s="1">
        <v>1</v>
      </c>
      <c r="AM642" s="1">
        <v>2</v>
      </c>
      <c r="AN642" s="1">
        <v>0</v>
      </c>
      <c r="AO642" s="1">
        <v>0</v>
      </c>
      <c r="AP642" s="1">
        <v>2</v>
      </c>
      <c r="AQ642" s="1">
        <v>64</v>
      </c>
    </row>
    <row r="643" spans="1:43" x14ac:dyDescent="0.3">
      <c r="A643" s="3"/>
      <c r="B643" s="3"/>
      <c r="C643" s="4" t="s">
        <v>260</v>
      </c>
      <c r="D643" s="1">
        <v>584</v>
      </c>
      <c r="E643" s="1">
        <v>9</v>
      </c>
      <c r="F643" s="1">
        <v>418</v>
      </c>
      <c r="G643" s="1">
        <v>0</v>
      </c>
      <c r="H643" s="1">
        <v>0</v>
      </c>
      <c r="I643" s="1">
        <v>2</v>
      </c>
      <c r="J643" s="1">
        <v>0</v>
      </c>
      <c r="K643" s="1">
        <v>124</v>
      </c>
      <c r="L643" s="1">
        <v>1</v>
      </c>
      <c r="M643" s="1">
        <v>0</v>
      </c>
      <c r="N643" s="1">
        <v>6</v>
      </c>
      <c r="O643" s="1">
        <v>0</v>
      </c>
      <c r="P643" s="1">
        <v>3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2</v>
      </c>
      <c r="AH643" s="1">
        <v>10</v>
      </c>
      <c r="AI643" s="1">
        <v>0</v>
      </c>
      <c r="AJ643" s="1">
        <v>2</v>
      </c>
      <c r="AK643" s="1">
        <v>0</v>
      </c>
      <c r="AL643" s="1">
        <v>2</v>
      </c>
      <c r="AM643" s="1">
        <v>0</v>
      </c>
      <c r="AN643" s="1">
        <v>0</v>
      </c>
      <c r="AO643" s="1">
        <v>0</v>
      </c>
      <c r="AP643" s="1">
        <v>5</v>
      </c>
      <c r="AQ643" s="1">
        <v>0</v>
      </c>
    </row>
  </sheetData>
  <mergeCells count="8">
    <mergeCell ref="B476:B478"/>
    <mergeCell ref="A641:B643"/>
    <mergeCell ref="A2:B5"/>
    <mergeCell ref="B6:B8"/>
    <mergeCell ref="B153:B156"/>
    <mergeCell ref="B165:B167"/>
    <mergeCell ref="B269:B272"/>
    <mergeCell ref="B426:B429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2026-03-04T04:21:36Z</dcterms:created>
  <dcterms:modified xsi:type="dcterms:W3CDTF">2026-03-04T04:22:25Z</dcterms:modified>
</cp:coreProperties>
</file>