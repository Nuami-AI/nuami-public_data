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3ADD51CB-F525-4E14-9FFA-EA7C1D646E0C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definedNames>
    <definedName name="_xlnm._FilterDatabase" localSheetId="0" hidden="1">'2025'!$A$1:$AP$643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9" i="1" l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D480" i="1"/>
  <c r="D479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D435" i="1"/>
  <c r="D434" i="1"/>
  <c r="D433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E270" i="1"/>
  <c r="F270" i="1"/>
  <c r="G270" i="1"/>
  <c r="H270" i="1"/>
  <c r="I270" i="1"/>
  <c r="I5" i="1" s="1"/>
  <c r="J270" i="1"/>
  <c r="K270" i="1"/>
  <c r="L270" i="1"/>
  <c r="M270" i="1"/>
  <c r="N270" i="1"/>
  <c r="O270" i="1"/>
  <c r="P270" i="1"/>
  <c r="Q270" i="1"/>
  <c r="R270" i="1"/>
  <c r="S270" i="1"/>
  <c r="T270" i="1"/>
  <c r="U270" i="1"/>
  <c r="U5" i="1" s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G5" i="1" s="1"/>
  <c r="AH270" i="1"/>
  <c r="AI270" i="1"/>
  <c r="AI5" i="1" s="1"/>
  <c r="AJ270" i="1"/>
  <c r="AK270" i="1"/>
  <c r="AL270" i="1"/>
  <c r="AM270" i="1"/>
  <c r="AN270" i="1"/>
  <c r="AO270" i="1"/>
  <c r="AP270" i="1"/>
  <c r="D269" i="1"/>
  <c r="D268" i="1"/>
  <c r="D270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D166" i="1"/>
  <c r="D165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E156" i="1"/>
  <c r="E5" i="1" s="1"/>
  <c r="F156" i="1"/>
  <c r="G156" i="1"/>
  <c r="G5" i="1" s="1"/>
  <c r="H156" i="1"/>
  <c r="I156" i="1"/>
  <c r="J156" i="1"/>
  <c r="K156" i="1"/>
  <c r="L156" i="1"/>
  <c r="L5" i="1" s="1"/>
  <c r="M156" i="1"/>
  <c r="M5" i="1" s="1"/>
  <c r="N156" i="1"/>
  <c r="O156" i="1"/>
  <c r="O5" i="1" s="1"/>
  <c r="P156" i="1"/>
  <c r="P5" i="1" s="1"/>
  <c r="Q156" i="1"/>
  <c r="Q5" i="1" s="1"/>
  <c r="R156" i="1"/>
  <c r="S156" i="1"/>
  <c r="T156" i="1"/>
  <c r="U156" i="1"/>
  <c r="V156" i="1"/>
  <c r="W156" i="1"/>
  <c r="X156" i="1"/>
  <c r="X5" i="1" s="1"/>
  <c r="Y156" i="1"/>
  <c r="Y5" i="1" s="1"/>
  <c r="Z156" i="1"/>
  <c r="AA156" i="1"/>
  <c r="AA5" i="1" s="1"/>
  <c r="AB156" i="1"/>
  <c r="AB5" i="1" s="1"/>
  <c r="AC156" i="1"/>
  <c r="AC5" i="1" s="1"/>
  <c r="AD156" i="1"/>
  <c r="AE156" i="1"/>
  <c r="AF156" i="1"/>
  <c r="AG156" i="1"/>
  <c r="AH156" i="1"/>
  <c r="AI156" i="1"/>
  <c r="AJ156" i="1"/>
  <c r="AJ5" i="1" s="1"/>
  <c r="AK156" i="1"/>
  <c r="AK5" i="1" s="1"/>
  <c r="AL156" i="1"/>
  <c r="AM156" i="1"/>
  <c r="AM5" i="1" s="1"/>
  <c r="AN156" i="1"/>
  <c r="AN5" i="1" s="1"/>
  <c r="AO156" i="1"/>
  <c r="AO5" i="1" s="1"/>
  <c r="AP156" i="1"/>
  <c r="AP5" i="1" s="1"/>
  <c r="D156" i="1"/>
  <c r="D5" i="1" s="1"/>
  <c r="D155" i="1"/>
  <c r="D154" i="1"/>
  <c r="E7" i="1"/>
  <c r="E3" i="1" s="1"/>
  <c r="F7" i="1"/>
  <c r="F3" i="1" s="1"/>
  <c r="G7" i="1"/>
  <c r="H7" i="1"/>
  <c r="I7" i="1"/>
  <c r="J7" i="1"/>
  <c r="J3" i="1" s="1"/>
  <c r="K7" i="1"/>
  <c r="K3" i="1" s="1"/>
  <c r="L7" i="1"/>
  <c r="L3" i="1" s="1"/>
  <c r="M7" i="1"/>
  <c r="N7" i="1"/>
  <c r="O7" i="1"/>
  <c r="P7" i="1"/>
  <c r="P3" i="1" s="1"/>
  <c r="Q7" i="1"/>
  <c r="Q3" i="1" s="1"/>
  <c r="R7" i="1"/>
  <c r="R3" i="1" s="1"/>
  <c r="S7" i="1"/>
  <c r="T7" i="1"/>
  <c r="U7" i="1"/>
  <c r="V7" i="1"/>
  <c r="V3" i="1" s="1"/>
  <c r="W7" i="1"/>
  <c r="W3" i="1" s="1"/>
  <c r="X7" i="1"/>
  <c r="X3" i="1" s="1"/>
  <c r="Y7" i="1"/>
  <c r="Z7" i="1"/>
  <c r="AA7" i="1"/>
  <c r="AB7" i="1"/>
  <c r="AB3" i="1" s="1"/>
  <c r="AC7" i="1"/>
  <c r="AD7" i="1"/>
  <c r="AD3" i="1" s="1"/>
  <c r="AE7" i="1"/>
  <c r="AF7" i="1"/>
  <c r="AG7" i="1"/>
  <c r="AH7" i="1"/>
  <c r="AH3" i="1" s="1"/>
  <c r="AI7" i="1"/>
  <c r="AI3" i="1" s="1"/>
  <c r="AJ7" i="1"/>
  <c r="AJ3" i="1" s="1"/>
  <c r="AK7" i="1"/>
  <c r="AL7" i="1"/>
  <c r="AM7" i="1"/>
  <c r="AN7" i="1"/>
  <c r="AN3" i="1" s="1"/>
  <c r="AO7" i="1"/>
  <c r="AO3" i="1" s="1"/>
  <c r="AP7" i="1"/>
  <c r="AP3" i="1" s="1"/>
  <c r="E8" i="1"/>
  <c r="F8" i="1"/>
  <c r="G8" i="1"/>
  <c r="H8" i="1"/>
  <c r="H4" i="1" s="1"/>
  <c r="I8" i="1"/>
  <c r="I4" i="1" s="1"/>
  <c r="J8" i="1"/>
  <c r="J4" i="1" s="1"/>
  <c r="K8" i="1"/>
  <c r="L8" i="1"/>
  <c r="M8" i="1"/>
  <c r="N8" i="1"/>
  <c r="N4" i="1" s="1"/>
  <c r="O8" i="1"/>
  <c r="O4" i="1" s="1"/>
  <c r="P8" i="1"/>
  <c r="P4" i="1" s="1"/>
  <c r="Q8" i="1"/>
  <c r="R8" i="1"/>
  <c r="S8" i="1"/>
  <c r="T8" i="1"/>
  <c r="T4" i="1" s="1"/>
  <c r="U8" i="1"/>
  <c r="U4" i="1" s="1"/>
  <c r="V8" i="1"/>
  <c r="V4" i="1" s="1"/>
  <c r="W8" i="1"/>
  <c r="X8" i="1"/>
  <c r="Y8" i="1"/>
  <c r="Z8" i="1"/>
  <c r="Z4" i="1" s="1"/>
  <c r="AA8" i="1"/>
  <c r="AA4" i="1" s="1"/>
  <c r="AB8" i="1"/>
  <c r="AB4" i="1" s="1"/>
  <c r="AC8" i="1"/>
  <c r="AD8" i="1"/>
  <c r="AE8" i="1"/>
  <c r="AF8" i="1"/>
  <c r="AF4" i="1" s="1"/>
  <c r="AG8" i="1"/>
  <c r="AG4" i="1" s="1"/>
  <c r="AH8" i="1"/>
  <c r="AH4" i="1" s="1"/>
  <c r="AI8" i="1"/>
  <c r="AJ8" i="1"/>
  <c r="AK8" i="1"/>
  <c r="AL8" i="1"/>
  <c r="AL4" i="1" s="1"/>
  <c r="AM8" i="1"/>
  <c r="AM4" i="1" s="1"/>
  <c r="AN8" i="1"/>
  <c r="AN4" i="1" s="1"/>
  <c r="AO8" i="1"/>
  <c r="AP8" i="1"/>
  <c r="AP4" i="1" s="1"/>
  <c r="D8" i="1"/>
  <c r="D4" i="1" s="1"/>
  <c r="D7" i="1"/>
  <c r="D3" i="1" s="1"/>
  <c r="R4" i="1" l="1"/>
  <c r="AI4" i="1"/>
  <c r="W4" i="1"/>
  <c r="K4" i="1"/>
  <c r="AK3" i="1"/>
  <c r="Y3" i="1"/>
  <c r="M3" i="1"/>
  <c r="AD5" i="1"/>
  <c r="R5" i="1"/>
  <c r="F5" i="1"/>
  <c r="AE4" i="1"/>
  <c r="S4" i="1"/>
  <c r="G4" i="1"/>
  <c r="AG3" i="1"/>
  <c r="U3" i="1"/>
  <c r="I3" i="1"/>
  <c r="AD4" i="1"/>
  <c r="T3" i="1"/>
  <c r="AO4" i="1"/>
  <c r="AC4" i="1"/>
  <c r="Q4" i="1"/>
  <c r="E4" i="1"/>
  <c r="AE3" i="1"/>
  <c r="S3" i="1"/>
  <c r="G3" i="1"/>
  <c r="H3" i="1"/>
  <c r="AL5" i="1"/>
  <c r="Z5" i="1"/>
  <c r="N5" i="1"/>
  <c r="F4" i="1"/>
  <c r="AK4" i="1"/>
  <c r="Y4" i="1"/>
  <c r="M4" i="1"/>
  <c r="AM3" i="1"/>
  <c r="AA3" i="1"/>
  <c r="O3" i="1"/>
  <c r="AF5" i="1"/>
  <c r="T5" i="1"/>
  <c r="H5" i="1"/>
  <c r="W5" i="1"/>
  <c r="K5" i="1"/>
  <c r="AF3" i="1"/>
  <c r="AC3" i="1"/>
  <c r="AJ4" i="1"/>
  <c r="X4" i="1"/>
  <c r="L4" i="1"/>
  <c r="AL3" i="1"/>
  <c r="Z3" i="1"/>
  <c r="N3" i="1"/>
  <c r="AE5" i="1"/>
  <c r="S5" i="1"/>
  <c r="AH5" i="1"/>
  <c r="V5" i="1"/>
  <c r="J5" i="1"/>
</calcChain>
</file>

<file path=xl/sharedStrings.xml><?xml version="1.0" encoding="utf-8"?>
<sst xmlns="http://schemas.openxmlformats.org/spreadsheetml/2006/main" count="1956" uniqueCount="263">
  <si>
    <t>대륙</t>
  </si>
  <si>
    <t>국적</t>
  </si>
  <si>
    <t>성별</t>
  </si>
  <si>
    <t>총합계</t>
  </si>
  <si>
    <t>A1(외교)</t>
  </si>
  <si>
    <t>A2(공무)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</si>
  <si>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</si>
  <si>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</si>
  <si>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</si>
  <si>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</si>
  <si>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</si>
  <si>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</si>
  <si>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</si>
  <si>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</si>
  <si>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</si>
  <si>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</si>
  <si>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</si>
  <si>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</si>
  <si>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</si>
  <si>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</si>
  <si>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</si>
  <si>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</si>
  <si>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</si>
  <si>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</si>
  <si>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</si>
  <si>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</si>
  <si>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</si>
  <si>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</si>
  <si>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</si>
  <si>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</si>
  <si>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</si>
  <si>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</si>
  <si>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</si>
  <si>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</si>
  <si>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</si>
  <si>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</si>
  <si>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</si>
  <si>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</si>
  <si>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</si>
  <si>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T1(관광상륙)</t>
  </si>
  <si>
    <t>총계</t>
  </si>
  <si>
    <t>아시아주</t>
  </si>
  <si>
    <t>한국계중국인</t>
  </si>
  <si>
    <t>남성</t>
  </si>
  <si>
    <t>여성</t>
  </si>
  <si>
    <t>중국</t>
  </si>
  <si>
    <t>베트남</t>
  </si>
  <si>
    <t>타이</t>
  </si>
  <si>
    <t>우즈베키스탄</t>
  </si>
  <si>
    <t>네팔</t>
  </si>
  <si>
    <t>인도네시아</t>
  </si>
  <si>
    <t>필리핀</t>
  </si>
  <si>
    <t>일본</t>
  </si>
  <si>
    <t>캄보디아</t>
  </si>
  <si>
    <t>몽골</t>
  </si>
  <si>
    <t>미얀마</t>
  </si>
  <si>
    <t>카자흐스탄</t>
  </si>
  <si>
    <t>타이완</t>
  </si>
  <si>
    <t>스리랑카</t>
  </si>
  <si>
    <t>방글라데시</t>
  </si>
  <si>
    <t>파키스탄</t>
  </si>
  <si>
    <t>인도</t>
  </si>
  <si>
    <t>말레이시아</t>
  </si>
  <si>
    <t>홍콩</t>
  </si>
  <si>
    <t>싱가포르</t>
  </si>
  <si>
    <t>라오스</t>
  </si>
  <si>
    <t>키르기즈</t>
  </si>
  <si>
    <t>티모르민주공화국</t>
  </si>
  <si>
    <t>튀르키예</t>
  </si>
  <si>
    <t>타지키스탄</t>
  </si>
  <si>
    <t>이란</t>
  </si>
  <si>
    <t>시리아</t>
  </si>
  <si>
    <t>투르크메니스탄</t>
  </si>
  <si>
    <t>예멘공화국</t>
  </si>
  <si>
    <t>사우디아라비아</t>
  </si>
  <si>
    <t>아프가니스탄</t>
  </si>
  <si>
    <t>마카오</t>
  </si>
  <si>
    <t>요르단</t>
  </si>
  <si>
    <t>이라크</t>
  </si>
  <si>
    <t>아랍에미리트연합</t>
  </si>
  <si>
    <t>이스라엘</t>
  </si>
  <si>
    <t>브루나이</t>
  </si>
  <si>
    <t>쿠웨이트</t>
  </si>
  <si>
    <t>카타르</t>
  </si>
  <si>
    <t>팔레스타인</t>
  </si>
  <si>
    <t>오만</t>
  </si>
  <si>
    <t>레바논</t>
  </si>
  <si>
    <t>바레인</t>
  </si>
  <si>
    <t>키프로스</t>
  </si>
  <si>
    <t>부탄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</si>
  <si>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</si>
  <si>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</si>
  <si>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</si>
  <si>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</si>
  <si>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</si>
  <si>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</si>
  <si>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</si>
  <si>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</si>
  <si>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</si>
  <si>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페루</t>
  </si>
  <si>
    <t>콜롬비아</t>
  </si>
  <si>
    <t>아르헨티나</t>
  </si>
  <si>
    <t>칠레</t>
  </si>
  <si>
    <t>에콰도르</t>
  </si>
  <si>
    <t>파라과이</t>
  </si>
  <si>
    <t>베네수엘라</t>
  </si>
  <si>
    <t>코스타리카</t>
  </si>
  <si>
    <t>아이티</t>
  </si>
  <si>
    <t>과테말라</t>
  </si>
  <si>
    <t>도미니카공화국</t>
  </si>
  <si>
    <t>파나마</t>
  </si>
  <si>
    <t>볼리비아</t>
  </si>
  <si>
    <t>온두라스</t>
  </si>
  <si>
    <t>엘살바도르</t>
  </si>
  <si>
    <t>쿠바</t>
  </si>
  <si>
    <t>우루과이</t>
  </si>
  <si>
    <t>자메이카</t>
  </si>
  <si>
    <t>니카라과</t>
  </si>
  <si>
    <t>트리니다드토바고</t>
  </si>
  <si>
    <t>도미니카연방</t>
  </si>
  <si>
    <t>세인트크리스토퍼네비스</t>
  </si>
  <si>
    <t>가이아나</t>
  </si>
  <si>
    <t>바하마</t>
  </si>
  <si>
    <t>세인트루시아</t>
  </si>
  <si>
    <t>그레나다</t>
  </si>
  <si>
    <t>벨리즈</t>
  </si>
  <si>
    <t>앤티카바부다</t>
  </si>
  <si>
    <t>바베이도스</t>
  </si>
  <si>
    <t>수리남</t>
  </si>
  <si>
    <t>세인트빈센트그레나딘</t>
  </si>
  <si>
    <t>미국인근섬</t>
  </si>
  <si>
    <t>유럽주</t>
  </si>
  <si>
    <t>한국계러시아인</t>
  </si>
  <si>
    <t>러시아(연방)</t>
  </si>
  <si>
    <t>프랑스</t>
  </si>
  <si>
    <t>영국</t>
  </si>
  <si>
    <t>독일</t>
  </si>
  <si>
    <t>우크라이나</t>
  </si>
  <si>
    <t>이탈리아</t>
  </si>
  <si>
    <t>스페인</t>
  </si>
  <si>
    <t>네덜란드</t>
  </si>
  <si>
    <t>스웨덴</t>
  </si>
  <si>
    <t>폴란드</t>
  </si>
  <si>
    <t>스위스</t>
  </si>
  <si>
    <t>벨기에</t>
  </si>
  <si>
    <t>아일랜드</t>
  </si>
  <si>
    <t>덴마크</t>
  </si>
  <si>
    <t>노르웨이</t>
  </si>
  <si>
    <t>핀란드</t>
  </si>
  <si>
    <t>오스트리아</t>
  </si>
  <si>
    <t>루마니아</t>
  </si>
  <si>
    <t>아제르바이잔</t>
  </si>
  <si>
    <t>그리스</t>
  </si>
  <si>
    <t>포르투갈</t>
  </si>
  <si>
    <t>헝가리</t>
  </si>
  <si>
    <t>벨라루스</t>
  </si>
  <si>
    <t>체코</t>
  </si>
  <si>
    <t>리투아니아</t>
  </si>
  <si>
    <t>불가리아</t>
  </si>
  <si>
    <t>크로아티아</t>
  </si>
  <si>
    <t>영국외지민</t>
  </si>
  <si>
    <t>조지아</t>
  </si>
  <si>
    <t>슬로바크</t>
  </si>
  <si>
    <t>라트비아</t>
  </si>
  <si>
    <t>세르비아</t>
  </si>
  <si>
    <t>아르메니아</t>
  </si>
  <si>
    <t>룩셈부르크</t>
  </si>
  <si>
    <t>에스토니아</t>
  </si>
  <si>
    <t>몰도바</t>
  </si>
  <si>
    <t>슬로베니아</t>
  </si>
  <si>
    <t>알바니아</t>
  </si>
  <si>
    <t>몰타</t>
  </si>
  <si>
    <t>보스니아-헤르체고비나</t>
  </si>
  <si>
    <t>아이슬란드</t>
  </si>
  <si>
    <t>몬테네그로</t>
  </si>
  <si>
    <t>북마케도니아</t>
  </si>
  <si>
    <t>코소보</t>
  </si>
  <si>
    <t>안도라</t>
  </si>
  <si>
    <t>리히텐슈타인</t>
  </si>
  <si>
    <t>모나코</t>
  </si>
  <si>
    <t>영국해외영토시민</t>
  </si>
  <si>
    <t>산마리노</t>
  </si>
  <si>
    <t>영국외지시민</t>
  </si>
  <si>
    <t>교황청</t>
  </si>
  <si>
    <t>유고슬라비아</t>
  </si>
  <si>
    <t>스발바르</t>
  </si>
  <si>
    <t>세르비아몬테네그로</t>
  </si>
  <si>
    <t>오세아니아주</t>
  </si>
  <si>
    <t>오스트레일리아</t>
  </si>
  <si>
    <t>뉴질랜드</t>
  </si>
  <si>
    <t>피지</t>
  </si>
  <si>
    <t>바누아투</t>
  </si>
  <si>
    <t>파푸아뉴기니</t>
  </si>
  <si>
    <t>미이크로네시아</t>
  </si>
  <si>
    <t>마샬군도</t>
  </si>
  <si>
    <t>솔로몬군도</t>
  </si>
  <si>
    <t>통가</t>
  </si>
  <si>
    <t>팔라우</t>
  </si>
  <si>
    <t>사모아</t>
  </si>
  <si>
    <t>키리바시</t>
  </si>
  <si>
    <t>나우루</t>
  </si>
  <si>
    <t>투발루</t>
  </si>
  <si>
    <t>아프리카주</t>
  </si>
  <si>
    <t>남아프리카공화국</t>
  </si>
  <si>
    <t>이집트</t>
  </si>
  <si>
    <t>나이지리아</t>
  </si>
  <si>
    <t>모로코</t>
  </si>
  <si>
    <t>가나</t>
  </si>
  <si>
    <t>에티오피아</t>
  </si>
  <si>
    <t>리비아</t>
  </si>
  <si>
    <t>튀니지</t>
  </si>
  <si>
    <t>카메룬</t>
  </si>
  <si>
    <t>르완다</t>
  </si>
  <si>
    <t>케냐</t>
  </si>
  <si>
    <t>탄자니아</t>
  </si>
  <si>
    <t>부룬디</t>
  </si>
  <si>
    <t>우간다</t>
  </si>
  <si>
    <t>알제리</t>
  </si>
  <si>
    <t>라이베리아</t>
  </si>
  <si>
    <t>콩고민주공화국</t>
  </si>
  <si>
    <t>수단</t>
  </si>
  <si>
    <t>세네갈</t>
  </si>
  <si>
    <t>코트디부아르</t>
  </si>
  <si>
    <t>기니</t>
  </si>
  <si>
    <t>말리</t>
  </si>
  <si>
    <t>짐바브웨</t>
  </si>
  <si>
    <t>가봉</t>
  </si>
  <si>
    <t>시에라리온</t>
  </si>
  <si>
    <t>감비아</t>
  </si>
  <si>
    <t>잠비아</t>
  </si>
  <si>
    <t>앙골라</t>
  </si>
  <si>
    <t>부르키나파소</t>
  </si>
  <si>
    <t>말라위</t>
  </si>
  <si>
    <t>마다가스카르</t>
  </si>
  <si>
    <t>모잠비크</t>
  </si>
  <si>
    <t>모리셔스</t>
  </si>
  <si>
    <t>토고</t>
  </si>
  <si>
    <t>콩고</t>
  </si>
  <si>
    <t>남수단공화국</t>
  </si>
  <si>
    <t>베냉</t>
  </si>
  <si>
    <t>보츠와나</t>
  </si>
  <si>
    <t>소말리아</t>
  </si>
  <si>
    <t>모리타니</t>
  </si>
  <si>
    <t>에스와티니</t>
  </si>
  <si>
    <t>중앙아프리카공화국</t>
  </si>
  <si>
    <t>레소토</t>
  </si>
  <si>
    <t>니제르</t>
  </si>
  <si>
    <t>기니비사우</t>
  </si>
  <si>
    <t>적도기니</t>
  </si>
  <si>
    <t>에리트레아</t>
  </si>
  <si>
    <t>자이르</t>
  </si>
  <si>
    <t>지부티</t>
  </si>
  <si>
    <t>차드</t>
  </si>
  <si>
    <t>세이셸</t>
  </si>
  <si>
    <t>코모로</t>
  </si>
  <si>
    <t>나미비아</t>
  </si>
  <si>
    <t>상투메프린시페</t>
  </si>
  <si>
    <t>기타</t>
  </si>
  <si>
    <t>E8(계절근로)</t>
    <phoneticPr fontId="18" type="noConversion"/>
  </si>
  <si>
    <t>기타</t>
    <phoneticPr fontId="18" type="noConversion"/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</si>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</sst>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43"/>
  <sheetViews>
    <sheetView tabSelected="1" workbookViewId="0"/>
  </sheetViews>
  <sheetFormatPr defaultRowHeight="16.5" x14ac:dyDescent="0.3"/>
  <cols>
    <col min="3" max="3" width="9" style="4"/>
    <col min="4" max="42" width="11.625" customWidth="1"/>
  </cols>
  <sheetData>
    <row r="1" spans="1:4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258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259</v>
      </c>
    </row>
    <row r="2" spans="1:42" x14ac:dyDescent="0.3">
      <c r="A2" s="2" t="s">
        <v>3</v>
      </c>
      <c r="B2" s="2"/>
      <c r="C2" s="4" t="s">
        <v>40</v>
      </c>
      <c r="D2" s="1">
        <v>2783247</v>
      </c>
      <c r="E2" s="1">
        <v>5605</v>
      </c>
      <c r="F2" s="1">
        <v>4328</v>
      </c>
      <c r="G2" s="1">
        <v>192126</v>
      </c>
      <c r="H2" s="1">
        <v>174726</v>
      </c>
      <c r="I2">
        <v>14</v>
      </c>
      <c r="J2" s="1">
        <v>173498</v>
      </c>
      <c r="K2" s="1">
        <v>2469</v>
      </c>
      <c r="L2">
        <v>60</v>
      </c>
      <c r="M2" s="1">
        <v>219571</v>
      </c>
      <c r="N2" s="1">
        <v>1577</v>
      </c>
      <c r="O2" s="1">
        <v>92657</v>
      </c>
      <c r="P2">
        <v>130</v>
      </c>
      <c r="Q2" s="1">
        <v>1849</v>
      </c>
      <c r="R2" s="1">
        <v>1108</v>
      </c>
      <c r="S2" s="1">
        <v>8558</v>
      </c>
      <c r="T2" s="1">
        <v>2680</v>
      </c>
      <c r="U2" s="1">
        <v>21951</v>
      </c>
      <c r="V2" s="1">
        <v>1734</v>
      </c>
      <c r="W2" s="1">
        <v>12947</v>
      </c>
      <c r="X2" s="1">
        <v>3398</v>
      </c>
      <c r="Y2">
        <v>209</v>
      </c>
      <c r="Z2">
        <v>221</v>
      </c>
      <c r="AA2" s="1">
        <v>4430</v>
      </c>
      <c r="AB2" s="1">
        <v>82226</v>
      </c>
      <c r="AC2" s="1">
        <v>38330</v>
      </c>
      <c r="AD2" s="1">
        <v>344403</v>
      </c>
      <c r="AE2" s="1">
        <v>21262</v>
      </c>
      <c r="AF2" s="1">
        <v>75593</v>
      </c>
      <c r="AG2" s="1">
        <v>68096</v>
      </c>
      <c r="AH2" s="1">
        <v>75684</v>
      </c>
      <c r="AI2" s="1">
        <v>556288</v>
      </c>
      <c r="AJ2" s="1">
        <v>221021</v>
      </c>
      <c r="AK2" s="1">
        <v>154903</v>
      </c>
      <c r="AL2" s="1">
        <v>61446</v>
      </c>
      <c r="AM2" s="1">
        <v>4087</v>
      </c>
      <c r="AN2" s="1">
        <v>82418</v>
      </c>
      <c r="AO2">
        <v>262</v>
      </c>
      <c r="AP2" s="1">
        <v>71382</v>
      </c>
    </row>
    <row r="3" spans="1:42" x14ac:dyDescent="0.3">
      <c r="A3" s="2"/>
      <c r="B3" s="2"/>
      <c r="C3" s="4" t="s">
        <v>260</v>
      </c>
      <c r="D3" s="1">
        <f>D7+D154+D165+D268+D433+D479+D642</f>
        <v>1517768</v>
      </c>
      <c r="E3" s="1">
        <f t="shared" ref="E3:AP3" si="0">E7+E154+E165+E268+E433+E479+E642</f>
        <v>2861</v>
      </c>
      <c r="F3" s="1">
        <f t="shared" si="0"/>
        <v>2507</v>
      </c>
      <c r="G3" s="1">
        <f t="shared" si="0"/>
        <v>89781</v>
      </c>
      <c r="H3" s="1">
        <f t="shared" si="0"/>
        <v>80548</v>
      </c>
      <c r="I3" s="1">
        <f t="shared" si="0"/>
        <v>11</v>
      </c>
      <c r="J3" s="1">
        <f t="shared" si="0"/>
        <v>85188</v>
      </c>
      <c r="K3" s="1">
        <f t="shared" si="0"/>
        <v>1995</v>
      </c>
      <c r="L3" s="1">
        <f t="shared" si="0"/>
        <v>33</v>
      </c>
      <c r="M3" s="1">
        <f t="shared" si="0"/>
        <v>101368</v>
      </c>
      <c r="N3" s="1">
        <f t="shared" si="0"/>
        <v>1218</v>
      </c>
      <c r="O3" s="1">
        <f t="shared" si="0"/>
        <v>46163</v>
      </c>
      <c r="P3" s="1">
        <f t="shared" si="0"/>
        <v>88</v>
      </c>
      <c r="Q3" s="1">
        <f t="shared" si="0"/>
        <v>1044</v>
      </c>
      <c r="R3" s="1">
        <f t="shared" si="0"/>
        <v>922</v>
      </c>
      <c r="S3" s="1">
        <f t="shared" si="0"/>
        <v>7140</v>
      </c>
      <c r="T3" s="1">
        <f t="shared" si="0"/>
        <v>2280</v>
      </c>
      <c r="U3" s="1">
        <f t="shared" si="0"/>
        <v>9434</v>
      </c>
      <c r="V3" s="1">
        <f t="shared" si="0"/>
        <v>1260</v>
      </c>
      <c r="W3" s="1">
        <f t="shared" si="0"/>
        <v>3809</v>
      </c>
      <c r="X3" s="1">
        <f t="shared" si="0"/>
        <v>2598</v>
      </c>
      <c r="Y3" s="1">
        <f t="shared" si="0"/>
        <v>206</v>
      </c>
      <c r="Z3" s="1">
        <f t="shared" si="0"/>
        <v>218</v>
      </c>
      <c r="AA3" s="1">
        <f t="shared" si="0"/>
        <v>1549</v>
      </c>
      <c r="AB3" s="1">
        <f t="shared" si="0"/>
        <v>71888</v>
      </c>
      <c r="AC3" s="1">
        <f t="shared" si="0"/>
        <v>22405</v>
      </c>
      <c r="AD3" s="1">
        <f t="shared" si="0"/>
        <v>311146</v>
      </c>
      <c r="AE3" s="1">
        <f t="shared" si="0"/>
        <v>21253</v>
      </c>
      <c r="AF3" s="1">
        <f t="shared" si="0"/>
        <v>29947</v>
      </c>
      <c r="AG3" s="1">
        <f t="shared" si="0"/>
        <v>29454</v>
      </c>
      <c r="AH3" s="1">
        <f t="shared" si="0"/>
        <v>25950</v>
      </c>
      <c r="AI3" s="1">
        <f t="shared" si="0"/>
        <v>270976</v>
      </c>
      <c r="AJ3" s="1">
        <f t="shared" si="0"/>
        <v>116055</v>
      </c>
      <c r="AK3" s="1">
        <f t="shared" si="0"/>
        <v>32446</v>
      </c>
      <c r="AL3" s="1">
        <f t="shared" si="0"/>
        <v>45333</v>
      </c>
      <c r="AM3" s="1">
        <f t="shared" si="0"/>
        <v>756</v>
      </c>
      <c r="AN3" s="1">
        <f t="shared" si="0"/>
        <v>46312</v>
      </c>
      <c r="AO3" s="1">
        <f t="shared" si="0"/>
        <v>137</v>
      </c>
      <c r="AP3" s="1">
        <f t="shared" si="0"/>
        <v>51489</v>
      </c>
    </row>
    <row r="4" spans="1:42" x14ac:dyDescent="0.3">
      <c r="A4" s="2"/>
      <c r="B4" s="2"/>
      <c r="C4" s="4" t="s">
        <v>261</v>
      </c>
      <c r="D4" s="1">
        <f>D8+D155+D166+D269+D434+D480+D643</f>
        <v>1265465</v>
      </c>
      <c r="E4" s="1">
        <f t="shared" ref="E4:AP4" si="1">E8+E155+E166+E269+E434+E480+E643</f>
        <v>2744</v>
      </c>
      <c r="F4" s="1">
        <f t="shared" si="1"/>
        <v>1821</v>
      </c>
      <c r="G4" s="1">
        <f t="shared" si="1"/>
        <v>102344</v>
      </c>
      <c r="H4" s="1">
        <f t="shared" si="1"/>
        <v>94167</v>
      </c>
      <c r="I4" s="1">
        <f t="shared" si="1"/>
        <v>3</v>
      </c>
      <c r="J4" s="1">
        <f t="shared" si="1"/>
        <v>88310</v>
      </c>
      <c r="K4" s="1">
        <f t="shared" si="1"/>
        <v>474</v>
      </c>
      <c r="L4" s="1">
        <f t="shared" si="1"/>
        <v>27</v>
      </c>
      <c r="M4" s="1">
        <f t="shared" si="1"/>
        <v>118203</v>
      </c>
      <c r="N4" s="1">
        <f t="shared" si="1"/>
        <v>359</v>
      </c>
      <c r="O4" s="1">
        <f t="shared" si="1"/>
        <v>46494</v>
      </c>
      <c r="P4" s="1">
        <f t="shared" si="1"/>
        <v>42</v>
      </c>
      <c r="Q4" s="1">
        <f t="shared" si="1"/>
        <v>805</v>
      </c>
      <c r="R4" s="1">
        <f t="shared" si="1"/>
        <v>186</v>
      </c>
      <c r="S4" s="1">
        <f t="shared" si="1"/>
        <v>1418</v>
      </c>
      <c r="T4" s="1">
        <f t="shared" si="1"/>
        <v>400</v>
      </c>
      <c r="U4" s="1">
        <f t="shared" si="1"/>
        <v>12517</v>
      </c>
      <c r="V4" s="1">
        <f t="shared" si="1"/>
        <v>474</v>
      </c>
      <c r="W4" s="1">
        <f t="shared" si="1"/>
        <v>9138</v>
      </c>
      <c r="X4" s="1">
        <f t="shared" si="1"/>
        <v>800</v>
      </c>
      <c r="Y4" s="1">
        <f t="shared" si="1"/>
        <v>3</v>
      </c>
      <c r="Z4" s="1">
        <f t="shared" si="1"/>
        <v>3</v>
      </c>
      <c r="AA4" s="1">
        <f t="shared" si="1"/>
        <v>2881</v>
      </c>
      <c r="AB4" s="1">
        <f t="shared" si="1"/>
        <v>10338</v>
      </c>
      <c r="AC4" s="1">
        <f t="shared" si="1"/>
        <v>15925</v>
      </c>
      <c r="AD4" s="1">
        <f t="shared" si="1"/>
        <v>33257</v>
      </c>
      <c r="AE4" s="1">
        <f t="shared" si="1"/>
        <v>9</v>
      </c>
      <c r="AF4" s="1">
        <f t="shared" si="1"/>
        <v>45646</v>
      </c>
      <c r="AG4" s="1">
        <f t="shared" si="1"/>
        <v>38642</v>
      </c>
      <c r="AH4" s="1">
        <f t="shared" si="1"/>
        <v>49734</v>
      </c>
      <c r="AI4" s="1">
        <f t="shared" si="1"/>
        <v>285311</v>
      </c>
      <c r="AJ4" s="1">
        <f t="shared" si="1"/>
        <v>104966</v>
      </c>
      <c r="AK4" s="1">
        <f t="shared" si="1"/>
        <v>122457</v>
      </c>
      <c r="AL4" s="1">
        <f t="shared" si="1"/>
        <v>16113</v>
      </c>
      <c r="AM4" s="1">
        <f t="shared" si="1"/>
        <v>3331</v>
      </c>
      <c r="AN4" s="1">
        <f t="shared" si="1"/>
        <v>36106</v>
      </c>
      <c r="AO4" s="1">
        <f t="shared" si="1"/>
        <v>125</v>
      </c>
      <c r="AP4" s="1">
        <f t="shared" si="1"/>
        <v>19892</v>
      </c>
    </row>
    <row r="5" spans="1:42" x14ac:dyDescent="0.3">
      <c r="A5" s="2"/>
      <c r="B5" s="2"/>
      <c r="C5" s="4" t="s">
        <v>262</v>
      </c>
      <c r="D5" s="1">
        <f>D156+D270+D435</f>
        <v>14</v>
      </c>
      <c r="E5" s="1">
        <f t="shared" ref="E5:AP5" si="2">E156+E270+E435</f>
        <v>0</v>
      </c>
      <c r="F5" s="1">
        <f t="shared" si="2"/>
        <v>0</v>
      </c>
      <c r="G5" s="1">
        <f t="shared" si="2"/>
        <v>1</v>
      </c>
      <c r="H5" s="1">
        <f t="shared" si="2"/>
        <v>11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si="2"/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0</v>
      </c>
      <c r="AH5" s="1">
        <f t="shared" si="2"/>
        <v>0</v>
      </c>
      <c r="AI5" s="1">
        <f t="shared" si="2"/>
        <v>1</v>
      </c>
      <c r="AJ5" s="1">
        <f t="shared" si="2"/>
        <v>0</v>
      </c>
      <c r="AK5" s="1">
        <f t="shared" si="2"/>
        <v>0</v>
      </c>
      <c r="AL5" s="1">
        <f t="shared" si="2"/>
        <v>0</v>
      </c>
      <c r="AM5" s="1">
        <f t="shared" si="2"/>
        <v>0</v>
      </c>
      <c r="AN5" s="1">
        <f t="shared" si="2"/>
        <v>0</v>
      </c>
      <c r="AO5" s="1">
        <f t="shared" si="2"/>
        <v>0</v>
      </c>
      <c r="AP5" s="1">
        <f t="shared" si="2"/>
        <v>1</v>
      </c>
    </row>
    <row r="6" spans="1:42" x14ac:dyDescent="0.3">
      <c r="A6" s="2" t="s">
        <v>41</v>
      </c>
      <c r="B6" s="2"/>
      <c r="C6" s="4" t="s">
        <v>40</v>
      </c>
      <c r="D6" s="1">
        <v>2388832</v>
      </c>
      <c r="E6" s="1">
        <v>2330</v>
      </c>
      <c r="F6" s="1">
        <v>1981</v>
      </c>
      <c r="G6" s="1">
        <v>160184</v>
      </c>
      <c r="H6" s="1">
        <v>107920</v>
      </c>
      <c r="I6">
        <v>12</v>
      </c>
      <c r="J6" s="1">
        <v>170571</v>
      </c>
      <c r="K6" s="1">
        <v>2021</v>
      </c>
      <c r="L6">
        <v>39</v>
      </c>
      <c r="M6" s="1">
        <v>205116</v>
      </c>
      <c r="N6" s="1">
        <v>1574</v>
      </c>
      <c r="O6" s="1">
        <v>88518</v>
      </c>
      <c r="P6">
        <v>74</v>
      </c>
      <c r="Q6" s="1">
        <v>1089</v>
      </c>
      <c r="R6">
        <v>792</v>
      </c>
      <c r="S6" s="1">
        <v>6722</v>
      </c>
      <c r="T6" s="1">
        <v>1749</v>
      </c>
      <c r="U6" s="1">
        <v>20529</v>
      </c>
      <c r="V6">
        <v>794</v>
      </c>
      <c r="W6">
        <v>393</v>
      </c>
      <c r="X6" s="1">
        <v>2889</v>
      </c>
      <c r="Y6">
        <v>54</v>
      </c>
      <c r="Z6">
        <v>68</v>
      </c>
      <c r="AA6" s="1">
        <v>2966</v>
      </c>
      <c r="AB6" s="1">
        <v>78222</v>
      </c>
      <c r="AC6" s="1">
        <v>38330</v>
      </c>
      <c r="AD6" s="1">
        <v>344320</v>
      </c>
      <c r="AE6" s="1">
        <v>21262</v>
      </c>
      <c r="AF6" s="1">
        <v>69566</v>
      </c>
      <c r="AG6" s="1">
        <v>63160</v>
      </c>
      <c r="AH6" s="1">
        <v>66911</v>
      </c>
      <c r="AI6" s="1">
        <v>437856</v>
      </c>
      <c r="AJ6" s="1">
        <v>213316</v>
      </c>
      <c r="AK6" s="1">
        <v>136758</v>
      </c>
      <c r="AL6" s="1">
        <v>45032</v>
      </c>
      <c r="AM6" s="1">
        <v>2096</v>
      </c>
      <c r="AN6" s="1">
        <v>82125</v>
      </c>
      <c r="AO6">
        <v>221</v>
      </c>
      <c r="AP6" s="1">
        <v>11272</v>
      </c>
    </row>
    <row r="7" spans="1:42" x14ac:dyDescent="0.3">
      <c r="A7" s="2"/>
      <c r="B7" s="2"/>
      <c r="C7" s="4" t="s">
        <v>260</v>
      </c>
      <c r="D7" s="1">
        <f>D10+D13+D16+D19+D22+D25+D28+D31+D34+D37+D40+D43+D46+D49+D52+D55+D58+D61+D64+D67+D70+D73+D76+D79+D82+D85+D88+D91+D94+D97+D100+D103+D106+D109+D112+D115+D118+D121+D124+D127+D130+D133+D136+D139+D142+D145+D148+D151</f>
        <v>1310007</v>
      </c>
      <c r="E7" s="1">
        <f t="shared" ref="E7:AP7" si="3">E10+E13+E16+E19+E22+E25+E28+E31+E34+E37+E40+E43+E46+E49+E52+E55+E58+E61+E64+E67+E70+E73+E76+E79+E82+E85+E88+E91+E94+E97+E100+E103+E106+E109+E112+E115+E118+E121+E124+E127+E130+E133+E136+E139+E142+E145+E148+E151</f>
        <v>1140</v>
      </c>
      <c r="F7" s="1">
        <f t="shared" si="3"/>
        <v>1085</v>
      </c>
      <c r="G7" s="1">
        <f t="shared" si="3"/>
        <v>73351</v>
      </c>
      <c r="H7" s="1">
        <f t="shared" si="3"/>
        <v>46723</v>
      </c>
      <c r="I7" s="1">
        <f t="shared" si="3"/>
        <v>9</v>
      </c>
      <c r="J7" s="1">
        <f t="shared" si="3"/>
        <v>83145</v>
      </c>
      <c r="K7" s="1">
        <f t="shared" si="3"/>
        <v>1764</v>
      </c>
      <c r="L7" s="1">
        <f t="shared" si="3"/>
        <v>23</v>
      </c>
      <c r="M7" s="1">
        <f t="shared" si="3"/>
        <v>95522</v>
      </c>
      <c r="N7" s="1">
        <f t="shared" si="3"/>
        <v>1217</v>
      </c>
      <c r="O7" s="1">
        <f t="shared" si="3"/>
        <v>45082</v>
      </c>
      <c r="P7" s="1">
        <f t="shared" si="3"/>
        <v>51</v>
      </c>
      <c r="Q7" s="1">
        <f t="shared" si="3"/>
        <v>566</v>
      </c>
      <c r="R7" s="1">
        <f t="shared" si="3"/>
        <v>637</v>
      </c>
      <c r="S7" s="1">
        <f t="shared" si="3"/>
        <v>5551</v>
      </c>
      <c r="T7" s="1">
        <f t="shared" si="3"/>
        <v>1406</v>
      </c>
      <c r="U7" s="1">
        <f t="shared" si="3"/>
        <v>8824</v>
      </c>
      <c r="V7" s="1">
        <f t="shared" si="3"/>
        <v>549</v>
      </c>
      <c r="W7" s="1">
        <f t="shared" si="3"/>
        <v>39</v>
      </c>
      <c r="X7" s="1">
        <f t="shared" si="3"/>
        <v>2181</v>
      </c>
      <c r="Y7" s="1">
        <f t="shared" si="3"/>
        <v>53</v>
      </c>
      <c r="Z7" s="1">
        <f t="shared" si="3"/>
        <v>67</v>
      </c>
      <c r="AA7" s="1">
        <f t="shared" si="3"/>
        <v>792</v>
      </c>
      <c r="AB7" s="1">
        <f t="shared" si="3"/>
        <v>69552</v>
      </c>
      <c r="AC7" s="1">
        <f t="shared" si="3"/>
        <v>22405</v>
      </c>
      <c r="AD7" s="1">
        <f t="shared" si="3"/>
        <v>311078</v>
      </c>
      <c r="AE7" s="1">
        <f t="shared" si="3"/>
        <v>21253</v>
      </c>
      <c r="AF7" s="1">
        <f t="shared" si="3"/>
        <v>27107</v>
      </c>
      <c r="AG7" s="1">
        <f t="shared" si="3"/>
        <v>26993</v>
      </c>
      <c r="AH7" s="1">
        <f t="shared" si="3"/>
        <v>22157</v>
      </c>
      <c r="AI7" s="1">
        <f t="shared" si="3"/>
        <v>217651</v>
      </c>
      <c r="AJ7" s="1">
        <f t="shared" si="3"/>
        <v>111447</v>
      </c>
      <c r="AK7" s="1">
        <f t="shared" si="3"/>
        <v>23205</v>
      </c>
      <c r="AL7" s="1">
        <f t="shared" si="3"/>
        <v>33315</v>
      </c>
      <c r="AM7" s="1">
        <f t="shared" si="3"/>
        <v>222</v>
      </c>
      <c r="AN7" s="1">
        <f t="shared" si="3"/>
        <v>46180</v>
      </c>
      <c r="AO7" s="1">
        <f t="shared" si="3"/>
        <v>119</v>
      </c>
      <c r="AP7" s="1">
        <f t="shared" si="3"/>
        <v>7546</v>
      </c>
    </row>
    <row r="8" spans="1:42" x14ac:dyDescent="0.3">
      <c r="A8" s="2"/>
      <c r="B8" s="2"/>
      <c r="C8" s="4" t="s">
        <v>261</v>
      </c>
      <c r="D8" s="1">
        <f>D11+D14+D17+D20+D23+D26+D29+D32+D35+D38+D41+D44+D47+D50+D53+D56+D59+D62+D65+D68+D71+D74+D77+D80+D83+D86+D89+D92+D95+D98+D101+D104+D107+D110+D113+D116+D119+D122+D125+D128+D131+D134+D137+D140+D143+D146+D149+D152</f>
        <v>1078825</v>
      </c>
      <c r="E8" s="1">
        <f t="shared" ref="E8:AP8" si="4">E11+E14+E17+E20+E23+E26+E29+E32+E35+E38+E41+E44+E47+E50+E53+E56+E59+E62+E65+E68+E71+E74+E77+E80+E83+E86+E89+E92+E95+E98+E101+E104+E107+E110+E113+E116+E119+E122+E125+E128+E131+E134+E137+E140+E143+E146+E149+E152</f>
        <v>1190</v>
      </c>
      <c r="F8" s="1">
        <f t="shared" si="4"/>
        <v>896</v>
      </c>
      <c r="G8" s="1">
        <f t="shared" si="4"/>
        <v>86833</v>
      </c>
      <c r="H8" s="1">
        <f t="shared" si="4"/>
        <v>61197</v>
      </c>
      <c r="I8" s="1">
        <f t="shared" si="4"/>
        <v>3</v>
      </c>
      <c r="J8" s="1">
        <f t="shared" si="4"/>
        <v>87426</v>
      </c>
      <c r="K8" s="1">
        <f t="shared" si="4"/>
        <v>257</v>
      </c>
      <c r="L8" s="1">
        <f t="shared" si="4"/>
        <v>16</v>
      </c>
      <c r="M8" s="1">
        <f t="shared" si="4"/>
        <v>109594</v>
      </c>
      <c r="N8" s="1">
        <f t="shared" si="4"/>
        <v>357</v>
      </c>
      <c r="O8" s="1">
        <f t="shared" si="4"/>
        <v>43436</v>
      </c>
      <c r="P8" s="1">
        <f t="shared" si="4"/>
        <v>23</v>
      </c>
      <c r="Q8" s="1">
        <f t="shared" si="4"/>
        <v>523</v>
      </c>
      <c r="R8" s="1">
        <f t="shared" si="4"/>
        <v>155</v>
      </c>
      <c r="S8" s="1">
        <f t="shared" si="4"/>
        <v>1171</v>
      </c>
      <c r="T8" s="1">
        <f t="shared" si="4"/>
        <v>343</v>
      </c>
      <c r="U8" s="1">
        <f t="shared" si="4"/>
        <v>11705</v>
      </c>
      <c r="V8" s="1">
        <f t="shared" si="4"/>
        <v>245</v>
      </c>
      <c r="W8" s="1">
        <f t="shared" si="4"/>
        <v>354</v>
      </c>
      <c r="X8" s="1">
        <f t="shared" si="4"/>
        <v>708</v>
      </c>
      <c r="Y8" s="1">
        <f t="shared" si="4"/>
        <v>1</v>
      </c>
      <c r="Z8" s="1">
        <f t="shared" si="4"/>
        <v>1</v>
      </c>
      <c r="AA8" s="1">
        <f t="shared" si="4"/>
        <v>2174</v>
      </c>
      <c r="AB8" s="1">
        <f t="shared" si="4"/>
        <v>8670</v>
      </c>
      <c r="AC8" s="1">
        <f t="shared" si="4"/>
        <v>15925</v>
      </c>
      <c r="AD8" s="1">
        <f t="shared" si="4"/>
        <v>33242</v>
      </c>
      <c r="AE8" s="1">
        <f t="shared" si="4"/>
        <v>9</v>
      </c>
      <c r="AF8" s="1">
        <f t="shared" si="4"/>
        <v>42459</v>
      </c>
      <c r="AG8" s="1">
        <f t="shared" si="4"/>
        <v>36167</v>
      </c>
      <c r="AH8" s="1">
        <f t="shared" si="4"/>
        <v>44754</v>
      </c>
      <c r="AI8" s="1">
        <f t="shared" si="4"/>
        <v>220205</v>
      </c>
      <c r="AJ8" s="1">
        <f t="shared" si="4"/>
        <v>101869</v>
      </c>
      <c r="AK8" s="1">
        <f t="shared" si="4"/>
        <v>113553</v>
      </c>
      <c r="AL8" s="1">
        <f t="shared" si="4"/>
        <v>11717</v>
      </c>
      <c r="AM8" s="1">
        <f t="shared" si="4"/>
        <v>1874</v>
      </c>
      <c r="AN8" s="1">
        <f t="shared" si="4"/>
        <v>35945</v>
      </c>
      <c r="AO8" s="1">
        <f t="shared" si="4"/>
        <v>102</v>
      </c>
      <c r="AP8" s="1">
        <f t="shared" si="4"/>
        <v>3726</v>
      </c>
    </row>
    <row r="9" spans="1:42" x14ac:dyDescent="0.3">
      <c r="A9" t="s">
        <v>41</v>
      </c>
      <c r="B9" t="s">
        <v>42</v>
      </c>
      <c r="C9" s="4" t="s">
        <v>40</v>
      </c>
      <c r="D9" s="1">
        <v>643403</v>
      </c>
      <c r="E9">
        <v>0</v>
      </c>
      <c r="F9">
        <v>0</v>
      </c>
      <c r="G9">
        <v>0</v>
      </c>
      <c r="H9">
        <v>35</v>
      </c>
      <c r="I9">
        <v>1</v>
      </c>
      <c r="J9" s="1">
        <v>3258</v>
      </c>
      <c r="K9">
        <v>0</v>
      </c>
      <c r="L9">
        <v>2</v>
      </c>
      <c r="M9">
        <v>150</v>
      </c>
      <c r="N9">
        <v>194</v>
      </c>
      <c r="O9">
        <v>30</v>
      </c>
      <c r="P9">
        <v>0</v>
      </c>
      <c r="Q9">
        <v>0</v>
      </c>
      <c r="R9">
        <v>3</v>
      </c>
      <c r="S9">
        <v>22</v>
      </c>
      <c r="T9">
        <v>0</v>
      </c>
      <c r="U9">
        <v>1</v>
      </c>
      <c r="V9">
        <v>2</v>
      </c>
      <c r="W9">
        <v>0</v>
      </c>
      <c r="X9">
        <v>3</v>
      </c>
      <c r="Y9">
        <v>0</v>
      </c>
      <c r="Z9">
        <v>0</v>
      </c>
      <c r="AA9">
        <v>0</v>
      </c>
      <c r="AB9">
        <v>8</v>
      </c>
      <c r="AC9">
        <v>0</v>
      </c>
      <c r="AD9">
        <v>489</v>
      </c>
      <c r="AE9">
        <v>1</v>
      </c>
      <c r="AF9" s="1">
        <v>4630</v>
      </c>
      <c r="AG9" s="1">
        <v>13258</v>
      </c>
      <c r="AH9" s="1">
        <v>1999</v>
      </c>
      <c r="AI9" s="1">
        <v>387187</v>
      </c>
      <c r="AJ9" s="1">
        <v>144480</v>
      </c>
      <c r="AK9" s="1">
        <v>15315</v>
      </c>
      <c r="AL9">
        <v>109</v>
      </c>
      <c r="AM9" s="1">
        <v>0</v>
      </c>
      <c r="AN9" s="1">
        <v>71637</v>
      </c>
      <c r="AO9" s="1">
        <v>0</v>
      </c>
      <c r="AP9" s="1">
        <v>589</v>
      </c>
    </row>
    <row r="10" spans="1:42" x14ac:dyDescent="0.3">
      <c r="A10" t="s">
        <v>41</v>
      </c>
      <c r="B10" t="s">
        <v>42</v>
      </c>
      <c r="C10" s="4" t="s">
        <v>43</v>
      </c>
      <c r="D10" s="1">
        <v>337043</v>
      </c>
      <c r="E10">
        <v>0</v>
      </c>
      <c r="F10">
        <v>0</v>
      </c>
      <c r="G10">
        <v>0</v>
      </c>
      <c r="H10">
        <v>18</v>
      </c>
      <c r="I10">
        <v>0</v>
      </c>
      <c r="J10" s="1">
        <v>1802</v>
      </c>
      <c r="K10">
        <v>0</v>
      </c>
      <c r="L10">
        <v>0</v>
      </c>
      <c r="M10">
        <v>72</v>
      </c>
      <c r="N10">
        <v>123</v>
      </c>
      <c r="O10">
        <v>16</v>
      </c>
      <c r="P10">
        <v>0</v>
      </c>
      <c r="Q10">
        <v>0</v>
      </c>
      <c r="R10">
        <v>2</v>
      </c>
      <c r="S10">
        <v>16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5</v>
      </c>
      <c r="AC10">
        <v>0</v>
      </c>
      <c r="AD10">
        <v>280</v>
      </c>
      <c r="AE10">
        <v>1</v>
      </c>
      <c r="AF10" s="1">
        <v>2052</v>
      </c>
      <c r="AG10" s="1">
        <v>5780</v>
      </c>
      <c r="AH10">
        <v>974</v>
      </c>
      <c r="AI10" s="1">
        <v>192207</v>
      </c>
      <c r="AJ10" s="1">
        <v>86011</v>
      </c>
      <c r="AK10" s="1">
        <v>6648</v>
      </c>
      <c r="AL10">
        <v>74</v>
      </c>
      <c r="AM10" s="1">
        <v>0</v>
      </c>
      <c r="AN10" s="1">
        <v>40505</v>
      </c>
      <c r="AO10" s="1">
        <v>0</v>
      </c>
      <c r="AP10" s="1">
        <v>455</v>
      </c>
    </row>
    <row r="11" spans="1:42" x14ac:dyDescent="0.3">
      <c r="A11" t="s">
        <v>41</v>
      </c>
      <c r="B11" t="s">
        <v>42</v>
      </c>
      <c r="C11" s="4" t="s">
        <v>44</v>
      </c>
      <c r="D11" s="1">
        <v>306360</v>
      </c>
      <c r="E11" s="1">
        <v>0</v>
      </c>
      <c r="F11" s="1">
        <v>0</v>
      </c>
      <c r="G11" s="1">
        <v>0</v>
      </c>
      <c r="H11">
        <v>17</v>
      </c>
      <c r="I11">
        <v>1</v>
      </c>
      <c r="J11" s="1">
        <v>1456</v>
      </c>
      <c r="K11" s="1">
        <v>0</v>
      </c>
      <c r="L11">
        <v>2</v>
      </c>
      <c r="M11">
        <v>78</v>
      </c>
      <c r="N11">
        <v>71</v>
      </c>
      <c r="O11">
        <v>14</v>
      </c>
      <c r="P11">
        <v>0</v>
      </c>
      <c r="Q11" s="1">
        <v>0</v>
      </c>
      <c r="R11">
        <v>1</v>
      </c>
      <c r="S11">
        <v>6</v>
      </c>
      <c r="T11" s="1">
        <v>0</v>
      </c>
      <c r="U11">
        <v>1</v>
      </c>
      <c r="V11">
        <v>1</v>
      </c>
      <c r="W11">
        <v>0</v>
      </c>
      <c r="X11">
        <v>2</v>
      </c>
      <c r="Y11">
        <v>0</v>
      </c>
      <c r="Z11">
        <v>0</v>
      </c>
      <c r="AA11" s="1">
        <v>0</v>
      </c>
      <c r="AB11">
        <v>3</v>
      </c>
      <c r="AC11" s="1">
        <v>0</v>
      </c>
      <c r="AD11">
        <v>209</v>
      </c>
      <c r="AE11" s="1">
        <v>0</v>
      </c>
      <c r="AF11" s="1">
        <v>2578</v>
      </c>
      <c r="AG11" s="1">
        <v>7478</v>
      </c>
      <c r="AH11" s="1">
        <v>1025</v>
      </c>
      <c r="AI11" s="1">
        <v>194980</v>
      </c>
      <c r="AJ11" s="1">
        <v>58469</v>
      </c>
      <c r="AK11" s="1">
        <v>8667</v>
      </c>
      <c r="AL11">
        <v>35</v>
      </c>
      <c r="AM11" s="1">
        <v>0</v>
      </c>
      <c r="AN11" s="1">
        <v>31132</v>
      </c>
      <c r="AO11" s="1">
        <v>0</v>
      </c>
      <c r="AP11" s="1">
        <v>134</v>
      </c>
    </row>
    <row r="12" spans="1:42" x14ac:dyDescent="0.3">
      <c r="A12" t="s">
        <v>41</v>
      </c>
      <c r="B12" t="s">
        <v>45</v>
      </c>
      <c r="C12" s="4" t="s">
        <v>40</v>
      </c>
      <c r="D12" s="1">
        <v>337267</v>
      </c>
      <c r="E12">
        <v>413</v>
      </c>
      <c r="F12">
        <v>163</v>
      </c>
      <c r="G12" s="1">
        <v>0</v>
      </c>
      <c r="H12" s="1">
        <v>24245</v>
      </c>
      <c r="I12" s="1">
        <v>0</v>
      </c>
      <c r="J12" s="1">
        <v>82913</v>
      </c>
      <c r="K12" s="1">
        <v>1087</v>
      </c>
      <c r="L12">
        <v>5</v>
      </c>
      <c r="M12" s="1">
        <v>72719</v>
      </c>
      <c r="N12">
        <v>439</v>
      </c>
      <c r="O12" s="1">
        <v>6177</v>
      </c>
      <c r="P12">
        <v>21</v>
      </c>
      <c r="Q12">
        <v>41</v>
      </c>
      <c r="R12">
        <v>342</v>
      </c>
      <c r="S12" s="1">
        <v>2114</v>
      </c>
      <c r="T12">
        <v>483</v>
      </c>
      <c r="U12" s="1">
        <v>3377</v>
      </c>
      <c r="V12">
        <v>130</v>
      </c>
      <c r="W12">
        <v>238</v>
      </c>
      <c r="X12">
        <v>387</v>
      </c>
      <c r="Y12">
        <v>0</v>
      </c>
      <c r="Z12">
        <v>0</v>
      </c>
      <c r="AA12">
        <v>225</v>
      </c>
      <c r="AB12" s="1">
        <v>10058</v>
      </c>
      <c r="AC12">
        <v>98</v>
      </c>
      <c r="AD12" s="1">
        <v>2033</v>
      </c>
      <c r="AE12" s="1">
        <v>1040</v>
      </c>
      <c r="AF12" s="1">
        <v>18388</v>
      </c>
      <c r="AG12" s="1">
        <v>26384</v>
      </c>
      <c r="AH12" s="1">
        <v>13495</v>
      </c>
      <c r="AI12" s="1">
        <v>0</v>
      </c>
      <c r="AJ12" s="1">
        <v>38697</v>
      </c>
      <c r="AK12" s="1">
        <v>26763</v>
      </c>
      <c r="AL12" s="1">
        <v>3703</v>
      </c>
      <c r="AM12" s="1">
        <v>0</v>
      </c>
      <c r="AN12">
        <v>2</v>
      </c>
      <c r="AO12">
        <v>151</v>
      </c>
      <c r="AP12" s="1">
        <v>936</v>
      </c>
    </row>
    <row r="13" spans="1:42" x14ac:dyDescent="0.3">
      <c r="A13" t="s">
        <v>41</v>
      </c>
      <c r="B13" t="s">
        <v>45</v>
      </c>
      <c r="C13" s="4" t="s">
        <v>43</v>
      </c>
      <c r="D13" s="1">
        <v>138668</v>
      </c>
      <c r="E13">
        <v>204</v>
      </c>
      <c r="F13">
        <v>107</v>
      </c>
      <c r="G13" s="1">
        <v>0</v>
      </c>
      <c r="H13" s="1">
        <v>12634</v>
      </c>
      <c r="I13" s="1">
        <v>0</v>
      </c>
      <c r="J13" s="1">
        <v>36123</v>
      </c>
      <c r="K13" s="1">
        <v>1005</v>
      </c>
      <c r="L13">
        <v>3</v>
      </c>
      <c r="M13" s="1">
        <v>30261</v>
      </c>
      <c r="N13">
        <v>331</v>
      </c>
      <c r="O13" s="1">
        <v>2562</v>
      </c>
      <c r="P13">
        <v>11</v>
      </c>
      <c r="Q13">
        <v>8</v>
      </c>
      <c r="R13">
        <v>254</v>
      </c>
      <c r="S13" s="1">
        <v>1593</v>
      </c>
      <c r="T13">
        <v>431</v>
      </c>
      <c r="U13" s="1">
        <v>1087</v>
      </c>
      <c r="V13">
        <v>71</v>
      </c>
      <c r="W13">
        <v>12</v>
      </c>
      <c r="X13">
        <v>270</v>
      </c>
      <c r="Y13">
        <v>0</v>
      </c>
      <c r="Z13">
        <v>0</v>
      </c>
      <c r="AA13">
        <v>127</v>
      </c>
      <c r="AB13" s="1">
        <v>6383</v>
      </c>
      <c r="AC13">
        <v>57</v>
      </c>
      <c r="AD13" s="1">
        <v>1757</v>
      </c>
      <c r="AE13" s="1">
        <v>1040</v>
      </c>
      <c r="AF13" s="1">
        <v>7184</v>
      </c>
      <c r="AG13" s="1">
        <v>9059</v>
      </c>
      <c r="AH13" s="1">
        <v>4747</v>
      </c>
      <c r="AI13" s="1">
        <v>0</v>
      </c>
      <c r="AJ13" s="1">
        <v>13701</v>
      </c>
      <c r="AK13" s="1">
        <v>5091</v>
      </c>
      <c r="AL13" s="1">
        <v>2002</v>
      </c>
      <c r="AM13" s="1">
        <v>0</v>
      </c>
      <c r="AN13">
        <v>2</v>
      </c>
      <c r="AO13">
        <v>84</v>
      </c>
      <c r="AP13" s="1">
        <v>467</v>
      </c>
    </row>
    <row r="14" spans="1:42" x14ac:dyDescent="0.3">
      <c r="A14" t="s">
        <v>41</v>
      </c>
      <c r="B14" t="s">
        <v>45</v>
      </c>
      <c r="C14" s="4" t="s">
        <v>44</v>
      </c>
      <c r="D14" s="1">
        <v>198599</v>
      </c>
      <c r="E14">
        <v>209</v>
      </c>
      <c r="F14">
        <v>56</v>
      </c>
      <c r="G14" s="1">
        <v>0</v>
      </c>
      <c r="H14" s="1">
        <v>11611</v>
      </c>
      <c r="I14" s="1">
        <v>0</v>
      </c>
      <c r="J14" s="1">
        <v>46790</v>
      </c>
      <c r="K14">
        <v>82</v>
      </c>
      <c r="L14">
        <v>2</v>
      </c>
      <c r="M14" s="1">
        <v>42458</v>
      </c>
      <c r="N14">
        <v>108</v>
      </c>
      <c r="O14" s="1">
        <v>3615</v>
      </c>
      <c r="P14">
        <v>10</v>
      </c>
      <c r="Q14">
        <v>33</v>
      </c>
      <c r="R14">
        <v>88</v>
      </c>
      <c r="S14">
        <v>521</v>
      </c>
      <c r="T14">
        <v>52</v>
      </c>
      <c r="U14" s="1">
        <v>2290</v>
      </c>
      <c r="V14">
        <v>59</v>
      </c>
      <c r="W14">
        <v>226</v>
      </c>
      <c r="X14">
        <v>117</v>
      </c>
      <c r="Y14">
        <v>0</v>
      </c>
      <c r="Z14">
        <v>0</v>
      </c>
      <c r="AA14">
        <v>98</v>
      </c>
      <c r="AB14" s="1">
        <v>3675</v>
      </c>
      <c r="AC14">
        <v>41</v>
      </c>
      <c r="AD14">
        <v>276</v>
      </c>
      <c r="AE14" s="1">
        <v>0</v>
      </c>
      <c r="AF14" s="1">
        <v>11204</v>
      </c>
      <c r="AG14" s="1">
        <v>17325</v>
      </c>
      <c r="AH14" s="1">
        <v>8748</v>
      </c>
      <c r="AI14" s="1">
        <v>0</v>
      </c>
      <c r="AJ14" s="1">
        <v>24996</v>
      </c>
      <c r="AK14" s="1">
        <v>21672</v>
      </c>
      <c r="AL14" s="1">
        <v>1701</v>
      </c>
      <c r="AM14" s="1">
        <v>0</v>
      </c>
      <c r="AN14" s="1">
        <v>0</v>
      </c>
      <c r="AO14">
        <v>67</v>
      </c>
      <c r="AP14" s="1">
        <v>469</v>
      </c>
    </row>
    <row r="15" spans="1:42" x14ac:dyDescent="0.3">
      <c r="A15" t="s">
        <v>41</v>
      </c>
      <c r="B15" t="s">
        <v>46</v>
      </c>
      <c r="C15" s="4" t="s">
        <v>40</v>
      </c>
      <c r="D15" s="1">
        <v>337183</v>
      </c>
      <c r="E15">
        <v>129</v>
      </c>
      <c r="F15">
        <v>68</v>
      </c>
      <c r="G15">
        <v>66</v>
      </c>
      <c r="H15" s="1">
        <v>1331</v>
      </c>
      <c r="I15" s="1">
        <v>0</v>
      </c>
      <c r="J15" s="1">
        <v>29525</v>
      </c>
      <c r="K15">
        <v>143</v>
      </c>
      <c r="L15">
        <v>17</v>
      </c>
      <c r="M15" s="1">
        <v>56468</v>
      </c>
      <c r="N15">
        <v>241</v>
      </c>
      <c r="O15" s="1">
        <v>59973</v>
      </c>
      <c r="P15">
        <v>2</v>
      </c>
      <c r="Q15">
        <v>210</v>
      </c>
      <c r="R15">
        <v>23</v>
      </c>
      <c r="S15">
        <v>456</v>
      </c>
      <c r="T15">
        <v>139</v>
      </c>
      <c r="U15" s="1">
        <v>10220</v>
      </c>
      <c r="V15">
        <v>38</v>
      </c>
      <c r="W15">
        <v>4</v>
      </c>
      <c r="X15">
        <v>279</v>
      </c>
      <c r="Y15">
        <v>0</v>
      </c>
      <c r="Z15">
        <v>0</v>
      </c>
      <c r="AA15">
        <v>22</v>
      </c>
      <c r="AB15" s="1">
        <v>15095</v>
      </c>
      <c r="AC15" s="1">
        <v>21351</v>
      </c>
      <c r="AD15" s="1">
        <v>43561</v>
      </c>
      <c r="AE15" s="1">
        <v>9313</v>
      </c>
      <c r="AF15" s="1">
        <v>27143</v>
      </c>
      <c r="AG15" s="1">
        <v>6845</v>
      </c>
      <c r="AH15" s="1">
        <v>6029</v>
      </c>
      <c r="AI15">
        <v>1</v>
      </c>
      <c r="AJ15" s="1">
        <v>2846</v>
      </c>
      <c r="AK15" s="1">
        <v>42245</v>
      </c>
      <c r="AL15" s="1">
        <v>1655</v>
      </c>
      <c r="AM15" s="1">
        <v>0</v>
      </c>
      <c r="AN15" s="1">
        <v>0</v>
      </c>
      <c r="AO15">
        <v>1</v>
      </c>
      <c r="AP15" s="1">
        <v>1744</v>
      </c>
    </row>
    <row r="16" spans="1:42" x14ac:dyDescent="0.3">
      <c r="A16" t="s">
        <v>41</v>
      </c>
      <c r="B16" t="s">
        <v>46</v>
      </c>
      <c r="C16" s="4" t="s">
        <v>43</v>
      </c>
      <c r="D16" s="1">
        <v>179420</v>
      </c>
      <c r="E16">
        <v>69</v>
      </c>
      <c r="F16">
        <v>29</v>
      </c>
      <c r="G16">
        <v>42</v>
      </c>
      <c r="H16">
        <v>876</v>
      </c>
      <c r="I16" s="1">
        <v>0</v>
      </c>
      <c r="J16" s="1">
        <v>17662</v>
      </c>
      <c r="K16">
        <v>102</v>
      </c>
      <c r="L16">
        <v>15</v>
      </c>
      <c r="M16" s="1">
        <v>24511</v>
      </c>
      <c r="N16">
        <v>161</v>
      </c>
      <c r="O16" s="1">
        <v>32120</v>
      </c>
      <c r="P16">
        <v>2</v>
      </c>
      <c r="Q16">
        <v>58</v>
      </c>
      <c r="R16">
        <v>22</v>
      </c>
      <c r="S16">
        <v>288</v>
      </c>
      <c r="T16">
        <v>64</v>
      </c>
      <c r="U16" s="1">
        <v>4020</v>
      </c>
      <c r="V16">
        <v>27</v>
      </c>
      <c r="W16">
        <v>0</v>
      </c>
      <c r="X16">
        <v>190</v>
      </c>
      <c r="Y16">
        <v>0</v>
      </c>
      <c r="Z16">
        <v>0</v>
      </c>
      <c r="AA16">
        <v>15</v>
      </c>
      <c r="AB16" s="1">
        <v>14004</v>
      </c>
      <c r="AC16" s="1">
        <v>12297</v>
      </c>
      <c r="AD16" s="1">
        <v>39026</v>
      </c>
      <c r="AE16" s="1">
        <v>9313</v>
      </c>
      <c r="AF16" s="1">
        <v>10379</v>
      </c>
      <c r="AG16" s="1">
        <v>3489</v>
      </c>
      <c r="AH16" s="1">
        <v>1955</v>
      </c>
      <c r="AI16" s="1">
        <v>0</v>
      </c>
      <c r="AJ16" s="1">
        <v>1007</v>
      </c>
      <c r="AK16" s="1">
        <v>5575</v>
      </c>
      <c r="AL16">
        <v>967</v>
      </c>
      <c r="AM16" s="1">
        <v>0</v>
      </c>
      <c r="AN16" s="1">
        <v>0</v>
      </c>
      <c r="AO16">
        <v>1</v>
      </c>
      <c r="AP16" s="1">
        <v>1134</v>
      </c>
    </row>
    <row r="17" spans="1:42" x14ac:dyDescent="0.3">
      <c r="A17" t="s">
        <v>41</v>
      </c>
      <c r="B17" t="s">
        <v>46</v>
      </c>
      <c r="C17" s="4" t="s">
        <v>44</v>
      </c>
      <c r="D17" s="1">
        <v>157763</v>
      </c>
      <c r="E17">
        <v>60</v>
      </c>
      <c r="F17">
        <v>39</v>
      </c>
      <c r="G17">
        <v>24</v>
      </c>
      <c r="H17">
        <v>455</v>
      </c>
      <c r="I17" s="1">
        <v>0</v>
      </c>
      <c r="J17" s="1">
        <v>11863</v>
      </c>
      <c r="K17">
        <v>41</v>
      </c>
      <c r="L17">
        <v>2</v>
      </c>
      <c r="M17" s="1">
        <v>31957</v>
      </c>
      <c r="N17">
        <v>80</v>
      </c>
      <c r="O17" s="1">
        <v>27853</v>
      </c>
      <c r="P17">
        <v>0</v>
      </c>
      <c r="Q17">
        <v>152</v>
      </c>
      <c r="R17">
        <v>1</v>
      </c>
      <c r="S17">
        <v>168</v>
      </c>
      <c r="T17">
        <v>75</v>
      </c>
      <c r="U17" s="1">
        <v>6200</v>
      </c>
      <c r="V17">
        <v>11</v>
      </c>
      <c r="W17">
        <v>4</v>
      </c>
      <c r="X17">
        <v>89</v>
      </c>
      <c r="Y17">
        <v>0</v>
      </c>
      <c r="Z17">
        <v>0</v>
      </c>
      <c r="AA17">
        <v>7</v>
      </c>
      <c r="AB17" s="1">
        <v>1091</v>
      </c>
      <c r="AC17" s="1">
        <v>9054</v>
      </c>
      <c r="AD17" s="1">
        <v>4535</v>
      </c>
      <c r="AE17" s="1">
        <v>0</v>
      </c>
      <c r="AF17" s="1">
        <v>16764</v>
      </c>
      <c r="AG17" s="1">
        <v>3356</v>
      </c>
      <c r="AH17" s="1">
        <v>4074</v>
      </c>
      <c r="AI17">
        <v>1</v>
      </c>
      <c r="AJ17" s="1">
        <v>1839</v>
      </c>
      <c r="AK17" s="1">
        <v>36670</v>
      </c>
      <c r="AL17">
        <v>688</v>
      </c>
      <c r="AM17" s="1">
        <v>0</v>
      </c>
      <c r="AN17" s="1">
        <v>0</v>
      </c>
      <c r="AO17" s="1">
        <v>0</v>
      </c>
      <c r="AP17" s="1">
        <v>610</v>
      </c>
    </row>
    <row r="18" spans="1:42" x14ac:dyDescent="0.3">
      <c r="A18" t="s">
        <v>41</v>
      </c>
      <c r="B18" t="s">
        <v>47</v>
      </c>
      <c r="C18" s="4" t="s">
        <v>40</v>
      </c>
      <c r="D18" s="1">
        <v>169848</v>
      </c>
      <c r="E18">
        <v>51</v>
      </c>
      <c r="F18">
        <v>68</v>
      </c>
      <c r="G18" s="1">
        <v>121875</v>
      </c>
      <c r="H18">
        <v>43</v>
      </c>
      <c r="I18" s="1">
        <v>0</v>
      </c>
      <c r="J18">
        <v>818</v>
      </c>
      <c r="K18">
        <v>7</v>
      </c>
      <c r="L18">
        <v>0</v>
      </c>
      <c r="M18">
        <v>605</v>
      </c>
      <c r="N18">
        <v>24</v>
      </c>
      <c r="O18">
        <v>434</v>
      </c>
      <c r="P18">
        <v>0</v>
      </c>
      <c r="Q18">
        <v>11</v>
      </c>
      <c r="R18">
        <v>5</v>
      </c>
      <c r="S18">
        <v>154</v>
      </c>
      <c r="T18">
        <v>18</v>
      </c>
      <c r="U18">
        <v>135</v>
      </c>
      <c r="V18">
        <v>6</v>
      </c>
      <c r="W18">
        <v>1</v>
      </c>
      <c r="X18">
        <v>16</v>
      </c>
      <c r="Y18">
        <v>4</v>
      </c>
      <c r="Z18">
        <v>4</v>
      </c>
      <c r="AA18">
        <v>75</v>
      </c>
      <c r="AB18" s="1">
        <v>3348</v>
      </c>
      <c r="AC18">
        <v>517</v>
      </c>
      <c r="AD18" s="1">
        <v>28297</v>
      </c>
      <c r="AE18" s="1">
        <v>0</v>
      </c>
      <c r="AF18" s="1">
        <v>1194</v>
      </c>
      <c r="AG18">
        <v>317</v>
      </c>
      <c r="AH18">
        <v>393</v>
      </c>
      <c r="AI18">
        <v>7</v>
      </c>
      <c r="AJ18">
        <v>636</v>
      </c>
      <c r="AK18" s="1">
        <v>9956</v>
      </c>
      <c r="AL18">
        <v>522</v>
      </c>
      <c r="AM18" s="1">
        <v>0</v>
      </c>
      <c r="AN18" s="1">
        <v>0</v>
      </c>
      <c r="AO18">
        <v>14</v>
      </c>
      <c r="AP18" s="1">
        <v>293</v>
      </c>
    </row>
    <row r="19" spans="1:42" x14ac:dyDescent="0.3">
      <c r="A19" t="s">
        <v>41</v>
      </c>
      <c r="B19" t="s">
        <v>47</v>
      </c>
      <c r="C19" s="4" t="s">
        <v>43</v>
      </c>
      <c r="D19" s="1">
        <v>79884</v>
      </c>
      <c r="E19">
        <v>19</v>
      </c>
      <c r="F19">
        <v>37</v>
      </c>
      <c r="G19" s="1">
        <v>51762</v>
      </c>
      <c r="H19">
        <v>24</v>
      </c>
      <c r="I19" s="1">
        <v>0</v>
      </c>
      <c r="J19">
        <v>244</v>
      </c>
      <c r="K19">
        <v>5</v>
      </c>
      <c r="L19">
        <v>0</v>
      </c>
      <c r="M19">
        <v>136</v>
      </c>
      <c r="N19">
        <v>19</v>
      </c>
      <c r="O19">
        <v>63</v>
      </c>
      <c r="P19">
        <v>0</v>
      </c>
      <c r="Q19">
        <v>11</v>
      </c>
      <c r="R19">
        <v>4</v>
      </c>
      <c r="S19">
        <v>71</v>
      </c>
      <c r="T19">
        <v>13</v>
      </c>
      <c r="U19">
        <v>82</v>
      </c>
      <c r="V19">
        <v>4</v>
      </c>
      <c r="W19">
        <v>0</v>
      </c>
      <c r="X19">
        <v>11</v>
      </c>
      <c r="Y19">
        <v>4</v>
      </c>
      <c r="Z19">
        <v>4</v>
      </c>
      <c r="AA19">
        <v>32</v>
      </c>
      <c r="AB19" s="1">
        <v>2907</v>
      </c>
      <c r="AC19">
        <v>266</v>
      </c>
      <c r="AD19" s="1">
        <v>23278</v>
      </c>
      <c r="AE19" s="1">
        <v>0</v>
      </c>
      <c r="AF19">
        <v>309</v>
      </c>
      <c r="AG19">
        <v>98</v>
      </c>
      <c r="AH19">
        <v>67</v>
      </c>
      <c r="AI19">
        <v>1</v>
      </c>
      <c r="AJ19">
        <v>22</v>
      </c>
      <c r="AK19">
        <v>144</v>
      </c>
      <c r="AL19">
        <v>119</v>
      </c>
      <c r="AM19" s="1">
        <v>0</v>
      </c>
      <c r="AN19" s="1">
        <v>0</v>
      </c>
      <c r="AO19">
        <v>7</v>
      </c>
      <c r="AP19" s="1">
        <v>121</v>
      </c>
    </row>
    <row r="20" spans="1:42" x14ac:dyDescent="0.3">
      <c r="A20" t="s">
        <v>41</v>
      </c>
      <c r="B20" t="s">
        <v>47</v>
      </c>
      <c r="C20" s="4" t="s">
        <v>44</v>
      </c>
      <c r="D20" s="1">
        <v>89964</v>
      </c>
      <c r="E20">
        <v>32</v>
      </c>
      <c r="F20">
        <v>31</v>
      </c>
      <c r="G20" s="1">
        <v>70113</v>
      </c>
      <c r="H20">
        <v>19</v>
      </c>
      <c r="I20" s="1">
        <v>0</v>
      </c>
      <c r="J20">
        <v>574</v>
      </c>
      <c r="K20">
        <v>2</v>
      </c>
      <c r="L20">
        <v>0</v>
      </c>
      <c r="M20">
        <v>469</v>
      </c>
      <c r="N20">
        <v>5</v>
      </c>
      <c r="O20">
        <v>371</v>
      </c>
      <c r="P20">
        <v>0</v>
      </c>
      <c r="Q20">
        <v>0</v>
      </c>
      <c r="R20">
        <v>1</v>
      </c>
      <c r="S20">
        <v>83</v>
      </c>
      <c r="T20">
        <v>5</v>
      </c>
      <c r="U20">
        <v>53</v>
      </c>
      <c r="V20">
        <v>2</v>
      </c>
      <c r="W20">
        <v>1</v>
      </c>
      <c r="X20">
        <v>5</v>
      </c>
      <c r="Y20">
        <v>0</v>
      </c>
      <c r="Z20">
        <v>0</v>
      </c>
      <c r="AA20">
        <v>43</v>
      </c>
      <c r="AB20">
        <v>441</v>
      </c>
      <c r="AC20">
        <v>251</v>
      </c>
      <c r="AD20" s="1">
        <v>5019</v>
      </c>
      <c r="AE20" s="1">
        <v>0</v>
      </c>
      <c r="AF20">
        <v>885</v>
      </c>
      <c r="AG20">
        <v>219</v>
      </c>
      <c r="AH20">
        <v>326</v>
      </c>
      <c r="AI20">
        <v>6</v>
      </c>
      <c r="AJ20">
        <v>614</v>
      </c>
      <c r="AK20" s="1">
        <v>9812</v>
      </c>
      <c r="AL20">
        <v>403</v>
      </c>
      <c r="AM20" s="1">
        <v>0</v>
      </c>
      <c r="AN20" s="1">
        <v>0</v>
      </c>
      <c r="AO20">
        <v>7</v>
      </c>
      <c r="AP20" s="1">
        <v>172</v>
      </c>
    </row>
    <row r="21" spans="1:42" x14ac:dyDescent="0.3">
      <c r="A21" t="s">
        <v>41</v>
      </c>
      <c r="B21" t="s">
        <v>48</v>
      </c>
      <c r="C21" s="4" t="s">
        <v>40</v>
      </c>
      <c r="D21" s="1">
        <v>102804</v>
      </c>
      <c r="E21">
        <v>69</v>
      </c>
      <c r="F21">
        <v>26</v>
      </c>
      <c r="G21">
        <v>1</v>
      </c>
      <c r="H21">
        <v>61</v>
      </c>
      <c r="I21" s="1">
        <v>0</v>
      </c>
      <c r="J21" s="1">
        <v>2439</v>
      </c>
      <c r="K21">
        <v>16</v>
      </c>
      <c r="L21">
        <v>1</v>
      </c>
      <c r="M21" s="1">
        <v>18302</v>
      </c>
      <c r="N21">
        <v>75</v>
      </c>
      <c r="O21" s="1">
        <v>1945</v>
      </c>
      <c r="P21">
        <v>0</v>
      </c>
      <c r="Q21">
        <v>1</v>
      </c>
      <c r="R21">
        <v>4</v>
      </c>
      <c r="S21">
        <v>124</v>
      </c>
      <c r="T21">
        <v>163</v>
      </c>
      <c r="U21" s="1">
        <v>2078</v>
      </c>
      <c r="V21">
        <v>17</v>
      </c>
      <c r="W21">
        <v>5</v>
      </c>
      <c r="X21">
        <v>8</v>
      </c>
      <c r="Y21">
        <v>0</v>
      </c>
      <c r="Z21">
        <v>0</v>
      </c>
      <c r="AA21">
        <v>37</v>
      </c>
      <c r="AB21" s="1">
        <v>2949</v>
      </c>
      <c r="AC21">
        <v>211</v>
      </c>
      <c r="AD21" s="1">
        <v>14566</v>
      </c>
      <c r="AE21" s="1">
        <v>0</v>
      </c>
      <c r="AF21" s="1">
        <v>4822</v>
      </c>
      <c r="AG21" s="1">
        <v>2402</v>
      </c>
      <c r="AH21" s="1">
        <v>8508</v>
      </c>
      <c r="AI21" s="1">
        <v>29712</v>
      </c>
      <c r="AJ21" s="1">
        <v>3811</v>
      </c>
      <c r="AK21" s="1">
        <v>2093</v>
      </c>
      <c r="AL21" s="1">
        <v>1628</v>
      </c>
      <c r="AM21" s="1">
        <v>0</v>
      </c>
      <c r="AN21" s="1">
        <v>6157</v>
      </c>
      <c r="AO21" s="1">
        <v>0</v>
      </c>
      <c r="AP21" s="1">
        <v>573</v>
      </c>
    </row>
    <row r="22" spans="1:42" x14ac:dyDescent="0.3">
      <c r="A22" t="s">
        <v>41</v>
      </c>
      <c r="B22" t="s">
        <v>48</v>
      </c>
      <c r="C22" s="4" t="s">
        <v>43</v>
      </c>
      <c r="D22" s="1">
        <v>67894</v>
      </c>
      <c r="E22">
        <v>35</v>
      </c>
      <c r="F22">
        <v>11</v>
      </c>
      <c r="G22">
        <v>1</v>
      </c>
      <c r="H22">
        <v>56</v>
      </c>
      <c r="I22" s="1">
        <v>0</v>
      </c>
      <c r="J22" s="1">
        <v>1859</v>
      </c>
      <c r="K22">
        <v>13</v>
      </c>
      <c r="L22">
        <v>0</v>
      </c>
      <c r="M22" s="1">
        <v>15462</v>
      </c>
      <c r="N22">
        <v>73</v>
      </c>
      <c r="O22" s="1">
        <v>1735</v>
      </c>
      <c r="P22">
        <v>0</v>
      </c>
      <c r="Q22">
        <v>1</v>
      </c>
      <c r="R22">
        <v>4</v>
      </c>
      <c r="S22">
        <v>115</v>
      </c>
      <c r="T22">
        <v>151</v>
      </c>
      <c r="U22" s="1">
        <v>1781</v>
      </c>
      <c r="V22">
        <v>13</v>
      </c>
      <c r="W22">
        <v>1</v>
      </c>
      <c r="X22">
        <v>5</v>
      </c>
      <c r="Y22">
        <v>0</v>
      </c>
      <c r="Z22">
        <v>0</v>
      </c>
      <c r="AA22">
        <v>33</v>
      </c>
      <c r="AB22" s="1">
        <v>2862</v>
      </c>
      <c r="AC22">
        <v>189</v>
      </c>
      <c r="AD22" s="1">
        <v>14347</v>
      </c>
      <c r="AE22" s="1">
        <v>0</v>
      </c>
      <c r="AF22" s="1">
        <v>2298</v>
      </c>
      <c r="AG22" s="1">
        <v>1335</v>
      </c>
      <c r="AH22" s="1">
        <v>3368</v>
      </c>
      <c r="AI22" s="1">
        <v>14915</v>
      </c>
      <c r="AJ22" s="1">
        <v>1831</v>
      </c>
      <c r="AK22">
        <v>258</v>
      </c>
      <c r="AL22" s="1">
        <v>1440</v>
      </c>
      <c r="AM22" s="1">
        <v>0</v>
      </c>
      <c r="AN22" s="1">
        <v>3232</v>
      </c>
      <c r="AO22" s="1">
        <v>0</v>
      </c>
      <c r="AP22" s="1">
        <v>470</v>
      </c>
    </row>
    <row r="23" spans="1:42" x14ac:dyDescent="0.3">
      <c r="A23" t="s">
        <v>41</v>
      </c>
      <c r="B23" t="s">
        <v>48</v>
      </c>
      <c r="C23" s="4" t="s">
        <v>44</v>
      </c>
      <c r="D23" s="1">
        <v>34910</v>
      </c>
      <c r="E23">
        <v>34</v>
      </c>
      <c r="F23">
        <v>15</v>
      </c>
      <c r="G23" s="1">
        <v>0</v>
      </c>
      <c r="H23">
        <v>5</v>
      </c>
      <c r="I23" s="1">
        <v>0</v>
      </c>
      <c r="J23">
        <v>580</v>
      </c>
      <c r="K23">
        <v>3</v>
      </c>
      <c r="L23">
        <v>1</v>
      </c>
      <c r="M23" s="1">
        <v>2840</v>
      </c>
      <c r="N23">
        <v>2</v>
      </c>
      <c r="O23">
        <v>210</v>
      </c>
      <c r="P23">
        <v>0</v>
      </c>
      <c r="Q23">
        <v>0</v>
      </c>
      <c r="R23">
        <v>0</v>
      </c>
      <c r="S23">
        <v>9</v>
      </c>
      <c r="T23">
        <v>12</v>
      </c>
      <c r="U23">
        <v>297</v>
      </c>
      <c r="V23">
        <v>4</v>
      </c>
      <c r="W23">
        <v>4</v>
      </c>
      <c r="X23">
        <v>3</v>
      </c>
      <c r="Y23">
        <v>0</v>
      </c>
      <c r="Z23">
        <v>0</v>
      </c>
      <c r="AA23">
        <v>4</v>
      </c>
      <c r="AB23">
        <v>87</v>
      </c>
      <c r="AC23">
        <v>22</v>
      </c>
      <c r="AD23">
        <v>219</v>
      </c>
      <c r="AE23" s="1">
        <v>0</v>
      </c>
      <c r="AF23" s="1">
        <v>2524</v>
      </c>
      <c r="AG23" s="1">
        <v>1067</v>
      </c>
      <c r="AH23" s="1">
        <v>5140</v>
      </c>
      <c r="AI23" s="1">
        <v>14797</v>
      </c>
      <c r="AJ23" s="1">
        <v>1980</v>
      </c>
      <c r="AK23" s="1">
        <v>1835</v>
      </c>
      <c r="AL23">
        <v>188</v>
      </c>
      <c r="AM23" s="1">
        <v>0</v>
      </c>
      <c r="AN23" s="1">
        <v>2925</v>
      </c>
      <c r="AO23" s="1">
        <v>0</v>
      </c>
      <c r="AP23" s="1">
        <v>103</v>
      </c>
    </row>
    <row r="24" spans="1:42" x14ac:dyDescent="0.3">
      <c r="A24" t="s">
        <v>41</v>
      </c>
      <c r="B24" t="s">
        <v>49</v>
      </c>
      <c r="C24" s="4" t="s">
        <v>40</v>
      </c>
      <c r="D24" s="1">
        <v>91895</v>
      </c>
      <c r="E24">
        <v>14</v>
      </c>
      <c r="F24">
        <v>20</v>
      </c>
      <c r="G24" s="1">
        <v>0</v>
      </c>
      <c r="H24">
        <v>284</v>
      </c>
      <c r="I24" s="1">
        <v>0</v>
      </c>
      <c r="J24">
        <v>782</v>
      </c>
      <c r="K24">
        <v>25</v>
      </c>
      <c r="L24">
        <v>0</v>
      </c>
      <c r="M24" s="1">
        <v>15584</v>
      </c>
      <c r="N24">
        <v>17</v>
      </c>
      <c r="O24" s="1">
        <v>1045</v>
      </c>
      <c r="P24">
        <v>0</v>
      </c>
      <c r="Q24">
        <v>110</v>
      </c>
      <c r="R24">
        <v>0</v>
      </c>
      <c r="S24">
        <v>83</v>
      </c>
      <c r="T24">
        <v>22</v>
      </c>
      <c r="U24">
        <v>386</v>
      </c>
      <c r="V24">
        <v>15</v>
      </c>
      <c r="W24">
        <v>0</v>
      </c>
      <c r="X24">
        <v>69</v>
      </c>
      <c r="Y24">
        <v>0</v>
      </c>
      <c r="Z24">
        <v>0</v>
      </c>
      <c r="AA24">
        <v>1</v>
      </c>
      <c r="AB24" s="1">
        <v>11344</v>
      </c>
      <c r="AC24">
        <v>687</v>
      </c>
      <c r="AD24" s="1">
        <v>50782</v>
      </c>
      <c r="AE24" s="1">
        <v>0</v>
      </c>
      <c r="AF24">
        <v>403</v>
      </c>
      <c r="AG24" s="1">
        <v>1159</v>
      </c>
      <c r="AH24" s="1">
        <v>6502</v>
      </c>
      <c r="AI24" s="1">
        <v>0</v>
      </c>
      <c r="AJ24">
        <v>258</v>
      </c>
      <c r="AK24">
        <v>746</v>
      </c>
      <c r="AL24">
        <v>729</v>
      </c>
      <c r="AM24" s="1">
        <v>0</v>
      </c>
      <c r="AN24" s="1">
        <v>0</v>
      </c>
      <c r="AO24" s="1">
        <v>0</v>
      </c>
      <c r="AP24" s="1">
        <v>828</v>
      </c>
    </row>
    <row r="25" spans="1:42" x14ac:dyDescent="0.3">
      <c r="A25" t="s">
        <v>41</v>
      </c>
      <c r="B25" t="s">
        <v>49</v>
      </c>
      <c r="C25" s="4" t="s">
        <v>43</v>
      </c>
      <c r="D25" s="1">
        <v>72651</v>
      </c>
      <c r="E25">
        <v>7</v>
      </c>
      <c r="F25">
        <v>9</v>
      </c>
      <c r="G25" s="1">
        <v>0</v>
      </c>
      <c r="H25">
        <v>270</v>
      </c>
      <c r="I25" s="1">
        <v>0</v>
      </c>
      <c r="J25">
        <v>606</v>
      </c>
      <c r="K25">
        <v>21</v>
      </c>
      <c r="L25">
        <v>0</v>
      </c>
      <c r="M25" s="1">
        <v>9301</v>
      </c>
      <c r="N25">
        <v>15</v>
      </c>
      <c r="O25">
        <v>534</v>
      </c>
      <c r="P25">
        <v>0</v>
      </c>
      <c r="Q25">
        <v>84</v>
      </c>
      <c r="R25">
        <v>0</v>
      </c>
      <c r="S25">
        <v>72</v>
      </c>
      <c r="T25">
        <v>17</v>
      </c>
      <c r="U25">
        <v>258</v>
      </c>
      <c r="V25">
        <v>13</v>
      </c>
      <c r="W25">
        <v>0</v>
      </c>
      <c r="X25">
        <v>57</v>
      </c>
      <c r="Y25">
        <v>0</v>
      </c>
      <c r="Z25">
        <v>0</v>
      </c>
      <c r="AA25">
        <v>0</v>
      </c>
      <c r="AB25" s="1">
        <v>11046</v>
      </c>
      <c r="AC25">
        <v>519</v>
      </c>
      <c r="AD25" s="1">
        <v>46167</v>
      </c>
      <c r="AE25" s="1">
        <v>0</v>
      </c>
      <c r="AF25">
        <v>132</v>
      </c>
      <c r="AG25">
        <v>872</v>
      </c>
      <c r="AH25" s="1">
        <v>1000</v>
      </c>
      <c r="AI25" s="1">
        <v>0</v>
      </c>
      <c r="AJ25">
        <v>171</v>
      </c>
      <c r="AK25">
        <v>204</v>
      </c>
      <c r="AL25">
        <v>589</v>
      </c>
      <c r="AM25" s="1">
        <v>0</v>
      </c>
      <c r="AN25" s="1">
        <v>0</v>
      </c>
      <c r="AO25" s="1">
        <v>0</v>
      </c>
      <c r="AP25" s="1">
        <v>687</v>
      </c>
    </row>
    <row r="26" spans="1:42" x14ac:dyDescent="0.3">
      <c r="A26" t="s">
        <v>41</v>
      </c>
      <c r="B26" t="s">
        <v>49</v>
      </c>
      <c r="C26" s="4" t="s">
        <v>44</v>
      </c>
      <c r="D26" s="1">
        <v>19244</v>
      </c>
      <c r="E26">
        <v>7</v>
      </c>
      <c r="F26">
        <v>11</v>
      </c>
      <c r="G26" s="1">
        <v>0</v>
      </c>
      <c r="H26">
        <v>14</v>
      </c>
      <c r="I26" s="1">
        <v>0</v>
      </c>
      <c r="J26">
        <v>176</v>
      </c>
      <c r="K26">
        <v>4</v>
      </c>
      <c r="L26">
        <v>0</v>
      </c>
      <c r="M26" s="1">
        <v>6283</v>
      </c>
      <c r="N26">
        <v>2</v>
      </c>
      <c r="O26">
        <v>511</v>
      </c>
      <c r="P26">
        <v>0</v>
      </c>
      <c r="Q26">
        <v>26</v>
      </c>
      <c r="R26">
        <v>0</v>
      </c>
      <c r="S26">
        <v>11</v>
      </c>
      <c r="T26">
        <v>5</v>
      </c>
      <c r="U26">
        <v>128</v>
      </c>
      <c r="V26">
        <v>2</v>
      </c>
      <c r="W26">
        <v>0</v>
      </c>
      <c r="X26">
        <v>12</v>
      </c>
      <c r="Y26">
        <v>0</v>
      </c>
      <c r="Z26">
        <v>0</v>
      </c>
      <c r="AA26">
        <v>1</v>
      </c>
      <c r="AB26">
        <v>298</v>
      </c>
      <c r="AC26">
        <v>168</v>
      </c>
      <c r="AD26" s="1">
        <v>4615</v>
      </c>
      <c r="AE26" s="1">
        <v>0</v>
      </c>
      <c r="AF26">
        <v>271</v>
      </c>
      <c r="AG26">
        <v>287</v>
      </c>
      <c r="AH26" s="1">
        <v>5502</v>
      </c>
      <c r="AI26" s="1">
        <v>0</v>
      </c>
      <c r="AJ26">
        <v>87</v>
      </c>
      <c r="AK26">
        <v>542</v>
      </c>
      <c r="AL26">
        <v>140</v>
      </c>
      <c r="AM26" s="1">
        <v>0</v>
      </c>
      <c r="AN26" s="1">
        <v>0</v>
      </c>
      <c r="AO26" s="1">
        <v>0</v>
      </c>
      <c r="AP26" s="1">
        <v>141</v>
      </c>
    </row>
    <row r="27" spans="1:42" x14ac:dyDescent="0.3">
      <c r="A27" t="s">
        <v>41</v>
      </c>
      <c r="B27" t="s">
        <v>50</v>
      </c>
      <c r="C27" s="4" t="s">
        <v>40</v>
      </c>
      <c r="D27" s="1">
        <v>77015</v>
      </c>
      <c r="E27">
        <v>75</v>
      </c>
      <c r="F27">
        <v>108</v>
      </c>
      <c r="G27" s="1">
        <v>0</v>
      </c>
      <c r="H27" s="1">
        <v>1076</v>
      </c>
      <c r="I27" s="1">
        <v>0</v>
      </c>
      <c r="J27" s="1">
        <v>11031</v>
      </c>
      <c r="K27">
        <v>18</v>
      </c>
      <c r="L27">
        <v>2</v>
      </c>
      <c r="M27" s="1">
        <v>2244</v>
      </c>
      <c r="N27">
        <v>109</v>
      </c>
      <c r="O27">
        <v>437</v>
      </c>
      <c r="P27">
        <v>0</v>
      </c>
      <c r="Q27">
        <v>82</v>
      </c>
      <c r="R27">
        <v>29</v>
      </c>
      <c r="S27">
        <v>27</v>
      </c>
      <c r="T27">
        <v>33</v>
      </c>
      <c r="U27">
        <v>259</v>
      </c>
      <c r="V27">
        <v>18</v>
      </c>
      <c r="W27">
        <v>2</v>
      </c>
      <c r="X27">
        <v>84</v>
      </c>
      <c r="Y27">
        <v>3</v>
      </c>
      <c r="Z27">
        <v>3</v>
      </c>
      <c r="AA27">
        <v>33</v>
      </c>
      <c r="AB27" s="1">
        <v>4895</v>
      </c>
      <c r="AC27">
        <v>95</v>
      </c>
      <c r="AD27" s="1">
        <v>42064</v>
      </c>
      <c r="AE27" s="1">
        <v>9885</v>
      </c>
      <c r="AF27">
        <v>156</v>
      </c>
      <c r="AG27">
        <v>351</v>
      </c>
      <c r="AH27" s="1">
        <v>1212</v>
      </c>
      <c r="AI27">
        <v>267</v>
      </c>
      <c r="AJ27">
        <v>302</v>
      </c>
      <c r="AK27" s="1">
        <v>1461</v>
      </c>
      <c r="AL27">
        <v>553</v>
      </c>
      <c r="AM27" s="1">
        <v>0</v>
      </c>
      <c r="AN27" s="1">
        <v>0</v>
      </c>
      <c r="AO27">
        <v>14</v>
      </c>
      <c r="AP27" s="1">
        <v>87</v>
      </c>
    </row>
    <row r="28" spans="1:42" x14ac:dyDescent="0.3">
      <c r="A28" t="s">
        <v>41</v>
      </c>
      <c r="B28" t="s">
        <v>50</v>
      </c>
      <c r="C28" s="4" t="s">
        <v>43</v>
      </c>
      <c r="D28" s="1">
        <v>63562</v>
      </c>
      <c r="E28">
        <v>33</v>
      </c>
      <c r="F28">
        <v>51</v>
      </c>
      <c r="G28" s="1">
        <v>0</v>
      </c>
      <c r="H28">
        <v>739</v>
      </c>
      <c r="I28" s="1">
        <v>0</v>
      </c>
      <c r="J28" s="1">
        <v>4858</v>
      </c>
      <c r="K28">
        <v>16</v>
      </c>
      <c r="L28" s="1">
        <v>0</v>
      </c>
      <c r="M28">
        <v>793</v>
      </c>
      <c r="N28">
        <v>85</v>
      </c>
      <c r="O28">
        <v>169</v>
      </c>
      <c r="P28">
        <v>0</v>
      </c>
      <c r="Q28">
        <v>30</v>
      </c>
      <c r="R28">
        <v>23</v>
      </c>
      <c r="S28">
        <v>16</v>
      </c>
      <c r="T28">
        <v>30</v>
      </c>
      <c r="U28">
        <v>98</v>
      </c>
      <c r="V28">
        <v>12</v>
      </c>
      <c r="W28">
        <v>0</v>
      </c>
      <c r="X28">
        <v>53</v>
      </c>
      <c r="Y28">
        <v>3</v>
      </c>
      <c r="Z28">
        <v>3</v>
      </c>
      <c r="AA28">
        <v>9</v>
      </c>
      <c r="AB28" s="1">
        <v>4504</v>
      </c>
      <c r="AC28">
        <v>80</v>
      </c>
      <c r="AD28" s="1">
        <v>40751</v>
      </c>
      <c r="AE28" s="1">
        <v>9884</v>
      </c>
      <c r="AF28">
        <v>43</v>
      </c>
      <c r="AG28">
        <v>150</v>
      </c>
      <c r="AH28">
        <v>297</v>
      </c>
      <c r="AI28">
        <v>220</v>
      </c>
      <c r="AJ28">
        <v>65</v>
      </c>
      <c r="AK28">
        <v>140</v>
      </c>
      <c r="AL28">
        <v>342</v>
      </c>
      <c r="AM28" s="1">
        <v>0</v>
      </c>
      <c r="AN28" s="1">
        <v>0</v>
      </c>
      <c r="AO28">
        <v>5</v>
      </c>
      <c r="AP28" s="1">
        <v>60</v>
      </c>
    </row>
    <row r="29" spans="1:42" x14ac:dyDescent="0.3">
      <c r="A29" t="s">
        <v>41</v>
      </c>
      <c r="B29" t="s">
        <v>50</v>
      </c>
      <c r="C29" s="4" t="s">
        <v>44</v>
      </c>
      <c r="D29" s="1">
        <v>13453</v>
      </c>
      <c r="E29">
        <v>42</v>
      </c>
      <c r="F29">
        <v>57</v>
      </c>
      <c r="G29" s="1">
        <v>0</v>
      </c>
      <c r="H29">
        <v>337</v>
      </c>
      <c r="I29" s="1">
        <v>0</v>
      </c>
      <c r="J29" s="1">
        <v>6173</v>
      </c>
      <c r="K29">
        <v>2</v>
      </c>
      <c r="L29">
        <v>2</v>
      </c>
      <c r="M29" s="1">
        <v>1451</v>
      </c>
      <c r="N29">
        <v>24</v>
      </c>
      <c r="O29">
        <v>268</v>
      </c>
      <c r="P29">
        <v>0</v>
      </c>
      <c r="Q29">
        <v>52</v>
      </c>
      <c r="R29">
        <v>6</v>
      </c>
      <c r="S29">
        <v>11</v>
      </c>
      <c r="T29">
        <v>3</v>
      </c>
      <c r="U29">
        <v>161</v>
      </c>
      <c r="V29">
        <v>6</v>
      </c>
      <c r="W29">
        <v>2</v>
      </c>
      <c r="X29">
        <v>31</v>
      </c>
      <c r="Y29">
        <v>0</v>
      </c>
      <c r="Z29">
        <v>0</v>
      </c>
      <c r="AA29">
        <v>24</v>
      </c>
      <c r="AB29">
        <v>391</v>
      </c>
      <c r="AC29">
        <v>15</v>
      </c>
      <c r="AD29" s="1">
        <v>1313</v>
      </c>
      <c r="AE29">
        <v>1</v>
      </c>
      <c r="AF29">
        <v>113</v>
      </c>
      <c r="AG29">
        <v>201</v>
      </c>
      <c r="AH29">
        <v>915</v>
      </c>
      <c r="AI29">
        <v>47</v>
      </c>
      <c r="AJ29">
        <v>237</v>
      </c>
      <c r="AK29" s="1">
        <v>1321</v>
      </c>
      <c r="AL29">
        <v>211</v>
      </c>
      <c r="AM29" s="1">
        <v>0</v>
      </c>
      <c r="AN29" s="1">
        <v>0</v>
      </c>
      <c r="AO29">
        <v>9</v>
      </c>
      <c r="AP29" s="1">
        <v>27</v>
      </c>
    </row>
    <row r="30" spans="1:42" x14ac:dyDescent="0.3">
      <c r="A30" t="s">
        <v>41</v>
      </c>
      <c r="B30" t="s">
        <v>51</v>
      </c>
      <c r="C30" s="4" t="s">
        <v>40</v>
      </c>
      <c r="D30" s="1">
        <v>74125</v>
      </c>
      <c r="E30">
        <v>80</v>
      </c>
      <c r="F30">
        <v>101</v>
      </c>
      <c r="G30">
        <v>4</v>
      </c>
      <c r="H30" s="1">
        <v>1825</v>
      </c>
      <c r="I30" s="1">
        <v>0</v>
      </c>
      <c r="J30" s="1">
        <v>14414</v>
      </c>
      <c r="K30">
        <v>108</v>
      </c>
      <c r="L30" s="1">
        <v>0</v>
      </c>
      <c r="M30">
        <v>658</v>
      </c>
      <c r="N30">
        <v>166</v>
      </c>
      <c r="O30">
        <v>306</v>
      </c>
      <c r="P30">
        <v>1</v>
      </c>
      <c r="Q30">
        <v>212</v>
      </c>
      <c r="R30">
        <v>10</v>
      </c>
      <c r="S30">
        <v>40</v>
      </c>
      <c r="T30">
        <v>94</v>
      </c>
      <c r="U30">
        <v>66</v>
      </c>
      <c r="V30">
        <v>47</v>
      </c>
      <c r="W30">
        <v>1</v>
      </c>
      <c r="X30">
        <v>49</v>
      </c>
      <c r="Y30">
        <v>5</v>
      </c>
      <c r="Z30">
        <v>3</v>
      </c>
      <c r="AA30" s="1">
        <v>1750</v>
      </c>
      <c r="AB30" s="1">
        <v>3326</v>
      </c>
      <c r="AC30" s="1">
        <v>5275</v>
      </c>
      <c r="AD30" s="1">
        <v>25782</v>
      </c>
      <c r="AE30">
        <v>32</v>
      </c>
      <c r="AF30" s="1">
        <v>2794</v>
      </c>
      <c r="AG30">
        <v>671</v>
      </c>
      <c r="AH30">
        <v>853</v>
      </c>
      <c r="AI30">
        <v>14</v>
      </c>
      <c r="AJ30">
        <v>726</v>
      </c>
      <c r="AK30" s="1">
        <v>12247</v>
      </c>
      <c r="AL30">
        <v>992</v>
      </c>
      <c r="AM30" s="1">
        <v>0</v>
      </c>
      <c r="AN30" s="1">
        <v>0</v>
      </c>
      <c r="AO30">
        <v>3</v>
      </c>
      <c r="AP30" s="1">
        <v>1470</v>
      </c>
    </row>
    <row r="31" spans="1:42" x14ac:dyDescent="0.3">
      <c r="A31" t="s">
        <v>41</v>
      </c>
      <c r="B31" t="s">
        <v>51</v>
      </c>
      <c r="C31" s="4" t="s">
        <v>43</v>
      </c>
      <c r="D31" s="1">
        <v>40819</v>
      </c>
      <c r="E31">
        <v>35</v>
      </c>
      <c r="F31">
        <v>53</v>
      </c>
      <c r="G31">
        <v>3</v>
      </c>
      <c r="H31">
        <v>986</v>
      </c>
      <c r="I31" s="1">
        <v>0</v>
      </c>
      <c r="J31" s="1">
        <v>6392</v>
      </c>
      <c r="K31">
        <v>93</v>
      </c>
      <c r="L31">
        <v>0</v>
      </c>
      <c r="M31">
        <v>257</v>
      </c>
      <c r="N31">
        <v>111</v>
      </c>
      <c r="O31">
        <v>123</v>
      </c>
      <c r="P31">
        <v>0</v>
      </c>
      <c r="Q31">
        <v>106</v>
      </c>
      <c r="R31">
        <v>7</v>
      </c>
      <c r="S31">
        <v>27</v>
      </c>
      <c r="T31">
        <v>82</v>
      </c>
      <c r="U31">
        <v>26</v>
      </c>
      <c r="V31">
        <v>19</v>
      </c>
      <c r="W31">
        <v>0</v>
      </c>
      <c r="X31">
        <v>32</v>
      </c>
      <c r="Y31">
        <v>5</v>
      </c>
      <c r="Z31">
        <v>3</v>
      </c>
      <c r="AA31">
        <v>170</v>
      </c>
      <c r="AB31" s="1">
        <v>2993</v>
      </c>
      <c r="AC31" s="1">
        <v>3491</v>
      </c>
      <c r="AD31" s="1">
        <v>23153</v>
      </c>
      <c r="AE31">
        <v>25</v>
      </c>
      <c r="AF31">
        <v>583</v>
      </c>
      <c r="AG31">
        <v>242</v>
      </c>
      <c r="AH31">
        <v>237</v>
      </c>
      <c r="AI31">
        <v>10</v>
      </c>
      <c r="AJ31">
        <v>78</v>
      </c>
      <c r="AK31">
        <v>644</v>
      </c>
      <c r="AL31">
        <v>426</v>
      </c>
      <c r="AM31" s="1">
        <v>0</v>
      </c>
      <c r="AN31" s="1">
        <v>0</v>
      </c>
      <c r="AO31">
        <v>2</v>
      </c>
      <c r="AP31" s="1">
        <v>405</v>
      </c>
    </row>
    <row r="32" spans="1:42" x14ac:dyDescent="0.3">
      <c r="A32" t="s">
        <v>41</v>
      </c>
      <c r="B32" t="s">
        <v>51</v>
      </c>
      <c r="C32" s="4" t="s">
        <v>44</v>
      </c>
      <c r="D32" s="1">
        <v>33306</v>
      </c>
      <c r="E32">
        <v>45</v>
      </c>
      <c r="F32">
        <v>48</v>
      </c>
      <c r="G32">
        <v>1</v>
      </c>
      <c r="H32">
        <v>839</v>
      </c>
      <c r="I32" s="1">
        <v>0</v>
      </c>
      <c r="J32" s="1">
        <v>8022</v>
      </c>
      <c r="K32">
        <v>15</v>
      </c>
      <c r="L32" s="1">
        <v>0</v>
      </c>
      <c r="M32">
        <v>401</v>
      </c>
      <c r="N32">
        <v>55</v>
      </c>
      <c r="O32">
        <v>183</v>
      </c>
      <c r="P32">
        <v>1</v>
      </c>
      <c r="Q32">
        <v>106</v>
      </c>
      <c r="R32">
        <v>3</v>
      </c>
      <c r="S32">
        <v>13</v>
      </c>
      <c r="T32">
        <v>12</v>
      </c>
      <c r="U32">
        <v>40</v>
      </c>
      <c r="V32">
        <v>28</v>
      </c>
      <c r="W32">
        <v>1</v>
      </c>
      <c r="X32">
        <v>17</v>
      </c>
      <c r="Y32">
        <v>0</v>
      </c>
      <c r="Z32">
        <v>0</v>
      </c>
      <c r="AA32" s="1">
        <v>1580</v>
      </c>
      <c r="AB32">
        <v>333</v>
      </c>
      <c r="AC32" s="1">
        <v>1784</v>
      </c>
      <c r="AD32" s="1">
        <v>2629</v>
      </c>
      <c r="AE32">
        <v>7</v>
      </c>
      <c r="AF32" s="1">
        <v>2211</v>
      </c>
      <c r="AG32">
        <v>429</v>
      </c>
      <c r="AH32">
        <v>616</v>
      </c>
      <c r="AI32">
        <v>4</v>
      </c>
      <c r="AJ32">
        <v>648</v>
      </c>
      <c r="AK32" s="1">
        <v>11603</v>
      </c>
      <c r="AL32">
        <v>566</v>
      </c>
      <c r="AM32" s="1">
        <v>0</v>
      </c>
      <c r="AN32" s="1">
        <v>0</v>
      </c>
      <c r="AO32">
        <v>1</v>
      </c>
      <c r="AP32" s="1">
        <v>1065</v>
      </c>
    </row>
    <row r="33" spans="1:42" x14ac:dyDescent="0.3">
      <c r="A33" t="s">
        <v>41</v>
      </c>
      <c r="B33" t="s">
        <v>52</v>
      </c>
      <c r="C33" s="4" t="s">
        <v>40</v>
      </c>
      <c r="D33" s="1">
        <v>70375</v>
      </c>
      <c r="E33">
        <v>230</v>
      </c>
      <c r="F33">
        <v>234</v>
      </c>
      <c r="G33">
        <v>24</v>
      </c>
      <c r="H33" s="1">
        <v>39518</v>
      </c>
      <c r="I33">
        <v>1</v>
      </c>
      <c r="J33">
        <v>10</v>
      </c>
      <c r="K33">
        <v>308</v>
      </c>
      <c r="L33">
        <v>3</v>
      </c>
      <c r="M33" s="1">
        <v>2916</v>
      </c>
      <c r="N33">
        <v>0</v>
      </c>
      <c r="O33" s="1">
        <v>1355</v>
      </c>
      <c r="P33">
        <v>40</v>
      </c>
      <c r="Q33">
        <v>47</v>
      </c>
      <c r="R33">
        <v>172</v>
      </c>
      <c r="S33" s="1">
        <v>1559</v>
      </c>
      <c r="T33">
        <v>78</v>
      </c>
      <c r="U33">
        <v>208</v>
      </c>
      <c r="V33">
        <v>60</v>
      </c>
      <c r="W33">
        <v>125</v>
      </c>
      <c r="X33">
        <v>153</v>
      </c>
      <c r="Y33">
        <v>1</v>
      </c>
      <c r="Z33">
        <v>12</v>
      </c>
      <c r="AA33">
        <v>521</v>
      </c>
      <c r="AB33">
        <v>712</v>
      </c>
      <c r="AC33" s="1">
        <v>0</v>
      </c>
      <c r="AD33" s="1">
        <v>0</v>
      </c>
      <c r="AE33">
        <v>1</v>
      </c>
      <c r="AF33">
        <v>246</v>
      </c>
      <c r="AG33">
        <v>597</v>
      </c>
      <c r="AH33" s="1">
        <v>1092</v>
      </c>
      <c r="AI33">
        <v>903</v>
      </c>
      <c r="AJ33" s="1">
        <v>6988</v>
      </c>
      <c r="AK33" s="1">
        <v>10449</v>
      </c>
      <c r="AL33">
        <v>13</v>
      </c>
      <c r="AM33" s="1">
        <v>1638</v>
      </c>
      <c r="AN33" s="1">
        <v>0</v>
      </c>
      <c r="AO33">
        <v>9</v>
      </c>
      <c r="AP33" s="1">
        <v>152</v>
      </c>
    </row>
    <row r="34" spans="1:42" x14ac:dyDescent="0.3">
      <c r="A34" t="s">
        <v>41</v>
      </c>
      <c r="B34" t="s">
        <v>52</v>
      </c>
      <c r="C34" s="4" t="s">
        <v>43</v>
      </c>
      <c r="D34" s="1">
        <v>21842</v>
      </c>
      <c r="E34">
        <v>116</v>
      </c>
      <c r="F34">
        <v>104</v>
      </c>
      <c r="G34">
        <v>16</v>
      </c>
      <c r="H34" s="1">
        <v>15801</v>
      </c>
      <c r="I34">
        <v>1</v>
      </c>
      <c r="J34">
        <v>4</v>
      </c>
      <c r="K34">
        <v>252</v>
      </c>
      <c r="L34">
        <v>2</v>
      </c>
      <c r="M34">
        <v>399</v>
      </c>
      <c r="N34">
        <v>0</v>
      </c>
      <c r="O34">
        <v>169</v>
      </c>
      <c r="P34">
        <v>32</v>
      </c>
      <c r="Q34">
        <v>25</v>
      </c>
      <c r="R34">
        <v>149</v>
      </c>
      <c r="S34" s="1">
        <v>1461</v>
      </c>
      <c r="T34">
        <v>77</v>
      </c>
      <c r="U34">
        <v>19</v>
      </c>
      <c r="V34">
        <v>34</v>
      </c>
      <c r="W34">
        <v>22</v>
      </c>
      <c r="X34">
        <v>143</v>
      </c>
      <c r="Y34">
        <v>1</v>
      </c>
      <c r="Z34">
        <v>12</v>
      </c>
      <c r="AA34">
        <v>236</v>
      </c>
      <c r="AB34">
        <v>219</v>
      </c>
      <c r="AC34" s="1">
        <v>0</v>
      </c>
      <c r="AD34" s="1">
        <v>0</v>
      </c>
      <c r="AE34">
        <v>0</v>
      </c>
      <c r="AF34">
        <v>91</v>
      </c>
      <c r="AG34">
        <v>187</v>
      </c>
      <c r="AH34">
        <v>291</v>
      </c>
      <c r="AI34">
        <v>219</v>
      </c>
      <c r="AJ34">
        <v>619</v>
      </c>
      <c r="AK34">
        <v>938</v>
      </c>
      <c r="AL34">
        <v>5</v>
      </c>
      <c r="AM34">
        <v>175</v>
      </c>
      <c r="AN34" s="1">
        <v>0</v>
      </c>
      <c r="AO34">
        <v>2</v>
      </c>
      <c r="AP34" s="1">
        <v>21</v>
      </c>
    </row>
    <row r="35" spans="1:42" x14ac:dyDescent="0.3">
      <c r="A35" t="s">
        <v>41</v>
      </c>
      <c r="B35" t="s">
        <v>52</v>
      </c>
      <c r="C35" s="4" t="s">
        <v>44</v>
      </c>
      <c r="D35" s="1">
        <v>48533</v>
      </c>
      <c r="E35">
        <v>114</v>
      </c>
      <c r="F35">
        <v>130</v>
      </c>
      <c r="G35">
        <v>8</v>
      </c>
      <c r="H35" s="1">
        <v>23717</v>
      </c>
      <c r="I35" s="1">
        <v>0</v>
      </c>
      <c r="J35">
        <v>6</v>
      </c>
      <c r="K35">
        <v>56</v>
      </c>
      <c r="L35">
        <v>1</v>
      </c>
      <c r="M35" s="1">
        <v>2517</v>
      </c>
      <c r="N35">
        <v>0</v>
      </c>
      <c r="O35" s="1">
        <v>1186</v>
      </c>
      <c r="P35">
        <v>8</v>
      </c>
      <c r="Q35">
        <v>22</v>
      </c>
      <c r="R35">
        <v>23</v>
      </c>
      <c r="S35">
        <v>98</v>
      </c>
      <c r="T35">
        <v>1</v>
      </c>
      <c r="U35">
        <v>189</v>
      </c>
      <c r="V35">
        <v>26</v>
      </c>
      <c r="W35">
        <v>103</v>
      </c>
      <c r="X35">
        <v>10</v>
      </c>
      <c r="Y35">
        <v>0</v>
      </c>
      <c r="Z35">
        <v>0</v>
      </c>
      <c r="AA35">
        <v>285</v>
      </c>
      <c r="AB35">
        <v>493</v>
      </c>
      <c r="AC35" s="1">
        <v>0</v>
      </c>
      <c r="AD35" s="1">
        <v>0</v>
      </c>
      <c r="AE35">
        <v>1</v>
      </c>
      <c r="AF35">
        <v>155</v>
      </c>
      <c r="AG35">
        <v>410</v>
      </c>
      <c r="AH35">
        <v>801</v>
      </c>
      <c r="AI35">
        <v>684</v>
      </c>
      <c r="AJ35" s="1">
        <v>6369</v>
      </c>
      <c r="AK35" s="1">
        <v>9511</v>
      </c>
      <c r="AL35">
        <v>8</v>
      </c>
      <c r="AM35" s="1">
        <v>1463</v>
      </c>
      <c r="AN35" s="1">
        <v>0</v>
      </c>
      <c r="AO35">
        <v>7</v>
      </c>
      <c r="AP35" s="1">
        <v>131</v>
      </c>
    </row>
    <row r="36" spans="1:42" x14ac:dyDescent="0.3">
      <c r="A36" t="s">
        <v>41</v>
      </c>
      <c r="B36" t="s">
        <v>53</v>
      </c>
      <c r="C36" s="4" t="s">
        <v>40</v>
      </c>
      <c r="D36" s="1">
        <v>67985</v>
      </c>
      <c r="E36">
        <v>38</v>
      </c>
      <c r="F36">
        <v>262</v>
      </c>
      <c r="G36">
        <v>40</v>
      </c>
      <c r="H36">
        <v>70</v>
      </c>
      <c r="I36" s="1">
        <v>0</v>
      </c>
      <c r="J36" s="1">
        <v>1016</v>
      </c>
      <c r="K36">
        <v>20</v>
      </c>
      <c r="L36">
        <v>0</v>
      </c>
      <c r="M36">
        <v>371</v>
      </c>
      <c r="N36">
        <v>0</v>
      </c>
      <c r="O36">
        <v>186</v>
      </c>
      <c r="P36">
        <v>0</v>
      </c>
      <c r="Q36">
        <v>6</v>
      </c>
      <c r="R36">
        <v>6</v>
      </c>
      <c r="S36">
        <v>14</v>
      </c>
      <c r="T36">
        <v>3</v>
      </c>
      <c r="U36">
        <v>63</v>
      </c>
      <c r="V36">
        <v>0</v>
      </c>
      <c r="W36">
        <v>0</v>
      </c>
      <c r="X36">
        <v>8</v>
      </c>
      <c r="Y36">
        <v>0</v>
      </c>
      <c r="Z36">
        <v>0</v>
      </c>
      <c r="AA36">
        <v>0</v>
      </c>
      <c r="AB36" s="1">
        <v>4940</v>
      </c>
      <c r="AC36" s="1">
        <v>2526</v>
      </c>
      <c r="AD36" s="1">
        <v>49459</v>
      </c>
      <c r="AE36" s="1">
        <v>0</v>
      </c>
      <c r="AF36" s="1">
        <v>2433</v>
      </c>
      <c r="AG36">
        <v>334</v>
      </c>
      <c r="AH36" s="1">
        <v>1001</v>
      </c>
      <c r="AI36">
        <v>12</v>
      </c>
      <c r="AJ36">
        <v>155</v>
      </c>
      <c r="AK36" s="1">
        <v>4777</v>
      </c>
      <c r="AL36">
        <v>108</v>
      </c>
      <c r="AM36" s="1">
        <v>0</v>
      </c>
      <c r="AN36" s="1">
        <v>0</v>
      </c>
      <c r="AO36" s="1">
        <v>0</v>
      </c>
      <c r="AP36" s="1">
        <v>137</v>
      </c>
    </row>
    <row r="37" spans="1:42" x14ac:dyDescent="0.3">
      <c r="A37" t="s">
        <v>41</v>
      </c>
      <c r="B37" t="s">
        <v>53</v>
      </c>
      <c r="C37" s="4" t="s">
        <v>43</v>
      </c>
      <c r="D37" s="1">
        <v>46651</v>
      </c>
      <c r="E37">
        <v>17</v>
      </c>
      <c r="F37">
        <v>198</v>
      </c>
      <c r="G37">
        <v>30</v>
      </c>
      <c r="H37">
        <v>50</v>
      </c>
      <c r="I37" s="1">
        <v>0</v>
      </c>
      <c r="J37">
        <v>442</v>
      </c>
      <c r="K37">
        <v>16</v>
      </c>
      <c r="L37">
        <v>0</v>
      </c>
      <c r="M37">
        <v>195</v>
      </c>
      <c r="N37">
        <v>0</v>
      </c>
      <c r="O37">
        <v>88</v>
      </c>
      <c r="P37">
        <v>0</v>
      </c>
      <c r="Q37">
        <v>5</v>
      </c>
      <c r="R37">
        <v>3</v>
      </c>
      <c r="S37">
        <v>12</v>
      </c>
      <c r="T37">
        <v>1</v>
      </c>
      <c r="U37">
        <v>35</v>
      </c>
      <c r="V37">
        <v>0</v>
      </c>
      <c r="W37">
        <v>0</v>
      </c>
      <c r="X37">
        <v>6</v>
      </c>
      <c r="Y37">
        <v>0</v>
      </c>
      <c r="Z37">
        <v>0</v>
      </c>
      <c r="AA37">
        <v>0</v>
      </c>
      <c r="AB37" s="1">
        <v>4447</v>
      </c>
      <c r="AC37" s="1">
        <v>1516</v>
      </c>
      <c r="AD37" s="1">
        <v>37109</v>
      </c>
      <c r="AE37" s="1">
        <v>0</v>
      </c>
      <c r="AF37">
        <v>867</v>
      </c>
      <c r="AG37">
        <v>195</v>
      </c>
      <c r="AH37">
        <v>203</v>
      </c>
      <c r="AI37">
        <v>9</v>
      </c>
      <c r="AJ37">
        <v>45</v>
      </c>
      <c r="AK37" s="1">
        <v>1019</v>
      </c>
      <c r="AL37">
        <v>55</v>
      </c>
      <c r="AM37" s="1">
        <v>0</v>
      </c>
      <c r="AN37" s="1">
        <v>0</v>
      </c>
      <c r="AO37" s="1">
        <v>0</v>
      </c>
      <c r="AP37" s="1">
        <v>88</v>
      </c>
    </row>
    <row r="38" spans="1:42" x14ac:dyDescent="0.3">
      <c r="A38" t="s">
        <v>41</v>
      </c>
      <c r="B38" t="s">
        <v>53</v>
      </c>
      <c r="C38" s="4" t="s">
        <v>44</v>
      </c>
      <c r="D38" s="1">
        <v>21334</v>
      </c>
      <c r="E38">
        <v>21</v>
      </c>
      <c r="F38">
        <v>64</v>
      </c>
      <c r="G38">
        <v>10</v>
      </c>
      <c r="H38">
        <v>20</v>
      </c>
      <c r="I38" s="1">
        <v>0</v>
      </c>
      <c r="J38">
        <v>574</v>
      </c>
      <c r="K38">
        <v>4</v>
      </c>
      <c r="L38">
        <v>0</v>
      </c>
      <c r="M38">
        <v>176</v>
      </c>
      <c r="N38">
        <v>0</v>
      </c>
      <c r="O38">
        <v>98</v>
      </c>
      <c r="P38">
        <v>0</v>
      </c>
      <c r="Q38">
        <v>1</v>
      </c>
      <c r="R38">
        <v>3</v>
      </c>
      <c r="S38">
        <v>2</v>
      </c>
      <c r="T38">
        <v>2</v>
      </c>
      <c r="U38">
        <v>28</v>
      </c>
      <c r="V38">
        <v>0</v>
      </c>
      <c r="W38">
        <v>0</v>
      </c>
      <c r="X38">
        <v>2</v>
      </c>
      <c r="Y38">
        <v>0</v>
      </c>
      <c r="Z38">
        <v>0</v>
      </c>
      <c r="AA38">
        <v>0</v>
      </c>
      <c r="AB38">
        <v>493</v>
      </c>
      <c r="AC38" s="1">
        <v>1010</v>
      </c>
      <c r="AD38" s="1">
        <v>12350</v>
      </c>
      <c r="AE38">
        <v>0</v>
      </c>
      <c r="AF38" s="1">
        <v>1566</v>
      </c>
      <c r="AG38">
        <v>139</v>
      </c>
      <c r="AH38">
        <v>798</v>
      </c>
      <c r="AI38">
        <v>3</v>
      </c>
      <c r="AJ38">
        <v>110</v>
      </c>
      <c r="AK38" s="1">
        <v>3758</v>
      </c>
      <c r="AL38">
        <v>53</v>
      </c>
      <c r="AM38" s="1">
        <v>0</v>
      </c>
      <c r="AN38" s="1">
        <v>0</v>
      </c>
      <c r="AO38" s="1">
        <v>0</v>
      </c>
      <c r="AP38" s="1">
        <v>49</v>
      </c>
    </row>
    <row r="39" spans="1:42" x14ac:dyDescent="0.3">
      <c r="A39" t="s">
        <v>41</v>
      </c>
      <c r="B39" t="s">
        <v>54</v>
      </c>
      <c r="C39" s="4" t="s">
        <v>40</v>
      </c>
      <c r="D39" s="1">
        <v>60008</v>
      </c>
      <c r="E39">
        <v>145</v>
      </c>
      <c r="F39">
        <v>280</v>
      </c>
      <c r="G39">
        <v>250</v>
      </c>
      <c r="H39">
        <v>689</v>
      </c>
      <c r="I39">
        <v>5</v>
      </c>
      <c r="J39" s="1">
        <v>15912</v>
      </c>
      <c r="K39">
        <v>31</v>
      </c>
      <c r="L39">
        <v>2</v>
      </c>
      <c r="M39" s="1">
        <v>13194</v>
      </c>
      <c r="N39">
        <v>20</v>
      </c>
      <c r="O39" s="1">
        <v>6671</v>
      </c>
      <c r="P39">
        <v>0</v>
      </c>
      <c r="Q39">
        <v>35</v>
      </c>
      <c r="R39">
        <v>18</v>
      </c>
      <c r="S39">
        <v>165</v>
      </c>
      <c r="T39">
        <v>220</v>
      </c>
      <c r="U39" s="1">
        <v>1819</v>
      </c>
      <c r="V39">
        <v>7</v>
      </c>
      <c r="W39">
        <v>1</v>
      </c>
      <c r="X39">
        <v>39</v>
      </c>
      <c r="Y39">
        <v>0</v>
      </c>
      <c r="Z39">
        <v>0</v>
      </c>
      <c r="AA39">
        <v>113</v>
      </c>
      <c r="AB39">
        <v>744</v>
      </c>
      <c r="AC39">
        <v>751</v>
      </c>
      <c r="AD39" s="1">
        <v>3890</v>
      </c>
      <c r="AE39">
        <v>0</v>
      </c>
      <c r="AF39" s="1">
        <v>1245</v>
      </c>
      <c r="AG39" s="1">
        <v>1787</v>
      </c>
      <c r="AH39" s="1">
        <v>4665</v>
      </c>
      <c r="AI39">
        <v>1</v>
      </c>
      <c r="AJ39">
        <v>901</v>
      </c>
      <c r="AK39" s="1">
        <v>2215</v>
      </c>
      <c r="AL39" s="1">
        <v>3513</v>
      </c>
      <c r="AM39" s="1">
        <v>0</v>
      </c>
      <c r="AN39" s="1">
        <v>0</v>
      </c>
      <c r="AO39" s="1">
        <v>0</v>
      </c>
      <c r="AP39" s="1">
        <v>680</v>
      </c>
    </row>
    <row r="40" spans="1:42" x14ac:dyDescent="0.3">
      <c r="A40" t="s">
        <v>41</v>
      </c>
      <c r="B40" t="s">
        <v>54</v>
      </c>
      <c r="C40" s="4" t="s">
        <v>43</v>
      </c>
      <c r="D40" s="1">
        <v>27124</v>
      </c>
      <c r="E40">
        <v>60</v>
      </c>
      <c r="F40">
        <v>132</v>
      </c>
      <c r="G40">
        <v>145</v>
      </c>
      <c r="H40">
        <v>328</v>
      </c>
      <c r="I40">
        <v>3</v>
      </c>
      <c r="J40" s="1">
        <v>7292</v>
      </c>
      <c r="K40">
        <v>21</v>
      </c>
      <c r="L40">
        <v>1</v>
      </c>
      <c r="M40" s="1">
        <v>4723</v>
      </c>
      <c r="N40">
        <v>16</v>
      </c>
      <c r="O40" s="1">
        <v>3298</v>
      </c>
      <c r="P40">
        <v>0</v>
      </c>
      <c r="Q40">
        <v>26</v>
      </c>
      <c r="R40">
        <v>13</v>
      </c>
      <c r="S40">
        <v>100</v>
      </c>
      <c r="T40">
        <v>69</v>
      </c>
      <c r="U40">
        <v>600</v>
      </c>
      <c r="V40">
        <v>1</v>
      </c>
      <c r="W40">
        <v>1</v>
      </c>
      <c r="X40">
        <v>14</v>
      </c>
      <c r="Y40">
        <v>0</v>
      </c>
      <c r="Z40">
        <v>0</v>
      </c>
      <c r="AA40">
        <v>71</v>
      </c>
      <c r="AB40">
        <v>458</v>
      </c>
      <c r="AC40">
        <v>379</v>
      </c>
      <c r="AD40" s="1">
        <v>3078</v>
      </c>
      <c r="AE40">
        <v>0</v>
      </c>
      <c r="AF40">
        <v>478</v>
      </c>
      <c r="AG40">
        <v>735</v>
      </c>
      <c r="AH40" s="1">
        <v>2572</v>
      </c>
      <c r="AI40">
        <v>0</v>
      </c>
      <c r="AJ40">
        <v>179</v>
      </c>
      <c r="AK40">
        <v>231</v>
      </c>
      <c r="AL40" s="1">
        <v>1771</v>
      </c>
      <c r="AM40" s="1">
        <v>0</v>
      </c>
      <c r="AN40" s="1">
        <v>0</v>
      </c>
      <c r="AO40" s="1">
        <v>0</v>
      </c>
      <c r="AP40" s="1">
        <v>329</v>
      </c>
    </row>
    <row r="41" spans="1:42" x14ac:dyDescent="0.3">
      <c r="A41" t="s">
        <v>41</v>
      </c>
      <c r="B41" t="s">
        <v>54</v>
      </c>
      <c r="C41" s="4" t="s">
        <v>44</v>
      </c>
      <c r="D41" s="1">
        <v>32884</v>
      </c>
      <c r="E41">
        <v>85</v>
      </c>
      <c r="F41">
        <v>148</v>
      </c>
      <c r="G41">
        <v>105</v>
      </c>
      <c r="H41">
        <v>361</v>
      </c>
      <c r="I41">
        <v>2</v>
      </c>
      <c r="J41" s="1">
        <v>8620</v>
      </c>
      <c r="K41">
        <v>10</v>
      </c>
      <c r="L41">
        <v>1</v>
      </c>
      <c r="M41" s="1">
        <v>8471</v>
      </c>
      <c r="N41">
        <v>4</v>
      </c>
      <c r="O41" s="1">
        <v>3373</v>
      </c>
      <c r="P41">
        <v>0</v>
      </c>
      <c r="Q41">
        <v>9</v>
      </c>
      <c r="R41">
        <v>5</v>
      </c>
      <c r="S41">
        <v>65</v>
      </c>
      <c r="T41">
        <v>151</v>
      </c>
      <c r="U41" s="1">
        <v>1219</v>
      </c>
      <c r="V41">
        <v>6</v>
      </c>
      <c r="W41">
        <v>0</v>
      </c>
      <c r="X41">
        <v>25</v>
      </c>
      <c r="Y41">
        <v>0</v>
      </c>
      <c r="Z41">
        <v>0</v>
      </c>
      <c r="AA41">
        <v>42</v>
      </c>
      <c r="AB41">
        <v>286</v>
      </c>
      <c r="AC41">
        <v>372</v>
      </c>
      <c r="AD41">
        <v>812</v>
      </c>
      <c r="AE41">
        <v>0</v>
      </c>
      <c r="AF41">
        <v>767</v>
      </c>
      <c r="AG41" s="1">
        <v>1052</v>
      </c>
      <c r="AH41" s="1">
        <v>2093</v>
      </c>
      <c r="AI41">
        <v>1</v>
      </c>
      <c r="AJ41">
        <v>722</v>
      </c>
      <c r="AK41" s="1">
        <v>1984</v>
      </c>
      <c r="AL41" s="1">
        <v>1742</v>
      </c>
      <c r="AM41" s="1">
        <v>0</v>
      </c>
      <c r="AN41" s="1">
        <v>0</v>
      </c>
      <c r="AO41" s="1">
        <v>0</v>
      </c>
      <c r="AP41" s="1">
        <v>351</v>
      </c>
    </row>
    <row r="42" spans="1:42" x14ac:dyDescent="0.3">
      <c r="A42" t="s">
        <v>41</v>
      </c>
      <c r="B42" t="s">
        <v>55</v>
      </c>
      <c r="C42" s="4" t="s">
        <v>40</v>
      </c>
      <c r="D42" s="1">
        <v>59999</v>
      </c>
      <c r="E42">
        <v>82</v>
      </c>
      <c r="F42">
        <v>16</v>
      </c>
      <c r="G42">
        <v>0</v>
      </c>
      <c r="H42">
        <v>159</v>
      </c>
      <c r="I42">
        <v>0</v>
      </c>
      <c r="J42">
        <v>808</v>
      </c>
      <c r="K42">
        <v>1</v>
      </c>
      <c r="L42">
        <v>0</v>
      </c>
      <c r="M42" s="1">
        <v>5520</v>
      </c>
      <c r="N42">
        <v>33</v>
      </c>
      <c r="O42" s="1">
        <v>4623</v>
      </c>
      <c r="P42">
        <v>0</v>
      </c>
      <c r="Q42">
        <v>102</v>
      </c>
      <c r="R42">
        <v>0</v>
      </c>
      <c r="S42">
        <v>10</v>
      </c>
      <c r="T42">
        <v>3</v>
      </c>
      <c r="U42">
        <v>449</v>
      </c>
      <c r="V42">
        <v>1</v>
      </c>
      <c r="W42">
        <v>0</v>
      </c>
      <c r="X42">
        <v>17</v>
      </c>
      <c r="Y42">
        <v>0</v>
      </c>
      <c r="Z42">
        <v>0</v>
      </c>
      <c r="AA42">
        <v>4</v>
      </c>
      <c r="AB42" s="1">
        <v>4445</v>
      </c>
      <c r="AC42">
        <v>3</v>
      </c>
      <c r="AD42" s="1">
        <v>31841</v>
      </c>
      <c r="AE42">
        <v>972</v>
      </c>
      <c r="AF42">
        <v>103</v>
      </c>
      <c r="AG42">
        <v>709</v>
      </c>
      <c r="AH42">
        <v>899</v>
      </c>
      <c r="AI42">
        <v>0</v>
      </c>
      <c r="AJ42">
        <v>62</v>
      </c>
      <c r="AK42">
        <v>480</v>
      </c>
      <c r="AL42" s="1">
        <v>8531</v>
      </c>
      <c r="AM42" s="1">
        <v>0</v>
      </c>
      <c r="AN42" s="1">
        <v>0</v>
      </c>
      <c r="AO42" s="1">
        <v>0</v>
      </c>
      <c r="AP42" s="1">
        <v>126</v>
      </c>
    </row>
    <row r="43" spans="1:42" x14ac:dyDescent="0.3">
      <c r="A43" t="s">
        <v>41</v>
      </c>
      <c r="B43" t="s">
        <v>55</v>
      </c>
      <c r="C43" s="4" t="s">
        <v>43</v>
      </c>
      <c r="D43" s="1">
        <v>49057</v>
      </c>
      <c r="E43">
        <v>34</v>
      </c>
      <c r="F43">
        <v>7</v>
      </c>
      <c r="G43">
        <v>0</v>
      </c>
      <c r="H43">
        <v>158</v>
      </c>
      <c r="I43">
        <v>0</v>
      </c>
      <c r="J43">
        <v>462</v>
      </c>
      <c r="K43">
        <v>1</v>
      </c>
      <c r="L43">
        <v>0</v>
      </c>
      <c r="M43" s="1">
        <v>1254</v>
      </c>
      <c r="N43">
        <v>33</v>
      </c>
      <c r="O43" s="1">
        <v>1635</v>
      </c>
      <c r="P43">
        <v>0</v>
      </c>
      <c r="Q43">
        <v>25</v>
      </c>
      <c r="R43">
        <v>0</v>
      </c>
      <c r="S43">
        <v>6</v>
      </c>
      <c r="T43">
        <v>2</v>
      </c>
      <c r="U43">
        <v>116</v>
      </c>
      <c r="V43">
        <v>1</v>
      </c>
      <c r="W43">
        <v>0</v>
      </c>
      <c r="X43">
        <v>5</v>
      </c>
      <c r="Y43">
        <v>0</v>
      </c>
      <c r="Z43">
        <v>0</v>
      </c>
      <c r="AA43">
        <v>0</v>
      </c>
      <c r="AB43" s="1">
        <v>4362</v>
      </c>
      <c r="AC43">
        <v>0</v>
      </c>
      <c r="AD43" s="1">
        <v>31826</v>
      </c>
      <c r="AE43">
        <v>972</v>
      </c>
      <c r="AF43">
        <v>21</v>
      </c>
      <c r="AG43">
        <v>357</v>
      </c>
      <c r="AH43">
        <v>155</v>
      </c>
      <c r="AI43">
        <v>0</v>
      </c>
      <c r="AJ43">
        <v>19</v>
      </c>
      <c r="AK43">
        <v>63</v>
      </c>
      <c r="AL43" s="1">
        <v>7442</v>
      </c>
      <c r="AM43" s="1">
        <v>0</v>
      </c>
      <c r="AN43" s="1">
        <v>0</v>
      </c>
      <c r="AO43" s="1">
        <v>0</v>
      </c>
      <c r="AP43" s="1">
        <v>101</v>
      </c>
    </row>
    <row r="44" spans="1:42" x14ac:dyDescent="0.3">
      <c r="A44" t="s">
        <v>41</v>
      </c>
      <c r="B44" t="s">
        <v>55</v>
      </c>
      <c r="C44" s="4" t="s">
        <v>44</v>
      </c>
      <c r="D44" s="1">
        <v>10942</v>
      </c>
      <c r="E44">
        <v>48</v>
      </c>
      <c r="F44">
        <v>9</v>
      </c>
      <c r="G44">
        <v>0</v>
      </c>
      <c r="H44">
        <v>1</v>
      </c>
      <c r="I44">
        <v>0</v>
      </c>
      <c r="J44">
        <v>346</v>
      </c>
      <c r="K44">
        <v>0</v>
      </c>
      <c r="L44">
        <v>0</v>
      </c>
      <c r="M44" s="1">
        <v>4266</v>
      </c>
      <c r="N44">
        <v>0</v>
      </c>
      <c r="O44" s="1">
        <v>2988</v>
      </c>
      <c r="P44">
        <v>0</v>
      </c>
      <c r="Q44">
        <v>77</v>
      </c>
      <c r="R44">
        <v>0</v>
      </c>
      <c r="S44">
        <v>4</v>
      </c>
      <c r="T44">
        <v>1</v>
      </c>
      <c r="U44">
        <v>333</v>
      </c>
      <c r="V44">
        <v>0</v>
      </c>
      <c r="W44">
        <v>0</v>
      </c>
      <c r="X44">
        <v>12</v>
      </c>
      <c r="Y44">
        <v>0</v>
      </c>
      <c r="Z44">
        <v>0</v>
      </c>
      <c r="AA44">
        <v>4</v>
      </c>
      <c r="AB44">
        <v>83</v>
      </c>
      <c r="AC44">
        <v>3</v>
      </c>
      <c r="AD44">
        <v>15</v>
      </c>
      <c r="AE44">
        <v>0</v>
      </c>
      <c r="AF44">
        <v>82</v>
      </c>
      <c r="AG44">
        <v>352</v>
      </c>
      <c r="AH44">
        <v>744</v>
      </c>
      <c r="AI44">
        <v>0</v>
      </c>
      <c r="AJ44">
        <v>43</v>
      </c>
      <c r="AK44">
        <v>417</v>
      </c>
      <c r="AL44" s="1">
        <v>1089</v>
      </c>
      <c r="AM44" s="1">
        <v>0</v>
      </c>
      <c r="AN44" s="1">
        <v>0</v>
      </c>
      <c r="AO44" s="1">
        <v>0</v>
      </c>
      <c r="AP44" s="1">
        <v>25</v>
      </c>
    </row>
    <row r="45" spans="1:42" x14ac:dyDescent="0.3">
      <c r="A45" t="s">
        <v>41</v>
      </c>
      <c r="B45" t="s">
        <v>56</v>
      </c>
      <c r="C45" s="4" t="s">
        <v>40</v>
      </c>
      <c r="D45" s="1">
        <v>43026</v>
      </c>
      <c r="E45">
        <v>67</v>
      </c>
      <c r="F45">
        <v>30</v>
      </c>
      <c r="G45" s="1">
        <v>7177</v>
      </c>
      <c r="H45">
        <v>2</v>
      </c>
      <c r="I45">
        <v>0</v>
      </c>
      <c r="J45">
        <v>212</v>
      </c>
      <c r="K45">
        <v>9</v>
      </c>
      <c r="L45">
        <v>0</v>
      </c>
      <c r="M45" s="1">
        <v>1464</v>
      </c>
      <c r="N45">
        <v>6</v>
      </c>
      <c r="O45">
        <v>396</v>
      </c>
      <c r="P45">
        <v>1</v>
      </c>
      <c r="Q45">
        <v>0</v>
      </c>
      <c r="R45">
        <v>1</v>
      </c>
      <c r="S45">
        <v>40</v>
      </c>
      <c r="T45">
        <v>4</v>
      </c>
      <c r="U45">
        <v>107</v>
      </c>
      <c r="V45">
        <v>5</v>
      </c>
      <c r="W45">
        <v>5</v>
      </c>
      <c r="X45">
        <v>8</v>
      </c>
      <c r="Y45">
        <v>0</v>
      </c>
      <c r="Z45">
        <v>0</v>
      </c>
      <c r="AA45">
        <v>21</v>
      </c>
      <c r="AB45">
        <v>102</v>
      </c>
      <c r="AC45">
        <v>1</v>
      </c>
      <c r="AD45">
        <v>26</v>
      </c>
      <c r="AE45">
        <v>0</v>
      </c>
      <c r="AF45" s="1">
        <v>3492</v>
      </c>
      <c r="AG45">
        <v>604</v>
      </c>
      <c r="AH45" s="1">
        <v>3029</v>
      </c>
      <c r="AI45" s="1">
        <v>15356</v>
      </c>
      <c r="AJ45">
        <v>849</v>
      </c>
      <c r="AK45">
        <v>681</v>
      </c>
      <c r="AL45" s="1">
        <v>5301</v>
      </c>
      <c r="AM45" s="1">
        <v>0</v>
      </c>
      <c r="AN45" s="1">
        <v>3706</v>
      </c>
      <c r="AO45" s="1">
        <v>0</v>
      </c>
      <c r="AP45" s="1">
        <v>324</v>
      </c>
    </row>
    <row r="46" spans="1:42" x14ac:dyDescent="0.3">
      <c r="A46" t="s">
        <v>41</v>
      </c>
      <c r="B46" t="s">
        <v>56</v>
      </c>
      <c r="C46" s="4" t="s">
        <v>43</v>
      </c>
      <c r="D46" s="1">
        <v>22867</v>
      </c>
      <c r="E46">
        <v>32</v>
      </c>
      <c r="F46">
        <v>13</v>
      </c>
      <c r="G46" s="1">
        <v>4894</v>
      </c>
      <c r="H46">
        <v>1</v>
      </c>
      <c r="I46">
        <v>0</v>
      </c>
      <c r="J46">
        <v>116</v>
      </c>
      <c r="K46">
        <v>5</v>
      </c>
      <c r="L46">
        <v>0</v>
      </c>
      <c r="M46">
        <v>419</v>
      </c>
      <c r="N46">
        <v>6</v>
      </c>
      <c r="O46">
        <v>113</v>
      </c>
      <c r="P46">
        <v>1</v>
      </c>
      <c r="Q46">
        <v>0</v>
      </c>
      <c r="R46">
        <v>1</v>
      </c>
      <c r="S46">
        <v>29</v>
      </c>
      <c r="T46">
        <v>4</v>
      </c>
      <c r="U46">
        <v>17</v>
      </c>
      <c r="V46">
        <v>1</v>
      </c>
      <c r="W46">
        <v>0</v>
      </c>
      <c r="X46">
        <v>4</v>
      </c>
      <c r="Y46">
        <v>0</v>
      </c>
      <c r="Z46">
        <v>0</v>
      </c>
      <c r="AA46">
        <v>13</v>
      </c>
      <c r="AB46">
        <v>36</v>
      </c>
      <c r="AC46">
        <v>0</v>
      </c>
      <c r="AD46">
        <v>24</v>
      </c>
      <c r="AE46">
        <v>0</v>
      </c>
      <c r="AF46" s="1">
        <v>1619</v>
      </c>
      <c r="AG46">
        <v>225</v>
      </c>
      <c r="AH46" s="1">
        <v>1375</v>
      </c>
      <c r="AI46" s="1">
        <v>7847</v>
      </c>
      <c r="AJ46">
        <v>475</v>
      </c>
      <c r="AK46">
        <v>41</v>
      </c>
      <c r="AL46" s="1">
        <v>3286</v>
      </c>
      <c r="AM46" s="1">
        <v>0</v>
      </c>
      <c r="AN46" s="1">
        <v>2066</v>
      </c>
      <c r="AO46" s="1">
        <v>0</v>
      </c>
      <c r="AP46" s="1">
        <v>204</v>
      </c>
    </row>
    <row r="47" spans="1:42" x14ac:dyDescent="0.3">
      <c r="A47" t="s">
        <v>41</v>
      </c>
      <c r="B47" t="s">
        <v>56</v>
      </c>
      <c r="C47" s="4" t="s">
        <v>44</v>
      </c>
      <c r="D47" s="1">
        <v>20159</v>
      </c>
      <c r="E47">
        <v>35</v>
      </c>
      <c r="F47">
        <v>17</v>
      </c>
      <c r="G47" s="1">
        <v>2283</v>
      </c>
      <c r="H47">
        <v>1</v>
      </c>
      <c r="I47">
        <v>0</v>
      </c>
      <c r="J47">
        <v>96</v>
      </c>
      <c r="K47">
        <v>4</v>
      </c>
      <c r="L47">
        <v>0</v>
      </c>
      <c r="M47" s="1">
        <v>1045</v>
      </c>
      <c r="N47">
        <v>0</v>
      </c>
      <c r="O47">
        <v>283</v>
      </c>
      <c r="P47">
        <v>0</v>
      </c>
      <c r="Q47">
        <v>0</v>
      </c>
      <c r="R47">
        <v>0</v>
      </c>
      <c r="S47">
        <v>11</v>
      </c>
      <c r="T47">
        <v>0</v>
      </c>
      <c r="U47">
        <v>90</v>
      </c>
      <c r="V47">
        <v>4</v>
      </c>
      <c r="W47">
        <v>5</v>
      </c>
      <c r="X47">
        <v>4</v>
      </c>
      <c r="Y47">
        <v>0</v>
      </c>
      <c r="Z47">
        <v>0</v>
      </c>
      <c r="AA47">
        <v>8</v>
      </c>
      <c r="AB47">
        <v>66</v>
      </c>
      <c r="AC47">
        <v>1</v>
      </c>
      <c r="AD47">
        <v>2</v>
      </c>
      <c r="AE47">
        <v>0</v>
      </c>
      <c r="AF47" s="1">
        <v>1873</v>
      </c>
      <c r="AG47">
        <v>379</v>
      </c>
      <c r="AH47" s="1">
        <v>1654</v>
      </c>
      <c r="AI47" s="1">
        <v>7509</v>
      </c>
      <c r="AJ47">
        <v>374</v>
      </c>
      <c r="AK47">
        <v>640</v>
      </c>
      <c r="AL47" s="1">
        <v>2015</v>
      </c>
      <c r="AM47" s="1">
        <v>0</v>
      </c>
      <c r="AN47" s="1">
        <v>1640</v>
      </c>
      <c r="AO47" s="1">
        <v>0</v>
      </c>
      <c r="AP47" s="1">
        <v>120</v>
      </c>
    </row>
    <row r="48" spans="1:42" x14ac:dyDescent="0.3">
      <c r="A48" t="s">
        <v>41</v>
      </c>
      <c r="B48" t="s">
        <v>57</v>
      </c>
      <c r="C48" s="4" t="s">
        <v>40</v>
      </c>
      <c r="D48" s="1">
        <v>41651</v>
      </c>
      <c r="E48">
        <v>4</v>
      </c>
      <c r="F48">
        <v>2</v>
      </c>
      <c r="G48">
        <v>4</v>
      </c>
      <c r="H48" s="1">
        <v>24149</v>
      </c>
      <c r="I48">
        <v>0</v>
      </c>
      <c r="J48">
        <v>7</v>
      </c>
      <c r="K48">
        <v>46</v>
      </c>
      <c r="L48">
        <v>4</v>
      </c>
      <c r="M48" s="1">
        <v>1043</v>
      </c>
      <c r="N48">
        <v>0</v>
      </c>
      <c r="O48">
        <v>497</v>
      </c>
      <c r="P48">
        <v>2</v>
      </c>
      <c r="Q48">
        <v>13</v>
      </c>
      <c r="R48">
        <v>31</v>
      </c>
      <c r="S48">
        <v>107</v>
      </c>
      <c r="T48">
        <v>19</v>
      </c>
      <c r="U48">
        <v>149</v>
      </c>
      <c r="V48">
        <v>6</v>
      </c>
      <c r="W48">
        <v>6</v>
      </c>
      <c r="X48">
        <v>35</v>
      </c>
      <c r="Y48">
        <v>6</v>
      </c>
      <c r="Z48">
        <v>12</v>
      </c>
      <c r="AA48">
        <v>41</v>
      </c>
      <c r="AB48">
        <v>368</v>
      </c>
      <c r="AC48">
        <v>0</v>
      </c>
      <c r="AD48">
        <v>0</v>
      </c>
      <c r="AE48">
        <v>0</v>
      </c>
      <c r="AF48">
        <v>387</v>
      </c>
      <c r="AG48" s="1">
        <v>2354</v>
      </c>
      <c r="AH48">
        <v>110</v>
      </c>
      <c r="AI48">
        <v>84</v>
      </c>
      <c r="AJ48" s="1">
        <v>10008</v>
      </c>
      <c r="AK48" s="1">
        <v>1675</v>
      </c>
      <c r="AL48">
        <v>3</v>
      </c>
      <c r="AM48">
        <v>394</v>
      </c>
      <c r="AN48" s="1">
        <v>0</v>
      </c>
      <c r="AO48">
        <v>4</v>
      </c>
      <c r="AP48" s="1">
        <v>81</v>
      </c>
    </row>
    <row r="49" spans="1:42" x14ac:dyDescent="0.3">
      <c r="A49" t="s">
        <v>41</v>
      </c>
      <c r="B49" t="s">
        <v>57</v>
      </c>
      <c r="C49" s="4" t="s">
        <v>43</v>
      </c>
      <c r="D49" s="1">
        <v>16605</v>
      </c>
      <c r="E49">
        <v>2</v>
      </c>
      <c r="F49">
        <v>0</v>
      </c>
      <c r="G49">
        <v>2</v>
      </c>
      <c r="H49" s="1">
        <v>8805</v>
      </c>
      <c r="I49">
        <v>0</v>
      </c>
      <c r="J49">
        <v>3</v>
      </c>
      <c r="K49">
        <v>36</v>
      </c>
      <c r="L49">
        <v>1</v>
      </c>
      <c r="M49">
        <v>127</v>
      </c>
      <c r="N49">
        <v>0</v>
      </c>
      <c r="O49">
        <v>64</v>
      </c>
      <c r="P49">
        <v>1</v>
      </c>
      <c r="Q49">
        <v>3</v>
      </c>
      <c r="R49">
        <v>26</v>
      </c>
      <c r="S49">
        <v>62</v>
      </c>
      <c r="T49">
        <v>18</v>
      </c>
      <c r="U49">
        <v>18</v>
      </c>
      <c r="V49">
        <v>2</v>
      </c>
      <c r="W49">
        <v>2</v>
      </c>
      <c r="X49">
        <v>26</v>
      </c>
      <c r="Y49">
        <v>6</v>
      </c>
      <c r="Z49">
        <v>11</v>
      </c>
      <c r="AA49">
        <v>15</v>
      </c>
      <c r="AB49">
        <v>65</v>
      </c>
      <c r="AC49">
        <v>0</v>
      </c>
      <c r="AD49">
        <v>0</v>
      </c>
      <c r="AE49">
        <v>0</v>
      </c>
      <c r="AF49">
        <v>198</v>
      </c>
      <c r="AG49" s="1">
        <v>1233</v>
      </c>
      <c r="AH49">
        <v>39</v>
      </c>
      <c r="AI49">
        <v>25</v>
      </c>
      <c r="AJ49" s="1">
        <v>5552</v>
      </c>
      <c r="AK49">
        <v>184</v>
      </c>
      <c r="AL49">
        <v>3</v>
      </c>
      <c r="AM49">
        <v>37</v>
      </c>
      <c r="AN49" s="1">
        <v>0</v>
      </c>
      <c r="AO49">
        <v>2</v>
      </c>
      <c r="AP49" s="1">
        <v>37</v>
      </c>
    </row>
    <row r="50" spans="1:42" x14ac:dyDescent="0.3">
      <c r="A50" t="s">
        <v>41</v>
      </c>
      <c r="B50" t="s">
        <v>57</v>
      </c>
      <c r="C50" s="4" t="s">
        <v>44</v>
      </c>
      <c r="D50" s="1">
        <v>25046</v>
      </c>
      <c r="E50">
        <v>2</v>
      </c>
      <c r="F50">
        <v>2</v>
      </c>
      <c r="G50">
        <v>2</v>
      </c>
      <c r="H50" s="1">
        <v>15344</v>
      </c>
      <c r="I50">
        <v>0</v>
      </c>
      <c r="J50">
        <v>4</v>
      </c>
      <c r="K50">
        <v>10</v>
      </c>
      <c r="L50">
        <v>3</v>
      </c>
      <c r="M50">
        <v>916</v>
      </c>
      <c r="N50">
        <v>0</v>
      </c>
      <c r="O50">
        <v>433</v>
      </c>
      <c r="P50">
        <v>1</v>
      </c>
      <c r="Q50">
        <v>10</v>
      </c>
      <c r="R50">
        <v>5</v>
      </c>
      <c r="S50">
        <v>45</v>
      </c>
      <c r="T50">
        <v>1</v>
      </c>
      <c r="U50">
        <v>131</v>
      </c>
      <c r="V50">
        <v>4</v>
      </c>
      <c r="W50">
        <v>4</v>
      </c>
      <c r="X50">
        <v>9</v>
      </c>
      <c r="Y50">
        <v>0</v>
      </c>
      <c r="Z50">
        <v>1</v>
      </c>
      <c r="AA50">
        <v>26</v>
      </c>
      <c r="AB50">
        <v>303</v>
      </c>
      <c r="AC50">
        <v>0</v>
      </c>
      <c r="AD50">
        <v>0</v>
      </c>
      <c r="AE50">
        <v>0</v>
      </c>
      <c r="AF50">
        <v>189</v>
      </c>
      <c r="AG50" s="1">
        <v>1121</v>
      </c>
      <c r="AH50">
        <v>71</v>
      </c>
      <c r="AI50">
        <v>59</v>
      </c>
      <c r="AJ50" s="1">
        <v>4456</v>
      </c>
      <c r="AK50" s="1">
        <v>1491</v>
      </c>
      <c r="AL50" s="1">
        <v>0</v>
      </c>
      <c r="AM50">
        <v>357</v>
      </c>
      <c r="AN50" s="1">
        <v>0</v>
      </c>
      <c r="AO50">
        <v>2</v>
      </c>
      <c r="AP50" s="1">
        <v>44</v>
      </c>
    </row>
    <row r="51" spans="1:42" x14ac:dyDescent="0.3">
      <c r="A51" t="s">
        <v>41</v>
      </c>
      <c r="B51" t="s">
        <v>58</v>
      </c>
      <c r="C51" s="4" t="s">
        <v>40</v>
      </c>
      <c r="D51" s="1">
        <v>38697</v>
      </c>
      <c r="E51">
        <v>12</v>
      </c>
      <c r="F51">
        <v>27</v>
      </c>
      <c r="G51">
        <v>0</v>
      </c>
      <c r="H51">
        <v>219</v>
      </c>
      <c r="I51">
        <v>0</v>
      </c>
      <c r="J51">
        <v>852</v>
      </c>
      <c r="K51">
        <v>36</v>
      </c>
      <c r="L51">
        <v>0</v>
      </c>
      <c r="M51" s="1">
        <v>1054</v>
      </c>
      <c r="N51">
        <v>27</v>
      </c>
      <c r="O51">
        <v>580</v>
      </c>
      <c r="P51">
        <v>0</v>
      </c>
      <c r="Q51">
        <v>71</v>
      </c>
      <c r="R51">
        <v>3</v>
      </c>
      <c r="S51">
        <v>21</v>
      </c>
      <c r="T51">
        <v>4</v>
      </c>
      <c r="U51">
        <v>176</v>
      </c>
      <c r="V51">
        <v>1</v>
      </c>
      <c r="W51">
        <v>0</v>
      </c>
      <c r="X51">
        <v>27</v>
      </c>
      <c r="Y51">
        <v>1</v>
      </c>
      <c r="Z51">
        <v>0</v>
      </c>
      <c r="AA51">
        <v>2</v>
      </c>
      <c r="AB51" s="1">
        <v>6509</v>
      </c>
      <c r="AC51">
        <v>12</v>
      </c>
      <c r="AD51" s="1">
        <v>23106</v>
      </c>
      <c r="AE51">
        <v>17</v>
      </c>
      <c r="AF51">
        <v>147</v>
      </c>
      <c r="AG51">
        <v>414</v>
      </c>
      <c r="AH51" s="1">
        <v>3422</v>
      </c>
      <c r="AI51">
        <v>0</v>
      </c>
      <c r="AJ51">
        <v>87</v>
      </c>
      <c r="AK51">
        <v>377</v>
      </c>
      <c r="AL51">
        <v>836</v>
      </c>
      <c r="AM51">
        <v>0</v>
      </c>
      <c r="AN51" s="1">
        <v>0</v>
      </c>
      <c r="AO51">
        <v>0</v>
      </c>
      <c r="AP51" s="1">
        <v>657</v>
      </c>
    </row>
    <row r="52" spans="1:42" x14ac:dyDescent="0.3">
      <c r="A52" t="s">
        <v>41</v>
      </c>
      <c r="B52" t="s">
        <v>58</v>
      </c>
      <c r="C52" s="4" t="s">
        <v>43</v>
      </c>
      <c r="D52" s="1">
        <v>33752</v>
      </c>
      <c r="E52">
        <v>7</v>
      </c>
      <c r="F52">
        <v>19</v>
      </c>
      <c r="G52">
        <v>0</v>
      </c>
      <c r="H52">
        <v>217</v>
      </c>
      <c r="I52">
        <v>0</v>
      </c>
      <c r="J52">
        <v>644</v>
      </c>
      <c r="K52">
        <v>36</v>
      </c>
      <c r="L52">
        <v>0</v>
      </c>
      <c r="M52">
        <v>369</v>
      </c>
      <c r="N52">
        <v>22</v>
      </c>
      <c r="O52">
        <v>251</v>
      </c>
      <c r="P52">
        <v>0</v>
      </c>
      <c r="Q52">
        <v>67</v>
      </c>
      <c r="R52">
        <v>2</v>
      </c>
      <c r="S52">
        <v>18</v>
      </c>
      <c r="T52">
        <v>4</v>
      </c>
      <c r="U52">
        <v>131</v>
      </c>
      <c r="V52">
        <v>0</v>
      </c>
      <c r="W52">
        <v>0</v>
      </c>
      <c r="X52">
        <v>21</v>
      </c>
      <c r="Y52">
        <v>1</v>
      </c>
      <c r="Z52">
        <v>0</v>
      </c>
      <c r="AA52">
        <v>2</v>
      </c>
      <c r="AB52" s="1">
        <v>6454</v>
      </c>
      <c r="AC52">
        <v>8</v>
      </c>
      <c r="AD52" s="1">
        <v>22721</v>
      </c>
      <c r="AE52">
        <v>17</v>
      </c>
      <c r="AF52">
        <v>61</v>
      </c>
      <c r="AG52">
        <v>323</v>
      </c>
      <c r="AH52">
        <v>654</v>
      </c>
      <c r="AI52">
        <v>0</v>
      </c>
      <c r="AJ52">
        <v>72</v>
      </c>
      <c r="AK52">
        <v>298</v>
      </c>
      <c r="AL52">
        <v>718</v>
      </c>
      <c r="AM52">
        <v>0</v>
      </c>
      <c r="AN52" s="1">
        <v>0</v>
      </c>
      <c r="AO52">
        <v>0</v>
      </c>
      <c r="AP52" s="1">
        <v>615</v>
      </c>
    </row>
    <row r="53" spans="1:42" x14ac:dyDescent="0.3">
      <c r="A53" t="s">
        <v>41</v>
      </c>
      <c r="B53" t="s">
        <v>58</v>
      </c>
      <c r="C53" s="4" t="s">
        <v>44</v>
      </c>
      <c r="D53" s="1">
        <v>4945</v>
      </c>
      <c r="E53">
        <v>5</v>
      </c>
      <c r="F53">
        <v>8</v>
      </c>
      <c r="G53">
        <v>0</v>
      </c>
      <c r="H53">
        <v>2</v>
      </c>
      <c r="I53">
        <v>0</v>
      </c>
      <c r="J53">
        <v>208</v>
      </c>
      <c r="K53">
        <v>0</v>
      </c>
      <c r="L53">
        <v>0</v>
      </c>
      <c r="M53">
        <v>685</v>
      </c>
      <c r="N53">
        <v>5</v>
      </c>
      <c r="O53">
        <v>329</v>
      </c>
      <c r="P53">
        <v>0</v>
      </c>
      <c r="Q53">
        <v>4</v>
      </c>
      <c r="R53">
        <v>1</v>
      </c>
      <c r="S53">
        <v>3</v>
      </c>
      <c r="T53">
        <v>0</v>
      </c>
      <c r="U53">
        <v>45</v>
      </c>
      <c r="V53">
        <v>1</v>
      </c>
      <c r="W53">
        <v>0</v>
      </c>
      <c r="X53">
        <v>6</v>
      </c>
      <c r="Y53">
        <v>0</v>
      </c>
      <c r="Z53">
        <v>0</v>
      </c>
      <c r="AA53">
        <v>0</v>
      </c>
      <c r="AB53">
        <v>55</v>
      </c>
      <c r="AC53">
        <v>4</v>
      </c>
      <c r="AD53">
        <v>385</v>
      </c>
      <c r="AE53">
        <v>0</v>
      </c>
      <c r="AF53">
        <v>86</v>
      </c>
      <c r="AG53">
        <v>91</v>
      </c>
      <c r="AH53" s="1">
        <v>2768</v>
      </c>
      <c r="AI53">
        <v>0</v>
      </c>
      <c r="AJ53">
        <v>15</v>
      </c>
      <c r="AK53">
        <v>79</v>
      </c>
      <c r="AL53">
        <v>118</v>
      </c>
      <c r="AM53">
        <v>0</v>
      </c>
      <c r="AN53" s="1">
        <v>0</v>
      </c>
      <c r="AO53">
        <v>0</v>
      </c>
      <c r="AP53" s="1">
        <v>42</v>
      </c>
    </row>
    <row r="54" spans="1:42" x14ac:dyDescent="0.3">
      <c r="A54" t="s">
        <v>41</v>
      </c>
      <c r="B54" t="s">
        <v>59</v>
      </c>
      <c r="C54" s="4" t="s">
        <v>40</v>
      </c>
      <c r="D54" s="1">
        <v>35913</v>
      </c>
      <c r="E54">
        <v>36</v>
      </c>
      <c r="F54">
        <v>71</v>
      </c>
      <c r="G54" s="1">
        <v>2449</v>
      </c>
      <c r="H54">
        <v>23</v>
      </c>
      <c r="I54">
        <v>0</v>
      </c>
      <c r="J54">
        <v>500</v>
      </c>
      <c r="K54">
        <v>1</v>
      </c>
      <c r="L54">
        <v>0</v>
      </c>
      <c r="M54" s="1">
        <v>3692</v>
      </c>
      <c r="N54">
        <v>156</v>
      </c>
      <c r="O54">
        <v>709</v>
      </c>
      <c r="P54">
        <v>0</v>
      </c>
      <c r="Q54">
        <v>41</v>
      </c>
      <c r="R54">
        <v>7</v>
      </c>
      <c r="S54">
        <v>50</v>
      </c>
      <c r="T54">
        <v>8</v>
      </c>
      <c r="U54">
        <v>294</v>
      </c>
      <c r="V54">
        <v>15</v>
      </c>
      <c r="W54">
        <v>0</v>
      </c>
      <c r="X54">
        <v>89</v>
      </c>
      <c r="Y54">
        <v>0</v>
      </c>
      <c r="Z54">
        <v>0</v>
      </c>
      <c r="AA54">
        <v>1</v>
      </c>
      <c r="AB54" s="1">
        <v>4979</v>
      </c>
      <c r="AC54">
        <v>36</v>
      </c>
      <c r="AD54" s="1">
        <v>13555</v>
      </c>
      <c r="AE54">
        <v>0</v>
      </c>
      <c r="AF54">
        <v>366</v>
      </c>
      <c r="AG54" s="1">
        <v>1254</v>
      </c>
      <c r="AH54" s="1">
        <v>5064</v>
      </c>
      <c r="AI54" s="1">
        <v>0</v>
      </c>
      <c r="AJ54">
        <v>292</v>
      </c>
      <c r="AK54">
        <v>343</v>
      </c>
      <c r="AL54" s="1">
        <v>1060</v>
      </c>
      <c r="AM54" s="1">
        <v>0</v>
      </c>
      <c r="AN54" s="1">
        <v>0</v>
      </c>
      <c r="AO54" s="1">
        <v>0</v>
      </c>
      <c r="AP54" s="1">
        <v>822</v>
      </c>
    </row>
    <row r="55" spans="1:42" x14ac:dyDescent="0.3">
      <c r="A55" t="s">
        <v>41</v>
      </c>
      <c r="B55" t="s">
        <v>59</v>
      </c>
      <c r="C55" s="4" t="s">
        <v>43</v>
      </c>
      <c r="D55" s="1">
        <v>29746</v>
      </c>
      <c r="E55">
        <v>20</v>
      </c>
      <c r="F55">
        <v>41</v>
      </c>
      <c r="G55" s="1">
        <v>2428</v>
      </c>
      <c r="H55">
        <v>22</v>
      </c>
      <c r="I55">
        <v>0</v>
      </c>
      <c r="J55">
        <v>320</v>
      </c>
      <c r="K55">
        <v>1</v>
      </c>
      <c r="L55">
        <v>0</v>
      </c>
      <c r="M55" s="1">
        <v>2855</v>
      </c>
      <c r="N55">
        <v>155</v>
      </c>
      <c r="O55">
        <v>572</v>
      </c>
      <c r="P55">
        <v>0</v>
      </c>
      <c r="Q55">
        <v>40</v>
      </c>
      <c r="R55">
        <v>6</v>
      </c>
      <c r="S55">
        <v>48</v>
      </c>
      <c r="T55">
        <v>8</v>
      </c>
      <c r="U55">
        <v>230</v>
      </c>
      <c r="V55">
        <v>13</v>
      </c>
      <c r="W55">
        <v>0</v>
      </c>
      <c r="X55">
        <v>69</v>
      </c>
      <c r="Y55">
        <v>0</v>
      </c>
      <c r="Z55">
        <v>0</v>
      </c>
      <c r="AA55">
        <v>1</v>
      </c>
      <c r="AB55" s="1">
        <v>4950</v>
      </c>
      <c r="AC55">
        <v>32</v>
      </c>
      <c r="AD55" s="1">
        <v>13442</v>
      </c>
      <c r="AE55">
        <v>0</v>
      </c>
      <c r="AF55">
        <v>117</v>
      </c>
      <c r="AG55">
        <v>926</v>
      </c>
      <c r="AH55" s="1">
        <v>1297</v>
      </c>
      <c r="AI55">
        <v>0</v>
      </c>
      <c r="AJ55">
        <v>231</v>
      </c>
      <c r="AK55">
        <v>198</v>
      </c>
      <c r="AL55">
        <v>933</v>
      </c>
      <c r="AM55">
        <v>0</v>
      </c>
      <c r="AN55" s="1">
        <v>0</v>
      </c>
      <c r="AO55">
        <v>0</v>
      </c>
      <c r="AP55" s="1">
        <v>791</v>
      </c>
    </row>
    <row r="56" spans="1:42" x14ac:dyDescent="0.3">
      <c r="A56" t="s">
        <v>41</v>
      </c>
      <c r="B56" t="s">
        <v>59</v>
      </c>
      <c r="C56" s="4" t="s">
        <v>44</v>
      </c>
      <c r="D56" s="1">
        <v>6167</v>
      </c>
      <c r="E56">
        <v>16</v>
      </c>
      <c r="F56">
        <v>30</v>
      </c>
      <c r="G56">
        <v>21</v>
      </c>
      <c r="H56">
        <v>1</v>
      </c>
      <c r="I56">
        <v>0</v>
      </c>
      <c r="J56">
        <v>180</v>
      </c>
      <c r="K56">
        <v>0</v>
      </c>
      <c r="L56">
        <v>0</v>
      </c>
      <c r="M56">
        <v>837</v>
      </c>
      <c r="N56">
        <v>1</v>
      </c>
      <c r="O56">
        <v>137</v>
      </c>
      <c r="P56">
        <v>0</v>
      </c>
      <c r="Q56">
        <v>1</v>
      </c>
      <c r="R56">
        <v>1</v>
      </c>
      <c r="S56">
        <v>2</v>
      </c>
      <c r="T56">
        <v>0</v>
      </c>
      <c r="U56">
        <v>64</v>
      </c>
      <c r="V56">
        <v>2</v>
      </c>
      <c r="W56">
        <v>0</v>
      </c>
      <c r="X56">
        <v>20</v>
      </c>
      <c r="Y56">
        <v>0</v>
      </c>
      <c r="Z56">
        <v>0</v>
      </c>
      <c r="AA56">
        <v>0</v>
      </c>
      <c r="AB56">
        <v>29</v>
      </c>
      <c r="AC56">
        <v>4</v>
      </c>
      <c r="AD56">
        <v>113</v>
      </c>
      <c r="AE56">
        <v>0</v>
      </c>
      <c r="AF56">
        <v>249</v>
      </c>
      <c r="AG56">
        <v>328</v>
      </c>
      <c r="AH56" s="1">
        <v>3767</v>
      </c>
      <c r="AI56">
        <v>0</v>
      </c>
      <c r="AJ56">
        <v>61</v>
      </c>
      <c r="AK56">
        <v>145</v>
      </c>
      <c r="AL56">
        <v>127</v>
      </c>
      <c r="AM56">
        <v>0</v>
      </c>
      <c r="AN56" s="1">
        <v>0</v>
      </c>
      <c r="AO56">
        <v>0</v>
      </c>
      <c r="AP56" s="1">
        <v>31</v>
      </c>
    </row>
    <row r="57" spans="1:42" x14ac:dyDescent="0.3">
      <c r="A57" t="s">
        <v>41</v>
      </c>
      <c r="B57" t="s">
        <v>60</v>
      </c>
      <c r="C57" s="4" t="s">
        <v>40</v>
      </c>
      <c r="D57" s="1">
        <v>19841</v>
      </c>
      <c r="E57">
        <v>44</v>
      </c>
      <c r="F57">
        <v>110</v>
      </c>
      <c r="G57" s="1">
        <v>1462</v>
      </c>
      <c r="H57">
        <v>14</v>
      </c>
      <c r="I57">
        <v>4</v>
      </c>
      <c r="J57">
        <v>678</v>
      </c>
      <c r="K57">
        <v>34</v>
      </c>
      <c r="L57">
        <v>1</v>
      </c>
      <c r="M57" s="1">
        <v>2122</v>
      </c>
      <c r="N57">
        <v>59</v>
      </c>
      <c r="O57">
        <v>249</v>
      </c>
      <c r="P57">
        <v>1</v>
      </c>
      <c r="Q57">
        <v>16</v>
      </c>
      <c r="R57">
        <v>4</v>
      </c>
      <c r="S57">
        <v>406</v>
      </c>
      <c r="T57">
        <v>74</v>
      </c>
      <c r="U57">
        <v>159</v>
      </c>
      <c r="V57">
        <v>67</v>
      </c>
      <c r="W57">
        <v>1</v>
      </c>
      <c r="X57">
        <v>222</v>
      </c>
      <c r="Y57">
        <v>0</v>
      </c>
      <c r="Z57">
        <v>0</v>
      </c>
      <c r="AA57">
        <v>0</v>
      </c>
      <c r="AB57" s="1">
        <v>1647</v>
      </c>
      <c r="AC57">
        <v>1</v>
      </c>
      <c r="AD57" s="1">
        <v>4373</v>
      </c>
      <c r="AE57">
        <v>0</v>
      </c>
      <c r="AF57">
        <v>207</v>
      </c>
      <c r="AG57" s="1">
        <v>1022</v>
      </c>
      <c r="AH57" s="1">
        <v>2419</v>
      </c>
      <c r="AI57" s="1">
        <v>0</v>
      </c>
      <c r="AJ57">
        <v>561</v>
      </c>
      <c r="AK57">
        <v>885</v>
      </c>
      <c r="AL57" s="1">
        <v>2226</v>
      </c>
      <c r="AM57" s="1">
        <v>0</v>
      </c>
      <c r="AN57" s="1">
        <v>0</v>
      </c>
      <c r="AO57" s="1">
        <v>0</v>
      </c>
      <c r="AP57" s="1">
        <v>773</v>
      </c>
    </row>
    <row r="58" spans="1:42" x14ac:dyDescent="0.3">
      <c r="A58" t="s">
        <v>41</v>
      </c>
      <c r="B58" t="s">
        <v>60</v>
      </c>
      <c r="C58" s="4" t="s">
        <v>43</v>
      </c>
      <c r="D58" s="1">
        <v>16156</v>
      </c>
      <c r="E58">
        <v>19</v>
      </c>
      <c r="F58">
        <v>59</v>
      </c>
      <c r="G58" s="1">
        <v>1436</v>
      </c>
      <c r="H58">
        <v>14</v>
      </c>
      <c r="I58">
        <v>4</v>
      </c>
      <c r="J58">
        <v>529</v>
      </c>
      <c r="K58">
        <v>34</v>
      </c>
      <c r="L58">
        <v>1</v>
      </c>
      <c r="M58" s="1">
        <v>1590</v>
      </c>
      <c r="N58">
        <v>59</v>
      </c>
      <c r="O58">
        <v>159</v>
      </c>
      <c r="P58">
        <v>1</v>
      </c>
      <c r="Q58">
        <v>14</v>
      </c>
      <c r="R58">
        <v>4</v>
      </c>
      <c r="S58">
        <v>399</v>
      </c>
      <c r="T58">
        <v>72</v>
      </c>
      <c r="U58">
        <v>120</v>
      </c>
      <c r="V58">
        <v>57</v>
      </c>
      <c r="W58">
        <v>1</v>
      </c>
      <c r="X58">
        <v>183</v>
      </c>
      <c r="Y58">
        <v>0</v>
      </c>
      <c r="Z58">
        <v>0</v>
      </c>
      <c r="AA58">
        <v>0</v>
      </c>
      <c r="AB58" s="1">
        <v>1630</v>
      </c>
      <c r="AC58">
        <v>1</v>
      </c>
      <c r="AD58" s="1">
        <v>4350</v>
      </c>
      <c r="AE58">
        <v>0</v>
      </c>
      <c r="AF58">
        <v>80</v>
      </c>
      <c r="AG58">
        <v>611</v>
      </c>
      <c r="AH58">
        <v>820</v>
      </c>
      <c r="AI58">
        <v>0</v>
      </c>
      <c r="AJ58">
        <v>463</v>
      </c>
      <c r="AK58">
        <v>686</v>
      </c>
      <c r="AL58" s="1">
        <v>2042</v>
      </c>
      <c r="AM58">
        <v>0</v>
      </c>
      <c r="AN58" s="1">
        <v>0</v>
      </c>
      <c r="AO58">
        <v>0</v>
      </c>
      <c r="AP58" s="1">
        <v>718</v>
      </c>
    </row>
    <row r="59" spans="1:42" x14ac:dyDescent="0.3">
      <c r="A59" t="s">
        <v>41</v>
      </c>
      <c r="B59" t="s">
        <v>60</v>
      </c>
      <c r="C59" s="4" t="s">
        <v>44</v>
      </c>
      <c r="D59" s="1">
        <v>3685</v>
      </c>
      <c r="E59">
        <v>25</v>
      </c>
      <c r="F59">
        <v>51</v>
      </c>
      <c r="G59">
        <v>26</v>
      </c>
      <c r="H59">
        <v>0</v>
      </c>
      <c r="I59">
        <v>0</v>
      </c>
      <c r="J59">
        <v>149</v>
      </c>
      <c r="K59">
        <v>0</v>
      </c>
      <c r="L59">
        <v>0</v>
      </c>
      <c r="M59">
        <v>532</v>
      </c>
      <c r="N59">
        <v>0</v>
      </c>
      <c r="O59">
        <v>90</v>
      </c>
      <c r="P59">
        <v>0</v>
      </c>
      <c r="Q59">
        <v>2</v>
      </c>
      <c r="R59">
        <v>0</v>
      </c>
      <c r="S59">
        <v>7</v>
      </c>
      <c r="T59">
        <v>2</v>
      </c>
      <c r="U59">
        <v>39</v>
      </c>
      <c r="V59">
        <v>10</v>
      </c>
      <c r="W59">
        <v>0</v>
      </c>
      <c r="X59">
        <v>39</v>
      </c>
      <c r="Y59">
        <v>0</v>
      </c>
      <c r="Z59">
        <v>0</v>
      </c>
      <c r="AA59">
        <v>0</v>
      </c>
      <c r="AB59">
        <v>17</v>
      </c>
      <c r="AC59">
        <v>0</v>
      </c>
      <c r="AD59">
        <v>23</v>
      </c>
      <c r="AE59">
        <v>0</v>
      </c>
      <c r="AF59">
        <v>127</v>
      </c>
      <c r="AG59">
        <v>411</v>
      </c>
      <c r="AH59" s="1">
        <v>1599</v>
      </c>
      <c r="AI59">
        <v>0</v>
      </c>
      <c r="AJ59">
        <v>98</v>
      </c>
      <c r="AK59">
        <v>199</v>
      </c>
      <c r="AL59">
        <v>184</v>
      </c>
      <c r="AM59">
        <v>0</v>
      </c>
      <c r="AN59" s="1">
        <v>0</v>
      </c>
      <c r="AO59">
        <v>0</v>
      </c>
      <c r="AP59" s="1">
        <v>55</v>
      </c>
    </row>
    <row r="60" spans="1:42" x14ac:dyDescent="0.3">
      <c r="A60" t="s">
        <v>41</v>
      </c>
      <c r="B60" t="s">
        <v>61</v>
      </c>
      <c r="C60" s="4" t="s">
        <v>40</v>
      </c>
      <c r="D60" s="1">
        <v>18593</v>
      </c>
      <c r="E60">
        <v>62</v>
      </c>
      <c r="F60">
        <v>148</v>
      </c>
      <c r="G60">
        <v>1</v>
      </c>
      <c r="H60">
        <v>361</v>
      </c>
      <c r="I60">
        <v>1</v>
      </c>
      <c r="J60" s="1">
        <v>2151</v>
      </c>
      <c r="K60">
        <v>76</v>
      </c>
      <c r="L60">
        <v>0</v>
      </c>
      <c r="M60" s="1">
        <v>1890</v>
      </c>
      <c r="N60">
        <v>4</v>
      </c>
      <c r="O60">
        <v>432</v>
      </c>
      <c r="P60">
        <v>3</v>
      </c>
      <c r="Q60">
        <v>58</v>
      </c>
      <c r="R60">
        <v>99</v>
      </c>
      <c r="S60">
        <v>225</v>
      </c>
      <c r="T60">
        <v>130</v>
      </c>
      <c r="U60">
        <v>161</v>
      </c>
      <c r="V60">
        <v>308</v>
      </c>
      <c r="W60">
        <v>1</v>
      </c>
      <c r="X60" s="1">
        <v>1211</v>
      </c>
      <c r="Y60">
        <v>15</v>
      </c>
      <c r="Z60">
        <v>6</v>
      </c>
      <c r="AA60">
        <v>24</v>
      </c>
      <c r="AB60" s="1">
        <v>1657</v>
      </c>
      <c r="AC60">
        <v>0</v>
      </c>
      <c r="AD60">
        <v>9</v>
      </c>
      <c r="AE60">
        <v>0</v>
      </c>
      <c r="AF60">
        <v>118</v>
      </c>
      <c r="AG60">
        <v>838</v>
      </c>
      <c r="AH60" s="1">
        <v>2410</v>
      </c>
      <c r="AI60">
        <v>1</v>
      </c>
      <c r="AJ60">
        <v>615</v>
      </c>
      <c r="AK60">
        <v>333</v>
      </c>
      <c r="AL60" s="1">
        <v>4663</v>
      </c>
      <c r="AM60">
        <v>0</v>
      </c>
      <c r="AN60" s="1">
        <v>0</v>
      </c>
      <c r="AO60">
        <v>0</v>
      </c>
      <c r="AP60" s="1">
        <v>582</v>
      </c>
    </row>
    <row r="61" spans="1:42" x14ac:dyDescent="0.3">
      <c r="A61" t="s">
        <v>41</v>
      </c>
      <c r="B61" t="s">
        <v>61</v>
      </c>
      <c r="C61" s="4" t="s">
        <v>43</v>
      </c>
      <c r="D61" s="1">
        <v>12816</v>
      </c>
      <c r="E61">
        <v>25</v>
      </c>
      <c r="F61">
        <v>84</v>
      </c>
      <c r="G61">
        <v>1</v>
      </c>
      <c r="H61">
        <v>300</v>
      </c>
      <c r="I61">
        <v>1</v>
      </c>
      <c r="J61" s="1">
        <v>1464</v>
      </c>
      <c r="K61">
        <v>70</v>
      </c>
      <c r="L61">
        <v>0</v>
      </c>
      <c r="M61">
        <v>788</v>
      </c>
      <c r="N61">
        <v>4</v>
      </c>
      <c r="O61">
        <v>207</v>
      </c>
      <c r="P61">
        <v>2</v>
      </c>
      <c r="Q61">
        <v>43</v>
      </c>
      <c r="R61">
        <v>92</v>
      </c>
      <c r="S61">
        <v>205</v>
      </c>
      <c r="T61">
        <v>126</v>
      </c>
      <c r="U61">
        <v>70</v>
      </c>
      <c r="V61">
        <v>248</v>
      </c>
      <c r="W61">
        <v>0</v>
      </c>
      <c r="X61">
        <v>978</v>
      </c>
      <c r="Y61">
        <v>14</v>
      </c>
      <c r="Z61">
        <v>6</v>
      </c>
      <c r="AA61">
        <v>14</v>
      </c>
      <c r="AB61" s="1">
        <v>1552</v>
      </c>
      <c r="AC61">
        <v>0</v>
      </c>
      <c r="AD61">
        <v>9</v>
      </c>
      <c r="AE61">
        <v>0</v>
      </c>
      <c r="AF61">
        <v>43</v>
      </c>
      <c r="AG61">
        <v>375</v>
      </c>
      <c r="AH61">
        <v>658</v>
      </c>
      <c r="AI61">
        <v>1</v>
      </c>
      <c r="AJ61">
        <v>472</v>
      </c>
      <c r="AK61">
        <v>193</v>
      </c>
      <c r="AL61" s="1">
        <v>4234</v>
      </c>
      <c r="AM61">
        <v>0</v>
      </c>
      <c r="AN61" s="1">
        <v>0</v>
      </c>
      <c r="AO61">
        <v>0</v>
      </c>
      <c r="AP61" s="1">
        <v>537</v>
      </c>
    </row>
    <row r="62" spans="1:42" x14ac:dyDescent="0.3">
      <c r="A62" t="s">
        <v>41</v>
      </c>
      <c r="B62" t="s">
        <v>61</v>
      </c>
      <c r="C62" s="4" t="s">
        <v>44</v>
      </c>
      <c r="D62" s="1">
        <v>5777</v>
      </c>
      <c r="E62">
        <v>37</v>
      </c>
      <c r="F62">
        <v>64</v>
      </c>
      <c r="G62">
        <v>0</v>
      </c>
      <c r="H62">
        <v>61</v>
      </c>
      <c r="I62">
        <v>0</v>
      </c>
      <c r="J62">
        <v>687</v>
      </c>
      <c r="K62">
        <v>6</v>
      </c>
      <c r="L62">
        <v>0</v>
      </c>
      <c r="M62" s="1">
        <v>1102</v>
      </c>
      <c r="N62">
        <v>0</v>
      </c>
      <c r="O62">
        <v>225</v>
      </c>
      <c r="P62">
        <v>1</v>
      </c>
      <c r="Q62">
        <v>15</v>
      </c>
      <c r="R62">
        <v>7</v>
      </c>
      <c r="S62">
        <v>20</v>
      </c>
      <c r="T62">
        <v>4</v>
      </c>
      <c r="U62">
        <v>91</v>
      </c>
      <c r="V62">
        <v>60</v>
      </c>
      <c r="W62">
        <v>1</v>
      </c>
      <c r="X62">
        <v>233</v>
      </c>
      <c r="Y62">
        <v>1</v>
      </c>
      <c r="Z62">
        <v>0</v>
      </c>
      <c r="AA62">
        <v>10</v>
      </c>
      <c r="AB62">
        <v>105</v>
      </c>
      <c r="AC62">
        <v>0</v>
      </c>
      <c r="AD62">
        <v>0</v>
      </c>
      <c r="AE62">
        <v>0</v>
      </c>
      <c r="AF62">
        <v>75</v>
      </c>
      <c r="AG62">
        <v>463</v>
      </c>
      <c r="AH62" s="1">
        <v>1752</v>
      </c>
      <c r="AI62">
        <v>0</v>
      </c>
      <c r="AJ62">
        <v>143</v>
      </c>
      <c r="AK62">
        <v>140</v>
      </c>
      <c r="AL62">
        <v>429</v>
      </c>
      <c r="AM62">
        <v>0</v>
      </c>
      <c r="AN62" s="1">
        <v>0</v>
      </c>
      <c r="AO62">
        <v>0</v>
      </c>
      <c r="AP62" s="1">
        <v>45</v>
      </c>
    </row>
    <row r="63" spans="1:42" x14ac:dyDescent="0.3">
      <c r="A63" t="s">
        <v>41</v>
      </c>
      <c r="B63" t="s">
        <v>62</v>
      </c>
      <c r="C63" s="4" t="s">
        <v>40</v>
      </c>
      <c r="D63" s="1">
        <v>18224</v>
      </c>
      <c r="E63">
        <v>74</v>
      </c>
      <c r="F63">
        <v>58</v>
      </c>
      <c r="G63" s="1">
        <v>12743</v>
      </c>
      <c r="H63">
        <v>9</v>
      </c>
      <c r="I63">
        <v>0</v>
      </c>
      <c r="J63">
        <v>19</v>
      </c>
      <c r="K63">
        <v>10</v>
      </c>
      <c r="L63">
        <v>0</v>
      </c>
      <c r="M63" s="1">
        <v>1079</v>
      </c>
      <c r="N63">
        <v>4</v>
      </c>
      <c r="O63">
        <v>166</v>
      </c>
      <c r="P63">
        <v>0</v>
      </c>
      <c r="Q63">
        <v>6</v>
      </c>
      <c r="R63">
        <v>2</v>
      </c>
      <c r="S63">
        <v>32</v>
      </c>
      <c r="T63">
        <v>117</v>
      </c>
      <c r="U63">
        <v>71</v>
      </c>
      <c r="V63">
        <v>10</v>
      </c>
      <c r="W63">
        <v>0</v>
      </c>
      <c r="X63">
        <v>28</v>
      </c>
      <c r="Y63">
        <v>16</v>
      </c>
      <c r="Z63">
        <v>22</v>
      </c>
      <c r="AA63">
        <v>12</v>
      </c>
      <c r="AB63">
        <v>233</v>
      </c>
      <c r="AC63">
        <v>0</v>
      </c>
      <c r="AD63">
        <v>0</v>
      </c>
      <c r="AE63">
        <v>0</v>
      </c>
      <c r="AF63">
        <v>20</v>
      </c>
      <c r="AG63">
        <v>136</v>
      </c>
      <c r="AH63">
        <v>235</v>
      </c>
      <c r="AI63">
        <v>3</v>
      </c>
      <c r="AJ63">
        <v>157</v>
      </c>
      <c r="AK63">
        <v>336</v>
      </c>
      <c r="AL63" s="1">
        <v>2568</v>
      </c>
      <c r="AM63">
        <v>0</v>
      </c>
      <c r="AN63" s="1">
        <v>0</v>
      </c>
      <c r="AO63">
        <v>0</v>
      </c>
      <c r="AP63" s="1">
        <v>58</v>
      </c>
    </row>
    <row r="64" spans="1:42" x14ac:dyDescent="0.3">
      <c r="A64" t="s">
        <v>41</v>
      </c>
      <c r="B64" t="s">
        <v>62</v>
      </c>
      <c r="C64" s="4" t="s">
        <v>43</v>
      </c>
      <c r="D64" s="1">
        <v>8962</v>
      </c>
      <c r="E64">
        <v>39</v>
      </c>
      <c r="F64">
        <v>30</v>
      </c>
      <c r="G64" s="1">
        <v>6139</v>
      </c>
      <c r="H64">
        <v>9</v>
      </c>
      <c r="I64">
        <v>0</v>
      </c>
      <c r="J64">
        <v>10</v>
      </c>
      <c r="K64">
        <v>8</v>
      </c>
      <c r="L64">
        <v>0</v>
      </c>
      <c r="M64">
        <v>366</v>
      </c>
      <c r="N64">
        <v>4</v>
      </c>
      <c r="O64">
        <v>56</v>
      </c>
      <c r="P64">
        <v>0</v>
      </c>
      <c r="Q64">
        <v>4</v>
      </c>
      <c r="R64">
        <v>2</v>
      </c>
      <c r="S64">
        <v>19</v>
      </c>
      <c r="T64">
        <v>108</v>
      </c>
      <c r="U64">
        <v>17</v>
      </c>
      <c r="V64">
        <v>2</v>
      </c>
      <c r="W64">
        <v>0</v>
      </c>
      <c r="X64">
        <v>14</v>
      </c>
      <c r="Y64">
        <v>16</v>
      </c>
      <c r="Z64">
        <v>22</v>
      </c>
      <c r="AA64">
        <v>7</v>
      </c>
      <c r="AB64">
        <v>113</v>
      </c>
      <c r="AC64">
        <v>0</v>
      </c>
      <c r="AD64">
        <v>0</v>
      </c>
      <c r="AE64">
        <v>0</v>
      </c>
      <c r="AF64">
        <v>7</v>
      </c>
      <c r="AG64">
        <v>36</v>
      </c>
      <c r="AH64">
        <v>83</v>
      </c>
      <c r="AI64">
        <v>0</v>
      </c>
      <c r="AJ64">
        <v>33</v>
      </c>
      <c r="AK64">
        <v>70</v>
      </c>
      <c r="AL64" s="1">
        <v>1712</v>
      </c>
      <c r="AM64">
        <v>0</v>
      </c>
      <c r="AN64" s="1">
        <v>0</v>
      </c>
      <c r="AO64">
        <v>0</v>
      </c>
      <c r="AP64" s="1">
        <v>36</v>
      </c>
    </row>
    <row r="65" spans="1:42" x14ac:dyDescent="0.3">
      <c r="A65" t="s">
        <v>41</v>
      </c>
      <c r="B65" t="s">
        <v>62</v>
      </c>
      <c r="C65" s="4" t="s">
        <v>44</v>
      </c>
      <c r="D65" s="1">
        <v>9262</v>
      </c>
      <c r="E65">
        <v>35</v>
      </c>
      <c r="F65">
        <v>28</v>
      </c>
      <c r="G65" s="1">
        <v>6604</v>
      </c>
      <c r="H65">
        <v>0</v>
      </c>
      <c r="I65">
        <v>0</v>
      </c>
      <c r="J65">
        <v>9</v>
      </c>
      <c r="K65">
        <v>2</v>
      </c>
      <c r="L65">
        <v>0</v>
      </c>
      <c r="M65">
        <v>713</v>
      </c>
      <c r="N65">
        <v>0</v>
      </c>
      <c r="O65">
        <v>110</v>
      </c>
      <c r="P65">
        <v>0</v>
      </c>
      <c r="Q65">
        <v>2</v>
      </c>
      <c r="R65">
        <v>0</v>
      </c>
      <c r="S65">
        <v>13</v>
      </c>
      <c r="T65">
        <v>9</v>
      </c>
      <c r="U65">
        <v>54</v>
      </c>
      <c r="V65">
        <v>8</v>
      </c>
      <c r="W65">
        <v>0</v>
      </c>
      <c r="X65">
        <v>14</v>
      </c>
      <c r="Y65">
        <v>0</v>
      </c>
      <c r="Z65">
        <v>0</v>
      </c>
      <c r="AA65">
        <v>5</v>
      </c>
      <c r="AB65">
        <v>120</v>
      </c>
      <c r="AC65">
        <v>0</v>
      </c>
      <c r="AD65">
        <v>0</v>
      </c>
      <c r="AE65">
        <v>0</v>
      </c>
      <c r="AF65">
        <v>13</v>
      </c>
      <c r="AG65">
        <v>100</v>
      </c>
      <c r="AH65">
        <v>152</v>
      </c>
      <c r="AI65">
        <v>3</v>
      </c>
      <c r="AJ65">
        <v>124</v>
      </c>
      <c r="AK65">
        <v>266</v>
      </c>
      <c r="AL65">
        <v>856</v>
      </c>
      <c r="AM65">
        <v>0</v>
      </c>
      <c r="AN65" s="1">
        <v>0</v>
      </c>
      <c r="AO65">
        <v>0</v>
      </c>
      <c r="AP65" s="1">
        <v>22</v>
      </c>
    </row>
    <row r="66" spans="1:42" x14ac:dyDescent="0.3">
      <c r="A66" t="s">
        <v>41</v>
      </c>
      <c r="B66" t="s">
        <v>63</v>
      </c>
      <c r="C66" s="4" t="s">
        <v>40</v>
      </c>
      <c r="D66" s="1">
        <v>14572</v>
      </c>
      <c r="E66">
        <v>1</v>
      </c>
      <c r="F66">
        <v>7</v>
      </c>
      <c r="G66">
        <v>8</v>
      </c>
      <c r="H66" s="1">
        <v>12212</v>
      </c>
      <c r="I66">
        <v>0</v>
      </c>
      <c r="J66">
        <v>5</v>
      </c>
      <c r="K66">
        <v>3</v>
      </c>
      <c r="L66">
        <v>0</v>
      </c>
      <c r="M66">
        <v>448</v>
      </c>
      <c r="N66">
        <v>0</v>
      </c>
      <c r="O66">
        <v>144</v>
      </c>
      <c r="P66">
        <v>1</v>
      </c>
      <c r="Q66">
        <v>7</v>
      </c>
      <c r="R66">
        <v>7</v>
      </c>
      <c r="S66">
        <v>66</v>
      </c>
      <c r="T66">
        <v>0</v>
      </c>
      <c r="U66">
        <v>88</v>
      </c>
      <c r="V66">
        <v>5</v>
      </c>
      <c r="W66">
        <v>1</v>
      </c>
      <c r="X66">
        <v>6</v>
      </c>
      <c r="Y66">
        <v>0</v>
      </c>
      <c r="Z66">
        <v>0</v>
      </c>
      <c r="AA66">
        <v>9</v>
      </c>
      <c r="AB66">
        <v>163</v>
      </c>
      <c r="AC66">
        <v>0</v>
      </c>
      <c r="AD66">
        <v>0</v>
      </c>
      <c r="AE66">
        <v>0</v>
      </c>
      <c r="AF66">
        <v>27</v>
      </c>
      <c r="AG66">
        <v>319</v>
      </c>
      <c r="AH66">
        <v>76</v>
      </c>
      <c r="AI66">
        <v>30</v>
      </c>
      <c r="AJ66">
        <v>169</v>
      </c>
      <c r="AK66">
        <v>690</v>
      </c>
      <c r="AL66">
        <v>3</v>
      </c>
      <c r="AM66">
        <v>53</v>
      </c>
      <c r="AN66" s="1">
        <v>0</v>
      </c>
      <c r="AO66">
        <v>20</v>
      </c>
      <c r="AP66" s="1">
        <v>4</v>
      </c>
    </row>
    <row r="67" spans="1:42" x14ac:dyDescent="0.3">
      <c r="A67" t="s">
        <v>41</v>
      </c>
      <c r="B67" t="s">
        <v>63</v>
      </c>
      <c r="C67" s="4" t="s">
        <v>43</v>
      </c>
      <c r="D67" s="1">
        <v>5150</v>
      </c>
      <c r="E67">
        <v>1</v>
      </c>
      <c r="F67">
        <v>1</v>
      </c>
      <c r="G67">
        <v>3</v>
      </c>
      <c r="H67" s="1">
        <v>4633</v>
      </c>
      <c r="I67">
        <v>0</v>
      </c>
      <c r="J67">
        <v>3</v>
      </c>
      <c r="K67">
        <v>2</v>
      </c>
      <c r="L67">
        <v>0</v>
      </c>
      <c r="M67">
        <v>62</v>
      </c>
      <c r="N67">
        <v>0</v>
      </c>
      <c r="O67">
        <v>20</v>
      </c>
      <c r="P67">
        <v>1</v>
      </c>
      <c r="Q67">
        <v>5</v>
      </c>
      <c r="R67">
        <v>5</v>
      </c>
      <c r="S67">
        <v>42</v>
      </c>
      <c r="T67">
        <v>0</v>
      </c>
      <c r="U67">
        <v>7</v>
      </c>
      <c r="V67">
        <v>4</v>
      </c>
      <c r="W67">
        <v>0</v>
      </c>
      <c r="X67">
        <v>4</v>
      </c>
      <c r="Y67">
        <v>0</v>
      </c>
      <c r="Z67">
        <v>0</v>
      </c>
      <c r="AA67">
        <v>7</v>
      </c>
      <c r="AB67">
        <v>46</v>
      </c>
      <c r="AC67">
        <v>0</v>
      </c>
      <c r="AD67">
        <v>0</v>
      </c>
      <c r="AE67">
        <v>0</v>
      </c>
      <c r="AF67">
        <v>8</v>
      </c>
      <c r="AG67">
        <v>99</v>
      </c>
      <c r="AH67">
        <v>27</v>
      </c>
      <c r="AI67">
        <v>11</v>
      </c>
      <c r="AJ67">
        <v>50</v>
      </c>
      <c r="AK67">
        <v>85</v>
      </c>
      <c r="AL67">
        <v>1</v>
      </c>
      <c r="AM67">
        <v>6</v>
      </c>
      <c r="AN67" s="1">
        <v>0</v>
      </c>
      <c r="AO67">
        <v>15</v>
      </c>
      <c r="AP67" s="1">
        <v>2</v>
      </c>
    </row>
    <row r="68" spans="1:42" x14ac:dyDescent="0.3">
      <c r="A68" t="s">
        <v>41</v>
      </c>
      <c r="B68" t="s">
        <v>63</v>
      </c>
      <c r="C68" s="4" t="s">
        <v>44</v>
      </c>
      <c r="D68" s="1">
        <v>9422</v>
      </c>
      <c r="E68">
        <v>0</v>
      </c>
      <c r="F68">
        <v>6</v>
      </c>
      <c r="G68">
        <v>5</v>
      </c>
      <c r="H68" s="1">
        <v>7579</v>
      </c>
      <c r="I68">
        <v>0</v>
      </c>
      <c r="J68">
        <v>2</v>
      </c>
      <c r="K68">
        <v>1</v>
      </c>
      <c r="L68">
        <v>0</v>
      </c>
      <c r="M68">
        <v>386</v>
      </c>
      <c r="N68">
        <v>0</v>
      </c>
      <c r="O68">
        <v>124</v>
      </c>
      <c r="P68">
        <v>0</v>
      </c>
      <c r="Q68">
        <v>2</v>
      </c>
      <c r="R68">
        <v>2</v>
      </c>
      <c r="S68">
        <v>24</v>
      </c>
      <c r="T68">
        <v>0</v>
      </c>
      <c r="U68">
        <v>81</v>
      </c>
      <c r="V68">
        <v>1</v>
      </c>
      <c r="W68">
        <v>1</v>
      </c>
      <c r="X68">
        <v>2</v>
      </c>
      <c r="Y68">
        <v>0</v>
      </c>
      <c r="Z68">
        <v>0</v>
      </c>
      <c r="AA68">
        <v>2</v>
      </c>
      <c r="AB68">
        <v>117</v>
      </c>
      <c r="AC68">
        <v>0</v>
      </c>
      <c r="AD68">
        <v>0</v>
      </c>
      <c r="AE68">
        <v>0</v>
      </c>
      <c r="AF68">
        <v>19</v>
      </c>
      <c r="AG68">
        <v>220</v>
      </c>
      <c r="AH68">
        <v>49</v>
      </c>
      <c r="AI68">
        <v>19</v>
      </c>
      <c r="AJ68">
        <v>119</v>
      </c>
      <c r="AK68">
        <v>605</v>
      </c>
      <c r="AL68">
        <v>2</v>
      </c>
      <c r="AM68">
        <v>47</v>
      </c>
      <c r="AN68" s="1">
        <v>0</v>
      </c>
      <c r="AO68">
        <v>5</v>
      </c>
      <c r="AP68" s="1">
        <v>2</v>
      </c>
    </row>
    <row r="69" spans="1:42" x14ac:dyDescent="0.3">
      <c r="A69" t="s">
        <v>41</v>
      </c>
      <c r="B69" t="s">
        <v>64</v>
      </c>
      <c r="C69" s="4" t="s">
        <v>40</v>
      </c>
      <c r="D69" s="1">
        <v>13566</v>
      </c>
      <c r="E69">
        <v>17</v>
      </c>
      <c r="F69">
        <v>18</v>
      </c>
      <c r="G69" s="1">
        <v>12374</v>
      </c>
      <c r="H69">
        <v>1</v>
      </c>
      <c r="I69">
        <v>0</v>
      </c>
      <c r="J69">
        <v>10</v>
      </c>
      <c r="K69">
        <v>5</v>
      </c>
      <c r="L69">
        <v>0</v>
      </c>
      <c r="M69">
        <v>247</v>
      </c>
      <c r="N69">
        <v>0</v>
      </c>
      <c r="O69">
        <v>50</v>
      </c>
      <c r="P69">
        <v>2</v>
      </c>
      <c r="Q69">
        <v>1</v>
      </c>
      <c r="R69">
        <v>10</v>
      </c>
      <c r="S69">
        <v>56</v>
      </c>
      <c r="T69">
        <v>7</v>
      </c>
      <c r="U69">
        <v>18</v>
      </c>
      <c r="V69">
        <v>6</v>
      </c>
      <c r="W69">
        <v>0</v>
      </c>
      <c r="X69">
        <v>4</v>
      </c>
      <c r="Y69">
        <v>1</v>
      </c>
      <c r="Z69">
        <v>2</v>
      </c>
      <c r="AA69">
        <v>13</v>
      </c>
      <c r="AB69">
        <v>81</v>
      </c>
      <c r="AC69">
        <v>0</v>
      </c>
      <c r="AD69">
        <v>0</v>
      </c>
      <c r="AE69">
        <v>0</v>
      </c>
      <c r="AF69">
        <v>13</v>
      </c>
      <c r="AG69">
        <v>47</v>
      </c>
      <c r="AH69">
        <v>76</v>
      </c>
      <c r="AI69">
        <v>244</v>
      </c>
      <c r="AJ69">
        <v>57</v>
      </c>
      <c r="AK69">
        <v>198</v>
      </c>
      <c r="AL69">
        <v>0</v>
      </c>
      <c r="AM69">
        <v>0</v>
      </c>
      <c r="AN69" s="1">
        <v>0</v>
      </c>
      <c r="AO69">
        <v>1</v>
      </c>
      <c r="AP69" s="1">
        <v>7</v>
      </c>
    </row>
    <row r="70" spans="1:42" x14ac:dyDescent="0.3">
      <c r="A70" t="s">
        <v>41</v>
      </c>
      <c r="B70" t="s">
        <v>64</v>
      </c>
      <c r="C70" s="4" t="s">
        <v>43</v>
      </c>
      <c r="D70" s="1">
        <v>6018</v>
      </c>
      <c r="E70">
        <v>8</v>
      </c>
      <c r="F70">
        <v>7</v>
      </c>
      <c r="G70" s="1">
        <v>5544</v>
      </c>
      <c r="H70">
        <v>1</v>
      </c>
      <c r="I70">
        <v>0</v>
      </c>
      <c r="J70">
        <v>6</v>
      </c>
      <c r="K70">
        <v>3</v>
      </c>
      <c r="L70">
        <v>0</v>
      </c>
      <c r="M70">
        <v>79</v>
      </c>
      <c r="N70">
        <v>0</v>
      </c>
      <c r="O70">
        <v>14</v>
      </c>
      <c r="P70">
        <v>0</v>
      </c>
      <c r="Q70">
        <v>0</v>
      </c>
      <c r="R70">
        <v>6</v>
      </c>
      <c r="S70">
        <v>39</v>
      </c>
      <c r="T70">
        <v>5</v>
      </c>
      <c r="U70">
        <v>2</v>
      </c>
      <c r="V70">
        <v>5</v>
      </c>
      <c r="W70">
        <v>0</v>
      </c>
      <c r="X70">
        <v>2</v>
      </c>
      <c r="Y70">
        <v>1</v>
      </c>
      <c r="Z70">
        <v>2</v>
      </c>
      <c r="AA70">
        <v>6</v>
      </c>
      <c r="AB70">
        <v>41</v>
      </c>
      <c r="AC70">
        <v>0</v>
      </c>
      <c r="AD70">
        <v>0</v>
      </c>
      <c r="AE70">
        <v>0</v>
      </c>
      <c r="AF70">
        <v>10</v>
      </c>
      <c r="AG70">
        <v>17</v>
      </c>
      <c r="AH70">
        <v>24</v>
      </c>
      <c r="AI70">
        <v>112</v>
      </c>
      <c r="AJ70">
        <v>11</v>
      </c>
      <c r="AK70">
        <v>71</v>
      </c>
      <c r="AL70">
        <v>0</v>
      </c>
      <c r="AM70">
        <v>0</v>
      </c>
      <c r="AN70" s="1">
        <v>0</v>
      </c>
      <c r="AO70">
        <v>0</v>
      </c>
      <c r="AP70" s="1">
        <v>2</v>
      </c>
    </row>
    <row r="71" spans="1:42" x14ac:dyDescent="0.3">
      <c r="A71" t="s">
        <v>41</v>
      </c>
      <c r="B71" t="s">
        <v>64</v>
      </c>
      <c r="C71" s="4" t="s">
        <v>44</v>
      </c>
      <c r="D71" s="1">
        <v>7548</v>
      </c>
      <c r="E71">
        <v>9</v>
      </c>
      <c r="F71">
        <v>11</v>
      </c>
      <c r="G71" s="1">
        <v>6830</v>
      </c>
      <c r="H71" s="1">
        <v>0</v>
      </c>
      <c r="I71" s="1">
        <v>0</v>
      </c>
      <c r="J71">
        <v>4</v>
      </c>
      <c r="K71">
        <v>2</v>
      </c>
      <c r="L71" s="1">
        <v>0</v>
      </c>
      <c r="M71">
        <v>168</v>
      </c>
      <c r="N71">
        <v>0</v>
      </c>
      <c r="O71">
        <v>36</v>
      </c>
      <c r="P71">
        <v>2</v>
      </c>
      <c r="Q71">
        <v>1</v>
      </c>
      <c r="R71">
        <v>4</v>
      </c>
      <c r="S71">
        <v>17</v>
      </c>
      <c r="T71">
        <v>2</v>
      </c>
      <c r="U71">
        <v>16</v>
      </c>
      <c r="V71">
        <v>1</v>
      </c>
      <c r="W71">
        <v>0</v>
      </c>
      <c r="X71">
        <v>2</v>
      </c>
      <c r="Y71">
        <v>0</v>
      </c>
      <c r="Z71">
        <v>0</v>
      </c>
      <c r="AA71">
        <v>7</v>
      </c>
      <c r="AB71">
        <v>40</v>
      </c>
      <c r="AC71">
        <v>0</v>
      </c>
      <c r="AD71">
        <v>0</v>
      </c>
      <c r="AE71">
        <v>0</v>
      </c>
      <c r="AF71">
        <v>3</v>
      </c>
      <c r="AG71">
        <v>30</v>
      </c>
      <c r="AH71">
        <v>52</v>
      </c>
      <c r="AI71">
        <v>132</v>
      </c>
      <c r="AJ71">
        <v>46</v>
      </c>
      <c r="AK71">
        <v>127</v>
      </c>
      <c r="AL71">
        <v>0</v>
      </c>
      <c r="AM71">
        <v>0</v>
      </c>
      <c r="AN71" s="1">
        <v>0</v>
      </c>
      <c r="AO71">
        <v>1</v>
      </c>
      <c r="AP71" s="1">
        <v>5</v>
      </c>
    </row>
    <row r="72" spans="1:42" x14ac:dyDescent="0.3">
      <c r="A72" t="s">
        <v>41</v>
      </c>
      <c r="B72" t="s">
        <v>65</v>
      </c>
      <c r="C72" s="4" t="s">
        <v>40</v>
      </c>
      <c r="D72" s="1">
        <v>13427</v>
      </c>
      <c r="E72">
        <v>16</v>
      </c>
      <c r="F72">
        <v>7</v>
      </c>
      <c r="G72" s="1">
        <v>0</v>
      </c>
      <c r="H72">
        <v>21</v>
      </c>
      <c r="I72">
        <v>0</v>
      </c>
      <c r="J72">
        <v>793</v>
      </c>
      <c r="K72">
        <v>16</v>
      </c>
      <c r="L72">
        <v>0</v>
      </c>
      <c r="M72">
        <v>144</v>
      </c>
      <c r="N72">
        <v>0</v>
      </c>
      <c r="O72">
        <v>101</v>
      </c>
      <c r="P72">
        <v>0</v>
      </c>
      <c r="Q72">
        <v>2</v>
      </c>
      <c r="R72">
        <v>2</v>
      </c>
      <c r="S72">
        <v>0</v>
      </c>
      <c r="T72">
        <v>0</v>
      </c>
      <c r="U72">
        <v>8</v>
      </c>
      <c r="V72">
        <v>0</v>
      </c>
      <c r="W72">
        <v>0</v>
      </c>
      <c r="X72">
        <v>3</v>
      </c>
      <c r="Y72">
        <v>0</v>
      </c>
      <c r="Z72">
        <v>0</v>
      </c>
      <c r="AA72">
        <v>12</v>
      </c>
      <c r="AB72">
        <v>13</v>
      </c>
      <c r="AC72" s="1">
        <v>6716</v>
      </c>
      <c r="AD72" s="1">
        <v>4203</v>
      </c>
      <c r="AE72">
        <v>0</v>
      </c>
      <c r="AF72">
        <v>187</v>
      </c>
      <c r="AG72">
        <v>18</v>
      </c>
      <c r="AH72">
        <v>14</v>
      </c>
      <c r="AI72">
        <v>0</v>
      </c>
      <c r="AJ72">
        <v>36</v>
      </c>
      <c r="AK72" s="1">
        <v>1103</v>
      </c>
      <c r="AL72">
        <v>6</v>
      </c>
      <c r="AM72">
        <v>0</v>
      </c>
      <c r="AN72" s="1">
        <v>0</v>
      </c>
      <c r="AO72">
        <v>0</v>
      </c>
      <c r="AP72" s="1">
        <v>6</v>
      </c>
    </row>
    <row r="73" spans="1:42" x14ac:dyDescent="0.3">
      <c r="A73" t="s">
        <v>41</v>
      </c>
      <c r="B73" t="s">
        <v>65</v>
      </c>
      <c r="C73" s="4" t="s">
        <v>43</v>
      </c>
      <c r="D73" s="1">
        <v>7723</v>
      </c>
      <c r="E73">
        <v>10</v>
      </c>
      <c r="F73">
        <v>5</v>
      </c>
      <c r="G73" s="1">
        <v>0</v>
      </c>
      <c r="H73">
        <v>12</v>
      </c>
      <c r="I73">
        <v>0</v>
      </c>
      <c r="J73">
        <v>280</v>
      </c>
      <c r="K73">
        <v>12</v>
      </c>
      <c r="L73">
        <v>0</v>
      </c>
      <c r="M73">
        <v>63</v>
      </c>
      <c r="N73">
        <v>0</v>
      </c>
      <c r="O73">
        <v>45</v>
      </c>
      <c r="P73">
        <v>0</v>
      </c>
      <c r="Q73">
        <v>2</v>
      </c>
      <c r="R73">
        <v>1</v>
      </c>
      <c r="S73">
        <v>0</v>
      </c>
      <c r="T73">
        <v>0</v>
      </c>
      <c r="U73">
        <v>2</v>
      </c>
      <c r="V73">
        <v>0</v>
      </c>
      <c r="W73">
        <v>0</v>
      </c>
      <c r="X73">
        <v>2</v>
      </c>
      <c r="Y73">
        <v>0</v>
      </c>
      <c r="Z73">
        <v>0</v>
      </c>
      <c r="AA73">
        <v>12</v>
      </c>
      <c r="AB73">
        <v>5</v>
      </c>
      <c r="AC73" s="1">
        <v>3525</v>
      </c>
      <c r="AD73" s="1">
        <v>3676</v>
      </c>
      <c r="AE73">
        <v>0</v>
      </c>
      <c r="AF73">
        <v>48</v>
      </c>
      <c r="AG73">
        <v>4</v>
      </c>
      <c r="AH73">
        <v>5</v>
      </c>
      <c r="AI73">
        <v>0</v>
      </c>
      <c r="AJ73">
        <v>1</v>
      </c>
      <c r="AK73">
        <v>9</v>
      </c>
      <c r="AL73">
        <v>2</v>
      </c>
      <c r="AM73">
        <v>0</v>
      </c>
      <c r="AN73" s="1">
        <v>0</v>
      </c>
      <c r="AO73">
        <v>0</v>
      </c>
      <c r="AP73" s="1">
        <v>2</v>
      </c>
    </row>
    <row r="74" spans="1:42" x14ac:dyDescent="0.3">
      <c r="A74" t="s">
        <v>41</v>
      </c>
      <c r="B74" t="s">
        <v>65</v>
      </c>
      <c r="C74" s="4" t="s">
        <v>44</v>
      </c>
      <c r="D74" s="1">
        <v>5704</v>
      </c>
      <c r="E74">
        <v>6</v>
      </c>
      <c r="F74">
        <v>2</v>
      </c>
      <c r="G74" s="1">
        <v>0</v>
      </c>
      <c r="H74">
        <v>9</v>
      </c>
      <c r="I74">
        <v>0</v>
      </c>
      <c r="J74">
        <v>513</v>
      </c>
      <c r="K74">
        <v>4</v>
      </c>
      <c r="L74">
        <v>0</v>
      </c>
      <c r="M74">
        <v>81</v>
      </c>
      <c r="N74">
        <v>0</v>
      </c>
      <c r="O74">
        <v>56</v>
      </c>
      <c r="P74">
        <v>0</v>
      </c>
      <c r="Q74">
        <v>0</v>
      </c>
      <c r="R74">
        <v>1</v>
      </c>
      <c r="S74">
        <v>0</v>
      </c>
      <c r="T74">
        <v>0</v>
      </c>
      <c r="U74">
        <v>6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8</v>
      </c>
      <c r="AC74" s="1">
        <v>3191</v>
      </c>
      <c r="AD74">
        <v>527</v>
      </c>
      <c r="AE74">
        <v>0</v>
      </c>
      <c r="AF74">
        <v>139</v>
      </c>
      <c r="AG74">
        <v>14</v>
      </c>
      <c r="AH74">
        <v>9</v>
      </c>
      <c r="AI74">
        <v>0</v>
      </c>
      <c r="AJ74">
        <v>35</v>
      </c>
      <c r="AK74" s="1">
        <v>1094</v>
      </c>
      <c r="AL74">
        <v>4</v>
      </c>
      <c r="AM74">
        <v>0</v>
      </c>
      <c r="AN74" s="1">
        <v>0</v>
      </c>
      <c r="AO74">
        <v>0</v>
      </c>
      <c r="AP74" s="1">
        <v>4</v>
      </c>
    </row>
    <row r="75" spans="1:42" x14ac:dyDescent="0.3">
      <c r="A75" t="s">
        <v>41</v>
      </c>
      <c r="B75" t="s">
        <v>66</v>
      </c>
      <c r="C75" s="4" t="s">
        <v>40</v>
      </c>
      <c r="D75" s="1">
        <v>12959</v>
      </c>
      <c r="E75">
        <v>19</v>
      </c>
      <c r="F75">
        <v>19</v>
      </c>
      <c r="G75" s="1">
        <v>0</v>
      </c>
      <c r="H75">
        <v>1</v>
      </c>
      <c r="I75">
        <v>0</v>
      </c>
      <c r="J75">
        <v>549</v>
      </c>
      <c r="K75">
        <v>2</v>
      </c>
      <c r="L75">
        <v>0</v>
      </c>
      <c r="M75" s="1">
        <v>1565</v>
      </c>
      <c r="N75">
        <v>0</v>
      </c>
      <c r="O75" s="1">
        <v>1079</v>
      </c>
      <c r="P75">
        <v>0</v>
      </c>
      <c r="Q75" s="1">
        <v>0</v>
      </c>
      <c r="R75">
        <v>0</v>
      </c>
      <c r="S75">
        <v>284</v>
      </c>
      <c r="T75">
        <v>14</v>
      </c>
      <c r="U75">
        <v>66</v>
      </c>
      <c r="V75">
        <v>0</v>
      </c>
      <c r="W75">
        <v>0</v>
      </c>
      <c r="X75">
        <v>1</v>
      </c>
      <c r="Y75">
        <v>0</v>
      </c>
      <c r="Z75">
        <v>0</v>
      </c>
      <c r="AA75">
        <v>7</v>
      </c>
      <c r="AB75">
        <v>213</v>
      </c>
      <c r="AC75">
        <v>26</v>
      </c>
      <c r="AD75" s="1">
        <v>1555</v>
      </c>
      <c r="AE75">
        <v>1</v>
      </c>
      <c r="AF75">
        <v>778</v>
      </c>
      <c r="AG75">
        <v>262</v>
      </c>
      <c r="AH75" s="1">
        <v>1328</v>
      </c>
      <c r="AI75" s="1">
        <v>2918</v>
      </c>
      <c r="AJ75">
        <v>311</v>
      </c>
      <c r="AK75">
        <v>391</v>
      </c>
      <c r="AL75">
        <v>929</v>
      </c>
      <c r="AM75">
        <v>0</v>
      </c>
      <c r="AN75">
        <v>545</v>
      </c>
      <c r="AO75">
        <v>0</v>
      </c>
      <c r="AP75" s="1">
        <v>96</v>
      </c>
    </row>
    <row r="76" spans="1:42" x14ac:dyDescent="0.3">
      <c r="A76" t="s">
        <v>41</v>
      </c>
      <c r="B76" t="s">
        <v>66</v>
      </c>
      <c r="C76" s="4" t="s">
        <v>43</v>
      </c>
      <c r="D76" s="1">
        <v>7675</v>
      </c>
      <c r="E76">
        <v>10</v>
      </c>
      <c r="F76">
        <v>10</v>
      </c>
      <c r="G76" s="1">
        <v>0</v>
      </c>
      <c r="H76">
        <v>1</v>
      </c>
      <c r="I76">
        <v>0</v>
      </c>
      <c r="J76">
        <v>375</v>
      </c>
      <c r="K76">
        <v>1</v>
      </c>
      <c r="L76">
        <v>0</v>
      </c>
      <c r="M76">
        <v>836</v>
      </c>
      <c r="N76">
        <v>0</v>
      </c>
      <c r="O76">
        <v>684</v>
      </c>
      <c r="P76">
        <v>0</v>
      </c>
      <c r="Q76">
        <v>0</v>
      </c>
      <c r="R76">
        <v>0</v>
      </c>
      <c r="S76">
        <v>268</v>
      </c>
      <c r="T76">
        <v>12</v>
      </c>
      <c r="U76">
        <v>24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175</v>
      </c>
      <c r="AC76">
        <v>21</v>
      </c>
      <c r="AD76" s="1">
        <v>1451</v>
      </c>
      <c r="AE76">
        <v>1</v>
      </c>
      <c r="AF76">
        <v>352</v>
      </c>
      <c r="AG76">
        <v>116</v>
      </c>
      <c r="AH76">
        <v>546</v>
      </c>
      <c r="AI76" s="1">
        <v>1454</v>
      </c>
      <c r="AJ76">
        <v>126</v>
      </c>
      <c r="AK76">
        <v>33</v>
      </c>
      <c r="AL76">
        <v>792</v>
      </c>
      <c r="AM76">
        <v>0</v>
      </c>
      <c r="AN76">
        <v>317</v>
      </c>
      <c r="AO76">
        <v>0</v>
      </c>
      <c r="AP76" s="1">
        <v>69</v>
      </c>
    </row>
    <row r="77" spans="1:42" x14ac:dyDescent="0.3">
      <c r="A77" t="s">
        <v>41</v>
      </c>
      <c r="B77" t="s">
        <v>66</v>
      </c>
      <c r="C77" s="4" t="s">
        <v>44</v>
      </c>
      <c r="D77" s="1">
        <v>5284</v>
      </c>
      <c r="E77">
        <v>9</v>
      </c>
      <c r="F77">
        <v>9</v>
      </c>
      <c r="G77" s="1">
        <v>0</v>
      </c>
      <c r="H77">
        <v>0</v>
      </c>
      <c r="I77">
        <v>0</v>
      </c>
      <c r="J77">
        <v>174</v>
      </c>
      <c r="K77">
        <v>1</v>
      </c>
      <c r="L77">
        <v>0</v>
      </c>
      <c r="M77">
        <v>729</v>
      </c>
      <c r="N77">
        <v>0</v>
      </c>
      <c r="O77">
        <v>395</v>
      </c>
      <c r="P77">
        <v>0</v>
      </c>
      <c r="Q77">
        <v>0</v>
      </c>
      <c r="R77">
        <v>0</v>
      </c>
      <c r="S77">
        <v>16</v>
      </c>
      <c r="T77">
        <v>2</v>
      </c>
      <c r="U77">
        <v>42</v>
      </c>
      <c r="V77">
        <v>0</v>
      </c>
      <c r="W77">
        <v>0</v>
      </c>
      <c r="X77">
        <v>1</v>
      </c>
      <c r="Y77">
        <v>0</v>
      </c>
      <c r="Z77">
        <v>0</v>
      </c>
      <c r="AA77">
        <v>6</v>
      </c>
      <c r="AB77">
        <v>38</v>
      </c>
      <c r="AC77">
        <v>5</v>
      </c>
      <c r="AD77">
        <v>104</v>
      </c>
      <c r="AE77">
        <v>0</v>
      </c>
      <c r="AF77">
        <v>426</v>
      </c>
      <c r="AG77">
        <v>146</v>
      </c>
      <c r="AH77">
        <v>782</v>
      </c>
      <c r="AI77" s="1">
        <v>1464</v>
      </c>
      <c r="AJ77">
        <v>185</v>
      </c>
      <c r="AK77">
        <v>358</v>
      </c>
      <c r="AL77">
        <v>137</v>
      </c>
      <c r="AM77">
        <v>0</v>
      </c>
      <c r="AN77">
        <v>228</v>
      </c>
      <c r="AO77">
        <v>0</v>
      </c>
      <c r="AP77" s="1">
        <v>27</v>
      </c>
    </row>
    <row r="78" spans="1:42" x14ac:dyDescent="0.3">
      <c r="A78" t="s">
        <v>41</v>
      </c>
      <c r="B78" t="s">
        <v>67</v>
      </c>
      <c r="C78" s="4" t="s">
        <v>40</v>
      </c>
      <c r="D78" s="1">
        <v>5004</v>
      </c>
      <c r="E78">
        <v>21</v>
      </c>
      <c r="F78">
        <v>3</v>
      </c>
      <c r="G78" s="1">
        <v>0</v>
      </c>
      <c r="H78">
        <v>0</v>
      </c>
      <c r="I78">
        <v>0</v>
      </c>
      <c r="J78">
        <v>28</v>
      </c>
      <c r="K78">
        <v>0</v>
      </c>
      <c r="L78">
        <v>0</v>
      </c>
      <c r="M78">
        <v>41</v>
      </c>
      <c r="N78">
        <v>0</v>
      </c>
      <c r="O78">
        <v>8</v>
      </c>
      <c r="P78">
        <v>0</v>
      </c>
      <c r="Q78">
        <v>12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151</v>
      </c>
      <c r="AC78">
        <v>0</v>
      </c>
      <c r="AD78" s="1">
        <v>4690</v>
      </c>
      <c r="AE78">
        <v>0</v>
      </c>
      <c r="AF78">
        <v>0</v>
      </c>
      <c r="AG78">
        <v>1</v>
      </c>
      <c r="AH78">
        <v>8</v>
      </c>
      <c r="AI78" s="1">
        <v>0</v>
      </c>
      <c r="AJ78">
        <v>3</v>
      </c>
      <c r="AK78">
        <v>3</v>
      </c>
      <c r="AL78">
        <v>4</v>
      </c>
      <c r="AM78">
        <v>0</v>
      </c>
      <c r="AN78">
        <v>0</v>
      </c>
      <c r="AO78">
        <v>0</v>
      </c>
      <c r="AP78" s="1">
        <v>30</v>
      </c>
    </row>
    <row r="79" spans="1:42" x14ac:dyDescent="0.3">
      <c r="A79" t="s">
        <v>41</v>
      </c>
      <c r="B79" t="s">
        <v>67</v>
      </c>
      <c r="C79" s="4" t="s">
        <v>43</v>
      </c>
      <c r="D79" s="1">
        <v>4830</v>
      </c>
      <c r="E79">
        <v>12</v>
      </c>
      <c r="F79">
        <v>2</v>
      </c>
      <c r="G79" s="1">
        <v>0</v>
      </c>
      <c r="H79">
        <v>0</v>
      </c>
      <c r="I79">
        <v>0</v>
      </c>
      <c r="J79">
        <v>8</v>
      </c>
      <c r="K79">
        <v>0</v>
      </c>
      <c r="L79">
        <v>0</v>
      </c>
      <c r="M79">
        <v>19</v>
      </c>
      <c r="N79">
        <v>0</v>
      </c>
      <c r="O79">
        <v>1</v>
      </c>
      <c r="P79">
        <v>0</v>
      </c>
      <c r="Q79">
        <v>4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150</v>
      </c>
      <c r="AC79">
        <v>0</v>
      </c>
      <c r="AD79" s="1">
        <v>4596</v>
      </c>
      <c r="AE79">
        <v>0</v>
      </c>
      <c r="AF79">
        <v>0</v>
      </c>
      <c r="AG79">
        <v>0</v>
      </c>
      <c r="AH79">
        <v>0</v>
      </c>
      <c r="AI79" s="1">
        <v>0</v>
      </c>
      <c r="AJ79">
        <v>2</v>
      </c>
      <c r="AK79">
        <v>2</v>
      </c>
      <c r="AL79">
        <v>4</v>
      </c>
      <c r="AM79">
        <v>0</v>
      </c>
      <c r="AN79">
        <v>0</v>
      </c>
      <c r="AO79">
        <v>0</v>
      </c>
      <c r="AP79" s="1">
        <v>29</v>
      </c>
    </row>
    <row r="80" spans="1:42" x14ac:dyDescent="0.3">
      <c r="A80" t="s">
        <v>41</v>
      </c>
      <c r="B80" t="s">
        <v>67</v>
      </c>
      <c r="C80" s="4" t="s">
        <v>44</v>
      </c>
      <c r="D80">
        <v>174</v>
      </c>
      <c r="E80">
        <v>9</v>
      </c>
      <c r="F80">
        <v>1</v>
      </c>
      <c r="G80" s="1">
        <v>0</v>
      </c>
      <c r="H80">
        <v>0</v>
      </c>
      <c r="I80">
        <v>0</v>
      </c>
      <c r="J80">
        <v>20</v>
      </c>
      <c r="K80">
        <v>0</v>
      </c>
      <c r="L80">
        <v>0</v>
      </c>
      <c r="M80">
        <v>22</v>
      </c>
      <c r="N80">
        <v>0</v>
      </c>
      <c r="O80">
        <v>7</v>
      </c>
      <c r="P80">
        <v>0</v>
      </c>
      <c r="Q80">
        <v>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94</v>
      </c>
      <c r="AE80">
        <v>0</v>
      </c>
      <c r="AF80">
        <v>0</v>
      </c>
      <c r="AG80">
        <v>1</v>
      </c>
      <c r="AH80">
        <v>8</v>
      </c>
      <c r="AI80" s="1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 s="1">
        <v>1</v>
      </c>
    </row>
    <row r="81" spans="1:42" x14ac:dyDescent="0.3">
      <c r="A81" t="s">
        <v>41</v>
      </c>
      <c r="B81" t="s">
        <v>68</v>
      </c>
      <c r="C81" s="4" t="s">
        <v>40</v>
      </c>
      <c r="D81" s="1">
        <v>4503</v>
      </c>
      <c r="E81">
        <v>105</v>
      </c>
      <c r="F81">
        <v>21</v>
      </c>
      <c r="G81">
        <v>954</v>
      </c>
      <c r="H81">
        <v>7</v>
      </c>
      <c r="I81">
        <v>0</v>
      </c>
      <c r="J81">
        <v>3</v>
      </c>
      <c r="K81">
        <v>5</v>
      </c>
      <c r="L81">
        <v>0</v>
      </c>
      <c r="M81">
        <v>495</v>
      </c>
      <c r="N81">
        <v>0</v>
      </c>
      <c r="O81">
        <v>302</v>
      </c>
      <c r="P81">
        <v>0</v>
      </c>
      <c r="Q81">
        <v>3</v>
      </c>
      <c r="R81">
        <v>6</v>
      </c>
      <c r="S81">
        <v>43</v>
      </c>
      <c r="T81">
        <v>23</v>
      </c>
      <c r="U81">
        <v>40</v>
      </c>
      <c r="V81">
        <v>7</v>
      </c>
      <c r="W81">
        <v>1</v>
      </c>
      <c r="X81">
        <v>9</v>
      </c>
      <c r="Y81">
        <v>0</v>
      </c>
      <c r="Z81">
        <v>0</v>
      </c>
      <c r="AA81">
        <v>23</v>
      </c>
      <c r="AB81">
        <v>92</v>
      </c>
      <c r="AC81">
        <v>0</v>
      </c>
      <c r="AD81" s="1">
        <v>0</v>
      </c>
      <c r="AE81">
        <v>0</v>
      </c>
      <c r="AF81">
        <v>23</v>
      </c>
      <c r="AG81">
        <v>144</v>
      </c>
      <c r="AH81">
        <v>144</v>
      </c>
      <c r="AI81">
        <v>8</v>
      </c>
      <c r="AJ81">
        <v>45</v>
      </c>
      <c r="AK81">
        <v>559</v>
      </c>
      <c r="AL81" s="1">
        <v>1350</v>
      </c>
      <c r="AM81">
        <v>0</v>
      </c>
      <c r="AN81">
        <v>0</v>
      </c>
      <c r="AO81">
        <v>0</v>
      </c>
      <c r="AP81" s="1">
        <v>91</v>
      </c>
    </row>
    <row r="82" spans="1:42" x14ac:dyDescent="0.3">
      <c r="A82" t="s">
        <v>41</v>
      </c>
      <c r="B82" t="s">
        <v>68</v>
      </c>
      <c r="C82" s="4" t="s">
        <v>43</v>
      </c>
      <c r="D82" s="1">
        <v>2566</v>
      </c>
      <c r="E82">
        <v>48</v>
      </c>
      <c r="F82">
        <v>11</v>
      </c>
      <c r="G82">
        <v>578</v>
      </c>
      <c r="H82">
        <v>6</v>
      </c>
      <c r="I82">
        <v>0</v>
      </c>
      <c r="J82">
        <v>1</v>
      </c>
      <c r="K82">
        <v>2</v>
      </c>
      <c r="L82">
        <v>0</v>
      </c>
      <c r="M82">
        <v>118</v>
      </c>
      <c r="N82">
        <v>0</v>
      </c>
      <c r="O82">
        <v>67</v>
      </c>
      <c r="P82">
        <v>0</v>
      </c>
      <c r="Q82">
        <v>3</v>
      </c>
      <c r="R82">
        <v>3</v>
      </c>
      <c r="S82">
        <v>41</v>
      </c>
      <c r="T82">
        <v>22</v>
      </c>
      <c r="U82">
        <v>6</v>
      </c>
      <c r="V82">
        <v>5</v>
      </c>
      <c r="W82">
        <v>0</v>
      </c>
      <c r="X82">
        <v>6</v>
      </c>
      <c r="Y82">
        <v>0</v>
      </c>
      <c r="Z82">
        <v>0</v>
      </c>
      <c r="AA82">
        <v>13</v>
      </c>
      <c r="AB82">
        <v>59</v>
      </c>
      <c r="AC82">
        <v>0</v>
      </c>
      <c r="AD82" s="1">
        <v>0</v>
      </c>
      <c r="AE82">
        <v>0</v>
      </c>
      <c r="AF82">
        <v>9</v>
      </c>
      <c r="AG82">
        <v>44</v>
      </c>
      <c r="AH82">
        <v>52</v>
      </c>
      <c r="AI82">
        <v>5</v>
      </c>
      <c r="AJ82">
        <v>24</v>
      </c>
      <c r="AK82">
        <v>176</v>
      </c>
      <c r="AL82" s="1">
        <v>1191</v>
      </c>
      <c r="AM82">
        <v>0</v>
      </c>
      <c r="AN82">
        <v>0</v>
      </c>
      <c r="AO82">
        <v>0</v>
      </c>
      <c r="AP82" s="1">
        <v>76</v>
      </c>
    </row>
    <row r="83" spans="1:42" x14ac:dyDescent="0.3">
      <c r="A83" t="s">
        <v>41</v>
      </c>
      <c r="B83" t="s">
        <v>68</v>
      </c>
      <c r="C83" s="4" t="s">
        <v>44</v>
      </c>
      <c r="D83" s="1">
        <v>1937</v>
      </c>
      <c r="E83">
        <v>57</v>
      </c>
      <c r="F83">
        <v>10</v>
      </c>
      <c r="G83">
        <v>376</v>
      </c>
      <c r="H83">
        <v>1</v>
      </c>
      <c r="I83">
        <v>0</v>
      </c>
      <c r="J83">
        <v>2</v>
      </c>
      <c r="K83">
        <v>3</v>
      </c>
      <c r="L83">
        <v>0</v>
      </c>
      <c r="M83">
        <v>377</v>
      </c>
      <c r="N83">
        <v>0</v>
      </c>
      <c r="O83">
        <v>235</v>
      </c>
      <c r="P83">
        <v>0</v>
      </c>
      <c r="Q83">
        <v>0</v>
      </c>
      <c r="R83">
        <v>3</v>
      </c>
      <c r="S83">
        <v>2</v>
      </c>
      <c r="T83">
        <v>1</v>
      </c>
      <c r="U83">
        <v>34</v>
      </c>
      <c r="V83">
        <v>2</v>
      </c>
      <c r="W83">
        <v>1</v>
      </c>
      <c r="X83">
        <v>3</v>
      </c>
      <c r="Y83">
        <v>0</v>
      </c>
      <c r="Z83">
        <v>0</v>
      </c>
      <c r="AA83">
        <v>10</v>
      </c>
      <c r="AB83">
        <v>33</v>
      </c>
      <c r="AC83">
        <v>0</v>
      </c>
      <c r="AD83" s="1">
        <v>0</v>
      </c>
      <c r="AE83">
        <v>0</v>
      </c>
      <c r="AF83">
        <v>14</v>
      </c>
      <c r="AG83">
        <v>100</v>
      </c>
      <c r="AH83">
        <v>92</v>
      </c>
      <c r="AI83">
        <v>3</v>
      </c>
      <c r="AJ83">
        <v>21</v>
      </c>
      <c r="AK83">
        <v>383</v>
      </c>
      <c r="AL83">
        <v>159</v>
      </c>
      <c r="AM83">
        <v>0</v>
      </c>
      <c r="AN83">
        <v>0</v>
      </c>
      <c r="AO83">
        <v>0</v>
      </c>
      <c r="AP83" s="1">
        <v>15</v>
      </c>
    </row>
    <row r="84" spans="1:42" x14ac:dyDescent="0.3">
      <c r="A84" t="s">
        <v>41</v>
      </c>
      <c r="B84" t="s">
        <v>69</v>
      </c>
      <c r="C84" s="4" t="s">
        <v>40</v>
      </c>
      <c r="D84" s="1">
        <v>3230</v>
      </c>
      <c r="E84">
        <v>20</v>
      </c>
      <c r="F84">
        <v>9</v>
      </c>
      <c r="G84">
        <v>0</v>
      </c>
      <c r="H84">
        <v>1</v>
      </c>
      <c r="I84">
        <v>0</v>
      </c>
      <c r="J84">
        <v>638</v>
      </c>
      <c r="K84">
        <v>1</v>
      </c>
      <c r="L84">
        <v>0</v>
      </c>
      <c r="M84">
        <v>284</v>
      </c>
      <c r="N84">
        <v>0</v>
      </c>
      <c r="O84">
        <v>140</v>
      </c>
      <c r="P84">
        <v>0</v>
      </c>
      <c r="Q84">
        <v>0</v>
      </c>
      <c r="R84">
        <v>0</v>
      </c>
      <c r="S84">
        <v>97</v>
      </c>
      <c r="T84">
        <v>16</v>
      </c>
      <c r="U84">
        <v>46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26</v>
      </c>
      <c r="AC84">
        <v>24</v>
      </c>
      <c r="AD84">
        <v>11</v>
      </c>
      <c r="AE84">
        <v>0</v>
      </c>
      <c r="AF84">
        <v>96</v>
      </c>
      <c r="AG84">
        <v>71</v>
      </c>
      <c r="AH84">
        <v>360</v>
      </c>
      <c r="AI84">
        <v>480</v>
      </c>
      <c r="AJ84">
        <v>23</v>
      </c>
      <c r="AK84">
        <v>25</v>
      </c>
      <c r="AL84">
        <v>764</v>
      </c>
      <c r="AM84">
        <v>0</v>
      </c>
      <c r="AN84">
        <v>75</v>
      </c>
      <c r="AO84">
        <v>0</v>
      </c>
      <c r="AP84" s="1">
        <v>23</v>
      </c>
    </row>
    <row r="85" spans="1:42" x14ac:dyDescent="0.3">
      <c r="A85" t="s">
        <v>41</v>
      </c>
      <c r="B85" t="s">
        <v>69</v>
      </c>
      <c r="C85" s="4" t="s">
        <v>43</v>
      </c>
      <c r="D85" s="1">
        <v>2454</v>
      </c>
      <c r="E85">
        <v>11</v>
      </c>
      <c r="F85">
        <v>5</v>
      </c>
      <c r="G85">
        <v>0</v>
      </c>
      <c r="H85">
        <v>1</v>
      </c>
      <c r="I85">
        <v>0</v>
      </c>
      <c r="J85">
        <v>601</v>
      </c>
      <c r="K85">
        <v>1</v>
      </c>
      <c r="L85">
        <v>0</v>
      </c>
      <c r="M85">
        <v>191</v>
      </c>
      <c r="N85">
        <v>0</v>
      </c>
      <c r="O85">
        <v>101</v>
      </c>
      <c r="P85">
        <v>0</v>
      </c>
      <c r="Q85">
        <v>0</v>
      </c>
      <c r="R85">
        <v>0</v>
      </c>
      <c r="S85">
        <v>92</v>
      </c>
      <c r="T85">
        <v>16</v>
      </c>
      <c r="U85">
        <v>33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20</v>
      </c>
      <c r="AC85">
        <v>24</v>
      </c>
      <c r="AD85">
        <v>9</v>
      </c>
      <c r="AE85">
        <v>0</v>
      </c>
      <c r="AF85">
        <v>51</v>
      </c>
      <c r="AG85">
        <v>36</v>
      </c>
      <c r="AH85">
        <v>132</v>
      </c>
      <c r="AI85">
        <v>299</v>
      </c>
      <c r="AJ85">
        <v>17</v>
      </c>
      <c r="AK85">
        <v>7</v>
      </c>
      <c r="AL85">
        <v>732</v>
      </c>
      <c r="AM85">
        <v>0</v>
      </c>
      <c r="AN85">
        <v>56</v>
      </c>
      <c r="AO85">
        <v>0</v>
      </c>
      <c r="AP85" s="1">
        <v>19</v>
      </c>
    </row>
    <row r="86" spans="1:42" x14ac:dyDescent="0.3">
      <c r="A86" t="s">
        <v>41</v>
      </c>
      <c r="B86" t="s">
        <v>69</v>
      </c>
      <c r="C86" s="4" t="s">
        <v>44</v>
      </c>
      <c r="D86">
        <v>776</v>
      </c>
      <c r="E86">
        <v>9</v>
      </c>
      <c r="F86">
        <v>4</v>
      </c>
      <c r="G86">
        <v>0</v>
      </c>
      <c r="H86">
        <v>0</v>
      </c>
      <c r="I86">
        <v>0</v>
      </c>
      <c r="J86">
        <v>37</v>
      </c>
      <c r="K86">
        <v>0</v>
      </c>
      <c r="L86">
        <v>0</v>
      </c>
      <c r="M86">
        <v>93</v>
      </c>
      <c r="N86">
        <v>0</v>
      </c>
      <c r="O86">
        <v>39</v>
      </c>
      <c r="P86">
        <v>0</v>
      </c>
      <c r="Q86">
        <v>0</v>
      </c>
      <c r="R86">
        <v>0</v>
      </c>
      <c r="S86">
        <v>5</v>
      </c>
      <c r="T86">
        <v>0</v>
      </c>
      <c r="U86">
        <v>13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6</v>
      </c>
      <c r="AC86">
        <v>0</v>
      </c>
      <c r="AD86">
        <v>2</v>
      </c>
      <c r="AE86">
        <v>0</v>
      </c>
      <c r="AF86">
        <v>45</v>
      </c>
      <c r="AG86">
        <v>35</v>
      </c>
      <c r="AH86">
        <v>228</v>
      </c>
      <c r="AI86">
        <v>181</v>
      </c>
      <c r="AJ86">
        <v>6</v>
      </c>
      <c r="AK86">
        <v>18</v>
      </c>
      <c r="AL86">
        <v>32</v>
      </c>
      <c r="AM86">
        <v>0</v>
      </c>
      <c r="AN86">
        <v>19</v>
      </c>
      <c r="AO86">
        <v>0</v>
      </c>
      <c r="AP86" s="1">
        <v>4</v>
      </c>
    </row>
    <row r="87" spans="1:42" x14ac:dyDescent="0.3">
      <c r="A87" t="s">
        <v>41</v>
      </c>
      <c r="B87" t="s">
        <v>70</v>
      </c>
      <c r="C87" s="4" t="s">
        <v>40</v>
      </c>
      <c r="D87" s="1">
        <v>2137</v>
      </c>
      <c r="E87">
        <v>40</v>
      </c>
      <c r="F87">
        <v>20</v>
      </c>
      <c r="G87">
        <v>4</v>
      </c>
      <c r="H87">
        <v>103</v>
      </c>
      <c r="I87">
        <v>0</v>
      </c>
      <c r="J87">
        <v>560</v>
      </c>
      <c r="K87">
        <v>1</v>
      </c>
      <c r="L87">
        <v>0</v>
      </c>
      <c r="M87">
        <v>333</v>
      </c>
      <c r="N87">
        <v>0</v>
      </c>
      <c r="O87">
        <v>124</v>
      </c>
      <c r="P87">
        <v>0</v>
      </c>
      <c r="Q87">
        <v>0</v>
      </c>
      <c r="R87">
        <v>2</v>
      </c>
      <c r="S87">
        <v>6</v>
      </c>
      <c r="T87">
        <v>4</v>
      </c>
      <c r="U87">
        <v>37</v>
      </c>
      <c r="V87">
        <v>15</v>
      </c>
      <c r="W87">
        <v>0</v>
      </c>
      <c r="X87">
        <v>120</v>
      </c>
      <c r="Y87">
        <v>0</v>
      </c>
      <c r="Z87">
        <v>0</v>
      </c>
      <c r="AA87">
        <v>10</v>
      </c>
      <c r="AB87">
        <v>42</v>
      </c>
      <c r="AC87">
        <v>0</v>
      </c>
      <c r="AD87">
        <v>27</v>
      </c>
      <c r="AE87">
        <v>0</v>
      </c>
      <c r="AF87">
        <v>22</v>
      </c>
      <c r="AG87">
        <v>154</v>
      </c>
      <c r="AH87">
        <v>121</v>
      </c>
      <c r="AI87">
        <v>8</v>
      </c>
      <c r="AJ87">
        <v>112</v>
      </c>
      <c r="AK87">
        <v>199</v>
      </c>
      <c r="AL87">
        <v>53</v>
      </c>
      <c r="AM87">
        <v>0</v>
      </c>
      <c r="AN87">
        <v>0</v>
      </c>
      <c r="AO87">
        <v>0</v>
      </c>
      <c r="AP87" s="1">
        <v>20</v>
      </c>
    </row>
    <row r="88" spans="1:42" x14ac:dyDescent="0.3">
      <c r="A88" t="s">
        <v>41</v>
      </c>
      <c r="B88" t="s">
        <v>70</v>
      </c>
      <c r="C88" s="4" t="s">
        <v>43</v>
      </c>
      <c r="D88" s="1">
        <v>1242</v>
      </c>
      <c r="E88">
        <v>21</v>
      </c>
      <c r="F88">
        <v>13</v>
      </c>
      <c r="G88">
        <v>3</v>
      </c>
      <c r="H88">
        <v>101</v>
      </c>
      <c r="I88">
        <v>0</v>
      </c>
      <c r="J88">
        <v>516</v>
      </c>
      <c r="K88">
        <v>1</v>
      </c>
      <c r="L88">
        <v>0</v>
      </c>
      <c r="M88">
        <v>97</v>
      </c>
      <c r="N88">
        <v>0</v>
      </c>
      <c r="O88">
        <v>12</v>
      </c>
      <c r="P88">
        <v>0</v>
      </c>
      <c r="Q88">
        <v>0</v>
      </c>
      <c r="R88">
        <v>2</v>
      </c>
      <c r="S88">
        <v>3</v>
      </c>
      <c r="T88">
        <v>3</v>
      </c>
      <c r="U88">
        <v>9</v>
      </c>
      <c r="V88">
        <v>11</v>
      </c>
      <c r="W88">
        <v>0</v>
      </c>
      <c r="X88">
        <v>74</v>
      </c>
      <c r="Y88">
        <v>0</v>
      </c>
      <c r="Z88">
        <v>0</v>
      </c>
      <c r="AA88">
        <v>4</v>
      </c>
      <c r="AB88">
        <v>19</v>
      </c>
      <c r="AC88">
        <v>0</v>
      </c>
      <c r="AD88">
        <v>27</v>
      </c>
      <c r="AE88">
        <v>0</v>
      </c>
      <c r="AF88">
        <v>8</v>
      </c>
      <c r="AG88">
        <v>68</v>
      </c>
      <c r="AH88">
        <v>29</v>
      </c>
      <c r="AI88">
        <v>2</v>
      </c>
      <c r="AJ88">
        <v>81</v>
      </c>
      <c r="AK88">
        <v>89</v>
      </c>
      <c r="AL88">
        <v>41</v>
      </c>
      <c r="AM88">
        <v>0</v>
      </c>
      <c r="AN88">
        <v>0</v>
      </c>
      <c r="AO88">
        <v>0</v>
      </c>
      <c r="AP88" s="1">
        <v>8</v>
      </c>
    </row>
    <row r="89" spans="1:42" x14ac:dyDescent="0.3">
      <c r="A89" t="s">
        <v>41</v>
      </c>
      <c r="B89" t="s">
        <v>70</v>
      </c>
      <c r="C89" s="4" t="s">
        <v>44</v>
      </c>
      <c r="D89">
        <v>895</v>
      </c>
      <c r="E89">
        <v>19</v>
      </c>
      <c r="F89">
        <v>7</v>
      </c>
      <c r="G89">
        <v>1</v>
      </c>
      <c r="H89">
        <v>2</v>
      </c>
      <c r="I89">
        <v>0</v>
      </c>
      <c r="J89">
        <v>44</v>
      </c>
      <c r="K89">
        <v>0</v>
      </c>
      <c r="L89">
        <v>0</v>
      </c>
      <c r="M89">
        <v>236</v>
      </c>
      <c r="N89">
        <v>0</v>
      </c>
      <c r="O89">
        <v>112</v>
      </c>
      <c r="P89">
        <v>0</v>
      </c>
      <c r="Q89">
        <v>0</v>
      </c>
      <c r="R89">
        <v>0</v>
      </c>
      <c r="S89">
        <v>3</v>
      </c>
      <c r="T89">
        <v>1</v>
      </c>
      <c r="U89">
        <v>28</v>
      </c>
      <c r="V89">
        <v>4</v>
      </c>
      <c r="W89">
        <v>0</v>
      </c>
      <c r="X89">
        <v>46</v>
      </c>
      <c r="Y89">
        <v>0</v>
      </c>
      <c r="Z89">
        <v>0</v>
      </c>
      <c r="AA89">
        <v>6</v>
      </c>
      <c r="AB89">
        <v>23</v>
      </c>
      <c r="AC89">
        <v>0</v>
      </c>
      <c r="AD89">
        <v>0</v>
      </c>
      <c r="AE89">
        <v>0</v>
      </c>
      <c r="AF89">
        <v>14</v>
      </c>
      <c r="AG89">
        <v>86</v>
      </c>
      <c r="AH89">
        <v>92</v>
      </c>
      <c r="AI89">
        <v>6</v>
      </c>
      <c r="AJ89">
        <v>31</v>
      </c>
      <c r="AK89">
        <v>110</v>
      </c>
      <c r="AL89">
        <v>12</v>
      </c>
      <c r="AM89">
        <v>0</v>
      </c>
      <c r="AN89">
        <v>0</v>
      </c>
      <c r="AO89">
        <v>0</v>
      </c>
      <c r="AP89" s="1">
        <v>12</v>
      </c>
    </row>
    <row r="90" spans="1:42" x14ac:dyDescent="0.3">
      <c r="A90" t="s">
        <v>41</v>
      </c>
      <c r="B90" t="s">
        <v>71</v>
      </c>
      <c r="C90" s="4" t="s">
        <v>40</v>
      </c>
      <c r="D90" s="1">
        <v>2003</v>
      </c>
      <c r="E90">
        <v>0</v>
      </c>
      <c r="F90">
        <v>0</v>
      </c>
      <c r="G90">
        <v>0</v>
      </c>
      <c r="H90">
        <v>27</v>
      </c>
      <c r="I90">
        <v>0</v>
      </c>
      <c r="J90">
        <v>38</v>
      </c>
      <c r="K90">
        <v>0</v>
      </c>
      <c r="L90">
        <v>0</v>
      </c>
      <c r="M90">
        <v>15</v>
      </c>
      <c r="N90">
        <v>0</v>
      </c>
      <c r="O90">
        <v>5</v>
      </c>
      <c r="P90">
        <v>0</v>
      </c>
      <c r="Q90">
        <v>0</v>
      </c>
      <c r="R90">
        <v>0</v>
      </c>
      <c r="S90">
        <v>91</v>
      </c>
      <c r="T90">
        <v>1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8</v>
      </c>
      <c r="AG90">
        <v>40</v>
      </c>
      <c r="AH90">
        <v>232</v>
      </c>
      <c r="AI90">
        <v>0</v>
      </c>
      <c r="AJ90">
        <v>29</v>
      </c>
      <c r="AK90">
        <v>23</v>
      </c>
      <c r="AL90" s="1">
        <v>1470</v>
      </c>
      <c r="AM90">
        <v>0</v>
      </c>
      <c r="AN90">
        <v>0</v>
      </c>
      <c r="AO90">
        <v>0</v>
      </c>
      <c r="AP90" s="1">
        <v>20</v>
      </c>
    </row>
    <row r="91" spans="1:42" x14ac:dyDescent="0.3">
      <c r="A91" t="s">
        <v>41</v>
      </c>
      <c r="B91" t="s">
        <v>71</v>
      </c>
      <c r="C91" s="4" t="s">
        <v>43</v>
      </c>
      <c r="D91" s="1">
        <v>1358</v>
      </c>
      <c r="E91">
        <v>0</v>
      </c>
      <c r="F91">
        <v>0</v>
      </c>
      <c r="G91">
        <v>0</v>
      </c>
      <c r="H91">
        <v>27</v>
      </c>
      <c r="I91">
        <v>0</v>
      </c>
      <c r="J91">
        <v>35</v>
      </c>
      <c r="K91">
        <v>0</v>
      </c>
      <c r="L91">
        <v>0</v>
      </c>
      <c r="M91">
        <v>9</v>
      </c>
      <c r="N91">
        <v>0</v>
      </c>
      <c r="O91">
        <v>0</v>
      </c>
      <c r="P91">
        <v>0</v>
      </c>
      <c r="Q91">
        <v>0</v>
      </c>
      <c r="R91">
        <v>0</v>
      </c>
      <c r="S91">
        <v>88</v>
      </c>
      <c r="T91">
        <v>1</v>
      </c>
      <c r="U91">
        <v>2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5</v>
      </c>
      <c r="AG91">
        <v>20</v>
      </c>
      <c r="AH91">
        <v>103</v>
      </c>
      <c r="AI91">
        <v>0</v>
      </c>
      <c r="AJ91">
        <v>18</v>
      </c>
      <c r="AK91">
        <v>21</v>
      </c>
      <c r="AL91" s="1">
        <v>1013</v>
      </c>
      <c r="AM91">
        <v>0</v>
      </c>
      <c r="AN91">
        <v>0</v>
      </c>
      <c r="AO91">
        <v>0</v>
      </c>
      <c r="AP91" s="1">
        <v>14</v>
      </c>
    </row>
    <row r="92" spans="1:42" x14ac:dyDescent="0.3">
      <c r="A92" t="s">
        <v>41</v>
      </c>
      <c r="B92" t="s">
        <v>71</v>
      </c>
      <c r="C92" s="4" t="s">
        <v>44</v>
      </c>
      <c r="D92">
        <v>645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6</v>
      </c>
      <c r="N92">
        <v>0</v>
      </c>
      <c r="O92">
        <v>5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20</v>
      </c>
      <c r="AH92">
        <v>129</v>
      </c>
      <c r="AI92">
        <v>0</v>
      </c>
      <c r="AJ92">
        <v>11</v>
      </c>
      <c r="AK92">
        <v>2</v>
      </c>
      <c r="AL92">
        <v>457</v>
      </c>
      <c r="AM92">
        <v>0</v>
      </c>
      <c r="AN92">
        <v>0</v>
      </c>
      <c r="AO92">
        <v>0</v>
      </c>
      <c r="AP92" s="1">
        <v>6</v>
      </c>
    </row>
    <row r="93" spans="1:42" x14ac:dyDescent="0.3">
      <c r="A93" t="s">
        <v>41</v>
      </c>
      <c r="B93" t="s">
        <v>72</v>
      </c>
      <c r="C93" s="4" t="s">
        <v>40</v>
      </c>
      <c r="D93" s="1">
        <v>1481</v>
      </c>
      <c r="E93">
        <v>23</v>
      </c>
      <c r="F93">
        <v>4</v>
      </c>
      <c r="G93">
        <v>0</v>
      </c>
      <c r="H93">
        <v>0</v>
      </c>
      <c r="I93">
        <v>0</v>
      </c>
      <c r="J93">
        <v>183</v>
      </c>
      <c r="K93">
        <v>0</v>
      </c>
      <c r="L93">
        <v>0</v>
      </c>
      <c r="M93">
        <v>67</v>
      </c>
      <c r="N93">
        <v>0</v>
      </c>
      <c r="O93">
        <v>35</v>
      </c>
      <c r="P93">
        <v>0</v>
      </c>
      <c r="Q93">
        <v>0</v>
      </c>
      <c r="R93">
        <v>0</v>
      </c>
      <c r="S93">
        <v>2</v>
      </c>
      <c r="T93">
        <v>0</v>
      </c>
      <c r="U93">
        <v>9</v>
      </c>
      <c r="V93">
        <v>0</v>
      </c>
      <c r="W93">
        <v>0</v>
      </c>
      <c r="X93">
        <v>1</v>
      </c>
      <c r="Y93">
        <v>0</v>
      </c>
      <c r="Z93">
        <v>0</v>
      </c>
      <c r="AA93">
        <v>2</v>
      </c>
      <c r="AB93">
        <v>6</v>
      </c>
      <c r="AC93">
        <v>0</v>
      </c>
      <c r="AD93">
        <v>0</v>
      </c>
      <c r="AE93">
        <v>0</v>
      </c>
      <c r="AF93">
        <v>65</v>
      </c>
      <c r="AG93">
        <v>18</v>
      </c>
      <c r="AH93">
        <v>142</v>
      </c>
      <c r="AI93">
        <v>597</v>
      </c>
      <c r="AJ93">
        <v>19</v>
      </c>
      <c r="AK93">
        <v>10</v>
      </c>
      <c r="AL93">
        <v>293</v>
      </c>
      <c r="AM93">
        <v>0</v>
      </c>
      <c r="AN93">
        <v>3</v>
      </c>
      <c r="AO93">
        <v>0</v>
      </c>
      <c r="AP93" s="1">
        <v>2</v>
      </c>
    </row>
    <row r="94" spans="1:42" x14ac:dyDescent="0.3">
      <c r="A94" t="s">
        <v>41</v>
      </c>
      <c r="B94" t="s">
        <v>72</v>
      </c>
      <c r="C94" s="4" t="s">
        <v>43</v>
      </c>
      <c r="D94">
        <v>875</v>
      </c>
      <c r="E94">
        <v>12</v>
      </c>
      <c r="F94">
        <v>2</v>
      </c>
      <c r="G94">
        <v>0</v>
      </c>
      <c r="H94">
        <v>0</v>
      </c>
      <c r="I94">
        <v>0</v>
      </c>
      <c r="J94">
        <v>136</v>
      </c>
      <c r="K94">
        <v>0</v>
      </c>
      <c r="L94">
        <v>0</v>
      </c>
      <c r="M94">
        <v>21</v>
      </c>
      <c r="N94">
        <v>0</v>
      </c>
      <c r="O94">
        <v>14</v>
      </c>
      <c r="P94">
        <v>0</v>
      </c>
      <c r="Q94">
        <v>0</v>
      </c>
      <c r="R94">
        <v>0</v>
      </c>
      <c r="S94">
        <v>2</v>
      </c>
      <c r="T94">
        <v>0</v>
      </c>
      <c r="U94">
        <v>3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4</v>
      </c>
      <c r="AC94">
        <v>0</v>
      </c>
      <c r="AD94">
        <v>0</v>
      </c>
      <c r="AE94">
        <v>0</v>
      </c>
      <c r="AF94">
        <v>38</v>
      </c>
      <c r="AG94">
        <v>9</v>
      </c>
      <c r="AH94">
        <v>74</v>
      </c>
      <c r="AI94">
        <v>308</v>
      </c>
      <c r="AJ94">
        <v>12</v>
      </c>
      <c r="AK94">
        <v>3</v>
      </c>
      <c r="AL94">
        <v>231</v>
      </c>
      <c r="AM94">
        <v>0</v>
      </c>
      <c r="AN94">
        <v>2</v>
      </c>
      <c r="AO94">
        <v>0</v>
      </c>
      <c r="AP94" s="1">
        <v>2</v>
      </c>
    </row>
    <row r="95" spans="1:42" x14ac:dyDescent="0.3">
      <c r="A95" t="s">
        <v>41</v>
      </c>
      <c r="B95" t="s">
        <v>72</v>
      </c>
      <c r="C95" s="4" t="s">
        <v>44</v>
      </c>
      <c r="D95">
        <v>606</v>
      </c>
      <c r="E95">
        <v>11</v>
      </c>
      <c r="F95">
        <v>2</v>
      </c>
      <c r="G95">
        <v>0</v>
      </c>
      <c r="H95">
        <v>0</v>
      </c>
      <c r="I95">
        <v>0</v>
      </c>
      <c r="J95">
        <v>47</v>
      </c>
      <c r="K95">
        <v>0</v>
      </c>
      <c r="L95">
        <v>0</v>
      </c>
      <c r="M95">
        <v>46</v>
      </c>
      <c r="N95">
        <v>0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6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27</v>
      </c>
      <c r="AG95">
        <v>9</v>
      </c>
      <c r="AH95">
        <v>68</v>
      </c>
      <c r="AI95">
        <v>289</v>
      </c>
      <c r="AJ95">
        <v>7</v>
      </c>
      <c r="AK95">
        <v>7</v>
      </c>
      <c r="AL95">
        <v>62</v>
      </c>
      <c r="AM95">
        <v>0</v>
      </c>
      <c r="AN95">
        <v>1</v>
      </c>
      <c r="AO95">
        <v>0</v>
      </c>
      <c r="AP95" s="1">
        <v>0</v>
      </c>
    </row>
    <row r="96" spans="1:42" x14ac:dyDescent="0.3">
      <c r="A96" t="s">
        <v>41</v>
      </c>
      <c r="B96" t="s">
        <v>73</v>
      </c>
      <c r="C96" s="4" t="s">
        <v>40</v>
      </c>
      <c r="D96" s="1">
        <v>1268</v>
      </c>
      <c r="E96">
        <v>4</v>
      </c>
      <c r="F96">
        <v>1</v>
      </c>
      <c r="G96">
        <v>0</v>
      </c>
      <c r="H96">
        <v>7</v>
      </c>
      <c r="I96">
        <v>0</v>
      </c>
      <c r="J96">
        <v>14</v>
      </c>
      <c r="K96">
        <v>0</v>
      </c>
      <c r="L96">
        <v>0</v>
      </c>
      <c r="M96">
        <v>19</v>
      </c>
      <c r="N96">
        <v>0</v>
      </c>
      <c r="O96">
        <v>5</v>
      </c>
      <c r="P96">
        <v>0</v>
      </c>
      <c r="Q96">
        <v>0</v>
      </c>
      <c r="R96">
        <v>0</v>
      </c>
      <c r="S96">
        <v>44</v>
      </c>
      <c r="T96">
        <v>13</v>
      </c>
      <c r="U96">
        <v>3</v>
      </c>
      <c r="V96">
        <v>1</v>
      </c>
      <c r="W96">
        <v>0</v>
      </c>
      <c r="X96">
        <v>2</v>
      </c>
      <c r="Y96">
        <v>0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16</v>
      </c>
      <c r="AG96">
        <v>78</v>
      </c>
      <c r="AH96">
        <v>168</v>
      </c>
      <c r="AI96">
        <v>0</v>
      </c>
      <c r="AJ96">
        <v>14</v>
      </c>
      <c r="AK96">
        <v>21</v>
      </c>
      <c r="AL96">
        <v>842</v>
      </c>
      <c r="AM96">
        <v>0</v>
      </c>
      <c r="AN96">
        <v>0</v>
      </c>
      <c r="AO96">
        <v>0</v>
      </c>
      <c r="AP96" s="1">
        <v>14</v>
      </c>
    </row>
    <row r="97" spans="1:42" x14ac:dyDescent="0.3">
      <c r="A97" t="s">
        <v>41</v>
      </c>
      <c r="B97" t="s">
        <v>73</v>
      </c>
      <c r="C97" s="4" t="s">
        <v>43</v>
      </c>
      <c r="D97">
        <v>956</v>
      </c>
      <c r="E97">
        <v>3</v>
      </c>
      <c r="F97">
        <v>1</v>
      </c>
      <c r="G97">
        <v>0</v>
      </c>
      <c r="H97">
        <v>6</v>
      </c>
      <c r="I97">
        <v>0</v>
      </c>
      <c r="J97">
        <v>11</v>
      </c>
      <c r="K97">
        <v>0</v>
      </c>
      <c r="L97">
        <v>0</v>
      </c>
      <c r="M97">
        <v>11</v>
      </c>
      <c r="N97">
        <v>0</v>
      </c>
      <c r="O97">
        <v>2</v>
      </c>
      <c r="P97">
        <v>0</v>
      </c>
      <c r="Q97">
        <v>0</v>
      </c>
      <c r="R97">
        <v>0</v>
      </c>
      <c r="S97">
        <v>44</v>
      </c>
      <c r="T97">
        <v>13</v>
      </c>
      <c r="U97">
        <v>1</v>
      </c>
      <c r="V97">
        <v>1</v>
      </c>
      <c r="W97">
        <v>0</v>
      </c>
      <c r="X97">
        <v>2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3</v>
      </c>
      <c r="AG97">
        <v>48</v>
      </c>
      <c r="AH97">
        <v>66</v>
      </c>
      <c r="AI97">
        <v>0</v>
      </c>
      <c r="AJ97">
        <v>12</v>
      </c>
      <c r="AK97">
        <v>17</v>
      </c>
      <c r="AL97">
        <v>701</v>
      </c>
      <c r="AM97">
        <v>0</v>
      </c>
      <c r="AN97">
        <v>0</v>
      </c>
      <c r="AO97">
        <v>0</v>
      </c>
      <c r="AP97" s="1">
        <v>12</v>
      </c>
    </row>
    <row r="98" spans="1:42" x14ac:dyDescent="0.3">
      <c r="A98" t="s">
        <v>41</v>
      </c>
      <c r="B98" t="s">
        <v>73</v>
      </c>
      <c r="C98" s="4" t="s">
        <v>44</v>
      </c>
      <c r="D98">
        <v>312</v>
      </c>
      <c r="E98">
        <v>1</v>
      </c>
      <c r="F98">
        <v>0</v>
      </c>
      <c r="G98">
        <v>0</v>
      </c>
      <c r="H98">
        <v>1</v>
      </c>
      <c r="I98">
        <v>0</v>
      </c>
      <c r="J98">
        <v>3</v>
      </c>
      <c r="K98">
        <v>0</v>
      </c>
      <c r="L98">
        <v>0</v>
      </c>
      <c r="M98">
        <v>8</v>
      </c>
      <c r="N98">
        <v>0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13</v>
      </c>
      <c r="AG98">
        <v>30</v>
      </c>
      <c r="AH98">
        <v>102</v>
      </c>
      <c r="AI98">
        <v>0</v>
      </c>
      <c r="AJ98">
        <v>2</v>
      </c>
      <c r="AK98">
        <v>4</v>
      </c>
      <c r="AL98">
        <v>141</v>
      </c>
      <c r="AM98">
        <v>0</v>
      </c>
      <c r="AN98">
        <v>0</v>
      </c>
      <c r="AO98">
        <v>0</v>
      </c>
      <c r="AP98" s="1">
        <v>2</v>
      </c>
    </row>
    <row r="99" spans="1:42" x14ac:dyDescent="0.3">
      <c r="A99" t="s">
        <v>41</v>
      </c>
      <c r="B99" t="s">
        <v>74</v>
      </c>
      <c r="C99" s="4" t="s">
        <v>40</v>
      </c>
      <c r="D99" s="1">
        <v>1210</v>
      </c>
      <c r="E99">
        <v>161</v>
      </c>
      <c r="F99">
        <v>26</v>
      </c>
      <c r="G99">
        <v>0</v>
      </c>
      <c r="H99">
        <v>310</v>
      </c>
      <c r="I99">
        <v>0</v>
      </c>
      <c r="J99">
        <v>6</v>
      </c>
      <c r="K99">
        <v>0</v>
      </c>
      <c r="L99">
        <v>0</v>
      </c>
      <c r="M99">
        <v>68</v>
      </c>
      <c r="N99">
        <v>0</v>
      </c>
      <c r="O99">
        <v>175</v>
      </c>
      <c r="P99">
        <v>0</v>
      </c>
      <c r="Q99">
        <v>0</v>
      </c>
      <c r="R99">
        <v>0</v>
      </c>
      <c r="S99">
        <v>62</v>
      </c>
      <c r="T99">
        <v>0</v>
      </c>
      <c r="U99">
        <v>3</v>
      </c>
      <c r="V99">
        <v>2</v>
      </c>
      <c r="W99">
        <v>0</v>
      </c>
      <c r="X99">
        <v>0</v>
      </c>
      <c r="Y99">
        <v>0</v>
      </c>
      <c r="Z99">
        <v>0</v>
      </c>
      <c r="AA99">
        <v>1</v>
      </c>
      <c r="AB99">
        <v>6</v>
      </c>
      <c r="AC99">
        <v>0</v>
      </c>
      <c r="AD99">
        <v>0</v>
      </c>
      <c r="AE99">
        <v>0</v>
      </c>
      <c r="AF99">
        <v>6</v>
      </c>
      <c r="AG99">
        <v>12</v>
      </c>
      <c r="AH99">
        <v>348</v>
      </c>
      <c r="AI99">
        <v>5</v>
      </c>
      <c r="AJ99">
        <v>2</v>
      </c>
      <c r="AK99">
        <v>7</v>
      </c>
      <c r="AL99">
        <v>9</v>
      </c>
      <c r="AM99">
        <v>0</v>
      </c>
      <c r="AN99">
        <v>0</v>
      </c>
      <c r="AO99">
        <v>0</v>
      </c>
      <c r="AP99" s="1">
        <v>1</v>
      </c>
    </row>
    <row r="100" spans="1:42" x14ac:dyDescent="0.3">
      <c r="A100" t="s">
        <v>41</v>
      </c>
      <c r="B100" t="s">
        <v>74</v>
      </c>
      <c r="C100" s="4" t="s">
        <v>43</v>
      </c>
      <c r="D100">
        <v>625</v>
      </c>
      <c r="E100">
        <v>89</v>
      </c>
      <c r="F100">
        <v>13</v>
      </c>
      <c r="G100">
        <v>0</v>
      </c>
      <c r="H100">
        <v>149</v>
      </c>
      <c r="I100">
        <v>0</v>
      </c>
      <c r="J100">
        <v>4</v>
      </c>
      <c r="K100">
        <v>0</v>
      </c>
      <c r="L100">
        <v>0</v>
      </c>
      <c r="M100">
        <v>32</v>
      </c>
      <c r="N100">
        <v>0</v>
      </c>
      <c r="O100">
        <v>129</v>
      </c>
      <c r="P100">
        <v>0</v>
      </c>
      <c r="Q100">
        <v>0</v>
      </c>
      <c r="R100">
        <v>0</v>
      </c>
      <c r="S100">
        <v>60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</v>
      </c>
      <c r="AC100">
        <v>0</v>
      </c>
      <c r="AD100">
        <v>0</v>
      </c>
      <c r="AE100">
        <v>0</v>
      </c>
      <c r="AF100">
        <v>2</v>
      </c>
      <c r="AG100">
        <v>7</v>
      </c>
      <c r="AH100">
        <v>121</v>
      </c>
      <c r="AI100">
        <v>1</v>
      </c>
      <c r="AJ100">
        <v>2</v>
      </c>
      <c r="AK100">
        <v>4</v>
      </c>
      <c r="AL100">
        <v>4</v>
      </c>
      <c r="AM100">
        <v>0</v>
      </c>
      <c r="AN100">
        <v>0</v>
      </c>
      <c r="AO100">
        <v>0</v>
      </c>
      <c r="AP100" s="1">
        <v>1</v>
      </c>
    </row>
    <row r="101" spans="1:42" x14ac:dyDescent="0.3">
      <c r="A101" t="s">
        <v>41</v>
      </c>
      <c r="B101" t="s">
        <v>74</v>
      </c>
      <c r="C101" s="4" t="s">
        <v>44</v>
      </c>
      <c r="D101">
        <v>585</v>
      </c>
      <c r="E101">
        <v>72</v>
      </c>
      <c r="F101">
        <v>13</v>
      </c>
      <c r="G101">
        <v>0</v>
      </c>
      <c r="H101">
        <v>161</v>
      </c>
      <c r="I101">
        <v>0</v>
      </c>
      <c r="J101">
        <v>2</v>
      </c>
      <c r="K101">
        <v>0</v>
      </c>
      <c r="L101">
        <v>0</v>
      </c>
      <c r="M101">
        <v>36</v>
      </c>
      <c r="N101">
        <v>0</v>
      </c>
      <c r="O101">
        <v>46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4</v>
      </c>
      <c r="AG101">
        <v>5</v>
      </c>
      <c r="AH101">
        <v>227</v>
      </c>
      <c r="AI101">
        <v>4</v>
      </c>
      <c r="AJ101">
        <v>0</v>
      </c>
      <c r="AK101">
        <v>3</v>
      </c>
      <c r="AL101">
        <v>5</v>
      </c>
      <c r="AM101">
        <v>0</v>
      </c>
      <c r="AN101">
        <v>0</v>
      </c>
      <c r="AO101">
        <v>0</v>
      </c>
      <c r="AP101" s="1">
        <v>0</v>
      </c>
    </row>
    <row r="102" spans="1:42" x14ac:dyDescent="0.3">
      <c r="A102" t="s">
        <v>41</v>
      </c>
      <c r="B102" t="s">
        <v>75</v>
      </c>
      <c r="C102" s="4" t="s">
        <v>40</v>
      </c>
      <c r="D102">
        <v>974</v>
      </c>
      <c r="E102">
        <v>16</v>
      </c>
      <c r="F102">
        <v>6</v>
      </c>
      <c r="G102">
        <v>0</v>
      </c>
      <c r="H102">
        <v>8</v>
      </c>
      <c r="I102">
        <v>0</v>
      </c>
      <c r="J102">
        <v>43</v>
      </c>
      <c r="K102">
        <v>0</v>
      </c>
      <c r="L102">
        <v>0</v>
      </c>
      <c r="M102">
        <v>41</v>
      </c>
      <c r="N102">
        <v>0</v>
      </c>
      <c r="O102">
        <v>8</v>
      </c>
      <c r="P102">
        <v>0</v>
      </c>
      <c r="Q102">
        <v>0</v>
      </c>
      <c r="R102">
        <v>0</v>
      </c>
      <c r="S102">
        <v>42</v>
      </c>
      <c r="T102">
        <v>1</v>
      </c>
      <c r="U102">
        <v>4</v>
      </c>
      <c r="V102">
        <v>0</v>
      </c>
      <c r="W102">
        <v>0</v>
      </c>
      <c r="X102">
        <v>3</v>
      </c>
      <c r="Y102">
        <v>0</v>
      </c>
      <c r="Z102">
        <v>0</v>
      </c>
      <c r="AA102">
        <v>0</v>
      </c>
      <c r="AB102">
        <v>4</v>
      </c>
      <c r="AC102">
        <v>0</v>
      </c>
      <c r="AD102">
        <v>0</v>
      </c>
      <c r="AE102">
        <v>0</v>
      </c>
      <c r="AF102">
        <v>18</v>
      </c>
      <c r="AG102">
        <v>479</v>
      </c>
      <c r="AH102">
        <v>86</v>
      </c>
      <c r="AI102">
        <v>0</v>
      </c>
      <c r="AJ102">
        <v>9</v>
      </c>
      <c r="AK102">
        <v>4</v>
      </c>
      <c r="AL102">
        <v>193</v>
      </c>
      <c r="AM102">
        <v>0</v>
      </c>
      <c r="AN102">
        <v>0</v>
      </c>
      <c r="AO102">
        <v>0</v>
      </c>
      <c r="AP102" s="1">
        <v>9</v>
      </c>
    </row>
    <row r="103" spans="1:42" x14ac:dyDescent="0.3">
      <c r="A103" t="s">
        <v>41</v>
      </c>
      <c r="B103" t="s">
        <v>75</v>
      </c>
      <c r="C103" s="4" t="s">
        <v>43</v>
      </c>
      <c r="D103">
        <v>604</v>
      </c>
      <c r="E103">
        <v>7</v>
      </c>
      <c r="F103">
        <v>5</v>
      </c>
      <c r="G103">
        <v>0</v>
      </c>
      <c r="H103">
        <v>7</v>
      </c>
      <c r="I103">
        <v>0</v>
      </c>
      <c r="J103">
        <v>39</v>
      </c>
      <c r="K103">
        <v>0</v>
      </c>
      <c r="L103">
        <v>0</v>
      </c>
      <c r="M103">
        <v>31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42</v>
      </c>
      <c r="T103">
        <v>1</v>
      </c>
      <c r="U103">
        <v>3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7</v>
      </c>
      <c r="AG103">
        <v>257</v>
      </c>
      <c r="AH103">
        <v>25</v>
      </c>
      <c r="AI103">
        <v>0</v>
      </c>
      <c r="AJ103">
        <v>8</v>
      </c>
      <c r="AK103">
        <v>4</v>
      </c>
      <c r="AL103">
        <v>152</v>
      </c>
      <c r="AM103">
        <v>0</v>
      </c>
      <c r="AN103">
        <v>0</v>
      </c>
      <c r="AO103">
        <v>0</v>
      </c>
      <c r="AP103" s="1">
        <v>9</v>
      </c>
    </row>
    <row r="104" spans="1:42" x14ac:dyDescent="0.3">
      <c r="A104" t="s">
        <v>41</v>
      </c>
      <c r="B104" t="s">
        <v>75</v>
      </c>
      <c r="C104" s="4" t="s">
        <v>44</v>
      </c>
      <c r="D104">
        <v>370</v>
      </c>
      <c r="E104">
        <v>9</v>
      </c>
      <c r="F104">
        <v>1</v>
      </c>
      <c r="G104">
        <v>0</v>
      </c>
      <c r="H104">
        <v>1</v>
      </c>
      <c r="I104">
        <v>0</v>
      </c>
      <c r="J104">
        <v>4</v>
      </c>
      <c r="K104">
        <v>0</v>
      </c>
      <c r="L104">
        <v>0</v>
      </c>
      <c r="M104">
        <v>10</v>
      </c>
      <c r="N104">
        <v>0</v>
      </c>
      <c r="O104">
        <v>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11</v>
      </c>
      <c r="AG104">
        <v>222</v>
      </c>
      <c r="AH104">
        <v>61</v>
      </c>
      <c r="AI104">
        <v>0</v>
      </c>
      <c r="AJ104">
        <v>1</v>
      </c>
      <c r="AK104">
        <v>0</v>
      </c>
      <c r="AL104">
        <v>41</v>
      </c>
      <c r="AM104">
        <v>0</v>
      </c>
      <c r="AN104">
        <v>0</v>
      </c>
      <c r="AO104">
        <v>0</v>
      </c>
      <c r="AP104" s="1">
        <v>0</v>
      </c>
    </row>
    <row r="105" spans="1:42" x14ac:dyDescent="0.3">
      <c r="A105" t="s">
        <v>41</v>
      </c>
      <c r="B105" t="s">
        <v>76</v>
      </c>
      <c r="C105" s="4" t="s">
        <v>40</v>
      </c>
      <c r="D105">
        <v>773</v>
      </c>
      <c r="E105">
        <v>0</v>
      </c>
      <c r="F105">
        <v>0</v>
      </c>
      <c r="G105">
        <v>1</v>
      </c>
      <c r="H105">
        <v>627</v>
      </c>
      <c r="I105">
        <v>0</v>
      </c>
      <c r="J105">
        <v>6</v>
      </c>
      <c r="K105">
        <v>0</v>
      </c>
      <c r="L105">
        <v>0</v>
      </c>
      <c r="M105">
        <v>39</v>
      </c>
      <c r="N105">
        <v>0</v>
      </c>
      <c r="O105">
        <v>13</v>
      </c>
      <c r="P105">
        <v>0</v>
      </c>
      <c r="Q105">
        <v>0</v>
      </c>
      <c r="R105">
        <v>0</v>
      </c>
      <c r="S105">
        <v>8</v>
      </c>
      <c r="T105">
        <v>0</v>
      </c>
      <c r="U105">
        <v>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25</v>
      </c>
      <c r="AC105">
        <v>0</v>
      </c>
      <c r="AD105">
        <v>0</v>
      </c>
      <c r="AE105">
        <v>0</v>
      </c>
      <c r="AF105">
        <v>3</v>
      </c>
      <c r="AG105">
        <v>13</v>
      </c>
      <c r="AH105">
        <v>3</v>
      </c>
      <c r="AI105">
        <v>1</v>
      </c>
      <c r="AJ105">
        <v>3</v>
      </c>
      <c r="AK105">
        <v>23</v>
      </c>
      <c r="AL105">
        <v>2</v>
      </c>
      <c r="AM105">
        <v>0</v>
      </c>
      <c r="AN105">
        <v>0</v>
      </c>
      <c r="AO105">
        <v>0</v>
      </c>
      <c r="AP105" s="1">
        <v>0</v>
      </c>
    </row>
    <row r="106" spans="1:42" x14ac:dyDescent="0.3">
      <c r="A106" t="s">
        <v>41</v>
      </c>
      <c r="B106" t="s">
        <v>76</v>
      </c>
      <c r="C106" s="4" t="s">
        <v>43</v>
      </c>
      <c r="D106">
        <v>279</v>
      </c>
      <c r="E106">
        <v>0</v>
      </c>
      <c r="F106">
        <v>0</v>
      </c>
      <c r="G106">
        <v>1</v>
      </c>
      <c r="H106">
        <v>238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14</v>
      </c>
      <c r="AC106">
        <v>0</v>
      </c>
      <c r="AD106">
        <v>0</v>
      </c>
      <c r="AE106">
        <v>0</v>
      </c>
      <c r="AF106">
        <v>1</v>
      </c>
      <c r="AG106">
        <v>5</v>
      </c>
      <c r="AH106">
        <v>1</v>
      </c>
      <c r="AI106">
        <v>1</v>
      </c>
      <c r="AJ106">
        <v>0</v>
      </c>
      <c r="AK106">
        <v>3</v>
      </c>
      <c r="AL106">
        <v>0</v>
      </c>
      <c r="AM106">
        <v>0</v>
      </c>
      <c r="AN106">
        <v>0</v>
      </c>
      <c r="AO106">
        <v>0</v>
      </c>
      <c r="AP106" s="1">
        <v>0</v>
      </c>
    </row>
    <row r="107" spans="1:42" x14ac:dyDescent="0.3">
      <c r="A107" t="s">
        <v>41</v>
      </c>
      <c r="B107" t="s">
        <v>76</v>
      </c>
      <c r="C107" s="4" t="s">
        <v>44</v>
      </c>
      <c r="D107">
        <v>494</v>
      </c>
      <c r="E107">
        <v>0</v>
      </c>
      <c r="F107">
        <v>0</v>
      </c>
      <c r="G107">
        <v>0</v>
      </c>
      <c r="H107">
        <v>389</v>
      </c>
      <c r="I107">
        <v>0</v>
      </c>
      <c r="J107">
        <v>6</v>
      </c>
      <c r="K107">
        <v>0</v>
      </c>
      <c r="L107">
        <v>0</v>
      </c>
      <c r="M107">
        <v>34</v>
      </c>
      <c r="N107">
        <v>0</v>
      </c>
      <c r="O107">
        <v>10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11</v>
      </c>
      <c r="AC107">
        <v>0</v>
      </c>
      <c r="AD107">
        <v>0</v>
      </c>
      <c r="AE107">
        <v>0</v>
      </c>
      <c r="AF107">
        <v>2</v>
      </c>
      <c r="AG107">
        <v>8</v>
      </c>
      <c r="AH107">
        <v>2</v>
      </c>
      <c r="AI107">
        <v>0</v>
      </c>
      <c r="AJ107">
        <v>3</v>
      </c>
      <c r="AK107">
        <v>20</v>
      </c>
      <c r="AL107">
        <v>2</v>
      </c>
      <c r="AM107">
        <v>0</v>
      </c>
      <c r="AN107">
        <v>0</v>
      </c>
      <c r="AO107">
        <v>0</v>
      </c>
      <c r="AP107" s="1">
        <v>0</v>
      </c>
    </row>
    <row r="108" spans="1:42" x14ac:dyDescent="0.3">
      <c r="A108" t="s">
        <v>41</v>
      </c>
      <c r="B108" t="s">
        <v>77</v>
      </c>
      <c r="C108" s="4" t="s">
        <v>40</v>
      </c>
      <c r="D108">
        <v>758</v>
      </c>
      <c r="E108">
        <v>4</v>
      </c>
      <c r="F108">
        <v>10</v>
      </c>
      <c r="G108">
        <v>0</v>
      </c>
      <c r="H108">
        <v>2</v>
      </c>
      <c r="I108">
        <v>0</v>
      </c>
      <c r="J108">
        <v>121</v>
      </c>
      <c r="K108">
        <v>0</v>
      </c>
      <c r="L108">
        <v>0</v>
      </c>
      <c r="M108">
        <v>34</v>
      </c>
      <c r="N108">
        <v>0</v>
      </c>
      <c r="O108">
        <v>14</v>
      </c>
      <c r="P108">
        <v>0</v>
      </c>
      <c r="Q108">
        <v>1</v>
      </c>
      <c r="R108">
        <v>0</v>
      </c>
      <c r="S108">
        <v>149</v>
      </c>
      <c r="T108">
        <v>32</v>
      </c>
      <c r="U108">
        <v>6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6</v>
      </c>
      <c r="AC108">
        <v>0</v>
      </c>
      <c r="AD108">
        <v>0</v>
      </c>
      <c r="AE108">
        <v>0</v>
      </c>
      <c r="AF108">
        <v>3</v>
      </c>
      <c r="AG108">
        <v>33</v>
      </c>
      <c r="AH108">
        <v>254</v>
      </c>
      <c r="AI108">
        <v>1</v>
      </c>
      <c r="AJ108">
        <v>13</v>
      </c>
      <c r="AK108">
        <v>26</v>
      </c>
      <c r="AL108">
        <v>30</v>
      </c>
      <c r="AM108">
        <v>0</v>
      </c>
      <c r="AN108">
        <v>0</v>
      </c>
      <c r="AO108">
        <v>0</v>
      </c>
      <c r="AP108" s="1">
        <v>15</v>
      </c>
    </row>
    <row r="109" spans="1:42" x14ac:dyDescent="0.3">
      <c r="A109" t="s">
        <v>41</v>
      </c>
      <c r="B109" t="s">
        <v>77</v>
      </c>
      <c r="C109" s="4" t="s">
        <v>43</v>
      </c>
      <c r="D109">
        <v>500</v>
      </c>
      <c r="E109">
        <v>2</v>
      </c>
      <c r="F109">
        <v>8</v>
      </c>
      <c r="G109">
        <v>0</v>
      </c>
      <c r="H109">
        <v>2</v>
      </c>
      <c r="I109">
        <v>0</v>
      </c>
      <c r="J109">
        <v>110</v>
      </c>
      <c r="K109">
        <v>0</v>
      </c>
      <c r="L109">
        <v>0</v>
      </c>
      <c r="M109">
        <v>12</v>
      </c>
      <c r="N109">
        <v>0</v>
      </c>
      <c r="O109">
        <v>12</v>
      </c>
      <c r="P109">
        <v>0</v>
      </c>
      <c r="Q109">
        <v>1</v>
      </c>
      <c r="R109">
        <v>0</v>
      </c>
      <c r="S109">
        <v>148</v>
      </c>
      <c r="T109">
        <v>32</v>
      </c>
      <c r="U109">
        <v>2</v>
      </c>
      <c r="V109">
        <v>1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20</v>
      </c>
      <c r="AH109">
        <v>88</v>
      </c>
      <c r="AI109">
        <v>0</v>
      </c>
      <c r="AJ109">
        <v>10</v>
      </c>
      <c r="AK109">
        <v>13</v>
      </c>
      <c r="AL109">
        <v>27</v>
      </c>
      <c r="AM109">
        <v>0</v>
      </c>
      <c r="AN109">
        <v>0</v>
      </c>
      <c r="AO109">
        <v>0</v>
      </c>
      <c r="AP109" s="1">
        <v>8</v>
      </c>
    </row>
    <row r="110" spans="1:42" x14ac:dyDescent="0.3">
      <c r="A110" t="s">
        <v>41</v>
      </c>
      <c r="B110" t="s">
        <v>77</v>
      </c>
      <c r="C110" s="4" t="s">
        <v>44</v>
      </c>
      <c r="D110">
        <v>258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11</v>
      </c>
      <c r="K110">
        <v>0</v>
      </c>
      <c r="L110">
        <v>0</v>
      </c>
      <c r="M110">
        <v>22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4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0</v>
      </c>
      <c r="AE110">
        <v>0</v>
      </c>
      <c r="AF110">
        <v>2</v>
      </c>
      <c r="AG110">
        <v>13</v>
      </c>
      <c r="AH110">
        <v>166</v>
      </c>
      <c r="AI110">
        <v>1</v>
      </c>
      <c r="AJ110">
        <v>3</v>
      </c>
      <c r="AK110">
        <v>13</v>
      </c>
      <c r="AL110">
        <v>3</v>
      </c>
      <c r="AM110">
        <v>0</v>
      </c>
      <c r="AN110">
        <v>0</v>
      </c>
      <c r="AO110">
        <v>0</v>
      </c>
      <c r="AP110" s="1">
        <v>7</v>
      </c>
    </row>
    <row r="111" spans="1:42" x14ac:dyDescent="0.3">
      <c r="A111" t="s">
        <v>41</v>
      </c>
      <c r="B111" t="s">
        <v>78</v>
      </c>
      <c r="C111" s="4" t="s">
        <v>40</v>
      </c>
      <c r="D111">
        <v>753</v>
      </c>
      <c r="E111">
        <v>46</v>
      </c>
      <c r="F111">
        <v>14</v>
      </c>
      <c r="G111">
        <v>0</v>
      </c>
      <c r="H111">
        <v>3</v>
      </c>
      <c r="I111">
        <v>0</v>
      </c>
      <c r="J111">
        <v>173</v>
      </c>
      <c r="K111">
        <v>0</v>
      </c>
      <c r="L111">
        <v>0</v>
      </c>
      <c r="M111">
        <v>20</v>
      </c>
      <c r="N111">
        <v>0</v>
      </c>
      <c r="O111">
        <v>19</v>
      </c>
      <c r="P111">
        <v>0</v>
      </c>
      <c r="Q111">
        <v>0</v>
      </c>
      <c r="R111">
        <v>0</v>
      </c>
      <c r="S111">
        <v>77</v>
      </c>
      <c r="T111">
        <v>14</v>
      </c>
      <c r="U111">
        <v>4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6</v>
      </c>
      <c r="AC111">
        <v>0</v>
      </c>
      <c r="AD111">
        <v>1</v>
      </c>
      <c r="AE111">
        <v>0</v>
      </c>
      <c r="AF111">
        <v>4</v>
      </c>
      <c r="AG111">
        <v>18</v>
      </c>
      <c r="AH111">
        <v>120</v>
      </c>
      <c r="AI111">
        <v>0</v>
      </c>
      <c r="AJ111">
        <v>15</v>
      </c>
      <c r="AK111">
        <v>22</v>
      </c>
      <c r="AL111">
        <v>178</v>
      </c>
      <c r="AM111">
        <v>0</v>
      </c>
      <c r="AN111">
        <v>0</v>
      </c>
      <c r="AO111">
        <v>0</v>
      </c>
      <c r="AP111" s="1">
        <v>17</v>
      </c>
    </row>
    <row r="112" spans="1:42" x14ac:dyDescent="0.3">
      <c r="A112" t="s">
        <v>41</v>
      </c>
      <c r="B112" t="s">
        <v>78</v>
      </c>
      <c r="C112" s="4" t="s">
        <v>43</v>
      </c>
      <c r="D112">
        <v>559</v>
      </c>
      <c r="E112">
        <v>22</v>
      </c>
      <c r="F112">
        <v>6</v>
      </c>
      <c r="G112">
        <v>0</v>
      </c>
      <c r="H112">
        <v>3</v>
      </c>
      <c r="I112">
        <v>0</v>
      </c>
      <c r="J112">
        <v>160</v>
      </c>
      <c r="K112">
        <v>0</v>
      </c>
      <c r="L112">
        <v>0</v>
      </c>
      <c r="M112">
        <v>10</v>
      </c>
      <c r="N112">
        <v>0</v>
      </c>
      <c r="O112">
        <v>14</v>
      </c>
      <c r="P112">
        <v>0</v>
      </c>
      <c r="Q112">
        <v>0</v>
      </c>
      <c r="R112">
        <v>0</v>
      </c>
      <c r="S112">
        <v>75</v>
      </c>
      <c r="T112">
        <v>14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1</v>
      </c>
      <c r="AE112">
        <v>0</v>
      </c>
      <c r="AF112">
        <v>1</v>
      </c>
      <c r="AG112">
        <v>10</v>
      </c>
      <c r="AH112">
        <v>40</v>
      </c>
      <c r="AI112">
        <v>0</v>
      </c>
      <c r="AJ112">
        <v>10</v>
      </c>
      <c r="AK112">
        <v>9</v>
      </c>
      <c r="AL112">
        <v>166</v>
      </c>
      <c r="AM112">
        <v>0</v>
      </c>
      <c r="AN112">
        <v>0</v>
      </c>
      <c r="AO112">
        <v>0</v>
      </c>
      <c r="AP112" s="1">
        <v>15</v>
      </c>
    </row>
    <row r="113" spans="1:42" x14ac:dyDescent="0.3">
      <c r="A113" t="s">
        <v>41</v>
      </c>
      <c r="B113" t="s">
        <v>78</v>
      </c>
      <c r="C113" s="4" t="s">
        <v>44</v>
      </c>
      <c r="D113">
        <v>194</v>
      </c>
      <c r="E113">
        <v>24</v>
      </c>
      <c r="F113">
        <v>8</v>
      </c>
      <c r="G113">
        <v>0</v>
      </c>
      <c r="H113">
        <v>0</v>
      </c>
      <c r="I113">
        <v>0</v>
      </c>
      <c r="J113">
        <v>13</v>
      </c>
      <c r="K113">
        <v>0</v>
      </c>
      <c r="L113">
        <v>0</v>
      </c>
      <c r="M113">
        <v>10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4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4</v>
      </c>
      <c r="AC113">
        <v>0</v>
      </c>
      <c r="AD113">
        <v>0</v>
      </c>
      <c r="AE113">
        <v>0</v>
      </c>
      <c r="AF113">
        <v>3</v>
      </c>
      <c r="AG113">
        <v>8</v>
      </c>
      <c r="AH113">
        <v>80</v>
      </c>
      <c r="AI113">
        <v>0</v>
      </c>
      <c r="AJ113">
        <v>5</v>
      </c>
      <c r="AK113">
        <v>13</v>
      </c>
      <c r="AL113">
        <v>12</v>
      </c>
      <c r="AM113">
        <v>0</v>
      </c>
      <c r="AN113">
        <v>0</v>
      </c>
      <c r="AO113">
        <v>0</v>
      </c>
      <c r="AP113" s="1">
        <v>2</v>
      </c>
    </row>
    <row r="114" spans="1:42" x14ac:dyDescent="0.3">
      <c r="A114" t="s">
        <v>41</v>
      </c>
      <c r="B114" t="s">
        <v>79</v>
      </c>
      <c r="C114" s="4" t="s">
        <v>40</v>
      </c>
      <c r="D114">
        <v>728</v>
      </c>
      <c r="E114">
        <v>67</v>
      </c>
      <c r="F114">
        <v>2</v>
      </c>
      <c r="G114">
        <v>467</v>
      </c>
      <c r="H114">
        <v>6</v>
      </c>
      <c r="I114">
        <v>0</v>
      </c>
      <c r="J114">
        <v>1</v>
      </c>
      <c r="K114">
        <v>0</v>
      </c>
      <c r="L114">
        <v>0</v>
      </c>
      <c r="M114">
        <v>31</v>
      </c>
      <c r="N114">
        <v>0</v>
      </c>
      <c r="O114">
        <v>18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133</v>
      </c>
      <c r="AM114">
        <v>0</v>
      </c>
      <c r="AN114">
        <v>0</v>
      </c>
      <c r="AO114">
        <v>0</v>
      </c>
      <c r="AP114" s="1">
        <v>1</v>
      </c>
    </row>
    <row r="115" spans="1:42" x14ac:dyDescent="0.3">
      <c r="A115" t="s">
        <v>41</v>
      </c>
      <c r="B115" t="s">
        <v>79</v>
      </c>
      <c r="C115" s="4" t="s">
        <v>43</v>
      </c>
      <c r="D115">
        <v>329</v>
      </c>
      <c r="E115">
        <v>38</v>
      </c>
      <c r="F115">
        <v>0</v>
      </c>
      <c r="G115">
        <v>185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16</v>
      </c>
      <c r="N115">
        <v>0</v>
      </c>
      <c r="O115">
        <v>15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69</v>
      </c>
      <c r="AM115">
        <v>0</v>
      </c>
      <c r="AN115">
        <v>0</v>
      </c>
      <c r="AO115">
        <v>0</v>
      </c>
      <c r="AP115" s="1">
        <v>1</v>
      </c>
    </row>
    <row r="116" spans="1:42" x14ac:dyDescent="0.3">
      <c r="A116" t="s">
        <v>41</v>
      </c>
      <c r="B116" t="s">
        <v>79</v>
      </c>
      <c r="C116" s="4" t="s">
        <v>44</v>
      </c>
      <c r="D116">
        <v>399</v>
      </c>
      <c r="E116">
        <v>29</v>
      </c>
      <c r="F116">
        <v>2</v>
      </c>
      <c r="G116">
        <v>282</v>
      </c>
      <c r="H116">
        <v>2</v>
      </c>
      <c r="I116">
        <v>0</v>
      </c>
      <c r="J116">
        <v>1</v>
      </c>
      <c r="K116">
        <v>0</v>
      </c>
      <c r="L116">
        <v>0</v>
      </c>
      <c r="M116">
        <v>15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64</v>
      </c>
      <c r="AM116">
        <v>0</v>
      </c>
      <c r="AN116">
        <v>0</v>
      </c>
      <c r="AO116">
        <v>0</v>
      </c>
      <c r="AP116" s="1">
        <v>0</v>
      </c>
    </row>
    <row r="117" spans="1:42" x14ac:dyDescent="0.3">
      <c r="A117" t="s">
        <v>41</v>
      </c>
      <c r="B117" t="s">
        <v>80</v>
      </c>
      <c r="C117" s="4" t="s">
        <v>40</v>
      </c>
      <c r="D117">
        <v>481</v>
      </c>
      <c r="E117">
        <v>33</v>
      </c>
      <c r="F117">
        <v>4</v>
      </c>
      <c r="G117">
        <v>197</v>
      </c>
      <c r="H117">
        <v>0</v>
      </c>
      <c r="I117">
        <v>0</v>
      </c>
      <c r="J117">
        <v>0</v>
      </c>
      <c r="K117">
        <v>12</v>
      </c>
      <c r="L117">
        <v>1</v>
      </c>
      <c r="M117">
        <v>37</v>
      </c>
      <c r="N117">
        <v>0</v>
      </c>
      <c r="O117">
        <v>30</v>
      </c>
      <c r="P117">
        <v>0</v>
      </c>
      <c r="Q117">
        <v>1</v>
      </c>
      <c r="R117">
        <v>2</v>
      </c>
      <c r="S117">
        <v>15</v>
      </c>
      <c r="T117">
        <v>2</v>
      </c>
      <c r="U117">
        <v>4</v>
      </c>
      <c r="V117">
        <v>2</v>
      </c>
      <c r="W117">
        <v>0</v>
      </c>
      <c r="X117">
        <v>2</v>
      </c>
      <c r="Y117">
        <v>0</v>
      </c>
      <c r="Z117">
        <v>0</v>
      </c>
      <c r="AA117">
        <v>3</v>
      </c>
      <c r="AB117">
        <v>14</v>
      </c>
      <c r="AC117">
        <v>0</v>
      </c>
      <c r="AD117">
        <v>0</v>
      </c>
      <c r="AE117">
        <v>0</v>
      </c>
      <c r="AF117">
        <v>1</v>
      </c>
      <c r="AG117">
        <v>5</v>
      </c>
      <c r="AH117">
        <v>41</v>
      </c>
      <c r="AI117">
        <v>5</v>
      </c>
      <c r="AJ117">
        <v>7</v>
      </c>
      <c r="AK117">
        <v>41</v>
      </c>
      <c r="AL117">
        <v>7</v>
      </c>
      <c r="AM117">
        <v>11</v>
      </c>
      <c r="AN117">
        <v>0</v>
      </c>
      <c r="AO117">
        <v>3</v>
      </c>
      <c r="AP117" s="1">
        <v>1</v>
      </c>
    </row>
    <row r="118" spans="1:42" x14ac:dyDescent="0.3">
      <c r="A118" t="s">
        <v>41</v>
      </c>
      <c r="B118" t="s">
        <v>80</v>
      </c>
      <c r="C118" s="4" t="s">
        <v>43</v>
      </c>
      <c r="D118">
        <v>210</v>
      </c>
      <c r="E118">
        <v>14</v>
      </c>
      <c r="F118">
        <v>1</v>
      </c>
      <c r="G118">
        <v>98</v>
      </c>
      <c r="H118">
        <v>0</v>
      </c>
      <c r="I118">
        <v>0</v>
      </c>
      <c r="J118">
        <v>0</v>
      </c>
      <c r="K118">
        <v>7</v>
      </c>
      <c r="L118">
        <v>0</v>
      </c>
      <c r="M118">
        <v>7</v>
      </c>
      <c r="N118">
        <v>0</v>
      </c>
      <c r="O118">
        <v>4</v>
      </c>
      <c r="P118">
        <v>0</v>
      </c>
      <c r="Q118">
        <v>1</v>
      </c>
      <c r="R118">
        <v>2</v>
      </c>
      <c r="S118">
        <v>13</v>
      </c>
      <c r="T118">
        <v>2</v>
      </c>
      <c r="U118">
        <v>2</v>
      </c>
      <c r="V118">
        <v>2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12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11</v>
      </c>
      <c r="AI118">
        <v>2</v>
      </c>
      <c r="AJ118">
        <v>5</v>
      </c>
      <c r="AK118">
        <v>20</v>
      </c>
      <c r="AL118">
        <v>0</v>
      </c>
      <c r="AM118">
        <v>4</v>
      </c>
      <c r="AN118">
        <v>0</v>
      </c>
      <c r="AO118">
        <v>0</v>
      </c>
      <c r="AP118" s="1">
        <v>0</v>
      </c>
    </row>
    <row r="119" spans="1:42" x14ac:dyDescent="0.3">
      <c r="A119" t="s">
        <v>41</v>
      </c>
      <c r="B119" t="s">
        <v>80</v>
      </c>
      <c r="C119" s="4" t="s">
        <v>44</v>
      </c>
      <c r="D119">
        <v>271</v>
      </c>
      <c r="E119">
        <v>19</v>
      </c>
      <c r="F119">
        <v>3</v>
      </c>
      <c r="G119">
        <v>99</v>
      </c>
      <c r="H119">
        <v>0</v>
      </c>
      <c r="I119">
        <v>0</v>
      </c>
      <c r="J119">
        <v>0</v>
      </c>
      <c r="K119">
        <v>5</v>
      </c>
      <c r="L119">
        <v>1</v>
      </c>
      <c r="M119">
        <v>30</v>
      </c>
      <c r="N119">
        <v>0</v>
      </c>
      <c r="O119">
        <v>26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3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4</v>
      </c>
      <c r="AH119">
        <v>30</v>
      </c>
      <c r="AI119">
        <v>3</v>
      </c>
      <c r="AJ119">
        <v>2</v>
      </c>
      <c r="AK119">
        <v>21</v>
      </c>
      <c r="AL119">
        <v>7</v>
      </c>
      <c r="AM119">
        <v>7</v>
      </c>
      <c r="AN119">
        <v>0</v>
      </c>
      <c r="AO119">
        <v>3</v>
      </c>
      <c r="AP119" s="1">
        <v>1</v>
      </c>
    </row>
    <row r="120" spans="1:42" x14ac:dyDescent="0.3">
      <c r="A120" t="s">
        <v>41</v>
      </c>
      <c r="B120" t="s">
        <v>81</v>
      </c>
      <c r="C120" s="4" t="s">
        <v>40</v>
      </c>
      <c r="D120">
        <v>377</v>
      </c>
      <c r="E120">
        <v>14</v>
      </c>
      <c r="F120">
        <v>4</v>
      </c>
      <c r="G120">
        <v>0</v>
      </c>
      <c r="H120">
        <v>257</v>
      </c>
      <c r="I120">
        <v>0</v>
      </c>
      <c r="J120">
        <v>19</v>
      </c>
      <c r="K120">
        <v>0</v>
      </c>
      <c r="L120">
        <v>0</v>
      </c>
      <c r="M120">
        <v>59</v>
      </c>
      <c r="N120">
        <v>0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4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2</v>
      </c>
      <c r="AJ120">
        <v>0</v>
      </c>
      <c r="AK120">
        <v>4</v>
      </c>
      <c r="AL120">
        <v>2</v>
      </c>
      <c r="AM120">
        <v>0</v>
      </c>
      <c r="AN120">
        <v>0</v>
      </c>
      <c r="AO120">
        <v>0</v>
      </c>
      <c r="AP120" s="1">
        <v>0</v>
      </c>
    </row>
    <row r="121" spans="1:42" x14ac:dyDescent="0.3">
      <c r="A121" t="s">
        <v>41</v>
      </c>
      <c r="B121" t="s">
        <v>81</v>
      </c>
      <c r="C121" s="4" t="s">
        <v>43</v>
      </c>
      <c r="D121">
        <v>134</v>
      </c>
      <c r="E121">
        <v>5</v>
      </c>
      <c r="F121">
        <v>2</v>
      </c>
      <c r="G121">
        <v>0</v>
      </c>
      <c r="H121">
        <v>105</v>
      </c>
      <c r="I121">
        <v>0</v>
      </c>
      <c r="J121">
        <v>8</v>
      </c>
      <c r="K121">
        <v>0</v>
      </c>
      <c r="L121">
        <v>0</v>
      </c>
      <c r="M121">
        <v>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 s="1">
        <v>0</v>
      </c>
    </row>
    <row r="122" spans="1:42" x14ac:dyDescent="0.3">
      <c r="A122" t="s">
        <v>41</v>
      </c>
      <c r="B122" t="s">
        <v>81</v>
      </c>
      <c r="C122" s="4" t="s">
        <v>44</v>
      </c>
      <c r="D122">
        <v>243</v>
      </c>
      <c r="E122">
        <v>9</v>
      </c>
      <c r="F122">
        <v>2</v>
      </c>
      <c r="G122">
        <v>0</v>
      </c>
      <c r="H122">
        <v>152</v>
      </c>
      <c r="I122">
        <v>0</v>
      </c>
      <c r="J122">
        <v>11</v>
      </c>
      <c r="K122">
        <v>0</v>
      </c>
      <c r="L122">
        <v>0</v>
      </c>
      <c r="M122">
        <v>50</v>
      </c>
      <c r="N122">
        <v>0</v>
      </c>
      <c r="O122">
        <v>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2</v>
      </c>
      <c r="AJ122">
        <v>0</v>
      </c>
      <c r="AK122">
        <v>3</v>
      </c>
      <c r="AL122">
        <v>2</v>
      </c>
      <c r="AM122">
        <v>0</v>
      </c>
      <c r="AN122">
        <v>0</v>
      </c>
      <c r="AO122">
        <v>0</v>
      </c>
      <c r="AP122" s="1">
        <v>0</v>
      </c>
    </row>
    <row r="123" spans="1:42" x14ac:dyDescent="0.3">
      <c r="A123" t="s">
        <v>41</v>
      </c>
      <c r="B123" t="s">
        <v>82</v>
      </c>
      <c r="C123" s="4" t="s">
        <v>40</v>
      </c>
      <c r="D123">
        <v>165</v>
      </c>
      <c r="E123">
        <v>35</v>
      </c>
      <c r="F123">
        <v>0</v>
      </c>
      <c r="G123">
        <v>0</v>
      </c>
      <c r="H123">
        <v>120</v>
      </c>
      <c r="I123">
        <v>0</v>
      </c>
      <c r="J123">
        <v>1</v>
      </c>
      <c r="K123">
        <v>0</v>
      </c>
      <c r="L123">
        <v>0</v>
      </c>
      <c r="M123">
        <v>3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 s="1">
        <v>0</v>
      </c>
    </row>
    <row r="124" spans="1:42" x14ac:dyDescent="0.3">
      <c r="A124" t="s">
        <v>41</v>
      </c>
      <c r="B124" t="s">
        <v>82</v>
      </c>
      <c r="C124" s="4" t="s">
        <v>43</v>
      </c>
      <c r="D124">
        <v>87</v>
      </c>
      <c r="E124">
        <v>20</v>
      </c>
      <c r="F124">
        <v>0</v>
      </c>
      <c r="G124">
        <v>0</v>
      </c>
      <c r="H124">
        <v>63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1">
        <v>0</v>
      </c>
    </row>
    <row r="125" spans="1:42" x14ac:dyDescent="0.3">
      <c r="A125" t="s">
        <v>41</v>
      </c>
      <c r="B125" t="s">
        <v>82</v>
      </c>
      <c r="C125" s="4" t="s">
        <v>44</v>
      </c>
      <c r="D125">
        <v>78</v>
      </c>
      <c r="E125">
        <v>15</v>
      </c>
      <c r="F125">
        <v>0</v>
      </c>
      <c r="G125">
        <v>0</v>
      </c>
      <c r="H125">
        <v>57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 s="1">
        <v>0</v>
      </c>
    </row>
    <row r="126" spans="1:42" x14ac:dyDescent="0.3">
      <c r="A126" t="s">
        <v>41</v>
      </c>
      <c r="B126" t="s">
        <v>83</v>
      </c>
      <c r="C126" s="4" t="s">
        <v>40</v>
      </c>
      <c r="D126">
        <v>155</v>
      </c>
      <c r="E126">
        <v>32</v>
      </c>
      <c r="F126">
        <v>0</v>
      </c>
      <c r="G126">
        <v>83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2</v>
      </c>
      <c r="P126">
        <v>0</v>
      </c>
      <c r="Q126">
        <v>0</v>
      </c>
      <c r="R126">
        <v>4</v>
      </c>
      <c r="S126">
        <v>2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6</v>
      </c>
      <c r="AI126">
        <v>0</v>
      </c>
      <c r="AJ126">
        <v>0</v>
      </c>
      <c r="AK126">
        <v>1</v>
      </c>
      <c r="AL126">
        <v>17</v>
      </c>
      <c r="AM126">
        <v>0</v>
      </c>
      <c r="AN126">
        <v>0</v>
      </c>
      <c r="AO126">
        <v>0</v>
      </c>
      <c r="AP126" s="1">
        <v>0</v>
      </c>
    </row>
    <row r="127" spans="1:42" x14ac:dyDescent="0.3">
      <c r="A127" t="s">
        <v>41</v>
      </c>
      <c r="B127" t="s">
        <v>83</v>
      </c>
      <c r="C127" s="4" t="s">
        <v>43</v>
      </c>
      <c r="D127">
        <v>74</v>
      </c>
      <c r="E127">
        <v>15</v>
      </c>
      <c r="F127">
        <v>0</v>
      </c>
      <c r="G127">
        <v>40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4</v>
      </c>
      <c r="S127">
        <v>2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7</v>
      </c>
      <c r="AM127">
        <v>0</v>
      </c>
      <c r="AN127">
        <v>0</v>
      </c>
      <c r="AO127">
        <v>0</v>
      </c>
      <c r="AP127" s="1">
        <v>0</v>
      </c>
    </row>
    <row r="128" spans="1:42" x14ac:dyDescent="0.3">
      <c r="A128" t="s">
        <v>41</v>
      </c>
      <c r="B128" t="s">
        <v>83</v>
      </c>
      <c r="C128" s="4" t="s">
        <v>44</v>
      </c>
      <c r="D128">
        <v>81</v>
      </c>
      <c r="E128">
        <v>17</v>
      </c>
      <c r="F128">
        <v>0</v>
      </c>
      <c r="G128">
        <v>43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5</v>
      </c>
      <c r="AI128">
        <v>0</v>
      </c>
      <c r="AJ128">
        <v>0</v>
      </c>
      <c r="AK128">
        <v>0</v>
      </c>
      <c r="AL128">
        <v>10</v>
      </c>
      <c r="AM128">
        <v>0</v>
      </c>
      <c r="AN128">
        <v>0</v>
      </c>
      <c r="AO128">
        <v>0</v>
      </c>
      <c r="AP128" s="1">
        <v>0</v>
      </c>
    </row>
    <row r="129" spans="1:42" x14ac:dyDescent="0.3">
      <c r="A129" t="s">
        <v>41</v>
      </c>
      <c r="B129" t="s">
        <v>84</v>
      </c>
      <c r="C129" s="4" t="s">
        <v>40</v>
      </c>
      <c r="D129">
        <v>130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13</v>
      </c>
      <c r="K129">
        <v>0</v>
      </c>
      <c r="L129">
        <v>1</v>
      </c>
      <c r="M129">
        <v>14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26</v>
      </c>
      <c r="T129">
        <v>5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6</v>
      </c>
      <c r="AH129">
        <v>29</v>
      </c>
      <c r="AI129">
        <v>0</v>
      </c>
      <c r="AJ129">
        <v>8</v>
      </c>
      <c r="AK129">
        <v>6</v>
      </c>
      <c r="AL129">
        <v>15</v>
      </c>
      <c r="AM129">
        <v>0</v>
      </c>
      <c r="AN129">
        <v>0</v>
      </c>
      <c r="AO129">
        <v>0</v>
      </c>
      <c r="AP129" s="1">
        <v>2</v>
      </c>
    </row>
    <row r="130" spans="1:42" x14ac:dyDescent="0.3">
      <c r="A130" t="s">
        <v>41</v>
      </c>
      <c r="B130" t="s">
        <v>84</v>
      </c>
      <c r="C130" s="4" t="s">
        <v>43</v>
      </c>
      <c r="D130">
        <v>79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0</v>
      </c>
      <c r="L130">
        <v>0</v>
      </c>
      <c r="M130">
        <v>6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26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12</v>
      </c>
      <c r="AI130">
        <v>0</v>
      </c>
      <c r="AJ130">
        <v>7</v>
      </c>
      <c r="AK130">
        <v>3</v>
      </c>
      <c r="AL130">
        <v>10</v>
      </c>
      <c r="AM130">
        <v>0</v>
      </c>
      <c r="AN130">
        <v>0</v>
      </c>
      <c r="AO130">
        <v>0</v>
      </c>
      <c r="AP130" s="1">
        <v>1</v>
      </c>
    </row>
    <row r="131" spans="1:42" x14ac:dyDescent="0.3">
      <c r="A131" t="s">
        <v>41</v>
      </c>
      <c r="B131" t="s">
        <v>84</v>
      </c>
      <c r="C131" s="4" t="s">
        <v>44</v>
      </c>
      <c r="D131">
        <v>51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0</v>
      </c>
      <c r="L131">
        <v>1</v>
      </c>
      <c r="M131">
        <v>8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</v>
      </c>
      <c r="AH131">
        <v>17</v>
      </c>
      <c r="AI131">
        <v>0</v>
      </c>
      <c r="AJ131">
        <v>1</v>
      </c>
      <c r="AK131">
        <v>3</v>
      </c>
      <c r="AL131">
        <v>5</v>
      </c>
      <c r="AM131">
        <v>0</v>
      </c>
      <c r="AN131">
        <v>0</v>
      </c>
      <c r="AO131">
        <v>0</v>
      </c>
      <c r="AP131" s="1">
        <v>1</v>
      </c>
    </row>
    <row r="132" spans="1:42" x14ac:dyDescent="0.3">
      <c r="A132" t="s">
        <v>41</v>
      </c>
      <c r="B132" t="s">
        <v>85</v>
      </c>
      <c r="C132" s="4" t="s">
        <v>40</v>
      </c>
      <c r="D132">
        <v>90</v>
      </c>
      <c r="E132">
        <v>22</v>
      </c>
      <c r="F132">
        <v>1</v>
      </c>
      <c r="G132">
        <v>0</v>
      </c>
      <c r="H132">
        <v>31</v>
      </c>
      <c r="I132">
        <v>0</v>
      </c>
      <c r="J132">
        <v>3</v>
      </c>
      <c r="K132">
        <v>0</v>
      </c>
      <c r="L132">
        <v>0</v>
      </c>
      <c r="M132">
        <v>5</v>
      </c>
      <c r="N132">
        <v>0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11</v>
      </c>
      <c r="AI132">
        <v>0</v>
      </c>
      <c r="AJ132">
        <v>0</v>
      </c>
      <c r="AK132">
        <v>1</v>
      </c>
      <c r="AL132">
        <v>6</v>
      </c>
      <c r="AM132">
        <v>0</v>
      </c>
      <c r="AN132">
        <v>0</v>
      </c>
      <c r="AO132">
        <v>0</v>
      </c>
      <c r="AP132" s="1">
        <v>0</v>
      </c>
    </row>
    <row r="133" spans="1:42" x14ac:dyDescent="0.3">
      <c r="A133" t="s">
        <v>41</v>
      </c>
      <c r="B133" t="s">
        <v>85</v>
      </c>
      <c r="C133" s="4" t="s">
        <v>43</v>
      </c>
      <c r="D133">
        <v>47</v>
      </c>
      <c r="E133">
        <v>13</v>
      </c>
      <c r="F133">
        <v>1</v>
      </c>
      <c r="G133">
        <v>0</v>
      </c>
      <c r="H133">
        <v>17</v>
      </c>
      <c r="I133">
        <v>0</v>
      </c>
      <c r="J133">
        <v>1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7</v>
      </c>
      <c r="AI133">
        <v>0</v>
      </c>
      <c r="AJ133">
        <v>0</v>
      </c>
      <c r="AK133">
        <v>1</v>
      </c>
      <c r="AL133">
        <v>3</v>
      </c>
      <c r="AM133">
        <v>0</v>
      </c>
      <c r="AN133">
        <v>0</v>
      </c>
      <c r="AO133">
        <v>0</v>
      </c>
      <c r="AP133" s="1">
        <v>0</v>
      </c>
    </row>
    <row r="134" spans="1:42" x14ac:dyDescent="0.3">
      <c r="A134" t="s">
        <v>41</v>
      </c>
      <c r="B134" t="s">
        <v>85</v>
      </c>
      <c r="C134" s="4" t="s">
        <v>44</v>
      </c>
      <c r="D134">
        <v>43</v>
      </c>
      <c r="E134">
        <v>9</v>
      </c>
      <c r="F134">
        <v>0</v>
      </c>
      <c r="G134">
        <v>0</v>
      </c>
      <c r="H134">
        <v>14</v>
      </c>
      <c r="I134">
        <v>0</v>
      </c>
      <c r="J134">
        <v>2</v>
      </c>
      <c r="K134">
        <v>0</v>
      </c>
      <c r="L134">
        <v>0</v>
      </c>
      <c r="M134">
        <v>3</v>
      </c>
      <c r="N134">
        <v>0</v>
      </c>
      <c r="O134">
        <v>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</v>
      </c>
      <c r="AI134">
        <v>0</v>
      </c>
      <c r="AJ134">
        <v>0</v>
      </c>
      <c r="AK134">
        <v>0</v>
      </c>
      <c r="AL134">
        <v>3</v>
      </c>
      <c r="AM134">
        <v>0</v>
      </c>
      <c r="AN134">
        <v>0</v>
      </c>
      <c r="AO134">
        <v>0</v>
      </c>
      <c r="AP134" s="1">
        <v>0</v>
      </c>
    </row>
    <row r="135" spans="1:42" x14ac:dyDescent="0.3">
      <c r="A135" t="s">
        <v>41</v>
      </c>
      <c r="B135" t="s">
        <v>86</v>
      </c>
      <c r="C135" s="4" t="s">
        <v>40</v>
      </c>
      <c r="D135">
        <v>77</v>
      </c>
      <c r="E135">
        <v>6</v>
      </c>
      <c r="F135">
        <v>5</v>
      </c>
      <c r="G135">
        <v>0</v>
      </c>
      <c r="H135">
        <v>0</v>
      </c>
      <c r="I135">
        <v>0</v>
      </c>
      <c r="J135">
        <v>9</v>
      </c>
      <c r="K135">
        <v>0</v>
      </c>
      <c r="L135">
        <v>0</v>
      </c>
      <c r="M135">
        <v>11</v>
      </c>
      <c r="N135">
        <v>0</v>
      </c>
      <c r="O135">
        <v>5</v>
      </c>
      <c r="P135">
        <v>0</v>
      </c>
      <c r="Q135">
        <v>0</v>
      </c>
      <c r="R135">
        <v>0</v>
      </c>
      <c r="S135">
        <v>2</v>
      </c>
      <c r="T135">
        <v>1</v>
      </c>
      <c r="U135">
        <v>0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5</v>
      </c>
      <c r="AC135">
        <v>0</v>
      </c>
      <c r="AD135">
        <v>0</v>
      </c>
      <c r="AE135">
        <v>0</v>
      </c>
      <c r="AF135">
        <v>2</v>
      </c>
      <c r="AG135">
        <v>2</v>
      </c>
      <c r="AH135">
        <v>4</v>
      </c>
      <c r="AI135">
        <v>0</v>
      </c>
      <c r="AJ135">
        <v>2</v>
      </c>
      <c r="AK135">
        <v>7</v>
      </c>
      <c r="AL135">
        <v>11</v>
      </c>
      <c r="AM135">
        <v>0</v>
      </c>
      <c r="AN135">
        <v>0</v>
      </c>
      <c r="AO135">
        <v>0</v>
      </c>
      <c r="AP135" s="1">
        <v>1</v>
      </c>
    </row>
    <row r="136" spans="1:42" x14ac:dyDescent="0.3">
      <c r="A136" t="s">
        <v>41</v>
      </c>
      <c r="B136" t="s">
        <v>86</v>
      </c>
      <c r="C136" s="4" t="s">
        <v>43</v>
      </c>
      <c r="D136">
        <v>41</v>
      </c>
      <c r="E136">
        <v>3</v>
      </c>
      <c r="F136">
        <v>4</v>
      </c>
      <c r="G136">
        <v>0</v>
      </c>
      <c r="H136">
        <v>0</v>
      </c>
      <c r="I136">
        <v>0</v>
      </c>
      <c r="J136">
        <v>8</v>
      </c>
      <c r="K136">
        <v>0</v>
      </c>
      <c r="L136">
        <v>0</v>
      </c>
      <c r="M136">
        <v>4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1</v>
      </c>
      <c r="AK136">
        <v>3</v>
      </c>
      <c r="AL136">
        <v>8</v>
      </c>
      <c r="AM136">
        <v>0</v>
      </c>
      <c r="AN136">
        <v>0</v>
      </c>
      <c r="AO136">
        <v>0</v>
      </c>
      <c r="AP136" s="1">
        <v>0</v>
      </c>
    </row>
    <row r="137" spans="1:42" x14ac:dyDescent="0.3">
      <c r="A137" t="s">
        <v>41</v>
      </c>
      <c r="B137" t="s">
        <v>86</v>
      </c>
      <c r="C137" s="4" t="s">
        <v>44</v>
      </c>
      <c r="D137">
        <v>36</v>
      </c>
      <c r="E137">
        <v>3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7</v>
      </c>
      <c r="N137">
        <v>0</v>
      </c>
      <c r="O137">
        <v>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2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4</v>
      </c>
      <c r="AI137">
        <v>0</v>
      </c>
      <c r="AJ137">
        <v>1</v>
      </c>
      <c r="AK137">
        <v>4</v>
      </c>
      <c r="AL137">
        <v>3</v>
      </c>
      <c r="AM137">
        <v>0</v>
      </c>
      <c r="AN137">
        <v>0</v>
      </c>
      <c r="AO137">
        <v>0</v>
      </c>
      <c r="AP137" s="1">
        <v>1</v>
      </c>
    </row>
    <row r="138" spans="1:42" x14ac:dyDescent="0.3">
      <c r="A138" t="s">
        <v>41</v>
      </c>
      <c r="B138" t="s">
        <v>87</v>
      </c>
      <c r="C138" s="4" t="s">
        <v>40</v>
      </c>
      <c r="D138">
        <v>52</v>
      </c>
      <c r="E138">
        <v>3</v>
      </c>
      <c r="F138">
        <v>0</v>
      </c>
      <c r="G138">
        <v>0</v>
      </c>
      <c r="H138">
        <v>24</v>
      </c>
      <c r="I138">
        <v>0</v>
      </c>
      <c r="J138">
        <v>1</v>
      </c>
      <c r="K138">
        <v>0</v>
      </c>
      <c r="L138">
        <v>0</v>
      </c>
      <c r="M138">
        <v>7</v>
      </c>
      <c r="N138">
        <v>0</v>
      </c>
      <c r="O138">
        <v>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4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1</v>
      </c>
      <c r="AP138" s="1">
        <v>0</v>
      </c>
    </row>
    <row r="139" spans="1:42" x14ac:dyDescent="0.3">
      <c r="A139" t="s">
        <v>41</v>
      </c>
      <c r="B139" t="s">
        <v>87</v>
      </c>
      <c r="C139" s="4" t="s">
        <v>43</v>
      </c>
      <c r="D139">
        <v>20</v>
      </c>
      <c r="E139">
        <v>3</v>
      </c>
      <c r="F139">
        <v>0</v>
      </c>
      <c r="G139">
        <v>0</v>
      </c>
      <c r="H139">
        <v>11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 s="1">
        <v>0</v>
      </c>
    </row>
    <row r="140" spans="1:42" x14ac:dyDescent="0.3">
      <c r="A140" t="s">
        <v>41</v>
      </c>
      <c r="B140" t="s">
        <v>87</v>
      </c>
      <c r="C140" s="4" t="s">
        <v>44</v>
      </c>
      <c r="D140">
        <v>32</v>
      </c>
      <c r="E140">
        <v>0</v>
      </c>
      <c r="F140">
        <v>0</v>
      </c>
      <c r="G140">
        <v>0</v>
      </c>
      <c r="H140">
        <v>13</v>
      </c>
      <c r="I140">
        <v>0</v>
      </c>
      <c r="J140">
        <v>1</v>
      </c>
      <c r="K140">
        <v>0</v>
      </c>
      <c r="L140">
        <v>0</v>
      </c>
      <c r="M140">
        <v>7</v>
      </c>
      <c r="N140">
        <v>0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3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 s="1">
        <v>0</v>
      </c>
    </row>
    <row r="141" spans="1:42" x14ac:dyDescent="0.3">
      <c r="A141" t="s">
        <v>41</v>
      </c>
      <c r="B141" t="s">
        <v>88</v>
      </c>
      <c r="C141" s="4" t="s">
        <v>40</v>
      </c>
      <c r="D141">
        <v>46</v>
      </c>
      <c r="E141">
        <v>0</v>
      </c>
      <c r="F141">
        <v>0</v>
      </c>
      <c r="G141">
        <v>0</v>
      </c>
      <c r="H141">
        <v>26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</v>
      </c>
      <c r="AI141">
        <v>4</v>
      </c>
      <c r="AJ141">
        <v>5</v>
      </c>
      <c r="AK141">
        <v>2</v>
      </c>
      <c r="AL141">
        <v>0</v>
      </c>
      <c r="AM141">
        <v>0</v>
      </c>
      <c r="AN141">
        <v>0</v>
      </c>
      <c r="AO141">
        <v>0</v>
      </c>
      <c r="AP141" s="1">
        <v>0</v>
      </c>
    </row>
    <row r="142" spans="1:42" x14ac:dyDescent="0.3">
      <c r="A142" t="s">
        <v>41</v>
      </c>
      <c r="B142" t="s">
        <v>88</v>
      </c>
      <c r="C142" s="4" t="s">
        <v>43</v>
      </c>
      <c r="D142">
        <v>28</v>
      </c>
      <c r="E142">
        <v>0</v>
      </c>
      <c r="F142">
        <v>0</v>
      </c>
      <c r="G142">
        <v>0</v>
      </c>
      <c r="H142">
        <v>21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 s="1">
        <v>0</v>
      </c>
    </row>
    <row r="143" spans="1:42" x14ac:dyDescent="0.3">
      <c r="A143" t="s">
        <v>41</v>
      </c>
      <c r="B143" t="s">
        <v>88</v>
      </c>
      <c r="C143" s="4" t="s">
        <v>44</v>
      </c>
      <c r="D143">
        <v>18</v>
      </c>
      <c r="E143">
        <v>0</v>
      </c>
      <c r="F143">
        <v>0</v>
      </c>
      <c r="G143">
        <v>0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3</v>
      </c>
      <c r="AJ143">
        <v>4</v>
      </c>
      <c r="AK143">
        <v>2</v>
      </c>
      <c r="AL143">
        <v>0</v>
      </c>
      <c r="AM143">
        <v>0</v>
      </c>
      <c r="AN143">
        <v>0</v>
      </c>
      <c r="AO143">
        <v>0</v>
      </c>
      <c r="AP143" s="1">
        <v>0</v>
      </c>
    </row>
    <row r="144" spans="1:42" x14ac:dyDescent="0.3">
      <c r="A144" t="s">
        <v>41</v>
      </c>
      <c r="B144" t="s">
        <v>89</v>
      </c>
      <c r="C144" s="4" t="s">
        <v>40</v>
      </c>
      <c r="D144">
        <v>38</v>
      </c>
      <c r="E144">
        <v>0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</v>
      </c>
      <c r="N144">
        <v>0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0</v>
      </c>
      <c r="AI144">
        <v>0</v>
      </c>
      <c r="AJ144">
        <v>3</v>
      </c>
      <c r="AK144">
        <v>8</v>
      </c>
      <c r="AL144">
        <v>2</v>
      </c>
      <c r="AM144">
        <v>0</v>
      </c>
      <c r="AN144">
        <v>0</v>
      </c>
      <c r="AO144">
        <v>0</v>
      </c>
      <c r="AP144" s="1">
        <v>0</v>
      </c>
    </row>
    <row r="145" spans="1:42" x14ac:dyDescent="0.3">
      <c r="A145" t="s">
        <v>41</v>
      </c>
      <c r="B145" t="s">
        <v>89</v>
      </c>
      <c r="C145" s="4" t="s">
        <v>43</v>
      </c>
      <c r="D145">
        <v>13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3</v>
      </c>
      <c r="AK145">
        <v>2</v>
      </c>
      <c r="AL145">
        <v>1</v>
      </c>
      <c r="AM145">
        <v>0</v>
      </c>
      <c r="AN145">
        <v>0</v>
      </c>
      <c r="AO145">
        <v>0</v>
      </c>
      <c r="AP145" s="1">
        <v>0</v>
      </c>
    </row>
    <row r="146" spans="1:42" x14ac:dyDescent="0.3">
      <c r="A146" t="s">
        <v>41</v>
      </c>
      <c r="B146" t="s">
        <v>89</v>
      </c>
      <c r="C146" s="4" t="s">
        <v>44</v>
      </c>
      <c r="D146">
        <v>25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</v>
      </c>
      <c r="N146">
        <v>0</v>
      </c>
      <c r="O146">
        <v>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6</v>
      </c>
      <c r="AL146">
        <v>1</v>
      </c>
      <c r="AM146">
        <v>0</v>
      </c>
      <c r="AN146">
        <v>0</v>
      </c>
      <c r="AO146">
        <v>0</v>
      </c>
      <c r="AP146" s="1">
        <v>0</v>
      </c>
    </row>
    <row r="147" spans="1:42" x14ac:dyDescent="0.3">
      <c r="A147" t="s">
        <v>41</v>
      </c>
      <c r="B147" t="s">
        <v>90</v>
      </c>
      <c r="C147" s="4" t="s">
        <v>40</v>
      </c>
      <c r="D147">
        <v>14</v>
      </c>
      <c r="E147">
        <v>0</v>
      </c>
      <c r="F147">
        <v>0</v>
      </c>
      <c r="G147">
        <v>0</v>
      </c>
      <c r="H147">
        <v>10</v>
      </c>
      <c r="I147">
        <v>0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 s="1">
        <v>0</v>
      </c>
    </row>
    <row r="148" spans="1:42" x14ac:dyDescent="0.3">
      <c r="A148" t="s">
        <v>41</v>
      </c>
      <c r="B148" t="s">
        <v>90</v>
      </c>
      <c r="C148" s="4" t="s">
        <v>43</v>
      </c>
      <c r="D148">
        <v>7</v>
      </c>
      <c r="E148">
        <v>0</v>
      </c>
      <c r="F148">
        <v>0</v>
      </c>
      <c r="G148">
        <v>0</v>
      </c>
      <c r="H148">
        <v>5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1">
        <v>0</v>
      </c>
    </row>
    <row r="149" spans="1:42" x14ac:dyDescent="0.3">
      <c r="A149" t="s">
        <v>41</v>
      </c>
      <c r="B149" t="s">
        <v>90</v>
      </c>
      <c r="C149" s="4" t="s">
        <v>44</v>
      </c>
      <c r="D149">
        <v>7</v>
      </c>
      <c r="E149">
        <v>0</v>
      </c>
      <c r="F149">
        <v>0</v>
      </c>
      <c r="G149">
        <v>0</v>
      </c>
      <c r="H149">
        <v>5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 s="1">
        <v>0</v>
      </c>
    </row>
    <row r="150" spans="1:42" x14ac:dyDescent="0.3">
      <c r="A150" t="s">
        <v>41</v>
      </c>
      <c r="B150" t="s">
        <v>91</v>
      </c>
      <c r="C150" s="4" t="s">
        <v>40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0</v>
      </c>
      <c r="AM150">
        <v>0</v>
      </c>
      <c r="AN150">
        <v>0</v>
      </c>
      <c r="AO150">
        <v>0</v>
      </c>
      <c r="AP150" s="1">
        <v>0</v>
      </c>
    </row>
    <row r="151" spans="1:42" x14ac:dyDescent="0.3">
      <c r="A151" t="s">
        <v>41</v>
      </c>
      <c r="B151" t="s">
        <v>91</v>
      </c>
      <c r="C151" s="4" t="s">
        <v>43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</v>
      </c>
      <c r="AL151">
        <v>0</v>
      </c>
      <c r="AM151">
        <v>0</v>
      </c>
      <c r="AN151">
        <v>0</v>
      </c>
      <c r="AO151">
        <v>0</v>
      </c>
      <c r="AP151" s="1">
        <v>0</v>
      </c>
    </row>
    <row r="152" spans="1:42" x14ac:dyDescent="0.3">
      <c r="A152" t="s">
        <v>41</v>
      </c>
      <c r="B152" t="s">
        <v>91</v>
      </c>
      <c r="C152" s="4" t="s">
        <v>44</v>
      </c>
      <c r="D152">
        <v>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1">
        <v>0</v>
      </c>
    </row>
    <row r="153" spans="1:42" x14ac:dyDescent="0.3">
      <c r="A153" t="s">
        <v>92</v>
      </c>
      <c r="B153" t="s">
        <v>40</v>
      </c>
      <c r="C153" s="4" t="s">
        <v>40</v>
      </c>
      <c r="D153" s="1">
        <v>209584</v>
      </c>
      <c r="E153">
        <v>957</v>
      </c>
      <c r="F153">
        <v>957</v>
      </c>
      <c r="G153">
        <v>418</v>
      </c>
      <c r="H153" s="1">
        <v>52444</v>
      </c>
      <c r="I153">
        <v>1</v>
      </c>
      <c r="J153">
        <v>220</v>
      </c>
      <c r="K153">
        <v>56</v>
      </c>
      <c r="L153">
        <v>2</v>
      </c>
      <c r="M153" s="1">
        <v>2035</v>
      </c>
      <c r="N153">
        <v>0</v>
      </c>
      <c r="O153">
        <v>366</v>
      </c>
      <c r="P153">
        <v>30</v>
      </c>
      <c r="Q153">
        <v>507</v>
      </c>
      <c r="R153">
        <v>167</v>
      </c>
      <c r="S153">
        <v>343</v>
      </c>
      <c r="T153">
        <v>34</v>
      </c>
      <c r="U153">
        <v>185</v>
      </c>
      <c r="V153">
        <v>541</v>
      </c>
      <c r="W153" s="1">
        <v>6504</v>
      </c>
      <c r="X153">
        <v>76</v>
      </c>
      <c r="Y153">
        <v>59</v>
      </c>
      <c r="Z153">
        <v>20</v>
      </c>
      <c r="AA153">
        <v>231</v>
      </c>
      <c r="AB153" s="1">
        <v>1665</v>
      </c>
      <c r="AC153">
        <v>0</v>
      </c>
      <c r="AD153">
        <v>0</v>
      </c>
      <c r="AE153">
        <v>0</v>
      </c>
      <c r="AF153" s="1">
        <v>1080</v>
      </c>
      <c r="AG153" s="1">
        <v>1294</v>
      </c>
      <c r="AH153" s="1">
        <v>2154</v>
      </c>
      <c r="AI153" s="1">
        <v>71055</v>
      </c>
      <c r="AJ153" s="1">
        <v>2867</v>
      </c>
      <c r="AK153" s="1">
        <v>6341</v>
      </c>
      <c r="AL153">
        <v>51</v>
      </c>
      <c r="AM153">
        <v>160</v>
      </c>
      <c r="AN153" s="1">
        <v>0</v>
      </c>
      <c r="AO153">
        <v>6</v>
      </c>
      <c r="AP153" s="1">
        <v>56758</v>
      </c>
    </row>
    <row r="154" spans="1:42" x14ac:dyDescent="0.3">
      <c r="A154" t="s">
        <v>92</v>
      </c>
      <c r="B154" t="s">
        <v>40</v>
      </c>
      <c r="C154" s="4" t="s">
        <v>43</v>
      </c>
      <c r="D154" s="1">
        <f>D158+D162</f>
        <v>114232</v>
      </c>
      <c r="E154" s="1">
        <f t="shared" ref="E154:AP154" si="5">E158+E162</f>
        <v>526</v>
      </c>
      <c r="F154" s="1">
        <f t="shared" si="5"/>
        <v>595</v>
      </c>
      <c r="G154" s="1">
        <f t="shared" si="5"/>
        <v>209</v>
      </c>
      <c r="H154" s="1">
        <f t="shared" si="5"/>
        <v>26492</v>
      </c>
      <c r="I154" s="1">
        <f t="shared" si="5"/>
        <v>1</v>
      </c>
      <c r="J154" s="1">
        <f t="shared" si="5"/>
        <v>132</v>
      </c>
      <c r="K154" s="1">
        <f t="shared" si="5"/>
        <v>45</v>
      </c>
      <c r="L154" s="1">
        <f t="shared" si="5"/>
        <v>2</v>
      </c>
      <c r="M154" s="1">
        <f t="shared" si="5"/>
        <v>824</v>
      </c>
      <c r="N154" s="1">
        <f t="shared" si="5"/>
        <v>0</v>
      </c>
      <c r="O154" s="1">
        <f t="shared" si="5"/>
        <v>131</v>
      </c>
      <c r="P154" s="1">
        <f t="shared" si="5"/>
        <v>22</v>
      </c>
      <c r="Q154" s="1">
        <f t="shared" si="5"/>
        <v>318</v>
      </c>
      <c r="R154" s="1">
        <f t="shared" si="5"/>
        <v>154</v>
      </c>
      <c r="S154" s="1">
        <f t="shared" si="5"/>
        <v>298</v>
      </c>
      <c r="T154" s="1">
        <f t="shared" si="5"/>
        <v>31</v>
      </c>
      <c r="U154" s="1">
        <f t="shared" si="5"/>
        <v>86</v>
      </c>
      <c r="V154" s="1">
        <f t="shared" si="5"/>
        <v>406</v>
      </c>
      <c r="W154" s="1">
        <f t="shared" si="5"/>
        <v>2136</v>
      </c>
      <c r="X154" s="1">
        <f t="shared" si="5"/>
        <v>68</v>
      </c>
      <c r="Y154" s="1">
        <f t="shared" si="5"/>
        <v>59</v>
      </c>
      <c r="Z154" s="1">
        <f t="shared" si="5"/>
        <v>20</v>
      </c>
      <c r="AA154" s="1">
        <f t="shared" si="5"/>
        <v>141</v>
      </c>
      <c r="AB154" s="1">
        <f t="shared" si="5"/>
        <v>971</v>
      </c>
      <c r="AC154" s="1">
        <f t="shared" si="5"/>
        <v>0</v>
      </c>
      <c r="AD154" s="1">
        <f t="shared" si="5"/>
        <v>0</v>
      </c>
      <c r="AE154" s="1">
        <f t="shared" si="5"/>
        <v>0</v>
      </c>
      <c r="AF154" s="1">
        <f t="shared" si="5"/>
        <v>698</v>
      </c>
      <c r="AG154" s="1">
        <f t="shared" si="5"/>
        <v>690</v>
      </c>
      <c r="AH154" s="1">
        <f t="shared" si="5"/>
        <v>1110</v>
      </c>
      <c r="AI154" s="1">
        <f t="shared" si="5"/>
        <v>30228</v>
      </c>
      <c r="AJ154" s="1">
        <f t="shared" si="5"/>
        <v>1839</v>
      </c>
      <c r="AK154" s="1">
        <f t="shared" si="5"/>
        <v>4234</v>
      </c>
      <c r="AL154" s="1">
        <f t="shared" si="5"/>
        <v>27</v>
      </c>
      <c r="AM154" s="1">
        <f t="shared" si="5"/>
        <v>62</v>
      </c>
      <c r="AN154" s="1">
        <f t="shared" si="5"/>
        <v>0</v>
      </c>
      <c r="AO154" s="1">
        <f t="shared" si="5"/>
        <v>2</v>
      </c>
      <c r="AP154" s="1">
        <f t="shared" si="5"/>
        <v>41675</v>
      </c>
    </row>
    <row r="155" spans="1:42" x14ac:dyDescent="0.3">
      <c r="A155" t="s">
        <v>92</v>
      </c>
      <c r="B155" t="s">
        <v>40</v>
      </c>
      <c r="C155" s="4" t="s">
        <v>44</v>
      </c>
      <c r="D155" s="1">
        <f>D159+D163</f>
        <v>95340</v>
      </c>
      <c r="E155" s="1">
        <f t="shared" ref="E155:AP155" si="6">E159+E163</f>
        <v>431</v>
      </c>
      <c r="F155" s="1">
        <f t="shared" si="6"/>
        <v>362</v>
      </c>
      <c r="G155" s="1">
        <f t="shared" si="6"/>
        <v>209</v>
      </c>
      <c r="H155" s="1">
        <f t="shared" si="6"/>
        <v>25942</v>
      </c>
      <c r="I155" s="1">
        <f t="shared" si="6"/>
        <v>0</v>
      </c>
      <c r="J155" s="1">
        <f t="shared" si="6"/>
        <v>88</v>
      </c>
      <c r="K155" s="1">
        <f t="shared" si="6"/>
        <v>11</v>
      </c>
      <c r="L155" s="1">
        <f t="shared" si="6"/>
        <v>0</v>
      </c>
      <c r="M155" s="1">
        <f t="shared" si="6"/>
        <v>1211</v>
      </c>
      <c r="N155" s="1">
        <f t="shared" si="6"/>
        <v>0</v>
      </c>
      <c r="O155" s="1">
        <f t="shared" si="6"/>
        <v>235</v>
      </c>
      <c r="P155" s="1">
        <f t="shared" si="6"/>
        <v>8</v>
      </c>
      <c r="Q155" s="1">
        <f t="shared" si="6"/>
        <v>189</v>
      </c>
      <c r="R155" s="1">
        <f t="shared" si="6"/>
        <v>13</v>
      </c>
      <c r="S155" s="1">
        <f t="shared" si="6"/>
        <v>45</v>
      </c>
      <c r="T155" s="1">
        <f t="shared" si="6"/>
        <v>3</v>
      </c>
      <c r="U155" s="1">
        <f t="shared" si="6"/>
        <v>99</v>
      </c>
      <c r="V155" s="1">
        <f t="shared" si="6"/>
        <v>135</v>
      </c>
      <c r="W155" s="1">
        <f t="shared" si="6"/>
        <v>4368</v>
      </c>
      <c r="X155" s="1">
        <f t="shared" si="6"/>
        <v>8</v>
      </c>
      <c r="Y155" s="1">
        <f t="shared" si="6"/>
        <v>0</v>
      </c>
      <c r="Z155" s="1">
        <f t="shared" si="6"/>
        <v>0</v>
      </c>
      <c r="AA155" s="1">
        <f t="shared" si="6"/>
        <v>90</v>
      </c>
      <c r="AB155" s="1">
        <f t="shared" si="6"/>
        <v>694</v>
      </c>
      <c r="AC155" s="1">
        <f t="shared" si="6"/>
        <v>0</v>
      </c>
      <c r="AD155" s="1">
        <f t="shared" si="6"/>
        <v>0</v>
      </c>
      <c r="AE155" s="1">
        <f t="shared" si="6"/>
        <v>0</v>
      </c>
      <c r="AF155" s="1">
        <f t="shared" si="6"/>
        <v>382</v>
      </c>
      <c r="AG155" s="1">
        <f t="shared" si="6"/>
        <v>604</v>
      </c>
      <c r="AH155" s="1">
        <f t="shared" si="6"/>
        <v>1044</v>
      </c>
      <c r="AI155" s="1">
        <f t="shared" si="6"/>
        <v>40826</v>
      </c>
      <c r="AJ155" s="1">
        <f t="shared" si="6"/>
        <v>1028</v>
      </c>
      <c r="AK155" s="1">
        <f t="shared" si="6"/>
        <v>2107</v>
      </c>
      <c r="AL155" s="1">
        <f t="shared" si="6"/>
        <v>24</v>
      </c>
      <c r="AM155" s="1">
        <f t="shared" si="6"/>
        <v>98</v>
      </c>
      <c r="AN155" s="1">
        <f t="shared" si="6"/>
        <v>0</v>
      </c>
      <c r="AO155" s="1">
        <f t="shared" si="6"/>
        <v>4</v>
      </c>
      <c r="AP155" s="1">
        <f t="shared" si="6"/>
        <v>15082</v>
      </c>
    </row>
    <row r="156" spans="1:42" x14ac:dyDescent="0.3">
      <c r="A156" t="s">
        <v>92</v>
      </c>
      <c r="B156" t="s">
        <v>40</v>
      </c>
      <c r="C156" s="4" t="s">
        <v>94</v>
      </c>
      <c r="D156" s="1">
        <f>D160</f>
        <v>12</v>
      </c>
      <c r="E156" s="1">
        <f t="shared" ref="E156:AP156" si="7">E160</f>
        <v>0</v>
      </c>
      <c r="F156" s="1">
        <f t="shared" si="7"/>
        <v>0</v>
      </c>
      <c r="G156" s="1">
        <f t="shared" si="7"/>
        <v>0</v>
      </c>
      <c r="H156" s="1">
        <f t="shared" si="7"/>
        <v>10</v>
      </c>
      <c r="I156" s="1">
        <f t="shared" si="7"/>
        <v>0</v>
      </c>
      <c r="J156" s="1">
        <f t="shared" si="7"/>
        <v>0</v>
      </c>
      <c r="K156" s="1">
        <f t="shared" si="7"/>
        <v>0</v>
      </c>
      <c r="L156" s="1">
        <f t="shared" si="7"/>
        <v>0</v>
      </c>
      <c r="M156" s="1">
        <f t="shared" si="7"/>
        <v>0</v>
      </c>
      <c r="N156" s="1">
        <f t="shared" si="7"/>
        <v>0</v>
      </c>
      <c r="O156" s="1">
        <f t="shared" si="7"/>
        <v>0</v>
      </c>
      <c r="P156" s="1">
        <f t="shared" si="7"/>
        <v>0</v>
      </c>
      <c r="Q156" s="1">
        <f t="shared" si="7"/>
        <v>0</v>
      </c>
      <c r="R156" s="1">
        <f t="shared" si="7"/>
        <v>0</v>
      </c>
      <c r="S156" s="1">
        <f t="shared" si="7"/>
        <v>0</v>
      </c>
      <c r="T156" s="1">
        <f t="shared" si="7"/>
        <v>0</v>
      </c>
      <c r="U156" s="1">
        <f t="shared" si="7"/>
        <v>0</v>
      </c>
      <c r="V156" s="1">
        <f t="shared" si="7"/>
        <v>0</v>
      </c>
      <c r="W156" s="1">
        <f t="shared" si="7"/>
        <v>0</v>
      </c>
      <c r="X156" s="1">
        <f t="shared" si="7"/>
        <v>0</v>
      </c>
      <c r="Y156" s="1">
        <f t="shared" si="7"/>
        <v>0</v>
      </c>
      <c r="Z156" s="1">
        <f t="shared" si="7"/>
        <v>0</v>
      </c>
      <c r="AA156" s="1">
        <f t="shared" si="7"/>
        <v>0</v>
      </c>
      <c r="AB156" s="1">
        <f t="shared" si="7"/>
        <v>0</v>
      </c>
      <c r="AC156" s="1">
        <f t="shared" si="7"/>
        <v>0</v>
      </c>
      <c r="AD156" s="1">
        <f t="shared" si="7"/>
        <v>0</v>
      </c>
      <c r="AE156" s="1">
        <f t="shared" si="7"/>
        <v>0</v>
      </c>
      <c r="AF156" s="1">
        <f t="shared" si="7"/>
        <v>0</v>
      </c>
      <c r="AG156" s="1">
        <f t="shared" si="7"/>
        <v>0</v>
      </c>
      <c r="AH156" s="1">
        <f t="shared" si="7"/>
        <v>0</v>
      </c>
      <c r="AI156" s="1">
        <f t="shared" si="7"/>
        <v>1</v>
      </c>
      <c r="AJ156" s="1">
        <f t="shared" si="7"/>
        <v>0</v>
      </c>
      <c r="AK156" s="1">
        <f t="shared" si="7"/>
        <v>0</v>
      </c>
      <c r="AL156" s="1">
        <f t="shared" si="7"/>
        <v>0</v>
      </c>
      <c r="AM156" s="1">
        <f t="shared" si="7"/>
        <v>0</v>
      </c>
      <c r="AN156" s="1">
        <f t="shared" si="7"/>
        <v>0</v>
      </c>
      <c r="AO156" s="1">
        <f t="shared" si="7"/>
        <v>0</v>
      </c>
      <c r="AP156" s="1">
        <f t="shared" si="7"/>
        <v>1</v>
      </c>
    </row>
    <row r="157" spans="1:42" x14ac:dyDescent="0.3">
      <c r="A157" t="s">
        <v>92</v>
      </c>
      <c r="B157" t="s">
        <v>93</v>
      </c>
      <c r="C157" s="4" t="s">
        <v>40</v>
      </c>
      <c r="D157" s="1">
        <v>180230</v>
      </c>
      <c r="E157">
        <v>863</v>
      </c>
      <c r="F157">
        <v>853</v>
      </c>
      <c r="G157">
        <v>359</v>
      </c>
      <c r="H157" s="1">
        <v>45616</v>
      </c>
      <c r="I157">
        <v>1</v>
      </c>
      <c r="J157">
        <v>207</v>
      </c>
      <c r="K157">
        <v>38</v>
      </c>
      <c r="L157">
        <v>2</v>
      </c>
      <c r="M157" s="1">
        <v>1825</v>
      </c>
      <c r="N157">
        <v>0</v>
      </c>
      <c r="O157">
        <v>326</v>
      </c>
      <c r="P157">
        <v>29</v>
      </c>
      <c r="Q157">
        <v>488</v>
      </c>
      <c r="R157">
        <v>161</v>
      </c>
      <c r="S157">
        <v>297</v>
      </c>
      <c r="T157">
        <v>27</v>
      </c>
      <c r="U157">
        <v>164</v>
      </c>
      <c r="V157">
        <v>407</v>
      </c>
      <c r="W157" s="1">
        <v>5644</v>
      </c>
      <c r="X157">
        <v>65</v>
      </c>
      <c r="Y157">
        <v>38</v>
      </c>
      <c r="Z157">
        <v>7</v>
      </c>
      <c r="AA157">
        <v>194</v>
      </c>
      <c r="AB157" s="1">
        <v>1379</v>
      </c>
      <c r="AC157">
        <v>0</v>
      </c>
      <c r="AD157">
        <v>0</v>
      </c>
      <c r="AE157">
        <v>0</v>
      </c>
      <c r="AF157">
        <v>994</v>
      </c>
      <c r="AG157" s="1">
        <v>1086</v>
      </c>
      <c r="AH157" s="1">
        <v>1923</v>
      </c>
      <c r="AI157" s="1">
        <v>53302</v>
      </c>
      <c r="AJ157" s="1">
        <v>2010</v>
      </c>
      <c r="AK157" s="1">
        <v>5092</v>
      </c>
      <c r="AL157">
        <v>49</v>
      </c>
      <c r="AM157">
        <v>66</v>
      </c>
      <c r="AN157" s="1">
        <v>0</v>
      </c>
      <c r="AO157">
        <v>4</v>
      </c>
      <c r="AP157" s="1">
        <v>56714</v>
      </c>
    </row>
    <row r="158" spans="1:42" x14ac:dyDescent="0.3">
      <c r="A158" t="s">
        <v>92</v>
      </c>
      <c r="B158" t="s">
        <v>93</v>
      </c>
      <c r="C158" s="4" t="s">
        <v>43</v>
      </c>
      <c r="D158" s="1">
        <v>100478</v>
      </c>
      <c r="E158">
        <v>474</v>
      </c>
      <c r="F158">
        <v>539</v>
      </c>
      <c r="G158">
        <v>178</v>
      </c>
      <c r="H158" s="1">
        <v>23041</v>
      </c>
      <c r="I158">
        <v>1</v>
      </c>
      <c r="J158">
        <v>126</v>
      </c>
      <c r="K158">
        <v>31</v>
      </c>
      <c r="L158">
        <v>2</v>
      </c>
      <c r="M158">
        <v>734</v>
      </c>
      <c r="N158">
        <v>0</v>
      </c>
      <c r="O158">
        <v>117</v>
      </c>
      <c r="P158">
        <v>22</v>
      </c>
      <c r="Q158">
        <v>308</v>
      </c>
      <c r="R158">
        <v>148</v>
      </c>
      <c r="S158">
        <v>256</v>
      </c>
      <c r="T158">
        <v>25</v>
      </c>
      <c r="U158">
        <v>74</v>
      </c>
      <c r="V158">
        <v>301</v>
      </c>
      <c r="W158" s="1">
        <v>1715</v>
      </c>
      <c r="X158">
        <v>59</v>
      </c>
      <c r="Y158">
        <v>38</v>
      </c>
      <c r="Z158">
        <v>7</v>
      </c>
      <c r="AA158">
        <v>116</v>
      </c>
      <c r="AB158">
        <v>793</v>
      </c>
      <c r="AC158">
        <v>0</v>
      </c>
      <c r="AD158">
        <v>0</v>
      </c>
      <c r="AE158">
        <v>0</v>
      </c>
      <c r="AF158">
        <v>635</v>
      </c>
      <c r="AG158">
        <v>581</v>
      </c>
      <c r="AH158">
        <v>992</v>
      </c>
      <c r="AI158" s="1">
        <v>22884</v>
      </c>
      <c r="AJ158" s="1">
        <v>1274</v>
      </c>
      <c r="AK158" s="1">
        <v>3305</v>
      </c>
      <c r="AL158">
        <v>25</v>
      </c>
      <c r="AM158">
        <v>23</v>
      </c>
      <c r="AN158" s="1">
        <v>0</v>
      </c>
      <c r="AO158">
        <v>1</v>
      </c>
      <c r="AP158" s="1">
        <v>41653</v>
      </c>
    </row>
    <row r="159" spans="1:42" x14ac:dyDescent="0.3">
      <c r="A159" t="s">
        <v>92</v>
      </c>
      <c r="B159" t="s">
        <v>93</v>
      </c>
      <c r="C159" s="4" t="s">
        <v>44</v>
      </c>
      <c r="D159" s="1">
        <v>79740</v>
      </c>
      <c r="E159">
        <v>389</v>
      </c>
      <c r="F159">
        <v>314</v>
      </c>
      <c r="G159">
        <v>181</v>
      </c>
      <c r="H159" s="1">
        <v>22565</v>
      </c>
      <c r="I159">
        <v>0</v>
      </c>
      <c r="J159">
        <v>81</v>
      </c>
      <c r="K159">
        <v>7</v>
      </c>
      <c r="L159">
        <v>0</v>
      </c>
      <c r="M159" s="1">
        <v>1091</v>
      </c>
      <c r="N159">
        <v>0</v>
      </c>
      <c r="O159">
        <v>209</v>
      </c>
      <c r="P159">
        <v>7</v>
      </c>
      <c r="Q159">
        <v>180</v>
      </c>
      <c r="R159">
        <v>13</v>
      </c>
      <c r="S159">
        <v>41</v>
      </c>
      <c r="T159">
        <v>2</v>
      </c>
      <c r="U159">
        <v>90</v>
      </c>
      <c r="V159">
        <v>106</v>
      </c>
      <c r="W159" s="1">
        <v>3929</v>
      </c>
      <c r="X159">
        <v>6</v>
      </c>
      <c r="Y159">
        <v>0</v>
      </c>
      <c r="Z159">
        <v>0</v>
      </c>
      <c r="AA159">
        <v>78</v>
      </c>
      <c r="AB159">
        <v>586</v>
      </c>
      <c r="AC159">
        <v>0</v>
      </c>
      <c r="AD159">
        <v>0</v>
      </c>
      <c r="AE159">
        <v>0</v>
      </c>
      <c r="AF159">
        <v>359</v>
      </c>
      <c r="AG159">
        <v>505</v>
      </c>
      <c r="AH159">
        <v>931</v>
      </c>
      <c r="AI159" s="1">
        <v>30417</v>
      </c>
      <c r="AJ159">
        <v>736</v>
      </c>
      <c r="AK159" s="1">
        <v>1787</v>
      </c>
      <c r="AL159">
        <v>24</v>
      </c>
      <c r="AM159">
        <v>43</v>
      </c>
      <c r="AN159">
        <v>0</v>
      </c>
      <c r="AO159">
        <v>3</v>
      </c>
      <c r="AP159" s="1">
        <v>15060</v>
      </c>
    </row>
    <row r="160" spans="1:42" x14ac:dyDescent="0.3">
      <c r="A160" t="s">
        <v>92</v>
      </c>
      <c r="B160" t="s">
        <v>93</v>
      </c>
      <c r="C160" s="4" t="s">
        <v>94</v>
      </c>
      <c r="D160">
        <v>12</v>
      </c>
      <c r="E160">
        <v>0</v>
      </c>
      <c r="F160">
        <v>0</v>
      </c>
      <c r="G160">
        <v>0</v>
      </c>
      <c r="H160">
        <v>10</v>
      </c>
      <c r="I160">
        <v>0</v>
      </c>
      <c r="J160">
        <v>0</v>
      </c>
      <c r="K160">
        <v>0</v>
      </c>
      <c r="L160">
        <v>0</v>
      </c>
      <c r="M160" s="1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1">
        <v>0</v>
      </c>
      <c r="X160">
        <v>0</v>
      </c>
      <c r="Y160">
        <v>0</v>
      </c>
      <c r="Z160">
        <v>0</v>
      </c>
      <c r="AA160">
        <v>0</v>
      </c>
      <c r="AB160" s="1">
        <v>0</v>
      </c>
      <c r="AC160">
        <v>0</v>
      </c>
      <c r="AD160">
        <v>0</v>
      </c>
      <c r="AE160">
        <v>0</v>
      </c>
      <c r="AF160">
        <v>0</v>
      </c>
      <c r="AG160" s="1">
        <v>0</v>
      </c>
      <c r="AH160" s="1">
        <v>0</v>
      </c>
      <c r="AI160">
        <v>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</v>
      </c>
    </row>
    <row r="161" spans="1:42" x14ac:dyDescent="0.3">
      <c r="A161" t="s">
        <v>92</v>
      </c>
      <c r="B161" t="s">
        <v>95</v>
      </c>
      <c r="C161" s="4" t="s">
        <v>40</v>
      </c>
      <c r="D161" s="1">
        <v>29354</v>
      </c>
      <c r="E161">
        <v>94</v>
      </c>
      <c r="F161">
        <v>104</v>
      </c>
      <c r="G161">
        <v>59</v>
      </c>
      <c r="H161" s="1">
        <v>6828</v>
      </c>
      <c r="I161">
        <v>0</v>
      </c>
      <c r="J161">
        <v>13</v>
      </c>
      <c r="K161">
        <v>18</v>
      </c>
      <c r="L161">
        <v>0</v>
      </c>
      <c r="M161">
        <v>210</v>
      </c>
      <c r="N161">
        <v>0</v>
      </c>
      <c r="O161">
        <v>40</v>
      </c>
      <c r="P161">
        <v>1</v>
      </c>
      <c r="Q161">
        <v>19</v>
      </c>
      <c r="R161">
        <v>6</v>
      </c>
      <c r="S161">
        <v>46</v>
      </c>
      <c r="T161">
        <v>7</v>
      </c>
      <c r="U161">
        <v>21</v>
      </c>
      <c r="V161">
        <v>134</v>
      </c>
      <c r="W161">
        <v>860</v>
      </c>
      <c r="X161">
        <v>11</v>
      </c>
      <c r="Y161">
        <v>21</v>
      </c>
      <c r="Z161">
        <v>13</v>
      </c>
      <c r="AA161">
        <v>37</v>
      </c>
      <c r="AB161">
        <v>286</v>
      </c>
      <c r="AC161">
        <v>0</v>
      </c>
      <c r="AD161">
        <v>0</v>
      </c>
      <c r="AE161">
        <v>0</v>
      </c>
      <c r="AF161">
        <v>86</v>
      </c>
      <c r="AG161">
        <v>208</v>
      </c>
      <c r="AH161">
        <v>231</v>
      </c>
      <c r="AI161" s="1">
        <v>17753</v>
      </c>
      <c r="AJ161">
        <v>857</v>
      </c>
      <c r="AK161" s="1">
        <v>1249</v>
      </c>
      <c r="AL161">
        <v>2</v>
      </c>
      <c r="AM161">
        <v>94</v>
      </c>
      <c r="AN161" s="1">
        <v>0</v>
      </c>
      <c r="AO161">
        <v>2</v>
      </c>
      <c r="AP161" s="1">
        <v>44</v>
      </c>
    </row>
    <row r="162" spans="1:42" x14ac:dyDescent="0.3">
      <c r="A162" t="s">
        <v>92</v>
      </c>
      <c r="B162" t="s">
        <v>95</v>
      </c>
      <c r="C162" s="4" t="s">
        <v>43</v>
      </c>
      <c r="D162" s="1">
        <v>13754</v>
      </c>
      <c r="E162">
        <v>52</v>
      </c>
      <c r="F162">
        <v>56</v>
      </c>
      <c r="G162">
        <v>31</v>
      </c>
      <c r="H162" s="1">
        <v>3451</v>
      </c>
      <c r="I162">
        <v>0</v>
      </c>
      <c r="J162">
        <v>6</v>
      </c>
      <c r="K162">
        <v>14</v>
      </c>
      <c r="L162">
        <v>0</v>
      </c>
      <c r="M162">
        <v>90</v>
      </c>
      <c r="N162">
        <v>0</v>
      </c>
      <c r="O162">
        <v>14</v>
      </c>
      <c r="P162">
        <v>0</v>
      </c>
      <c r="Q162">
        <v>10</v>
      </c>
      <c r="R162">
        <v>6</v>
      </c>
      <c r="S162">
        <v>42</v>
      </c>
      <c r="T162">
        <v>6</v>
      </c>
      <c r="U162">
        <v>12</v>
      </c>
      <c r="V162">
        <v>105</v>
      </c>
      <c r="W162">
        <v>421</v>
      </c>
      <c r="X162">
        <v>9</v>
      </c>
      <c r="Y162">
        <v>21</v>
      </c>
      <c r="Z162">
        <v>13</v>
      </c>
      <c r="AA162">
        <v>25</v>
      </c>
      <c r="AB162">
        <v>178</v>
      </c>
      <c r="AC162">
        <v>0</v>
      </c>
      <c r="AD162">
        <v>0</v>
      </c>
      <c r="AE162">
        <v>0</v>
      </c>
      <c r="AF162">
        <v>63</v>
      </c>
      <c r="AG162">
        <v>109</v>
      </c>
      <c r="AH162">
        <v>118</v>
      </c>
      <c r="AI162" s="1">
        <v>7344</v>
      </c>
      <c r="AJ162">
        <v>565</v>
      </c>
      <c r="AK162">
        <v>929</v>
      </c>
      <c r="AL162">
        <v>2</v>
      </c>
      <c r="AM162">
        <v>39</v>
      </c>
      <c r="AN162" s="1">
        <v>0</v>
      </c>
      <c r="AO162">
        <v>1</v>
      </c>
      <c r="AP162" s="1">
        <v>22</v>
      </c>
    </row>
    <row r="163" spans="1:42" x14ac:dyDescent="0.3">
      <c r="A163" t="s">
        <v>92</v>
      </c>
      <c r="B163" t="s">
        <v>95</v>
      </c>
      <c r="C163" s="4" t="s">
        <v>44</v>
      </c>
      <c r="D163" s="1">
        <v>15600</v>
      </c>
      <c r="E163">
        <v>42</v>
      </c>
      <c r="F163">
        <v>48</v>
      </c>
      <c r="G163">
        <v>28</v>
      </c>
      <c r="H163" s="1">
        <v>3377</v>
      </c>
      <c r="I163">
        <v>0</v>
      </c>
      <c r="J163">
        <v>7</v>
      </c>
      <c r="K163">
        <v>4</v>
      </c>
      <c r="L163">
        <v>0</v>
      </c>
      <c r="M163">
        <v>120</v>
      </c>
      <c r="N163">
        <v>0</v>
      </c>
      <c r="O163">
        <v>26</v>
      </c>
      <c r="P163">
        <v>1</v>
      </c>
      <c r="Q163">
        <v>9</v>
      </c>
      <c r="R163">
        <v>0</v>
      </c>
      <c r="S163">
        <v>4</v>
      </c>
      <c r="T163">
        <v>1</v>
      </c>
      <c r="U163">
        <v>9</v>
      </c>
      <c r="V163">
        <v>29</v>
      </c>
      <c r="W163">
        <v>439</v>
      </c>
      <c r="X163">
        <v>2</v>
      </c>
      <c r="Y163">
        <v>0</v>
      </c>
      <c r="Z163">
        <v>0</v>
      </c>
      <c r="AA163">
        <v>12</v>
      </c>
      <c r="AB163">
        <v>108</v>
      </c>
      <c r="AC163">
        <v>0</v>
      </c>
      <c r="AD163">
        <v>0</v>
      </c>
      <c r="AE163">
        <v>0</v>
      </c>
      <c r="AF163">
        <v>23</v>
      </c>
      <c r="AG163">
        <v>99</v>
      </c>
      <c r="AH163">
        <v>113</v>
      </c>
      <c r="AI163" s="1">
        <v>10409</v>
      </c>
      <c r="AJ163">
        <v>292</v>
      </c>
      <c r="AK163">
        <v>320</v>
      </c>
      <c r="AL163">
        <v>0</v>
      </c>
      <c r="AM163">
        <v>55</v>
      </c>
      <c r="AN163" s="1">
        <v>0</v>
      </c>
      <c r="AO163">
        <v>1</v>
      </c>
      <c r="AP163" s="1">
        <v>22</v>
      </c>
    </row>
    <row r="164" spans="1:42" x14ac:dyDescent="0.3">
      <c r="A164" t="s">
        <v>96</v>
      </c>
      <c r="B164" t="s">
        <v>40</v>
      </c>
      <c r="C164" s="4" t="s">
        <v>40</v>
      </c>
      <c r="D164" s="1">
        <v>10969</v>
      </c>
      <c r="E164">
        <v>362</v>
      </c>
      <c r="F164">
        <v>213</v>
      </c>
      <c r="G164" s="1">
        <v>3582</v>
      </c>
      <c r="H164">
        <v>503</v>
      </c>
      <c r="I164">
        <v>0</v>
      </c>
      <c r="J164">
        <v>339</v>
      </c>
      <c r="K164">
        <v>66</v>
      </c>
      <c r="L164">
        <v>0</v>
      </c>
      <c r="M164" s="1">
        <v>1077</v>
      </c>
      <c r="N164">
        <v>1</v>
      </c>
      <c r="O164">
        <v>436</v>
      </c>
      <c r="P164">
        <v>1</v>
      </c>
      <c r="Q164">
        <v>75</v>
      </c>
      <c r="R164">
        <v>8</v>
      </c>
      <c r="S164">
        <v>41</v>
      </c>
      <c r="T164">
        <v>147</v>
      </c>
      <c r="U164">
        <v>120</v>
      </c>
      <c r="V164">
        <v>14</v>
      </c>
      <c r="W164">
        <v>17</v>
      </c>
      <c r="X164">
        <v>38</v>
      </c>
      <c r="Y164">
        <v>7</v>
      </c>
      <c r="Z164">
        <v>23</v>
      </c>
      <c r="AA164">
        <v>262</v>
      </c>
      <c r="AB164">
        <v>249</v>
      </c>
      <c r="AC164">
        <v>0</v>
      </c>
      <c r="AD164">
        <v>6</v>
      </c>
      <c r="AE164">
        <v>0</v>
      </c>
      <c r="AF164">
        <v>200</v>
      </c>
      <c r="AG164">
        <v>260</v>
      </c>
      <c r="AH164">
        <v>386</v>
      </c>
      <c r="AI164">
        <v>273</v>
      </c>
      <c r="AJ164">
        <v>149</v>
      </c>
      <c r="AK164" s="1">
        <v>1522</v>
      </c>
      <c r="AL164">
        <v>279</v>
      </c>
      <c r="AM164">
        <v>102</v>
      </c>
      <c r="AN164" s="1">
        <v>0</v>
      </c>
      <c r="AO164">
        <v>5</v>
      </c>
      <c r="AP164" s="1">
        <v>206</v>
      </c>
    </row>
    <row r="165" spans="1:42" x14ac:dyDescent="0.3">
      <c r="A165" t="s">
        <v>96</v>
      </c>
      <c r="B165" t="s">
        <v>40</v>
      </c>
      <c r="C165" s="4" t="s">
        <v>43</v>
      </c>
      <c r="D165" s="1">
        <f>D168+D171+D174+D177+D180+D183+D186+D189+D192+D195+D198+D201+D204+D207+D210+D213+D216+D219+D222+D225+D228+D231+D234+D237+D240+D243+D246+D249+D252+D255+D258+D261+D264+D266</f>
        <v>4563</v>
      </c>
      <c r="E165" s="1">
        <f t="shared" ref="E165:AP165" si="8">E168+E171+E174+E177+E180+E183+E186+E189+E192+E195+E198+E201+E204+E207+E210+E213+E216+E219+E222+E225+E228+E231+E234+E237+E240+E243+E246+E249+E252+E255+E258+E261+E264+E266</f>
        <v>198</v>
      </c>
      <c r="F165" s="1">
        <f t="shared" si="8"/>
        <v>142</v>
      </c>
      <c r="G165" s="1">
        <f t="shared" si="8"/>
        <v>1541</v>
      </c>
      <c r="H165" s="1">
        <f t="shared" si="8"/>
        <v>242</v>
      </c>
      <c r="I165" s="1">
        <f t="shared" si="8"/>
        <v>0</v>
      </c>
      <c r="J165" s="1">
        <f t="shared" si="8"/>
        <v>172</v>
      </c>
      <c r="K165" s="1">
        <f t="shared" si="8"/>
        <v>32</v>
      </c>
      <c r="L165" s="1">
        <f t="shared" si="8"/>
        <v>0</v>
      </c>
      <c r="M165" s="1">
        <f t="shared" si="8"/>
        <v>319</v>
      </c>
      <c r="N165" s="1">
        <f t="shared" si="8"/>
        <v>0</v>
      </c>
      <c r="O165" s="1">
        <f t="shared" si="8"/>
        <v>99</v>
      </c>
      <c r="P165" s="1">
        <f t="shared" si="8"/>
        <v>1</v>
      </c>
      <c r="Q165" s="1">
        <f t="shared" si="8"/>
        <v>39</v>
      </c>
      <c r="R165" s="1">
        <f t="shared" si="8"/>
        <v>5</v>
      </c>
      <c r="S165" s="1">
        <f t="shared" si="8"/>
        <v>35</v>
      </c>
      <c r="T165" s="1">
        <f t="shared" si="8"/>
        <v>136</v>
      </c>
      <c r="U165" s="1">
        <f t="shared" si="8"/>
        <v>28</v>
      </c>
      <c r="V165" s="1">
        <f t="shared" si="8"/>
        <v>6</v>
      </c>
      <c r="W165" s="1">
        <f t="shared" si="8"/>
        <v>5</v>
      </c>
      <c r="X165" s="1">
        <f t="shared" si="8"/>
        <v>32</v>
      </c>
      <c r="Y165" s="1">
        <f t="shared" si="8"/>
        <v>7</v>
      </c>
      <c r="Z165" s="1">
        <f t="shared" si="8"/>
        <v>23</v>
      </c>
      <c r="AA165" s="1">
        <f t="shared" si="8"/>
        <v>200</v>
      </c>
      <c r="AB165" s="1">
        <f t="shared" si="8"/>
        <v>126</v>
      </c>
      <c r="AC165" s="1">
        <f t="shared" si="8"/>
        <v>0</v>
      </c>
      <c r="AD165" s="1">
        <f t="shared" si="8"/>
        <v>4</v>
      </c>
      <c r="AE165" s="1">
        <f t="shared" si="8"/>
        <v>0</v>
      </c>
      <c r="AF165" s="1">
        <f t="shared" si="8"/>
        <v>84</v>
      </c>
      <c r="AG165" s="1">
        <f t="shared" si="8"/>
        <v>128</v>
      </c>
      <c r="AH165" s="1">
        <f t="shared" si="8"/>
        <v>123</v>
      </c>
      <c r="AI165" s="1">
        <f t="shared" si="8"/>
        <v>150</v>
      </c>
      <c r="AJ165" s="1">
        <f t="shared" si="8"/>
        <v>80</v>
      </c>
      <c r="AK165" s="1">
        <f t="shared" si="8"/>
        <v>362</v>
      </c>
      <c r="AL165" s="1">
        <f t="shared" si="8"/>
        <v>179</v>
      </c>
      <c r="AM165" s="1">
        <f t="shared" si="8"/>
        <v>17</v>
      </c>
      <c r="AN165" s="1">
        <f t="shared" si="8"/>
        <v>0</v>
      </c>
      <c r="AO165" s="1">
        <f t="shared" si="8"/>
        <v>1</v>
      </c>
      <c r="AP165" s="1">
        <f t="shared" si="8"/>
        <v>47</v>
      </c>
    </row>
    <row r="166" spans="1:42" x14ac:dyDescent="0.3">
      <c r="A166" t="s">
        <v>96</v>
      </c>
      <c r="B166" t="s">
        <v>40</v>
      </c>
      <c r="C166" s="4" t="s">
        <v>44</v>
      </c>
      <c r="D166" s="1">
        <f>D169+D172+D175+D178+D181+D184+D187+D190+D193+D196+D199+D202+D205+D208+D211+D214+D217+D220+D223+D226+D229+D232+D235+D238+D241+D244+D247+D250+D253+D256+D259+D262</f>
        <v>6406</v>
      </c>
      <c r="E166" s="1">
        <f t="shared" ref="E166:AP166" si="9">E169+E172+E175+E178+E181+E184+E187+E190+E193+E196+E199+E202+E205+E208+E211+E214+E217+E220+E223+E226+E229+E232+E235+E238+E241+E244+E247+E250+E253+E256+E259+E262</f>
        <v>164</v>
      </c>
      <c r="F166" s="1">
        <f t="shared" si="9"/>
        <v>71</v>
      </c>
      <c r="G166" s="1">
        <f t="shared" si="9"/>
        <v>2041</v>
      </c>
      <c r="H166" s="1">
        <f t="shared" si="9"/>
        <v>261</v>
      </c>
      <c r="I166" s="1">
        <f t="shared" si="9"/>
        <v>0</v>
      </c>
      <c r="J166" s="1">
        <f t="shared" si="9"/>
        <v>167</v>
      </c>
      <c r="K166" s="1">
        <f t="shared" si="9"/>
        <v>34</v>
      </c>
      <c r="L166" s="1">
        <f t="shared" si="9"/>
        <v>0</v>
      </c>
      <c r="M166" s="1">
        <f t="shared" si="9"/>
        <v>758</v>
      </c>
      <c r="N166" s="1">
        <f t="shared" si="9"/>
        <v>1</v>
      </c>
      <c r="O166" s="1">
        <f t="shared" si="9"/>
        <v>337</v>
      </c>
      <c r="P166" s="1">
        <f t="shared" si="9"/>
        <v>0</v>
      </c>
      <c r="Q166" s="1">
        <f t="shared" si="9"/>
        <v>36</v>
      </c>
      <c r="R166" s="1">
        <f t="shared" si="9"/>
        <v>3</v>
      </c>
      <c r="S166" s="1">
        <f t="shared" si="9"/>
        <v>6</v>
      </c>
      <c r="T166" s="1">
        <f t="shared" si="9"/>
        <v>11</v>
      </c>
      <c r="U166" s="1">
        <f t="shared" si="9"/>
        <v>92</v>
      </c>
      <c r="V166" s="1">
        <f t="shared" si="9"/>
        <v>8</v>
      </c>
      <c r="W166" s="1">
        <f t="shared" si="9"/>
        <v>12</v>
      </c>
      <c r="X166" s="1">
        <f t="shared" si="9"/>
        <v>6</v>
      </c>
      <c r="Y166" s="1">
        <f t="shared" si="9"/>
        <v>0</v>
      </c>
      <c r="Z166" s="1">
        <f t="shared" si="9"/>
        <v>0</v>
      </c>
      <c r="AA166" s="1">
        <f t="shared" si="9"/>
        <v>62</v>
      </c>
      <c r="AB166" s="1">
        <f t="shared" si="9"/>
        <v>123</v>
      </c>
      <c r="AC166" s="1">
        <f t="shared" si="9"/>
        <v>0</v>
      </c>
      <c r="AD166" s="1">
        <f t="shared" si="9"/>
        <v>2</v>
      </c>
      <c r="AE166" s="1">
        <f t="shared" si="9"/>
        <v>0</v>
      </c>
      <c r="AF166" s="1">
        <f t="shared" si="9"/>
        <v>116</v>
      </c>
      <c r="AG166" s="1">
        <f t="shared" si="9"/>
        <v>132</v>
      </c>
      <c r="AH166" s="1">
        <f t="shared" si="9"/>
        <v>263</v>
      </c>
      <c r="AI166" s="1">
        <f t="shared" si="9"/>
        <v>123</v>
      </c>
      <c r="AJ166" s="1">
        <f t="shared" si="9"/>
        <v>69</v>
      </c>
      <c r="AK166" s="1">
        <f t="shared" si="9"/>
        <v>1160</v>
      </c>
      <c r="AL166" s="1">
        <f t="shared" si="9"/>
        <v>100</v>
      </c>
      <c r="AM166" s="1">
        <f t="shared" si="9"/>
        <v>85</v>
      </c>
      <c r="AN166" s="1">
        <f t="shared" si="9"/>
        <v>0</v>
      </c>
      <c r="AO166" s="1">
        <f t="shared" si="9"/>
        <v>4</v>
      </c>
      <c r="AP166" s="1">
        <f t="shared" si="9"/>
        <v>159</v>
      </c>
    </row>
    <row r="167" spans="1:42" x14ac:dyDescent="0.3">
      <c r="A167" t="s">
        <v>96</v>
      </c>
      <c r="B167" t="s">
        <v>97</v>
      </c>
      <c r="C167" s="4" t="s">
        <v>40</v>
      </c>
      <c r="D167" s="1">
        <v>3181</v>
      </c>
      <c r="E167">
        <v>41</v>
      </c>
      <c r="F167">
        <v>17</v>
      </c>
      <c r="G167" s="1">
        <v>1309</v>
      </c>
      <c r="H167">
        <v>44</v>
      </c>
      <c r="I167">
        <v>0</v>
      </c>
      <c r="J167">
        <v>91</v>
      </c>
      <c r="K167">
        <v>22</v>
      </c>
      <c r="L167">
        <v>0</v>
      </c>
      <c r="M167">
        <v>152</v>
      </c>
      <c r="N167">
        <v>0</v>
      </c>
      <c r="O167">
        <v>111</v>
      </c>
      <c r="P167">
        <v>0</v>
      </c>
      <c r="Q167">
        <v>16</v>
      </c>
      <c r="R167">
        <v>4</v>
      </c>
      <c r="S167">
        <v>11</v>
      </c>
      <c r="T167">
        <v>133</v>
      </c>
      <c r="U167">
        <v>31</v>
      </c>
      <c r="V167">
        <v>6</v>
      </c>
      <c r="W167">
        <v>0</v>
      </c>
      <c r="X167">
        <v>5</v>
      </c>
      <c r="Y167">
        <v>2</v>
      </c>
      <c r="Z167">
        <v>9</v>
      </c>
      <c r="AA167">
        <v>149</v>
      </c>
      <c r="AB167">
        <v>63</v>
      </c>
      <c r="AC167">
        <v>0</v>
      </c>
      <c r="AD167">
        <v>0</v>
      </c>
      <c r="AE167">
        <v>0</v>
      </c>
      <c r="AF167">
        <v>66</v>
      </c>
      <c r="AG167">
        <v>42</v>
      </c>
      <c r="AH167">
        <v>228</v>
      </c>
      <c r="AI167">
        <v>99</v>
      </c>
      <c r="AJ167">
        <v>41</v>
      </c>
      <c r="AK167">
        <v>423</v>
      </c>
      <c r="AL167">
        <v>30</v>
      </c>
      <c r="AM167">
        <v>11</v>
      </c>
      <c r="AN167" s="1">
        <v>0</v>
      </c>
      <c r="AO167">
        <v>0</v>
      </c>
      <c r="AP167" s="1">
        <v>25</v>
      </c>
    </row>
    <row r="168" spans="1:42" x14ac:dyDescent="0.3">
      <c r="A168" t="s">
        <v>96</v>
      </c>
      <c r="B168" t="s">
        <v>97</v>
      </c>
      <c r="C168" s="4" t="s">
        <v>43</v>
      </c>
      <c r="D168" s="1">
        <v>1366</v>
      </c>
      <c r="E168">
        <v>25</v>
      </c>
      <c r="F168">
        <v>8</v>
      </c>
      <c r="G168">
        <v>527</v>
      </c>
      <c r="H168">
        <v>22</v>
      </c>
      <c r="I168">
        <v>0</v>
      </c>
      <c r="J168">
        <v>41</v>
      </c>
      <c r="K168">
        <v>3</v>
      </c>
      <c r="L168">
        <v>0</v>
      </c>
      <c r="M168">
        <v>43</v>
      </c>
      <c r="N168">
        <v>0</v>
      </c>
      <c r="O168">
        <v>35</v>
      </c>
      <c r="P168">
        <v>0</v>
      </c>
      <c r="Q168">
        <v>6</v>
      </c>
      <c r="R168">
        <v>3</v>
      </c>
      <c r="S168">
        <v>11</v>
      </c>
      <c r="T168">
        <v>124</v>
      </c>
      <c r="U168">
        <v>9</v>
      </c>
      <c r="V168">
        <v>3</v>
      </c>
      <c r="W168">
        <v>0</v>
      </c>
      <c r="X168">
        <v>4</v>
      </c>
      <c r="Y168">
        <v>2</v>
      </c>
      <c r="Z168">
        <v>9</v>
      </c>
      <c r="AA168">
        <v>130</v>
      </c>
      <c r="AB168">
        <v>39</v>
      </c>
      <c r="AC168">
        <v>0</v>
      </c>
      <c r="AD168">
        <v>0</v>
      </c>
      <c r="AE168">
        <v>0</v>
      </c>
      <c r="AF168">
        <v>26</v>
      </c>
      <c r="AG168">
        <v>22</v>
      </c>
      <c r="AH168">
        <v>71</v>
      </c>
      <c r="AI168">
        <v>54</v>
      </c>
      <c r="AJ168">
        <v>20</v>
      </c>
      <c r="AK168">
        <v>105</v>
      </c>
      <c r="AL168">
        <v>18</v>
      </c>
      <c r="AM168">
        <v>3</v>
      </c>
      <c r="AN168" s="1">
        <v>0</v>
      </c>
      <c r="AO168">
        <v>0</v>
      </c>
      <c r="AP168" s="1">
        <v>3</v>
      </c>
    </row>
    <row r="169" spans="1:42" x14ac:dyDescent="0.3">
      <c r="A169" t="s">
        <v>96</v>
      </c>
      <c r="B169" t="s">
        <v>97</v>
      </c>
      <c r="C169" s="4" t="s">
        <v>44</v>
      </c>
      <c r="D169" s="1">
        <v>1815</v>
      </c>
      <c r="E169">
        <v>16</v>
      </c>
      <c r="F169">
        <v>9</v>
      </c>
      <c r="G169">
        <v>782</v>
      </c>
      <c r="H169">
        <v>22</v>
      </c>
      <c r="I169">
        <v>0</v>
      </c>
      <c r="J169">
        <v>50</v>
      </c>
      <c r="K169">
        <v>19</v>
      </c>
      <c r="L169">
        <v>0</v>
      </c>
      <c r="M169">
        <v>109</v>
      </c>
      <c r="N169">
        <v>0</v>
      </c>
      <c r="O169">
        <v>76</v>
      </c>
      <c r="P169">
        <v>0</v>
      </c>
      <c r="Q169">
        <v>10</v>
      </c>
      <c r="R169">
        <v>1</v>
      </c>
      <c r="S169">
        <v>0</v>
      </c>
      <c r="T169">
        <v>9</v>
      </c>
      <c r="U169">
        <v>22</v>
      </c>
      <c r="V169">
        <v>3</v>
      </c>
      <c r="W169">
        <v>0</v>
      </c>
      <c r="X169">
        <v>1</v>
      </c>
      <c r="Y169">
        <v>0</v>
      </c>
      <c r="Z169">
        <v>0</v>
      </c>
      <c r="AA169">
        <v>19</v>
      </c>
      <c r="AB169">
        <v>24</v>
      </c>
      <c r="AC169">
        <v>0</v>
      </c>
      <c r="AD169">
        <v>0</v>
      </c>
      <c r="AE169">
        <v>0</v>
      </c>
      <c r="AF169">
        <v>40</v>
      </c>
      <c r="AG169">
        <v>20</v>
      </c>
      <c r="AH169">
        <v>157</v>
      </c>
      <c r="AI169">
        <v>45</v>
      </c>
      <c r="AJ169">
        <v>21</v>
      </c>
      <c r="AK169">
        <v>318</v>
      </c>
      <c r="AL169">
        <v>12</v>
      </c>
      <c r="AM169">
        <v>8</v>
      </c>
      <c r="AN169" s="1">
        <v>0</v>
      </c>
      <c r="AO169">
        <v>0</v>
      </c>
      <c r="AP169" s="1">
        <v>22</v>
      </c>
    </row>
    <row r="170" spans="1:42" x14ac:dyDescent="0.3">
      <c r="A170" t="s">
        <v>96</v>
      </c>
      <c r="B170" t="s">
        <v>98</v>
      </c>
      <c r="C170" s="4" t="s">
        <v>40</v>
      </c>
      <c r="D170" s="1">
        <v>2177</v>
      </c>
      <c r="E170">
        <v>45</v>
      </c>
      <c r="F170">
        <v>10</v>
      </c>
      <c r="G170">
        <v>981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360</v>
      </c>
      <c r="N170">
        <v>0</v>
      </c>
      <c r="O170">
        <v>100</v>
      </c>
      <c r="P170">
        <v>0</v>
      </c>
      <c r="Q170">
        <v>16</v>
      </c>
      <c r="R170">
        <v>0</v>
      </c>
      <c r="S170">
        <v>10</v>
      </c>
      <c r="T170">
        <v>3</v>
      </c>
      <c r="U170">
        <v>19</v>
      </c>
      <c r="V170">
        <v>4</v>
      </c>
      <c r="W170">
        <v>2</v>
      </c>
      <c r="X170">
        <v>13</v>
      </c>
      <c r="Y170">
        <v>4</v>
      </c>
      <c r="Z170">
        <v>6</v>
      </c>
      <c r="AA170">
        <v>13</v>
      </c>
      <c r="AB170">
        <v>55</v>
      </c>
      <c r="AC170">
        <v>0</v>
      </c>
      <c r="AD170">
        <v>0</v>
      </c>
      <c r="AE170">
        <v>0</v>
      </c>
      <c r="AF170">
        <v>21</v>
      </c>
      <c r="AG170">
        <v>41</v>
      </c>
      <c r="AH170">
        <v>42</v>
      </c>
      <c r="AI170">
        <v>25</v>
      </c>
      <c r="AJ170">
        <v>20</v>
      </c>
      <c r="AK170">
        <v>327</v>
      </c>
      <c r="AL170">
        <v>11</v>
      </c>
      <c r="AM170">
        <v>0</v>
      </c>
      <c r="AN170" s="1">
        <v>0</v>
      </c>
      <c r="AO170">
        <v>4</v>
      </c>
      <c r="AP170" s="1">
        <v>43</v>
      </c>
    </row>
    <row r="171" spans="1:42" x14ac:dyDescent="0.3">
      <c r="A171" t="s">
        <v>96</v>
      </c>
      <c r="B171" t="s">
        <v>98</v>
      </c>
      <c r="C171" s="4" t="s">
        <v>43</v>
      </c>
      <c r="D171">
        <v>811</v>
      </c>
      <c r="E171">
        <v>25</v>
      </c>
      <c r="F171">
        <v>7</v>
      </c>
      <c r="G171">
        <v>386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121</v>
      </c>
      <c r="N171">
        <v>0</v>
      </c>
      <c r="O171">
        <v>23</v>
      </c>
      <c r="P171">
        <v>0</v>
      </c>
      <c r="Q171">
        <v>15</v>
      </c>
      <c r="R171">
        <v>0</v>
      </c>
      <c r="S171">
        <v>8</v>
      </c>
      <c r="T171">
        <v>2</v>
      </c>
      <c r="U171">
        <v>2</v>
      </c>
      <c r="V171">
        <v>1</v>
      </c>
      <c r="W171">
        <v>2</v>
      </c>
      <c r="X171">
        <v>10</v>
      </c>
      <c r="Y171">
        <v>4</v>
      </c>
      <c r="Z171">
        <v>6</v>
      </c>
      <c r="AA171">
        <v>5</v>
      </c>
      <c r="AB171">
        <v>34</v>
      </c>
      <c r="AC171">
        <v>0</v>
      </c>
      <c r="AD171">
        <v>0</v>
      </c>
      <c r="AE171">
        <v>0</v>
      </c>
      <c r="AF171">
        <v>9</v>
      </c>
      <c r="AG171">
        <v>23</v>
      </c>
      <c r="AH171">
        <v>12</v>
      </c>
      <c r="AI171">
        <v>17</v>
      </c>
      <c r="AJ171">
        <v>12</v>
      </c>
      <c r="AK171">
        <v>73</v>
      </c>
      <c r="AL171">
        <v>6</v>
      </c>
      <c r="AM171">
        <v>0</v>
      </c>
      <c r="AN171" s="1">
        <v>0</v>
      </c>
      <c r="AO171">
        <v>1</v>
      </c>
      <c r="AP171" s="1">
        <v>5</v>
      </c>
    </row>
    <row r="172" spans="1:42" x14ac:dyDescent="0.3">
      <c r="A172" t="s">
        <v>96</v>
      </c>
      <c r="B172" t="s">
        <v>98</v>
      </c>
      <c r="C172" s="4" t="s">
        <v>44</v>
      </c>
      <c r="D172" s="1">
        <v>1366</v>
      </c>
      <c r="E172">
        <v>20</v>
      </c>
      <c r="F172">
        <v>3</v>
      </c>
      <c r="G172">
        <v>595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239</v>
      </c>
      <c r="N172">
        <v>0</v>
      </c>
      <c r="O172">
        <v>77</v>
      </c>
      <c r="P172">
        <v>0</v>
      </c>
      <c r="Q172">
        <v>1</v>
      </c>
      <c r="R172">
        <v>0</v>
      </c>
      <c r="S172">
        <v>2</v>
      </c>
      <c r="T172">
        <v>1</v>
      </c>
      <c r="U172">
        <v>17</v>
      </c>
      <c r="V172">
        <v>3</v>
      </c>
      <c r="W172">
        <v>0</v>
      </c>
      <c r="X172">
        <v>3</v>
      </c>
      <c r="Y172">
        <v>0</v>
      </c>
      <c r="Z172">
        <v>0</v>
      </c>
      <c r="AA172">
        <v>8</v>
      </c>
      <c r="AB172">
        <v>21</v>
      </c>
      <c r="AC172">
        <v>0</v>
      </c>
      <c r="AD172">
        <v>0</v>
      </c>
      <c r="AE172">
        <v>0</v>
      </c>
      <c r="AF172">
        <v>12</v>
      </c>
      <c r="AG172">
        <v>18</v>
      </c>
      <c r="AH172">
        <v>30</v>
      </c>
      <c r="AI172">
        <v>8</v>
      </c>
      <c r="AJ172">
        <v>8</v>
      </c>
      <c r="AK172">
        <v>254</v>
      </c>
      <c r="AL172">
        <v>5</v>
      </c>
      <c r="AM172">
        <v>0</v>
      </c>
      <c r="AN172" s="1">
        <v>0</v>
      </c>
      <c r="AO172">
        <v>3</v>
      </c>
      <c r="AP172" s="1">
        <v>38</v>
      </c>
    </row>
    <row r="173" spans="1:42" x14ac:dyDescent="0.3">
      <c r="A173" t="s">
        <v>96</v>
      </c>
      <c r="B173" t="s">
        <v>99</v>
      </c>
      <c r="C173" s="4" t="s">
        <v>40</v>
      </c>
      <c r="D173">
        <v>993</v>
      </c>
      <c r="E173">
        <v>57</v>
      </c>
      <c r="F173">
        <v>31</v>
      </c>
      <c r="G173">
        <v>438</v>
      </c>
      <c r="H173">
        <v>2</v>
      </c>
      <c r="I173">
        <v>0</v>
      </c>
      <c r="J173">
        <v>17</v>
      </c>
      <c r="K173">
        <v>1</v>
      </c>
      <c r="L173">
        <v>0</v>
      </c>
      <c r="M173">
        <v>76</v>
      </c>
      <c r="N173">
        <v>0</v>
      </c>
      <c r="O173">
        <v>41</v>
      </c>
      <c r="P173">
        <v>0</v>
      </c>
      <c r="Q173">
        <v>4</v>
      </c>
      <c r="R173">
        <v>0</v>
      </c>
      <c r="S173">
        <v>4</v>
      </c>
      <c r="T173">
        <v>1</v>
      </c>
      <c r="U173">
        <v>14</v>
      </c>
      <c r="V173">
        <v>0</v>
      </c>
      <c r="W173">
        <v>1</v>
      </c>
      <c r="X173">
        <v>3</v>
      </c>
      <c r="Y173">
        <v>0</v>
      </c>
      <c r="Z173">
        <v>0</v>
      </c>
      <c r="AA173">
        <v>5</v>
      </c>
      <c r="AB173">
        <v>15</v>
      </c>
      <c r="AC173">
        <v>0</v>
      </c>
      <c r="AD173">
        <v>5</v>
      </c>
      <c r="AE173">
        <v>0</v>
      </c>
      <c r="AF173">
        <v>15</v>
      </c>
      <c r="AG173">
        <v>21</v>
      </c>
      <c r="AH173">
        <v>16</v>
      </c>
      <c r="AI173">
        <v>1</v>
      </c>
      <c r="AJ173">
        <v>12</v>
      </c>
      <c r="AK173">
        <v>161</v>
      </c>
      <c r="AL173">
        <v>35</v>
      </c>
      <c r="AM173">
        <v>0</v>
      </c>
      <c r="AN173" s="1">
        <v>0</v>
      </c>
      <c r="AO173">
        <v>0</v>
      </c>
      <c r="AP173" s="1">
        <v>17</v>
      </c>
    </row>
    <row r="174" spans="1:42" x14ac:dyDescent="0.3">
      <c r="A174" t="s">
        <v>96</v>
      </c>
      <c r="B174" t="s">
        <v>99</v>
      </c>
      <c r="C174" s="4" t="s">
        <v>43</v>
      </c>
      <c r="D174">
        <v>439</v>
      </c>
      <c r="E174">
        <v>29</v>
      </c>
      <c r="F174">
        <v>16</v>
      </c>
      <c r="G174">
        <v>250</v>
      </c>
      <c r="H174">
        <v>0</v>
      </c>
      <c r="I174">
        <v>0</v>
      </c>
      <c r="J174">
        <v>13</v>
      </c>
      <c r="K174">
        <v>0</v>
      </c>
      <c r="L174">
        <v>0</v>
      </c>
      <c r="M174">
        <v>14</v>
      </c>
      <c r="N174">
        <v>0</v>
      </c>
      <c r="O174">
        <v>10</v>
      </c>
      <c r="P174">
        <v>0</v>
      </c>
      <c r="Q174">
        <v>1</v>
      </c>
      <c r="R174">
        <v>0</v>
      </c>
      <c r="S174">
        <v>3</v>
      </c>
      <c r="T174">
        <v>1</v>
      </c>
      <c r="U174">
        <v>1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4</v>
      </c>
      <c r="AB174">
        <v>6</v>
      </c>
      <c r="AC174">
        <v>0</v>
      </c>
      <c r="AD174">
        <v>3</v>
      </c>
      <c r="AE174">
        <v>0</v>
      </c>
      <c r="AF174">
        <v>6</v>
      </c>
      <c r="AG174">
        <v>10</v>
      </c>
      <c r="AH174">
        <v>3</v>
      </c>
      <c r="AI174">
        <v>1</v>
      </c>
      <c r="AJ174">
        <v>6</v>
      </c>
      <c r="AK174">
        <v>35</v>
      </c>
      <c r="AL174">
        <v>18</v>
      </c>
      <c r="AM174">
        <v>0</v>
      </c>
      <c r="AN174" s="1">
        <v>0</v>
      </c>
      <c r="AO174">
        <v>0</v>
      </c>
      <c r="AP174" s="1">
        <v>6</v>
      </c>
    </row>
    <row r="175" spans="1:42" x14ac:dyDescent="0.3">
      <c r="A175" t="s">
        <v>96</v>
      </c>
      <c r="B175" t="s">
        <v>99</v>
      </c>
      <c r="C175" s="4" t="s">
        <v>44</v>
      </c>
      <c r="D175">
        <v>554</v>
      </c>
      <c r="E175">
        <v>28</v>
      </c>
      <c r="F175">
        <v>15</v>
      </c>
      <c r="G175">
        <v>188</v>
      </c>
      <c r="H175">
        <v>2</v>
      </c>
      <c r="I175">
        <v>0</v>
      </c>
      <c r="J175">
        <v>4</v>
      </c>
      <c r="K175">
        <v>1</v>
      </c>
      <c r="L175">
        <v>0</v>
      </c>
      <c r="M175">
        <v>62</v>
      </c>
      <c r="N175">
        <v>0</v>
      </c>
      <c r="O175">
        <v>31</v>
      </c>
      <c r="P175">
        <v>0</v>
      </c>
      <c r="Q175">
        <v>3</v>
      </c>
      <c r="R175">
        <v>0</v>
      </c>
      <c r="S175">
        <v>1</v>
      </c>
      <c r="T175">
        <v>0</v>
      </c>
      <c r="U175">
        <v>13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9</v>
      </c>
      <c r="AC175">
        <v>0</v>
      </c>
      <c r="AD175">
        <v>2</v>
      </c>
      <c r="AE175">
        <v>0</v>
      </c>
      <c r="AF175">
        <v>9</v>
      </c>
      <c r="AG175">
        <v>11</v>
      </c>
      <c r="AH175">
        <v>13</v>
      </c>
      <c r="AI175">
        <v>0</v>
      </c>
      <c r="AJ175">
        <v>6</v>
      </c>
      <c r="AK175">
        <v>126</v>
      </c>
      <c r="AL175">
        <v>17</v>
      </c>
      <c r="AM175">
        <v>0</v>
      </c>
      <c r="AN175" s="1">
        <v>0</v>
      </c>
      <c r="AO175">
        <v>0</v>
      </c>
      <c r="AP175" s="1">
        <v>11</v>
      </c>
    </row>
    <row r="176" spans="1:42" x14ac:dyDescent="0.3">
      <c r="A176" t="s">
        <v>96</v>
      </c>
      <c r="B176" t="s">
        <v>100</v>
      </c>
      <c r="C176" s="4" t="s">
        <v>40</v>
      </c>
      <c r="D176">
        <v>975</v>
      </c>
      <c r="E176">
        <v>54</v>
      </c>
      <c r="F176">
        <v>52</v>
      </c>
      <c r="G176">
        <v>294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121</v>
      </c>
      <c r="N176">
        <v>0</v>
      </c>
      <c r="O176">
        <v>57</v>
      </c>
      <c r="P176">
        <v>0</v>
      </c>
      <c r="Q176">
        <v>16</v>
      </c>
      <c r="R176">
        <v>1</v>
      </c>
      <c r="S176">
        <v>1</v>
      </c>
      <c r="T176">
        <v>1</v>
      </c>
      <c r="U176">
        <v>11</v>
      </c>
      <c r="V176">
        <v>0</v>
      </c>
      <c r="W176">
        <v>4</v>
      </c>
      <c r="X176">
        <v>3</v>
      </c>
      <c r="Y176">
        <v>0</v>
      </c>
      <c r="Z176">
        <v>0</v>
      </c>
      <c r="AA176">
        <v>39</v>
      </c>
      <c r="AB176">
        <v>21</v>
      </c>
      <c r="AC176">
        <v>0</v>
      </c>
      <c r="AD176">
        <v>0</v>
      </c>
      <c r="AE176">
        <v>0</v>
      </c>
      <c r="AF176">
        <v>16</v>
      </c>
      <c r="AG176">
        <v>56</v>
      </c>
      <c r="AH176">
        <v>23</v>
      </c>
      <c r="AI176">
        <v>0</v>
      </c>
      <c r="AJ176">
        <v>14</v>
      </c>
      <c r="AK176">
        <v>148</v>
      </c>
      <c r="AL176">
        <v>7</v>
      </c>
      <c r="AM176">
        <v>0</v>
      </c>
      <c r="AN176" s="1">
        <v>0</v>
      </c>
      <c r="AO176">
        <v>0</v>
      </c>
      <c r="AP176" s="1">
        <v>31</v>
      </c>
    </row>
    <row r="177" spans="1:42" x14ac:dyDescent="0.3">
      <c r="A177" t="s">
        <v>96</v>
      </c>
      <c r="B177" t="s">
        <v>100</v>
      </c>
      <c r="C177" s="4" t="s">
        <v>43</v>
      </c>
      <c r="D177">
        <v>357</v>
      </c>
      <c r="E177">
        <v>29</v>
      </c>
      <c r="F177">
        <v>29</v>
      </c>
      <c r="G177">
        <v>105</v>
      </c>
      <c r="H177">
        <v>0</v>
      </c>
      <c r="I177">
        <v>0</v>
      </c>
      <c r="J177">
        <v>1</v>
      </c>
      <c r="K177">
        <v>4</v>
      </c>
      <c r="L177">
        <v>0</v>
      </c>
      <c r="M177">
        <v>32</v>
      </c>
      <c r="N177">
        <v>0</v>
      </c>
      <c r="O177">
        <v>14</v>
      </c>
      <c r="P177">
        <v>0</v>
      </c>
      <c r="Q177">
        <v>5</v>
      </c>
      <c r="R177">
        <v>0</v>
      </c>
      <c r="S177">
        <v>0</v>
      </c>
      <c r="T177">
        <v>1</v>
      </c>
      <c r="U177">
        <v>3</v>
      </c>
      <c r="V177">
        <v>0</v>
      </c>
      <c r="W177">
        <v>3</v>
      </c>
      <c r="X177">
        <v>3</v>
      </c>
      <c r="Y177">
        <v>0</v>
      </c>
      <c r="Z177">
        <v>0</v>
      </c>
      <c r="AA177">
        <v>24</v>
      </c>
      <c r="AB177">
        <v>13</v>
      </c>
      <c r="AC177">
        <v>0</v>
      </c>
      <c r="AD177">
        <v>0</v>
      </c>
      <c r="AE177">
        <v>0</v>
      </c>
      <c r="AF177">
        <v>4</v>
      </c>
      <c r="AG177">
        <v>21</v>
      </c>
      <c r="AH177">
        <v>8</v>
      </c>
      <c r="AI177">
        <v>0</v>
      </c>
      <c r="AJ177">
        <v>4</v>
      </c>
      <c r="AK177">
        <v>46</v>
      </c>
      <c r="AL177">
        <v>2</v>
      </c>
      <c r="AM177">
        <v>0</v>
      </c>
      <c r="AN177" s="1">
        <v>0</v>
      </c>
      <c r="AO177">
        <v>0</v>
      </c>
      <c r="AP177" s="1">
        <v>6</v>
      </c>
    </row>
    <row r="178" spans="1:42" x14ac:dyDescent="0.3">
      <c r="A178" t="s">
        <v>96</v>
      </c>
      <c r="B178" t="s">
        <v>100</v>
      </c>
      <c r="C178" s="4" t="s">
        <v>44</v>
      </c>
      <c r="D178">
        <v>618</v>
      </c>
      <c r="E178">
        <v>25</v>
      </c>
      <c r="F178">
        <v>23</v>
      </c>
      <c r="G178">
        <v>189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89</v>
      </c>
      <c r="N178">
        <v>0</v>
      </c>
      <c r="O178">
        <v>43</v>
      </c>
      <c r="P178">
        <v>0</v>
      </c>
      <c r="Q178">
        <v>11</v>
      </c>
      <c r="R178">
        <v>1</v>
      </c>
      <c r="S178">
        <v>1</v>
      </c>
      <c r="T178">
        <v>0</v>
      </c>
      <c r="U178">
        <v>8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15</v>
      </c>
      <c r="AB178">
        <v>8</v>
      </c>
      <c r="AC178">
        <v>0</v>
      </c>
      <c r="AD178">
        <v>0</v>
      </c>
      <c r="AE178">
        <v>0</v>
      </c>
      <c r="AF178">
        <v>12</v>
      </c>
      <c r="AG178">
        <v>35</v>
      </c>
      <c r="AH178">
        <v>15</v>
      </c>
      <c r="AI178">
        <v>0</v>
      </c>
      <c r="AJ178">
        <v>10</v>
      </c>
      <c r="AK178">
        <v>102</v>
      </c>
      <c r="AL178">
        <v>5</v>
      </c>
      <c r="AM178">
        <v>0</v>
      </c>
      <c r="AN178" s="1">
        <v>0</v>
      </c>
      <c r="AO178">
        <v>0</v>
      </c>
      <c r="AP178" s="1">
        <v>25</v>
      </c>
    </row>
    <row r="179" spans="1:42" x14ac:dyDescent="0.3">
      <c r="A179" t="s">
        <v>96</v>
      </c>
      <c r="B179" t="s">
        <v>101</v>
      </c>
      <c r="C179" s="4" t="s">
        <v>40</v>
      </c>
      <c r="D179">
        <v>708</v>
      </c>
      <c r="E179">
        <v>20</v>
      </c>
      <c r="F179">
        <v>0</v>
      </c>
      <c r="G179">
        <v>10</v>
      </c>
      <c r="H179">
        <v>298</v>
      </c>
      <c r="I179">
        <v>0</v>
      </c>
      <c r="J179">
        <v>72</v>
      </c>
      <c r="K179">
        <v>16</v>
      </c>
      <c r="L179">
        <v>0</v>
      </c>
      <c r="M179">
        <v>22</v>
      </c>
      <c r="N179">
        <v>0</v>
      </c>
      <c r="O179">
        <v>12</v>
      </c>
      <c r="P179">
        <v>0</v>
      </c>
      <c r="Q179">
        <v>3</v>
      </c>
      <c r="R179">
        <v>0</v>
      </c>
      <c r="S179">
        <v>2</v>
      </c>
      <c r="T179">
        <v>2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8</v>
      </c>
      <c r="AB179">
        <v>4</v>
      </c>
      <c r="AC179">
        <v>0</v>
      </c>
      <c r="AD179">
        <v>0</v>
      </c>
      <c r="AE179">
        <v>0</v>
      </c>
      <c r="AF179">
        <v>28</v>
      </c>
      <c r="AG179">
        <v>8</v>
      </c>
      <c r="AH179">
        <v>8</v>
      </c>
      <c r="AI179">
        <v>68</v>
      </c>
      <c r="AJ179">
        <v>11</v>
      </c>
      <c r="AK179">
        <v>72</v>
      </c>
      <c r="AL179">
        <v>19</v>
      </c>
      <c r="AM179">
        <v>16</v>
      </c>
      <c r="AN179" s="1">
        <v>0</v>
      </c>
      <c r="AO179">
        <v>0</v>
      </c>
      <c r="AP179" s="1">
        <v>4</v>
      </c>
    </row>
    <row r="180" spans="1:42" x14ac:dyDescent="0.3">
      <c r="A180" t="s">
        <v>96</v>
      </c>
      <c r="B180" t="s">
        <v>101</v>
      </c>
      <c r="C180" s="4" t="s">
        <v>43</v>
      </c>
      <c r="D180">
        <v>332</v>
      </c>
      <c r="E180">
        <v>11</v>
      </c>
      <c r="F180">
        <v>0</v>
      </c>
      <c r="G180">
        <v>5</v>
      </c>
      <c r="H180">
        <v>147</v>
      </c>
      <c r="I180">
        <v>0</v>
      </c>
      <c r="J180">
        <v>34</v>
      </c>
      <c r="K180">
        <v>11</v>
      </c>
      <c r="L180">
        <v>0</v>
      </c>
      <c r="M180">
        <v>4</v>
      </c>
      <c r="N180">
        <v>0</v>
      </c>
      <c r="O180">
        <v>3</v>
      </c>
      <c r="P180">
        <v>0</v>
      </c>
      <c r="Q180">
        <v>2</v>
      </c>
      <c r="R180">
        <v>0</v>
      </c>
      <c r="S180">
        <v>2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4</v>
      </c>
      <c r="AB180">
        <v>3</v>
      </c>
      <c r="AC180">
        <v>0</v>
      </c>
      <c r="AD180">
        <v>0</v>
      </c>
      <c r="AE180">
        <v>0</v>
      </c>
      <c r="AF180">
        <v>14</v>
      </c>
      <c r="AG180">
        <v>4</v>
      </c>
      <c r="AH180">
        <v>4</v>
      </c>
      <c r="AI180">
        <v>35</v>
      </c>
      <c r="AJ180">
        <v>8</v>
      </c>
      <c r="AK180">
        <v>16</v>
      </c>
      <c r="AL180">
        <v>12</v>
      </c>
      <c r="AM180">
        <v>5</v>
      </c>
      <c r="AN180" s="1">
        <v>0</v>
      </c>
      <c r="AO180">
        <v>0</v>
      </c>
      <c r="AP180" s="1">
        <v>4</v>
      </c>
    </row>
    <row r="181" spans="1:42" x14ac:dyDescent="0.3">
      <c r="A181" t="s">
        <v>96</v>
      </c>
      <c r="B181" t="s">
        <v>101</v>
      </c>
      <c r="C181" s="4" t="s">
        <v>44</v>
      </c>
      <c r="D181">
        <v>376</v>
      </c>
      <c r="E181">
        <v>9</v>
      </c>
      <c r="F181">
        <v>0</v>
      </c>
      <c r="G181">
        <v>5</v>
      </c>
      <c r="H181">
        <v>151</v>
      </c>
      <c r="I181">
        <v>0</v>
      </c>
      <c r="J181">
        <v>38</v>
      </c>
      <c r="K181">
        <v>5</v>
      </c>
      <c r="L181">
        <v>0</v>
      </c>
      <c r="M181">
        <v>18</v>
      </c>
      <c r="N181">
        <v>0</v>
      </c>
      <c r="O181">
        <v>9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</v>
      </c>
      <c r="AB181">
        <v>1</v>
      </c>
      <c r="AC181">
        <v>0</v>
      </c>
      <c r="AD181">
        <v>0</v>
      </c>
      <c r="AE181">
        <v>0</v>
      </c>
      <c r="AF181">
        <v>14</v>
      </c>
      <c r="AG181">
        <v>4</v>
      </c>
      <c r="AH181">
        <v>4</v>
      </c>
      <c r="AI181">
        <v>33</v>
      </c>
      <c r="AJ181">
        <v>3</v>
      </c>
      <c r="AK181">
        <v>56</v>
      </c>
      <c r="AL181">
        <v>7</v>
      </c>
      <c r="AM181">
        <v>11</v>
      </c>
      <c r="AN181" s="1">
        <v>0</v>
      </c>
      <c r="AO181">
        <v>0</v>
      </c>
      <c r="AP181" s="1">
        <v>0</v>
      </c>
    </row>
    <row r="182" spans="1:42" x14ac:dyDescent="0.3">
      <c r="A182" t="s">
        <v>96</v>
      </c>
      <c r="B182" t="s">
        <v>102</v>
      </c>
      <c r="C182" s="4" t="s">
        <v>40</v>
      </c>
      <c r="D182">
        <v>534</v>
      </c>
      <c r="E182">
        <v>21</v>
      </c>
      <c r="F182">
        <v>0</v>
      </c>
      <c r="G182">
        <v>159</v>
      </c>
      <c r="H182">
        <v>9</v>
      </c>
      <c r="I182">
        <v>0</v>
      </c>
      <c r="J182">
        <v>7</v>
      </c>
      <c r="K182">
        <v>16</v>
      </c>
      <c r="L182">
        <v>0</v>
      </c>
      <c r="M182">
        <v>63</v>
      </c>
      <c r="N182">
        <v>0</v>
      </c>
      <c r="O182">
        <v>29</v>
      </c>
      <c r="P182">
        <v>0</v>
      </c>
      <c r="Q182">
        <v>4</v>
      </c>
      <c r="R182">
        <v>0</v>
      </c>
      <c r="S182">
        <v>1</v>
      </c>
      <c r="T182">
        <v>1</v>
      </c>
      <c r="U182">
        <v>6</v>
      </c>
      <c r="V182">
        <v>1</v>
      </c>
      <c r="W182">
        <v>3</v>
      </c>
      <c r="X182">
        <v>6</v>
      </c>
      <c r="Y182">
        <v>0</v>
      </c>
      <c r="Z182">
        <v>0</v>
      </c>
      <c r="AA182">
        <v>4</v>
      </c>
      <c r="AB182">
        <v>12</v>
      </c>
      <c r="AC182">
        <v>0</v>
      </c>
      <c r="AD182">
        <v>0</v>
      </c>
      <c r="AE182">
        <v>0</v>
      </c>
      <c r="AF182">
        <v>2</v>
      </c>
      <c r="AG182">
        <v>5</v>
      </c>
      <c r="AH182">
        <v>13</v>
      </c>
      <c r="AI182">
        <v>8</v>
      </c>
      <c r="AJ182">
        <v>7</v>
      </c>
      <c r="AK182">
        <v>77</v>
      </c>
      <c r="AL182">
        <v>1</v>
      </c>
      <c r="AM182">
        <v>75</v>
      </c>
      <c r="AN182" s="1">
        <v>0</v>
      </c>
      <c r="AO182">
        <v>0</v>
      </c>
      <c r="AP182" s="1">
        <v>4</v>
      </c>
    </row>
    <row r="183" spans="1:42" x14ac:dyDescent="0.3">
      <c r="A183" t="s">
        <v>96</v>
      </c>
      <c r="B183" t="s">
        <v>102</v>
      </c>
      <c r="C183" s="4" t="s">
        <v>43</v>
      </c>
      <c r="D183">
        <v>179</v>
      </c>
      <c r="E183">
        <v>10</v>
      </c>
      <c r="F183">
        <v>0</v>
      </c>
      <c r="G183">
        <v>66</v>
      </c>
      <c r="H183">
        <v>8</v>
      </c>
      <c r="I183">
        <v>0</v>
      </c>
      <c r="J183">
        <v>4</v>
      </c>
      <c r="K183">
        <v>11</v>
      </c>
      <c r="L183">
        <v>0</v>
      </c>
      <c r="M183">
        <v>17</v>
      </c>
      <c r="N183">
        <v>0</v>
      </c>
      <c r="O183">
        <v>3</v>
      </c>
      <c r="P183">
        <v>0</v>
      </c>
      <c r="Q183">
        <v>3</v>
      </c>
      <c r="R183">
        <v>0</v>
      </c>
      <c r="S183">
        <v>1</v>
      </c>
      <c r="T183">
        <v>1</v>
      </c>
      <c r="U183">
        <v>2</v>
      </c>
      <c r="V183">
        <v>1</v>
      </c>
      <c r="W183">
        <v>0</v>
      </c>
      <c r="X183">
        <v>5</v>
      </c>
      <c r="Y183">
        <v>0</v>
      </c>
      <c r="Z183">
        <v>0</v>
      </c>
      <c r="AA183">
        <v>1</v>
      </c>
      <c r="AB183">
        <v>7</v>
      </c>
      <c r="AC183">
        <v>0</v>
      </c>
      <c r="AD183">
        <v>0</v>
      </c>
      <c r="AE183">
        <v>0</v>
      </c>
      <c r="AF183">
        <v>1</v>
      </c>
      <c r="AG183">
        <v>2</v>
      </c>
      <c r="AH183">
        <v>2</v>
      </c>
      <c r="AI183">
        <v>5</v>
      </c>
      <c r="AJ183">
        <v>6</v>
      </c>
      <c r="AK183">
        <v>13</v>
      </c>
      <c r="AL183">
        <v>0</v>
      </c>
      <c r="AM183">
        <v>9</v>
      </c>
      <c r="AN183" s="1">
        <v>0</v>
      </c>
      <c r="AO183">
        <v>0</v>
      </c>
      <c r="AP183" s="1">
        <v>1</v>
      </c>
    </row>
    <row r="184" spans="1:42" x14ac:dyDescent="0.3">
      <c r="A184" t="s">
        <v>96</v>
      </c>
      <c r="B184" t="s">
        <v>102</v>
      </c>
      <c r="C184" s="4" t="s">
        <v>44</v>
      </c>
      <c r="D184">
        <v>355</v>
      </c>
      <c r="E184">
        <v>11</v>
      </c>
      <c r="F184">
        <v>0</v>
      </c>
      <c r="G184">
        <v>93</v>
      </c>
      <c r="H184">
        <v>1</v>
      </c>
      <c r="I184">
        <v>0</v>
      </c>
      <c r="J184">
        <v>3</v>
      </c>
      <c r="K184">
        <v>5</v>
      </c>
      <c r="L184">
        <v>0</v>
      </c>
      <c r="M184">
        <v>46</v>
      </c>
      <c r="N184">
        <v>0</v>
      </c>
      <c r="O184">
        <v>26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4</v>
      </c>
      <c r="V184">
        <v>0</v>
      </c>
      <c r="W184">
        <v>3</v>
      </c>
      <c r="X184">
        <v>1</v>
      </c>
      <c r="Y184">
        <v>0</v>
      </c>
      <c r="Z184">
        <v>0</v>
      </c>
      <c r="AA184">
        <v>3</v>
      </c>
      <c r="AB184">
        <v>5</v>
      </c>
      <c r="AC184">
        <v>0</v>
      </c>
      <c r="AD184">
        <v>0</v>
      </c>
      <c r="AE184">
        <v>0</v>
      </c>
      <c r="AF184">
        <v>1</v>
      </c>
      <c r="AG184">
        <v>3</v>
      </c>
      <c r="AH184">
        <v>11</v>
      </c>
      <c r="AI184">
        <v>3</v>
      </c>
      <c r="AJ184">
        <v>1</v>
      </c>
      <c r="AK184">
        <v>64</v>
      </c>
      <c r="AL184">
        <v>1</v>
      </c>
      <c r="AM184">
        <v>66</v>
      </c>
      <c r="AN184" s="1">
        <v>0</v>
      </c>
      <c r="AO184">
        <v>0</v>
      </c>
      <c r="AP184" s="1">
        <v>3</v>
      </c>
    </row>
    <row r="185" spans="1:42" x14ac:dyDescent="0.3">
      <c r="A185" t="s">
        <v>96</v>
      </c>
      <c r="B185" t="s">
        <v>103</v>
      </c>
      <c r="C185" s="4" t="s">
        <v>40</v>
      </c>
      <c r="D185">
        <v>413</v>
      </c>
      <c r="E185">
        <v>31</v>
      </c>
      <c r="F185">
        <v>64</v>
      </c>
      <c r="G185">
        <v>2</v>
      </c>
      <c r="H185">
        <v>53</v>
      </c>
      <c r="I185">
        <v>0</v>
      </c>
      <c r="J185">
        <v>22</v>
      </c>
      <c r="K185">
        <v>1</v>
      </c>
      <c r="L185">
        <v>0</v>
      </c>
      <c r="M185">
        <v>71</v>
      </c>
      <c r="N185">
        <v>0</v>
      </c>
      <c r="O185">
        <v>16</v>
      </c>
      <c r="P185">
        <v>0</v>
      </c>
      <c r="Q185">
        <v>2</v>
      </c>
      <c r="R185">
        <v>1</v>
      </c>
      <c r="S185">
        <v>2</v>
      </c>
      <c r="T185">
        <v>0</v>
      </c>
      <c r="U185">
        <v>11</v>
      </c>
      <c r="V185">
        <v>2</v>
      </c>
      <c r="W185">
        <v>3</v>
      </c>
      <c r="X185">
        <v>3</v>
      </c>
      <c r="Y185">
        <v>0</v>
      </c>
      <c r="Z185">
        <v>2</v>
      </c>
      <c r="AA185">
        <v>11</v>
      </c>
      <c r="AB185">
        <v>10</v>
      </c>
      <c r="AC185">
        <v>0</v>
      </c>
      <c r="AD185">
        <v>0</v>
      </c>
      <c r="AE185">
        <v>0</v>
      </c>
      <c r="AF185">
        <v>4</v>
      </c>
      <c r="AG185">
        <v>16</v>
      </c>
      <c r="AH185">
        <v>9</v>
      </c>
      <c r="AI185">
        <v>5</v>
      </c>
      <c r="AJ185">
        <v>6</v>
      </c>
      <c r="AK185">
        <v>52</v>
      </c>
      <c r="AL185">
        <v>6</v>
      </c>
      <c r="AM185">
        <v>0</v>
      </c>
      <c r="AN185" s="1">
        <v>0</v>
      </c>
      <c r="AO185">
        <v>0</v>
      </c>
      <c r="AP185" s="1">
        <v>8</v>
      </c>
    </row>
    <row r="186" spans="1:42" x14ac:dyDescent="0.3">
      <c r="A186" t="s">
        <v>96</v>
      </c>
      <c r="B186" t="s">
        <v>103</v>
      </c>
      <c r="C186" s="4" t="s">
        <v>43</v>
      </c>
      <c r="D186">
        <v>198</v>
      </c>
      <c r="E186">
        <v>18</v>
      </c>
      <c r="F186">
        <v>63</v>
      </c>
      <c r="G186">
        <v>1</v>
      </c>
      <c r="H186">
        <v>19</v>
      </c>
      <c r="I186">
        <v>0</v>
      </c>
      <c r="J186">
        <v>11</v>
      </c>
      <c r="K186">
        <v>1</v>
      </c>
      <c r="L186">
        <v>0</v>
      </c>
      <c r="M186">
        <v>18</v>
      </c>
      <c r="N186">
        <v>0</v>
      </c>
      <c r="O186">
        <v>2</v>
      </c>
      <c r="P186">
        <v>0</v>
      </c>
      <c r="Q186">
        <v>1</v>
      </c>
      <c r="R186">
        <v>0</v>
      </c>
      <c r="S186">
        <v>2</v>
      </c>
      <c r="T186">
        <v>0</v>
      </c>
      <c r="U186">
        <v>4</v>
      </c>
      <c r="V186">
        <v>1</v>
      </c>
      <c r="W186">
        <v>0</v>
      </c>
      <c r="X186">
        <v>3</v>
      </c>
      <c r="Y186">
        <v>0</v>
      </c>
      <c r="Z186">
        <v>2</v>
      </c>
      <c r="AA186">
        <v>6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8</v>
      </c>
      <c r="AH186">
        <v>5</v>
      </c>
      <c r="AI186">
        <v>3</v>
      </c>
      <c r="AJ186">
        <v>4</v>
      </c>
      <c r="AK186">
        <v>16</v>
      </c>
      <c r="AL186">
        <v>5</v>
      </c>
      <c r="AM186">
        <v>0</v>
      </c>
      <c r="AN186" s="1">
        <v>0</v>
      </c>
      <c r="AO186">
        <v>0</v>
      </c>
      <c r="AP186" s="1">
        <v>3</v>
      </c>
    </row>
    <row r="187" spans="1:42" x14ac:dyDescent="0.3">
      <c r="A187" t="s">
        <v>96</v>
      </c>
      <c r="B187" t="s">
        <v>103</v>
      </c>
      <c r="C187" s="4" t="s">
        <v>44</v>
      </c>
      <c r="D187">
        <v>215</v>
      </c>
      <c r="E187">
        <v>13</v>
      </c>
      <c r="F187">
        <v>1</v>
      </c>
      <c r="G187">
        <v>1</v>
      </c>
      <c r="H187">
        <v>34</v>
      </c>
      <c r="I187">
        <v>0</v>
      </c>
      <c r="J187">
        <v>11</v>
      </c>
      <c r="K187">
        <v>0</v>
      </c>
      <c r="L187">
        <v>0</v>
      </c>
      <c r="M187">
        <v>53</v>
      </c>
      <c r="N187">
        <v>0</v>
      </c>
      <c r="O187">
        <v>14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7</v>
      </c>
      <c r="V187">
        <v>1</v>
      </c>
      <c r="W187">
        <v>3</v>
      </c>
      <c r="X187">
        <v>0</v>
      </c>
      <c r="Y187">
        <v>0</v>
      </c>
      <c r="Z187">
        <v>0</v>
      </c>
      <c r="AA187">
        <v>5</v>
      </c>
      <c r="AB187">
        <v>9</v>
      </c>
      <c r="AC187">
        <v>0</v>
      </c>
      <c r="AD187">
        <v>0</v>
      </c>
      <c r="AE187">
        <v>0</v>
      </c>
      <c r="AF187">
        <v>3</v>
      </c>
      <c r="AG187">
        <v>8</v>
      </c>
      <c r="AH187">
        <v>4</v>
      </c>
      <c r="AI187">
        <v>2</v>
      </c>
      <c r="AJ187">
        <v>2</v>
      </c>
      <c r="AK187">
        <v>36</v>
      </c>
      <c r="AL187">
        <v>1</v>
      </c>
      <c r="AM187">
        <v>0</v>
      </c>
      <c r="AN187" s="1">
        <v>0</v>
      </c>
      <c r="AO187">
        <v>0</v>
      </c>
      <c r="AP187" s="1">
        <v>5</v>
      </c>
    </row>
    <row r="188" spans="1:42" x14ac:dyDescent="0.3">
      <c r="A188" t="s">
        <v>96</v>
      </c>
      <c r="B188" t="s">
        <v>104</v>
      </c>
      <c r="C188" s="4" t="s">
        <v>40</v>
      </c>
      <c r="D188">
        <v>250</v>
      </c>
      <c r="E188">
        <v>2</v>
      </c>
      <c r="F188">
        <v>1</v>
      </c>
      <c r="G188">
        <v>0</v>
      </c>
      <c r="H188">
        <v>60</v>
      </c>
      <c r="I188">
        <v>0</v>
      </c>
      <c r="J188">
        <v>73</v>
      </c>
      <c r="K188">
        <v>0</v>
      </c>
      <c r="L188">
        <v>0</v>
      </c>
      <c r="M188">
        <v>22</v>
      </c>
      <c r="N188">
        <v>0</v>
      </c>
      <c r="O188">
        <v>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3</v>
      </c>
      <c r="AC188">
        <v>0</v>
      </c>
      <c r="AD188">
        <v>0</v>
      </c>
      <c r="AE188">
        <v>0</v>
      </c>
      <c r="AF188">
        <v>9</v>
      </c>
      <c r="AG188">
        <v>7</v>
      </c>
      <c r="AH188">
        <v>4</v>
      </c>
      <c r="AI188">
        <v>27</v>
      </c>
      <c r="AJ188">
        <v>5</v>
      </c>
      <c r="AK188">
        <v>28</v>
      </c>
      <c r="AL188">
        <v>0</v>
      </c>
      <c r="AM188">
        <v>0</v>
      </c>
      <c r="AN188" s="1">
        <v>0</v>
      </c>
      <c r="AO188">
        <v>0</v>
      </c>
      <c r="AP188" s="1">
        <v>1</v>
      </c>
    </row>
    <row r="189" spans="1:42" x14ac:dyDescent="0.3">
      <c r="A189" t="s">
        <v>96</v>
      </c>
      <c r="B189" t="s">
        <v>104</v>
      </c>
      <c r="C189" s="4" t="s">
        <v>43</v>
      </c>
      <c r="D189">
        <v>98</v>
      </c>
      <c r="E189">
        <v>1</v>
      </c>
      <c r="F189">
        <v>1</v>
      </c>
      <c r="G189">
        <v>0</v>
      </c>
      <c r="H189">
        <v>25</v>
      </c>
      <c r="I189">
        <v>0</v>
      </c>
      <c r="J189">
        <v>37</v>
      </c>
      <c r="K189">
        <v>0</v>
      </c>
      <c r="L189">
        <v>0</v>
      </c>
      <c r="M189">
        <v>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2</v>
      </c>
      <c r="AC189">
        <v>0</v>
      </c>
      <c r="AD189">
        <v>0</v>
      </c>
      <c r="AE189">
        <v>0</v>
      </c>
      <c r="AF189">
        <v>5</v>
      </c>
      <c r="AG189">
        <v>3</v>
      </c>
      <c r="AH189">
        <v>0</v>
      </c>
      <c r="AI189">
        <v>12</v>
      </c>
      <c r="AJ189">
        <v>2</v>
      </c>
      <c r="AK189">
        <v>4</v>
      </c>
      <c r="AL189">
        <v>0</v>
      </c>
      <c r="AM189">
        <v>0</v>
      </c>
      <c r="AN189" s="1">
        <v>0</v>
      </c>
      <c r="AO189">
        <v>0</v>
      </c>
      <c r="AP189" s="1">
        <v>0</v>
      </c>
    </row>
    <row r="190" spans="1:42" x14ac:dyDescent="0.3">
      <c r="A190" t="s">
        <v>96</v>
      </c>
      <c r="B190" t="s">
        <v>104</v>
      </c>
      <c r="C190" s="4" t="s">
        <v>44</v>
      </c>
      <c r="D190">
        <v>152</v>
      </c>
      <c r="E190">
        <v>1</v>
      </c>
      <c r="F190">
        <v>0</v>
      </c>
      <c r="G190">
        <v>0</v>
      </c>
      <c r="H190">
        <v>35</v>
      </c>
      <c r="I190">
        <v>0</v>
      </c>
      <c r="J190">
        <v>36</v>
      </c>
      <c r="K190">
        <v>0</v>
      </c>
      <c r="L190">
        <v>0</v>
      </c>
      <c r="M190">
        <v>17</v>
      </c>
      <c r="N190">
        <v>0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4</v>
      </c>
      <c r="AG190">
        <v>4</v>
      </c>
      <c r="AH190">
        <v>4</v>
      </c>
      <c r="AI190">
        <v>15</v>
      </c>
      <c r="AJ190">
        <v>3</v>
      </c>
      <c r="AK190">
        <v>24</v>
      </c>
      <c r="AL190">
        <v>0</v>
      </c>
      <c r="AM190">
        <v>0</v>
      </c>
      <c r="AN190" s="1">
        <v>0</v>
      </c>
      <c r="AO190">
        <v>0</v>
      </c>
      <c r="AP190" s="1">
        <v>1</v>
      </c>
    </row>
    <row r="191" spans="1:42" x14ac:dyDescent="0.3">
      <c r="A191" t="s">
        <v>96</v>
      </c>
      <c r="B191" t="s">
        <v>105</v>
      </c>
      <c r="C191" s="4" t="s">
        <v>40</v>
      </c>
      <c r="D191">
        <v>250</v>
      </c>
      <c r="E191">
        <v>6</v>
      </c>
      <c r="F191">
        <v>5</v>
      </c>
      <c r="G191">
        <v>67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19</v>
      </c>
      <c r="N191">
        <v>0</v>
      </c>
      <c r="O191">
        <v>5</v>
      </c>
      <c r="P191">
        <v>0</v>
      </c>
      <c r="Q191">
        <v>0</v>
      </c>
      <c r="R191">
        <v>1</v>
      </c>
      <c r="S191">
        <v>1</v>
      </c>
      <c r="T191">
        <v>3</v>
      </c>
      <c r="U191">
        <v>1</v>
      </c>
      <c r="V191">
        <v>1</v>
      </c>
      <c r="W191">
        <v>2</v>
      </c>
      <c r="X191">
        <v>1</v>
      </c>
      <c r="Y191">
        <v>1</v>
      </c>
      <c r="Z191">
        <v>1</v>
      </c>
      <c r="AA191">
        <v>8</v>
      </c>
      <c r="AB191">
        <v>15</v>
      </c>
      <c r="AC191">
        <v>0</v>
      </c>
      <c r="AD191">
        <v>0</v>
      </c>
      <c r="AE191">
        <v>0</v>
      </c>
      <c r="AF191">
        <v>11</v>
      </c>
      <c r="AG191">
        <v>6</v>
      </c>
      <c r="AH191">
        <v>9</v>
      </c>
      <c r="AI191">
        <v>3</v>
      </c>
      <c r="AJ191">
        <v>1</v>
      </c>
      <c r="AK191">
        <v>55</v>
      </c>
      <c r="AL191">
        <v>15</v>
      </c>
      <c r="AM191">
        <v>0</v>
      </c>
      <c r="AN191" s="1">
        <v>0</v>
      </c>
      <c r="AO191">
        <v>0</v>
      </c>
      <c r="AP191" s="1">
        <v>10</v>
      </c>
    </row>
    <row r="192" spans="1:42" x14ac:dyDescent="0.3">
      <c r="A192" t="s">
        <v>96</v>
      </c>
      <c r="B192" t="s">
        <v>105</v>
      </c>
      <c r="C192" s="4" t="s">
        <v>43</v>
      </c>
      <c r="D192">
        <v>84</v>
      </c>
      <c r="E192">
        <v>2</v>
      </c>
      <c r="F192">
        <v>3</v>
      </c>
      <c r="G192">
        <v>23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6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1</v>
      </c>
      <c r="T192">
        <v>2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1</v>
      </c>
      <c r="AA192">
        <v>8</v>
      </c>
      <c r="AB192">
        <v>5</v>
      </c>
      <c r="AC192">
        <v>0</v>
      </c>
      <c r="AD192">
        <v>0</v>
      </c>
      <c r="AE192">
        <v>0</v>
      </c>
      <c r="AF192">
        <v>5</v>
      </c>
      <c r="AG192">
        <v>1</v>
      </c>
      <c r="AH192">
        <v>4</v>
      </c>
      <c r="AI192">
        <v>3</v>
      </c>
      <c r="AJ192">
        <v>0</v>
      </c>
      <c r="AK192">
        <v>7</v>
      </c>
      <c r="AL192">
        <v>4</v>
      </c>
      <c r="AM192">
        <v>0</v>
      </c>
      <c r="AN192" s="1">
        <v>0</v>
      </c>
      <c r="AO192">
        <v>0</v>
      </c>
      <c r="AP192" s="1">
        <v>1</v>
      </c>
    </row>
    <row r="193" spans="1:42" x14ac:dyDescent="0.3">
      <c r="A193" t="s">
        <v>96</v>
      </c>
      <c r="B193" t="s">
        <v>105</v>
      </c>
      <c r="C193" s="4" t="s">
        <v>44</v>
      </c>
      <c r="D193">
        <v>166</v>
      </c>
      <c r="E193">
        <v>4</v>
      </c>
      <c r="F193">
        <v>2</v>
      </c>
      <c r="G193">
        <v>44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13</v>
      </c>
      <c r="N193">
        <v>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10</v>
      </c>
      <c r="AC193">
        <v>0</v>
      </c>
      <c r="AD193">
        <v>0</v>
      </c>
      <c r="AE193">
        <v>0</v>
      </c>
      <c r="AF193">
        <v>6</v>
      </c>
      <c r="AG193">
        <v>5</v>
      </c>
      <c r="AH193">
        <v>5</v>
      </c>
      <c r="AI193">
        <v>0</v>
      </c>
      <c r="AJ193">
        <v>1</v>
      </c>
      <c r="AK193">
        <v>48</v>
      </c>
      <c r="AL193">
        <v>11</v>
      </c>
      <c r="AM193">
        <v>0</v>
      </c>
      <c r="AN193" s="1">
        <v>0</v>
      </c>
      <c r="AO193">
        <v>0</v>
      </c>
      <c r="AP193" s="1">
        <v>9</v>
      </c>
    </row>
    <row r="194" spans="1:42" x14ac:dyDescent="0.3">
      <c r="A194" t="s">
        <v>96</v>
      </c>
      <c r="B194" t="s">
        <v>106</v>
      </c>
      <c r="C194" s="4" t="s">
        <v>40</v>
      </c>
      <c r="D194">
        <v>185</v>
      </c>
      <c r="E194">
        <v>5</v>
      </c>
      <c r="F194">
        <v>5</v>
      </c>
      <c r="G194">
        <v>90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16</v>
      </c>
      <c r="N194">
        <v>0</v>
      </c>
      <c r="O194">
        <v>7</v>
      </c>
      <c r="P194">
        <v>1</v>
      </c>
      <c r="Q194">
        <v>6</v>
      </c>
      <c r="R194">
        <v>0</v>
      </c>
      <c r="S194">
        <v>0</v>
      </c>
      <c r="T194">
        <v>1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6</v>
      </c>
      <c r="AC194">
        <v>0</v>
      </c>
      <c r="AD194">
        <v>0</v>
      </c>
      <c r="AE194">
        <v>0</v>
      </c>
      <c r="AF194">
        <v>0</v>
      </c>
      <c r="AG194">
        <v>6</v>
      </c>
      <c r="AH194">
        <v>3</v>
      </c>
      <c r="AI194">
        <v>3</v>
      </c>
      <c r="AJ194">
        <v>1</v>
      </c>
      <c r="AK194">
        <v>25</v>
      </c>
      <c r="AL194">
        <v>0</v>
      </c>
      <c r="AM194">
        <v>0</v>
      </c>
      <c r="AN194" s="1">
        <v>0</v>
      </c>
      <c r="AO194">
        <v>0</v>
      </c>
      <c r="AP194" s="1">
        <v>5</v>
      </c>
    </row>
    <row r="195" spans="1:42" x14ac:dyDescent="0.3">
      <c r="A195" t="s">
        <v>96</v>
      </c>
      <c r="B195" t="s">
        <v>106</v>
      </c>
      <c r="C195" s="4" t="s">
        <v>43</v>
      </c>
      <c r="D195">
        <v>76</v>
      </c>
      <c r="E195">
        <v>3</v>
      </c>
      <c r="F195">
        <v>2</v>
      </c>
      <c r="G195">
        <v>43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8</v>
      </c>
      <c r="N195">
        <v>0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0</v>
      </c>
      <c r="AF195">
        <v>0</v>
      </c>
      <c r="AG195">
        <v>4</v>
      </c>
      <c r="AH195">
        <v>1</v>
      </c>
      <c r="AI195">
        <v>1</v>
      </c>
      <c r="AJ195">
        <v>0</v>
      </c>
      <c r="AK195">
        <v>5</v>
      </c>
      <c r="AL195">
        <v>0</v>
      </c>
      <c r="AM195">
        <v>0</v>
      </c>
      <c r="AN195" s="1">
        <v>0</v>
      </c>
      <c r="AO195">
        <v>0</v>
      </c>
      <c r="AP195" s="1">
        <v>1</v>
      </c>
    </row>
    <row r="196" spans="1:42" x14ac:dyDescent="0.3">
      <c r="A196" t="s">
        <v>96</v>
      </c>
      <c r="B196" t="s">
        <v>106</v>
      </c>
      <c r="C196" s="4" t="s">
        <v>44</v>
      </c>
      <c r="D196">
        <v>109</v>
      </c>
      <c r="E196">
        <v>2</v>
      </c>
      <c r="F196">
        <v>3</v>
      </c>
      <c r="G196">
        <v>47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8</v>
      </c>
      <c r="N196">
        <v>0</v>
      </c>
      <c r="O196">
        <v>6</v>
      </c>
      <c r="P196">
        <v>0</v>
      </c>
      <c r="Q196">
        <v>5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4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2</v>
      </c>
      <c r="AI196">
        <v>2</v>
      </c>
      <c r="AJ196">
        <v>1</v>
      </c>
      <c r="AK196">
        <v>20</v>
      </c>
      <c r="AL196">
        <v>0</v>
      </c>
      <c r="AM196">
        <v>0</v>
      </c>
      <c r="AN196" s="1">
        <v>0</v>
      </c>
      <c r="AO196">
        <v>0</v>
      </c>
      <c r="AP196" s="1">
        <v>4</v>
      </c>
    </row>
    <row r="197" spans="1:42" x14ac:dyDescent="0.3">
      <c r="A197" t="s">
        <v>96</v>
      </c>
      <c r="B197" t="s">
        <v>107</v>
      </c>
      <c r="C197" s="4" t="s">
        <v>40</v>
      </c>
      <c r="D197">
        <v>159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0</v>
      </c>
      <c r="AI197">
        <v>0</v>
      </c>
      <c r="AJ197">
        <v>0</v>
      </c>
      <c r="AK197">
        <v>1</v>
      </c>
      <c r="AL197">
        <v>139</v>
      </c>
      <c r="AM197">
        <v>0</v>
      </c>
      <c r="AN197" s="1">
        <v>0</v>
      </c>
      <c r="AO197">
        <v>0</v>
      </c>
      <c r="AP197" s="1">
        <v>6</v>
      </c>
    </row>
    <row r="198" spans="1:42" x14ac:dyDescent="0.3">
      <c r="A198" t="s">
        <v>96</v>
      </c>
      <c r="B198" t="s">
        <v>107</v>
      </c>
      <c r="C198" s="4" t="s">
        <v>43</v>
      </c>
      <c r="D198">
        <v>115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1</v>
      </c>
      <c r="AL198">
        <v>102</v>
      </c>
      <c r="AM198">
        <v>0</v>
      </c>
      <c r="AN198" s="1">
        <v>0</v>
      </c>
      <c r="AO198">
        <v>0</v>
      </c>
      <c r="AP198" s="1">
        <v>4</v>
      </c>
    </row>
    <row r="199" spans="1:42" x14ac:dyDescent="0.3">
      <c r="A199" t="s">
        <v>96</v>
      </c>
      <c r="B199" t="s">
        <v>107</v>
      </c>
      <c r="C199" s="4" t="s">
        <v>44</v>
      </c>
      <c r="D199">
        <v>44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37</v>
      </c>
      <c r="AM199">
        <v>0</v>
      </c>
      <c r="AN199" s="1">
        <v>0</v>
      </c>
      <c r="AO199">
        <v>0</v>
      </c>
      <c r="AP199" s="1">
        <v>2</v>
      </c>
    </row>
    <row r="200" spans="1:42" x14ac:dyDescent="0.3">
      <c r="A200" t="s">
        <v>96</v>
      </c>
      <c r="B200" t="s">
        <v>108</v>
      </c>
      <c r="C200" s="4" t="s">
        <v>40</v>
      </c>
      <c r="D200">
        <v>151</v>
      </c>
      <c r="E200">
        <v>7</v>
      </c>
      <c r="F200">
        <v>0</v>
      </c>
      <c r="G200">
        <v>42</v>
      </c>
      <c r="H200">
        <v>8</v>
      </c>
      <c r="I200">
        <v>0</v>
      </c>
      <c r="J200">
        <v>14</v>
      </c>
      <c r="K200">
        <v>0</v>
      </c>
      <c r="L200">
        <v>0</v>
      </c>
      <c r="M200">
        <v>20</v>
      </c>
      <c r="N200">
        <v>0</v>
      </c>
      <c r="O200">
        <v>6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0</v>
      </c>
      <c r="AD200">
        <v>0</v>
      </c>
      <c r="AE200">
        <v>0</v>
      </c>
      <c r="AF200">
        <v>9</v>
      </c>
      <c r="AG200">
        <v>8</v>
      </c>
      <c r="AH200">
        <v>0</v>
      </c>
      <c r="AI200">
        <v>0</v>
      </c>
      <c r="AJ200">
        <v>10</v>
      </c>
      <c r="AK200">
        <v>17</v>
      </c>
      <c r="AL200">
        <v>1</v>
      </c>
      <c r="AM200">
        <v>0</v>
      </c>
      <c r="AN200" s="1">
        <v>0</v>
      </c>
      <c r="AO200">
        <v>1</v>
      </c>
      <c r="AP200" s="1">
        <v>3</v>
      </c>
    </row>
    <row r="201" spans="1:42" x14ac:dyDescent="0.3">
      <c r="A201" t="s">
        <v>96</v>
      </c>
      <c r="B201" t="s">
        <v>108</v>
      </c>
      <c r="C201" s="4" t="s">
        <v>43</v>
      </c>
      <c r="D201">
        <v>80</v>
      </c>
      <c r="E201">
        <v>5</v>
      </c>
      <c r="F201">
        <v>0</v>
      </c>
      <c r="G201">
        <v>29</v>
      </c>
      <c r="H201">
        <v>3</v>
      </c>
      <c r="I201">
        <v>0</v>
      </c>
      <c r="J201">
        <v>7</v>
      </c>
      <c r="K201">
        <v>0</v>
      </c>
      <c r="L201">
        <v>0</v>
      </c>
      <c r="M201">
        <v>12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5</v>
      </c>
      <c r="AG201">
        <v>7</v>
      </c>
      <c r="AH201">
        <v>0</v>
      </c>
      <c r="AI201">
        <v>0</v>
      </c>
      <c r="AJ201">
        <v>5</v>
      </c>
      <c r="AK201">
        <v>3</v>
      </c>
      <c r="AL201">
        <v>1</v>
      </c>
      <c r="AM201">
        <v>0</v>
      </c>
      <c r="AN201" s="1">
        <v>0</v>
      </c>
      <c r="AO201">
        <v>0</v>
      </c>
      <c r="AP201" s="1">
        <v>0</v>
      </c>
    </row>
    <row r="202" spans="1:42" x14ac:dyDescent="0.3">
      <c r="A202" t="s">
        <v>96</v>
      </c>
      <c r="B202" t="s">
        <v>108</v>
      </c>
      <c r="C202" s="4" t="s">
        <v>44</v>
      </c>
      <c r="D202">
        <v>71</v>
      </c>
      <c r="E202">
        <v>2</v>
      </c>
      <c r="F202">
        <v>0</v>
      </c>
      <c r="G202">
        <v>13</v>
      </c>
      <c r="H202">
        <v>5</v>
      </c>
      <c r="I202">
        <v>0</v>
      </c>
      <c r="J202">
        <v>7</v>
      </c>
      <c r="K202">
        <v>0</v>
      </c>
      <c r="L202">
        <v>0</v>
      </c>
      <c r="M202">
        <v>8</v>
      </c>
      <c r="N202">
        <v>0</v>
      </c>
      <c r="O202">
        <v>6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4</v>
      </c>
      <c r="AG202">
        <v>1</v>
      </c>
      <c r="AH202">
        <v>0</v>
      </c>
      <c r="AI202">
        <v>0</v>
      </c>
      <c r="AJ202">
        <v>5</v>
      </c>
      <c r="AK202">
        <v>14</v>
      </c>
      <c r="AL202">
        <v>0</v>
      </c>
      <c r="AM202">
        <v>0</v>
      </c>
      <c r="AN202" s="1">
        <v>0</v>
      </c>
      <c r="AO202">
        <v>1</v>
      </c>
      <c r="AP202" s="1">
        <v>3</v>
      </c>
    </row>
    <row r="203" spans="1:42" x14ac:dyDescent="0.3">
      <c r="A203" t="s">
        <v>96</v>
      </c>
      <c r="B203" t="s">
        <v>109</v>
      </c>
      <c r="C203" s="4" t="s">
        <v>40</v>
      </c>
      <c r="D203">
        <v>147</v>
      </c>
      <c r="E203">
        <v>19</v>
      </c>
      <c r="F203">
        <v>0</v>
      </c>
      <c r="G203">
        <v>54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22</v>
      </c>
      <c r="N203">
        <v>1</v>
      </c>
      <c r="O203">
        <v>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</v>
      </c>
      <c r="AB203">
        <v>6</v>
      </c>
      <c r="AC203">
        <v>0</v>
      </c>
      <c r="AD203">
        <v>0</v>
      </c>
      <c r="AE203">
        <v>0</v>
      </c>
      <c r="AF203">
        <v>3</v>
      </c>
      <c r="AG203">
        <v>5</v>
      </c>
      <c r="AH203">
        <v>0</v>
      </c>
      <c r="AI203">
        <v>0</v>
      </c>
      <c r="AJ203">
        <v>2</v>
      </c>
      <c r="AK203">
        <v>9</v>
      </c>
      <c r="AL203">
        <v>2</v>
      </c>
      <c r="AM203">
        <v>0</v>
      </c>
      <c r="AN203" s="1">
        <v>0</v>
      </c>
      <c r="AO203">
        <v>0</v>
      </c>
      <c r="AP203" s="1">
        <v>9</v>
      </c>
    </row>
    <row r="204" spans="1:42" x14ac:dyDescent="0.3">
      <c r="A204" t="s">
        <v>96</v>
      </c>
      <c r="B204" t="s">
        <v>109</v>
      </c>
      <c r="C204" s="4" t="s">
        <v>43</v>
      </c>
      <c r="D204">
        <v>68</v>
      </c>
      <c r="E204">
        <v>11</v>
      </c>
      <c r="F204">
        <v>0</v>
      </c>
      <c r="G204">
        <v>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</v>
      </c>
      <c r="AB204">
        <v>3</v>
      </c>
      <c r="AC204">
        <v>0</v>
      </c>
      <c r="AD204">
        <v>0</v>
      </c>
      <c r="AE204">
        <v>0</v>
      </c>
      <c r="AF204">
        <v>1</v>
      </c>
      <c r="AG204">
        <v>3</v>
      </c>
      <c r="AH204">
        <v>0</v>
      </c>
      <c r="AI204">
        <v>0</v>
      </c>
      <c r="AJ204">
        <v>0</v>
      </c>
      <c r="AK204">
        <v>6</v>
      </c>
      <c r="AL204">
        <v>1</v>
      </c>
      <c r="AM204">
        <v>0</v>
      </c>
      <c r="AN204" s="1">
        <v>0</v>
      </c>
      <c r="AO204">
        <v>0</v>
      </c>
      <c r="AP204" s="1">
        <v>2</v>
      </c>
    </row>
    <row r="205" spans="1:42" x14ac:dyDescent="0.3">
      <c r="A205" t="s">
        <v>96</v>
      </c>
      <c r="B205" t="s">
        <v>109</v>
      </c>
      <c r="C205" s="4" t="s">
        <v>44</v>
      </c>
      <c r="D205">
        <v>79</v>
      </c>
      <c r="E205">
        <v>8</v>
      </c>
      <c r="F205">
        <v>0</v>
      </c>
      <c r="G205">
        <v>24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16</v>
      </c>
      <c r="N205">
        <v>1</v>
      </c>
      <c r="O205">
        <v>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3</v>
      </c>
      <c r="AC205">
        <v>0</v>
      </c>
      <c r="AD205">
        <v>0</v>
      </c>
      <c r="AE205">
        <v>0</v>
      </c>
      <c r="AF205">
        <v>2</v>
      </c>
      <c r="AG205">
        <v>2</v>
      </c>
      <c r="AH205">
        <v>0</v>
      </c>
      <c r="AI205">
        <v>0</v>
      </c>
      <c r="AJ205">
        <v>2</v>
      </c>
      <c r="AK205">
        <v>3</v>
      </c>
      <c r="AL205">
        <v>1</v>
      </c>
      <c r="AM205">
        <v>0</v>
      </c>
      <c r="AN205" s="1">
        <v>0</v>
      </c>
      <c r="AO205">
        <v>0</v>
      </c>
      <c r="AP205" s="1">
        <v>7</v>
      </c>
    </row>
    <row r="206" spans="1:42" x14ac:dyDescent="0.3">
      <c r="A206" t="s">
        <v>96</v>
      </c>
      <c r="B206" t="s">
        <v>110</v>
      </c>
      <c r="C206" s="4" t="s">
        <v>40</v>
      </c>
      <c r="D206">
        <v>115</v>
      </c>
      <c r="E206">
        <v>14</v>
      </c>
      <c r="F206">
        <v>8</v>
      </c>
      <c r="G206">
        <v>24</v>
      </c>
      <c r="H206">
        <v>2</v>
      </c>
      <c r="I206">
        <v>0</v>
      </c>
      <c r="J206">
        <v>2</v>
      </c>
      <c r="K206">
        <v>0</v>
      </c>
      <c r="L206">
        <v>0</v>
      </c>
      <c r="M206">
        <v>17</v>
      </c>
      <c r="N206">
        <v>0</v>
      </c>
      <c r="O206">
        <v>9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3</v>
      </c>
      <c r="AC206">
        <v>0</v>
      </c>
      <c r="AD206">
        <v>0</v>
      </c>
      <c r="AE206">
        <v>0</v>
      </c>
      <c r="AF206">
        <v>2</v>
      </c>
      <c r="AG206">
        <v>3</v>
      </c>
      <c r="AH206">
        <v>4</v>
      </c>
      <c r="AI206">
        <v>1</v>
      </c>
      <c r="AJ206">
        <v>1</v>
      </c>
      <c r="AK206">
        <v>14</v>
      </c>
      <c r="AL206">
        <v>0</v>
      </c>
      <c r="AM206">
        <v>0</v>
      </c>
      <c r="AN206" s="1">
        <v>0</v>
      </c>
      <c r="AO206">
        <v>0</v>
      </c>
      <c r="AP206" s="1">
        <v>2</v>
      </c>
    </row>
    <row r="207" spans="1:42" x14ac:dyDescent="0.3">
      <c r="A207" t="s">
        <v>96</v>
      </c>
      <c r="B207" t="s">
        <v>110</v>
      </c>
      <c r="C207" s="4" t="s">
        <v>43</v>
      </c>
      <c r="D207">
        <v>43</v>
      </c>
      <c r="E207">
        <v>8</v>
      </c>
      <c r="F207">
        <v>4</v>
      </c>
      <c r="G207">
        <v>11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3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3</v>
      </c>
      <c r="AL207">
        <v>0</v>
      </c>
      <c r="AM207">
        <v>0</v>
      </c>
      <c r="AN207" s="1">
        <v>0</v>
      </c>
      <c r="AO207">
        <v>0</v>
      </c>
      <c r="AP207" s="1">
        <v>0</v>
      </c>
    </row>
    <row r="208" spans="1:42" x14ac:dyDescent="0.3">
      <c r="A208" t="s">
        <v>96</v>
      </c>
      <c r="B208" t="s">
        <v>110</v>
      </c>
      <c r="C208" s="4" t="s">
        <v>44</v>
      </c>
      <c r="D208">
        <v>72</v>
      </c>
      <c r="E208">
        <v>6</v>
      </c>
      <c r="F208">
        <v>4</v>
      </c>
      <c r="G208">
        <v>13</v>
      </c>
      <c r="H208">
        <v>1</v>
      </c>
      <c r="I208">
        <v>0</v>
      </c>
      <c r="J208">
        <v>2</v>
      </c>
      <c r="K208">
        <v>0</v>
      </c>
      <c r="L208">
        <v>0</v>
      </c>
      <c r="M208">
        <v>14</v>
      </c>
      <c r="N208">
        <v>0</v>
      </c>
      <c r="O208">
        <v>6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2</v>
      </c>
      <c r="AH208">
        <v>4</v>
      </c>
      <c r="AI208">
        <v>0</v>
      </c>
      <c r="AJ208">
        <v>0</v>
      </c>
      <c r="AK208">
        <v>11</v>
      </c>
      <c r="AL208">
        <v>0</v>
      </c>
      <c r="AM208">
        <v>0</v>
      </c>
      <c r="AN208" s="1">
        <v>0</v>
      </c>
      <c r="AO208">
        <v>0</v>
      </c>
      <c r="AP208" s="1">
        <v>2</v>
      </c>
    </row>
    <row r="209" spans="1:42" x14ac:dyDescent="0.3">
      <c r="A209" t="s">
        <v>96</v>
      </c>
      <c r="B209" t="s">
        <v>111</v>
      </c>
      <c r="C209" s="4" t="s">
        <v>40</v>
      </c>
      <c r="D209">
        <v>105</v>
      </c>
      <c r="E209">
        <v>9</v>
      </c>
      <c r="F209">
        <v>0</v>
      </c>
      <c r="G209">
        <v>0</v>
      </c>
      <c r="H209">
        <v>4</v>
      </c>
      <c r="I209">
        <v>0</v>
      </c>
      <c r="J209">
        <v>19</v>
      </c>
      <c r="K209">
        <v>0</v>
      </c>
      <c r="L209">
        <v>0</v>
      </c>
      <c r="M209">
        <v>15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1</v>
      </c>
      <c r="AB209">
        <v>6</v>
      </c>
      <c r="AC209">
        <v>0</v>
      </c>
      <c r="AD209">
        <v>0</v>
      </c>
      <c r="AE209">
        <v>0</v>
      </c>
      <c r="AF209">
        <v>4</v>
      </c>
      <c r="AG209">
        <v>4</v>
      </c>
      <c r="AH209">
        <v>1</v>
      </c>
      <c r="AI209">
        <v>4</v>
      </c>
      <c r="AJ209">
        <v>2</v>
      </c>
      <c r="AK209">
        <v>22</v>
      </c>
      <c r="AL209">
        <v>3</v>
      </c>
      <c r="AM209">
        <v>0</v>
      </c>
      <c r="AN209" s="1">
        <v>0</v>
      </c>
      <c r="AO209">
        <v>0</v>
      </c>
      <c r="AP209" s="1">
        <v>2</v>
      </c>
    </row>
    <row r="210" spans="1:42" x14ac:dyDescent="0.3">
      <c r="A210" t="s">
        <v>96</v>
      </c>
      <c r="B210" t="s">
        <v>111</v>
      </c>
      <c r="C210" s="4" t="s">
        <v>43</v>
      </c>
      <c r="D210">
        <v>45</v>
      </c>
      <c r="E210">
        <v>4</v>
      </c>
      <c r="F210">
        <v>0</v>
      </c>
      <c r="G210">
        <v>0</v>
      </c>
      <c r="H210">
        <v>2</v>
      </c>
      <c r="I210">
        <v>0</v>
      </c>
      <c r="J210">
        <v>14</v>
      </c>
      <c r="K210">
        <v>0</v>
      </c>
      <c r="L210">
        <v>0</v>
      </c>
      <c r="M210">
        <v>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3</v>
      </c>
      <c r="AC210">
        <v>0</v>
      </c>
      <c r="AD210">
        <v>0</v>
      </c>
      <c r="AE210">
        <v>0</v>
      </c>
      <c r="AF210">
        <v>3</v>
      </c>
      <c r="AG210">
        <v>2</v>
      </c>
      <c r="AH210">
        <v>1</v>
      </c>
      <c r="AI210">
        <v>1</v>
      </c>
      <c r="AJ210">
        <v>1</v>
      </c>
      <c r="AK210">
        <v>2</v>
      </c>
      <c r="AL210">
        <v>2</v>
      </c>
      <c r="AM210">
        <v>0</v>
      </c>
      <c r="AN210" s="1">
        <v>0</v>
      </c>
      <c r="AO210">
        <v>0</v>
      </c>
      <c r="AP210" s="1">
        <v>0</v>
      </c>
    </row>
    <row r="211" spans="1:42" x14ac:dyDescent="0.3">
      <c r="A211" t="s">
        <v>96</v>
      </c>
      <c r="B211" t="s">
        <v>111</v>
      </c>
      <c r="C211" s="4" t="s">
        <v>44</v>
      </c>
      <c r="D211">
        <v>60</v>
      </c>
      <c r="E211">
        <v>5</v>
      </c>
      <c r="F211">
        <v>0</v>
      </c>
      <c r="G211">
        <v>0</v>
      </c>
      <c r="H211">
        <v>2</v>
      </c>
      <c r="I211">
        <v>0</v>
      </c>
      <c r="J211">
        <v>5</v>
      </c>
      <c r="K211">
        <v>0</v>
      </c>
      <c r="L211">
        <v>0</v>
      </c>
      <c r="M211">
        <v>6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3</v>
      </c>
      <c r="AC211">
        <v>0</v>
      </c>
      <c r="AD211">
        <v>0</v>
      </c>
      <c r="AE211">
        <v>0</v>
      </c>
      <c r="AF211">
        <v>1</v>
      </c>
      <c r="AG211">
        <v>2</v>
      </c>
      <c r="AH211">
        <v>0</v>
      </c>
      <c r="AI211">
        <v>3</v>
      </c>
      <c r="AJ211">
        <v>1</v>
      </c>
      <c r="AK211">
        <v>20</v>
      </c>
      <c r="AL211">
        <v>1</v>
      </c>
      <c r="AM211">
        <v>0</v>
      </c>
      <c r="AN211" s="1">
        <v>0</v>
      </c>
      <c r="AO211">
        <v>0</v>
      </c>
      <c r="AP211" s="1">
        <v>2</v>
      </c>
    </row>
    <row r="212" spans="1:42" x14ac:dyDescent="0.3">
      <c r="A212" t="s">
        <v>96</v>
      </c>
      <c r="B212" t="s">
        <v>112</v>
      </c>
      <c r="C212" s="4" t="s">
        <v>40</v>
      </c>
      <c r="D212">
        <v>97</v>
      </c>
      <c r="E212">
        <v>6</v>
      </c>
      <c r="F212">
        <v>1</v>
      </c>
      <c r="G212">
        <v>0</v>
      </c>
      <c r="H212">
        <v>18</v>
      </c>
      <c r="I212">
        <v>0</v>
      </c>
      <c r="J212">
        <v>2</v>
      </c>
      <c r="K212">
        <v>0</v>
      </c>
      <c r="L212">
        <v>0</v>
      </c>
      <c r="M212">
        <v>16</v>
      </c>
      <c r="N212">
        <v>0</v>
      </c>
      <c r="O212">
        <v>6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4</v>
      </c>
      <c r="AC212">
        <v>0</v>
      </c>
      <c r="AD212">
        <v>1</v>
      </c>
      <c r="AE212">
        <v>0</v>
      </c>
      <c r="AF212">
        <v>4</v>
      </c>
      <c r="AG212">
        <v>3</v>
      </c>
      <c r="AH212">
        <v>3</v>
      </c>
      <c r="AI212">
        <v>3</v>
      </c>
      <c r="AJ212">
        <v>3</v>
      </c>
      <c r="AK212">
        <v>14</v>
      </c>
      <c r="AL212">
        <v>0</v>
      </c>
      <c r="AM212">
        <v>0</v>
      </c>
      <c r="AN212" s="1">
        <v>0</v>
      </c>
      <c r="AO212">
        <v>0</v>
      </c>
      <c r="AP212" s="1">
        <v>8</v>
      </c>
    </row>
    <row r="213" spans="1:42" x14ac:dyDescent="0.3">
      <c r="A213" t="s">
        <v>96</v>
      </c>
      <c r="B213" t="s">
        <v>112</v>
      </c>
      <c r="C213" s="4" t="s">
        <v>43</v>
      </c>
      <c r="D213">
        <v>40</v>
      </c>
      <c r="E213">
        <v>4</v>
      </c>
      <c r="F213">
        <v>0</v>
      </c>
      <c r="G213">
        <v>0</v>
      </c>
      <c r="H213">
        <v>12</v>
      </c>
      <c r="I213">
        <v>0</v>
      </c>
      <c r="J213">
        <v>1</v>
      </c>
      <c r="K213">
        <v>0</v>
      </c>
      <c r="L213">
        <v>0</v>
      </c>
      <c r="M213">
        <v>4</v>
      </c>
      <c r="N213">
        <v>0</v>
      </c>
      <c r="O213">
        <v>2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1</v>
      </c>
      <c r="AG213">
        <v>2</v>
      </c>
      <c r="AH213">
        <v>2</v>
      </c>
      <c r="AI213">
        <v>2</v>
      </c>
      <c r="AJ213">
        <v>3</v>
      </c>
      <c r="AK213">
        <v>3</v>
      </c>
      <c r="AL213">
        <v>0</v>
      </c>
      <c r="AM213">
        <v>0</v>
      </c>
      <c r="AN213" s="1">
        <v>0</v>
      </c>
      <c r="AO213">
        <v>0</v>
      </c>
      <c r="AP213" s="1">
        <v>0</v>
      </c>
    </row>
    <row r="214" spans="1:42" x14ac:dyDescent="0.3">
      <c r="A214" t="s">
        <v>96</v>
      </c>
      <c r="B214" t="s">
        <v>112</v>
      </c>
      <c r="C214" s="4" t="s">
        <v>44</v>
      </c>
      <c r="D214">
        <v>57</v>
      </c>
      <c r="E214">
        <v>2</v>
      </c>
      <c r="F214">
        <v>1</v>
      </c>
      <c r="G214">
        <v>0</v>
      </c>
      <c r="H214">
        <v>6</v>
      </c>
      <c r="I214">
        <v>0</v>
      </c>
      <c r="J214">
        <v>1</v>
      </c>
      <c r="K214">
        <v>0</v>
      </c>
      <c r="L214">
        <v>0</v>
      </c>
      <c r="M214">
        <v>12</v>
      </c>
      <c r="N214">
        <v>0</v>
      </c>
      <c r="O214">
        <v>4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0</v>
      </c>
      <c r="AD214">
        <v>0</v>
      </c>
      <c r="AE214">
        <v>0</v>
      </c>
      <c r="AF214">
        <v>3</v>
      </c>
      <c r="AG214">
        <v>1</v>
      </c>
      <c r="AH214">
        <v>1</v>
      </c>
      <c r="AI214">
        <v>1</v>
      </c>
      <c r="AJ214">
        <v>0</v>
      </c>
      <c r="AK214">
        <v>11</v>
      </c>
      <c r="AL214">
        <v>0</v>
      </c>
      <c r="AM214">
        <v>0</v>
      </c>
      <c r="AN214" s="1">
        <v>0</v>
      </c>
      <c r="AO214">
        <v>0</v>
      </c>
      <c r="AP214" s="1">
        <v>8</v>
      </c>
    </row>
    <row r="215" spans="1:42" x14ac:dyDescent="0.3">
      <c r="A215" t="s">
        <v>96</v>
      </c>
      <c r="B215" t="s">
        <v>113</v>
      </c>
      <c r="C215" s="4" t="s">
        <v>40</v>
      </c>
      <c r="D215">
        <v>80</v>
      </c>
      <c r="E215">
        <v>5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16</v>
      </c>
      <c r="N215">
        <v>0</v>
      </c>
      <c r="O215">
        <v>6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3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8</v>
      </c>
      <c r="AC215">
        <v>0</v>
      </c>
      <c r="AD215">
        <v>0</v>
      </c>
      <c r="AE215">
        <v>0</v>
      </c>
      <c r="AF215">
        <v>1</v>
      </c>
      <c r="AG215">
        <v>7</v>
      </c>
      <c r="AH215">
        <v>2</v>
      </c>
      <c r="AI215">
        <v>0</v>
      </c>
      <c r="AJ215">
        <v>2</v>
      </c>
      <c r="AK215">
        <v>16</v>
      </c>
      <c r="AL215">
        <v>0</v>
      </c>
      <c r="AM215">
        <v>0</v>
      </c>
      <c r="AN215" s="1">
        <v>0</v>
      </c>
      <c r="AO215">
        <v>0</v>
      </c>
      <c r="AP215" s="1">
        <v>3</v>
      </c>
    </row>
    <row r="216" spans="1:42" x14ac:dyDescent="0.3">
      <c r="A216" t="s">
        <v>96</v>
      </c>
      <c r="B216" t="s">
        <v>113</v>
      </c>
      <c r="C216" s="4" t="s">
        <v>43</v>
      </c>
      <c r="D216">
        <v>26</v>
      </c>
      <c r="E216">
        <v>4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4</v>
      </c>
      <c r="AH216">
        <v>1</v>
      </c>
      <c r="AI216">
        <v>0</v>
      </c>
      <c r="AJ216">
        <v>1</v>
      </c>
      <c r="AK216">
        <v>2</v>
      </c>
      <c r="AL216">
        <v>0</v>
      </c>
      <c r="AM216">
        <v>0</v>
      </c>
      <c r="AN216" s="1">
        <v>0</v>
      </c>
      <c r="AO216">
        <v>0</v>
      </c>
      <c r="AP216" s="1">
        <v>1</v>
      </c>
    </row>
    <row r="217" spans="1:42" x14ac:dyDescent="0.3">
      <c r="A217" t="s">
        <v>96</v>
      </c>
      <c r="B217" t="s">
        <v>113</v>
      </c>
      <c r="C217" s="4" t="s">
        <v>44</v>
      </c>
      <c r="D217">
        <v>54</v>
      </c>
      <c r="E217">
        <v>1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13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7</v>
      </c>
      <c r="AC217">
        <v>0</v>
      </c>
      <c r="AD217">
        <v>0</v>
      </c>
      <c r="AE217">
        <v>0</v>
      </c>
      <c r="AF217">
        <v>1</v>
      </c>
      <c r="AG217">
        <v>3</v>
      </c>
      <c r="AH217">
        <v>1</v>
      </c>
      <c r="AI217">
        <v>0</v>
      </c>
      <c r="AJ217">
        <v>1</v>
      </c>
      <c r="AK217">
        <v>14</v>
      </c>
      <c r="AL217">
        <v>0</v>
      </c>
      <c r="AM217">
        <v>0</v>
      </c>
      <c r="AN217" s="1">
        <v>0</v>
      </c>
      <c r="AO217">
        <v>0</v>
      </c>
      <c r="AP217" s="1">
        <v>2</v>
      </c>
    </row>
    <row r="218" spans="1:42" x14ac:dyDescent="0.3">
      <c r="A218" t="s">
        <v>96</v>
      </c>
      <c r="B218" t="s">
        <v>114</v>
      </c>
      <c r="C218" s="4" t="s">
        <v>40</v>
      </c>
      <c r="D218">
        <v>65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5</v>
      </c>
      <c r="K218">
        <v>2</v>
      </c>
      <c r="L218">
        <v>0</v>
      </c>
      <c r="M218">
        <v>4</v>
      </c>
      <c r="N218">
        <v>0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11</v>
      </c>
      <c r="AB218">
        <v>3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4</v>
      </c>
      <c r="AI218">
        <v>3</v>
      </c>
      <c r="AJ218">
        <v>0</v>
      </c>
      <c r="AK218">
        <v>18</v>
      </c>
      <c r="AL218">
        <v>0</v>
      </c>
      <c r="AM218">
        <v>0</v>
      </c>
      <c r="AN218" s="1">
        <v>0</v>
      </c>
      <c r="AO218">
        <v>0</v>
      </c>
      <c r="AP218" s="1">
        <v>2</v>
      </c>
    </row>
    <row r="219" spans="1:42" x14ac:dyDescent="0.3">
      <c r="A219" t="s">
        <v>96</v>
      </c>
      <c r="B219" t="s">
        <v>114</v>
      </c>
      <c r="C219" s="4" t="s">
        <v>43</v>
      </c>
      <c r="D219">
        <v>34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3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3</v>
      </c>
      <c r="AJ219">
        <v>0</v>
      </c>
      <c r="AK219">
        <v>11</v>
      </c>
      <c r="AL219">
        <v>0</v>
      </c>
      <c r="AM219">
        <v>0</v>
      </c>
      <c r="AN219" s="1">
        <v>0</v>
      </c>
      <c r="AO219">
        <v>0</v>
      </c>
      <c r="AP219" s="1">
        <v>2</v>
      </c>
    </row>
    <row r="220" spans="1:42" x14ac:dyDescent="0.3">
      <c r="A220" t="s">
        <v>96</v>
      </c>
      <c r="B220" t="s">
        <v>114</v>
      </c>
      <c r="C220" s="4" t="s">
        <v>44</v>
      </c>
      <c r="D220">
        <v>31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1</v>
      </c>
      <c r="L220">
        <v>0</v>
      </c>
      <c r="M220">
        <v>3</v>
      </c>
      <c r="N220">
        <v>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3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3</v>
      </c>
      <c r="AI220">
        <v>0</v>
      </c>
      <c r="AJ220">
        <v>0</v>
      </c>
      <c r="AK220">
        <v>7</v>
      </c>
      <c r="AL220">
        <v>0</v>
      </c>
      <c r="AM220">
        <v>0</v>
      </c>
      <c r="AN220" s="1">
        <v>0</v>
      </c>
      <c r="AO220">
        <v>0</v>
      </c>
      <c r="AP220" s="1">
        <v>0</v>
      </c>
    </row>
    <row r="221" spans="1:42" x14ac:dyDescent="0.3">
      <c r="A221" t="s">
        <v>96</v>
      </c>
      <c r="B221" t="s">
        <v>115</v>
      </c>
      <c r="C221" s="4" t="s">
        <v>40</v>
      </c>
      <c r="D221">
        <v>63</v>
      </c>
      <c r="E221">
        <v>9</v>
      </c>
      <c r="F221">
        <v>1</v>
      </c>
      <c r="G221">
        <v>14</v>
      </c>
      <c r="H221">
        <v>2</v>
      </c>
      <c r="I221">
        <v>0</v>
      </c>
      <c r="J221">
        <v>2</v>
      </c>
      <c r="K221">
        <v>0</v>
      </c>
      <c r="L221">
        <v>0</v>
      </c>
      <c r="M221">
        <v>8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3</v>
      </c>
      <c r="AC221">
        <v>0</v>
      </c>
      <c r="AD221">
        <v>0</v>
      </c>
      <c r="AE221">
        <v>0</v>
      </c>
      <c r="AF221">
        <v>2</v>
      </c>
      <c r="AG221">
        <v>2</v>
      </c>
      <c r="AH221">
        <v>0</v>
      </c>
      <c r="AI221">
        <v>0</v>
      </c>
      <c r="AJ221">
        <v>1</v>
      </c>
      <c r="AK221">
        <v>13</v>
      </c>
      <c r="AL221">
        <v>0</v>
      </c>
      <c r="AM221">
        <v>0</v>
      </c>
      <c r="AN221" s="1">
        <v>0</v>
      </c>
      <c r="AO221">
        <v>0</v>
      </c>
      <c r="AP221" s="1">
        <v>1</v>
      </c>
    </row>
    <row r="222" spans="1:42" x14ac:dyDescent="0.3">
      <c r="A222" t="s">
        <v>96</v>
      </c>
      <c r="B222" t="s">
        <v>115</v>
      </c>
      <c r="C222" s="4" t="s">
        <v>43</v>
      </c>
      <c r="D222">
        <v>17</v>
      </c>
      <c r="E222">
        <v>3</v>
      </c>
      <c r="F222">
        <v>1</v>
      </c>
      <c r="G222">
        <v>5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 s="1">
        <v>0</v>
      </c>
      <c r="AO222">
        <v>0</v>
      </c>
      <c r="AP222" s="1">
        <v>1</v>
      </c>
    </row>
    <row r="223" spans="1:42" x14ac:dyDescent="0.3">
      <c r="A223" t="s">
        <v>96</v>
      </c>
      <c r="B223" t="s">
        <v>115</v>
      </c>
      <c r="C223" s="4" t="s">
        <v>44</v>
      </c>
      <c r="D223">
        <v>46</v>
      </c>
      <c r="E223">
        <v>6</v>
      </c>
      <c r="F223">
        <v>0</v>
      </c>
      <c r="G223">
        <v>9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8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2</v>
      </c>
      <c r="AG223">
        <v>1</v>
      </c>
      <c r="AH223">
        <v>0</v>
      </c>
      <c r="AI223">
        <v>0</v>
      </c>
      <c r="AJ223">
        <v>1</v>
      </c>
      <c r="AK223">
        <v>11</v>
      </c>
      <c r="AL223">
        <v>0</v>
      </c>
      <c r="AM223">
        <v>0</v>
      </c>
      <c r="AN223" s="1">
        <v>0</v>
      </c>
      <c r="AO223">
        <v>0</v>
      </c>
      <c r="AP223" s="1">
        <v>0</v>
      </c>
    </row>
    <row r="224" spans="1:42" x14ac:dyDescent="0.3">
      <c r="A224" t="s">
        <v>96</v>
      </c>
      <c r="B224" t="s">
        <v>116</v>
      </c>
      <c r="C224" s="4" t="s">
        <v>40</v>
      </c>
      <c r="D224">
        <v>57</v>
      </c>
      <c r="E224">
        <v>0</v>
      </c>
      <c r="F224">
        <v>0</v>
      </c>
      <c r="G224">
        <v>17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6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3</v>
      </c>
      <c r="AH224">
        <v>4</v>
      </c>
      <c r="AI224">
        <v>2</v>
      </c>
      <c r="AJ224">
        <v>3</v>
      </c>
      <c r="AK224">
        <v>4</v>
      </c>
      <c r="AL224">
        <v>1</v>
      </c>
      <c r="AM224">
        <v>0</v>
      </c>
      <c r="AN224" s="1">
        <v>0</v>
      </c>
      <c r="AO224">
        <v>0</v>
      </c>
      <c r="AP224" s="1">
        <v>11</v>
      </c>
    </row>
    <row r="225" spans="1:42" x14ac:dyDescent="0.3">
      <c r="A225" t="s">
        <v>96</v>
      </c>
      <c r="B225" t="s">
        <v>116</v>
      </c>
      <c r="C225" s="4" t="s">
        <v>43</v>
      </c>
      <c r="D225">
        <v>26</v>
      </c>
      <c r="E225">
        <v>0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2</v>
      </c>
      <c r="AJ225">
        <v>2</v>
      </c>
      <c r="AK225">
        <v>3</v>
      </c>
      <c r="AL225">
        <v>1</v>
      </c>
      <c r="AM225">
        <v>0</v>
      </c>
      <c r="AN225" s="1">
        <v>0</v>
      </c>
      <c r="AO225">
        <v>0</v>
      </c>
      <c r="AP225" s="1">
        <v>3</v>
      </c>
    </row>
    <row r="226" spans="1:42" x14ac:dyDescent="0.3">
      <c r="A226" t="s">
        <v>96</v>
      </c>
      <c r="B226" t="s">
        <v>116</v>
      </c>
      <c r="C226" s="4" t="s">
        <v>44</v>
      </c>
      <c r="D226">
        <v>31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0</v>
      </c>
      <c r="AF226">
        <v>0</v>
      </c>
      <c r="AG226">
        <v>2</v>
      </c>
      <c r="AH226">
        <v>3</v>
      </c>
      <c r="AI226">
        <v>0</v>
      </c>
      <c r="AJ226">
        <v>1</v>
      </c>
      <c r="AK226">
        <v>1</v>
      </c>
      <c r="AL226">
        <v>0</v>
      </c>
      <c r="AM226">
        <v>0</v>
      </c>
      <c r="AN226" s="1">
        <v>0</v>
      </c>
      <c r="AO226">
        <v>0</v>
      </c>
      <c r="AP226" s="1">
        <v>8</v>
      </c>
    </row>
    <row r="227" spans="1:42" x14ac:dyDescent="0.3">
      <c r="A227" t="s">
        <v>96</v>
      </c>
      <c r="B227" t="s">
        <v>117</v>
      </c>
      <c r="C227" s="4" t="s">
        <v>40</v>
      </c>
      <c r="D227">
        <v>54</v>
      </c>
      <c r="E227">
        <v>4</v>
      </c>
      <c r="F227">
        <v>2</v>
      </c>
      <c r="G227">
        <v>10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4</v>
      </c>
      <c r="N227">
        <v>0</v>
      </c>
      <c r="O227">
        <v>2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3</v>
      </c>
      <c r="AI227">
        <v>0</v>
      </c>
      <c r="AJ227">
        <v>0</v>
      </c>
      <c r="AK227">
        <v>18</v>
      </c>
      <c r="AL227">
        <v>1</v>
      </c>
      <c r="AM227">
        <v>0</v>
      </c>
      <c r="AN227" s="1">
        <v>0</v>
      </c>
      <c r="AO227">
        <v>0</v>
      </c>
      <c r="AP227" s="1">
        <v>4</v>
      </c>
    </row>
    <row r="228" spans="1:42" x14ac:dyDescent="0.3">
      <c r="A228" t="s">
        <v>96</v>
      </c>
      <c r="B228" t="s">
        <v>117</v>
      </c>
      <c r="C228" s="4" t="s">
        <v>43</v>
      </c>
      <c r="D228">
        <v>20</v>
      </c>
      <c r="E228">
        <v>2</v>
      </c>
      <c r="F228">
        <v>2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1</v>
      </c>
      <c r="AM228">
        <v>0</v>
      </c>
      <c r="AN228" s="1">
        <v>0</v>
      </c>
      <c r="AO228">
        <v>0</v>
      </c>
      <c r="AP228" s="1">
        <v>1</v>
      </c>
    </row>
    <row r="229" spans="1:42" x14ac:dyDescent="0.3">
      <c r="A229" t="s">
        <v>96</v>
      </c>
      <c r="B229" t="s">
        <v>117</v>
      </c>
      <c r="C229" s="4" t="s">
        <v>44</v>
      </c>
      <c r="D229">
        <v>34</v>
      </c>
      <c r="E229">
        <v>2</v>
      </c>
      <c r="F229">
        <v>0</v>
      </c>
      <c r="G229">
        <v>5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2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18</v>
      </c>
      <c r="AL229">
        <v>0</v>
      </c>
      <c r="AM229">
        <v>0</v>
      </c>
      <c r="AN229" s="1">
        <v>0</v>
      </c>
      <c r="AO229">
        <v>0</v>
      </c>
      <c r="AP229" s="1">
        <v>3</v>
      </c>
    </row>
    <row r="230" spans="1:42" x14ac:dyDescent="0.3">
      <c r="A230" t="s">
        <v>96</v>
      </c>
      <c r="B230" t="s">
        <v>118</v>
      </c>
      <c r="C230" s="4" t="s">
        <v>40</v>
      </c>
      <c r="D230">
        <v>45</v>
      </c>
      <c r="E230">
        <v>0</v>
      </c>
      <c r="F230">
        <v>7</v>
      </c>
      <c r="G230">
        <v>9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9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1</v>
      </c>
      <c r="T230">
        <v>2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1</v>
      </c>
      <c r="AI230">
        <v>0</v>
      </c>
      <c r="AJ230">
        <v>0</v>
      </c>
      <c r="AK230">
        <v>2</v>
      </c>
      <c r="AL230">
        <v>0</v>
      </c>
      <c r="AM230">
        <v>0</v>
      </c>
      <c r="AN230" s="1">
        <v>0</v>
      </c>
      <c r="AO230">
        <v>0</v>
      </c>
      <c r="AP230" s="1">
        <v>4</v>
      </c>
    </row>
    <row r="231" spans="1:42" x14ac:dyDescent="0.3">
      <c r="A231" t="s">
        <v>96</v>
      </c>
      <c r="B231" t="s">
        <v>118</v>
      </c>
      <c r="C231" s="4" t="s">
        <v>43</v>
      </c>
      <c r="D231">
        <v>15</v>
      </c>
      <c r="E231">
        <v>0</v>
      </c>
      <c r="F231">
        <v>3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0</v>
      </c>
      <c r="AN231" s="1">
        <v>0</v>
      </c>
      <c r="AO231">
        <v>0</v>
      </c>
      <c r="AP231" s="1">
        <v>1</v>
      </c>
    </row>
    <row r="232" spans="1:42" x14ac:dyDescent="0.3">
      <c r="A232" t="s">
        <v>96</v>
      </c>
      <c r="B232" t="s">
        <v>118</v>
      </c>
      <c r="C232" s="4" t="s">
        <v>44</v>
      </c>
      <c r="D232">
        <v>30</v>
      </c>
      <c r="E232">
        <v>0</v>
      </c>
      <c r="F232">
        <v>4</v>
      </c>
      <c r="G232">
        <v>6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7</v>
      </c>
      <c r="N232">
        <v>0</v>
      </c>
      <c r="O232">
        <v>4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 s="1">
        <v>0</v>
      </c>
      <c r="AO232">
        <v>0</v>
      </c>
      <c r="AP232" s="1">
        <v>3</v>
      </c>
    </row>
    <row r="233" spans="1:42" x14ac:dyDescent="0.3">
      <c r="A233" t="s">
        <v>96</v>
      </c>
      <c r="B233" t="s">
        <v>119</v>
      </c>
      <c r="C233" s="4" t="s">
        <v>40</v>
      </c>
      <c r="D233">
        <v>41</v>
      </c>
      <c r="E233">
        <v>0</v>
      </c>
      <c r="F233">
        <v>0</v>
      </c>
      <c r="G233">
        <v>12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</v>
      </c>
      <c r="AH233">
        <v>5</v>
      </c>
      <c r="AI233">
        <v>8</v>
      </c>
      <c r="AJ233">
        <v>0</v>
      </c>
      <c r="AK233">
        <v>0</v>
      </c>
      <c r="AL233">
        <v>3</v>
      </c>
      <c r="AM233">
        <v>0</v>
      </c>
      <c r="AN233" s="1">
        <v>0</v>
      </c>
      <c r="AO233">
        <v>0</v>
      </c>
      <c r="AP233" s="1">
        <v>0</v>
      </c>
    </row>
    <row r="234" spans="1:42" x14ac:dyDescent="0.3">
      <c r="A234" t="s">
        <v>96</v>
      </c>
      <c r="B234" t="s">
        <v>119</v>
      </c>
      <c r="C234" s="4" t="s">
        <v>43</v>
      </c>
      <c r="D234">
        <v>27</v>
      </c>
      <c r="E234">
        <v>0</v>
      </c>
      <c r="F234">
        <v>0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</v>
      </c>
      <c r="AH234">
        <v>2</v>
      </c>
      <c r="AI234">
        <v>3</v>
      </c>
      <c r="AJ234">
        <v>0</v>
      </c>
      <c r="AK234">
        <v>0</v>
      </c>
      <c r="AL234">
        <v>1</v>
      </c>
      <c r="AM234">
        <v>0</v>
      </c>
      <c r="AN234" s="1">
        <v>0</v>
      </c>
      <c r="AO234">
        <v>0</v>
      </c>
      <c r="AP234" s="1">
        <v>0</v>
      </c>
    </row>
    <row r="235" spans="1:42" x14ac:dyDescent="0.3">
      <c r="A235" t="s">
        <v>96</v>
      </c>
      <c r="B235" t="s">
        <v>119</v>
      </c>
      <c r="C235" s="4" t="s">
        <v>44</v>
      </c>
      <c r="D235">
        <v>14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</v>
      </c>
      <c r="AH235">
        <v>3</v>
      </c>
      <c r="AI235">
        <v>5</v>
      </c>
      <c r="AJ235">
        <v>0</v>
      </c>
      <c r="AK235">
        <v>0</v>
      </c>
      <c r="AL235">
        <v>2</v>
      </c>
      <c r="AM235">
        <v>0</v>
      </c>
      <c r="AN235" s="1">
        <v>0</v>
      </c>
      <c r="AO235">
        <v>0</v>
      </c>
      <c r="AP235" s="1">
        <v>0</v>
      </c>
    </row>
    <row r="236" spans="1:42" x14ac:dyDescent="0.3">
      <c r="A236" t="s">
        <v>96</v>
      </c>
      <c r="B236" t="s">
        <v>120</v>
      </c>
      <c r="C236" s="4" t="s">
        <v>40</v>
      </c>
      <c r="D236">
        <v>31</v>
      </c>
      <c r="E236">
        <v>0</v>
      </c>
      <c r="F236">
        <v>0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5</v>
      </c>
      <c r="AH236">
        <v>2</v>
      </c>
      <c r="AI236">
        <v>5</v>
      </c>
      <c r="AJ236">
        <v>3</v>
      </c>
      <c r="AK236">
        <v>2</v>
      </c>
      <c r="AL236">
        <v>0</v>
      </c>
      <c r="AM236">
        <v>0</v>
      </c>
      <c r="AN236" s="1">
        <v>0</v>
      </c>
      <c r="AO236">
        <v>0</v>
      </c>
      <c r="AP236" s="1">
        <v>1</v>
      </c>
    </row>
    <row r="237" spans="1:42" x14ac:dyDescent="0.3">
      <c r="A237" t="s">
        <v>96</v>
      </c>
      <c r="B237" t="s">
        <v>120</v>
      </c>
      <c r="C237" s="4" t="s">
        <v>43</v>
      </c>
      <c r="D237">
        <v>19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2</v>
      </c>
      <c r="AI237">
        <v>2</v>
      </c>
      <c r="AJ237">
        <v>2</v>
      </c>
      <c r="AK237">
        <v>2</v>
      </c>
      <c r="AL237">
        <v>0</v>
      </c>
      <c r="AM237">
        <v>0</v>
      </c>
      <c r="AN237" s="1">
        <v>0</v>
      </c>
      <c r="AO237">
        <v>0</v>
      </c>
      <c r="AP237" s="1">
        <v>0</v>
      </c>
    </row>
    <row r="238" spans="1:42" x14ac:dyDescent="0.3">
      <c r="A238" t="s">
        <v>96</v>
      </c>
      <c r="B238" t="s">
        <v>120</v>
      </c>
      <c r="C238" s="4" t="s">
        <v>44</v>
      </c>
      <c r="D238">
        <v>12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3</v>
      </c>
      <c r="AJ238">
        <v>1</v>
      </c>
      <c r="AK238">
        <v>0</v>
      </c>
      <c r="AL238">
        <v>0</v>
      </c>
      <c r="AM238">
        <v>0</v>
      </c>
      <c r="AN238" s="1">
        <v>0</v>
      </c>
      <c r="AO238">
        <v>0</v>
      </c>
      <c r="AP238" s="1">
        <v>1</v>
      </c>
    </row>
    <row r="239" spans="1:42" x14ac:dyDescent="0.3">
      <c r="A239" t="s">
        <v>96</v>
      </c>
      <c r="B239" t="s">
        <v>121</v>
      </c>
      <c r="C239" s="4" t="s">
        <v>40</v>
      </c>
      <c r="D239">
        <v>19</v>
      </c>
      <c r="E239">
        <v>0</v>
      </c>
      <c r="F239">
        <v>8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2</v>
      </c>
      <c r="AL239">
        <v>2</v>
      </c>
      <c r="AM239">
        <v>0</v>
      </c>
      <c r="AN239" s="1">
        <v>0</v>
      </c>
      <c r="AO239">
        <v>0</v>
      </c>
      <c r="AP239" s="1">
        <v>0</v>
      </c>
    </row>
    <row r="240" spans="1:42" x14ac:dyDescent="0.3">
      <c r="A240" t="s">
        <v>96</v>
      </c>
      <c r="B240" t="s">
        <v>121</v>
      </c>
      <c r="C240" s="4" t="s">
        <v>43</v>
      </c>
      <c r="D240">
        <v>8</v>
      </c>
      <c r="E240">
        <v>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2</v>
      </c>
      <c r="AM240">
        <v>0</v>
      </c>
      <c r="AN240" s="1">
        <v>0</v>
      </c>
      <c r="AO240">
        <v>0</v>
      </c>
      <c r="AP240" s="1">
        <v>0</v>
      </c>
    </row>
    <row r="241" spans="1:42" x14ac:dyDescent="0.3">
      <c r="A241" t="s">
        <v>96</v>
      </c>
      <c r="B241" t="s">
        <v>121</v>
      </c>
      <c r="C241" s="4" t="s">
        <v>44</v>
      </c>
      <c r="D241">
        <v>11</v>
      </c>
      <c r="E241">
        <v>0</v>
      </c>
      <c r="F241">
        <v>5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0</v>
      </c>
      <c r="AN241" s="1">
        <v>0</v>
      </c>
      <c r="AO241">
        <v>0</v>
      </c>
      <c r="AP241" s="1">
        <v>0</v>
      </c>
    </row>
    <row r="242" spans="1:42" x14ac:dyDescent="0.3">
      <c r="A242" t="s">
        <v>96</v>
      </c>
      <c r="B242" t="s">
        <v>122</v>
      </c>
      <c r="C242" s="4" t="s">
        <v>40</v>
      </c>
      <c r="D242">
        <v>16</v>
      </c>
      <c r="E242">
        <v>0</v>
      </c>
      <c r="F242">
        <v>0</v>
      </c>
      <c r="G242">
        <v>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8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1">
        <v>0</v>
      </c>
      <c r="AO242">
        <v>0</v>
      </c>
      <c r="AP242" s="1">
        <v>0</v>
      </c>
    </row>
    <row r="243" spans="1:42" x14ac:dyDescent="0.3">
      <c r="A243" t="s">
        <v>96</v>
      </c>
      <c r="B243" t="s">
        <v>122</v>
      </c>
      <c r="C243" s="4" t="s">
        <v>43</v>
      </c>
      <c r="D243">
        <v>5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1">
        <v>0</v>
      </c>
      <c r="AO243">
        <v>0</v>
      </c>
      <c r="AP243" s="1">
        <v>0</v>
      </c>
    </row>
    <row r="244" spans="1:42" x14ac:dyDescent="0.3">
      <c r="A244" t="s">
        <v>96</v>
      </c>
      <c r="B244" t="s">
        <v>122</v>
      </c>
      <c r="C244" s="4" t="s">
        <v>44</v>
      </c>
      <c r="D244">
        <v>11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s="1">
        <v>0</v>
      </c>
      <c r="AO244">
        <v>0</v>
      </c>
      <c r="AP244" s="1">
        <v>0</v>
      </c>
    </row>
    <row r="245" spans="1:42" x14ac:dyDescent="0.3">
      <c r="A245" t="s">
        <v>96</v>
      </c>
      <c r="B245" t="s">
        <v>123</v>
      </c>
      <c r="C245" s="4" t="s">
        <v>40</v>
      </c>
      <c r="D245">
        <v>13</v>
      </c>
      <c r="E245">
        <v>0</v>
      </c>
      <c r="F245">
        <v>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</v>
      </c>
      <c r="AJ245">
        <v>0</v>
      </c>
      <c r="AK245">
        <v>1</v>
      </c>
      <c r="AL245">
        <v>1</v>
      </c>
      <c r="AM245">
        <v>0</v>
      </c>
      <c r="AN245" s="1">
        <v>0</v>
      </c>
      <c r="AO245">
        <v>0</v>
      </c>
      <c r="AP245" s="1">
        <v>0</v>
      </c>
    </row>
    <row r="246" spans="1:42" x14ac:dyDescent="0.3">
      <c r="A246" t="s">
        <v>96</v>
      </c>
      <c r="B246" t="s">
        <v>123</v>
      </c>
      <c r="C246" s="4" t="s">
        <v>43</v>
      </c>
      <c r="D246">
        <v>11</v>
      </c>
      <c r="E246">
        <v>0</v>
      </c>
      <c r="F246">
        <v>0</v>
      </c>
      <c r="G246">
        <v>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</v>
      </c>
      <c r="AJ246">
        <v>0</v>
      </c>
      <c r="AK246">
        <v>0</v>
      </c>
      <c r="AL246">
        <v>1</v>
      </c>
      <c r="AM246">
        <v>0</v>
      </c>
      <c r="AN246" s="1">
        <v>0</v>
      </c>
      <c r="AO246">
        <v>0</v>
      </c>
      <c r="AP246" s="1">
        <v>0</v>
      </c>
    </row>
    <row r="247" spans="1:42" x14ac:dyDescent="0.3">
      <c r="A247" t="s">
        <v>96</v>
      </c>
      <c r="B247" t="s">
        <v>123</v>
      </c>
      <c r="C247" s="4" t="s">
        <v>44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 s="1">
        <v>0</v>
      </c>
      <c r="AO247">
        <v>0</v>
      </c>
      <c r="AP247" s="1">
        <v>0</v>
      </c>
    </row>
    <row r="248" spans="1:42" x14ac:dyDescent="0.3">
      <c r="A248" t="s">
        <v>96</v>
      </c>
      <c r="B248" t="s">
        <v>124</v>
      </c>
      <c r="C248" s="4" t="s">
        <v>40</v>
      </c>
      <c r="D248">
        <v>13</v>
      </c>
      <c r="E248">
        <v>0</v>
      </c>
      <c r="F248">
        <v>0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0</v>
      </c>
      <c r="AL248">
        <v>1</v>
      </c>
      <c r="AM248">
        <v>0</v>
      </c>
      <c r="AN248" s="1">
        <v>0</v>
      </c>
      <c r="AO248">
        <v>0</v>
      </c>
      <c r="AP248" s="1">
        <v>0</v>
      </c>
    </row>
    <row r="249" spans="1:42" x14ac:dyDescent="0.3">
      <c r="A249" t="s">
        <v>96</v>
      </c>
      <c r="B249" t="s">
        <v>124</v>
      </c>
      <c r="C249" s="4" t="s">
        <v>43</v>
      </c>
      <c r="D249">
        <v>7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0</v>
      </c>
      <c r="AL249">
        <v>1</v>
      </c>
      <c r="AM249">
        <v>0</v>
      </c>
      <c r="AN249" s="1">
        <v>0</v>
      </c>
      <c r="AO249">
        <v>0</v>
      </c>
      <c r="AP249" s="1">
        <v>0</v>
      </c>
    </row>
    <row r="250" spans="1:42" x14ac:dyDescent="0.3">
      <c r="A250" t="s">
        <v>96</v>
      </c>
      <c r="B250" t="s">
        <v>124</v>
      </c>
      <c r="C250" s="4" t="s">
        <v>44</v>
      </c>
      <c r="D250">
        <v>6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 s="1">
        <v>0</v>
      </c>
      <c r="AO250">
        <v>0</v>
      </c>
      <c r="AP250" s="1">
        <v>0</v>
      </c>
    </row>
    <row r="251" spans="1:42" x14ac:dyDescent="0.3">
      <c r="A251" t="s">
        <v>96</v>
      </c>
      <c r="B251" t="s">
        <v>125</v>
      </c>
      <c r="C251" s="4" t="s">
        <v>40</v>
      </c>
      <c r="D251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 s="1">
        <v>0</v>
      </c>
      <c r="AO251">
        <v>0</v>
      </c>
      <c r="AP251" s="1">
        <v>0</v>
      </c>
    </row>
    <row r="252" spans="1:42" x14ac:dyDescent="0.3">
      <c r="A252" t="s">
        <v>96</v>
      </c>
      <c r="B252" t="s">
        <v>125</v>
      </c>
      <c r="C252" s="4" t="s">
        <v>43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s="1">
        <v>0</v>
      </c>
      <c r="AO252">
        <v>0</v>
      </c>
      <c r="AP252" s="1">
        <v>0</v>
      </c>
    </row>
    <row r="253" spans="1:42" x14ac:dyDescent="0.3">
      <c r="A253" t="s">
        <v>96</v>
      </c>
      <c r="B253" t="s">
        <v>125</v>
      </c>
      <c r="C253" s="4" t="s">
        <v>44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 s="1">
        <v>0</v>
      </c>
      <c r="AO253">
        <v>0</v>
      </c>
      <c r="AP253" s="1">
        <v>0</v>
      </c>
    </row>
    <row r="254" spans="1:42" x14ac:dyDescent="0.3">
      <c r="A254" t="s">
        <v>96</v>
      </c>
      <c r="B254" t="s">
        <v>126</v>
      </c>
      <c r="C254" s="4" t="s">
        <v>40</v>
      </c>
      <c r="D254">
        <v>8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 s="1">
        <v>0</v>
      </c>
      <c r="AO254">
        <v>0</v>
      </c>
      <c r="AP254" s="1">
        <v>1</v>
      </c>
    </row>
    <row r="255" spans="1:42" x14ac:dyDescent="0.3">
      <c r="A255" t="s">
        <v>96</v>
      </c>
      <c r="B255" t="s">
        <v>126</v>
      </c>
      <c r="C255" s="4" t="s">
        <v>43</v>
      </c>
      <c r="D255">
        <v>4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 s="1">
        <v>0</v>
      </c>
      <c r="AO255">
        <v>0</v>
      </c>
      <c r="AP255" s="1">
        <v>1</v>
      </c>
    </row>
    <row r="256" spans="1:42" x14ac:dyDescent="0.3">
      <c r="A256" t="s">
        <v>96</v>
      </c>
      <c r="B256" t="s">
        <v>126</v>
      </c>
      <c r="C256" s="4" t="s">
        <v>44</v>
      </c>
      <c r="D256">
        <v>4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 s="1">
        <v>0</v>
      </c>
      <c r="AO256">
        <v>0</v>
      </c>
      <c r="AP256" s="1">
        <v>0</v>
      </c>
    </row>
    <row r="257" spans="1:42" x14ac:dyDescent="0.3">
      <c r="A257" t="s">
        <v>96</v>
      </c>
      <c r="B257" t="s">
        <v>127</v>
      </c>
      <c r="C257" s="4" t="s">
        <v>40</v>
      </c>
      <c r="D257">
        <v>8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2</v>
      </c>
      <c r="AJ257">
        <v>0</v>
      </c>
      <c r="AK257">
        <v>0</v>
      </c>
      <c r="AL257">
        <v>0</v>
      </c>
      <c r="AM257">
        <v>0</v>
      </c>
      <c r="AN257" s="1">
        <v>0</v>
      </c>
      <c r="AO257">
        <v>0</v>
      </c>
      <c r="AP257" s="1">
        <v>0</v>
      </c>
    </row>
    <row r="258" spans="1:42" x14ac:dyDescent="0.3">
      <c r="A258" t="s">
        <v>96</v>
      </c>
      <c r="B258" t="s">
        <v>127</v>
      </c>
      <c r="C258" s="4" t="s">
        <v>43</v>
      </c>
      <c r="D258">
        <v>3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 s="1">
        <v>0</v>
      </c>
      <c r="AO258">
        <v>0</v>
      </c>
      <c r="AP258" s="1">
        <v>0</v>
      </c>
    </row>
    <row r="259" spans="1:42" x14ac:dyDescent="0.3">
      <c r="A259" t="s">
        <v>96</v>
      </c>
      <c r="B259" t="s">
        <v>127</v>
      </c>
      <c r="C259" s="4" t="s">
        <v>44</v>
      </c>
      <c r="D259">
        <v>5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 s="1">
        <v>0</v>
      </c>
      <c r="AO259">
        <v>0</v>
      </c>
      <c r="AP259" s="1">
        <v>0</v>
      </c>
    </row>
    <row r="260" spans="1:42" x14ac:dyDescent="0.3">
      <c r="A260" t="s">
        <v>96</v>
      </c>
      <c r="B260" t="s">
        <v>128</v>
      </c>
      <c r="C260" s="4" t="s">
        <v>40</v>
      </c>
      <c r="D260">
        <v>5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 s="1">
        <v>0</v>
      </c>
      <c r="AO260">
        <v>0</v>
      </c>
      <c r="AP260" s="1">
        <v>0</v>
      </c>
    </row>
    <row r="261" spans="1:42" x14ac:dyDescent="0.3">
      <c r="A261" t="s">
        <v>96</v>
      </c>
      <c r="B261" t="s">
        <v>128</v>
      </c>
      <c r="C261" s="4" t="s">
        <v>43</v>
      </c>
      <c r="D261">
        <v>4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 s="1">
        <v>0</v>
      </c>
      <c r="AO261">
        <v>0</v>
      </c>
      <c r="AP261" s="1">
        <v>0</v>
      </c>
    </row>
    <row r="262" spans="1:42" x14ac:dyDescent="0.3">
      <c r="A262" t="s">
        <v>96</v>
      </c>
      <c r="B262" t="s">
        <v>128</v>
      </c>
      <c r="C262" s="4" t="s">
        <v>44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s="1">
        <v>0</v>
      </c>
      <c r="AO262">
        <v>0</v>
      </c>
      <c r="AP262" s="1">
        <v>0</v>
      </c>
    </row>
    <row r="263" spans="1:42" x14ac:dyDescent="0.3">
      <c r="A263" t="s">
        <v>96</v>
      </c>
      <c r="B263" t="s">
        <v>129</v>
      </c>
      <c r="C263" s="4" t="s">
        <v>40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 s="1">
        <v>0</v>
      </c>
      <c r="AO263">
        <v>0</v>
      </c>
      <c r="AP263" s="1">
        <v>0</v>
      </c>
    </row>
    <row r="264" spans="1:42" x14ac:dyDescent="0.3">
      <c r="A264" t="s">
        <v>96</v>
      </c>
      <c r="B264" t="s">
        <v>129</v>
      </c>
      <c r="C264" s="4" t="s">
        <v>43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 s="1">
        <v>0</v>
      </c>
      <c r="AO264">
        <v>0</v>
      </c>
      <c r="AP264" s="1">
        <v>0</v>
      </c>
    </row>
    <row r="265" spans="1:42" x14ac:dyDescent="0.3">
      <c r="A265" t="s">
        <v>96</v>
      </c>
      <c r="B265" t="s">
        <v>130</v>
      </c>
      <c r="C265" s="4" t="s">
        <v>40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1">
        <v>0</v>
      </c>
      <c r="AO265">
        <v>0</v>
      </c>
      <c r="AP265" s="1">
        <v>1</v>
      </c>
    </row>
    <row r="266" spans="1:42" x14ac:dyDescent="0.3">
      <c r="A266" t="s">
        <v>96</v>
      </c>
      <c r="B266" t="s">
        <v>130</v>
      </c>
      <c r="C266" s="4" t="s">
        <v>43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s="1">
        <v>0</v>
      </c>
      <c r="AO266">
        <v>0</v>
      </c>
      <c r="AP266" s="1">
        <v>1</v>
      </c>
    </row>
    <row r="267" spans="1:42" x14ac:dyDescent="0.3">
      <c r="A267" t="s">
        <v>131</v>
      </c>
      <c r="B267" t="s">
        <v>40</v>
      </c>
      <c r="C267" s="4" t="s">
        <v>40</v>
      </c>
      <c r="D267" s="1">
        <v>118763</v>
      </c>
      <c r="E267" s="1">
        <v>1120</v>
      </c>
      <c r="F267">
        <v>786</v>
      </c>
      <c r="G267" s="1">
        <v>25346</v>
      </c>
      <c r="H267">
        <v>579</v>
      </c>
      <c r="I267">
        <v>1</v>
      </c>
      <c r="J267">
        <v>706</v>
      </c>
      <c r="K267">
        <v>285</v>
      </c>
      <c r="L267">
        <v>15</v>
      </c>
      <c r="M267" s="1">
        <v>8277</v>
      </c>
      <c r="N267">
        <v>1</v>
      </c>
      <c r="O267" s="1">
        <v>2455</v>
      </c>
      <c r="P267">
        <v>21</v>
      </c>
      <c r="Q267">
        <v>119</v>
      </c>
      <c r="R267">
        <v>128</v>
      </c>
      <c r="S267">
        <v>878</v>
      </c>
      <c r="T267">
        <v>536</v>
      </c>
      <c r="U267">
        <v>526</v>
      </c>
      <c r="V267">
        <v>269</v>
      </c>
      <c r="W267" s="1">
        <v>1868</v>
      </c>
      <c r="X267">
        <v>235</v>
      </c>
      <c r="Y267">
        <v>59</v>
      </c>
      <c r="Z267">
        <v>86</v>
      </c>
      <c r="AA267">
        <v>818</v>
      </c>
      <c r="AB267" s="1">
        <v>1559</v>
      </c>
      <c r="AC267">
        <v>0</v>
      </c>
      <c r="AD267">
        <v>16</v>
      </c>
      <c r="AE267">
        <v>0</v>
      </c>
      <c r="AF267" s="1">
        <v>4271</v>
      </c>
      <c r="AG267" s="1">
        <v>2054</v>
      </c>
      <c r="AH267" s="1">
        <v>4114</v>
      </c>
      <c r="AI267" s="1">
        <v>38535</v>
      </c>
      <c r="AJ267" s="1">
        <v>3862</v>
      </c>
      <c r="AK267" s="1">
        <v>7747</v>
      </c>
      <c r="AL267" s="1">
        <v>8913</v>
      </c>
      <c r="AM267" s="1">
        <v>1658</v>
      </c>
      <c r="AN267">
        <v>293</v>
      </c>
      <c r="AO267">
        <v>23</v>
      </c>
      <c r="AP267" s="1">
        <v>604</v>
      </c>
    </row>
    <row r="268" spans="1:42" x14ac:dyDescent="0.3">
      <c r="A268" t="s">
        <v>131</v>
      </c>
      <c r="B268" t="s">
        <v>40</v>
      </c>
      <c r="C268" s="4" t="s">
        <v>43</v>
      </c>
      <c r="D268" s="1">
        <f>D272+D275+D278+D281+D284+D287+D290+D293+D296+D299+D302+D305+D308+D311+D314+D317+D320+D323+D326+D332+D329+D335+D338+D341+D344+D347+D350+D353+D356+D359+D362+D365+D368+D374+D371+D377+D380+D383+D386+D389+D392+D395+D399+D402+D405+D408+D411+D414+D417+D420+D423+D425+D429+D431</f>
        <v>58568</v>
      </c>
      <c r="E268" s="1">
        <f t="shared" ref="E268:AP268" si="10">E272+E275+E278+E281+E284+E287+E290+E293+E296+E299+E302+E305+E308+E311+E314+E317+E320+E323+E326+E332+E329+E335+E338+E341+E344+E347+E350+E353+E356+E359+E362+E365+E368+E374+E371+E377+E380+E383+E386+E389+E392+E395+E399+E402+E405+E408+E411+E414+E417+E420+E423+E425+E429+E431</f>
        <v>585</v>
      </c>
      <c r="F268" s="1">
        <f t="shared" si="10"/>
        <v>437</v>
      </c>
      <c r="G268" s="1">
        <f t="shared" si="10"/>
        <v>13324</v>
      </c>
      <c r="H268" s="1">
        <f t="shared" si="10"/>
        <v>409</v>
      </c>
      <c r="I268" s="1">
        <f t="shared" si="10"/>
        <v>1</v>
      </c>
      <c r="J268" s="1">
        <f t="shared" si="10"/>
        <v>375</v>
      </c>
      <c r="K268" s="1">
        <f t="shared" si="10"/>
        <v>122</v>
      </c>
      <c r="L268" s="1">
        <f t="shared" si="10"/>
        <v>5</v>
      </c>
      <c r="M268" s="1">
        <f t="shared" si="10"/>
        <v>2883</v>
      </c>
      <c r="N268" s="1">
        <f t="shared" si="10"/>
        <v>1</v>
      </c>
      <c r="O268" s="1">
        <f t="shared" si="10"/>
        <v>431</v>
      </c>
      <c r="P268" s="1">
        <f t="shared" si="10"/>
        <v>12</v>
      </c>
      <c r="Q268" s="1">
        <f t="shared" si="10"/>
        <v>74</v>
      </c>
      <c r="R268" s="1">
        <f t="shared" si="10"/>
        <v>115</v>
      </c>
      <c r="S268" s="1">
        <f t="shared" si="10"/>
        <v>733</v>
      </c>
      <c r="T268" s="1">
        <f t="shared" si="10"/>
        <v>506</v>
      </c>
      <c r="U268" s="1">
        <f t="shared" si="10"/>
        <v>121</v>
      </c>
      <c r="V268" s="1">
        <f t="shared" si="10"/>
        <v>212</v>
      </c>
      <c r="W268" s="1">
        <f t="shared" si="10"/>
        <v>739</v>
      </c>
      <c r="X268" s="1">
        <f t="shared" si="10"/>
        <v>186</v>
      </c>
      <c r="Y268" s="1">
        <f t="shared" si="10"/>
        <v>57</v>
      </c>
      <c r="Z268" s="1">
        <f t="shared" si="10"/>
        <v>84</v>
      </c>
      <c r="AA268" s="1">
        <f t="shared" si="10"/>
        <v>313</v>
      </c>
      <c r="AB268" s="1">
        <f t="shared" si="10"/>
        <v>907</v>
      </c>
      <c r="AC268" s="1">
        <f t="shared" si="10"/>
        <v>0</v>
      </c>
      <c r="AD268" s="1">
        <f t="shared" si="10"/>
        <v>6</v>
      </c>
      <c r="AE268" s="1">
        <f t="shared" si="10"/>
        <v>0</v>
      </c>
      <c r="AF268" s="1">
        <f t="shared" si="10"/>
        <v>1859</v>
      </c>
      <c r="AG268" s="1">
        <f t="shared" si="10"/>
        <v>897</v>
      </c>
      <c r="AH268" s="1">
        <f t="shared" si="10"/>
        <v>1704</v>
      </c>
      <c r="AI268" s="1">
        <f t="shared" si="10"/>
        <v>19124</v>
      </c>
      <c r="AJ268" s="1">
        <f t="shared" si="10"/>
        <v>2115</v>
      </c>
      <c r="AK268" s="1">
        <f t="shared" si="10"/>
        <v>3220</v>
      </c>
      <c r="AL268" s="1">
        <f t="shared" si="10"/>
        <v>6182</v>
      </c>
      <c r="AM268" s="1">
        <f t="shared" si="10"/>
        <v>423</v>
      </c>
      <c r="AN268" s="1">
        <f t="shared" si="10"/>
        <v>132</v>
      </c>
      <c r="AO268" s="1">
        <f t="shared" si="10"/>
        <v>11</v>
      </c>
      <c r="AP268" s="1">
        <f t="shared" si="10"/>
        <v>263</v>
      </c>
    </row>
    <row r="269" spans="1:42" x14ac:dyDescent="0.3">
      <c r="A269" t="s">
        <v>131</v>
      </c>
      <c r="B269" t="s">
        <v>40</v>
      </c>
      <c r="C269" s="4" t="s">
        <v>44</v>
      </c>
      <c r="D269" s="1">
        <f>D273+D276+D279+D282+D285+D288+D291+D294+D297+D300+D303+D306+D309+D312+D315+D318+D321+D324+D327+D333+D330+D336+D339+D342+D345+D348+D351+D354+D357+D360+D363+D366+D369+D375+D372+D378+D381+D384+D387+D390+D393+D396+D400+D403+D406+D409+D412+D415+D418+D421+D427</f>
        <v>60194</v>
      </c>
      <c r="E269" s="1">
        <f t="shared" ref="E269:AP269" si="11">E273+E276+E279+E282+E285+E288+E291+E294+E297+E300+E303+E306+E309+E312+E315+E318+E321+E324+E327+E333+E330+E336+E339+E342+E345+E348+E351+E354+E357+E360+E363+E366+E369+E375+E372+E378+E381+E384+E387+E390+E393+E396+E400+E403+E406+E409+E412+E415+E418+E421+E427</f>
        <v>535</v>
      </c>
      <c r="F269" s="1">
        <f t="shared" si="11"/>
        <v>349</v>
      </c>
      <c r="G269" s="1">
        <f t="shared" si="11"/>
        <v>12021</v>
      </c>
      <c r="H269" s="1">
        <f t="shared" si="11"/>
        <v>170</v>
      </c>
      <c r="I269" s="1">
        <f t="shared" si="11"/>
        <v>0</v>
      </c>
      <c r="J269" s="1">
        <f t="shared" si="11"/>
        <v>331</v>
      </c>
      <c r="K269" s="1">
        <f t="shared" si="11"/>
        <v>163</v>
      </c>
      <c r="L269" s="1">
        <f t="shared" si="11"/>
        <v>10</v>
      </c>
      <c r="M269" s="1">
        <f t="shared" si="11"/>
        <v>5394</v>
      </c>
      <c r="N269" s="1">
        <f t="shared" si="11"/>
        <v>0</v>
      </c>
      <c r="O269" s="1">
        <f t="shared" si="11"/>
        <v>2024</v>
      </c>
      <c r="P269" s="1">
        <f t="shared" si="11"/>
        <v>9</v>
      </c>
      <c r="Q269" s="1">
        <f t="shared" si="11"/>
        <v>45</v>
      </c>
      <c r="R269" s="1">
        <f t="shared" si="11"/>
        <v>13</v>
      </c>
      <c r="S269" s="1">
        <f t="shared" si="11"/>
        <v>145</v>
      </c>
      <c r="T269" s="1">
        <f t="shared" si="11"/>
        <v>30</v>
      </c>
      <c r="U269" s="1">
        <f t="shared" si="11"/>
        <v>405</v>
      </c>
      <c r="V269" s="1">
        <f t="shared" si="11"/>
        <v>57</v>
      </c>
      <c r="W269" s="1">
        <f t="shared" si="11"/>
        <v>1129</v>
      </c>
      <c r="X269" s="1">
        <f t="shared" si="11"/>
        <v>49</v>
      </c>
      <c r="Y269" s="1">
        <f t="shared" si="11"/>
        <v>2</v>
      </c>
      <c r="Z269" s="1">
        <f t="shared" si="11"/>
        <v>2</v>
      </c>
      <c r="AA269" s="1">
        <f t="shared" si="11"/>
        <v>505</v>
      </c>
      <c r="AB269" s="1">
        <f t="shared" si="11"/>
        <v>652</v>
      </c>
      <c r="AC269" s="1">
        <f t="shared" si="11"/>
        <v>0</v>
      </c>
      <c r="AD269" s="1">
        <f t="shared" si="11"/>
        <v>10</v>
      </c>
      <c r="AE269" s="1">
        <f t="shared" si="11"/>
        <v>0</v>
      </c>
      <c r="AF269" s="1">
        <f t="shared" si="11"/>
        <v>2412</v>
      </c>
      <c r="AG269" s="1">
        <f t="shared" si="11"/>
        <v>1157</v>
      </c>
      <c r="AH269" s="1">
        <f t="shared" si="11"/>
        <v>2410</v>
      </c>
      <c r="AI269" s="1">
        <f t="shared" si="11"/>
        <v>19411</v>
      </c>
      <c r="AJ269" s="1">
        <f t="shared" si="11"/>
        <v>1747</v>
      </c>
      <c r="AK269" s="1">
        <f t="shared" si="11"/>
        <v>4527</v>
      </c>
      <c r="AL269" s="1">
        <f t="shared" si="11"/>
        <v>2731</v>
      </c>
      <c r="AM269" s="1">
        <f t="shared" si="11"/>
        <v>1235</v>
      </c>
      <c r="AN269" s="1">
        <f t="shared" si="11"/>
        <v>161</v>
      </c>
      <c r="AO269" s="1">
        <f t="shared" si="11"/>
        <v>12</v>
      </c>
      <c r="AP269" s="1">
        <f t="shared" si="11"/>
        <v>341</v>
      </c>
    </row>
    <row r="270" spans="1:42" x14ac:dyDescent="0.3">
      <c r="A270" t="s">
        <v>131</v>
      </c>
      <c r="B270" t="s">
        <v>40</v>
      </c>
      <c r="C270" s="4" t="s">
        <v>94</v>
      </c>
      <c r="D270" s="1">
        <f>D397</f>
        <v>1</v>
      </c>
      <c r="E270" s="1">
        <f t="shared" ref="E270:AP270" si="12">E397</f>
        <v>0</v>
      </c>
      <c r="F270" s="1">
        <f t="shared" si="12"/>
        <v>0</v>
      </c>
      <c r="G270" s="1">
        <f t="shared" si="12"/>
        <v>1</v>
      </c>
      <c r="H270" s="1">
        <f t="shared" si="12"/>
        <v>0</v>
      </c>
      <c r="I270" s="1">
        <f t="shared" si="12"/>
        <v>0</v>
      </c>
      <c r="J270" s="1">
        <f t="shared" si="12"/>
        <v>0</v>
      </c>
      <c r="K270" s="1">
        <f t="shared" si="12"/>
        <v>0</v>
      </c>
      <c r="L270" s="1">
        <f t="shared" si="12"/>
        <v>0</v>
      </c>
      <c r="M270" s="1">
        <f t="shared" si="12"/>
        <v>0</v>
      </c>
      <c r="N270" s="1">
        <f t="shared" si="12"/>
        <v>0</v>
      </c>
      <c r="O270" s="1">
        <f t="shared" si="12"/>
        <v>0</v>
      </c>
      <c r="P270" s="1">
        <f t="shared" si="12"/>
        <v>0</v>
      </c>
      <c r="Q270" s="1">
        <f t="shared" si="12"/>
        <v>0</v>
      </c>
      <c r="R270" s="1">
        <f t="shared" si="12"/>
        <v>0</v>
      </c>
      <c r="S270" s="1">
        <f t="shared" si="12"/>
        <v>0</v>
      </c>
      <c r="T270" s="1">
        <f t="shared" si="12"/>
        <v>0</v>
      </c>
      <c r="U270" s="1">
        <f t="shared" si="12"/>
        <v>0</v>
      </c>
      <c r="V270" s="1">
        <f t="shared" si="12"/>
        <v>0</v>
      </c>
      <c r="W270" s="1">
        <f t="shared" si="12"/>
        <v>0</v>
      </c>
      <c r="X270" s="1">
        <f t="shared" si="12"/>
        <v>0</v>
      </c>
      <c r="Y270" s="1">
        <f t="shared" si="12"/>
        <v>0</v>
      </c>
      <c r="Z270" s="1">
        <f t="shared" si="12"/>
        <v>0</v>
      </c>
      <c r="AA270" s="1">
        <f t="shared" si="12"/>
        <v>0</v>
      </c>
      <c r="AB270" s="1">
        <f t="shared" si="12"/>
        <v>0</v>
      </c>
      <c r="AC270" s="1">
        <f t="shared" si="12"/>
        <v>0</v>
      </c>
      <c r="AD270" s="1">
        <f t="shared" si="12"/>
        <v>0</v>
      </c>
      <c r="AE270" s="1">
        <f t="shared" si="12"/>
        <v>0</v>
      </c>
      <c r="AF270" s="1">
        <f t="shared" si="12"/>
        <v>0</v>
      </c>
      <c r="AG270" s="1">
        <f t="shared" si="12"/>
        <v>0</v>
      </c>
      <c r="AH270" s="1">
        <f t="shared" si="12"/>
        <v>0</v>
      </c>
      <c r="AI270" s="1">
        <f t="shared" si="12"/>
        <v>0</v>
      </c>
      <c r="AJ270" s="1">
        <f t="shared" si="12"/>
        <v>0</v>
      </c>
      <c r="AK270" s="1">
        <f t="shared" si="12"/>
        <v>0</v>
      </c>
      <c r="AL270" s="1">
        <f t="shared" si="12"/>
        <v>0</v>
      </c>
      <c r="AM270" s="1">
        <f t="shared" si="12"/>
        <v>0</v>
      </c>
      <c r="AN270" s="1">
        <f t="shared" si="12"/>
        <v>0</v>
      </c>
      <c r="AO270" s="1">
        <f t="shared" si="12"/>
        <v>0</v>
      </c>
      <c r="AP270" s="1">
        <f t="shared" si="12"/>
        <v>0</v>
      </c>
    </row>
    <row r="271" spans="1:42" x14ac:dyDescent="0.3">
      <c r="A271" t="s">
        <v>131</v>
      </c>
      <c r="B271" t="s">
        <v>132</v>
      </c>
      <c r="C271" s="4" t="s">
        <v>40</v>
      </c>
      <c r="D271" s="1">
        <v>35704</v>
      </c>
      <c r="E271">
        <v>1</v>
      </c>
      <c r="F271">
        <v>1</v>
      </c>
      <c r="G271">
        <v>3</v>
      </c>
      <c r="H271">
        <v>0</v>
      </c>
      <c r="I271">
        <v>0</v>
      </c>
      <c r="J271">
        <v>36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434</v>
      </c>
      <c r="AG271">
        <v>61</v>
      </c>
      <c r="AH271">
        <v>240</v>
      </c>
      <c r="AI271" s="1">
        <v>32931</v>
      </c>
      <c r="AJ271" s="1">
        <v>1869</v>
      </c>
      <c r="AK271">
        <v>94</v>
      </c>
      <c r="AL271">
        <v>2</v>
      </c>
      <c r="AM271">
        <v>0</v>
      </c>
      <c r="AN271">
        <v>6</v>
      </c>
      <c r="AO271">
        <v>0</v>
      </c>
      <c r="AP271" s="1">
        <v>23</v>
      </c>
    </row>
    <row r="272" spans="1:42" x14ac:dyDescent="0.3">
      <c r="A272" t="s">
        <v>131</v>
      </c>
      <c r="B272" t="s">
        <v>132</v>
      </c>
      <c r="C272" s="4" t="s">
        <v>43</v>
      </c>
      <c r="D272" s="1">
        <v>18124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22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201</v>
      </c>
      <c r="AG272">
        <v>33</v>
      </c>
      <c r="AH272">
        <v>122</v>
      </c>
      <c r="AI272" s="1">
        <v>16645</v>
      </c>
      <c r="AJ272" s="1">
        <v>1059</v>
      </c>
      <c r="AK272">
        <v>13</v>
      </c>
      <c r="AL272">
        <v>1</v>
      </c>
      <c r="AM272">
        <v>0</v>
      </c>
      <c r="AN272">
        <v>5</v>
      </c>
      <c r="AO272">
        <v>0</v>
      </c>
      <c r="AP272" s="1">
        <v>19</v>
      </c>
    </row>
    <row r="273" spans="1:42" x14ac:dyDescent="0.3">
      <c r="A273" t="s">
        <v>131</v>
      </c>
      <c r="B273" t="s">
        <v>132</v>
      </c>
      <c r="C273" s="4" t="s">
        <v>44</v>
      </c>
      <c r="D273" s="1">
        <v>17580</v>
      </c>
      <c r="E273">
        <v>1</v>
      </c>
      <c r="F273">
        <v>0</v>
      </c>
      <c r="G273">
        <v>2</v>
      </c>
      <c r="H273">
        <v>0</v>
      </c>
      <c r="I273">
        <v>0</v>
      </c>
      <c r="J273">
        <v>14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233</v>
      </c>
      <c r="AG273">
        <v>28</v>
      </c>
      <c r="AH273">
        <v>118</v>
      </c>
      <c r="AI273" s="1">
        <v>16286</v>
      </c>
      <c r="AJ273">
        <v>810</v>
      </c>
      <c r="AK273">
        <v>81</v>
      </c>
      <c r="AL273">
        <v>1</v>
      </c>
      <c r="AM273">
        <v>0</v>
      </c>
      <c r="AN273">
        <v>1</v>
      </c>
      <c r="AO273">
        <v>0</v>
      </c>
      <c r="AP273" s="1">
        <v>4</v>
      </c>
    </row>
    <row r="274" spans="1:42" x14ac:dyDescent="0.3">
      <c r="A274" t="s">
        <v>131</v>
      </c>
      <c r="B274" t="s">
        <v>133</v>
      </c>
      <c r="C274" s="4" t="s">
        <v>40</v>
      </c>
      <c r="D274" s="1">
        <v>31001</v>
      </c>
      <c r="E274">
        <v>286</v>
      </c>
      <c r="F274">
        <v>245</v>
      </c>
      <c r="G274" s="1">
        <v>7876</v>
      </c>
      <c r="H274">
        <v>167</v>
      </c>
      <c r="I274">
        <v>1</v>
      </c>
      <c r="J274">
        <v>466</v>
      </c>
      <c r="K274">
        <v>100</v>
      </c>
      <c r="L274">
        <v>1</v>
      </c>
      <c r="M274" s="1">
        <v>1676</v>
      </c>
      <c r="N274">
        <v>0</v>
      </c>
      <c r="O274" s="1">
        <v>1059</v>
      </c>
      <c r="P274">
        <v>2</v>
      </c>
      <c r="Q274">
        <v>11</v>
      </c>
      <c r="R274">
        <v>25</v>
      </c>
      <c r="S274">
        <v>165</v>
      </c>
      <c r="T274">
        <v>72</v>
      </c>
      <c r="U274">
        <v>164</v>
      </c>
      <c r="V274">
        <v>31</v>
      </c>
      <c r="W274">
        <v>12</v>
      </c>
      <c r="X274">
        <v>49</v>
      </c>
      <c r="Y274">
        <v>3</v>
      </c>
      <c r="Z274">
        <v>13</v>
      </c>
      <c r="AA274">
        <v>240</v>
      </c>
      <c r="AB274">
        <v>224</v>
      </c>
      <c r="AC274">
        <v>0</v>
      </c>
      <c r="AD274">
        <v>15</v>
      </c>
      <c r="AE274">
        <v>0</v>
      </c>
      <c r="AF274" s="1">
        <v>3007</v>
      </c>
      <c r="AG274">
        <v>919</v>
      </c>
      <c r="AH274" s="1">
        <v>2135</v>
      </c>
      <c r="AI274" s="1">
        <v>0</v>
      </c>
      <c r="AJ274">
        <v>785</v>
      </c>
      <c r="AK274" s="1">
        <v>2285</v>
      </c>
      <c r="AL274" s="1">
        <v>8595</v>
      </c>
      <c r="AM274" s="1">
        <v>0</v>
      </c>
      <c r="AN274" s="1">
        <v>0</v>
      </c>
      <c r="AO274">
        <v>3</v>
      </c>
      <c r="AP274" s="1">
        <v>369</v>
      </c>
    </row>
    <row r="275" spans="1:42" x14ac:dyDescent="0.3">
      <c r="A275" t="s">
        <v>131</v>
      </c>
      <c r="B275" t="s">
        <v>133</v>
      </c>
      <c r="C275" s="4" t="s">
        <v>43</v>
      </c>
      <c r="D275" s="1">
        <v>15306</v>
      </c>
      <c r="E275">
        <v>135</v>
      </c>
      <c r="F275">
        <v>128</v>
      </c>
      <c r="G275" s="1">
        <v>4471</v>
      </c>
      <c r="H275">
        <v>147</v>
      </c>
      <c r="I275">
        <v>1</v>
      </c>
      <c r="J275">
        <v>261</v>
      </c>
      <c r="K275">
        <v>28</v>
      </c>
      <c r="L275">
        <v>1</v>
      </c>
      <c r="M275">
        <v>297</v>
      </c>
      <c r="N275">
        <v>0</v>
      </c>
      <c r="O275">
        <v>151</v>
      </c>
      <c r="P275">
        <v>1</v>
      </c>
      <c r="Q275">
        <v>8</v>
      </c>
      <c r="R275">
        <v>25</v>
      </c>
      <c r="S275">
        <v>132</v>
      </c>
      <c r="T275">
        <v>68</v>
      </c>
      <c r="U275">
        <v>26</v>
      </c>
      <c r="V275">
        <v>14</v>
      </c>
      <c r="W275">
        <v>1</v>
      </c>
      <c r="X275">
        <v>44</v>
      </c>
      <c r="Y275">
        <v>3</v>
      </c>
      <c r="Z275">
        <v>13</v>
      </c>
      <c r="AA275">
        <v>68</v>
      </c>
      <c r="AB275">
        <v>125</v>
      </c>
      <c r="AC275">
        <v>0</v>
      </c>
      <c r="AD275">
        <v>5</v>
      </c>
      <c r="AE275">
        <v>0</v>
      </c>
      <c r="AF275" s="1">
        <v>1269</v>
      </c>
      <c r="AG275">
        <v>340</v>
      </c>
      <c r="AH275">
        <v>867</v>
      </c>
      <c r="AI275" s="1">
        <v>0</v>
      </c>
      <c r="AJ275">
        <v>226</v>
      </c>
      <c r="AK275">
        <v>166</v>
      </c>
      <c r="AL275" s="1">
        <v>6083</v>
      </c>
      <c r="AM275">
        <v>0</v>
      </c>
      <c r="AN275">
        <v>0</v>
      </c>
      <c r="AO275">
        <v>1</v>
      </c>
      <c r="AP275" s="1">
        <v>201</v>
      </c>
    </row>
    <row r="276" spans="1:42" x14ac:dyDescent="0.3">
      <c r="A276" t="s">
        <v>131</v>
      </c>
      <c r="B276" t="s">
        <v>133</v>
      </c>
      <c r="C276" s="4" t="s">
        <v>44</v>
      </c>
      <c r="D276" s="1">
        <v>15695</v>
      </c>
      <c r="E276">
        <v>151</v>
      </c>
      <c r="F276">
        <v>117</v>
      </c>
      <c r="G276" s="1">
        <v>3405</v>
      </c>
      <c r="H276">
        <v>20</v>
      </c>
      <c r="I276">
        <v>0</v>
      </c>
      <c r="J276">
        <v>205</v>
      </c>
      <c r="K276">
        <v>72</v>
      </c>
      <c r="L276">
        <v>0</v>
      </c>
      <c r="M276" s="1">
        <v>1379</v>
      </c>
      <c r="N276">
        <v>0</v>
      </c>
      <c r="O276">
        <v>908</v>
      </c>
      <c r="P276">
        <v>1</v>
      </c>
      <c r="Q276">
        <v>3</v>
      </c>
      <c r="R276">
        <v>0</v>
      </c>
      <c r="S276">
        <v>33</v>
      </c>
      <c r="T276">
        <v>4</v>
      </c>
      <c r="U276">
        <v>138</v>
      </c>
      <c r="V276">
        <v>17</v>
      </c>
      <c r="W276">
        <v>11</v>
      </c>
      <c r="X276">
        <v>5</v>
      </c>
      <c r="Y276">
        <v>0</v>
      </c>
      <c r="Z276">
        <v>0</v>
      </c>
      <c r="AA276">
        <v>172</v>
      </c>
      <c r="AB276">
        <v>99</v>
      </c>
      <c r="AC276">
        <v>0</v>
      </c>
      <c r="AD276">
        <v>10</v>
      </c>
      <c r="AE276">
        <v>0</v>
      </c>
      <c r="AF276" s="1">
        <v>1738</v>
      </c>
      <c r="AG276">
        <v>579</v>
      </c>
      <c r="AH276" s="1">
        <v>1268</v>
      </c>
      <c r="AI276" s="1">
        <v>0</v>
      </c>
      <c r="AJ276">
        <v>559</v>
      </c>
      <c r="AK276" s="1">
        <v>2119</v>
      </c>
      <c r="AL276" s="1">
        <v>2512</v>
      </c>
      <c r="AM276" s="1">
        <v>0</v>
      </c>
      <c r="AN276" s="1">
        <v>0</v>
      </c>
      <c r="AO276">
        <v>2</v>
      </c>
      <c r="AP276" s="1">
        <v>168</v>
      </c>
    </row>
    <row r="277" spans="1:42" x14ac:dyDescent="0.3">
      <c r="A277" t="s">
        <v>131</v>
      </c>
      <c r="B277" t="s">
        <v>134</v>
      </c>
      <c r="C277" s="4" t="s">
        <v>40</v>
      </c>
      <c r="D277" s="1">
        <v>9351</v>
      </c>
      <c r="E277">
        <v>84</v>
      </c>
      <c r="F277">
        <v>121</v>
      </c>
      <c r="G277" s="1">
        <v>3326</v>
      </c>
      <c r="H277">
        <v>7</v>
      </c>
      <c r="I277">
        <v>0</v>
      </c>
      <c r="J277">
        <v>1</v>
      </c>
      <c r="K277">
        <v>12</v>
      </c>
      <c r="L277">
        <v>6</v>
      </c>
      <c r="M277" s="1">
        <v>1721</v>
      </c>
      <c r="N277">
        <v>0</v>
      </c>
      <c r="O277">
        <v>387</v>
      </c>
      <c r="P277">
        <v>11</v>
      </c>
      <c r="Q277">
        <v>8</v>
      </c>
      <c r="R277">
        <v>19</v>
      </c>
      <c r="S277">
        <v>185</v>
      </c>
      <c r="T277">
        <v>98</v>
      </c>
      <c r="U277">
        <v>83</v>
      </c>
      <c r="V277">
        <v>27</v>
      </c>
      <c r="W277">
        <v>24</v>
      </c>
      <c r="X277">
        <v>26</v>
      </c>
      <c r="Y277">
        <v>7</v>
      </c>
      <c r="Z277">
        <v>7</v>
      </c>
      <c r="AA277">
        <v>104</v>
      </c>
      <c r="AB277">
        <v>320</v>
      </c>
      <c r="AC277">
        <v>0</v>
      </c>
      <c r="AD277">
        <v>0</v>
      </c>
      <c r="AE277">
        <v>0</v>
      </c>
      <c r="AF277">
        <v>29</v>
      </c>
      <c r="AG277">
        <v>220</v>
      </c>
      <c r="AH277">
        <v>304</v>
      </c>
      <c r="AI277">
        <v>338</v>
      </c>
      <c r="AJ277">
        <v>168</v>
      </c>
      <c r="AK277">
        <v>975</v>
      </c>
      <c r="AL277">
        <v>3</v>
      </c>
      <c r="AM277">
        <v>718</v>
      </c>
      <c r="AN277">
        <v>0</v>
      </c>
      <c r="AO277">
        <v>0</v>
      </c>
      <c r="AP277" s="1">
        <v>12</v>
      </c>
    </row>
    <row r="278" spans="1:42" x14ac:dyDescent="0.3">
      <c r="A278" t="s">
        <v>131</v>
      </c>
      <c r="B278" t="s">
        <v>134</v>
      </c>
      <c r="C278" s="4" t="s">
        <v>43</v>
      </c>
      <c r="D278" s="1">
        <v>4627</v>
      </c>
      <c r="E278">
        <v>43</v>
      </c>
      <c r="F278">
        <v>79</v>
      </c>
      <c r="G278" s="1">
        <v>1637</v>
      </c>
      <c r="H278">
        <v>6</v>
      </c>
      <c r="I278">
        <v>0</v>
      </c>
      <c r="J278">
        <v>0</v>
      </c>
      <c r="K278">
        <v>6</v>
      </c>
      <c r="L278">
        <v>2</v>
      </c>
      <c r="M278">
        <v>776</v>
      </c>
      <c r="N278">
        <v>0</v>
      </c>
      <c r="O278">
        <v>123</v>
      </c>
      <c r="P278">
        <v>7</v>
      </c>
      <c r="Q278">
        <v>6</v>
      </c>
      <c r="R278">
        <v>17</v>
      </c>
      <c r="S278">
        <v>144</v>
      </c>
      <c r="T278">
        <v>91</v>
      </c>
      <c r="U278">
        <v>26</v>
      </c>
      <c r="V278">
        <v>22</v>
      </c>
      <c r="W278">
        <v>4</v>
      </c>
      <c r="X278">
        <v>19</v>
      </c>
      <c r="Y278">
        <v>7</v>
      </c>
      <c r="Z278">
        <v>6</v>
      </c>
      <c r="AA278">
        <v>49</v>
      </c>
      <c r="AB278">
        <v>173</v>
      </c>
      <c r="AC278">
        <v>0</v>
      </c>
      <c r="AD278">
        <v>0</v>
      </c>
      <c r="AE278">
        <v>0</v>
      </c>
      <c r="AF278">
        <v>21</v>
      </c>
      <c r="AG278">
        <v>118</v>
      </c>
      <c r="AH278">
        <v>138</v>
      </c>
      <c r="AI278">
        <v>168</v>
      </c>
      <c r="AJ278">
        <v>136</v>
      </c>
      <c r="AK278">
        <v>613</v>
      </c>
      <c r="AL278">
        <v>2</v>
      </c>
      <c r="AM278">
        <v>185</v>
      </c>
      <c r="AN278" s="1">
        <v>0</v>
      </c>
      <c r="AO278">
        <v>0</v>
      </c>
      <c r="AP278" s="1">
        <v>3</v>
      </c>
    </row>
    <row r="279" spans="1:42" x14ac:dyDescent="0.3">
      <c r="A279" t="s">
        <v>131</v>
      </c>
      <c r="B279" t="s">
        <v>134</v>
      </c>
      <c r="C279" s="4" t="s">
        <v>44</v>
      </c>
      <c r="D279" s="1">
        <v>4724</v>
      </c>
      <c r="E279">
        <v>41</v>
      </c>
      <c r="F279">
        <v>42</v>
      </c>
      <c r="G279" s="1">
        <v>1689</v>
      </c>
      <c r="H279">
        <v>1</v>
      </c>
      <c r="I279">
        <v>0</v>
      </c>
      <c r="J279">
        <v>1</v>
      </c>
      <c r="K279">
        <v>6</v>
      </c>
      <c r="L279">
        <v>4</v>
      </c>
      <c r="M279">
        <v>945</v>
      </c>
      <c r="N279">
        <v>0</v>
      </c>
      <c r="O279">
        <v>264</v>
      </c>
      <c r="P279">
        <v>4</v>
      </c>
      <c r="Q279">
        <v>2</v>
      </c>
      <c r="R279">
        <v>2</v>
      </c>
      <c r="S279">
        <v>41</v>
      </c>
      <c r="T279">
        <v>7</v>
      </c>
      <c r="U279">
        <v>57</v>
      </c>
      <c r="V279">
        <v>5</v>
      </c>
      <c r="W279">
        <v>20</v>
      </c>
      <c r="X279">
        <v>7</v>
      </c>
      <c r="Y279">
        <v>0</v>
      </c>
      <c r="Z279">
        <v>1</v>
      </c>
      <c r="AA279">
        <v>55</v>
      </c>
      <c r="AB279">
        <v>147</v>
      </c>
      <c r="AC279">
        <v>0</v>
      </c>
      <c r="AD279">
        <v>0</v>
      </c>
      <c r="AE279">
        <v>0</v>
      </c>
      <c r="AF279">
        <v>8</v>
      </c>
      <c r="AG279">
        <v>102</v>
      </c>
      <c r="AH279">
        <v>166</v>
      </c>
      <c r="AI279">
        <v>170</v>
      </c>
      <c r="AJ279">
        <v>32</v>
      </c>
      <c r="AK279">
        <v>362</v>
      </c>
      <c r="AL279">
        <v>1</v>
      </c>
      <c r="AM279">
        <v>533</v>
      </c>
      <c r="AN279">
        <v>0</v>
      </c>
      <c r="AO279">
        <v>0</v>
      </c>
      <c r="AP279" s="1">
        <v>9</v>
      </c>
    </row>
    <row r="280" spans="1:42" x14ac:dyDescent="0.3">
      <c r="A280" t="s">
        <v>131</v>
      </c>
      <c r="B280" t="s">
        <v>135</v>
      </c>
      <c r="C280" s="4" t="s">
        <v>40</v>
      </c>
      <c r="D280" s="1">
        <v>9045</v>
      </c>
      <c r="E280">
        <v>85</v>
      </c>
      <c r="F280">
        <v>75</v>
      </c>
      <c r="G280" s="1">
        <v>2741</v>
      </c>
      <c r="H280">
        <v>9</v>
      </c>
      <c r="I280">
        <v>0</v>
      </c>
      <c r="J280">
        <v>2</v>
      </c>
      <c r="K280">
        <v>10</v>
      </c>
      <c r="L280">
        <v>2</v>
      </c>
      <c r="M280">
        <v>310</v>
      </c>
      <c r="N280">
        <v>0</v>
      </c>
      <c r="O280">
        <v>43</v>
      </c>
      <c r="P280">
        <v>4</v>
      </c>
      <c r="Q280">
        <v>8</v>
      </c>
      <c r="R280">
        <v>18</v>
      </c>
      <c r="S280">
        <v>81</v>
      </c>
      <c r="T280">
        <v>49</v>
      </c>
      <c r="U280">
        <v>49</v>
      </c>
      <c r="V280">
        <v>69</v>
      </c>
      <c r="W280" s="1">
        <v>1604</v>
      </c>
      <c r="X280">
        <v>17</v>
      </c>
      <c r="Y280">
        <v>17</v>
      </c>
      <c r="Z280">
        <v>9</v>
      </c>
      <c r="AA280">
        <v>61</v>
      </c>
      <c r="AB280">
        <v>369</v>
      </c>
      <c r="AC280">
        <v>0</v>
      </c>
      <c r="AD280">
        <v>0</v>
      </c>
      <c r="AE280">
        <v>0</v>
      </c>
      <c r="AF280">
        <v>71</v>
      </c>
      <c r="AG280">
        <v>239</v>
      </c>
      <c r="AH280">
        <v>242</v>
      </c>
      <c r="AI280" s="1">
        <v>1072</v>
      </c>
      <c r="AJ280">
        <v>277</v>
      </c>
      <c r="AK280" s="1">
        <v>1364</v>
      </c>
      <c r="AL280">
        <v>4</v>
      </c>
      <c r="AM280">
        <v>108</v>
      </c>
      <c r="AN280" s="1">
        <v>0</v>
      </c>
      <c r="AO280">
        <v>3</v>
      </c>
      <c r="AP280" s="1">
        <v>33</v>
      </c>
    </row>
    <row r="281" spans="1:42" x14ac:dyDescent="0.3">
      <c r="A281" t="s">
        <v>131</v>
      </c>
      <c r="B281" t="s">
        <v>135</v>
      </c>
      <c r="C281" s="4" t="s">
        <v>43</v>
      </c>
      <c r="D281" s="1">
        <v>4980</v>
      </c>
      <c r="E281">
        <v>52</v>
      </c>
      <c r="F281">
        <v>45</v>
      </c>
      <c r="G281" s="1">
        <v>1549</v>
      </c>
      <c r="H281">
        <v>6</v>
      </c>
      <c r="I281">
        <v>0</v>
      </c>
      <c r="J281">
        <v>1</v>
      </c>
      <c r="K281">
        <v>6</v>
      </c>
      <c r="L281">
        <v>0</v>
      </c>
      <c r="M281">
        <v>101</v>
      </c>
      <c r="N281">
        <v>0</v>
      </c>
      <c r="O281">
        <v>12</v>
      </c>
      <c r="P281">
        <v>2</v>
      </c>
      <c r="Q281">
        <v>6</v>
      </c>
      <c r="R281">
        <v>18</v>
      </c>
      <c r="S281">
        <v>72</v>
      </c>
      <c r="T281">
        <v>45</v>
      </c>
      <c r="U281">
        <v>22</v>
      </c>
      <c r="V281">
        <v>60</v>
      </c>
      <c r="W281">
        <v>636</v>
      </c>
      <c r="X281">
        <v>16</v>
      </c>
      <c r="Y281">
        <v>17</v>
      </c>
      <c r="Z281">
        <v>9</v>
      </c>
      <c r="AA281">
        <v>42</v>
      </c>
      <c r="AB281">
        <v>219</v>
      </c>
      <c r="AC281">
        <v>0</v>
      </c>
      <c r="AD281">
        <v>0</v>
      </c>
      <c r="AE281">
        <v>0</v>
      </c>
      <c r="AF281">
        <v>46</v>
      </c>
      <c r="AG281">
        <v>136</v>
      </c>
      <c r="AH281">
        <v>109</v>
      </c>
      <c r="AI281">
        <v>414</v>
      </c>
      <c r="AJ281">
        <v>221</v>
      </c>
      <c r="AK281" s="1">
        <v>1058</v>
      </c>
      <c r="AL281">
        <v>2</v>
      </c>
      <c r="AM281">
        <v>47</v>
      </c>
      <c r="AN281">
        <v>0</v>
      </c>
      <c r="AO281">
        <v>1</v>
      </c>
      <c r="AP281" s="1">
        <v>10</v>
      </c>
    </row>
    <row r="282" spans="1:42" x14ac:dyDescent="0.3">
      <c r="A282" t="s">
        <v>131</v>
      </c>
      <c r="B282" t="s">
        <v>135</v>
      </c>
      <c r="C282" s="4" t="s">
        <v>44</v>
      </c>
      <c r="D282" s="1">
        <v>4065</v>
      </c>
      <c r="E282">
        <v>33</v>
      </c>
      <c r="F282">
        <v>30</v>
      </c>
      <c r="G282" s="1">
        <v>1192</v>
      </c>
      <c r="H282">
        <v>3</v>
      </c>
      <c r="I282">
        <v>0</v>
      </c>
      <c r="J282">
        <v>1</v>
      </c>
      <c r="K282">
        <v>4</v>
      </c>
      <c r="L282">
        <v>2</v>
      </c>
      <c r="M282">
        <v>209</v>
      </c>
      <c r="N282">
        <v>0</v>
      </c>
      <c r="O282">
        <v>31</v>
      </c>
      <c r="P282">
        <v>2</v>
      </c>
      <c r="Q282">
        <v>2</v>
      </c>
      <c r="R282">
        <v>0</v>
      </c>
      <c r="S282">
        <v>9</v>
      </c>
      <c r="T282">
        <v>4</v>
      </c>
      <c r="U282">
        <v>27</v>
      </c>
      <c r="V282">
        <v>9</v>
      </c>
      <c r="W282">
        <v>968</v>
      </c>
      <c r="X282">
        <v>1</v>
      </c>
      <c r="Y282">
        <v>0</v>
      </c>
      <c r="Z282">
        <v>0</v>
      </c>
      <c r="AA282">
        <v>19</v>
      </c>
      <c r="AB282">
        <v>150</v>
      </c>
      <c r="AC282">
        <v>0</v>
      </c>
      <c r="AD282">
        <v>0</v>
      </c>
      <c r="AE282">
        <v>0</v>
      </c>
      <c r="AF282">
        <v>25</v>
      </c>
      <c r="AG282">
        <v>103</v>
      </c>
      <c r="AH282">
        <v>133</v>
      </c>
      <c r="AI282">
        <v>658</v>
      </c>
      <c r="AJ282">
        <v>56</v>
      </c>
      <c r="AK282">
        <v>306</v>
      </c>
      <c r="AL282">
        <v>2</v>
      </c>
      <c r="AM282">
        <v>61</v>
      </c>
      <c r="AN282" s="1">
        <v>0</v>
      </c>
      <c r="AO282">
        <v>2</v>
      </c>
      <c r="AP282" s="1">
        <v>23</v>
      </c>
    </row>
    <row r="283" spans="1:42" x14ac:dyDescent="0.3">
      <c r="A283" t="s">
        <v>131</v>
      </c>
      <c r="B283" t="s">
        <v>136</v>
      </c>
      <c r="C283" s="4" t="s">
        <v>40</v>
      </c>
      <c r="D283" s="1">
        <v>7134</v>
      </c>
      <c r="E283">
        <v>88</v>
      </c>
      <c r="F283">
        <v>70</v>
      </c>
      <c r="G283" s="1">
        <v>2959</v>
      </c>
      <c r="H283">
        <v>9</v>
      </c>
      <c r="I283">
        <v>0</v>
      </c>
      <c r="J283">
        <v>1</v>
      </c>
      <c r="K283">
        <v>8</v>
      </c>
      <c r="L283">
        <v>1</v>
      </c>
      <c r="M283" s="1">
        <v>1191</v>
      </c>
      <c r="N283">
        <v>0</v>
      </c>
      <c r="O283">
        <v>120</v>
      </c>
      <c r="P283">
        <v>2</v>
      </c>
      <c r="Q283">
        <v>13</v>
      </c>
      <c r="R283">
        <v>11</v>
      </c>
      <c r="S283">
        <v>136</v>
      </c>
      <c r="T283">
        <v>27</v>
      </c>
      <c r="U283">
        <v>36</v>
      </c>
      <c r="V283">
        <v>58</v>
      </c>
      <c r="W283">
        <v>15</v>
      </c>
      <c r="X283">
        <v>33</v>
      </c>
      <c r="Y283">
        <v>3</v>
      </c>
      <c r="Z283">
        <v>8</v>
      </c>
      <c r="AA283">
        <v>35</v>
      </c>
      <c r="AB283">
        <v>134</v>
      </c>
      <c r="AC283">
        <v>0</v>
      </c>
      <c r="AD283">
        <v>0</v>
      </c>
      <c r="AE283">
        <v>0</v>
      </c>
      <c r="AF283">
        <v>31</v>
      </c>
      <c r="AG283">
        <v>106</v>
      </c>
      <c r="AH283">
        <v>133</v>
      </c>
      <c r="AI283">
        <v>896</v>
      </c>
      <c r="AJ283">
        <v>189</v>
      </c>
      <c r="AK283">
        <v>524</v>
      </c>
      <c r="AL283">
        <v>2</v>
      </c>
      <c r="AM283">
        <v>225</v>
      </c>
      <c r="AN283">
        <v>0</v>
      </c>
      <c r="AO283">
        <v>0</v>
      </c>
      <c r="AP283" s="1">
        <v>70</v>
      </c>
    </row>
    <row r="284" spans="1:42" x14ac:dyDescent="0.3">
      <c r="A284" t="s">
        <v>131</v>
      </c>
      <c r="B284" t="s">
        <v>136</v>
      </c>
      <c r="C284" s="4" t="s">
        <v>43</v>
      </c>
      <c r="D284" s="1">
        <v>3434</v>
      </c>
      <c r="E284">
        <v>46</v>
      </c>
      <c r="F284">
        <v>34</v>
      </c>
      <c r="G284" s="1">
        <v>1487</v>
      </c>
      <c r="H284">
        <v>5</v>
      </c>
      <c r="I284">
        <v>0</v>
      </c>
      <c r="J284">
        <v>1</v>
      </c>
      <c r="K284">
        <v>7</v>
      </c>
      <c r="L284">
        <v>0</v>
      </c>
      <c r="M284">
        <v>479</v>
      </c>
      <c r="N284">
        <v>0</v>
      </c>
      <c r="O284">
        <v>23</v>
      </c>
      <c r="P284">
        <v>1</v>
      </c>
      <c r="Q284">
        <v>8</v>
      </c>
      <c r="R284">
        <v>9</v>
      </c>
      <c r="S284">
        <v>129</v>
      </c>
      <c r="T284">
        <v>27</v>
      </c>
      <c r="U284">
        <v>12</v>
      </c>
      <c r="V284">
        <v>52</v>
      </c>
      <c r="W284">
        <v>4</v>
      </c>
      <c r="X284">
        <v>24</v>
      </c>
      <c r="Y284">
        <v>3</v>
      </c>
      <c r="Z284">
        <v>8</v>
      </c>
      <c r="AA284">
        <v>10</v>
      </c>
      <c r="AB284">
        <v>84</v>
      </c>
      <c r="AC284">
        <v>0</v>
      </c>
      <c r="AD284">
        <v>0</v>
      </c>
      <c r="AE284">
        <v>0</v>
      </c>
      <c r="AF284">
        <v>25</v>
      </c>
      <c r="AG284">
        <v>47</v>
      </c>
      <c r="AH284">
        <v>52</v>
      </c>
      <c r="AI284">
        <v>332</v>
      </c>
      <c r="AJ284">
        <v>132</v>
      </c>
      <c r="AK284">
        <v>328</v>
      </c>
      <c r="AL284">
        <v>2</v>
      </c>
      <c r="AM284">
        <v>53</v>
      </c>
      <c r="AN284" s="1">
        <v>0</v>
      </c>
      <c r="AO284">
        <v>0</v>
      </c>
      <c r="AP284" s="1">
        <v>10</v>
      </c>
    </row>
    <row r="285" spans="1:42" x14ac:dyDescent="0.3">
      <c r="A285" t="s">
        <v>131</v>
      </c>
      <c r="B285" t="s">
        <v>136</v>
      </c>
      <c r="C285" s="4" t="s">
        <v>44</v>
      </c>
      <c r="D285" s="1">
        <v>3700</v>
      </c>
      <c r="E285">
        <v>42</v>
      </c>
      <c r="F285">
        <v>36</v>
      </c>
      <c r="G285" s="1">
        <v>1472</v>
      </c>
      <c r="H285">
        <v>4</v>
      </c>
      <c r="I285">
        <v>0</v>
      </c>
      <c r="J285">
        <v>0</v>
      </c>
      <c r="K285">
        <v>1</v>
      </c>
      <c r="L285">
        <v>1</v>
      </c>
      <c r="M285">
        <v>712</v>
      </c>
      <c r="N285">
        <v>0</v>
      </c>
      <c r="O285">
        <v>97</v>
      </c>
      <c r="P285">
        <v>1</v>
      </c>
      <c r="Q285">
        <v>5</v>
      </c>
      <c r="R285">
        <v>2</v>
      </c>
      <c r="S285">
        <v>7</v>
      </c>
      <c r="T285">
        <v>0</v>
      </c>
      <c r="U285">
        <v>24</v>
      </c>
      <c r="V285">
        <v>6</v>
      </c>
      <c r="W285">
        <v>11</v>
      </c>
      <c r="X285">
        <v>9</v>
      </c>
      <c r="Y285">
        <v>0</v>
      </c>
      <c r="Z285">
        <v>0</v>
      </c>
      <c r="AA285">
        <v>25</v>
      </c>
      <c r="AB285">
        <v>50</v>
      </c>
      <c r="AC285">
        <v>0</v>
      </c>
      <c r="AD285">
        <v>0</v>
      </c>
      <c r="AE285">
        <v>0</v>
      </c>
      <c r="AF285">
        <v>6</v>
      </c>
      <c r="AG285">
        <v>59</v>
      </c>
      <c r="AH285">
        <v>81</v>
      </c>
      <c r="AI285">
        <v>564</v>
      </c>
      <c r="AJ285">
        <v>57</v>
      </c>
      <c r="AK285">
        <v>196</v>
      </c>
      <c r="AL285">
        <v>0</v>
      </c>
      <c r="AM285">
        <v>172</v>
      </c>
      <c r="AN285">
        <v>0</v>
      </c>
      <c r="AO285">
        <v>0</v>
      </c>
      <c r="AP285" s="1">
        <v>60</v>
      </c>
    </row>
    <row r="286" spans="1:42" x14ac:dyDescent="0.3">
      <c r="A286" t="s">
        <v>131</v>
      </c>
      <c r="B286" t="s">
        <v>137</v>
      </c>
      <c r="C286" s="4" t="s">
        <v>40</v>
      </c>
      <c r="D286" s="1">
        <v>5214</v>
      </c>
      <c r="E286">
        <v>31</v>
      </c>
      <c r="F286">
        <v>10</v>
      </c>
      <c r="G286">
        <v>1</v>
      </c>
      <c r="H286">
        <v>40</v>
      </c>
      <c r="I286">
        <v>0</v>
      </c>
      <c r="J286">
        <v>119</v>
      </c>
      <c r="K286">
        <v>38</v>
      </c>
      <c r="L286">
        <v>0</v>
      </c>
      <c r="M286">
        <v>166</v>
      </c>
      <c r="N286">
        <v>0</v>
      </c>
      <c r="O286">
        <v>136</v>
      </c>
      <c r="P286">
        <v>0</v>
      </c>
      <c r="Q286">
        <v>1</v>
      </c>
      <c r="R286">
        <v>1</v>
      </c>
      <c r="S286">
        <v>7</v>
      </c>
      <c r="T286">
        <v>16</v>
      </c>
      <c r="U286">
        <v>10</v>
      </c>
      <c r="V286">
        <v>1</v>
      </c>
      <c r="W286">
        <v>1</v>
      </c>
      <c r="X286">
        <v>12</v>
      </c>
      <c r="Y286">
        <v>1</v>
      </c>
      <c r="Z286">
        <v>0</v>
      </c>
      <c r="AA286">
        <v>109</v>
      </c>
      <c r="AB286">
        <v>45</v>
      </c>
      <c r="AC286">
        <v>0</v>
      </c>
      <c r="AD286">
        <v>1</v>
      </c>
      <c r="AE286">
        <v>0</v>
      </c>
      <c r="AF286">
        <v>544</v>
      </c>
      <c r="AG286">
        <v>105</v>
      </c>
      <c r="AH286">
        <v>383</v>
      </c>
      <c r="AI286" s="1">
        <v>2395</v>
      </c>
      <c r="AJ286">
        <v>191</v>
      </c>
      <c r="AK286">
        <v>282</v>
      </c>
      <c r="AL286">
        <v>262</v>
      </c>
      <c r="AM286">
        <v>0</v>
      </c>
      <c r="AN286">
        <v>286</v>
      </c>
      <c r="AO286">
        <v>0</v>
      </c>
      <c r="AP286" s="1">
        <v>20</v>
      </c>
    </row>
    <row r="287" spans="1:42" x14ac:dyDescent="0.3">
      <c r="A287" t="s">
        <v>131</v>
      </c>
      <c r="B287" t="s">
        <v>137</v>
      </c>
      <c r="C287" s="4" t="s">
        <v>43</v>
      </c>
      <c r="D287" s="1">
        <v>2189</v>
      </c>
      <c r="E287">
        <v>14</v>
      </c>
      <c r="F287">
        <v>4</v>
      </c>
      <c r="G287">
        <v>1</v>
      </c>
      <c r="H287">
        <v>38</v>
      </c>
      <c r="I287">
        <v>0</v>
      </c>
      <c r="J287">
        <v>46</v>
      </c>
      <c r="K287">
        <v>6</v>
      </c>
      <c r="L287">
        <v>0</v>
      </c>
      <c r="M287">
        <v>23</v>
      </c>
      <c r="N287">
        <v>0</v>
      </c>
      <c r="O287">
        <v>5</v>
      </c>
      <c r="P287">
        <v>0</v>
      </c>
      <c r="Q287">
        <v>1</v>
      </c>
      <c r="R287">
        <v>1</v>
      </c>
      <c r="S287">
        <v>3</v>
      </c>
      <c r="T287">
        <v>16</v>
      </c>
      <c r="U287">
        <v>0</v>
      </c>
      <c r="V287">
        <v>0</v>
      </c>
      <c r="W287">
        <v>0</v>
      </c>
      <c r="X287">
        <v>10</v>
      </c>
      <c r="Y287">
        <v>1</v>
      </c>
      <c r="Z287">
        <v>0</v>
      </c>
      <c r="AA287">
        <v>23</v>
      </c>
      <c r="AB287">
        <v>27</v>
      </c>
      <c r="AC287">
        <v>0</v>
      </c>
      <c r="AD287">
        <v>1</v>
      </c>
      <c r="AE287">
        <v>0</v>
      </c>
      <c r="AF287">
        <v>219</v>
      </c>
      <c r="AG287">
        <v>35</v>
      </c>
      <c r="AH287">
        <v>168</v>
      </c>
      <c r="AI287" s="1">
        <v>1207</v>
      </c>
      <c r="AJ287">
        <v>114</v>
      </c>
      <c r="AK287">
        <v>27</v>
      </c>
      <c r="AL287">
        <v>66</v>
      </c>
      <c r="AM287">
        <v>0</v>
      </c>
      <c r="AN287">
        <v>126</v>
      </c>
      <c r="AO287">
        <v>0</v>
      </c>
      <c r="AP287" s="1">
        <v>7</v>
      </c>
    </row>
    <row r="288" spans="1:42" x14ac:dyDescent="0.3">
      <c r="A288" t="s">
        <v>131</v>
      </c>
      <c r="B288" t="s">
        <v>137</v>
      </c>
      <c r="C288" s="4" t="s">
        <v>44</v>
      </c>
      <c r="D288" s="1">
        <v>3025</v>
      </c>
      <c r="E288">
        <v>17</v>
      </c>
      <c r="F288">
        <v>6</v>
      </c>
      <c r="G288" s="1">
        <v>0</v>
      </c>
      <c r="H288">
        <v>2</v>
      </c>
      <c r="I288">
        <v>0</v>
      </c>
      <c r="J288">
        <v>73</v>
      </c>
      <c r="K288">
        <v>32</v>
      </c>
      <c r="L288">
        <v>0</v>
      </c>
      <c r="M288">
        <v>143</v>
      </c>
      <c r="N288">
        <v>0</v>
      </c>
      <c r="O288">
        <v>131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10</v>
      </c>
      <c r="V288">
        <v>1</v>
      </c>
      <c r="W288">
        <v>1</v>
      </c>
      <c r="X288">
        <v>2</v>
      </c>
      <c r="Y288">
        <v>0</v>
      </c>
      <c r="Z288">
        <v>0</v>
      </c>
      <c r="AA288">
        <v>86</v>
      </c>
      <c r="AB288">
        <v>18</v>
      </c>
      <c r="AC288">
        <v>0</v>
      </c>
      <c r="AD288">
        <v>0</v>
      </c>
      <c r="AE288">
        <v>0</v>
      </c>
      <c r="AF288">
        <v>325</v>
      </c>
      <c r="AG288">
        <v>70</v>
      </c>
      <c r="AH288">
        <v>215</v>
      </c>
      <c r="AI288" s="1">
        <v>1188</v>
      </c>
      <c r="AJ288">
        <v>77</v>
      </c>
      <c r="AK288">
        <v>255</v>
      </c>
      <c r="AL288">
        <v>196</v>
      </c>
      <c r="AM288">
        <v>0</v>
      </c>
      <c r="AN288">
        <v>160</v>
      </c>
      <c r="AO288">
        <v>0</v>
      </c>
      <c r="AP288" s="1">
        <v>13</v>
      </c>
    </row>
    <row r="289" spans="1:42" x14ac:dyDescent="0.3">
      <c r="A289" t="s">
        <v>131</v>
      </c>
      <c r="B289" t="s">
        <v>138</v>
      </c>
      <c r="C289" s="4" t="s">
        <v>40</v>
      </c>
      <c r="D289" s="1">
        <v>3768</v>
      </c>
      <c r="E289">
        <v>38</v>
      </c>
      <c r="F289">
        <v>41</v>
      </c>
      <c r="G289" s="1">
        <v>2184</v>
      </c>
      <c r="H289">
        <v>2</v>
      </c>
      <c r="I289">
        <v>0</v>
      </c>
      <c r="J289">
        <v>1</v>
      </c>
      <c r="K289">
        <v>12</v>
      </c>
      <c r="L289">
        <v>0</v>
      </c>
      <c r="M289">
        <v>380</v>
      </c>
      <c r="N289">
        <v>0</v>
      </c>
      <c r="O289">
        <v>136</v>
      </c>
      <c r="P289">
        <v>0</v>
      </c>
      <c r="Q289">
        <v>13</v>
      </c>
      <c r="R289">
        <v>21</v>
      </c>
      <c r="S289">
        <v>42</v>
      </c>
      <c r="T289">
        <v>46</v>
      </c>
      <c r="U289">
        <v>25</v>
      </c>
      <c r="V289">
        <v>8</v>
      </c>
      <c r="W289">
        <v>2</v>
      </c>
      <c r="X289">
        <v>12</v>
      </c>
      <c r="Y289">
        <v>0</v>
      </c>
      <c r="Z289">
        <v>10</v>
      </c>
      <c r="AA289">
        <v>36</v>
      </c>
      <c r="AB289">
        <v>71</v>
      </c>
      <c r="AC289">
        <v>0</v>
      </c>
      <c r="AD289">
        <v>0</v>
      </c>
      <c r="AE289">
        <v>0</v>
      </c>
      <c r="AF289">
        <v>12</v>
      </c>
      <c r="AG289">
        <v>65</v>
      </c>
      <c r="AH289">
        <v>88</v>
      </c>
      <c r="AI289">
        <v>60</v>
      </c>
      <c r="AJ289">
        <v>42</v>
      </c>
      <c r="AK289">
        <v>286</v>
      </c>
      <c r="AL289">
        <v>0</v>
      </c>
      <c r="AM289">
        <v>126</v>
      </c>
      <c r="AN289">
        <v>0</v>
      </c>
      <c r="AO289">
        <v>0</v>
      </c>
      <c r="AP289" s="1">
        <v>9</v>
      </c>
    </row>
    <row r="290" spans="1:42" x14ac:dyDescent="0.3">
      <c r="A290" t="s">
        <v>131</v>
      </c>
      <c r="B290" t="s">
        <v>138</v>
      </c>
      <c r="C290" s="4" t="s">
        <v>43</v>
      </c>
      <c r="D290" s="1">
        <v>1693</v>
      </c>
      <c r="E290">
        <v>17</v>
      </c>
      <c r="F290">
        <v>23</v>
      </c>
      <c r="G290" s="1">
        <v>1055</v>
      </c>
      <c r="H290">
        <v>1</v>
      </c>
      <c r="I290">
        <v>0</v>
      </c>
      <c r="J290">
        <v>1</v>
      </c>
      <c r="K290">
        <v>9</v>
      </c>
      <c r="L290">
        <v>0</v>
      </c>
      <c r="M290">
        <v>95</v>
      </c>
      <c r="N290">
        <v>0</v>
      </c>
      <c r="O290">
        <v>16</v>
      </c>
      <c r="P290">
        <v>0</v>
      </c>
      <c r="Q290">
        <v>8</v>
      </c>
      <c r="R290">
        <v>19</v>
      </c>
      <c r="S290">
        <v>35</v>
      </c>
      <c r="T290">
        <v>41</v>
      </c>
      <c r="U290">
        <v>3</v>
      </c>
      <c r="V290">
        <v>7</v>
      </c>
      <c r="W290">
        <v>1</v>
      </c>
      <c r="X290">
        <v>9</v>
      </c>
      <c r="Y290">
        <v>0</v>
      </c>
      <c r="Z290">
        <v>10</v>
      </c>
      <c r="AA290">
        <v>12</v>
      </c>
      <c r="AB290">
        <v>45</v>
      </c>
      <c r="AC290">
        <v>0</v>
      </c>
      <c r="AD290">
        <v>0</v>
      </c>
      <c r="AE290">
        <v>0</v>
      </c>
      <c r="AF290">
        <v>6</v>
      </c>
      <c r="AG290">
        <v>26</v>
      </c>
      <c r="AH290">
        <v>27</v>
      </c>
      <c r="AI290">
        <v>18</v>
      </c>
      <c r="AJ290">
        <v>25</v>
      </c>
      <c r="AK290">
        <v>159</v>
      </c>
      <c r="AL290">
        <v>0</v>
      </c>
      <c r="AM290">
        <v>23</v>
      </c>
      <c r="AN290">
        <v>0</v>
      </c>
      <c r="AO290">
        <v>0</v>
      </c>
      <c r="AP290" s="1">
        <v>2</v>
      </c>
    </row>
    <row r="291" spans="1:42" x14ac:dyDescent="0.3">
      <c r="A291" t="s">
        <v>131</v>
      </c>
      <c r="B291" t="s">
        <v>138</v>
      </c>
      <c r="C291" s="4" t="s">
        <v>44</v>
      </c>
      <c r="D291" s="1">
        <v>2075</v>
      </c>
      <c r="E291">
        <v>21</v>
      </c>
      <c r="F291">
        <v>18</v>
      </c>
      <c r="G291" s="1">
        <v>1129</v>
      </c>
      <c r="H291">
        <v>1</v>
      </c>
      <c r="I291">
        <v>0</v>
      </c>
      <c r="J291">
        <v>0</v>
      </c>
      <c r="K291">
        <v>3</v>
      </c>
      <c r="L291">
        <v>0</v>
      </c>
      <c r="M291">
        <v>285</v>
      </c>
      <c r="N291">
        <v>0</v>
      </c>
      <c r="O291">
        <v>120</v>
      </c>
      <c r="P291">
        <v>0</v>
      </c>
      <c r="Q291">
        <v>5</v>
      </c>
      <c r="R291">
        <v>2</v>
      </c>
      <c r="S291">
        <v>7</v>
      </c>
      <c r="T291">
        <v>5</v>
      </c>
      <c r="U291">
        <v>22</v>
      </c>
      <c r="V291">
        <v>1</v>
      </c>
      <c r="W291">
        <v>1</v>
      </c>
      <c r="X291">
        <v>3</v>
      </c>
      <c r="Y291">
        <v>0</v>
      </c>
      <c r="Z291">
        <v>0</v>
      </c>
      <c r="AA291">
        <v>24</v>
      </c>
      <c r="AB291">
        <v>26</v>
      </c>
      <c r="AC291">
        <v>0</v>
      </c>
      <c r="AD291">
        <v>0</v>
      </c>
      <c r="AE291">
        <v>0</v>
      </c>
      <c r="AF291">
        <v>6</v>
      </c>
      <c r="AG291">
        <v>39</v>
      </c>
      <c r="AH291">
        <v>61</v>
      </c>
      <c r="AI291">
        <v>42</v>
      </c>
      <c r="AJ291">
        <v>17</v>
      </c>
      <c r="AK291">
        <v>127</v>
      </c>
      <c r="AL291">
        <v>0</v>
      </c>
      <c r="AM291">
        <v>103</v>
      </c>
      <c r="AN291">
        <v>0</v>
      </c>
      <c r="AO291">
        <v>0</v>
      </c>
      <c r="AP291" s="1">
        <v>7</v>
      </c>
    </row>
    <row r="292" spans="1:42" x14ac:dyDescent="0.3">
      <c r="A292" t="s">
        <v>131</v>
      </c>
      <c r="B292" t="s">
        <v>139</v>
      </c>
      <c r="C292" s="4" t="s">
        <v>40</v>
      </c>
      <c r="D292" s="1">
        <v>2419</v>
      </c>
      <c r="E292">
        <v>26</v>
      </c>
      <c r="F292">
        <v>52</v>
      </c>
      <c r="G292">
        <v>906</v>
      </c>
      <c r="H292">
        <v>1</v>
      </c>
      <c r="I292">
        <v>0</v>
      </c>
      <c r="J292">
        <v>0</v>
      </c>
      <c r="K292">
        <v>6</v>
      </c>
      <c r="L292">
        <v>1</v>
      </c>
      <c r="M292">
        <v>392</v>
      </c>
      <c r="N292">
        <v>0</v>
      </c>
      <c r="O292">
        <v>89</v>
      </c>
      <c r="P292">
        <v>0</v>
      </c>
      <c r="Q292">
        <v>15</v>
      </c>
      <c r="R292">
        <v>4</v>
      </c>
      <c r="S292">
        <v>28</v>
      </c>
      <c r="T292">
        <v>8</v>
      </c>
      <c r="U292">
        <v>15</v>
      </c>
      <c r="V292">
        <v>9</v>
      </c>
      <c r="W292">
        <v>20</v>
      </c>
      <c r="X292">
        <v>18</v>
      </c>
      <c r="Y292">
        <v>2</v>
      </c>
      <c r="Z292">
        <v>5</v>
      </c>
      <c r="AA292">
        <v>42</v>
      </c>
      <c r="AB292">
        <v>65</v>
      </c>
      <c r="AC292">
        <v>0</v>
      </c>
      <c r="AD292">
        <v>0</v>
      </c>
      <c r="AE292">
        <v>0</v>
      </c>
      <c r="AF292">
        <v>13</v>
      </c>
      <c r="AG292">
        <v>42</v>
      </c>
      <c r="AH292">
        <v>77</v>
      </c>
      <c r="AI292">
        <v>137</v>
      </c>
      <c r="AJ292">
        <v>25</v>
      </c>
      <c r="AK292">
        <v>266</v>
      </c>
      <c r="AL292">
        <v>1</v>
      </c>
      <c r="AM292">
        <v>145</v>
      </c>
      <c r="AN292">
        <v>0</v>
      </c>
      <c r="AO292">
        <v>0</v>
      </c>
      <c r="AP292" s="1">
        <v>9</v>
      </c>
    </row>
    <row r="293" spans="1:42" x14ac:dyDescent="0.3">
      <c r="A293" t="s">
        <v>131</v>
      </c>
      <c r="B293" t="s">
        <v>139</v>
      </c>
      <c r="C293" s="4" t="s">
        <v>43</v>
      </c>
      <c r="D293" s="1">
        <v>1130</v>
      </c>
      <c r="E293">
        <v>16</v>
      </c>
      <c r="F293">
        <v>25</v>
      </c>
      <c r="G293">
        <v>446</v>
      </c>
      <c r="H293">
        <v>1</v>
      </c>
      <c r="I293">
        <v>0</v>
      </c>
      <c r="J293">
        <v>0</v>
      </c>
      <c r="K293">
        <v>5</v>
      </c>
      <c r="L293">
        <v>1</v>
      </c>
      <c r="M293">
        <v>168</v>
      </c>
      <c r="N293">
        <v>0</v>
      </c>
      <c r="O293">
        <v>12</v>
      </c>
      <c r="P293">
        <v>0</v>
      </c>
      <c r="Q293">
        <v>10</v>
      </c>
      <c r="R293">
        <v>4</v>
      </c>
      <c r="S293">
        <v>22</v>
      </c>
      <c r="T293">
        <v>8</v>
      </c>
      <c r="U293">
        <v>1</v>
      </c>
      <c r="V293">
        <v>7</v>
      </c>
      <c r="W293">
        <v>9</v>
      </c>
      <c r="X293">
        <v>12</v>
      </c>
      <c r="Y293">
        <v>2</v>
      </c>
      <c r="Z293">
        <v>5</v>
      </c>
      <c r="AA293">
        <v>21</v>
      </c>
      <c r="AB293">
        <v>35</v>
      </c>
      <c r="AC293">
        <v>0</v>
      </c>
      <c r="AD293">
        <v>0</v>
      </c>
      <c r="AE293">
        <v>0</v>
      </c>
      <c r="AF293">
        <v>9</v>
      </c>
      <c r="AG293">
        <v>25</v>
      </c>
      <c r="AH293">
        <v>36</v>
      </c>
      <c r="AI293">
        <v>74</v>
      </c>
      <c r="AJ293">
        <v>16</v>
      </c>
      <c r="AK293">
        <v>127</v>
      </c>
      <c r="AL293">
        <v>1</v>
      </c>
      <c r="AM293">
        <v>31</v>
      </c>
      <c r="AN293">
        <v>0</v>
      </c>
      <c r="AO293">
        <v>0</v>
      </c>
      <c r="AP293" s="1">
        <v>1</v>
      </c>
    </row>
    <row r="294" spans="1:42" x14ac:dyDescent="0.3">
      <c r="A294" t="s">
        <v>131</v>
      </c>
      <c r="B294" t="s">
        <v>139</v>
      </c>
      <c r="C294" s="4" t="s">
        <v>44</v>
      </c>
      <c r="D294" s="1">
        <v>1289</v>
      </c>
      <c r="E294">
        <v>10</v>
      </c>
      <c r="F294">
        <v>27</v>
      </c>
      <c r="G294">
        <v>460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224</v>
      </c>
      <c r="N294">
        <v>0</v>
      </c>
      <c r="O294">
        <v>77</v>
      </c>
      <c r="P294">
        <v>0</v>
      </c>
      <c r="Q294">
        <v>5</v>
      </c>
      <c r="R294">
        <v>0</v>
      </c>
      <c r="S294">
        <v>6</v>
      </c>
      <c r="T294">
        <v>0</v>
      </c>
      <c r="U294">
        <v>14</v>
      </c>
      <c r="V294">
        <v>2</v>
      </c>
      <c r="W294">
        <v>11</v>
      </c>
      <c r="X294">
        <v>6</v>
      </c>
      <c r="Y294">
        <v>0</v>
      </c>
      <c r="Z294">
        <v>0</v>
      </c>
      <c r="AA294">
        <v>21</v>
      </c>
      <c r="AB294">
        <v>30</v>
      </c>
      <c r="AC294">
        <v>0</v>
      </c>
      <c r="AD294">
        <v>0</v>
      </c>
      <c r="AE294">
        <v>0</v>
      </c>
      <c r="AF294">
        <v>4</v>
      </c>
      <c r="AG294">
        <v>17</v>
      </c>
      <c r="AH294">
        <v>41</v>
      </c>
      <c r="AI294">
        <v>63</v>
      </c>
      <c r="AJ294">
        <v>9</v>
      </c>
      <c r="AK294">
        <v>139</v>
      </c>
      <c r="AL294">
        <v>0</v>
      </c>
      <c r="AM294">
        <v>114</v>
      </c>
      <c r="AN294">
        <v>0</v>
      </c>
      <c r="AO294">
        <v>0</v>
      </c>
      <c r="AP294" s="1">
        <v>8</v>
      </c>
    </row>
    <row r="295" spans="1:42" x14ac:dyDescent="0.3">
      <c r="A295" t="s">
        <v>131</v>
      </c>
      <c r="B295" t="s">
        <v>140</v>
      </c>
      <c r="C295" s="4" t="s">
        <v>40</v>
      </c>
      <c r="D295" s="1">
        <v>1817</v>
      </c>
      <c r="E295">
        <v>28</v>
      </c>
      <c r="F295">
        <v>23</v>
      </c>
      <c r="G295">
        <v>782</v>
      </c>
      <c r="H295">
        <v>0</v>
      </c>
      <c r="I295">
        <v>0</v>
      </c>
      <c r="J295">
        <v>0</v>
      </c>
      <c r="K295">
        <v>14</v>
      </c>
      <c r="L295">
        <v>0</v>
      </c>
      <c r="M295">
        <v>306</v>
      </c>
      <c r="N295">
        <v>0</v>
      </c>
      <c r="O295">
        <v>33</v>
      </c>
      <c r="P295">
        <v>0</v>
      </c>
      <c r="Q295">
        <v>1</v>
      </c>
      <c r="R295">
        <v>3</v>
      </c>
      <c r="S295">
        <v>38</v>
      </c>
      <c r="T295">
        <v>6</v>
      </c>
      <c r="U295">
        <v>12</v>
      </c>
      <c r="V295">
        <v>2</v>
      </c>
      <c r="W295">
        <v>0</v>
      </c>
      <c r="X295">
        <v>6</v>
      </c>
      <c r="Y295">
        <v>9</v>
      </c>
      <c r="Z295">
        <v>6</v>
      </c>
      <c r="AA295">
        <v>20</v>
      </c>
      <c r="AB295">
        <v>29</v>
      </c>
      <c r="AC295">
        <v>0</v>
      </c>
      <c r="AD295">
        <v>0</v>
      </c>
      <c r="AE295">
        <v>0</v>
      </c>
      <c r="AF295">
        <v>13</v>
      </c>
      <c r="AG295">
        <v>24</v>
      </c>
      <c r="AH295">
        <v>75</v>
      </c>
      <c r="AI295">
        <v>139</v>
      </c>
      <c r="AJ295">
        <v>24</v>
      </c>
      <c r="AK295">
        <v>158</v>
      </c>
      <c r="AL295">
        <v>1</v>
      </c>
      <c r="AM295">
        <v>56</v>
      </c>
      <c r="AN295">
        <v>0</v>
      </c>
      <c r="AO295">
        <v>8</v>
      </c>
      <c r="AP295" s="1">
        <v>1</v>
      </c>
    </row>
    <row r="296" spans="1:42" x14ac:dyDescent="0.3">
      <c r="A296" t="s">
        <v>131</v>
      </c>
      <c r="B296" t="s">
        <v>140</v>
      </c>
      <c r="C296" s="4" t="s">
        <v>43</v>
      </c>
      <c r="D296">
        <v>957</v>
      </c>
      <c r="E296">
        <v>19</v>
      </c>
      <c r="F296">
        <v>13</v>
      </c>
      <c r="G296">
        <v>418</v>
      </c>
      <c r="H296">
        <v>0</v>
      </c>
      <c r="I296">
        <v>0</v>
      </c>
      <c r="J296">
        <v>0</v>
      </c>
      <c r="K296">
        <v>9</v>
      </c>
      <c r="L296">
        <v>0</v>
      </c>
      <c r="M296">
        <v>128</v>
      </c>
      <c r="N296">
        <v>0</v>
      </c>
      <c r="O296">
        <v>7</v>
      </c>
      <c r="P296">
        <v>0</v>
      </c>
      <c r="Q296">
        <v>0</v>
      </c>
      <c r="R296">
        <v>2</v>
      </c>
      <c r="S296">
        <v>35</v>
      </c>
      <c r="T296">
        <v>6</v>
      </c>
      <c r="U296">
        <v>3</v>
      </c>
      <c r="V296">
        <v>2</v>
      </c>
      <c r="W296">
        <v>0</v>
      </c>
      <c r="X296">
        <v>6</v>
      </c>
      <c r="Y296">
        <v>9</v>
      </c>
      <c r="Z296">
        <v>6</v>
      </c>
      <c r="AA296">
        <v>12</v>
      </c>
      <c r="AB296">
        <v>24</v>
      </c>
      <c r="AC296">
        <v>0</v>
      </c>
      <c r="AD296">
        <v>0</v>
      </c>
      <c r="AE296">
        <v>0</v>
      </c>
      <c r="AF296">
        <v>10</v>
      </c>
      <c r="AG296">
        <v>16</v>
      </c>
      <c r="AH296">
        <v>28</v>
      </c>
      <c r="AI296">
        <v>55</v>
      </c>
      <c r="AJ296">
        <v>20</v>
      </c>
      <c r="AK296">
        <v>109</v>
      </c>
      <c r="AL296">
        <v>0</v>
      </c>
      <c r="AM296">
        <v>14</v>
      </c>
      <c r="AN296">
        <v>0</v>
      </c>
      <c r="AO296">
        <v>5</v>
      </c>
      <c r="AP296" s="1">
        <v>1</v>
      </c>
    </row>
    <row r="297" spans="1:42" x14ac:dyDescent="0.3">
      <c r="A297" t="s">
        <v>131</v>
      </c>
      <c r="B297" t="s">
        <v>140</v>
      </c>
      <c r="C297" s="4" t="s">
        <v>44</v>
      </c>
      <c r="D297">
        <v>860</v>
      </c>
      <c r="E297">
        <v>9</v>
      </c>
      <c r="F297">
        <v>10</v>
      </c>
      <c r="G297">
        <v>364</v>
      </c>
      <c r="H297">
        <v>0</v>
      </c>
      <c r="I297">
        <v>0</v>
      </c>
      <c r="J297">
        <v>0</v>
      </c>
      <c r="K297">
        <v>5</v>
      </c>
      <c r="L297">
        <v>0</v>
      </c>
      <c r="M297">
        <v>178</v>
      </c>
      <c r="N297">
        <v>0</v>
      </c>
      <c r="O297">
        <v>26</v>
      </c>
      <c r="P297">
        <v>0</v>
      </c>
      <c r="Q297">
        <v>1</v>
      </c>
      <c r="R297">
        <v>1</v>
      </c>
      <c r="S297">
        <v>3</v>
      </c>
      <c r="T297">
        <v>0</v>
      </c>
      <c r="U297">
        <v>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</v>
      </c>
      <c r="AB297">
        <v>5</v>
      </c>
      <c r="AC297">
        <v>0</v>
      </c>
      <c r="AD297">
        <v>0</v>
      </c>
      <c r="AE297">
        <v>0</v>
      </c>
      <c r="AF297">
        <v>3</v>
      </c>
      <c r="AG297">
        <v>8</v>
      </c>
      <c r="AH297">
        <v>47</v>
      </c>
      <c r="AI297">
        <v>84</v>
      </c>
      <c r="AJ297">
        <v>4</v>
      </c>
      <c r="AK297">
        <v>49</v>
      </c>
      <c r="AL297">
        <v>1</v>
      </c>
      <c r="AM297">
        <v>42</v>
      </c>
      <c r="AN297">
        <v>0</v>
      </c>
      <c r="AO297">
        <v>3</v>
      </c>
      <c r="AP297" s="1">
        <v>0</v>
      </c>
    </row>
    <row r="298" spans="1:42" x14ac:dyDescent="0.3">
      <c r="A298" t="s">
        <v>131</v>
      </c>
      <c r="B298" t="s">
        <v>141</v>
      </c>
      <c r="C298" s="4" t="s">
        <v>40</v>
      </c>
      <c r="D298" s="1">
        <v>1352</v>
      </c>
      <c r="E298">
        <v>24</v>
      </c>
      <c r="F298">
        <v>19</v>
      </c>
      <c r="G298">
        <v>672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183</v>
      </c>
      <c r="N298">
        <v>0</v>
      </c>
      <c r="O298">
        <v>40</v>
      </c>
      <c r="P298">
        <v>0</v>
      </c>
      <c r="Q298">
        <v>2</v>
      </c>
      <c r="R298">
        <v>0</v>
      </c>
      <c r="S298">
        <v>17</v>
      </c>
      <c r="T298">
        <v>0</v>
      </c>
      <c r="U298">
        <v>9</v>
      </c>
      <c r="V298">
        <v>3</v>
      </c>
      <c r="W298">
        <v>0</v>
      </c>
      <c r="X298">
        <v>6</v>
      </c>
      <c r="Y298">
        <v>2</v>
      </c>
      <c r="Z298">
        <v>0</v>
      </c>
      <c r="AA298">
        <v>8</v>
      </c>
      <c r="AB298">
        <v>28</v>
      </c>
      <c r="AC298">
        <v>0</v>
      </c>
      <c r="AD298">
        <v>0</v>
      </c>
      <c r="AE298">
        <v>0</v>
      </c>
      <c r="AF298">
        <v>5</v>
      </c>
      <c r="AG298">
        <v>19</v>
      </c>
      <c r="AH298">
        <v>22</v>
      </c>
      <c r="AI298">
        <v>102</v>
      </c>
      <c r="AJ298">
        <v>20</v>
      </c>
      <c r="AK298">
        <v>116</v>
      </c>
      <c r="AL298">
        <v>0</v>
      </c>
      <c r="AM298">
        <v>51</v>
      </c>
      <c r="AN298">
        <v>0</v>
      </c>
      <c r="AO298">
        <v>0</v>
      </c>
      <c r="AP298" s="1">
        <v>2</v>
      </c>
    </row>
    <row r="299" spans="1:42" x14ac:dyDescent="0.3">
      <c r="A299" t="s">
        <v>131</v>
      </c>
      <c r="B299" t="s">
        <v>141</v>
      </c>
      <c r="C299" s="4" t="s">
        <v>43</v>
      </c>
      <c r="D299">
        <v>672</v>
      </c>
      <c r="E299">
        <v>14</v>
      </c>
      <c r="F299">
        <v>9</v>
      </c>
      <c r="G299">
        <v>350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74</v>
      </c>
      <c r="N299">
        <v>0</v>
      </c>
      <c r="O299">
        <v>10</v>
      </c>
      <c r="P299">
        <v>0</v>
      </c>
      <c r="Q299">
        <v>1</v>
      </c>
      <c r="R299">
        <v>0</v>
      </c>
      <c r="S299">
        <v>14</v>
      </c>
      <c r="T299">
        <v>0</v>
      </c>
      <c r="U299">
        <v>2</v>
      </c>
      <c r="V299">
        <v>3</v>
      </c>
      <c r="W299">
        <v>0</v>
      </c>
      <c r="X299">
        <v>5</v>
      </c>
      <c r="Y299">
        <v>2</v>
      </c>
      <c r="Z299">
        <v>0</v>
      </c>
      <c r="AA299">
        <v>4</v>
      </c>
      <c r="AB299">
        <v>18</v>
      </c>
      <c r="AC299">
        <v>0</v>
      </c>
      <c r="AD299">
        <v>0</v>
      </c>
      <c r="AE299">
        <v>0</v>
      </c>
      <c r="AF299">
        <v>2</v>
      </c>
      <c r="AG299">
        <v>13</v>
      </c>
      <c r="AH299">
        <v>10</v>
      </c>
      <c r="AI299">
        <v>46</v>
      </c>
      <c r="AJ299">
        <v>10</v>
      </c>
      <c r="AK299">
        <v>71</v>
      </c>
      <c r="AL299">
        <v>0</v>
      </c>
      <c r="AM299">
        <v>12</v>
      </c>
      <c r="AN299">
        <v>0</v>
      </c>
      <c r="AO299">
        <v>0</v>
      </c>
      <c r="AP299" s="1">
        <v>1</v>
      </c>
    </row>
    <row r="300" spans="1:42" x14ac:dyDescent="0.3">
      <c r="A300" t="s">
        <v>131</v>
      </c>
      <c r="B300" t="s">
        <v>141</v>
      </c>
      <c r="C300" s="4" t="s">
        <v>44</v>
      </c>
      <c r="D300">
        <v>680</v>
      </c>
      <c r="E300">
        <v>10</v>
      </c>
      <c r="F300">
        <v>10</v>
      </c>
      <c r="G300">
        <v>322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109</v>
      </c>
      <c r="N300">
        <v>0</v>
      </c>
      <c r="O300">
        <v>30</v>
      </c>
      <c r="P300">
        <v>0</v>
      </c>
      <c r="Q300">
        <v>1</v>
      </c>
      <c r="R300">
        <v>0</v>
      </c>
      <c r="S300">
        <v>3</v>
      </c>
      <c r="T300">
        <v>0</v>
      </c>
      <c r="U300">
        <v>7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4</v>
      </c>
      <c r="AB300">
        <v>10</v>
      </c>
      <c r="AC300">
        <v>0</v>
      </c>
      <c r="AD300">
        <v>0</v>
      </c>
      <c r="AE300">
        <v>0</v>
      </c>
      <c r="AF300">
        <v>3</v>
      </c>
      <c r="AG300">
        <v>6</v>
      </c>
      <c r="AH300">
        <v>12</v>
      </c>
      <c r="AI300">
        <v>56</v>
      </c>
      <c r="AJ300">
        <v>10</v>
      </c>
      <c r="AK300">
        <v>45</v>
      </c>
      <c r="AL300">
        <v>0</v>
      </c>
      <c r="AM300">
        <v>39</v>
      </c>
      <c r="AN300">
        <v>0</v>
      </c>
      <c r="AO300">
        <v>0</v>
      </c>
      <c r="AP300" s="1">
        <v>1</v>
      </c>
    </row>
    <row r="301" spans="1:42" x14ac:dyDescent="0.3">
      <c r="A301" t="s">
        <v>131</v>
      </c>
      <c r="B301" t="s">
        <v>142</v>
      </c>
      <c r="C301" s="4" t="s">
        <v>40</v>
      </c>
      <c r="D301" s="1">
        <v>1257</v>
      </c>
      <c r="E301">
        <v>44</v>
      </c>
      <c r="F301">
        <v>16</v>
      </c>
      <c r="G301">
        <v>483</v>
      </c>
      <c r="H301">
        <v>2</v>
      </c>
      <c r="I301">
        <v>0</v>
      </c>
      <c r="J301">
        <v>0</v>
      </c>
      <c r="K301">
        <v>12</v>
      </c>
      <c r="L301">
        <v>1</v>
      </c>
      <c r="M301">
        <v>188</v>
      </c>
      <c r="N301">
        <v>0</v>
      </c>
      <c r="O301">
        <v>39</v>
      </c>
      <c r="P301">
        <v>1</v>
      </c>
      <c r="Q301">
        <v>16</v>
      </c>
      <c r="R301">
        <v>4</v>
      </c>
      <c r="S301">
        <v>12</v>
      </c>
      <c r="T301">
        <v>12</v>
      </c>
      <c r="U301">
        <v>19</v>
      </c>
      <c r="V301">
        <v>4</v>
      </c>
      <c r="W301">
        <v>0</v>
      </c>
      <c r="X301">
        <v>8</v>
      </c>
      <c r="Y301">
        <v>0</v>
      </c>
      <c r="Z301">
        <v>1</v>
      </c>
      <c r="AA301">
        <v>26</v>
      </c>
      <c r="AB301">
        <v>20</v>
      </c>
      <c r="AC301">
        <v>0</v>
      </c>
      <c r="AD301">
        <v>0</v>
      </c>
      <c r="AE301">
        <v>0</v>
      </c>
      <c r="AF301">
        <v>12</v>
      </c>
      <c r="AG301">
        <v>21</v>
      </c>
      <c r="AH301">
        <v>24</v>
      </c>
      <c r="AI301">
        <v>2</v>
      </c>
      <c r="AJ301">
        <v>21</v>
      </c>
      <c r="AK301">
        <v>203</v>
      </c>
      <c r="AL301">
        <v>0</v>
      </c>
      <c r="AM301">
        <v>55</v>
      </c>
      <c r="AN301">
        <v>0</v>
      </c>
      <c r="AO301">
        <v>1</v>
      </c>
      <c r="AP301" s="1">
        <v>10</v>
      </c>
    </row>
    <row r="302" spans="1:42" x14ac:dyDescent="0.3">
      <c r="A302" t="s">
        <v>131</v>
      </c>
      <c r="B302" t="s">
        <v>142</v>
      </c>
      <c r="C302" s="4" t="s">
        <v>43</v>
      </c>
      <c r="D302">
        <v>472</v>
      </c>
      <c r="E302">
        <v>23</v>
      </c>
      <c r="F302">
        <v>12</v>
      </c>
      <c r="G302">
        <v>219</v>
      </c>
      <c r="H302">
        <v>2</v>
      </c>
      <c r="I302">
        <v>0</v>
      </c>
      <c r="J302">
        <v>0</v>
      </c>
      <c r="K302">
        <v>5</v>
      </c>
      <c r="L302">
        <v>0</v>
      </c>
      <c r="M302">
        <v>61</v>
      </c>
      <c r="N302">
        <v>0</v>
      </c>
      <c r="O302">
        <v>6</v>
      </c>
      <c r="P302">
        <v>0</v>
      </c>
      <c r="Q302">
        <v>11</v>
      </c>
      <c r="R302">
        <v>2</v>
      </c>
      <c r="S302">
        <v>9</v>
      </c>
      <c r="T302">
        <v>12</v>
      </c>
      <c r="U302">
        <v>5</v>
      </c>
      <c r="V302">
        <v>3</v>
      </c>
      <c r="W302">
        <v>0</v>
      </c>
      <c r="X302">
        <v>6</v>
      </c>
      <c r="Y302">
        <v>0</v>
      </c>
      <c r="Z302">
        <v>1</v>
      </c>
      <c r="AA302">
        <v>7</v>
      </c>
      <c r="AB302">
        <v>9</v>
      </c>
      <c r="AC302">
        <v>0</v>
      </c>
      <c r="AD302">
        <v>0</v>
      </c>
      <c r="AE302">
        <v>0</v>
      </c>
      <c r="AF302">
        <v>7</v>
      </c>
      <c r="AG302">
        <v>6</v>
      </c>
      <c r="AH302">
        <v>7</v>
      </c>
      <c r="AI302">
        <v>0</v>
      </c>
      <c r="AJ302">
        <v>9</v>
      </c>
      <c r="AK302">
        <v>41</v>
      </c>
      <c r="AL302">
        <v>0</v>
      </c>
      <c r="AM302">
        <v>7</v>
      </c>
      <c r="AN302">
        <v>0</v>
      </c>
      <c r="AO302">
        <v>1</v>
      </c>
      <c r="AP302" s="1">
        <v>1</v>
      </c>
    </row>
    <row r="303" spans="1:42" x14ac:dyDescent="0.3">
      <c r="A303" t="s">
        <v>131</v>
      </c>
      <c r="B303" t="s">
        <v>142</v>
      </c>
      <c r="C303" s="4" t="s">
        <v>44</v>
      </c>
      <c r="D303">
        <v>785</v>
      </c>
      <c r="E303">
        <v>21</v>
      </c>
      <c r="F303">
        <v>4</v>
      </c>
      <c r="G303">
        <v>264</v>
      </c>
      <c r="H303">
        <v>0</v>
      </c>
      <c r="I303">
        <v>0</v>
      </c>
      <c r="J303">
        <v>0</v>
      </c>
      <c r="K303">
        <v>7</v>
      </c>
      <c r="L303">
        <v>1</v>
      </c>
      <c r="M303">
        <v>127</v>
      </c>
      <c r="N303">
        <v>0</v>
      </c>
      <c r="O303">
        <v>33</v>
      </c>
      <c r="P303">
        <v>1</v>
      </c>
      <c r="Q303">
        <v>5</v>
      </c>
      <c r="R303">
        <v>2</v>
      </c>
      <c r="S303">
        <v>3</v>
      </c>
      <c r="T303">
        <v>0</v>
      </c>
      <c r="U303">
        <v>14</v>
      </c>
      <c r="V303">
        <v>1</v>
      </c>
      <c r="W303">
        <v>0</v>
      </c>
      <c r="X303">
        <v>2</v>
      </c>
      <c r="Y303">
        <v>0</v>
      </c>
      <c r="Z303">
        <v>0</v>
      </c>
      <c r="AA303">
        <v>19</v>
      </c>
      <c r="AB303">
        <v>11</v>
      </c>
      <c r="AC303">
        <v>0</v>
      </c>
      <c r="AD303">
        <v>0</v>
      </c>
      <c r="AE303">
        <v>0</v>
      </c>
      <c r="AF303">
        <v>5</v>
      </c>
      <c r="AG303">
        <v>15</v>
      </c>
      <c r="AH303">
        <v>17</v>
      </c>
      <c r="AI303">
        <v>2</v>
      </c>
      <c r="AJ303">
        <v>12</v>
      </c>
      <c r="AK303">
        <v>162</v>
      </c>
      <c r="AL303">
        <v>0</v>
      </c>
      <c r="AM303">
        <v>48</v>
      </c>
      <c r="AN303">
        <v>0</v>
      </c>
      <c r="AO303">
        <v>0</v>
      </c>
      <c r="AP303" s="1">
        <v>9</v>
      </c>
    </row>
    <row r="304" spans="1:42" x14ac:dyDescent="0.3">
      <c r="A304" t="s">
        <v>131</v>
      </c>
      <c r="B304" t="s">
        <v>143</v>
      </c>
      <c r="C304" s="4" t="s">
        <v>40</v>
      </c>
      <c r="D304" s="1">
        <v>1116</v>
      </c>
      <c r="E304">
        <v>33</v>
      </c>
      <c r="F304">
        <v>2</v>
      </c>
      <c r="G304">
        <v>603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112</v>
      </c>
      <c r="N304">
        <v>0</v>
      </c>
      <c r="O304">
        <v>39</v>
      </c>
      <c r="P304">
        <v>0</v>
      </c>
      <c r="Q304">
        <v>0</v>
      </c>
      <c r="R304">
        <v>1</v>
      </c>
      <c r="S304">
        <v>13</v>
      </c>
      <c r="T304">
        <v>0</v>
      </c>
      <c r="U304">
        <v>5</v>
      </c>
      <c r="V304">
        <v>2</v>
      </c>
      <c r="W304">
        <v>0</v>
      </c>
      <c r="X304">
        <v>1</v>
      </c>
      <c r="Y304">
        <v>0</v>
      </c>
      <c r="Z304">
        <v>3</v>
      </c>
      <c r="AA304">
        <v>5</v>
      </c>
      <c r="AB304">
        <v>18</v>
      </c>
      <c r="AC304">
        <v>0</v>
      </c>
      <c r="AD304">
        <v>0</v>
      </c>
      <c r="AE304">
        <v>0</v>
      </c>
      <c r="AF304">
        <v>9</v>
      </c>
      <c r="AG304">
        <v>17</v>
      </c>
      <c r="AH304">
        <v>34</v>
      </c>
      <c r="AI304">
        <v>122</v>
      </c>
      <c r="AJ304">
        <v>17</v>
      </c>
      <c r="AK304">
        <v>80</v>
      </c>
      <c r="AL304">
        <v>0</v>
      </c>
      <c r="AM304">
        <v>0</v>
      </c>
      <c r="AN304">
        <v>0</v>
      </c>
      <c r="AO304">
        <v>0</v>
      </c>
      <c r="AP304" s="1">
        <v>0</v>
      </c>
    </row>
    <row r="305" spans="1:42" x14ac:dyDescent="0.3">
      <c r="A305" t="s">
        <v>131</v>
      </c>
      <c r="B305" t="s">
        <v>143</v>
      </c>
      <c r="C305" s="4" t="s">
        <v>43</v>
      </c>
      <c r="D305">
        <v>522</v>
      </c>
      <c r="E305">
        <v>21</v>
      </c>
      <c r="F305">
        <v>2</v>
      </c>
      <c r="G305">
        <v>288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54</v>
      </c>
      <c r="N305">
        <v>0</v>
      </c>
      <c r="O305">
        <v>8</v>
      </c>
      <c r="P305">
        <v>0</v>
      </c>
      <c r="Q305">
        <v>0</v>
      </c>
      <c r="R305">
        <v>0</v>
      </c>
      <c r="S305">
        <v>10</v>
      </c>
      <c r="T305">
        <v>0</v>
      </c>
      <c r="U305">
        <v>3</v>
      </c>
      <c r="V305">
        <v>1</v>
      </c>
      <c r="W305">
        <v>0</v>
      </c>
      <c r="X305">
        <v>0</v>
      </c>
      <c r="Y305">
        <v>0</v>
      </c>
      <c r="Z305">
        <v>3</v>
      </c>
      <c r="AA305">
        <v>2</v>
      </c>
      <c r="AB305">
        <v>13</v>
      </c>
      <c r="AC305">
        <v>0</v>
      </c>
      <c r="AD305">
        <v>0</v>
      </c>
      <c r="AE305">
        <v>0</v>
      </c>
      <c r="AF305">
        <v>6</v>
      </c>
      <c r="AG305">
        <v>11</v>
      </c>
      <c r="AH305">
        <v>12</v>
      </c>
      <c r="AI305">
        <v>25</v>
      </c>
      <c r="AJ305">
        <v>8</v>
      </c>
      <c r="AK305">
        <v>55</v>
      </c>
      <c r="AL305">
        <v>0</v>
      </c>
      <c r="AM305">
        <v>0</v>
      </c>
      <c r="AN305">
        <v>0</v>
      </c>
      <c r="AO305">
        <v>0</v>
      </c>
      <c r="AP305" s="1">
        <v>0</v>
      </c>
    </row>
    <row r="306" spans="1:42" x14ac:dyDescent="0.3">
      <c r="A306" t="s">
        <v>131</v>
      </c>
      <c r="B306" t="s">
        <v>143</v>
      </c>
      <c r="C306" s="4" t="s">
        <v>44</v>
      </c>
      <c r="D306">
        <v>594</v>
      </c>
      <c r="E306">
        <v>12</v>
      </c>
      <c r="F306">
        <v>0</v>
      </c>
      <c r="G306">
        <v>315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58</v>
      </c>
      <c r="N306">
        <v>0</v>
      </c>
      <c r="O306">
        <v>31</v>
      </c>
      <c r="P306">
        <v>0</v>
      </c>
      <c r="Q306">
        <v>0</v>
      </c>
      <c r="R306">
        <v>1</v>
      </c>
      <c r="S306">
        <v>3</v>
      </c>
      <c r="T306">
        <v>0</v>
      </c>
      <c r="U306">
        <v>2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3</v>
      </c>
      <c r="AB306">
        <v>5</v>
      </c>
      <c r="AC306">
        <v>0</v>
      </c>
      <c r="AD306">
        <v>0</v>
      </c>
      <c r="AE306">
        <v>0</v>
      </c>
      <c r="AF306">
        <v>3</v>
      </c>
      <c r="AG306">
        <v>6</v>
      </c>
      <c r="AH306">
        <v>22</v>
      </c>
      <c r="AI306">
        <v>97</v>
      </c>
      <c r="AJ306">
        <v>9</v>
      </c>
      <c r="AK306">
        <v>25</v>
      </c>
      <c r="AL306">
        <v>0</v>
      </c>
      <c r="AM306">
        <v>0</v>
      </c>
      <c r="AN306">
        <v>0</v>
      </c>
      <c r="AO306">
        <v>0</v>
      </c>
      <c r="AP306" s="1">
        <v>0</v>
      </c>
    </row>
    <row r="307" spans="1:42" x14ac:dyDescent="0.3">
      <c r="A307" t="s">
        <v>131</v>
      </c>
      <c r="B307" t="s">
        <v>144</v>
      </c>
      <c r="C307" s="4" t="s">
        <v>40</v>
      </c>
      <c r="D307">
        <v>851</v>
      </c>
      <c r="E307">
        <v>29</v>
      </c>
      <c r="F307">
        <v>12</v>
      </c>
      <c r="G307">
        <v>280</v>
      </c>
      <c r="H307">
        <v>1</v>
      </c>
      <c r="I307">
        <v>0</v>
      </c>
      <c r="J307">
        <v>0</v>
      </c>
      <c r="K307">
        <v>3</v>
      </c>
      <c r="L307">
        <v>1</v>
      </c>
      <c r="M307">
        <v>143</v>
      </c>
      <c r="N307">
        <v>0</v>
      </c>
      <c r="O307">
        <v>33</v>
      </c>
      <c r="P307">
        <v>0</v>
      </c>
      <c r="Q307">
        <v>4</v>
      </c>
      <c r="R307">
        <v>4</v>
      </c>
      <c r="S307">
        <v>16</v>
      </c>
      <c r="T307">
        <v>4</v>
      </c>
      <c r="U307">
        <v>2</v>
      </c>
      <c r="V307">
        <v>6</v>
      </c>
      <c r="W307">
        <v>0</v>
      </c>
      <c r="X307">
        <v>1</v>
      </c>
      <c r="Y307">
        <v>4</v>
      </c>
      <c r="Z307">
        <v>8</v>
      </c>
      <c r="AA307">
        <v>15</v>
      </c>
      <c r="AB307">
        <v>17</v>
      </c>
      <c r="AC307">
        <v>0</v>
      </c>
      <c r="AD307">
        <v>0</v>
      </c>
      <c r="AE307">
        <v>0</v>
      </c>
      <c r="AF307">
        <v>4</v>
      </c>
      <c r="AG307">
        <v>14</v>
      </c>
      <c r="AH307">
        <v>35</v>
      </c>
      <c r="AI307">
        <v>57</v>
      </c>
      <c r="AJ307">
        <v>21</v>
      </c>
      <c r="AK307">
        <v>86</v>
      </c>
      <c r="AL307">
        <v>1</v>
      </c>
      <c r="AM307">
        <v>44</v>
      </c>
      <c r="AN307">
        <v>0</v>
      </c>
      <c r="AO307">
        <v>2</v>
      </c>
      <c r="AP307" s="1">
        <v>4</v>
      </c>
    </row>
    <row r="308" spans="1:42" x14ac:dyDescent="0.3">
      <c r="A308" t="s">
        <v>131</v>
      </c>
      <c r="B308" t="s">
        <v>144</v>
      </c>
      <c r="C308" s="4" t="s">
        <v>43</v>
      </c>
      <c r="D308">
        <v>400</v>
      </c>
      <c r="E308">
        <v>16</v>
      </c>
      <c r="F308">
        <v>6</v>
      </c>
      <c r="G308">
        <v>131</v>
      </c>
      <c r="H308">
        <v>1</v>
      </c>
      <c r="I308">
        <v>0</v>
      </c>
      <c r="J308">
        <v>0</v>
      </c>
      <c r="K308">
        <v>2</v>
      </c>
      <c r="L308">
        <v>0</v>
      </c>
      <c r="M308">
        <v>56</v>
      </c>
      <c r="N308">
        <v>0</v>
      </c>
      <c r="O308">
        <v>8</v>
      </c>
      <c r="P308">
        <v>0</v>
      </c>
      <c r="Q308">
        <v>1</v>
      </c>
      <c r="R308">
        <v>4</v>
      </c>
      <c r="S308">
        <v>14</v>
      </c>
      <c r="T308">
        <v>4</v>
      </c>
      <c r="U308">
        <v>1</v>
      </c>
      <c r="V308">
        <v>6</v>
      </c>
      <c r="W308">
        <v>0</v>
      </c>
      <c r="X308">
        <v>1</v>
      </c>
      <c r="Y308">
        <v>3</v>
      </c>
      <c r="Z308">
        <v>7</v>
      </c>
      <c r="AA308">
        <v>3</v>
      </c>
      <c r="AB308">
        <v>10</v>
      </c>
      <c r="AC308">
        <v>0</v>
      </c>
      <c r="AD308">
        <v>0</v>
      </c>
      <c r="AE308">
        <v>0</v>
      </c>
      <c r="AF308">
        <v>2</v>
      </c>
      <c r="AG308">
        <v>7</v>
      </c>
      <c r="AH308">
        <v>13</v>
      </c>
      <c r="AI308">
        <v>28</v>
      </c>
      <c r="AJ308">
        <v>14</v>
      </c>
      <c r="AK308">
        <v>43</v>
      </c>
      <c r="AL308">
        <v>1</v>
      </c>
      <c r="AM308">
        <v>16</v>
      </c>
      <c r="AN308">
        <v>0</v>
      </c>
      <c r="AO308">
        <v>2</v>
      </c>
      <c r="AP308" s="1">
        <v>0</v>
      </c>
    </row>
    <row r="309" spans="1:42" x14ac:dyDescent="0.3">
      <c r="A309" t="s">
        <v>131</v>
      </c>
      <c r="B309" t="s">
        <v>144</v>
      </c>
      <c r="C309" s="4" t="s">
        <v>44</v>
      </c>
      <c r="D309">
        <v>451</v>
      </c>
      <c r="E309">
        <v>13</v>
      </c>
      <c r="F309">
        <v>6</v>
      </c>
      <c r="G309">
        <v>149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87</v>
      </c>
      <c r="N309">
        <v>0</v>
      </c>
      <c r="O309">
        <v>25</v>
      </c>
      <c r="P309">
        <v>0</v>
      </c>
      <c r="Q309">
        <v>3</v>
      </c>
      <c r="R309">
        <v>0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12</v>
      </c>
      <c r="AB309">
        <v>7</v>
      </c>
      <c r="AC309">
        <v>0</v>
      </c>
      <c r="AD309">
        <v>0</v>
      </c>
      <c r="AE309">
        <v>0</v>
      </c>
      <c r="AF309">
        <v>2</v>
      </c>
      <c r="AG309">
        <v>7</v>
      </c>
      <c r="AH309">
        <v>22</v>
      </c>
      <c r="AI309">
        <v>29</v>
      </c>
      <c r="AJ309">
        <v>7</v>
      </c>
      <c r="AK309">
        <v>43</v>
      </c>
      <c r="AL309">
        <v>0</v>
      </c>
      <c r="AM309">
        <v>28</v>
      </c>
      <c r="AN309">
        <v>0</v>
      </c>
      <c r="AO309">
        <v>0</v>
      </c>
      <c r="AP309" s="1">
        <v>4</v>
      </c>
    </row>
    <row r="310" spans="1:42" x14ac:dyDescent="0.3">
      <c r="A310" t="s">
        <v>131</v>
      </c>
      <c r="B310" t="s">
        <v>145</v>
      </c>
      <c r="C310" s="4" t="s">
        <v>40</v>
      </c>
      <c r="D310">
        <v>823</v>
      </c>
      <c r="E310">
        <v>17</v>
      </c>
      <c r="F310">
        <v>3</v>
      </c>
      <c r="G310">
        <v>228</v>
      </c>
      <c r="H310">
        <v>1</v>
      </c>
      <c r="I310">
        <v>0</v>
      </c>
      <c r="J310">
        <v>0</v>
      </c>
      <c r="K310">
        <v>4</v>
      </c>
      <c r="L310">
        <v>0</v>
      </c>
      <c r="M310">
        <v>29</v>
      </c>
      <c r="N310">
        <v>0</v>
      </c>
      <c r="O310">
        <v>6</v>
      </c>
      <c r="P310">
        <v>0</v>
      </c>
      <c r="Q310">
        <v>7</v>
      </c>
      <c r="R310">
        <v>0</v>
      </c>
      <c r="S310">
        <v>5</v>
      </c>
      <c r="T310">
        <v>4</v>
      </c>
      <c r="U310">
        <v>4</v>
      </c>
      <c r="V310">
        <v>14</v>
      </c>
      <c r="W310">
        <v>189</v>
      </c>
      <c r="X310">
        <v>0</v>
      </c>
      <c r="Y310">
        <v>1</v>
      </c>
      <c r="Z310">
        <v>1</v>
      </c>
      <c r="AA310">
        <v>4</v>
      </c>
      <c r="AB310">
        <v>35</v>
      </c>
      <c r="AC310">
        <v>0</v>
      </c>
      <c r="AD310">
        <v>0</v>
      </c>
      <c r="AE310">
        <v>0</v>
      </c>
      <c r="AF310">
        <v>0</v>
      </c>
      <c r="AG310">
        <v>28</v>
      </c>
      <c r="AH310">
        <v>18</v>
      </c>
      <c r="AI310">
        <v>17</v>
      </c>
      <c r="AJ310">
        <v>28</v>
      </c>
      <c r="AK310">
        <v>172</v>
      </c>
      <c r="AL310">
        <v>0</v>
      </c>
      <c r="AM310">
        <v>7</v>
      </c>
      <c r="AN310">
        <v>0</v>
      </c>
      <c r="AO310">
        <v>0</v>
      </c>
      <c r="AP310" s="1">
        <v>1</v>
      </c>
    </row>
    <row r="311" spans="1:42" x14ac:dyDescent="0.3">
      <c r="A311" t="s">
        <v>131</v>
      </c>
      <c r="B311" t="s">
        <v>145</v>
      </c>
      <c r="C311" s="4" t="s">
        <v>43</v>
      </c>
      <c r="D311">
        <v>528</v>
      </c>
      <c r="E311">
        <v>8</v>
      </c>
      <c r="F311">
        <v>3</v>
      </c>
      <c r="G311">
        <v>139</v>
      </c>
      <c r="H311">
        <v>1</v>
      </c>
      <c r="I311">
        <v>0</v>
      </c>
      <c r="J311">
        <v>0</v>
      </c>
      <c r="K311">
        <v>4</v>
      </c>
      <c r="L311">
        <v>0</v>
      </c>
      <c r="M311">
        <v>17</v>
      </c>
      <c r="N311">
        <v>0</v>
      </c>
      <c r="O311">
        <v>1</v>
      </c>
      <c r="P311">
        <v>0</v>
      </c>
      <c r="Q311">
        <v>6</v>
      </c>
      <c r="R311">
        <v>0</v>
      </c>
      <c r="S311">
        <v>5</v>
      </c>
      <c r="T311">
        <v>4</v>
      </c>
      <c r="U311">
        <v>2</v>
      </c>
      <c r="V311">
        <v>12</v>
      </c>
      <c r="W311">
        <v>84</v>
      </c>
      <c r="X311">
        <v>0</v>
      </c>
      <c r="Y311">
        <v>1</v>
      </c>
      <c r="Z311">
        <v>1</v>
      </c>
      <c r="AA311">
        <v>3</v>
      </c>
      <c r="AB311">
        <v>24</v>
      </c>
      <c r="AC311">
        <v>0</v>
      </c>
      <c r="AD311">
        <v>0</v>
      </c>
      <c r="AE311">
        <v>0</v>
      </c>
      <c r="AF311">
        <v>0</v>
      </c>
      <c r="AG311">
        <v>21</v>
      </c>
      <c r="AH311">
        <v>10</v>
      </c>
      <c r="AI311">
        <v>11</v>
      </c>
      <c r="AJ311">
        <v>26</v>
      </c>
      <c r="AK311">
        <v>142</v>
      </c>
      <c r="AL311">
        <v>0</v>
      </c>
      <c r="AM311">
        <v>3</v>
      </c>
      <c r="AN311">
        <v>0</v>
      </c>
      <c r="AO311">
        <v>0</v>
      </c>
      <c r="AP311" s="1">
        <v>0</v>
      </c>
    </row>
    <row r="312" spans="1:42" x14ac:dyDescent="0.3">
      <c r="A312" t="s">
        <v>131</v>
      </c>
      <c r="B312" t="s">
        <v>145</v>
      </c>
      <c r="C312" s="4" t="s">
        <v>44</v>
      </c>
      <c r="D312">
        <v>295</v>
      </c>
      <c r="E312">
        <v>9</v>
      </c>
      <c r="F312">
        <v>0</v>
      </c>
      <c r="G312">
        <v>89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12</v>
      </c>
      <c r="N312">
        <v>0</v>
      </c>
      <c r="O312">
        <v>5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2</v>
      </c>
      <c r="V312">
        <v>2</v>
      </c>
      <c r="W312">
        <v>105</v>
      </c>
      <c r="X312">
        <v>0</v>
      </c>
      <c r="Y312">
        <v>0</v>
      </c>
      <c r="Z312">
        <v>0</v>
      </c>
      <c r="AA312">
        <v>1</v>
      </c>
      <c r="AB312">
        <v>11</v>
      </c>
      <c r="AC312">
        <v>0</v>
      </c>
      <c r="AD312">
        <v>0</v>
      </c>
      <c r="AE312">
        <v>0</v>
      </c>
      <c r="AF312">
        <v>0</v>
      </c>
      <c r="AG312">
        <v>7</v>
      </c>
      <c r="AH312">
        <v>8</v>
      </c>
      <c r="AI312">
        <v>6</v>
      </c>
      <c r="AJ312">
        <v>2</v>
      </c>
      <c r="AK312">
        <v>30</v>
      </c>
      <c r="AL312">
        <v>0</v>
      </c>
      <c r="AM312">
        <v>4</v>
      </c>
      <c r="AN312">
        <v>0</v>
      </c>
      <c r="AO312">
        <v>0</v>
      </c>
      <c r="AP312" s="1">
        <v>1</v>
      </c>
    </row>
    <row r="313" spans="1:42" x14ac:dyDescent="0.3">
      <c r="A313" t="s">
        <v>131</v>
      </c>
      <c r="B313" t="s">
        <v>146</v>
      </c>
      <c r="C313" s="4" t="s">
        <v>40</v>
      </c>
      <c r="D313">
        <v>661</v>
      </c>
      <c r="E313">
        <v>36</v>
      </c>
      <c r="F313">
        <v>6</v>
      </c>
      <c r="G313">
        <v>211</v>
      </c>
      <c r="H313">
        <v>1</v>
      </c>
      <c r="I313">
        <v>0</v>
      </c>
      <c r="J313">
        <v>1</v>
      </c>
      <c r="K313">
        <v>9</v>
      </c>
      <c r="L313">
        <v>0</v>
      </c>
      <c r="M313">
        <v>142</v>
      </c>
      <c r="N313">
        <v>0</v>
      </c>
      <c r="O313">
        <v>14</v>
      </c>
      <c r="P313">
        <v>0</v>
      </c>
      <c r="Q313">
        <v>1</v>
      </c>
      <c r="R313">
        <v>1</v>
      </c>
      <c r="S313">
        <v>34</v>
      </c>
      <c r="T313">
        <v>7</v>
      </c>
      <c r="U313">
        <v>1</v>
      </c>
      <c r="V313">
        <v>1</v>
      </c>
      <c r="W313">
        <v>0</v>
      </c>
      <c r="X313">
        <v>2</v>
      </c>
      <c r="Y313">
        <v>1</v>
      </c>
      <c r="Z313">
        <v>1</v>
      </c>
      <c r="AA313">
        <v>2</v>
      </c>
      <c r="AB313">
        <v>22</v>
      </c>
      <c r="AC313">
        <v>0</v>
      </c>
      <c r="AD313">
        <v>0</v>
      </c>
      <c r="AE313">
        <v>0</v>
      </c>
      <c r="AF313">
        <v>4</v>
      </c>
      <c r="AG313">
        <v>5</v>
      </c>
      <c r="AH313">
        <v>42</v>
      </c>
      <c r="AI313">
        <v>40</v>
      </c>
      <c r="AJ313">
        <v>5</v>
      </c>
      <c r="AK313">
        <v>47</v>
      </c>
      <c r="AL313">
        <v>1</v>
      </c>
      <c r="AM313">
        <v>23</v>
      </c>
      <c r="AN313">
        <v>0</v>
      </c>
      <c r="AO313">
        <v>0</v>
      </c>
      <c r="AP313" s="1">
        <v>1</v>
      </c>
    </row>
    <row r="314" spans="1:42" x14ac:dyDescent="0.3">
      <c r="A314" t="s">
        <v>131</v>
      </c>
      <c r="B314" t="s">
        <v>146</v>
      </c>
      <c r="C314" s="4" t="s">
        <v>43</v>
      </c>
      <c r="D314">
        <v>382</v>
      </c>
      <c r="E314">
        <v>19</v>
      </c>
      <c r="F314">
        <v>4</v>
      </c>
      <c r="G314">
        <v>119</v>
      </c>
      <c r="H314">
        <v>0</v>
      </c>
      <c r="I314">
        <v>0</v>
      </c>
      <c r="J314">
        <v>1</v>
      </c>
      <c r="K314">
        <v>7</v>
      </c>
      <c r="L314">
        <v>0</v>
      </c>
      <c r="M314">
        <v>81</v>
      </c>
      <c r="N314">
        <v>0</v>
      </c>
      <c r="O314">
        <v>4</v>
      </c>
      <c r="P314">
        <v>0</v>
      </c>
      <c r="Q314">
        <v>0</v>
      </c>
      <c r="R314">
        <v>1</v>
      </c>
      <c r="S314">
        <v>30</v>
      </c>
      <c r="T314">
        <v>7</v>
      </c>
      <c r="U314">
        <v>0</v>
      </c>
      <c r="V314">
        <v>1</v>
      </c>
      <c r="W314">
        <v>0</v>
      </c>
      <c r="X314">
        <v>2</v>
      </c>
      <c r="Y314">
        <v>0</v>
      </c>
      <c r="Z314">
        <v>1</v>
      </c>
      <c r="AA314">
        <v>1</v>
      </c>
      <c r="AB314">
        <v>15</v>
      </c>
      <c r="AC314">
        <v>0</v>
      </c>
      <c r="AD314">
        <v>0</v>
      </c>
      <c r="AE314">
        <v>0</v>
      </c>
      <c r="AF314">
        <v>3</v>
      </c>
      <c r="AG314">
        <v>2</v>
      </c>
      <c r="AH314">
        <v>20</v>
      </c>
      <c r="AI314">
        <v>16</v>
      </c>
      <c r="AJ314">
        <v>4</v>
      </c>
      <c r="AK314">
        <v>33</v>
      </c>
      <c r="AL314">
        <v>1</v>
      </c>
      <c r="AM314">
        <v>9</v>
      </c>
      <c r="AN314">
        <v>0</v>
      </c>
      <c r="AO314">
        <v>0</v>
      </c>
      <c r="AP314" s="1">
        <v>1</v>
      </c>
    </row>
    <row r="315" spans="1:42" x14ac:dyDescent="0.3">
      <c r="A315" t="s">
        <v>131</v>
      </c>
      <c r="B315" t="s">
        <v>146</v>
      </c>
      <c r="C315" s="4" t="s">
        <v>44</v>
      </c>
      <c r="D315">
        <v>279</v>
      </c>
      <c r="E315">
        <v>17</v>
      </c>
      <c r="F315">
        <v>2</v>
      </c>
      <c r="G315">
        <v>92</v>
      </c>
      <c r="H315">
        <v>1</v>
      </c>
      <c r="I315">
        <v>0</v>
      </c>
      <c r="J315">
        <v>0</v>
      </c>
      <c r="K315">
        <v>2</v>
      </c>
      <c r="L315">
        <v>0</v>
      </c>
      <c r="M315">
        <v>61</v>
      </c>
      <c r="N315">
        <v>0</v>
      </c>
      <c r="O315">
        <v>10</v>
      </c>
      <c r="P315">
        <v>0</v>
      </c>
      <c r="Q315">
        <v>1</v>
      </c>
      <c r="R315">
        <v>0</v>
      </c>
      <c r="S315">
        <v>4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7</v>
      </c>
      <c r="AC315">
        <v>0</v>
      </c>
      <c r="AD315">
        <v>0</v>
      </c>
      <c r="AE315">
        <v>0</v>
      </c>
      <c r="AF315">
        <v>1</v>
      </c>
      <c r="AG315">
        <v>3</v>
      </c>
      <c r="AH315">
        <v>22</v>
      </c>
      <c r="AI315">
        <v>24</v>
      </c>
      <c r="AJ315">
        <v>1</v>
      </c>
      <c r="AK315">
        <v>14</v>
      </c>
      <c r="AL315">
        <v>0</v>
      </c>
      <c r="AM315">
        <v>14</v>
      </c>
      <c r="AN315">
        <v>0</v>
      </c>
      <c r="AO315">
        <v>0</v>
      </c>
      <c r="AP315" s="1">
        <v>0</v>
      </c>
    </row>
    <row r="316" spans="1:42" x14ac:dyDescent="0.3">
      <c r="A316" t="s">
        <v>131</v>
      </c>
      <c r="B316" t="s">
        <v>147</v>
      </c>
      <c r="C316" s="4" t="s">
        <v>40</v>
      </c>
      <c r="D316">
        <v>655</v>
      </c>
      <c r="E316">
        <v>27</v>
      </c>
      <c r="F316">
        <v>3</v>
      </c>
      <c r="G316">
        <v>260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135</v>
      </c>
      <c r="N316">
        <v>0</v>
      </c>
      <c r="O316">
        <v>27</v>
      </c>
      <c r="P316">
        <v>0</v>
      </c>
      <c r="Q316">
        <v>0</v>
      </c>
      <c r="R316">
        <v>0</v>
      </c>
      <c r="S316">
        <v>15</v>
      </c>
      <c r="T316">
        <v>24</v>
      </c>
      <c r="U316">
        <v>7</v>
      </c>
      <c r="V316">
        <v>2</v>
      </c>
      <c r="W316">
        <v>0</v>
      </c>
      <c r="X316">
        <v>0</v>
      </c>
      <c r="Y316">
        <v>1</v>
      </c>
      <c r="Z316">
        <v>0</v>
      </c>
      <c r="AA316">
        <v>4</v>
      </c>
      <c r="AB316">
        <v>10</v>
      </c>
      <c r="AC316">
        <v>0</v>
      </c>
      <c r="AD316">
        <v>0</v>
      </c>
      <c r="AE316">
        <v>0</v>
      </c>
      <c r="AF316">
        <v>2</v>
      </c>
      <c r="AG316">
        <v>5</v>
      </c>
      <c r="AH316">
        <v>23</v>
      </c>
      <c r="AI316">
        <v>67</v>
      </c>
      <c r="AJ316">
        <v>3</v>
      </c>
      <c r="AK316">
        <v>38</v>
      </c>
      <c r="AL316">
        <v>0</v>
      </c>
      <c r="AM316">
        <v>0</v>
      </c>
      <c r="AN316">
        <v>0</v>
      </c>
      <c r="AO316">
        <v>0</v>
      </c>
      <c r="AP316" s="1">
        <v>1</v>
      </c>
    </row>
    <row r="317" spans="1:42" x14ac:dyDescent="0.3">
      <c r="A317" t="s">
        <v>131</v>
      </c>
      <c r="B317" t="s">
        <v>147</v>
      </c>
      <c r="C317" s="4" t="s">
        <v>43</v>
      </c>
      <c r="D317">
        <v>318</v>
      </c>
      <c r="E317">
        <v>13</v>
      </c>
      <c r="F317">
        <v>2</v>
      </c>
      <c r="G317">
        <v>145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47</v>
      </c>
      <c r="N317">
        <v>0</v>
      </c>
      <c r="O317">
        <v>4</v>
      </c>
      <c r="P317">
        <v>0</v>
      </c>
      <c r="Q317">
        <v>0</v>
      </c>
      <c r="R317">
        <v>0</v>
      </c>
      <c r="S317">
        <v>12</v>
      </c>
      <c r="T317">
        <v>21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2</v>
      </c>
      <c r="AB317">
        <v>7</v>
      </c>
      <c r="AC317">
        <v>0</v>
      </c>
      <c r="AD317">
        <v>0</v>
      </c>
      <c r="AE317">
        <v>0</v>
      </c>
      <c r="AF317">
        <v>2</v>
      </c>
      <c r="AG317">
        <v>2</v>
      </c>
      <c r="AH317">
        <v>11</v>
      </c>
      <c r="AI317">
        <v>20</v>
      </c>
      <c r="AJ317">
        <v>2</v>
      </c>
      <c r="AK317">
        <v>25</v>
      </c>
      <c r="AL317">
        <v>0</v>
      </c>
      <c r="AM317">
        <v>0</v>
      </c>
      <c r="AN317">
        <v>0</v>
      </c>
      <c r="AO317">
        <v>0</v>
      </c>
      <c r="AP317" s="1">
        <v>0</v>
      </c>
    </row>
    <row r="318" spans="1:42" x14ac:dyDescent="0.3">
      <c r="A318" t="s">
        <v>131</v>
      </c>
      <c r="B318" t="s">
        <v>147</v>
      </c>
      <c r="C318" s="4" t="s">
        <v>44</v>
      </c>
      <c r="D318">
        <v>337</v>
      </c>
      <c r="E318">
        <v>14</v>
      </c>
      <c r="F318">
        <v>1</v>
      </c>
      <c r="G318">
        <v>115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88</v>
      </c>
      <c r="N318">
        <v>0</v>
      </c>
      <c r="O318">
        <v>23</v>
      </c>
      <c r="P318">
        <v>0</v>
      </c>
      <c r="Q318">
        <v>0</v>
      </c>
      <c r="R318">
        <v>0</v>
      </c>
      <c r="S318">
        <v>3</v>
      </c>
      <c r="T318">
        <v>3</v>
      </c>
      <c r="U318">
        <v>7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3</v>
      </c>
      <c r="AC318">
        <v>0</v>
      </c>
      <c r="AD318">
        <v>0</v>
      </c>
      <c r="AE318">
        <v>0</v>
      </c>
      <c r="AF318">
        <v>0</v>
      </c>
      <c r="AG318">
        <v>3</v>
      </c>
      <c r="AH318">
        <v>12</v>
      </c>
      <c r="AI318">
        <v>47</v>
      </c>
      <c r="AJ318">
        <v>1</v>
      </c>
      <c r="AK318">
        <v>13</v>
      </c>
      <c r="AL318">
        <v>0</v>
      </c>
      <c r="AM318">
        <v>0</v>
      </c>
      <c r="AN318">
        <v>0</v>
      </c>
      <c r="AO318">
        <v>0</v>
      </c>
      <c r="AP318" s="1">
        <v>1</v>
      </c>
    </row>
    <row r="319" spans="1:42" x14ac:dyDescent="0.3">
      <c r="A319" t="s">
        <v>131</v>
      </c>
      <c r="B319" t="s">
        <v>148</v>
      </c>
      <c r="C319" s="4" t="s">
        <v>40</v>
      </c>
      <c r="D319">
        <v>633</v>
      </c>
      <c r="E319">
        <v>12</v>
      </c>
      <c r="F319">
        <v>0</v>
      </c>
      <c r="G319">
        <v>341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115</v>
      </c>
      <c r="N319">
        <v>0</v>
      </c>
      <c r="O319">
        <v>17</v>
      </c>
      <c r="P319">
        <v>0</v>
      </c>
      <c r="Q319">
        <v>1</v>
      </c>
      <c r="R319">
        <v>3</v>
      </c>
      <c r="S319">
        <v>7</v>
      </c>
      <c r="T319">
        <v>28</v>
      </c>
      <c r="U319">
        <v>6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3</v>
      </c>
      <c r="AB319">
        <v>12</v>
      </c>
      <c r="AC319">
        <v>0</v>
      </c>
      <c r="AD319">
        <v>0</v>
      </c>
      <c r="AE319">
        <v>0</v>
      </c>
      <c r="AF319">
        <v>3</v>
      </c>
      <c r="AG319">
        <v>9</v>
      </c>
      <c r="AH319">
        <v>8</v>
      </c>
      <c r="AI319">
        <v>4</v>
      </c>
      <c r="AJ319">
        <v>10</v>
      </c>
      <c r="AK319">
        <v>51</v>
      </c>
      <c r="AL319">
        <v>0</v>
      </c>
      <c r="AM319">
        <v>0</v>
      </c>
      <c r="AN319">
        <v>0</v>
      </c>
      <c r="AO319">
        <v>0</v>
      </c>
      <c r="AP319" s="1">
        <v>1</v>
      </c>
    </row>
    <row r="320" spans="1:42" x14ac:dyDescent="0.3">
      <c r="A320" t="s">
        <v>131</v>
      </c>
      <c r="B320" t="s">
        <v>148</v>
      </c>
      <c r="C320" s="4" t="s">
        <v>43</v>
      </c>
      <c r="D320">
        <v>303</v>
      </c>
      <c r="E320">
        <v>7</v>
      </c>
      <c r="F320">
        <v>0</v>
      </c>
      <c r="G320">
        <v>162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45</v>
      </c>
      <c r="N320">
        <v>0</v>
      </c>
      <c r="O320">
        <v>4</v>
      </c>
      <c r="P320">
        <v>0</v>
      </c>
      <c r="Q320">
        <v>0</v>
      </c>
      <c r="R320">
        <v>2</v>
      </c>
      <c r="S320">
        <v>5</v>
      </c>
      <c r="T320">
        <v>27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3</v>
      </c>
      <c r="AB320">
        <v>4</v>
      </c>
      <c r="AC320">
        <v>0</v>
      </c>
      <c r="AD320">
        <v>0</v>
      </c>
      <c r="AE320">
        <v>0</v>
      </c>
      <c r="AF320">
        <v>1</v>
      </c>
      <c r="AG320">
        <v>4</v>
      </c>
      <c r="AH320">
        <v>4</v>
      </c>
      <c r="AI320">
        <v>1</v>
      </c>
      <c r="AJ320">
        <v>6</v>
      </c>
      <c r="AK320">
        <v>25</v>
      </c>
      <c r="AL320">
        <v>0</v>
      </c>
      <c r="AM320">
        <v>0</v>
      </c>
      <c r="AN320">
        <v>0</v>
      </c>
      <c r="AO320">
        <v>0</v>
      </c>
      <c r="AP320" s="1">
        <v>0</v>
      </c>
    </row>
    <row r="321" spans="1:42" x14ac:dyDescent="0.3">
      <c r="A321" t="s">
        <v>131</v>
      </c>
      <c r="B321" t="s">
        <v>148</v>
      </c>
      <c r="C321" s="4" t="s">
        <v>44</v>
      </c>
      <c r="D321">
        <v>330</v>
      </c>
      <c r="E321">
        <v>5</v>
      </c>
      <c r="F321">
        <v>0</v>
      </c>
      <c r="G321">
        <v>179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70</v>
      </c>
      <c r="N321">
        <v>0</v>
      </c>
      <c r="O321">
        <v>13</v>
      </c>
      <c r="P321">
        <v>0</v>
      </c>
      <c r="Q321">
        <v>1</v>
      </c>
      <c r="R321">
        <v>1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8</v>
      </c>
      <c r="AC321">
        <v>0</v>
      </c>
      <c r="AD321">
        <v>0</v>
      </c>
      <c r="AE321">
        <v>0</v>
      </c>
      <c r="AF321">
        <v>2</v>
      </c>
      <c r="AG321">
        <v>5</v>
      </c>
      <c r="AH321">
        <v>4</v>
      </c>
      <c r="AI321">
        <v>3</v>
      </c>
      <c r="AJ321">
        <v>4</v>
      </c>
      <c r="AK321">
        <v>26</v>
      </c>
      <c r="AL321">
        <v>0</v>
      </c>
      <c r="AM321">
        <v>0</v>
      </c>
      <c r="AN321">
        <v>0</v>
      </c>
      <c r="AO321">
        <v>0</v>
      </c>
      <c r="AP321" s="1">
        <v>1</v>
      </c>
    </row>
    <row r="322" spans="1:42" x14ac:dyDescent="0.3">
      <c r="A322" t="s">
        <v>131</v>
      </c>
      <c r="B322" t="s">
        <v>149</v>
      </c>
      <c r="C322" s="4" t="s">
        <v>40</v>
      </c>
      <c r="D322">
        <v>627</v>
      </c>
      <c r="E322">
        <v>26</v>
      </c>
      <c r="F322">
        <v>2</v>
      </c>
      <c r="G322">
        <v>291</v>
      </c>
      <c r="H322">
        <v>0</v>
      </c>
      <c r="I322">
        <v>0</v>
      </c>
      <c r="J322">
        <v>0</v>
      </c>
      <c r="K322">
        <v>3</v>
      </c>
      <c r="L322">
        <v>1</v>
      </c>
      <c r="M322">
        <v>65</v>
      </c>
      <c r="N322">
        <v>0</v>
      </c>
      <c r="O322">
        <v>16</v>
      </c>
      <c r="P322">
        <v>0</v>
      </c>
      <c r="Q322">
        <v>3</v>
      </c>
      <c r="R322">
        <v>3</v>
      </c>
      <c r="S322">
        <v>10</v>
      </c>
      <c r="T322">
        <v>1</v>
      </c>
      <c r="U322">
        <v>5</v>
      </c>
      <c r="V322">
        <v>4</v>
      </c>
      <c r="W322">
        <v>0</v>
      </c>
      <c r="X322">
        <v>1</v>
      </c>
      <c r="Y322">
        <v>1</v>
      </c>
      <c r="Z322">
        <v>3</v>
      </c>
      <c r="AA322">
        <v>4</v>
      </c>
      <c r="AB322">
        <v>12</v>
      </c>
      <c r="AC322">
        <v>0</v>
      </c>
      <c r="AD322">
        <v>0</v>
      </c>
      <c r="AE322">
        <v>0</v>
      </c>
      <c r="AF322">
        <v>1</v>
      </c>
      <c r="AG322">
        <v>8</v>
      </c>
      <c r="AH322">
        <v>4</v>
      </c>
      <c r="AI322">
        <v>72</v>
      </c>
      <c r="AJ322">
        <v>25</v>
      </c>
      <c r="AK322">
        <v>42</v>
      </c>
      <c r="AL322">
        <v>0</v>
      </c>
      <c r="AM322">
        <v>24</v>
      </c>
      <c r="AN322">
        <v>0</v>
      </c>
      <c r="AO322">
        <v>0</v>
      </c>
      <c r="AP322" s="1">
        <v>0</v>
      </c>
    </row>
    <row r="323" spans="1:42" x14ac:dyDescent="0.3">
      <c r="A323" t="s">
        <v>131</v>
      </c>
      <c r="B323" t="s">
        <v>149</v>
      </c>
      <c r="C323" s="4" t="s">
        <v>43</v>
      </c>
      <c r="D323">
        <v>286</v>
      </c>
      <c r="E323">
        <v>10</v>
      </c>
      <c r="F323">
        <v>1</v>
      </c>
      <c r="G323">
        <v>133</v>
      </c>
      <c r="H323">
        <v>0</v>
      </c>
      <c r="I323">
        <v>0</v>
      </c>
      <c r="J323">
        <v>0</v>
      </c>
      <c r="K323">
        <v>3</v>
      </c>
      <c r="L323">
        <v>1</v>
      </c>
      <c r="M323">
        <v>27</v>
      </c>
      <c r="N323">
        <v>0</v>
      </c>
      <c r="O323">
        <v>3</v>
      </c>
      <c r="P323">
        <v>0</v>
      </c>
      <c r="Q323">
        <v>2</v>
      </c>
      <c r="R323">
        <v>3</v>
      </c>
      <c r="S323">
        <v>8</v>
      </c>
      <c r="T323">
        <v>0</v>
      </c>
      <c r="U323">
        <v>1</v>
      </c>
      <c r="V323">
        <v>4</v>
      </c>
      <c r="W323">
        <v>0</v>
      </c>
      <c r="X323">
        <v>1</v>
      </c>
      <c r="Y323">
        <v>1</v>
      </c>
      <c r="Z323">
        <v>3</v>
      </c>
      <c r="AA323">
        <v>0</v>
      </c>
      <c r="AB323">
        <v>8</v>
      </c>
      <c r="AC323">
        <v>0</v>
      </c>
      <c r="AD323">
        <v>0</v>
      </c>
      <c r="AE323">
        <v>0</v>
      </c>
      <c r="AF323">
        <v>1</v>
      </c>
      <c r="AG323">
        <v>5</v>
      </c>
      <c r="AH323">
        <v>0</v>
      </c>
      <c r="AI323">
        <v>27</v>
      </c>
      <c r="AJ323">
        <v>14</v>
      </c>
      <c r="AK323">
        <v>23</v>
      </c>
      <c r="AL323">
        <v>0</v>
      </c>
      <c r="AM323">
        <v>7</v>
      </c>
      <c r="AN323">
        <v>0</v>
      </c>
      <c r="AO323">
        <v>0</v>
      </c>
      <c r="AP323" s="1">
        <v>0</v>
      </c>
    </row>
    <row r="324" spans="1:42" x14ac:dyDescent="0.3">
      <c r="A324" t="s">
        <v>131</v>
      </c>
      <c r="B324" t="s">
        <v>149</v>
      </c>
      <c r="C324" s="4" t="s">
        <v>44</v>
      </c>
      <c r="D324">
        <v>341</v>
      </c>
      <c r="E324">
        <v>16</v>
      </c>
      <c r="F324">
        <v>1</v>
      </c>
      <c r="G324">
        <v>158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38</v>
      </c>
      <c r="N324">
        <v>0</v>
      </c>
      <c r="O324">
        <v>13</v>
      </c>
      <c r="P324">
        <v>0</v>
      </c>
      <c r="Q324">
        <v>1</v>
      </c>
      <c r="R324">
        <v>0</v>
      </c>
      <c r="S324">
        <v>2</v>
      </c>
      <c r="T324">
        <v>1</v>
      </c>
      <c r="U324">
        <v>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4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4</v>
      </c>
      <c r="AI324">
        <v>45</v>
      </c>
      <c r="AJ324">
        <v>11</v>
      </c>
      <c r="AK324">
        <v>19</v>
      </c>
      <c r="AL324">
        <v>0</v>
      </c>
      <c r="AM324">
        <v>17</v>
      </c>
      <c r="AN324">
        <v>0</v>
      </c>
      <c r="AO324">
        <v>0</v>
      </c>
      <c r="AP324" s="1">
        <v>0</v>
      </c>
    </row>
    <row r="325" spans="1:42" x14ac:dyDescent="0.3">
      <c r="A325" t="s">
        <v>131</v>
      </c>
      <c r="B325" t="s">
        <v>150</v>
      </c>
      <c r="C325" s="4" t="s">
        <v>40</v>
      </c>
      <c r="D325">
        <v>575</v>
      </c>
      <c r="E325">
        <v>24</v>
      </c>
      <c r="F325">
        <v>14</v>
      </c>
      <c r="G325">
        <v>217</v>
      </c>
      <c r="H325">
        <v>5</v>
      </c>
      <c r="I325">
        <v>0</v>
      </c>
      <c r="J325">
        <v>1</v>
      </c>
      <c r="K325">
        <v>2</v>
      </c>
      <c r="L325">
        <v>0</v>
      </c>
      <c r="M325">
        <v>65</v>
      </c>
      <c r="N325">
        <v>1</v>
      </c>
      <c r="O325">
        <v>22</v>
      </c>
      <c r="P325">
        <v>0</v>
      </c>
      <c r="Q325">
        <v>0</v>
      </c>
      <c r="R325">
        <v>0</v>
      </c>
      <c r="S325">
        <v>5</v>
      </c>
      <c r="T325">
        <v>28</v>
      </c>
      <c r="U325">
        <v>6</v>
      </c>
      <c r="V325">
        <v>5</v>
      </c>
      <c r="W325">
        <v>0</v>
      </c>
      <c r="X325">
        <v>4</v>
      </c>
      <c r="Y325">
        <v>0</v>
      </c>
      <c r="Z325">
        <v>0</v>
      </c>
      <c r="AA325">
        <v>5</v>
      </c>
      <c r="AB325">
        <v>12</v>
      </c>
      <c r="AC325">
        <v>0</v>
      </c>
      <c r="AD325">
        <v>0</v>
      </c>
      <c r="AE325">
        <v>0</v>
      </c>
      <c r="AF325">
        <v>10</v>
      </c>
      <c r="AG325">
        <v>10</v>
      </c>
      <c r="AH325">
        <v>31</v>
      </c>
      <c r="AI325">
        <v>1</v>
      </c>
      <c r="AJ325">
        <v>20</v>
      </c>
      <c r="AK325">
        <v>76</v>
      </c>
      <c r="AL325">
        <v>1</v>
      </c>
      <c r="AM325">
        <v>0</v>
      </c>
      <c r="AN325">
        <v>0</v>
      </c>
      <c r="AO325">
        <v>0</v>
      </c>
      <c r="AP325" s="1">
        <v>10</v>
      </c>
    </row>
    <row r="326" spans="1:42" x14ac:dyDescent="0.3">
      <c r="A326" t="s">
        <v>131</v>
      </c>
      <c r="B326" t="s">
        <v>150</v>
      </c>
      <c r="C326" s="4" t="s">
        <v>43</v>
      </c>
      <c r="D326">
        <v>212</v>
      </c>
      <c r="E326">
        <v>10</v>
      </c>
      <c r="F326">
        <v>10</v>
      </c>
      <c r="G326">
        <v>85</v>
      </c>
      <c r="H326">
        <v>5</v>
      </c>
      <c r="I326">
        <v>0</v>
      </c>
      <c r="J326">
        <v>1</v>
      </c>
      <c r="K326">
        <v>2</v>
      </c>
      <c r="L326">
        <v>0</v>
      </c>
      <c r="M326">
        <v>18</v>
      </c>
      <c r="N326">
        <v>1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26</v>
      </c>
      <c r="U326">
        <v>0</v>
      </c>
      <c r="V326">
        <v>4</v>
      </c>
      <c r="W326">
        <v>0</v>
      </c>
      <c r="X326">
        <v>2</v>
      </c>
      <c r="Y326">
        <v>0</v>
      </c>
      <c r="Z326">
        <v>0</v>
      </c>
      <c r="AA326">
        <v>3</v>
      </c>
      <c r="AB326">
        <v>3</v>
      </c>
      <c r="AC326">
        <v>0</v>
      </c>
      <c r="AD326">
        <v>0</v>
      </c>
      <c r="AE326">
        <v>0</v>
      </c>
      <c r="AF326">
        <v>3</v>
      </c>
      <c r="AG326">
        <v>2</v>
      </c>
      <c r="AH326">
        <v>9</v>
      </c>
      <c r="AI326">
        <v>0</v>
      </c>
      <c r="AJ326">
        <v>8</v>
      </c>
      <c r="AK326">
        <v>11</v>
      </c>
      <c r="AL326">
        <v>1</v>
      </c>
      <c r="AM326">
        <v>0</v>
      </c>
      <c r="AN326">
        <v>0</v>
      </c>
      <c r="AO326">
        <v>0</v>
      </c>
      <c r="AP326" s="1">
        <v>3</v>
      </c>
    </row>
    <row r="327" spans="1:42" x14ac:dyDescent="0.3">
      <c r="A327" t="s">
        <v>131</v>
      </c>
      <c r="B327" t="s">
        <v>150</v>
      </c>
      <c r="C327" s="4" t="s">
        <v>44</v>
      </c>
      <c r="D327">
        <v>363</v>
      </c>
      <c r="E327">
        <v>14</v>
      </c>
      <c r="F327">
        <v>4</v>
      </c>
      <c r="G327">
        <v>132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47</v>
      </c>
      <c r="N327">
        <v>0</v>
      </c>
      <c r="O327">
        <v>17</v>
      </c>
      <c r="P327">
        <v>0</v>
      </c>
      <c r="Q327">
        <v>0</v>
      </c>
      <c r="R327">
        <v>0</v>
      </c>
      <c r="S327">
        <v>5</v>
      </c>
      <c r="T327">
        <v>2</v>
      </c>
      <c r="U327">
        <v>6</v>
      </c>
      <c r="V327">
        <v>1</v>
      </c>
      <c r="W327">
        <v>0</v>
      </c>
      <c r="X327">
        <v>2</v>
      </c>
      <c r="Y327">
        <v>0</v>
      </c>
      <c r="Z327">
        <v>0</v>
      </c>
      <c r="AA327">
        <v>2</v>
      </c>
      <c r="AB327">
        <v>9</v>
      </c>
      <c r="AC327">
        <v>0</v>
      </c>
      <c r="AD327">
        <v>0</v>
      </c>
      <c r="AE327">
        <v>0</v>
      </c>
      <c r="AF327">
        <v>7</v>
      </c>
      <c r="AG327">
        <v>8</v>
      </c>
      <c r="AH327">
        <v>22</v>
      </c>
      <c r="AI327">
        <v>1</v>
      </c>
      <c r="AJ327">
        <v>12</v>
      </c>
      <c r="AK327">
        <v>65</v>
      </c>
      <c r="AL327">
        <v>0</v>
      </c>
      <c r="AM327">
        <v>0</v>
      </c>
      <c r="AN327">
        <v>0</v>
      </c>
      <c r="AO327">
        <v>0</v>
      </c>
      <c r="AP327" s="1">
        <v>7</v>
      </c>
    </row>
    <row r="328" spans="1:42" x14ac:dyDescent="0.3">
      <c r="A328" t="s">
        <v>131</v>
      </c>
      <c r="B328" t="s">
        <v>151</v>
      </c>
      <c r="C328" s="4" t="s">
        <v>40</v>
      </c>
      <c r="D328">
        <v>573</v>
      </c>
      <c r="E328">
        <v>18</v>
      </c>
      <c r="F328">
        <v>15</v>
      </c>
      <c r="G328">
        <v>0</v>
      </c>
      <c r="H328">
        <v>0</v>
      </c>
      <c r="I328">
        <v>0</v>
      </c>
      <c r="J328">
        <v>28</v>
      </c>
      <c r="K328">
        <v>0</v>
      </c>
      <c r="L328">
        <v>0</v>
      </c>
      <c r="M328">
        <v>284</v>
      </c>
      <c r="N328">
        <v>0</v>
      </c>
      <c r="O328">
        <v>34</v>
      </c>
      <c r="P328">
        <v>0</v>
      </c>
      <c r="Q328">
        <v>0</v>
      </c>
      <c r="R328">
        <v>0</v>
      </c>
      <c r="S328">
        <v>17</v>
      </c>
      <c r="T328">
        <v>2</v>
      </c>
      <c r="U328">
        <v>16</v>
      </c>
      <c r="V328">
        <v>1</v>
      </c>
      <c r="W328">
        <v>0</v>
      </c>
      <c r="X328">
        <v>4</v>
      </c>
      <c r="Y328">
        <v>0</v>
      </c>
      <c r="Z328">
        <v>0</v>
      </c>
      <c r="AA328">
        <v>0</v>
      </c>
      <c r="AB328">
        <v>8</v>
      </c>
      <c r="AC328">
        <v>0</v>
      </c>
      <c r="AD328">
        <v>0</v>
      </c>
      <c r="AE328">
        <v>0</v>
      </c>
      <c r="AF328">
        <v>11</v>
      </c>
      <c r="AG328">
        <v>29</v>
      </c>
      <c r="AH328">
        <v>34</v>
      </c>
      <c r="AI328">
        <v>7</v>
      </c>
      <c r="AJ328">
        <v>23</v>
      </c>
      <c r="AK328">
        <v>29</v>
      </c>
      <c r="AL328">
        <v>11</v>
      </c>
      <c r="AM328">
        <v>0</v>
      </c>
      <c r="AN328">
        <v>0</v>
      </c>
      <c r="AO328">
        <v>0</v>
      </c>
      <c r="AP328" s="1">
        <v>2</v>
      </c>
    </row>
    <row r="329" spans="1:42" x14ac:dyDescent="0.3">
      <c r="A329" t="s">
        <v>131</v>
      </c>
      <c r="B329" t="s">
        <v>151</v>
      </c>
      <c r="C329" s="4" t="s">
        <v>43</v>
      </c>
      <c r="D329">
        <v>275</v>
      </c>
      <c r="E329">
        <v>9</v>
      </c>
      <c r="F329">
        <v>9</v>
      </c>
      <c r="G329">
        <v>0</v>
      </c>
      <c r="H329">
        <v>0</v>
      </c>
      <c r="I329">
        <v>0</v>
      </c>
      <c r="J329">
        <v>18</v>
      </c>
      <c r="K329">
        <v>0</v>
      </c>
      <c r="L329">
        <v>0</v>
      </c>
      <c r="M329">
        <v>144</v>
      </c>
      <c r="N329">
        <v>0</v>
      </c>
      <c r="O329">
        <v>7</v>
      </c>
      <c r="P329">
        <v>0</v>
      </c>
      <c r="Q329">
        <v>0</v>
      </c>
      <c r="R329">
        <v>0</v>
      </c>
      <c r="S329">
        <v>15</v>
      </c>
      <c r="T329">
        <v>2</v>
      </c>
      <c r="U329">
        <v>4</v>
      </c>
      <c r="V329">
        <v>1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5</v>
      </c>
      <c r="AC329">
        <v>0</v>
      </c>
      <c r="AD329">
        <v>0</v>
      </c>
      <c r="AE329">
        <v>0</v>
      </c>
      <c r="AF329">
        <v>5</v>
      </c>
      <c r="AG329">
        <v>13</v>
      </c>
      <c r="AH329">
        <v>12</v>
      </c>
      <c r="AI329">
        <v>2</v>
      </c>
      <c r="AJ329">
        <v>15</v>
      </c>
      <c r="AK329">
        <v>3</v>
      </c>
      <c r="AL329">
        <v>9</v>
      </c>
      <c r="AM329">
        <v>0</v>
      </c>
      <c r="AN329">
        <v>0</v>
      </c>
      <c r="AO329">
        <v>0</v>
      </c>
      <c r="AP329" s="1">
        <v>0</v>
      </c>
    </row>
    <row r="330" spans="1:42" x14ac:dyDescent="0.3">
      <c r="A330" t="s">
        <v>131</v>
      </c>
      <c r="B330" t="s">
        <v>151</v>
      </c>
      <c r="C330" s="4" t="s">
        <v>44</v>
      </c>
      <c r="D330">
        <v>298</v>
      </c>
      <c r="E330">
        <v>9</v>
      </c>
      <c r="F330">
        <v>6</v>
      </c>
      <c r="G330">
        <v>0</v>
      </c>
      <c r="H330">
        <v>0</v>
      </c>
      <c r="I330">
        <v>0</v>
      </c>
      <c r="J330">
        <v>10</v>
      </c>
      <c r="K330">
        <v>0</v>
      </c>
      <c r="L330">
        <v>0</v>
      </c>
      <c r="M330">
        <v>140</v>
      </c>
      <c r="N330">
        <v>0</v>
      </c>
      <c r="O330">
        <v>27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12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3</v>
      </c>
      <c r="AC330">
        <v>0</v>
      </c>
      <c r="AD330">
        <v>0</v>
      </c>
      <c r="AE330">
        <v>0</v>
      </c>
      <c r="AF330">
        <v>6</v>
      </c>
      <c r="AG330">
        <v>16</v>
      </c>
      <c r="AH330">
        <v>22</v>
      </c>
      <c r="AI330">
        <v>5</v>
      </c>
      <c r="AJ330">
        <v>8</v>
      </c>
      <c r="AK330">
        <v>26</v>
      </c>
      <c r="AL330">
        <v>2</v>
      </c>
      <c r="AM330">
        <v>0</v>
      </c>
      <c r="AN330">
        <v>0</v>
      </c>
      <c r="AO330">
        <v>0</v>
      </c>
      <c r="AP330" s="1">
        <v>2</v>
      </c>
    </row>
    <row r="331" spans="1:42" x14ac:dyDescent="0.3">
      <c r="A331" t="s">
        <v>131</v>
      </c>
      <c r="B331" t="s">
        <v>152</v>
      </c>
      <c r="C331" s="4" t="s">
        <v>40</v>
      </c>
      <c r="D331">
        <v>470</v>
      </c>
      <c r="E331">
        <v>23</v>
      </c>
      <c r="F331">
        <v>2</v>
      </c>
      <c r="G331">
        <v>207</v>
      </c>
      <c r="H331">
        <v>16</v>
      </c>
      <c r="I331">
        <v>0</v>
      </c>
      <c r="J331">
        <v>0</v>
      </c>
      <c r="K331">
        <v>3</v>
      </c>
      <c r="L331">
        <v>0</v>
      </c>
      <c r="M331">
        <v>23</v>
      </c>
      <c r="N331">
        <v>0</v>
      </c>
      <c r="O331">
        <v>12</v>
      </c>
      <c r="P331">
        <v>0</v>
      </c>
      <c r="Q331">
        <v>3</v>
      </c>
      <c r="R331">
        <v>4</v>
      </c>
      <c r="S331">
        <v>5</v>
      </c>
      <c r="T331">
        <v>62</v>
      </c>
      <c r="U331">
        <v>2</v>
      </c>
      <c r="V331">
        <v>3</v>
      </c>
      <c r="W331">
        <v>0</v>
      </c>
      <c r="X331">
        <v>6</v>
      </c>
      <c r="Y331">
        <v>3</v>
      </c>
      <c r="Z331">
        <v>2</v>
      </c>
      <c r="AA331">
        <v>1</v>
      </c>
      <c r="AB331">
        <v>13</v>
      </c>
      <c r="AC331">
        <v>0</v>
      </c>
      <c r="AD331">
        <v>0</v>
      </c>
      <c r="AE331">
        <v>0</v>
      </c>
      <c r="AF331">
        <v>1</v>
      </c>
      <c r="AG331">
        <v>5</v>
      </c>
      <c r="AH331">
        <v>22</v>
      </c>
      <c r="AI331">
        <v>8</v>
      </c>
      <c r="AJ331">
        <v>5</v>
      </c>
      <c r="AK331">
        <v>39</v>
      </c>
      <c r="AL331">
        <v>0</v>
      </c>
      <c r="AM331">
        <v>0</v>
      </c>
      <c r="AN331">
        <v>0</v>
      </c>
      <c r="AO331">
        <v>0</v>
      </c>
      <c r="AP331" s="1">
        <v>0</v>
      </c>
    </row>
    <row r="332" spans="1:42" x14ac:dyDescent="0.3">
      <c r="A332" t="s">
        <v>131</v>
      </c>
      <c r="B332" t="s">
        <v>152</v>
      </c>
      <c r="C332" s="4" t="s">
        <v>43</v>
      </c>
      <c r="D332">
        <v>284</v>
      </c>
      <c r="E332">
        <v>13</v>
      </c>
      <c r="F332">
        <v>1</v>
      </c>
      <c r="G332">
        <v>117</v>
      </c>
      <c r="H332">
        <v>16</v>
      </c>
      <c r="I332">
        <v>0</v>
      </c>
      <c r="J332">
        <v>0</v>
      </c>
      <c r="K332">
        <v>1</v>
      </c>
      <c r="L332">
        <v>0</v>
      </c>
      <c r="M332">
        <v>5</v>
      </c>
      <c r="N332">
        <v>0</v>
      </c>
      <c r="O332">
        <v>3</v>
      </c>
      <c r="P332">
        <v>0</v>
      </c>
      <c r="Q332">
        <v>2</v>
      </c>
      <c r="R332">
        <v>3</v>
      </c>
      <c r="S332">
        <v>3</v>
      </c>
      <c r="T332">
        <v>61</v>
      </c>
      <c r="U332">
        <v>0</v>
      </c>
      <c r="V332">
        <v>3</v>
      </c>
      <c r="W332">
        <v>0</v>
      </c>
      <c r="X332">
        <v>4</v>
      </c>
      <c r="Y332">
        <v>3</v>
      </c>
      <c r="Z332">
        <v>2</v>
      </c>
      <c r="AA332">
        <v>0</v>
      </c>
      <c r="AB332">
        <v>9</v>
      </c>
      <c r="AC332">
        <v>0</v>
      </c>
      <c r="AD332">
        <v>0</v>
      </c>
      <c r="AE332">
        <v>0</v>
      </c>
      <c r="AF332">
        <v>0</v>
      </c>
      <c r="AG332">
        <v>3</v>
      </c>
      <c r="AH332">
        <v>9</v>
      </c>
      <c r="AI332">
        <v>5</v>
      </c>
      <c r="AJ332">
        <v>5</v>
      </c>
      <c r="AK332">
        <v>16</v>
      </c>
      <c r="AL332">
        <v>0</v>
      </c>
      <c r="AM332">
        <v>0</v>
      </c>
      <c r="AN332">
        <v>0</v>
      </c>
      <c r="AO332">
        <v>0</v>
      </c>
      <c r="AP332" s="1">
        <v>0</v>
      </c>
    </row>
    <row r="333" spans="1:42" x14ac:dyDescent="0.3">
      <c r="A333" t="s">
        <v>131</v>
      </c>
      <c r="B333" t="s">
        <v>152</v>
      </c>
      <c r="C333" s="4" t="s">
        <v>44</v>
      </c>
      <c r="D333">
        <v>186</v>
      </c>
      <c r="E333">
        <v>10</v>
      </c>
      <c r="F333">
        <v>1</v>
      </c>
      <c r="G333">
        <v>90</v>
      </c>
      <c r="H333">
        <v>0</v>
      </c>
      <c r="I333">
        <v>0</v>
      </c>
      <c r="J333">
        <v>0</v>
      </c>
      <c r="K333">
        <v>2</v>
      </c>
      <c r="L333">
        <v>0</v>
      </c>
      <c r="M333">
        <v>18</v>
      </c>
      <c r="N333">
        <v>0</v>
      </c>
      <c r="O333">
        <v>9</v>
      </c>
      <c r="P333">
        <v>0</v>
      </c>
      <c r="Q333">
        <v>1</v>
      </c>
      <c r="R333">
        <v>1</v>
      </c>
      <c r="S333">
        <v>2</v>
      </c>
      <c r="T333">
        <v>1</v>
      </c>
      <c r="U333">
        <v>2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1</v>
      </c>
      <c r="AB333">
        <v>4</v>
      </c>
      <c r="AC333">
        <v>0</v>
      </c>
      <c r="AD333">
        <v>0</v>
      </c>
      <c r="AE333">
        <v>0</v>
      </c>
      <c r="AF333">
        <v>1</v>
      </c>
      <c r="AG333">
        <v>2</v>
      </c>
      <c r="AH333">
        <v>13</v>
      </c>
      <c r="AI333">
        <v>3</v>
      </c>
      <c r="AJ333">
        <v>0</v>
      </c>
      <c r="AK333">
        <v>23</v>
      </c>
      <c r="AL333">
        <v>0</v>
      </c>
      <c r="AM333">
        <v>0</v>
      </c>
      <c r="AN333">
        <v>0</v>
      </c>
      <c r="AO333">
        <v>0</v>
      </c>
      <c r="AP333" s="1">
        <v>0</v>
      </c>
    </row>
    <row r="334" spans="1:42" x14ac:dyDescent="0.3">
      <c r="A334" t="s">
        <v>131</v>
      </c>
      <c r="B334" t="s">
        <v>153</v>
      </c>
      <c r="C334" s="4" t="s">
        <v>40</v>
      </c>
      <c r="D334">
        <v>467</v>
      </c>
      <c r="E334">
        <v>9</v>
      </c>
      <c r="F334">
        <v>5</v>
      </c>
      <c r="G334">
        <v>219</v>
      </c>
      <c r="H334">
        <v>0</v>
      </c>
      <c r="I334">
        <v>0</v>
      </c>
      <c r="J334">
        <v>0</v>
      </c>
      <c r="K334">
        <v>5</v>
      </c>
      <c r="L334">
        <v>0</v>
      </c>
      <c r="M334">
        <v>42</v>
      </c>
      <c r="N334">
        <v>0</v>
      </c>
      <c r="O334">
        <v>11</v>
      </c>
      <c r="P334">
        <v>0</v>
      </c>
      <c r="Q334">
        <v>1</v>
      </c>
      <c r="R334">
        <v>1</v>
      </c>
      <c r="S334">
        <v>14</v>
      </c>
      <c r="T334">
        <v>2</v>
      </c>
      <c r="U334">
        <v>3</v>
      </c>
      <c r="V334">
        <v>2</v>
      </c>
      <c r="W334">
        <v>1</v>
      </c>
      <c r="X334">
        <v>2</v>
      </c>
      <c r="Y334">
        <v>1</v>
      </c>
      <c r="Z334">
        <v>1</v>
      </c>
      <c r="AA334">
        <v>16</v>
      </c>
      <c r="AB334">
        <v>14</v>
      </c>
      <c r="AC334">
        <v>0</v>
      </c>
      <c r="AD334">
        <v>0</v>
      </c>
      <c r="AE334">
        <v>0</v>
      </c>
      <c r="AF334">
        <v>4</v>
      </c>
      <c r="AG334">
        <v>9</v>
      </c>
      <c r="AH334">
        <v>16</v>
      </c>
      <c r="AI334">
        <v>3</v>
      </c>
      <c r="AJ334">
        <v>2</v>
      </c>
      <c r="AK334">
        <v>54</v>
      </c>
      <c r="AL334">
        <v>0</v>
      </c>
      <c r="AM334">
        <v>26</v>
      </c>
      <c r="AN334">
        <v>0</v>
      </c>
      <c r="AO334">
        <v>1</v>
      </c>
      <c r="AP334" s="1">
        <v>3</v>
      </c>
    </row>
    <row r="335" spans="1:42" x14ac:dyDescent="0.3">
      <c r="A335" t="s">
        <v>131</v>
      </c>
      <c r="B335" t="s">
        <v>153</v>
      </c>
      <c r="C335" s="4" t="s">
        <v>43</v>
      </c>
      <c r="D335">
        <v>234</v>
      </c>
      <c r="E335">
        <v>4</v>
      </c>
      <c r="F335">
        <v>3</v>
      </c>
      <c r="G335">
        <v>115</v>
      </c>
      <c r="H335">
        <v>0</v>
      </c>
      <c r="I335">
        <v>0</v>
      </c>
      <c r="J335">
        <v>0</v>
      </c>
      <c r="K335">
        <v>3</v>
      </c>
      <c r="L335">
        <v>0</v>
      </c>
      <c r="M335">
        <v>20</v>
      </c>
      <c r="N335">
        <v>0</v>
      </c>
      <c r="O335">
        <v>3</v>
      </c>
      <c r="P335">
        <v>0</v>
      </c>
      <c r="Q335">
        <v>0</v>
      </c>
      <c r="R335">
        <v>1</v>
      </c>
      <c r="S335">
        <v>13</v>
      </c>
      <c r="T335">
        <v>2</v>
      </c>
      <c r="U335">
        <v>1</v>
      </c>
      <c r="V335">
        <v>1</v>
      </c>
      <c r="W335">
        <v>0</v>
      </c>
      <c r="X335">
        <v>1</v>
      </c>
      <c r="Y335">
        <v>1</v>
      </c>
      <c r="Z335">
        <v>1</v>
      </c>
      <c r="AA335">
        <v>16</v>
      </c>
      <c r="AB335">
        <v>7</v>
      </c>
      <c r="AC335">
        <v>0</v>
      </c>
      <c r="AD335">
        <v>0</v>
      </c>
      <c r="AE335">
        <v>0</v>
      </c>
      <c r="AF335">
        <v>4</v>
      </c>
      <c r="AG335">
        <v>5</v>
      </c>
      <c r="AH335">
        <v>4</v>
      </c>
      <c r="AI335">
        <v>1</v>
      </c>
      <c r="AJ335">
        <v>2</v>
      </c>
      <c r="AK335">
        <v>21</v>
      </c>
      <c r="AL335">
        <v>0</v>
      </c>
      <c r="AM335">
        <v>4</v>
      </c>
      <c r="AN335">
        <v>0</v>
      </c>
      <c r="AO335">
        <v>1</v>
      </c>
      <c r="AP335" s="1">
        <v>0</v>
      </c>
    </row>
    <row r="336" spans="1:42" x14ac:dyDescent="0.3">
      <c r="A336" t="s">
        <v>131</v>
      </c>
      <c r="B336" t="s">
        <v>153</v>
      </c>
      <c r="C336" s="4" t="s">
        <v>44</v>
      </c>
      <c r="D336">
        <v>233</v>
      </c>
      <c r="E336">
        <v>5</v>
      </c>
      <c r="F336">
        <v>2</v>
      </c>
      <c r="G336">
        <v>104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22</v>
      </c>
      <c r="N336">
        <v>0</v>
      </c>
      <c r="O336">
        <v>8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2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7</v>
      </c>
      <c r="AC336">
        <v>0</v>
      </c>
      <c r="AD336">
        <v>0</v>
      </c>
      <c r="AE336">
        <v>0</v>
      </c>
      <c r="AF336">
        <v>0</v>
      </c>
      <c r="AG336">
        <v>4</v>
      </c>
      <c r="AH336">
        <v>12</v>
      </c>
      <c r="AI336">
        <v>2</v>
      </c>
      <c r="AJ336">
        <v>0</v>
      </c>
      <c r="AK336">
        <v>33</v>
      </c>
      <c r="AL336">
        <v>0</v>
      </c>
      <c r="AM336">
        <v>22</v>
      </c>
      <c r="AN336">
        <v>0</v>
      </c>
      <c r="AO336">
        <v>0</v>
      </c>
      <c r="AP336" s="1">
        <v>3</v>
      </c>
    </row>
    <row r="337" spans="1:42" x14ac:dyDescent="0.3">
      <c r="A337" t="s">
        <v>131</v>
      </c>
      <c r="B337" t="s">
        <v>154</v>
      </c>
      <c r="C337" s="4" t="s">
        <v>40</v>
      </c>
      <c r="D337">
        <v>407</v>
      </c>
      <c r="E337">
        <v>24</v>
      </c>
      <c r="F337">
        <v>1</v>
      </c>
      <c r="G337">
        <v>101</v>
      </c>
      <c r="H337">
        <v>0</v>
      </c>
      <c r="I337">
        <v>0</v>
      </c>
      <c r="J337">
        <v>1</v>
      </c>
      <c r="K337">
        <v>6</v>
      </c>
      <c r="L337">
        <v>1</v>
      </c>
      <c r="M337">
        <v>85</v>
      </c>
      <c r="N337">
        <v>0</v>
      </c>
      <c r="O337">
        <v>15</v>
      </c>
      <c r="P337">
        <v>0</v>
      </c>
      <c r="Q337">
        <v>2</v>
      </c>
      <c r="R337">
        <v>2</v>
      </c>
      <c r="S337">
        <v>3</v>
      </c>
      <c r="T337">
        <v>0</v>
      </c>
      <c r="U337">
        <v>6</v>
      </c>
      <c r="V337">
        <v>2</v>
      </c>
      <c r="W337">
        <v>0</v>
      </c>
      <c r="X337">
        <v>3</v>
      </c>
      <c r="Y337">
        <v>0</v>
      </c>
      <c r="Z337">
        <v>0</v>
      </c>
      <c r="AA337">
        <v>10</v>
      </c>
      <c r="AB337">
        <v>4</v>
      </c>
      <c r="AC337">
        <v>0</v>
      </c>
      <c r="AD337">
        <v>0</v>
      </c>
      <c r="AE337">
        <v>0</v>
      </c>
      <c r="AF337">
        <v>2</v>
      </c>
      <c r="AG337">
        <v>10</v>
      </c>
      <c r="AH337">
        <v>12</v>
      </c>
      <c r="AI337">
        <v>3</v>
      </c>
      <c r="AJ337">
        <v>8</v>
      </c>
      <c r="AK337">
        <v>82</v>
      </c>
      <c r="AL337">
        <v>0</v>
      </c>
      <c r="AM337">
        <v>21</v>
      </c>
      <c r="AN337">
        <v>0</v>
      </c>
      <c r="AO337">
        <v>0</v>
      </c>
      <c r="AP337" s="1">
        <v>3</v>
      </c>
    </row>
    <row r="338" spans="1:42" x14ac:dyDescent="0.3">
      <c r="A338" t="s">
        <v>131</v>
      </c>
      <c r="B338" t="s">
        <v>154</v>
      </c>
      <c r="C338" s="4" t="s">
        <v>43</v>
      </c>
      <c r="D338">
        <v>123</v>
      </c>
      <c r="E338">
        <v>15</v>
      </c>
      <c r="F338">
        <v>0</v>
      </c>
      <c r="G338">
        <v>35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26</v>
      </c>
      <c r="N338">
        <v>0</v>
      </c>
      <c r="O338">
        <v>2</v>
      </c>
      <c r="P338">
        <v>0</v>
      </c>
      <c r="Q338">
        <v>0</v>
      </c>
      <c r="R338">
        <v>2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3</v>
      </c>
      <c r="Y338">
        <v>0</v>
      </c>
      <c r="Z338">
        <v>0</v>
      </c>
      <c r="AA338">
        <v>4</v>
      </c>
      <c r="AB338">
        <v>2</v>
      </c>
      <c r="AC338">
        <v>0</v>
      </c>
      <c r="AD338">
        <v>0</v>
      </c>
      <c r="AE338">
        <v>0</v>
      </c>
      <c r="AF338">
        <v>1</v>
      </c>
      <c r="AG338">
        <v>2</v>
      </c>
      <c r="AH338">
        <v>5</v>
      </c>
      <c r="AI338">
        <v>2</v>
      </c>
      <c r="AJ338">
        <v>1</v>
      </c>
      <c r="AK338">
        <v>13</v>
      </c>
      <c r="AL338">
        <v>0</v>
      </c>
      <c r="AM338">
        <v>4</v>
      </c>
      <c r="AN338">
        <v>0</v>
      </c>
      <c r="AO338">
        <v>0</v>
      </c>
      <c r="AP338" s="1">
        <v>0</v>
      </c>
    </row>
    <row r="339" spans="1:42" x14ac:dyDescent="0.3">
      <c r="A339" t="s">
        <v>131</v>
      </c>
      <c r="B339" t="s">
        <v>154</v>
      </c>
      <c r="C339" s="4" t="s">
        <v>44</v>
      </c>
      <c r="D339">
        <v>284</v>
      </c>
      <c r="E339">
        <v>9</v>
      </c>
      <c r="F339">
        <v>1</v>
      </c>
      <c r="G339">
        <v>66</v>
      </c>
      <c r="H339">
        <v>0</v>
      </c>
      <c r="I339">
        <v>0</v>
      </c>
      <c r="J339">
        <v>0</v>
      </c>
      <c r="K339">
        <v>4</v>
      </c>
      <c r="L339">
        <v>1</v>
      </c>
      <c r="M339">
        <v>59</v>
      </c>
      <c r="N339">
        <v>0</v>
      </c>
      <c r="O339">
        <v>13</v>
      </c>
      <c r="P339">
        <v>0</v>
      </c>
      <c r="Q339">
        <v>2</v>
      </c>
      <c r="R339">
        <v>0</v>
      </c>
      <c r="S339">
        <v>1</v>
      </c>
      <c r="T339">
        <v>0</v>
      </c>
      <c r="U339">
        <v>5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6</v>
      </c>
      <c r="AB339">
        <v>2</v>
      </c>
      <c r="AC339">
        <v>0</v>
      </c>
      <c r="AD339">
        <v>0</v>
      </c>
      <c r="AE339">
        <v>0</v>
      </c>
      <c r="AF339">
        <v>1</v>
      </c>
      <c r="AG339">
        <v>8</v>
      </c>
      <c r="AH339">
        <v>7</v>
      </c>
      <c r="AI339">
        <v>1</v>
      </c>
      <c r="AJ339">
        <v>7</v>
      </c>
      <c r="AK339">
        <v>69</v>
      </c>
      <c r="AL339">
        <v>0</v>
      </c>
      <c r="AM339">
        <v>17</v>
      </c>
      <c r="AN339">
        <v>0</v>
      </c>
      <c r="AO339">
        <v>0</v>
      </c>
      <c r="AP339" s="1">
        <v>3</v>
      </c>
    </row>
    <row r="340" spans="1:42" x14ac:dyDescent="0.3">
      <c r="A340" t="s">
        <v>131</v>
      </c>
      <c r="B340" t="s">
        <v>155</v>
      </c>
      <c r="C340" s="4" t="s">
        <v>40</v>
      </c>
      <c r="D340">
        <v>402</v>
      </c>
      <c r="E340">
        <v>9</v>
      </c>
      <c r="F340">
        <v>8</v>
      </c>
      <c r="G340">
        <v>0</v>
      </c>
      <c r="H340">
        <v>3</v>
      </c>
      <c r="I340">
        <v>0</v>
      </c>
      <c r="J340">
        <v>18</v>
      </c>
      <c r="K340">
        <v>10</v>
      </c>
      <c r="L340">
        <v>0</v>
      </c>
      <c r="M340">
        <v>68</v>
      </c>
      <c r="N340">
        <v>0</v>
      </c>
      <c r="O340">
        <v>22</v>
      </c>
      <c r="P340">
        <v>0</v>
      </c>
      <c r="Q340">
        <v>0</v>
      </c>
      <c r="R340">
        <v>0</v>
      </c>
      <c r="S340">
        <v>2</v>
      </c>
      <c r="T340">
        <v>1</v>
      </c>
      <c r="U340">
        <v>4</v>
      </c>
      <c r="V340">
        <v>1</v>
      </c>
      <c r="W340">
        <v>0</v>
      </c>
      <c r="X340">
        <v>7</v>
      </c>
      <c r="Y340">
        <v>0</v>
      </c>
      <c r="Z340">
        <v>0</v>
      </c>
      <c r="AA340">
        <v>25</v>
      </c>
      <c r="AB340">
        <v>9</v>
      </c>
      <c r="AC340">
        <v>0</v>
      </c>
      <c r="AD340">
        <v>0</v>
      </c>
      <c r="AE340">
        <v>0</v>
      </c>
      <c r="AF340">
        <v>17</v>
      </c>
      <c r="AG340">
        <v>14</v>
      </c>
      <c r="AH340">
        <v>22</v>
      </c>
      <c r="AI340">
        <v>37</v>
      </c>
      <c r="AJ340">
        <v>23</v>
      </c>
      <c r="AK340">
        <v>88</v>
      </c>
      <c r="AL340">
        <v>12</v>
      </c>
      <c r="AM340">
        <v>0</v>
      </c>
      <c r="AN340">
        <v>0</v>
      </c>
      <c r="AO340">
        <v>0</v>
      </c>
      <c r="AP340" s="1">
        <v>2</v>
      </c>
    </row>
    <row r="341" spans="1:42" x14ac:dyDescent="0.3">
      <c r="A341" t="s">
        <v>131</v>
      </c>
      <c r="B341" t="s">
        <v>155</v>
      </c>
      <c r="C341" s="4" t="s">
        <v>43</v>
      </c>
      <c r="D341">
        <v>91</v>
      </c>
      <c r="E341">
        <v>6</v>
      </c>
      <c r="F341">
        <v>2</v>
      </c>
      <c r="G341">
        <v>0</v>
      </c>
      <c r="H341">
        <v>0</v>
      </c>
      <c r="I341">
        <v>0</v>
      </c>
      <c r="J341">
        <v>6</v>
      </c>
      <c r="K341">
        <v>3</v>
      </c>
      <c r="L341">
        <v>0</v>
      </c>
      <c r="M341">
        <v>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6</v>
      </c>
      <c r="Y341">
        <v>0</v>
      </c>
      <c r="Z341">
        <v>0</v>
      </c>
      <c r="AA341">
        <v>2</v>
      </c>
      <c r="AB341">
        <v>3</v>
      </c>
      <c r="AC341">
        <v>0</v>
      </c>
      <c r="AD341">
        <v>0</v>
      </c>
      <c r="AE341">
        <v>0</v>
      </c>
      <c r="AF341">
        <v>1</v>
      </c>
      <c r="AG341">
        <v>4</v>
      </c>
      <c r="AH341">
        <v>3</v>
      </c>
      <c r="AI341">
        <v>22</v>
      </c>
      <c r="AJ341">
        <v>11</v>
      </c>
      <c r="AK341">
        <v>9</v>
      </c>
      <c r="AL341">
        <v>5</v>
      </c>
      <c r="AM341">
        <v>0</v>
      </c>
      <c r="AN341">
        <v>0</v>
      </c>
      <c r="AO341">
        <v>0</v>
      </c>
      <c r="AP341" s="1">
        <v>0</v>
      </c>
    </row>
    <row r="342" spans="1:42" x14ac:dyDescent="0.3">
      <c r="A342" t="s">
        <v>131</v>
      </c>
      <c r="B342" t="s">
        <v>155</v>
      </c>
      <c r="C342" s="4" t="s">
        <v>44</v>
      </c>
      <c r="D342">
        <v>311</v>
      </c>
      <c r="E342">
        <v>3</v>
      </c>
      <c r="F342">
        <v>6</v>
      </c>
      <c r="G342">
        <v>0</v>
      </c>
      <c r="H342">
        <v>3</v>
      </c>
      <c r="I342">
        <v>0</v>
      </c>
      <c r="J342">
        <v>12</v>
      </c>
      <c r="K342">
        <v>7</v>
      </c>
      <c r="L342">
        <v>0</v>
      </c>
      <c r="M342">
        <v>62</v>
      </c>
      <c r="N342">
        <v>0</v>
      </c>
      <c r="O342">
        <v>22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4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23</v>
      </c>
      <c r="AB342">
        <v>6</v>
      </c>
      <c r="AC342">
        <v>0</v>
      </c>
      <c r="AD342">
        <v>0</v>
      </c>
      <c r="AE342">
        <v>0</v>
      </c>
      <c r="AF342">
        <v>16</v>
      </c>
      <c r="AG342">
        <v>10</v>
      </c>
      <c r="AH342">
        <v>19</v>
      </c>
      <c r="AI342">
        <v>15</v>
      </c>
      <c r="AJ342">
        <v>12</v>
      </c>
      <c r="AK342">
        <v>79</v>
      </c>
      <c r="AL342">
        <v>7</v>
      </c>
      <c r="AM342">
        <v>0</v>
      </c>
      <c r="AN342">
        <v>0</v>
      </c>
      <c r="AO342">
        <v>0</v>
      </c>
      <c r="AP342" s="1">
        <v>2</v>
      </c>
    </row>
    <row r="343" spans="1:42" x14ac:dyDescent="0.3">
      <c r="A343" t="s">
        <v>131</v>
      </c>
      <c r="B343" t="s">
        <v>156</v>
      </c>
      <c r="C343" s="4" t="s">
        <v>40</v>
      </c>
      <c r="D343">
        <v>356</v>
      </c>
      <c r="E343">
        <v>13</v>
      </c>
      <c r="F343">
        <v>6</v>
      </c>
      <c r="G343">
        <v>136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78</v>
      </c>
      <c r="N343">
        <v>0</v>
      </c>
      <c r="O343">
        <v>16</v>
      </c>
      <c r="P343">
        <v>0</v>
      </c>
      <c r="Q343">
        <v>2</v>
      </c>
      <c r="R343">
        <v>0</v>
      </c>
      <c r="S343">
        <v>6</v>
      </c>
      <c r="T343">
        <v>3</v>
      </c>
      <c r="U343">
        <v>2</v>
      </c>
      <c r="V343">
        <v>1</v>
      </c>
      <c r="W343">
        <v>0</v>
      </c>
      <c r="X343">
        <v>3</v>
      </c>
      <c r="Y343">
        <v>0</v>
      </c>
      <c r="Z343">
        <v>6</v>
      </c>
      <c r="AA343">
        <v>5</v>
      </c>
      <c r="AB343">
        <v>5</v>
      </c>
      <c r="AC343">
        <v>0</v>
      </c>
      <c r="AD343">
        <v>0</v>
      </c>
      <c r="AE343">
        <v>0</v>
      </c>
      <c r="AF343">
        <v>4</v>
      </c>
      <c r="AG343">
        <v>9</v>
      </c>
      <c r="AH343">
        <v>0</v>
      </c>
      <c r="AI343">
        <v>1</v>
      </c>
      <c r="AJ343">
        <v>5</v>
      </c>
      <c r="AK343">
        <v>32</v>
      </c>
      <c r="AL343">
        <v>0</v>
      </c>
      <c r="AM343">
        <v>20</v>
      </c>
      <c r="AN343">
        <v>0</v>
      </c>
      <c r="AO343">
        <v>0</v>
      </c>
      <c r="AP343" s="1">
        <v>1</v>
      </c>
    </row>
    <row r="344" spans="1:42" x14ac:dyDescent="0.3">
      <c r="A344" t="s">
        <v>131</v>
      </c>
      <c r="B344" t="s">
        <v>156</v>
      </c>
      <c r="C344" s="4" t="s">
        <v>43</v>
      </c>
      <c r="D344">
        <v>163</v>
      </c>
      <c r="E344">
        <v>6</v>
      </c>
      <c r="F344">
        <v>5</v>
      </c>
      <c r="G344">
        <v>72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29</v>
      </c>
      <c r="N344">
        <v>0</v>
      </c>
      <c r="O344">
        <v>2</v>
      </c>
      <c r="P344">
        <v>0</v>
      </c>
      <c r="Q344">
        <v>1</v>
      </c>
      <c r="R344">
        <v>0</v>
      </c>
      <c r="S344">
        <v>5</v>
      </c>
      <c r="T344">
        <v>3</v>
      </c>
      <c r="U344">
        <v>0</v>
      </c>
      <c r="V344">
        <v>1</v>
      </c>
      <c r="W344">
        <v>0</v>
      </c>
      <c r="X344">
        <v>3</v>
      </c>
      <c r="Y344">
        <v>0</v>
      </c>
      <c r="Z344">
        <v>6</v>
      </c>
      <c r="AA344">
        <v>2</v>
      </c>
      <c r="AB344">
        <v>3</v>
      </c>
      <c r="AC344">
        <v>0</v>
      </c>
      <c r="AD344">
        <v>0</v>
      </c>
      <c r="AE344">
        <v>0</v>
      </c>
      <c r="AF344">
        <v>2</v>
      </c>
      <c r="AG344">
        <v>3</v>
      </c>
      <c r="AH344">
        <v>0</v>
      </c>
      <c r="AI344">
        <v>0</v>
      </c>
      <c r="AJ344">
        <v>3</v>
      </c>
      <c r="AK344">
        <v>12</v>
      </c>
      <c r="AL344">
        <v>0</v>
      </c>
      <c r="AM344">
        <v>3</v>
      </c>
      <c r="AN344">
        <v>0</v>
      </c>
      <c r="AO344">
        <v>0</v>
      </c>
      <c r="AP344" s="1">
        <v>0</v>
      </c>
    </row>
    <row r="345" spans="1:42" x14ac:dyDescent="0.3">
      <c r="A345" t="s">
        <v>131</v>
      </c>
      <c r="B345" t="s">
        <v>156</v>
      </c>
      <c r="C345" s="4" t="s">
        <v>44</v>
      </c>
      <c r="D345">
        <v>193</v>
      </c>
      <c r="E345">
        <v>7</v>
      </c>
      <c r="F345">
        <v>1</v>
      </c>
      <c r="G345">
        <v>64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49</v>
      </c>
      <c r="N345">
        <v>0</v>
      </c>
      <c r="O345">
        <v>14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2</v>
      </c>
      <c r="AC345">
        <v>0</v>
      </c>
      <c r="AD345">
        <v>0</v>
      </c>
      <c r="AE345">
        <v>0</v>
      </c>
      <c r="AF345">
        <v>2</v>
      </c>
      <c r="AG345">
        <v>6</v>
      </c>
      <c r="AH345">
        <v>0</v>
      </c>
      <c r="AI345">
        <v>1</v>
      </c>
      <c r="AJ345">
        <v>2</v>
      </c>
      <c r="AK345">
        <v>20</v>
      </c>
      <c r="AL345">
        <v>0</v>
      </c>
      <c r="AM345">
        <v>17</v>
      </c>
      <c r="AN345">
        <v>0</v>
      </c>
      <c r="AO345">
        <v>0</v>
      </c>
      <c r="AP345" s="1">
        <v>1</v>
      </c>
    </row>
    <row r="346" spans="1:42" x14ac:dyDescent="0.3">
      <c r="A346" t="s">
        <v>131</v>
      </c>
      <c r="B346" t="s">
        <v>157</v>
      </c>
      <c r="C346" s="4" t="s">
        <v>40</v>
      </c>
      <c r="D346">
        <v>249</v>
      </c>
      <c r="E346">
        <v>15</v>
      </c>
      <c r="F346">
        <v>4</v>
      </c>
      <c r="G346">
        <v>59</v>
      </c>
      <c r="H346">
        <v>0</v>
      </c>
      <c r="I346">
        <v>0</v>
      </c>
      <c r="J346">
        <v>0</v>
      </c>
      <c r="K346">
        <v>3</v>
      </c>
      <c r="L346">
        <v>0</v>
      </c>
      <c r="M346">
        <v>100</v>
      </c>
      <c r="N346">
        <v>0</v>
      </c>
      <c r="O346">
        <v>6</v>
      </c>
      <c r="P346">
        <v>0</v>
      </c>
      <c r="Q346">
        <v>1</v>
      </c>
      <c r="R346">
        <v>1</v>
      </c>
      <c r="S346">
        <v>1</v>
      </c>
      <c r="T346">
        <v>2</v>
      </c>
      <c r="U346">
        <v>5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8</v>
      </c>
      <c r="AH346">
        <v>2</v>
      </c>
      <c r="AI346">
        <v>0</v>
      </c>
      <c r="AJ346">
        <v>4</v>
      </c>
      <c r="AK346">
        <v>23</v>
      </c>
      <c r="AL346">
        <v>1</v>
      </c>
      <c r="AM346">
        <v>0</v>
      </c>
      <c r="AN346">
        <v>0</v>
      </c>
      <c r="AO346">
        <v>1</v>
      </c>
      <c r="AP346" s="1">
        <v>4</v>
      </c>
    </row>
    <row r="347" spans="1:42" x14ac:dyDescent="0.3">
      <c r="A347" t="s">
        <v>131</v>
      </c>
      <c r="B347" t="s">
        <v>157</v>
      </c>
      <c r="C347" s="4" t="s">
        <v>43</v>
      </c>
      <c r="D347">
        <v>110</v>
      </c>
      <c r="E347">
        <v>7</v>
      </c>
      <c r="F347">
        <v>2</v>
      </c>
      <c r="G347">
        <v>28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49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2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</v>
      </c>
      <c r="AC347">
        <v>0</v>
      </c>
      <c r="AD347">
        <v>0</v>
      </c>
      <c r="AE347">
        <v>0</v>
      </c>
      <c r="AF347">
        <v>0</v>
      </c>
      <c r="AG347">
        <v>5</v>
      </c>
      <c r="AH347">
        <v>0</v>
      </c>
      <c r="AI347">
        <v>0</v>
      </c>
      <c r="AJ347">
        <v>3</v>
      </c>
      <c r="AK347">
        <v>5</v>
      </c>
      <c r="AL347">
        <v>0</v>
      </c>
      <c r="AM347">
        <v>0</v>
      </c>
      <c r="AN347">
        <v>0</v>
      </c>
      <c r="AO347">
        <v>0</v>
      </c>
      <c r="AP347" s="1">
        <v>1</v>
      </c>
    </row>
    <row r="348" spans="1:42" x14ac:dyDescent="0.3">
      <c r="A348" t="s">
        <v>131</v>
      </c>
      <c r="B348" t="s">
        <v>157</v>
      </c>
      <c r="C348" s="4" t="s">
        <v>44</v>
      </c>
      <c r="D348">
        <v>139</v>
      </c>
      <c r="E348">
        <v>8</v>
      </c>
      <c r="F348">
        <v>2</v>
      </c>
      <c r="G348">
        <v>31</v>
      </c>
      <c r="H348">
        <v>0</v>
      </c>
      <c r="I348">
        <v>0</v>
      </c>
      <c r="J348">
        <v>0</v>
      </c>
      <c r="K348">
        <v>3</v>
      </c>
      <c r="L348">
        <v>0</v>
      </c>
      <c r="M348">
        <v>51</v>
      </c>
      <c r="N348">
        <v>0</v>
      </c>
      <c r="O348">
        <v>5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3</v>
      </c>
      <c r="AH348">
        <v>2</v>
      </c>
      <c r="AI348">
        <v>0</v>
      </c>
      <c r="AJ348">
        <v>1</v>
      </c>
      <c r="AK348">
        <v>18</v>
      </c>
      <c r="AL348">
        <v>1</v>
      </c>
      <c r="AM348">
        <v>0</v>
      </c>
      <c r="AN348">
        <v>0</v>
      </c>
      <c r="AO348">
        <v>1</v>
      </c>
      <c r="AP348" s="1">
        <v>3</v>
      </c>
    </row>
    <row r="349" spans="1:42" x14ac:dyDescent="0.3">
      <c r="A349" t="s">
        <v>131</v>
      </c>
      <c r="B349" t="s">
        <v>158</v>
      </c>
      <c r="C349" s="4" t="s">
        <v>40</v>
      </c>
      <c r="D349">
        <v>239</v>
      </c>
      <c r="E349">
        <v>7</v>
      </c>
      <c r="F349">
        <v>2</v>
      </c>
      <c r="G349">
        <v>68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52</v>
      </c>
      <c r="N349">
        <v>0</v>
      </c>
      <c r="O349">
        <v>15</v>
      </c>
      <c r="P349">
        <v>0</v>
      </c>
      <c r="Q349">
        <v>0</v>
      </c>
      <c r="R349">
        <v>0</v>
      </c>
      <c r="S349">
        <v>2</v>
      </c>
      <c r="T349">
        <v>3</v>
      </c>
      <c r="U349">
        <v>4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3</v>
      </c>
      <c r="AB349">
        <v>9</v>
      </c>
      <c r="AC349">
        <v>0</v>
      </c>
      <c r="AD349">
        <v>0</v>
      </c>
      <c r="AE349">
        <v>0</v>
      </c>
      <c r="AF349">
        <v>3</v>
      </c>
      <c r="AG349">
        <v>9</v>
      </c>
      <c r="AH349">
        <v>9</v>
      </c>
      <c r="AI349">
        <v>0</v>
      </c>
      <c r="AJ349">
        <v>11</v>
      </c>
      <c r="AK349">
        <v>37</v>
      </c>
      <c r="AL349">
        <v>0</v>
      </c>
      <c r="AM349">
        <v>0</v>
      </c>
      <c r="AN349">
        <v>0</v>
      </c>
      <c r="AO349">
        <v>0</v>
      </c>
      <c r="AP349" s="1">
        <v>1</v>
      </c>
    </row>
    <row r="350" spans="1:42" x14ac:dyDescent="0.3">
      <c r="A350" t="s">
        <v>131</v>
      </c>
      <c r="B350" t="s">
        <v>158</v>
      </c>
      <c r="C350" s="4" t="s">
        <v>43</v>
      </c>
      <c r="D350">
        <v>92</v>
      </c>
      <c r="E350">
        <v>5</v>
      </c>
      <c r="F350">
        <v>1</v>
      </c>
      <c r="G350">
        <v>31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13</v>
      </c>
      <c r="N350">
        <v>0</v>
      </c>
      <c r="O350">
        <v>4</v>
      </c>
      <c r="P350">
        <v>0</v>
      </c>
      <c r="Q350">
        <v>0</v>
      </c>
      <c r="R350">
        <v>0</v>
      </c>
      <c r="S350">
        <v>2</v>
      </c>
      <c r="T350">
        <v>3</v>
      </c>
      <c r="U350">
        <v>0</v>
      </c>
      <c r="V350">
        <v>2</v>
      </c>
      <c r="W350">
        <v>0</v>
      </c>
      <c r="X350">
        <v>0</v>
      </c>
      <c r="Y350">
        <v>1</v>
      </c>
      <c r="Z350">
        <v>0</v>
      </c>
      <c r="AA350">
        <v>2</v>
      </c>
      <c r="AB350">
        <v>6</v>
      </c>
      <c r="AC350">
        <v>0</v>
      </c>
      <c r="AD350">
        <v>0</v>
      </c>
      <c r="AE350">
        <v>0</v>
      </c>
      <c r="AF350">
        <v>1</v>
      </c>
      <c r="AG350">
        <v>3</v>
      </c>
      <c r="AH350">
        <v>2</v>
      </c>
      <c r="AI350">
        <v>0</v>
      </c>
      <c r="AJ350">
        <v>3</v>
      </c>
      <c r="AK350">
        <v>12</v>
      </c>
      <c r="AL350">
        <v>0</v>
      </c>
      <c r="AM350">
        <v>0</v>
      </c>
      <c r="AN350">
        <v>0</v>
      </c>
      <c r="AO350">
        <v>0</v>
      </c>
      <c r="AP350" s="1">
        <v>0</v>
      </c>
    </row>
    <row r="351" spans="1:42" x14ac:dyDescent="0.3">
      <c r="A351" t="s">
        <v>131</v>
      </c>
      <c r="B351" t="s">
        <v>158</v>
      </c>
      <c r="C351" s="4" t="s">
        <v>44</v>
      </c>
      <c r="D351">
        <v>147</v>
      </c>
      <c r="E351">
        <v>2</v>
      </c>
      <c r="F351">
        <v>1</v>
      </c>
      <c r="G351">
        <v>37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39</v>
      </c>
      <c r="N351">
        <v>0</v>
      </c>
      <c r="O351">
        <v>11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3</v>
      </c>
      <c r="AC351">
        <v>0</v>
      </c>
      <c r="AD351">
        <v>0</v>
      </c>
      <c r="AE351">
        <v>0</v>
      </c>
      <c r="AF351">
        <v>2</v>
      </c>
      <c r="AG351">
        <v>6</v>
      </c>
      <c r="AH351">
        <v>7</v>
      </c>
      <c r="AI351">
        <v>0</v>
      </c>
      <c r="AJ351">
        <v>8</v>
      </c>
      <c r="AK351">
        <v>25</v>
      </c>
      <c r="AL351">
        <v>0</v>
      </c>
      <c r="AM351">
        <v>0</v>
      </c>
      <c r="AN351">
        <v>0</v>
      </c>
      <c r="AO351">
        <v>0</v>
      </c>
      <c r="AP351" s="1">
        <v>1</v>
      </c>
    </row>
    <row r="352" spans="1:42" x14ac:dyDescent="0.3">
      <c r="A352" t="s">
        <v>131</v>
      </c>
      <c r="B352" t="s">
        <v>159</v>
      </c>
      <c r="C352" s="4" t="s">
        <v>40</v>
      </c>
      <c r="D352">
        <v>187</v>
      </c>
      <c r="E352">
        <v>4</v>
      </c>
      <c r="F352">
        <v>2</v>
      </c>
      <c r="G352">
        <v>1</v>
      </c>
      <c r="H352">
        <v>93</v>
      </c>
      <c r="I352">
        <v>0</v>
      </c>
      <c r="J352">
        <v>1</v>
      </c>
      <c r="K352">
        <v>0</v>
      </c>
      <c r="L352">
        <v>0</v>
      </c>
      <c r="M352">
        <v>12</v>
      </c>
      <c r="N352">
        <v>0</v>
      </c>
      <c r="O352">
        <v>4</v>
      </c>
      <c r="P352">
        <v>0</v>
      </c>
      <c r="Q352">
        <v>1</v>
      </c>
      <c r="R352">
        <v>0</v>
      </c>
      <c r="S352">
        <v>1</v>
      </c>
      <c r="T352">
        <v>17</v>
      </c>
      <c r="U352">
        <v>3</v>
      </c>
      <c r="V352">
        <v>3</v>
      </c>
      <c r="W352">
        <v>0</v>
      </c>
      <c r="X352">
        <v>0</v>
      </c>
      <c r="Y352">
        <v>0</v>
      </c>
      <c r="Z352">
        <v>0</v>
      </c>
      <c r="AA352">
        <v>4</v>
      </c>
      <c r="AB352">
        <v>8</v>
      </c>
      <c r="AC352">
        <v>0</v>
      </c>
      <c r="AD352">
        <v>0</v>
      </c>
      <c r="AE352">
        <v>0</v>
      </c>
      <c r="AF352">
        <v>0</v>
      </c>
      <c r="AG352">
        <v>3</v>
      </c>
      <c r="AH352">
        <v>4</v>
      </c>
      <c r="AI352">
        <v>0</v>
      </c>
      <c r="AJ352">
        <v>6</v>
      </c>
      <c r="AK352">
        <v>20</v>
      </c>
      <c r="AL352">
        <v>0</v>
      </c>
      <c r="AM352">
        <v>0</v>
      </c>
      <c r="AN352">
        <v>0</v>
      </c>
      <c r="AO352">
        <v>0</v>
      </c>
      <c r="AP352" s="1">
        <v>0</v>
      </c>
    </row>
    <row r="353" spans="1:42" x14ac:dyDescent="0.3">
      <c r="A353" t="s">
        <v>131</v>
      </c>
      <c r="B353" t="s">
        <v>159</v>
      </c>
      <c r="C353" s="4" t="s">
        <v>43</v>
      </c>
      <c r="D353">
        <v>110</v>
      </c>
      <c r="E353">
        <v>3</v>
      </c>
      <c r="F353">
        <v>2</v>
      </c>
      <c r="G353">
        <v>0</v>
      </c>
      <c r="H353">
        <v>57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0</v>
      </c>
      <c r="O353">
        <v>2</v>
      </c>
      <c r="P353">
        <v>0</v>
      </c>
      <c r="Q353">
        <v>1</v>
      </c>
      <c r="R353">
        <v>0</v>
      </c>
      <c r="S353">
        <v>1</v>
      </c>
      <c r="T353">
        <v>16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</v>
      </c>
      <c r="AB353">
        <v>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2</v>
      </c>
      <c r="AK353">
        <v>9</v>
      </c>
      <c r="AL353">
        <v>0</v>
      </c>
      <c r="AM353">
        <v>0</v>
      </c>
      <c r="AN353">
        <v>0</v>
      </c>
      <c r="AO353">
        <v>0</v>
      </c>
      <c r="AP353" s="1">
        <v>0</v>
      </c>
    </row>
    <row r="354" spans="1:42" x14ac:dyDescent="0.3">
      <c r="A354" t="s">
        <v>131</v>
      </c>
      <c r="B354" t="s">
        <v>159</v>
      </c>
      <c r="C354" s="4" t="s">
        <v>44</v>
      </c>
      <c r="D354">
        <v>77</v>
      </c>
      <c r="E354">
        <v>1</v>
      </c>
      <c r="F354">
        <v>0</v>
      </c>
      <c r="G354">
        <v>1</v>
      </c>
      <c r="H354">
        <v>36</v>
      </c>
      <c r="I354">
        <v>0</v>
      </c>
      <c r="J354">
        <v>1</v>
      </c>
      <c r="K354">
        <v>0</v>
      </c>
      <c r="L354">
        <v>0</v>
      </c>
      <c r="M354">
        <v>7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2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0</v>
      </c>
      <c r="AD354">
        <v>0</v>
      </c>
      <c r="AE354">
        <v>0</v>
      </c>
      <c r="AF354">
        <v>0</v>
      </c>
      <c r="AG354">
        <v>3</v>
      </c>
      <c r="AH354">
        <v>2</v>
      </c>
      <c r="AI354">
        <v>0</v>
      </c>
      <c r="AJ354">
        <v>4</v>
      </c>
      <c r="AK354">
        <v>11</v>
      </c>
      <c r="AL354">
        <v>0</v>
      </c>
      <c r="AM354">
        <v>0</v>
      </c>
      <c r="AN354">
        <v>0</v>
      </c>
      <c r="AO354">
        <v>0</v>
      </c>
      <c r="AP354" s="1">
        <v>0</v>
      </c>
    </row>
    <row r="355" spans="1:42" x14ac:dyDescent="0.3">
      <c r="A355" t="s">
        <v>131</v>
      </c>
      <c r="B355" t="s">
        <v>160</v>
      </c>
      <c r="C355" s="4" t="s">
        <v>40</v>
      </c>
      <c r="D355">
        <v>177</v>
      </c>
      <c r="E355">
        <v>0</v>
      </c>
      <c r="F355">
        <v>0</v>
      </c>
      <c r="G355">
        <v>1</v>
      </c>
      <c r="H355">
        <v>90</v>
      </c>
      <c r="I355">
        <v>0</v>
      </c>
      <c r="J355">
        <v>0</v>
      </c>
      <c r="K355">
        <v>0</v>
      </c>
      <c r="L355">
        <v>0</v>
      </c>
      <c r="M355">
        <v>9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2</v>
      </c>
      <c r="V355">
        <v>1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6</v>
      </c>
      <c r="AC355">
        <v>0</v>
      </c>
      <c r="AD355">
        <v>0</v>
      </c>
      <c r="AE355">
        <v>0</v>
      </c>
      <c r="AF355">
        <v>1</v>
      </c>
      <c r="AG355">
        <v>5</v>
      </c>
      <c r="AH355">
        <v>1</v>
      </c>
      <c r="AI355">
        <v>0</v>
      </c>
      <c r="AJ355">
        <v>9</v>
      </c>
      <c r="AK355">
        <v>40</v>
      </c>
      <c r="AL355">
        <v>0</v>
      </c>
      <c r="AM355">
        <v>4</v>
      </c>
      <c r="AN355">
        <v>0</v>
      </c>
      <c r="AO355">
        <v>3</v>
      </c>
      <c r="AP355" s="1">
        <v>0</v>
      </c>
    </row>
    <row r="356" spans="1:42" x14ac:dyDescent="0.3">
      <c r="A356" t="s">
        <v>131</v>
      </c>
      <c r="B356" t="s">
        <v>160</v>
      </c>
      <c r="C356" s="4" t="s">
        <v>43</v>
      </c>
      <c r="D356">
        <v>74</v>
      </c>
      <c r="E356">
        <v>0</v>
      </c>
      <c r="F356">
        <v>0</v>
      </c>
      <c r="G356">
        <v>1</v>
      </c>
      <c r="H356">
        <v>50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4</v>
      </c>
      <c r="AK356">
        <v>9</v>
      </c>
      <c r="AL356">
        <v>0</v>
      </c>
      <c r="AM356">
        <v>1</v>
      </c>
      <c r="AN356">
        <v>0</v>
      </c>
      <c r="AO356">
        <v>0</v>
      </c>
      <c r="AP356" s="1">
        <v>0</v>
      </c>
    </row>
    <row r="357" spans="1:42" x14ac:dyDescent="0.3">
      <c r="A357" t="s">
        <v>131</v>
      </c>
      <c r="B357" t="s">
        <v>160</v>
      </c>
      <c r="C357" s="4" t="s">
        <v>44</v>
      </c>
      <c r="D357">
        <v>103</v>
      </c>
      <c r="E357">
        <v>0</v>
      </c>
      <c r="F357">
        <v>0</v>
      </c>
      <c r="G357">
        <v>0</v>
      </c>
      <c r="H357">
        <v>40</v>
      </c>
      <c r="I357">
        <v>0</v>
      </c>
      <c r="J357">
        <v>0</v>
      </c>
      <c r="K357">
        <v>0</v>
      </c>
      <c r="L357">
        <v>0</v>
      </c>
      <c r="M357">
        <v>8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0</v>
      </c>
      <c r="AD357">
        <v>0</v>
      </c>
      <c r="AE357">
        <v>0</v>
      </c>
      <c r="AF357">
        <v>1</v>
      </c>
      <c r="AG357">
        <v>3</v>
      </c>
      <c r="AH357">
        <v>1</v>
      </c>
      <c r="AI357">
        <v>0</v>
      </c>
      <c r="AJ357">
        <v>5</v>
      </c>
      <c r="AK357">
        <v>31</v>
      </c>
      <c r="AL357">
        <v>0</v>
      </c>
      <c r="AM357">
        <v>3</v>
      </c>
      <c r="AN357">
        <v>0</v>
      </c>
      <c r="AO357">
        <v>3</v>
      </c>
      <c r="AP357" s="1">
        <v>0</v>
      </c>
    </row>
    <row r="358" spans="1:42" x14ac:dyDescent="0.3">
      <c r="A358" t="s">
        <v>131</v>
      </c>
      <c r="B358" t="s">
        <v>161</v>
      </c>
      <c r="C358" s="4" t="s">
        <v>40</v>
      </c>
      <c r="D358">
        <v>159</v>
      </c>
      <c r="E358">
        <v>6</v>
      </c>
      <c r="F358">
        <v>11</v>
      </c>
      <c r="G358">
        <v>0</v>
      </c>
      <c r="H358">
        <v>3</v>
      </c>
      <c r="I358">
        <v>0</v>
      </c>
      <c r="J358">
        <v>11</v>
      </c>
      <c r="K358">
        <v>11</v>
      </c>
      <c r="L358">
        <v>0</v>
      </c>
      <c r="M358">
        <v>37</v>
      </c>
      <c r="N358">
        <v>0</v>
      </c>
      <c r="O358">
        <v>17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4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6</v>
      </c>
      <c r="AB358">
        <v>3</v>
      </c>
      <c r="AC358">
        <v>0</v>
      </c>
      <c r="AD358">
        <v>0</v>
      </c>
      <c r="AE358">
        <v>0</v>
      </c>
      <c r="AF358">
        <v>5</v>
      </c>
      <c r="AG358">
        <v>7</v>
      </c>
      <c r="AH358">
        <v>2</v>
      </c>
      <c r="AI358">
        <v>2</v>
      </c>
      <c r="AJ358">
        <v>3</v>
      </c>
      <c r="AK358">
        <v>22</v>
      </c>
      <c r="AL358">
        <v>6</v>
      </c>
      <c r="AM358">
        <v>0</v>
      </c>
      <c r="AN358">
        <v>0</v>
      </c>
      <c r="AO358">
        <v>0</v>
      </c>
      <c r="AP358" s="1">
        <v>0</v>
      </c>
    </row>
    <row r="359" spans="1:42" x14ac:dyDescent="0.3">
      <c r="A359" t="s">
        <v>131</v>
      </c>
      <c r="B359" t="s">
        <v>161</v>
      </c>
      <c r="C359" s="4" t="s">
        <v>43</v>
      </c>
      <c r="D359">
        <v>39</v>
      </c>
      <c r="E359">
        <v>4</v>
      </c>
      <c r="F359">
        <v>3</v>
      </c>
      <c r="G359">
        <v>0</v>
      </c>
      <c r="H359">
        <v>3</v>
      </c>
      <c r="I359">
        <v>0</v>
      </c>
      <c r="J359">
        <v>7</v>
      </c>
      <c r="K359">
        <v>6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1</v>
      </c>
      <c r="AI359">
        <v>0</v>
      </c>
      <c r="AJ359">
        <v>2</v>
      </c>
      <c r="AK359">
        <v>0</v>
      </c>
      <c r="AL359">
        <v>1</v>
      </c>
      <c r="AM359">
        <v>0</v>
      </c>
      <c r="AN359">
        <v>0</v>
      </c>
      <c r="AO359">
        <v>0</v>
      </c>
      <c r="AP359" s="1">
        <v>0</v>
      </c>
    </row>
    <row r="360" spans="1:42" x14ac:dyDescent="0.3">
      <c r="A360" t="s">
        <v>131</v>
      </c>
      <c r="B360" t="s">
        <v>161</v>
      </c>
      <c r="C360" s="4" t="s">
        <v>44</v>
      </c>
      <c r="D360">
        <v>120</v>
      </c>
      <c r="E360">
        <v>2</v>
      </c>
      <c r="F360">
        <v>8</v>
      </c>
      <c r="G360">
        <v>0</v>
      </c>
      <c r="H360">
        <v>0</v>
      </c>
      <c r="I360">
        <v>0</v>
      </c>
      <c r="J360">
        <v>4</v>
      </c>
      <c r="K360">
        <v>5</v>
      </c>
      <c r="L360">
        <v>0</v>
      </c>
      <c r="M360">
        <v>34</v>
      </c>
      <c r="N360">
        <v>0</v>
      </c>
      <c r="O360">
        <v>17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3</v>
      </c>
      <c r="AC360">
        <v>0</v>
      </c>
      <c r="AD360">
        <v>0</v>
      </c>
      <c r="AE360">
        <v>0</v>
      </c>
      <c r="AF360">
        <v>3</v>
      </c>
      <c r="AG360">
        <v>7</v>
      </c>
      <c r="AH360">
        <v>1</v>
      </c>
      <c r="AI360">
        <v>2</v>
      </c>
      <c r="AJ360">
        <v>1</v>
      </c>
      <c r="AK360">
        <v>22</v>
      </c>
      <c r="AL360">
        <v>5</v>
      </c>
      <c r="AM360">
        <v>0</v>
      </c>
      <c r="AN360">
        <v>0</v>
      </c>
      <c r="AO360">
        <v>0</v>
      </c>
      <c r="AP360" s="1">
        <v>0</v>
      </c>
    </row>
    <row r="361" spans="1:42" x14ac:dyDescent="0.3">
      <c r="A361" t="s">
        <v>131</v>
      </c>
      <c r="B361" t="s">
        <v>162</v>
      </c>
      <c r="C361" s="4" t="s">
        <v>40</v>
      </c>
      <c r="D361">
        <v>154</v>
      </c>
      <c r="E361">
        <v>15</v>
      </c>
      <c r="F361">
        <v>2</v>
      </c>
      <c r="G361">
        <v>52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36</v>
      </c>
      <c r="N361">
        <v>0</v>
      </c>
      <c r="O361">
        <v>11</v>
      </c>
      <c r="P361">
        <v>0</v>
      </c>
      <c r="Q361">
        <v>1</v>
      </c>
      <c r="R361">
        <v>0</v>
      </c>
      <c r="S361">
        <v>3</v>
      </c>
      <c r="T361">
        <v>0</v>
      </c>
      <c r="U361">
        <v>2</v>
      </c>
      <c r="V361">
        <v>2</v>
      </c>
      <c r="W361">
        <v>0</v>
      </c>
      <c r="X361">
        <v>1</v>
      </c>
      <c r="Y361">
        <v>0</v>
      </c>
      <c r="Z361">
        <v>1</v>
      </c>
      <c r="AA361">
        <v>3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7</v>
      </c>
      <c r="AH361">
        <v>1</v>
      </c>
      <c r="AI361">
        <v>0</v>
      </c>
      <c r="AJ361">
        <v>0</v>
      </c>
      <c r="AK361">
        <v>13</v>
      </c>
      <c r="AL361">
        <v>0</v>
      </c>
      <c r="AM361">
        <v>0</v>
      </c>
      <c r="AN361">
        <v>0</v>
      </c>
      <c r="AO361">
        <v>0</v>
      </c>
      <c r="AP361" s="1">
        <v>1</v>
      </c>
    </row>
    <row r="362" spans="1:42" x14ac:dyDescent="0.3">
      <c r="A362" t="s">
        <v>131</v>
      </c>
      <c r="B362" t="s">
        <v>162</v>
      </c>
      <c r="C362" s="4" t="s">
        <v>43</v>
      </c>
      <c r="D362">
        <v>59</v>
      </c>
      <c r="E362">
        <v>8</v>
      </c>
      <c r="F362">
        <v>1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11</v>
      </c>
      <c r="N362">
        <v>0</v>
      </c>
      <c r="O362">
        <v>2</v>
      </c>
      <c r="P362">
        <v>0</v>
      </c>
      <c r="Q362">
        <v>1</v>
      </c>
      <c r="R362">
        <v>0</v>
      </c>
      <c r="S362">
        <v>3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2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3</v>
      </c>
      <c r="AH362">
        <v>1</v>
      </c>
      <c r="AI362">
        <v>0</v>
      </c>
      <c r="AJ362">
        <v>0</v>
      </c>
      <c r="AK362">
        <v>4</v>
      </c>
      <c r="AL362">
        <v>0</v>
      </c>
      <c r="AM362">
        <v>0</v>
      </c>
      <c r="AN362">
        <v>0</v>
      </c>
      <c r="AO362">
        <v>0</v>
      </c>
      <c r="AP362" s="1">
        <v>0</v>
      </c>
    </row>
    <row r="363" spans="1:42" x14ac:dyDescent="0.3">
      <c r="A363" t="s">
        <v>131</v>
      </c>
      <c r="B363" t="s">
        <v>162</v>
      </c>
      <c r="C363" s="4" t="s">
        <v>44</v>
      </c>
      <c r="D363">
        <v>95</v>
      </c>
      <c r="E363">
        <v>7</v>
      </c>
      <c r="F363">
        <v>1</v>
      </c>
      <c r="G363">
        <v>32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25</v>
      </c>
      <c r="N363">
        <v>0</v>
      </c>
      <c r="O363">
        <v>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</v>
      </c>
      <c r="AH363">
        <v>0</v>
      </c>
      <c r="AI363">
        <v>0</v>
      </c>
      <c r="AJ363">
        <v>0</v>
      </c>
      <c r="AK363">
        <v>9</v>
      </c>
      <c r="AL363">
        <v>0</v>
      </c>
      <c r="AM363">
        <v>0</v>
      </c>
      <c r="AN363">
        <v>0</v>
      </c>
      <c r="AO363">
        <v>0</v>
      </c>
      <c r="AP363" s="1">
        <v>1</v>
      </c>
    </row>
    <row r="364" spans="1:42" x14ac:dyDescent="0.3">
      <c r="A364" t="s">
        <v>131</v>
      </c>
      <c r="B364" t="s">
        <v>163</v>
      </c>
      <c r="C364" s="4" t="s">
        <v>40</v>
      </c>
      <c r="D364">
        <v>139</v>
      </c>
      <c r="E364">
        <v>8</v>
      </c>
      <c r="F364">
        <v>0</v>
      </c>
      <c r="G364">
        <v>44</v>
      </c>
      <c r="H364">
        <v>3</v>
      </c>
      <c r="I364">
        <v>0</v>
      </c>
      <c r="J364">
        <v>1</v>
      </c>
      <c r="K364">
        <v>0</v>
      </c>
      <c r="L364">
        <v>0</v>
      </c>
      <c r="M364">
        <v>18</v>
      </c>
      <c r="N364">
        <v>0</v>
      </c>
      <c r="O364">
        <v>9</v>
      </c>
      <c r="P364">
        <v>0</v>
      </c>
      <c r="Q364">
        <v>0</v>
      </c>
      <c r="R364">
        <v>0</v>
      </c>
      <c r="S364">
        <v>0</v>
      </c>
      <c r="T364">
        <v>7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5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2</v>
      </c>
      <c r="AH364">
        <v>10</v>
      </c>
      <c r="AI364">
        <v>1</v>
      </c>
      <c r="AJ364">
        <v>2</v>
      </c>
      <c r="AK364">
        <v>19</v>
      </c>
      <c r="AL364">
        <v>2</v>
      </c>
      <c r="AM364">
        <v>1</v>
      </c>
      <c r="AN364">
        <v>0</v>
      </c>
      <c r="AO364">
        <v>0</v>
      </c>
      <c r="AP364" s="1">
        <v>4</v>
      </c>
    </row>
    <row r="365" spans="1:42" x14ac:dyDescent="0.3">
      <c r="A365" t="s">
        <v>131</v>
      </c>
      <c r="B365" t="s">
        <v>163</v>
      </c>
      <c r="C365" s="4" t="s">
        <v>43</v>
      </c>
      <c r="D365">
        <v>48</v>
      </c>
      <c r="E365">
        <v>3</v>
      </c>
      <c r="F365">
        <v>0</v>
      </c>
      <c r="G365">
        <v>19</v>
      </c>
      <c r="H365">
        <v>3</v>
      </c>
      <c r="I365">
        <v>0</v>
      </c>
      <c r="J365">
        <v>1</v>
      </c>
      <c r="K365">
        <v>0</v>
      </c>
      <c r="L365">
        <v>0</v>
      </c>
      <c r="M365">
        <v>4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2</v>
      </c>
      <c r="AI365">
        <v>0</v>
      </c>
      <c r="AJ365">
        <v>0</v>
      </c>
      <c r="AK365">
        <v>4</v>
      </c>
      <c r="AL365">
        <v>0</v>
      </c>
      <c r="AM365">
        <v>1</v>
      </c>
      <c r="AN365">
        <v>0</v>
      </c>
      <c r="AO365">
        <v>0</v>
      </c>
      <c r="AP365" s="1">
        <v>0</v>
      </c>
    </row>
    <row r="366" spans="1:42" x14ac:dyDescent="0.3">
      <c r="A366" t="s">
        <v>131</v>
      </c>
      <c r="B366" t="s">
        <v>163</v>
      </c>
      <c r="C366" s="4" t="s">
        <v>44</v>
      </c>
      <c r="D366">
        <v>91</v>
      </c>
      <c r="E366">
        <v>5</v>
      </c>
      <c r="F366">
        <v>0</v>
      </c>
      <c r="G366">
        <v>25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14</v>
      </c>
      <c r="N366">
        <v>0</v>
      </c>
      <c r="O366">
        <v>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3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8</v>
      </c>
      <c r="AI366">
        <v>1</v>
      </c>
      <c r="AJ366">
        <v>2</v>
      </c>
      <c r="AK366">
        <v>15</v>
      </c>
      <c r="AL366">
        <v>2</v>
      </c>
      <c r="AM366">
        <v>0</v>
      </c>
      <c r="AN366">
        <v>0</v>
      </c>
      <c r="AO366">
        <v>0</v>
      </c>
      <c r="AP366" s="1">
        <v>4</v>
      </c>
    </row>
    <row r="367" spans="1:42" x14ac:dyDescent="0.3">
      <c r="A367" t="s">
        <v>131</v>
      </c>
      <c r="B367" t="s">
        <v>164</v>
      </c>
      <c r="C367" s="4" t="s">
        <v>40</v>
      </c>
      <c r="D367">
        <v>117</v>
      </c>
      <c r="E367">
        <v>5</v>
      </c>
      <c r="F367">
        <v>3</v>
      </c>
      <c r="G367">
        <v>0</v>
      </c>
      <c r="H367">
        <v>35</v>
      </c>
      <c r="I367">
        <v>0</v>
      </c>
      <c r="J367">
        <v>0</v>
      </c>
      <c r="K367">
        <v>1</v>
      </c>
      <c r="L367">
        <v>0</v>
      </c>
      <c r="M367">
        <v>16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3</v>
      </c>
      <c r="U367">
        <v>5</v>
      </c>
      <c r="V367">
        <v>1</v>
      </c>
      <c r="W367">
        <v>0</v>
      </c>
      <c r="X367">
        <v>0</v>
      </c>
      <c r="Y367">
        <v>2</v>
      </c>
      <c r="Z367">
        <v>1</v>
      </c>
      <c r="AA367">
        <v>2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9</v>
      </c>
      <c r="AI367">
        <v>0</v>
      </c>
      <c r="AJ367">
        <v>3</v>
      </c>
      <c r="AK367">
        <v>18</v>
      </c>
      <c r="AL367">
        <v>0</v>
      </c>
      <c r="AM367">
        <v>0</v>
      </c>
      <c r="AN367">
        <v>0</v>
      </c>
      <c r="AO367">
        <v>1</v>
      </c>
      <c r="AP367" s="1">
        <v>2</v>
      </c>
    </row>
    <row r="368" spans="1:42" x14ac:dyDescent="0.3">
      <c r="A368" t="s">
        <v>131</v>
      </c>
      <c r="B368" t="s">
        <v>164</v>
      </c>
      <c r="C368" s="4" t="s">
        <v>43</v>
      </c>
      <c r="D368">
        <v>50</v>
      </c>
      <c r="E368">
        <v>3</v>
      </c>
      <c r="F368">
        <v>2</v>
      </c>
      <c r="G368">
        <v>0</v>
      </c>
      <c r="H368">
        <v>17</v>
      </c>
      <c r="I368">
        <v>0</v>
      </c>
      <c r="J368">
        <v>0</v>
      </c>
      <c r="K368">
        <v>1</v>
      </c>
      <c r="L368">
        <v>0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2</v>
      </c>
      <c r="V368">
        <v>0</v>
      </c>
      <c r="W368">
        <v>0</v>
      </c>
      <c r="X368">
        <v>0</v>
      </c>
      <c r="Y368">
        <v>2</v>
      </c>
      <c r="Z368">
        <v>1</v>
      </c>
      <c r="AA368">
        <v>2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1</v>
      </c>
      <c r="AK368">
        <v>8</v>
      </c>
      <c r="AL368">
        <v>0</v>
      </c>
      <c r="AM368">
        <v>0</v>
      </c>
      <c r="AN368">
        <v>0</v>
      </c>
      <c r="AO368">
        <v>0</v>
      </c>
      <c r="AP368" s="1">
        <v>1</v>
      </c>
    </row>
    <row r="369" spans="1:42" x14ac:dyDescent="0.3">
      <c r="A369" t="s">
        <v>131</v>
      </c>
      <c r="B369" t="s">
        <v>164</v>
      </c>
      <c r="C369" s="4" t="s">
        <v>44</v>
      </c>
      <c r="D369">
        <v>67</v>
      </c>
      <c r="E369">
        <v>2</v>
      </c>
      <c r="F369">
        <v>1</v>
      </c>
      <c r="G369">
        <v>0</v>
      </c>
      <c r="H369">
        <v>18</v>
      </c>
      <c r="I369">
        <v>0</v>
      </c>
      <c r="J369">
        <v>0</v>
      </c>
      <c r="K369">
        <v>0</v>
      </c>
      <c r="L369">
        <v>0</v>
      </c>
      <c r="M369">
        <v>12</v>
      </c>
      <c r="N369">
        <v>0</v>
      </c>
      <c r="O369">
        <v>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2</v>
      </c>
      <c r="AH369">
        <v>7</v>
      </c>
      <c r="AI369">
        <v>0</v>
      </c>
      <c r="AJ369">
        <v>2</v>
      </c>
      <c r="AK369">
        <v>10</v>
      </c>
      <c r="AL369">
        <v>0</v>
      </c>
      <c r="AM369">
        <v>0</v>
      </c>
      <c r="AN369">
        <v>0</v>
      </c>
      <c r="AO369">
        <v>1</v>
      </c>
      <c r="AP369" s="1">
        <v>1</v>
      </c>
    </row>
    <row r="370" spans="1:42" x14ac:dyDescent="0.3">
      <c r="A370" t="s">
        <v>131</v>
      </c>
      <c r="B370" t="s">
        <v>165</v>
      </c>
      <c r="C370" s="4" t="s">
        <v>40</v>
      </c>
      <c r="D370">
        <v>98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</v>
      </c>
      <c r="K370">
        <v>0</v>
      </c>
      <c r="L370">
        <v>0</v>
      </c>
      <c r="M370">
        <v>26</v>
      </c>
      <c r="N370">
        <v>0</v>
      </c>
      <c r="O370">
        <v>8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5</v>
      </c>
      <c r="V370">
        <v>0</v>
      </c>
      <c r="W370">
        <v>0</v>
      </c>
      <c r="X370">
        <v>4</v>
      </c>
      <c r="Y370">
        <v>0</v>
      </c>
      <c r="Z370">
        <v>0</v>
      </c>
      <c r="AA370">
        <v>1</v>
      </c>
      <c r="AB370">
        <v>2</v>
      </c>
      <c r="AC370">
        <v>0</v>
      </c>
      <c r="AD370">
        <v>0</v>
      </c>
      <c r="AE370">
        <v>0</v>
      </c>
      <c r="AF370">
        <v>5</v>
      </c>
      <c r="AG370">
        <v>9</v>
      </c>
      <c r="AH370">
        <v>9</v>
      </c>
      <c r="AI370">
        <v>0</v>
      </c>
      <c r="AJ370">
        <v>10</v>
      </c>
      <c r="AK370">
        <v>12</v>
      </c>
      <c r="AL370">
        <v>1</v>
      </c>
      <c r="AM370">
        <v>0</v>
      </c>
      <c r="AN370">
        <v>0</v>
      </c>
      <c r="AO370">
        <v>0</v>
      </c>
      <c r="AP370" s="1">
        <v>0</v>
      </c>
    </row>
    <row r="371" spans="1:42" x14ac:dyDescent="0.3">
      <c r="A371" t="s">
        <v>131</v>
      </c>
      <c r="B371" t="s">
        <v>165</v>
      </c>
      <c r="C371" s="4" t="s">
        <v>43</v>
      </c>
      <c r="D371">
        <v>27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2</v>
      </c>
      <c r="AG371">
        <v>1</v>
      </c>
      <c r="AH371">
        <v>5</v>
      </c>
      <c r="AI371">
        <v>0</v>
      </c>
      <c r="AJ371">
        <v>8</v>
      </c>
      <c r="AK371">
        <v>2</v>
      </c>
      <c r="AL371">
        <v>1</v>
      </c>
      <c r="AM371">
        <v>0</v>
      </c>
      <c r="AN371">
        <v>0</v>
      </c>
      <c r="AO371">
        <v>0</v>
      </c>
      <c r="AP371" s="1">
        <v>0</v>
      </c>
    </row>
    <row r="372" spans="1:42" x14ac:dyDescent="0.3">
      <c r="A372" t="s">
        <v>131</v>
      </c>
      <c r="B372" t="s">
        <v>165</v>
      </c>
      <c r="C372" s="4" t="s">
        <v>44</v>
      </c>
      <c r="D372">
        <v>71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26</v>
      </c>
      <c r="N372">
        <v>0</v>
      </c>
      <c r="O372">
        <v>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2</v>
      </c>
      <c r="AC372">
        <v>0</v>
      </c>
      <c r="AD372">
        <v>0</v>
      </c>
      <c r="AE372">
        <v>0</v>
      </c>
      <c r="AF372">
        <v>3</v>
      </c>
      <c r="AG372">
        <v>8</v>
      </c>
      <c r="AH372">
        <v>4</v>
      </c>
      <c r="AI372">
        <v>0</v>
      </c>
      <c r="AJ372">
        <v>2</v>
      </c>
      <c r="AK372">
        <v>10</v>
      </c>
      <c r="AL372">
        <v>0</v>
      </c>
      <c r="AM372">
        <v>0</v>
      </c>
      <c r="AN372">
        <v>0</v>
      </c>
      <c r="AO372">
        <v>0</v>
      </c>
      <c r="AP372" s="1">
        <v>0</v>
      </c>
    </row>
    <row r="373" spans="1:42" x14ac:dyDescent="0.3">
      <c r="A373" t="s">
        <v>131</v>
      </c>
      <c r="B373" t="s">
        <v>166</v>
      </c>
      <c r="C373" s="4" t="s">
        <v>40</v>
      </c>
      <c r="D373">
        <v>95</v>
      </c>
      <c r="E373">
        <v>3</v>
      </c>
      <c r="F373">
        <v>3</v>
      </c>
      <c r="G373">
        <v>32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22</v>
      </c>
      <c r="AI373">
        <v>5</v>
      </c>
      <c r="AJ373">
        <v>0</v>
      </c>
      <c r="AK373">
        <v>3</v>
      </c>
      <c r="AL373">
        <v>0</v>
      </c>
      <c r="AM373">
        <v>2</v>
      </c>
      <c r="AN373">
        <v>0</v>
      </c>
      <c r="AO373">
        <v>0</v>
      </c>
      <c r="AP373" s="1">
        <v>0</v>
      </c>
    </row>
    <row r="374" spans="1:42" x14ac:dyDescent="0.3">
      <c r="A374" t="s">
        <v>131</v>
      </c>
      <c r="B374" t="s">
        <v>166</v>
      </c>
      <c r="C374" s="4" t="s">
        <v>43</v>
      </c>
      <c r="D374">
        <v>48</v>
      </c>
      <c r="E374">
        <v>3</v>
      </c>
      <c r="F374">
        <v>3</v>
      </c>
      <c r="G374">
        <v>15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9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8</v>
      </c>
      <c r="AI374">
        <v>1</v>
      </c>
      <c r="AJ374">
        <v>0</v>
      </c>
      <c r="AK374">
        <v>1</v>
      </c>
      <c r="AL374">
        <v>0</v>
      </c>
      <c r="AM374">
        <v>2</v>
      </c>
      <c r="AN374">
        <v>0</v>
      </c>
      <c r="AO374">
        <v>0</v>
      </c>
      <c r="AP374" s="1">
        <v>0</v>
      </c>
    </row>
    <row r="375" spans="1:42" x14ac:dyDescent="0.3">
      <c r="A375" t="s">
        <v>131</v>
      </c>
      <c r="B375" t="s">
        <v>166</v>
      </c>
      <c r="C375" s="4" t="s">
        <v>44</v>
      </c>
      <c r="D375">
        <v>47</v>
      </c>
      <c r="E375">
        <v>0</v>
      </c>
      <c r="F375">
        <v>0</v>
      </c>
      <c r="G375">
        <v>17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14</v>
      </c>
      <c r="AI375">
        <v>4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0</v>
      </c>
      <c r="AP375" s="1">
        <v>0</v>
      </c>
    </row>
    <row r="376" spans="1:42" x14ac:dyDescent="0.3">
      <c r="A376" t="s">
        <v>131</v>
      </c>
      <c r="B376" t="s">
        <v>167</v>
      </c>
      <c r="C376" s="4" t="s">
        <v>40</v>
      </c>
      <c r="D376">
        <v>81</v>
      </c>
      <c r="E376">
        <v>8</v>
      </c>
      <c r="F376">
        <v>0</v>
      </c>
      <c r="G376">
        <v>25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15</v>
      </c>
      <c r="N376">
        <v>0</v>
      </c>
      <c r="O376">
        <v>3</v>
      </c>
      <c r="P376">
        <v>0</v>
      </c>
      <c r="Q376">
        <v>0</v>
      </c>
      <c r="R376">
        <v>0</v>
      </c>
      <c r="S376">
        <v>1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5</v>
      </c>
      <c r="AC376">
        <v>0</v>
      </c>
      <c r="AD376">
        <v>0</v>
      </c>
      <c r="AE376">
        <v>0</v>
      </c>
      <c r="AF376">
        <v>1</v>
      </c>
      <c r="AG376">
        <v>2</v>
      </c>
      <c r="AH376">
        <v>2</v>
      </c>
      <c r="AI376">
        <v>0</v>
      </c>
      <c r="AJ376">
        <v>1</v>
      </c>
      <c r="AK376">
        <v>12</v>
      </c>
      <c r="AL376">
        <v>0</v>
      </c>
      <c r="AM376">
        <v>0</v>
      </c>
      <c r="AN376">
        <v>0</v>
      </c>
      <c r="AO376">
        <v>0</v>
      </c>
      <c r="AP376" s="1">
        <v>0</v>
      </c>
    </row>
    <row r="377" spans="1:42" x14ac:dyDescent="0.3">
      <c r="A377" t="s">
        <v>131</v>
      </c>
      <c r="B377" t="s">
        <v>167</v>
      </c>
      <c r="C377" s="4" t="s">
        <v>43</v>
      </c>
      <c r="D377">
        <v>26</v>
      </c>
      <c r="E377">
        <v>4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0</v>
      </c>
      <c r="AO377">
        <v>0</v>
      </c>
      <c r="AP377" s="1">
        <v>0</v>
      </c>
    </row>
    <row r="378" spans="1:42" x14ac:dyDescent="0.3">
      <c r="A378" t="s">
        <v>131</v>
      </c>
      <c r="B378" t="s">
        <v>167</v>
      </c>
      <c r="C378" s="4" t="s">
        <v>44</v>
      </c>
      <c r="D378">
        <v>55</v>
      </c>
      <c r="E378">
        <v>4</v>
      </c>
      <c r="F378">
        <v>0</v>
      </c>
      <c r="G378">
        <v>13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14</v>
      </c>
      <c r="N378">
        <v>0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3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2</v>
      </c>
      <c r="AI378">
        <v>0</v>
      </c>
      <c r="AJ378">
        <v>1</v>
      </c>
      <c r="AK378">
        <v>10</v>
      </c>
      <c r="AL378">
        <v>0</v>
      </c>
      <c r="AM378">
        <v>0</v>
      </c>
      <c r="AN378">
        <v>0</v>
      </c>
      <c r="AO378">
        <v>0</v>
      </c>
      <c r="AP378" s="1">
        <v>0</v>
      </c>
    </row>
    <row r="379" spans="1:42" x14ac:dyDescent="0.3">
      <c r="A379" t="s">
        <v>131</v>
      </c>
      <c r="B379" t="s">
        <v>168</v>
      </c>
      <c r="C379" s="4" t="s">
        <v>40</v>
      </c>
      <c r="D379">
        <v>77</v>
      </c>
      <c r="E379">
        <v>0</v>
      </c>
      <c r="F379">
        <v>3</v>
      </c>
      <c r="G379">
        <v>0</v>
      </c>
      <c r="H379">
        <v>1</v>
      </c>
      <c r="I379">
        <v>0</v>
      </c>
      <c r="J379">
        <v>8</v>
      </c>
      <c r="K379">
        <v>1</v>
      </c>
      <c r="L379">
        <v>0</v>
      </c>
      <c r="M379">
        <v>14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9</v>
      </c>
      <c r="AG379">
        <v>1</v>
      </c>
      <c r="AH379">
        <v>5</v>
      </c>
      <c r="AI379">
        <v>1</v>
      </c>
      <c r="AJ379">
        <v>4</v>
      </c>
      <c r="AK379">
        <v>18</v>
      </c>
      <c r="AL379">
        <v>4</v>
      </c>
      <c r="AM379">
        <v>0</v>
      </c>
      <c r="AN379">
        <v>1</v>
      </c>
      <c r="AO379">
        <v>0</v>
      </c>
      <c r="AP379" s="1">
        <v>2</v>
      </c>
    </row>
    <row r="380" spans="1:42" x14ac:dyDescent="0.3">
      <c r="A380" t="s">
        <v>131</v>
      </c>
      <c r="B380" t="s">
        <v>168</v>
      </c>
      <c r="C380" s="4" t="s">
        <v>43</v>
      </c>
      <c r="D380">
        <v>24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4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4</v>
      </c>
      <c r="AG380">
        <v>0</v>
      </c>
      <c r="AH380">
        <v>2</v>
      </c>
      <c r="AI380">
        <v>1</v>
      </c>
      <c r="AJ380">
        <v>3</v>
      </c>
      <c r="AK380">
        <v>0</v>
      </c>
      <c r="AL380">
        <v>3</v>
      </c>
      <c r="AM380">
        <v>0</v>
      </c>
      <c r="AN380">
        <v>1</v>
      </c>
      <c r="AO380">
        <v>0</v>
      </c>
      <c r="AP380" s="1">
        <v>0</v>
      </c>
    </row>
    <row r="381" spans="1:42" x14ac:dyDescent="0.3">
      <c r="A381" t="s">
        <v>131</v>
      </c>
      <c r="B381" t="s">
        <v>168</v>
      </c>
      <c r="C381" s="4" t="s">
        <v>44</v>
      </c>
      <c r="D381">
        <v>53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4</v>
      </c>
      <c r="K381">
        <v>1</v>
      </c>
      <c r="L381">
        <v>0</v>
      </c>
      <c r="M381">
        <v>11</v>
      </c>
      <c r="N381">
        <v>0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5</v>
      </c>
      <c r="AG381">
        <v>1</v>
      </c>
      <c r="AH381">
        <v>3</v>
      </c>
      <c r="AI381">
        <v>0</v>
      </c>
      <c r="AJ381">
        <v>1</v>
      </c>
      <c r="AK381">
        <v>18</v>
      </c>
      <c r="AL381">
        <v>1</v>
      </c>
      <c r="AM381">
        <v>0</v>
      </c>
      <c r="AN381">
        <v>0</v>
      </c>
      <c r="AO381">
        <v>0</v>
      </c>
      <c r="AP381" s="1">
        <v>2</v>
      </c>
    </row>
    <row r="382" spans="1:42" x14ac:dyDescent="0.3">
      <c r="A382" t="s">
        <v>131</v>
      </c>
      <c r="B382" t="s">
        <v>169</v>
      </c>
      <c r="C382" s="4" t="s">
        <v>40</v>
      </c>
      <c r="D382">
        <v>75</v>
      </c>
      <c r="E382">
        <v>12</v>
      </c>
      <c r="F382">
        <v>1</v>
      </c>
      <c r="G382">
        <v>0</v>
      </c>
      <c r="H382">
        <v>21</v>
      </c>
      <c r="I382">
        <v>0</v>
      </c>
      <c r="J382">
        <v>0</v>
      </c>
      <c r="K382">
        <v>1</v>
      </c>
      <c r="L382">
        <v>0</v>
      </c>
      <c r="M382">
        <v>7</v>
      </c>
      <c r="N382">
        <v>0</v>
      </c>
      <c r="O382">
        <v>3</v>
      </c>
      <c r="P382">
        <v>1</v>
      </c>
      <c r="Q382">
        <v>0</v>
      </c>
      <c r="R382">
        <v>0</v>
      </c>
      <c r="S382">
        <v>2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2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2</v>
      </c>
      <c r="AH382">
        <v>1</v>
      </c>
      <c r="AI382">
        <v>0</v>
      </c>
      <c r="AJ382">
        <v>1</v>
      </c>
      <c r="AK382">
        <v>17</v>
      </c>
      <c r="AL382">
        <v>0</v>
      </c>
      <c r="AM382">
        <v>0</v>
      </c>
      <c r="AN382">
        <v>0</v>
      </c>
      <c r="AO382">
        <v>0</v>
      </c>
      <c r="AP382" s="1">
        <v>0</v>
      </c>
    </row>
    <row r="383" spans="1:42" x14ac:dyDescent="0.3">
      <c r="A383" t="s">
        <v>131</v>
      </c>
      <c r="B383" t="s">
        <v>169</v>
      </c>
      <c r="C383" s="4" t="s">
        <v>43</v>
      </c>
      <c r="D383">
        <v>36</v>
      </c>
      <c r="E383">
        <v>7</v>
      </c>
      <c r="F383">
        <v>0</v>
      </c>
      <c r="G383">
        <v>0</v>
      </c>
      <c r="H383">
        <v>10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0</v>
      </c>
      <c r="AJ383">
        <v>1</v>
      </c>
      <c r="AK383">
        <v>8</v>
      </c>
      <c r="AL383">
        <v>0</v>
      </c>
      <c r="AM383">
        <v>0</v>
      </c>
      <c r="AN383">
        <v>0</v>
      </c>
      <c r="AO383">
        <v>0</v>
      </c>
      <c r="AP383" s="1">
        <v>0</v>
      </c>
    </row>
    <row r="384" spans="1:42" x14ac:dyDescent="0.3">
      <c r="A384" t="s">
        <v>131</v>
      </c>
      <c r="B384" t="s">
        <v>169</v>
      </c>
      <c r="C384" s="4" t="s">
        <v>44</v>
      </c>
      <c r="D384">
        <v>39</v>
      </c>
      <c r="E384">
        <v>5</v>
      </c>
      <c r="F384">
        <v>1</v>
      </c>
      <c r="G384">
        <v>0</v>
      </c>
      <c r="H384">
        <v>11</v>
      </c>
      <c r="I384">
        <v>0</v>
      </c>
      <c r="J384">
        <v>0</v>
      </c>
      <c r="K384">
        <v>0</v>
      </c>
      <c r="L384">
        <v>0</v>
      </c>
      <c r="M384">
        <v>6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9</v>
      </c>
      <c r="AL384">
        <v>0</v>
      </c>
      <c r="AM384">
        <v>0</v>
      </c>
      <c r="AN384">
        <v>0</v>
      </c>
      <c r="AO384">
        <v>0</v>
      </c>
      <c r="AP384" s="1">
        <v>0</v>
      </c>
    </row>
    <row r="385" spans="1:42" x14ac:dyDescent="0.3">
      <c r="A385" t="s">
        <v>131</v>
      </c>
      <c r="B385" t="s">
        <v>170</v>
      </c>
      <c r="C385" s="4" t="s">
        <v>40</v>
      </c>
      <c r="D385">
        <v>60</v>
      </c>
      <c r="E385">
        <v>0</v>
      </c>
      <c r="F385">
        <v>2</v>
      </c>
      <c r="G385">
        <v>0</v>
      </c>
      <c r="H385">
        <v>21</v>
      </c>
      <c r="I385">
        <v>0</v>
      </c>
      <c r="J385">
        <v>1</v>
      </c>
      <c r="K385">
        <v>1</v>
      </c>
      <c r="L385">
        <v>0</v>
      </c>
      <c r="M385">
        <v>8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3</v>
      </c>
      <c r="T385">
        <v>0</v>
      </c>
      <c r="U385">
        <v>3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4</v>
      </c>
      <c r="AI385">
        <v>0</v>
      </c>
      <c r="AJ385">
        <v>1</v>
      </c>
      <c r="AK385">
        <v>10</v>
      </c>
      <c r="AL385">
        <v>1</v>
      </c>
      <c r="AM385">
        <v>0</v>
      </c>
      <c r="AN385">
        <v>0</v>
      </c>
      <c r="AO385">
        <v>0</v>
      </c>
      <c r="AP385" s="1">
        <v>0</v>
      </c>
    </row>
    <row r="386" spans="1:42" x14ac:dyDescent="0.3">
      <c r="A386" t="s">
        <v>131</v>
      </c>
      <c r="B386" t="s">
        <v>170</v>
      </c>
      <c r="C386" s="4" t="s">
        <v>43</v>
      </c>
      <c r="D386">
        <v>31</v>
      </c>
      <c r="E386">
        <v>0</v>
      </c>
      <c r="F386">
        <v>0</v>
      </c>
      <c r="G386">
        <v>0</v>
      </c>
      <c r="H386">
        <v>14</v>
      </c>
      <c r="I386">
        <v>0</v>
      </c>
      <c r="J386">
        <v>1</v>
      </c>
      <c r="K386">
        <v>1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3</v>
      </c>
      <c r="T386">
        <v>0</v>
      </c>
      <c r="U386">
        <v>2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5</v>
      </c>
      <c r="AL386">
        <v>1</v>
      </c>
      <c r="AM386">
        <v>0</v>
      </c>
      <c r="AN386">
        <v>0</v>
      </c>
      <c r="AO386">
        <v>0</v>
      </c>
      <c r="AP386" s="1">
        <v>0</v>
      </c>
    </row>
    <row r="387" spans="1:42" x14ac:dyDescent="0.3">
      <c r="A387" t="s">
        <v>131</v>
      </c>
      <c r="B387" t="s">
        <v>170</v>
      </c>
      <c r="C387" s="4" t="s">
        <v>44</v>
      </c>
      <c r="D387">
        <v>29</v>
      </c>
      <c r="E387">
        <v>0</v>
      </c>
      <c r="F387">
        <v>2</v>
      </c>
      <c r="G387">
        <v>0</v>
      </c>
      <c r="H387">
        <v>7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3</v>
      </c>
      <c r="AI387">
        <v>0</v>
      </c>
      <c r="AJ387">
        <v>1</v>
      </c>
      <c r="AK387">
        <v>5</v>
      </c>
      <c r="AL387">
        <v>0</v>
      </c>
      <c r="AM387">
        <v>0</v>
      </c>
      <c r="AN387">
        <v>0</v>
      </c>
      <c r="AO387">
        <v>0</v>
      </c>
      <c r="AP387" s="1">
        <v>0</v>
      </c>
    </row>
    <row r="388" spans="1:42" x14ac:dyDescent="0.3">
      <c r="A388" t="s">
        <v>131</v>
      </c>
      <c r="B388" t="s">
        <v>171</v>
      </c>
      <c r="C388" s="4" t="s">
        <v>40</v>
      </c>
      <c r="D388">
        <v>38</v>
      </c>
      <c r="E388">
        <v>0</v>
      </c>
      <c r="F388">
        <v>0</v>
      </c>
      <c r="G388">
        <v>16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2</v>
      </c>
      <c r="AI388">
        <v>12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 s="1">
        <v>0</v>
      </c>
    </row>
    <row r="389" spans="1:42" x14ac:dyDescent="0.3">
      <c r="A389" t="s">
        <v>131</v>
      </c>
      <c r="B389" t="s">
        <v>171</v>
      </c>
      <c r="C389" s="4" t="s">
        <v>43</v>
      </c>
      <c r="D389">
        <v>24</v>
      </c>
      <c r="E389">
        <v>0</v>
      </c>
      <c r="F389">
        <v>0</v>
      </c>
      <c r="G389">
        <v>14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3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 s="1">
        <v>0</v>
      </c>
    </row>
    <row r="390" spans="1:42" x14ac:dyDescent="0.3">
      <c r="A390" t="s">
        <v>131</v>
      </c>
      <c r="B390" t="s">
        <v>171</v>
      </c>
      <c r="C390" s="4" t="s">
        <v>44</v>
      </c>
      <c r="D390">
        <v>14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9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 s="1">
        <v>0</v>
      </c>
    </row>
    <row r="391" spans="1:42" x14ac:dyDescent="0.3">
      <c r="A391" t="s">
        <v>131</v>
      </c>
      <c r="B391" t="s">
        <v>172</v>
      </c>
      <c r="C391" s="4" t="s">
        <v>40</v>
      </c>
      <c r="D391">
        <v>35</v>
      </c>
      <c r="E391">
        <v>0</v>
      </c>
      <c r="F391">
        <v>0</v>
      </c>
      <c r="G391">
        <v>0</v>
      </c>
      <c r="H391">
        <v>21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3</v>
      </c>
      <c r="AI391">
        <v>0</v>
      </c>
      <c r="AJ391">
        <v>0</v>
      </c>
      <c r="AK391">
        <v>3</v>
      </c>
      <c r="AL391">
        <v>1</v>
      </c>
      <c r="AM391">
        <v>0</v>
      </c>
      <c r="AN391">
        <v>0</v>
      </c>
      <c r="AO391">
        <v>0</v>
      </c>
      <c r="AP391" s="1">
        <v>0</v>
      </c>
    </row>
    <row r="392" spans="1:42" x14ac:dyDescent="0.3">
      <c r="A392" t="s">
        <v>131</v>
      </c>
      <c r="B392" t="s">
        <v>172</v>
      </c>
      <c r="C392" s="4" t="s">
        <v>43</v>
      </c>
      <c r="D392">
        <v>13</v>
      </c>
      <c r="E392">
        <v>0</v>
      </c>
      <c r="F392">
        <v>0</v>
      </c>
      <c r="G392">
        <v>0</v>
      </c>
      <c r="H392">
        <v>8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 s="1">
        <v>0</v>
      </c>
    </row>
    <row r="393" spans="1:42" x14ac:dyDescent="0.3">
      <c r="A393" t="s">
        <v>131</v>
      </c>
      <c r="B393" t="s">
        <v>172</v>
      </c>
      <c r="C393" s="4" t="s">
        <v>44</v>
      </c>
      <c r="D393">
        <v>22</v>
      </c>
      <c r="E393">
        <v>0</v>
      </c>
      <c r="F393">
        <v>0</v>
      </c>
      <c r="G393">
        <v>0</v>
      </c>
      <c r="H393">
        <v>13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3</v>
      </c>
      <c r="AI393">
        <v>0</v>
      </c>
      <c r="AJ393">
        <v>0</v>
      </c>
      <c r="AK393">
        <v>2</v>
      </c>
      <c r="AL393">
        <v>0</v>
      </c>
      <c r="AM393">
        <v>0</v>
      </c>
      <c r="AN393">
        <v>0</v>
      </c>
      <c r="AO393">
        <v>0</v>
      </c>
      <c r="AP393" s="1">
        <v>0</v>
      </c>
    </row>
    <row r="394" spans="1:42" x14ac:dyDescent="0.3">
      <c r="A394" t="s">
        <v>131</v>
      </c>
      <c r="B394" t="s">
        <v>173</v>
      </c>
      <c r="C394" s="4" t="s">
        <v>40</v>
      </c>
      <c r="D394">
        <v>25</v>
      </c>
      <c r="E394">
        <v>0</v>
      </c>
      <c r="F394">
        <v>0</v>
      </c>
      <c r="G394">
        <v>15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3</v>
      </c>
      <c r="AL394">
        <v>0</v>
      </c>
      <c r="AM394">
        <v>0</v>
      </c>
      <c r="AN394">
        <v>0</v>
      </c>
      <c r="AO394">
        <v>0</v>
      </c>
      <c r="AP394" s="1">
        <v>1</v>
      </c>
    </row>
    <row r="395" spans="1:42" x14ac:dyDescent="0.3">
      <c r="A395" t="s">
        <v>131</v>
      </c>
      <c r="B395" t="s">
        <v>173</v>
      </c>
      <c r="C395" s="4" t="s">
        <v>43</v>
      </c>
      <c r="D395">
        <v>9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</v>
      </c>
      <c r="AL395">
        <v>0</v>
      </c>
      <c r="AM395">
        <v>0</v>
      </c>
      <c r="AN395">
        <v>0</v>
      </c>
      <c r="AO395">
        <v>0</v>
      </c>
      <c r="AP395" s="1">
        <v>0</v>
      </c>
    </row>
    <row r="396" spans="1:42" x14ac:dyDescent="0.3">
      <c r="A396" t="s">
        <v>131</v>
      </c>
      <c r="B396" t="s">
        <v>173</v>
      </c>
      <c r="C396" s="4" t="s">
        <v>44</v>
      </c>
      <c r="D396">
        <v>15</v>
      </c>
      <c r="E396">
        <v>0</v>
      </c>
      <c r="F396">
        <v>0</v>
      </c>
      <c r="G396">
        <v>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s="1">
        <v>1</v>
      </c>
    </row>
    <row r="397" spans="1:42" x14ac:dyDescent="0.3">
      <c r="A397" t="s">
        <v>131</v>
      </c>
      <c r="B397" t="s">
        <v>173</v>
      </c>
      <c r="C397" s="4" t="s">
        <v>94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1">
        <v>0</v>
      </c>
    </row>
    <row r="398" spans="1:42" x14ac:dyDescent="0.3">
      <c r="A398" t="s">
        <v>131</v>
      </c>
      <c r="B398" t="s">
        <v>174</v>
      </c>
      <c r="C398" s="4" t="s">
        <v>40</v>
      </c>
      <c r="D398">
        <v>25</v>
      </c>
      <c r="E398">
        <v>0</v>
      </c>
      <c r="F398">
        <v>0</v>
      </c>
      <c r="G398">
        <v>0</v>
      </c>
      <c r="H398">
        <v>14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3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 s="1">
        <v>0</v>
      </c>
    </row>
    <row r="399" spans="1:42" x14ac:dyDescent="0.3">
      <c r="A399" t="s">
        <v>131</v>
      </c>
      <c r="B399" t="s">
        <v>174</v>
      </c>
      <c r="C399" s="4" t="s">
        <v>43</v>
      </c>
      <c r="D399">
        <v>11</v>
      </c>
      <c r="E399">
        <v>0</v>
      </c>
      <c r="F399">
        <v>0</v>
      </c>
      <c r="G399">
        <v>0</v>
      </c>
      <c r="H399">
        <v>8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1">
        <v>0</v>
      </c>
    </row>
    <row r="400" spans="1:42" x14ac:dyDescent="0.3">
      <c r="A400" t="s">
        <v>131</v>
      </c>
      <c r="B400" t="s">
        <v>174</v>
      </c>
      <c r="C400" s="4" t="s">
        <v>44</v>
      </c>
      <c r="D400">
        <v>14</v>
      </c>
      <c r="E400">
        <v>0</v>
      </c>
      <c r="F400">
        <v>0</v>
      </c>
      <c r="G400">
        <v>0</v>
      </c>
      <c r="H400">
        <v>6</v>
      </c>
      <c r="I400">
        <v>0</v>
      </c>
      <c r="J400">
        <v>0</v>
      </c>
      <c r="K400">
        <v>1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 s="1">
        <v>0</v>
      </c>
    </row>
    <row r="401" spans="1:42" x14ac:dyDescent="0.3">
      <c r="A401" t="s">
        <v>131</v>
      </c>
      <c r="B401" t="s">
        <v>175</v>
      </c>
      <c r="C401" s="4" t="s">
        <v>40</v>
      </c>
      <c r="D401">
        <v>12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3</v>
      </c>
      <c r="AG401">
        <v>1</v>
      </c>
      <c r="AH401">
        <v>0</v>
      </c>
      <c r="AI401">
        <v>0</v>
      </c>
      <c r="AJ401">
        <v>0</v>
      </c>
      <c r="AK401">
        <v>4</v>
      </c>
      <c r="AL401">
        <v>0</v>
      </c>
      <c r="AM401">
        <v>0</v>
      </c>
      <c r="AN401">
        <v>0</v>
      </c>
      <c r="AO401">
        <v>0</v>
      </c>
      <c r="AP401" s="1">
        <v>0</v>
      </c>
    </row>
    <row r="402" spans="1:42" x14ac:dyDescent="0.3">
      <c r="A402" t="s">
        <v>131</v>
      </c>
      <c r="B402" t="s">
        <v>175</v>
      </c>
      <c r="C402" s="4" t="s">
        <v>43</v>
      </c>
      <c r="D402">
        <v>8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2</v>
      </c>
      <c r="AG402">
        <v>1</v>
      </c>
      <c r="AH402">
        <v>0</v>
      </c>
      <c r="AI402">
        <v>0</v>
      </c>
      <c r="AJ402">
        <v>0</v>
      </c>
      <c r="AK402">
        <v>2</v>
      </c>
      <c r="AL402">
        <v>0</v>
      </c>
      <c r="AM402">
        <v>0</v>
      </c>
      <c r="AN402">
        <v>0</v>
      </c>
      <c r="AO402">
        <v>0</v>
      </c>
      <c r="AP402" s="1">
        <v>0</v>
      </c>
    </row>
    <row r="403" spans="1:42" x14ac:dyDescent="0.3">
      <c r="A403" t="s">
        <v>131</v>
      </c>
      <c r="B403" t="s">
        <v>175</v>
      </c>
      <c r="C403" s="4" t="s">
        <v>44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0</v>
      </c>
      <c r="AP403" s="1">
        <v>0</v>
      </c>
    </row>
    <row r="404" spans="1:42" x14ac:dyDescent="0.3">
      <c r="A404" t="s">
        <v>131</v>
      </c>
      <c r="B404" t="s">
        <v>176</v>
      </c>
      <c r="C404" s="4" t="s">
        <v>40</v>
      </c>
      <c r="D404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0</v>
      </c>
      <c r="AP404" s="1">
        <v>0</v>
      </c>
    </row>
    <row r="405" spans="1:42" x14ac:dyDescent="0.3">
      <c r="A405" t="s">
        <v>131</v>
      </c>
      <c r="B405" t="s">
        <v>176</v>
      </c>
      <c r="C405" s="4" t="s">
        <v>43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0</v>
      </c>
      <c r="AM405">
        <v>0</v>
      </c>
      <c r="AN405">
        <v>0</v>
      </c>
      <c r="AO405">
        <v>0</v>
      </c>
      <c r="AP405" s="1">
        <v>0</v>
      </c>
    </row>
    <row r="406" spans="1:42" x14ac:dyDescent="0.3">
      <c r="A406" t="s">
        <v>131</v>
      </c>
      <c r="B406" t="s">
        <v>176</v>
      </c>
      <c r="C406" s="4" t="s">
        <v>44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1">
        <v>0</v>
      </c>
    </row>
    <row r="407" spans="1:42" x14ac:dyDescent="0.3">
      <c r="A407" t="s">
        <v>131</v>
      </c>
      <c r="B407" t="s">
        <v>177</v>
      </c>
      <c r="C407" s="4" t="s">
        <v>40</v>
      </c>
      <c r="D407">
        <v>8</v>
      </c>
      <c r="E407">
        <v>0</v>
      </c>
      <c r="F407">
        <v>0</v>
      </c>
      <c r="G407">
        <v>0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</v>
      </c>
      <c r="AN407">
        <v>0</v>
      </c>
      <c r="AO407">
        <v>0</v>
      </c>
      <c r="AP407" s="1">
        <v>0</v>
      </c>
    </row>
    <row r="408" spans="1:42" x14ac:dyDescent="0.3">
      <c r="A408" t="s">
        <v>131</v>
      </c>
      <c r="B408" t="s">
        <v>177</v>
      </c>
      <c r="C408" s="4" t="s">
        <v>43</v>
      </c>
      <c r="D408">
        <v>5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 s="1">
        <v>0</v>
      </c>
    </row>
    <row r="409" spans="1:42" x14ac:dyDescent="0.3">
      <c r="A409" t="s">
        <v>131</v>
      </c>
      <c r="B409" t="s">
        <v>177</v>
      </c>
      <c r="C409" s="4" t="s">
        <v>44</v>
      </c>
      <c r="D409">
        <v>3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 s="1">
        <v>0</v>
      </c>
    </row>
    <row r="410" spans="1:42" x14ac:dyDescent="0.3">
      <c r="A410" t="s">
        <v>131</v>
      </c>
      <c r="B410" t="s">
        <v>178</v>
      </c>
      <c r="C410" s="4" t="s">
        <v>40</v>
      </c>
      <c r="D410">
        <v>8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1">
        <v>0</v>
      </c>
    </row>
    <row r="411" spans="1:42" x14ac:dyDescent="0.3">
      <c r="A411" t="s">
        <v>131</v>
      </c>
      <c r="B411" t="s">
        <v>178</v>
      </c>
      <c r="C411" s="4" t="s">
        <v>43</v>
      </c>
      <c r="D411">
        <v>4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1">
        <v>0</v>
      </c>
    </row>
    <row r="412" spans="1:42" x14ac:dyDescent="0.3">
      <c r="A412" t="s">
        <v>131</v>
      </c>
      <c r="B412" t="s">
        <v>178</v>
      </c>
      <c r="C412" s="4" t="s">
        <v>44</v>
      </c>
      <c r="D412">
        <v>4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1">
        <v>0</v>
      </c>
    </row>
    <row r="413" spans="1:42" x14ac:dyDescent="0.3">
      <c r="A413" t="s">
        <v>131</v>
      </c>
      <c r="B413" t="s">
        <v>179</v>
      </c>
      <c r="C413" s="4" t="s">
        <v>40</v>
      </c>
      <c r="D413">
        <v>5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1">
        <v>0</v>
      </c>
    </row>
    <row r="414" spans="1:42" x14ac:dyDescent="0.3">
      <c r="A414" t="s">
        <v>131</v>
      </c>
      <c r="B414" t="s">
        <v>179</v>
      </c>
      <c r="C414" s="4" t="s">
        <v>43</v>
      </c>
      <c r="D414">
        <v>2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1">
        <v>0</v>
      </c>
    </row>
    <row r="415" spans="1:42" x14ac:dyDescent="0.3">
      <c r="A415" t="s">
        <v>131</v>
      </c>
      <c r="B415" t="s">
        <v>179</v>
      </c>
      <c r="C415" s="4" t="s">
        <v>44</v>
      </c>
      <c r="D415">
        <v>3</v>
      </c>
      <c r="E415">
        <v>0</v>
      </c>
      <c r="F415">
        <v>0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1">
        <v>0</v>
      </c>
    </row>
    <row r="416" spans="1:42" x14ac:dyDescent="0.3">
      <c r="A416" t="s">
        <v>131</v>
      </c>
      <c r="B416" t="s">
        <v>180</v>
      </c>
      <c r="C416" s="4" t="s">
        <v>40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1">
        <v>0</v>
      </c>
    </row>
    <row r="417" spans="1:42" x14ac:dyDescent="0.3">
      <c r="A417" t="s">
        <v>131</v>
      </c>
      <c r="B417" t="s">
        <v>180</v>
      </c>
      <c r="C417" s="4" t="s">
        <v>43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1">
        <v>0</v>
      </c>
    </row>
    <row r="418" spans="1:42" x14ac:dyDescent="0.3">
      <c r="A418" t="s">
        <v>131</v>
      </c>
      <c r="B418" t="s">
        <v>180</v>
      </c>
      <c r="C418" s="4" t="s">
        <v>44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s="1">
        <v>0</v>
      </c>
    </row>
    <row r="419" spans="1:42" x14ac:dyDescent="0.3">
      <c r="A419" t="s">
        <v>131</v>
      </c>
      <c r="B419" t="s">
        <v>181</v>
      </c>
      <c r="C419" s="4" t="s">
        <v>40</v>
      </c>
      <c r="D419">
        <v>3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1">
        <v>0</v>
      </c>
    </row>
    <row r="420" spans="1:42" x14ac:dyDescent="0.3">
      <c r="A420" t="s">
        <v>131</v>
      </c>
      <c r="B420" t="s">
        <v>181</v>
      </c>
      <c r="C420" s="4" t="s">
        <v>43</v>
      </c>
      <c r="D420">
        <v>2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1">
        <v>0</v>
      </c>
    </row>
    <row r="421" spans="1:42" x14ac:dyDescent="0.3">
      <c r="A421" t="s">
        <v>131</v>
      </c>
      <c r="B421" t="s">
        <v>181</v>
      </c>
      <c r="C421" s="4" t="s">
        <v>44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1">
        <v>0</v>
      </c>
    </row>
    <row r="422" spans="1:42" x14ac:dyDescent="0.3">
      <c r="A422" t="s">
        <v>131</v>
      </c>
      <c r="B422" t="s">
        <v>182</v>
      </c>
      <c r="C422" s="4" t="s">
        <v>40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 s="1">
        <v>0</v>
      </c>
    </row>
    <row r="423" spans="1:42" x14ac:dyDescent="0.3">
      <c r="A423" t="s">
        <v>131</v>
      </c>
      <c r="B423" t="s">
        <v>182</v>
      </c>
      <c r="C423" s="4" t="s">
        <v>43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 s="1">
        <v>0</v>
      </c>
    </row>
    <row r="424" spans="1:42" x14ac:dyDescent="0.3">
      <c r="A424" t="s">
        <v>131</v>
      </c>
      <c r="B424" t="s">
        <v>183</v>
      </c>
      <c r="C424" s="4" t="s">
        <v>40</v>
      </c>
      <c r="D424">
        <v>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s="1">
        <v>0</v>
      </c>
    </row>
    <row r="425" spans="1:42" x14ac:dyDescent="0.3">
      <c r="A425" t="s">
        <v>131</v>
      </c>
      <c r="B425" t="s">
        <v>183</v>
      </c>
      <c r="C425" s="4" t="s">
        <v>43</v>
      </c>
      <c r="D425">
        <v>2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1">
        <v>0</v>
      </c>
    </row>
    <row r="426" spans="1:42" x14ac:dyDescent="0.3">
      <c r="A426" t="s">
        <v>131</v>
      </c>
      <c r="B426" t="s">
        <v>184</v>
      </c>
      <c r="C426" s="4" t="s">
        <v>40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1">
        <v>1</v>
      </c>
    </row>
    <row r="427" spans="1:42" x14ac:dyDescent="0.3">
      <c r="A427" t="s">
        <v>131</v>
      </c>
      <c r="B427" t="s">
        <v>184</v>
      </c>
      <c r="C427" s="4" t="s">
        <v>44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1">
        <v>1</v>
      </c>
    </row>
    <row r="428" spans="1:42" x14ac:dyDescent="0.3">
      <c r="A428" t="s">
        <v>131</v>
      </c>
      <c r="B428" t="s">
        <v>185</v>
      </c>
      <c r="C428" s="4" t="s">
        <v>40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1">
        <v>1</v>
      </c>
    </row>
    <row r="429" spans="1:42" x14ac:dyDescent="0.3">
      <c r="A429" t="s">
        <v>131</v>
      </c>
      <c r="B429" t="s">
        <v>185</v>
      </c>
      <c r="C429" s="4" t="s">
        <v>43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1">
        <v>1</v>
      </c>
    </row>
    <row r="430" spans="1:42" x14ac:dyDescent="0.3">
      <c r="A430" t="s">
        <v>131</v>
      </c>
      <c r="B430" t="s">
        <v>186</v>
      </c>
      <c r="C430" s="4" t="s">
        <v>40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0</v>
      </c>
    </row>
    <row r="431" spans="1:42" x14ac:dyDescent="0.3">
      <c r="A431" t="s">
        <v>131</v>
      </c>
      <c r="B431" t="s">
        <v>186</v>
      </c>
      <c r="C431" s="4" t="s">
        <v>43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1">
        <v>0</v>
      </c>
    </row>
    <row r="432" spans="1:42" x14ac:dyDescent="0.3">
      <c r="A432" t="s">
        <v>187</v>
      </c>
      <c r="B432" t="s">
        <v>40</v>
      </c>
      <c r="C432" s="4" t="s">
        <v>40</v>
      </c>
      <c r="D432" s="1">
        <v>26482</v>
      </c>
      <c r="E432">
        <v>151</v>
      </c>
      <c r="F432">
        <v>90</v>
      </c>
      <c r="G432" s="1">
        <v>2287</v>
      </c>
      <c r="H432" s="1">
        <v>12488</v>
      </c>
      <c r="I432" s="1">
        <v>0</v>
      </c>
      <c r="J432">
        <v>53</v>
      </c>
      <c r="K432">
        <v>17</v>
      </c>
      <c r="L432">
        <v>3</v>
      </c>
      <c r="M432">
        <v>136</v>
      </c>
      <c r="N432">
        <v>0</v>
      </c>
      <c r="O432">
        <v>43</v>
      </c>
      <c r="P432">
        <v>4</v>
      </c>
      <c r="Q432">
        <v>18</v>
      </c>
      <c r="R432">
        <v>8</v>
      </c>
      <c r="S432">
        <v>60</v>
      </c>
      <c r="T432">
        <v>49</v>
      </c>
      <c r="U432">
        <v>16</v>
      </c>
      <c r="V432">
        <v>37</v>
      </c>
      <c r="W432">
        <v>364</v>
      </c>
      <c r="X432">
        <v>10</v>
      </c>
      <c r="Y432">
        <v>22</v>
      </c>
      <c r="Z432">
        <v>22</v>
      </c>
      <c r="AA432">
        <v>84</v>
      </c>
      <c r="AB432">
        <v>174</v>
      </c>
      <c r="AC432">
        <v>0</v>
      </c>
      <c r="AD432">
        <v>1</v>
      </c>
      <c r="AE432">
        <v>0</v>
      </c>
      <c r="AF432">
        <v>77</v>
      </c>
      <c r="AG432">
        <v>130</v>
      </c>
      <c r="AH432">
        <v>190</v>
      </c>
      <c r="AI432" s="1">
        <v>8535</v>
      </c>
      <c r="AJ432">
        <v>500</v>
      </c>
      <c r="AK432">
        <v>775</v>
      </c>
      <c r="AL432">
        <v>1</v>
      </c>
      <c r="AM432">
        <v>71</v>
      </c>
      <c r="AN432">
        <v>0</v>
      </c>
      <c r="AO432">
        <v>6</v>
      </c>
      <c r="AP432" s="1">
        <v>60</v>
      </c>
    </row>
    <row r="433" spans="1:42" x14ac:dyDescent="0.3">
      <c r="A433" t="s">
        <v>187</v>
      </c>
      <c r="B433" t="s">
        <v>40</v>
      </c>
      <c r="C433" s="4" t="s">
        <v>43</v>
      </c>
      <c r="D433" s="1">
        <f>D437+D441+D444+D447+D450+D453+D456+D459+D462+D465+D468+D471+D474+D477</f>
        <v>13089</v>
      </c>
      <c r="E433" s="1">
        <f t="shared" ref="E433:AP433" si="13">E437+E441+E444+E447+E450+E453+E456+E459+E462+E465+E468+E471+E474+E477</f>
        <v>72</v>
      </c>
      <c r="F433" s="1">
        <f t="shared" si="13"/>
        <v>67</v>
      </c>
      <c r="G433" s="1">
        <f t="shared" si="13"/>
        <v>1196</v>
      </c>
      <c r="H433" s="1">
        <f t="shared" si="13"/>
        <v>6189</v>
      </c>
      <c r="I433" s="1">
        <f t="shared" si="13"/>
        <v>0</v>
      </c>
      <c r="J433" s="1">
        <f t="shared" si="13"/>
        <v>29</v>
      </c>
      <c r="K433" s="1">
        <f t="shared" si="13"/>
        <v>14</v>
      </c>
      <c r="L433" s="1">
        <f t="shared" si="13"/>
        <v>2</v>
      </c>
      <c r="M433" s="1">
        <f t="shared" si="13"/>
        <v>57</v>
      </c>
      <c r="N433" s="1">
        <f t="shared" si="13"/>
        <v>0</v>
      </c>
      <c r="O433" s="1">
        <f t="shared" si="13"/>
        <v>13</v>
      </c>
      <c r="P433" s="1">
        <f t="shared" si="13"/>
        <v>2</v>
      </c>
      <c r="Q433" s="1">
        <f t="shared" si="13"/>
        <v>11</v>
      </c>
      <c r="R433" s="1">
        <f t="shared" si="13"/>
        <v>6</v>
      </c>
      <c r="S433" s="1">
        <f t="shared" si="13"/>
        <v>52</v>
      </c>
      <c r="T433" s="1">
        <f t="shared" si="13"/>
        <v>46</v>
      </c>
      <c r="U433" s="1">
        <f t="shared" si="13"/>
        <v>8</v>
      </c>
      <c r="V433" s="1">
        <f t="shared" si="13"/>
        <v>29</v>
      </c>
      <c r="W433" s="1">
        <f t="shared" si="13"/>
        <v>131</v>
      </c>
      <c r="X433" s="1">
        <f t="shared" si="13"/>
        <v>9</v>
      </c>
      <c r="Y433" s="1">
        <f t="shared" si="13"/>
        <v>22</v>
      </c>
      <c r="Z433" s="1">
        <f t="shared" si="13"/>
        <v>22</v>
      </c>
      <c r="AA433" s="1">
        <f t="shared" si="13"/>
        <v>54</v>
      </c>
      <c r="AB433" s="1">
        <f t="shared" si="13"/>
        <v>105</v>
      </c>
      <c r="AC433" s="1">
        <f t="shared" si="13"/>
        <v>0</v>
      </c>
      <c r="AD433" s="1">
        <f t="shared" si="13"/>
        <v>1</v>
      </c>
      <c r="AE433" s="1">
        <f t="shared" si="13"/>
        <v>0</v>
      </c>
      <c r="AF433" s="1">
        <f t="shared" si="13"/>
        <v>45</v>
      </c>
      <c r="AG433" s="1">
        <f t="shared" si="13"/>
        <v>75</v>
      </c>
      <c r="AH433" s="1">
        <f t="shared" si="13"/>
        <v>76</v>
      </c>
      <c r="AI433" s="1">
        <f t="shared" si="13"/>
        <v>3806</v>
      </c>
      <c r="AJ433" s="1">
        <f t="shared" si="13"/>
        <v>318</v>
      </c>
      <c r="AK433" s="1">
        <f t="shared" si="13"/>
        <v>576</v>
      </c>
      <c r="AL433" s="1">
        <f t="shared" si="13"/>
        <v>0</v>
      </c>
      <c r="AM433" s="1">
        <f t="shared" si="13"/>
        <v>32</v>
      </c>
      <c r="AN433" s="1">
        <f t="shared" si="13"/>
        <v>0</v>
      </c>
      <c r="AO433" s="1">
        <f t="shared" si="13"/>
        <v>3</v>
      </c>
      <c r="AP433" s="1">
        <f t="shared" si="13"/>
        <v>21</v>
      </c>
    </row>
    <row r="434" spans="1:42" x14ac:dyDescent="0.3">
      <c r="A434" t="s">
        <v>187</v>
      </c>
      <c r="B434" t="s">
        <v>40</v>
      </c>
      <c r="C434" s="4" t="s">
        <v>44</v>
      </c>
      <c r="D434" s="1">
        <f>D438+D442+D445+D448+D451+D454+D457+D460+D463+D466+D469+D472+D475</f>
        <v>13392</v>
      </c>
      <c r="E434" s="1">
        <f t="shared" ref="E434:AP434" si="14">E438+E442+E445+E448+E451+E454+E457+E460+E463+E466+E469+E472+E475</f>
        <v>79</v>
      </c>
      <c r="F434" s="1">
        <f t="shared" si="14"/>
        <v>23</v>
      </c>
      <c r="G434" s="1">
        <f t="shared" si="14"/>
        <v>1091</v>
      </c>
      <c r="H434" s="1">
        <f t="shared" si="14"/>
        <v>6298</v>
      </c>
      <c r="I434" s="1">
        <f t="shared" si="14"/>
        <v>0</v>
      </c>
      <c r="J434" s="1">
        <f t="shared" si="14"/>
        <v>24</v>
      </c>
      <c r="K434" s="1">
        <f t="shared" si="14"/>
        <v>3</v>
      </c>
      <c r="L434" s="1">
        <f t="shared" si="14"/>
        <v>1</v>
      </c>
      <c r="M434" s="1">
        <f t="shared" si="14"/>
        <v>79</v>
      </c>
      <c r="N434" s="1">
        <f t="shared" si="14"/>
        <v>0</v>
      </c>
      <c r="O434" s="1">
        <f t="shared" si="14"/>
        <v>30</v>
      </c>
      <c r="P434" s="1">
        <f t="shared" si="14"/>
        <v>2</v>
      </c>
      <c r="Q434" s="1">
        <f t="shared" si="14"/>
        <v>7</v>
      </c>
      <c r="R434" s="1">
        <f t="shared" si="14"/>
        <v>2</v>
      </c>
      <c r="S434" s="1">
        <f t="shared" si="14"/>
        <v>8</v>
      </c>
      <c r="T434" s="1">
        <f t="shared" si="14"/>
        <v>3</v>
      </c>
      <c r="U434" s="1">
        <f t="shared" si="14"/>
        <v>8</v>
      </c>
      <c r="V434" s="1">
        <f t="shared" si="14"/>
        <v>8</v>
      </c>
      <c r="W434" s="1">
        <f t="shared" si="14"/>
        <v>233</v>
      </c>
      <c r="X434" s="1">
        <f t="shared" si="14"/>
        <v>1</v>
      </c>
      <c r="Y434" s="1">
        <f t="shared" si="14"/>
        <v>0</v>
      </c>
      <c r="Z434" s="1">
        <f t="shared" si="14"/>
        <v>0</v>
      </c>
      <c r="AA434" s="1">
        <f t="shared" si="14"/>
        <v>30</v>
      </c>
      <c r="AB434" s="1">
        <f t="shared" si="14"/>
        <v>69</v>
      </c>
      <c r="AC434" s="1">
        <f t="shared" si="14"/>
        <v>0</v>
      </c>
      <c r="AD434" s="1">
        <f t="shared" si="14"/>
        <v>0</v>
      </c>
      <c r="AE434" s="1">
        <f t="shared" si="14"/>
        <v>0</v>
      </c>
      <c r="AF434" s="1">
        <f t="shared" si="14"/>
        <v>32</v>
      </c>
      <c r="AG434" s="1">
        <f t="shared" si="14"/>
        <v>55</v>
      </c>
      <c r="AH434" s="1">
        <f t="shared" si="14"/>
        <v>114</v>
      </c>
      <c r="AI434" s="1">
        <f t="shared" si="14"/>
        <v>4729</v>
      </c>
      <c r="AJ434" s="1">
        <f t="shared" si="14"/>
        <v>182</v>
      </c>
      <c r="AK434" s="1">
        <f t="shared" si="14"/>
        <v>199</v>
      </c>
      <c r="AL434" s="1">
        <f t="shared" si="14"/>
        <v>1</v>
      </c>
      <c r="AM434" s="1">
        <f t="shared" si="14"/>
        <v>39</v>
      </c>
      <c r="AN434" s="1">
        <f t="shared" si="14"/>
        <v>0</v>
      </c>
      <c r="AO434" s="1">
        <f t="shared" si="14"/>
        <v>3</v>
      </c>
      <c r="AP434" s="1">
        <f t="shared" si="14"/>
        <v>39</v>
      </c>
    </row>
    <row r="435" spans="1:42" x14ac:dyDescent="0.3">
      <c r="A435" t="s">
        <v>187</v>
      </c>
      <c r="B435" t="s">
        <v>40</v>
      </c>
      <c r="C435" s="4" t="s">
        <v>94</v>
      </c>
      <c r="D435" s="1">
        <f>D439</f>
        <v>1</v>
      </c>
      <c r="E435" s="1">
        <f t="shared" ref="E435:AP435" si="15">E439</f>
        <v>0</v>
      </c>
      <c r="F435" s="1">
        <f t="shared" si="15"/>
        <v>0</v>
      </c>
      <c r="G435" s="1">
        <f t="shared" si="15"/>
        <v>0</v>
      </c>
      <c r="H435" s="1">
        <f t="shared" si="15"/>
        <v>1</v>
      </c>
      <c r="I435" s="1">
        <f t="shared" si="15"/>
        <v>0</v>
      </c>
      <c r="J435" s="1">
        <f t="shared" si="15"/>
        <v>0</v>
      </c>
      <c r="K435" s="1">
        <f t="shared" si="15"/>
        <v>0</v>
      </c>
      <c r="L435" s="1">
        <f t="shared" si="15"/>
        <v>0</v>
      </c>
      <c r="M435" s="1">
        <f t="shared" si="15"/>
        <v>0</v>
      </c>
      <c r="N435" s="1">
        <f t="shared" si="15"/>
        <v>0</v>
      </c>
      <c r="O435" s="1">
        <f t="shared" si="15"/>
        <v>0</v>
      </c>
      <c r="P435" s="1">
        <f t="shared" si="15"/>
        <v>0</v>
      </c>
      <c r="Q435" s="1">
        <f t="shared" si="15"/>
        <v>0</v>
      </c>
      <c r="R435" s="1">
        <f t="shared" si="15"/>
        <v>0</v>
      </c>
      <c r="S435" s="1">
        <f t="shared" si="15"/>
        <v>0</v>
      </c>
      <c r="T435" s="1">
        <f t="shared" si="15"/>
        <v>0</v>
      </c>
      <c r="U435" s="1">
        <f t="shared" si="15"/>
        <v>0</v>
      </c>
      <c r="V435" s="1">
        <f t="shared" si="15"/>
        <v>0</v>
      </c>
      <c r="W435" s="1">
        <f t="shared" si="15"/>
        <v>0</v>
      </c>
      <c r="X435" s="1">
        <f t="shared" si="15"/>
        <v>0</v>
      </c>
      <c r="Y435" s="1">
        <f t="shared" si="15"/>
        <v>0</v>
      </c>
      <c r="Z435" s="1">
        <f t="shared" si="15"/>
        <v>0</v>
      </c>
      <c r="AA435" s="1">
        <f t="shared" si="15"/>
        <v>0</v>
      </c>
      <c r="AB435" s="1">
        <f t="shared" si="15"/>
        <v>0</v>
      </c>
      <c r="AC435" s="1">
        <f t="shared" si="15"/>
        <v>0</v>
      </c>
      <c r="AD435" s="1">
        <f t="shared" si="15"/>
        <v>0</v>
      </c>
      <c r="AE435" s="1">
        <f t="shared" si="15"/>
        <v>0</v>
      </c>
      <c r="AF435" s="1">
        <f t="shared" si="15"/>
        <v>0</v>
      </c>
      <c r="AG435" s="1">
        <f t="shared" si="15"/>
        <v>0</v>
      </c>
      <c r="AH435" s="1">
        <f t="shared" si="15"/>
        <v>0</v>
      </c>
      <c r="AI435" s="1">
        <f t="shared" si="15"/>
        <v>0</v>
      </c>
      <c r="AJ435" s="1">
        <f t="shared" si="15"/>
        <v>0</v>
      </c>
      <c r="AK435" s="1">
        <f t="shared" si="15"/>
        <v>0</v>
      </c>
      <c r="AL435" s="1">
        <f t="shared" si="15"/>
        <v>0</v>
      </c>
      <c r="AM435" s="1">
        <f t="shared" si="15"/>
        <v>0</v>
      </c>
      <c r="AN435" s="1">
        <f t="shared" si="15"/>
        <v>0</v>
      </c>
      <c r="AO435" s="1">
        <f t="shared" si="15"/>
        <v>0</v>
      </c>
      <c r="AP435" s="1">
        <f t="shared" si="15"/>
        <v>0</v>
      </c>
    </row>
    <row r="436" spans="1:42" x14ac:dyDescent="0.3">
      <c r="A436" t="s">
        <v>187</v>
      </c>
      <c r="B436" t="s">
        <v>188</v>
      </c>
      <c r="C436" s="4" t="s">
        <v>40</v>
      </c>
      <c r="D436" s="1">
        <v>20441</v>
      </c>
      <c r="E436">
        <v>98</v>
      </c>
      <c r="F436">
        <v>65</v>
      </c>
      <c r="G436">
        <v>81</v>
      </c>
      <c r="H436" s="1">
        <v>12388</v>
      </c>
      <c r="I436">
        <v>0</v>
      </c>
      <c r="J436">
        <v>16</v>
      </c>
      <c r="K436">
        <v>15</v>
      </c>
      <c r="L436">
        <v>3</v>
      </c>
      <c r="M436">
        <v>108</v>
      </c>
      <c r="N436">
        <v>0</v>
      </c>
      <c r="O436">
        <v>31</v>
      </c>
      <c r="P436">
        <v>4</v>
      </c>
      <c r="Q436">
        <v>14</v>
      </c>
      <c r="R436">
        <v>6</v>
      </c>
      <c r="S436">
        <v>46</v>
      </c>
      <c r="T436">
        <v>43</v>
      </c>
      <c r="U436">
        <v>8</v>
      </c>
      <c r="V436">
        <v>25</v>
      </c>
      <c r="W436">
        <v>238</v>
      </c>
      <c r="X436">
        <v>9</v>
      </c>
      <c r="Y436">
        <v>18</v>
      </c>
      <c r="Z436">
        <v>14</v>
      </c>
      <c r="AA436">
        <v>74</v>
      </c>
      <c r="AB436">
        <v>114</v>
      </c>
      <c r="AC436">
        <v>0</v>
      </c>
      <c r="AD436">
        <v>0</v>
      </c>
      <c r="AE436">
        <v>0</v>
      </c>
      <c r="AF436">
        <v>61</v>
      </c>
      <c r="AG436">
        <v>89</v>
      </c>
      <c r="AH436">
        <v>154</v>
      </c>
      <c r="AI436" s="1">
        <v>5755</v>
      </c>
      <c r="AJ436">
        <v>325</v>
      </c>
      <c r="AK436">
        <v>550</v>
      </c>
      <c r="AL436">
        <v>1</v>
      </c>
      <c r="AM436">
        <v>63</v>
      </c>
      <c r="AN436">
        <v>0</v>
      </c>
      <c r="AO436">
        <v>4</v>
      </c>
      <c r="AP436" s="1">
        <v>21</v>
      </c>
    </row>
    <row r="437" spans="1:42" x14ac:dyDescent="0.3">
      <c r="A437" t="s">
        <v>187</v>
      </c>
      <c r="B437" t="s">
        <v>188</v>
      </c>
      <c r="C437" s="4" t="s">
        <v>43</v>
      </c>
      <c r="D437" s="1">
        <v>9861</v>
      </c>
      <c r="E437">
        <v>49</v>
      </c>
      <c r="F437">
        <v>48</v>
      </c>
      <c r="G437">
        <v>37</v>
      </c>
      <c r="H437" s="1">
        <v>6132</v>
      </c>
      <c r="I437">
        <v>0</v>
      </c>
      <c r="J437">
        <v>9</v>
      </c>
      <c r="K437">
        <v>13</v>
      </c>
      <c r="L437">
        <v>2</v>
      </c>
      <c r="M437">
        <v>47</v>
      </c>
      <c r="N437">
        <v>0</v>
      </c>
      <c r="O437">
        <v>8</v>
      </c>
      <c r="P437">
        <v>2</v>
      </c>
      <c r="Q437">
        <v>8</v>
      </c>
      <c r="R437">
        <v>5</v>
      </c>
      <c r="S437">
        <v>39</v>
      </c>
      <c r="T437">
        <v>41</v>
      </c>
      <c r="U437">
        <v>1</v>
      </c>
      <c r="V437">
        <v>21</v>
      </c>
      <c r="W437">
        <v>83</v>
      </c>
      <c r="X437">
        <v>8</v>
      </c>
      <c r="Y437">
        <v>18</v>
      </c>
      <c r="Z437">
        <v>14</v>
      </c>
      <c r="AA437">
        <v>46</v>
      </c>
      <c r="AB437">
        <v>69</v>
      </c>
      <c r="AC437">
        <v>0</v>
      </c>
      <c r="AD437">
        <v>0</v>
      </c>
      <c r="AE437">
        <v>0</v>
      </c>
      <c r="AF437">
        <v>41</v>
      </c>
      <c r="AG437">
        <v>54</v>
      </c>
      <c r="AH437">
        <v>62</v>
      </c>
      <c r="AI437" s="1">
        <v>2376</v>
      </c>
      <c r="AJ437">
        <v>191</v>
      </c>
      <c r="AK437">
        <v>400</v>
      </c>
      <c r="AL437">
        <v>0</v>
      </c>
      <c r="AM437">
        <v>26</v>
      </c>
      <c r="AN437">
        <v>0</v>
      </c>
      <c r="AO437">
        <v>1</v>
      </c>
      <c r="AP437" s="1">
        <v>10</v>
      </c>
    </row>
    <row r="438" spans="1:42" x14ac:dyDescent="0.3">
      <c r="A438" t="s">
        <v>187</v>
      </c>
      <c r="B438" t="s">
        <v>188</v>
      </c>
      <c r="C438" s="4" t="s">
        <v>44</v>
      </c>
      <c r="D438" s="1">
        <v>10579</v>
      </c>
      <c r="E438">
        <v>49</v>
      </c>
      <c r="F438">
        <v>17</v>
      </c>
      <c r="G438">
        <v>44</v>
      </c>
      <c r="H438" s="1">
        <v>6255</v>
      </c>
      <c r="I438">
        <v>0</v>
      </c>
      <c r="J438">
        <v>7</v>
      </c>
      <c r="K438">
        <v>2</v>
      </c>
      <c r="L438">
        <v>1</v>
      </c>
      <c r="M438">
        <v>61</v>
      </c>
      <c r="N438">
        <v>0</v>
      </c>
      <c r="O438">
        <v>23</v>
      </c>
      <c r="P438">
        <v>2</v>
      </c>
      <c r="Q438">
        <v>6</v>
      </c>
      <c r="R438">
        <v>1</v>
      </c>
      <c r="S438">
        <v>7</v>
      </c>
      <c r="T438">
        <v>2</v>
      </c>
      <c r="U438">
        <v>7</v>
      </c>
      <c r="V438">
        <v>4</v>
      </c>
      <c r="W438">
        <v>155</v>
      </c>
      <c r="X438">
        <v>1</v>
      </c>
      <c r="Y438">
        <v>0</v>
      </c>
      <c r="Z438">
        <v>0</v>
      </c>
      <c r="AA438">
        <v>28</v>
      </c>
      <c r="AB438">
        <v>45</v>
      </c>
      <c r="AC438">
        <v>0</v>
      </c>
      <c r="AD438">
        <v>0</v>
      </c>
      <c r="AE438">
        <v>0</v>
      </c>
      <c r="AF438">
        <v>20</v>
      </c>
      <c r="AG438">
        <v>35</v>
      </c>
      <c r="AH438">
        <v>92</v>
      </c>
      <c r="AI438" s="1">
        <v>3379</v>
      </c>
      <c r="AJ438">
        <v>134</v>
      </c>
      <c r="AK438">
        <v>150</v>
      </c>
      <c r="AL438">
        <v>1</v>
      </c>
      <c r="AM438">
        <v>37</v>
      </c>
      <c r="AN438">
        <v>0</v>
      </c>
      <c r="AO438">
        <v>3</v>
      </c>
      <c r="AP438" s="1">
        <v>11</v>
      </c>
    </row>
    <row r="439" spans="1:42" x14ac:dyDescent="0.3">
      <c r="A439" t="s">
        <v>187</v>
      </c>
      <c r="B439" t="s">
        <v>188</v>
      </c>
      <c r="C439" s="4" t="s">
        <v>94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s="1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1">
        <v>0</v>
      </c>
    </row>
    <row r="440" spans="1:42" x14ac:dyDescent="0.3">
      <c r="A440" t="s">
        <v>187</v>
      </c>
      <c r="B440" t="s">
        <v>189</v>
      </c>
      <c r="C440" s="4" t="s">
        <v>40</v>
      </c>
      <c r="D440" s="1">
        <v>5731</v>
      </c>
      <c r="E440">
        <v>29</v>
      </c>
      <c r="F440">
        <v>19</v>
      </c>
      <c r="G440" s="1">
        <v>2206</v>
      </c>
      <c r="H440">
        <v>5</v>
      </c>
      <c r="I440">
        <v>0</v>
      </c>
      <c r="J440">
        <v>8</v>
      </c>
      <c r="K440">
        <v>2</v>
      </c>
      <c r="L440">
        <v>0</v>
      </c>
      <c r="M440">
        <v>8</v>
      </c>
      <c r="N440">
        <v>0</v>
      </c>
      <c r="O440">
        <v>6</v>
      </c>
      <c r="P440">
        <v>0</v>
      </c>
      <c r="Q440">
        <v>3</v>
      </c>
      <c r="R440">
        <v>2</v>
      </c>
      <c r="S440">
        <v>11</v>
      </c>
      <c r="T440">
        <v>6</v>
      </c>
      <c r="U440">
        <v>6</v>
      </c>
      <c r="V440">
        <v>12</v>
      </c>
      <c r="W440">
        <v>126</v>
      </c>
      <c r="X440">
        <v>1</v>
      </c>
      <c r="Y440">
        <v>4</v>
      </c>
      <c r="Z440">
        <v>8</v>
      </c>
      <c r="AA440">
        <v>9</v>
      </c>
      <c r="AB440">
        <v>58</v>
      </c>
      <c r="AC440">
        <v>0</v>
      </c>
      <c r="AD440">
        <v>0</v>
      </c>
      <c r="AE440">
        <v>0</v>
      </c>
      <c r="AF440">
        <v>15</v>
      </c>
      <c r="AG440">
        <v>33</v>
      </c>
      <c r="AH440">
        <v>32</v>
      </c>
      <c r="AI440" s="1">
        <v>2727</v>
      </c>
      <c r="AJ440">
        <v>166</v>
      </c>
      <c r="AK440">
        <v>211</v>
      </c>
      <c r="AL440">
        <v>0</v>
      </c>
      <c r="AM440">
        <v>8</v>
      </c>
      <c r="AN440">
        <v>0</v>
      </c>
      <c r="AO440">
        <v>2</v>
      </c>
      <c r="AP440" s="1">
        <v>8</v>
      </c>
    </row>
    <row r="441" spans="1:42" x14ac:dyDescent="0.3">
      <c r="A441" t="s">
        <v>187</v>
      </c>
      <c r="B441" t="s">
        <v>189</v>
      </c>
      <c r="C441" s="4" t="s">
        <v>43</v>
      </c>
      <c r="D441" s="1">
        <v>3054</v>
      </c>
      <c r="E441">
        <v>11</v>
      </c>
      <c r="F441">
        <v>16</v>
      </c>
      <c r="G441" s="1">
        <v>1159</v>
      </c>
      <c r="H441">
        <v>2</v>
      </c>
      <c r="I441">
        <v>0</v>
      </c>
      <c r="J441">
        <v>5</v>
      </c>
      <c r="K441">
        <v>1</v>
      </c>
      <c r="L441">
        <v>0</v>
      </c>
      <c r="M441">
        <v>3</v>
      </c>
      <c r="N441">
        <v>0</v>
      </c>
      <c r="O441">
        <v>3</v>
      </c>
      <c r="P441">
        <v>0</v>
      </c>
      <c r="Q441">
        <v>3</v>
      </c>
      <c r="R441">
        <v>1</v>
      </c>
      <c r="S441">
        <v>10</v>
      </c>
      <c r="T441">
        <v>5</v>
      </c>
      <c r="U441">
        <v>6</v>
      </c>
      <c r="V441">
        <v>8</v>
      </c>
      <c r="W441">
        <v>48</v>
      </c>
      <c r="X441">
        <v>1</v>
      </c>
      <c r="Y441">
        <v>4</v>
      </c>
      <c r="Z441">
        <v>8</v>
      </c>
      <c r="AA441">
        <v>7</v>
      </c>
      <c r="AB441">
        <v>34</v>
      </c>
      <c r="AC441">
        <v>0</v>
      </c>
      <c r="AD441">
        <v>0</v>
      </c>
      <c r="AE441">
        <v>0</v>
      </c>
      <c r="AF441">
        <v>4</v>
      </c>
      <c r="AG441">
        <v>13</v>
      </c>
      <c r="AH441">
        <v>13</v>
      </c>
      <c r="AI441" s="1">
        <v>1391</v>
      </c>
      <c r="AJ441">
        <v>120</v>
      </c>
      <c r="AK441">
        <v>167</v>
      </c>
      <c r="AL441">
        <v>0</v>
      </c>
      <c r="AM441">
        <v>6</v>
      </c>
      <c r="AN441">
        <v>0</v>
      </c>
      <c r="AO441">
        <v>2</v>
      </c>
      <c r="AP441" s="1">
        <v>3</v>
      </c>
    </row>
    <row r="442" spans="1:42" x14ac:dyDescent="0.3">
      <c r="A442" t="s">
        <v>187</v>
      </c>
      <c r="B442" t="s">
        <v>189</v>
      </c>
      <c r="C442" s="4" t="s">
        <v>44</v>
      </c>
      <c r="D442" s="1">
        <v>2677</v>
      </c>
      <c r="E442">
        <v>18</v>
      </c>
      <c r="F442">
        <v>3</v>
      </c>
      <c r="G442" s="1">
        <v>1047</v>
      </c>
      <c r="H442">
        <v>3</v>
      </c>
      <c r="I442">
        <v>0</v>
      </c>
      <c r="J442">
        <v>3</v>
      </c>
      <c r="K442">
        <v>1</v>
      </c>
      <c r="L442">
        <v>0</v>
      </c>
      <c r="M442">
        <v>5</v>
      </c>
      <c r="N442">
        <v>0</v>
      </c>
      <c r="O442">
        <v>3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0</v>
      </c>
      <c r="V442">
        <v>4</v>
      </c>
      <c r="W442">
        <v>78</v>
      </c>
      <c r="X442">
        <v>0</v>
      </c>
      <c r="Y442">
        <v>0</v>
      </c>
      <c r="Z442">
        <v>0</v>
      </c>
      <c r="AA442">
        <v>2</v>
      </c>
      <c r="AB442">
        <v>24</v>
      </c>
      <c r="AC442">
        <v>0</v>
      </c>
      <c r="AD442">
        <v>0</v>
      </c>
      <c r="AE442">
        <v>0</v>
      </c>
      <c r="AF442">
        <v>11</v>
      </c>
      <c r="AG442">
        <v>20</v>
      </c>
      <c r="AH442">
        <v>19</v>
      </c>
      <c r="AI442" s="1">
        <v>1336</v>
      </c>
      <c r="AJ442">
        <v>46</v>
      </c>
      <c r="AK442">
        <v>44</v>
      </c>
      <c r="AL442">
        <v>0</v>
      </c>
      <c r="AM442">
        <v>2</v>
      </c>
      <c r="AN442">
        <v>0</v>
      </c>
      <c r="AO442">
        <v>0</v>
      </c>
      <c r="AP442" s="1">
        <v>5</v>
      </c>
    </row>
    <row r="443" spans="1:42" x14ac:dyDescent="0.3">
      <c r="A443" t="s">
        <v>187</v>
      </c>
      <c r="B443" t="s">
        <v>190</v>
      </c>
      <c r="C443" s="4" t="s">
        <v>40</v>
      </c>
      <c r="D443">
        <v>113</v>
      </c>
      <c r="E443">
        <v>2</v>
      </c>
      <c r="F443">
        <v>4</v>
      </c>
      <c r="G443" s="1">
        <v>0</v>
      </c>
      <c r="H443">
        <v>51</v>
      </c>
      <c r="I443">
        <v>0</v>
      </c>
      <c r="J443">
        <v>2</v>
      </c>
      <c r="K443">
        <v>0</v>
      </c>
      <c r="L443">
        <v>0</v>
      </c>
      <c r="M443">
        <v>12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30</v>
      </c>
      <c r="AJ443">
        <v>2</v>
      </c>
      <c r="AK443">
        <v>5</v>
      </c>
      <c r="AL443">
        <v>0</v>
      </c>
      <c r="AM443">
        <v>0</v>
      </c>
      <c r="AN443">
        <v>0</v>
      </c>
      <c r="AO443">
        <v>0</v>
      </c>
      <c r="AP443" s="1">
        <v>1</v>
      </c>
    </row>
    <row r="444" spans="1:42" x14ac:dyDescent="0.3">
      <c r="A444" t="s">
        <v>187</v>
      </c>
      <c r="B444" t="s">
        <v>190</v>
      </c>
      <c r="C444" s="4" t="s">
        <v>43</v>
      </c>
      <c r="D444">
        <v>61</v>
      </c>
      <c r="E444">
        <v>2</v>
      </c>
      <c r="F444">
        <v>1</v>
      </c>
      <c r="G444" s="1">
        <v>0</v>
      </c>
      <c r="H444">
        <v>26</v>
      </c>
      <c r="I444">
        <v>0</v>
      </c>
      <c r="J444">
        <v>1</v>
      </c>
      <c r="K444">
        <v>0</v>
      </c>
      <c r="L444">
        <v>0</v>
      </c>
      <c r="M444">
        <v>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22</v>
      </c>
      <c r="AJ444">
        <v>1</v>
      </c>
      <c r="AK444">
        <v>3</v>
      </c>
      <c r="AL444">
        <v>0</v>
      </c>
      <c r="AM444">
        <v>0</v>
      </c>
      <c r="AN444">
        <v>0</v>
      </c>
      <c r="AO444">
        <v>0</v>
      </c>
      <c r="AP444" s="1">
        <v>0</v>
      </c>
    </row>
    <row r="445" spans="1:42" x14ac:dyDescent="0.3">
      <c r="A445" t="s">
        <v>187</v>
      </c>
      <c r="B445" t="s">
        <v>190</v>
      </c>
      <c r="C445" s="4" t="s">
        <v>44</v>
      </c>
      <c r="D445">
        <v>52</v>
      </c>
      <c r="E445">
        <v>0</v>
      </c>
      <c r="F445">
        <v>3</v>
      </c>
      <c r="G445" s="1">
        <v>0</v>
      </c>
      <c r="H445">
        <v>25</v>
      </c>
      <c r="I445">
        <v>0</v>
      </c>
      <c r="J445">
        <v>1</v>
      </c>
      <c r="K445">
        <v>0</v>
      </c>
      <c r="L445">
        <v>0</v>
      </c>
      <c r="M445">
        <v>9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8</v>
      </c>
      <c r="AJ445">
        <v>1</v>
      </c>
      <c r="AK445">
        <v>2</v>
      </c>
      <c r="AL445">
        <v>0</v>
      </c>
      <c r="AM445">
        <v>0</v>
      </c>
      <c r="AN445">
        <v>0</v>
      </c>
      <c r="AO445">
        <v>0</v>
      </c>
      <c r="AP445" s="1">
        <v>1</v>
      </c>
    </row>
    <row r="446" spans="1:42" x14ac:dyDescent="0.3">
      <c r="A446" t="s">
        <v>187</v>
      </c>
      <c r="B446" t="s">
        <v>191</v>
      </c>
      <c r="C446" s="4" t="s">
        <v>40</v>
      </c>
      <c r="D446">
        <v>44</v>
      </c>
      <c r="E446">
        <v>1</v>
      </c>
      <c r="F446">
        <v>0</v>
      </c>
      <c r="G446" s="1">
        <v>0</v>
      </c>
      <c r="H446">
        <v>2</v>
      </c>
      <c r="I446">
        <v>0</v>
      </c>
      <c r="J446">
        <v>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7</v>
      </c>
      <c r="AH446">
        <v>1</v>
      </c>
      <c r="AI446">
        <v>14</v>
      </c>
      <c r="AJ446">
        <v>7</v>
      </c>
      <c r="AK446">
        <v>4</v>
      </c>
      <c r="AL446">
        <v>0</v>
      </c>
      <c r="AM446">
        <v>0</v>
      </c>
      <c r="AN446">
        <v>0</v>
      </c>
      <c r="AO446">
        <v>0</v>
      </c>
      <c r="AP446" s="1">
        <v>1</v>
      </c>
    </row>
    <row r="447" spans="1:42" x14ac:dyDescent="0.3">
      <c r="A447" t="s">
        <v>187</v>
      </c>
      <c r="B447" t="s">
        <v>191</v>
      </c>
      <c r="C447" s="4" t="s">
        <v>43</v>
      </c>
      <c r="D447">
        <v>37</v>
      </c>
      <c r="E447">
        <v>1</v>
      </c>
      <c r="F447">
        <v>0</v>
      </c>
      <c r="G447" s="1">
        <v>0</v>
      </c>
      <c r="H447">
        <v>2</v>
      </c>
      <c r="I447">
        <v>0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7</v>
      </c>
      <c r="AH447">
        <v>1</v>
      </c>
      <c r="AI447">
        <v>10</v>
      </c>
      <c r="AJ447">
        <v>6</v>
      </c>
      <c r="AK447">
        <v>3</v>
      </c>
      <c r="AL447">
        <v>0</v>
      </c>
      <c r="AM447">
        <v>0</v>
      </c>
      <c r="AN447">
        <v>0</v>
      </c>
      <c r="AO447">
        <v>0</v>
      </c>
      <c r="AP447" s="1">
        <v>1</v>
      </c>
    </row>
    <row r="448" spans="1:42" x14ac:dyDescent="0.3">
      <c r="A448" t="s">
        <v>187</v>
      </c>
      <c r="B448" t="s">
        <v>191</v>
      </c>
      <c r="C448" s="4" t="s">
        <v>44</v>
      </c>
      <c r="D448">
        <v>7</v>
      </c>
      <c r="E448">
        <v>0</v>
      </c>
      <c r="F448">
        <v>0</v>
      </c>
      <c r="G448" s="1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4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0</v>
      </c>
      <c r="AP448" s="1">
        <v>0</v>
      </c>
    </row>
    <row r="449" spans="1:42" x14ac:dyDescent="0.3">
      <c r="A449" t="s">
        <v>187</v>
      </c>
      <c r="B449" t="s">
        <v>192</v>
      </c>
      <c r="C449" s="4" t="s">
        <v>40</v>
      </c>
      <c r="D449">
        <v>38</v>
      </c>
      <c r="E449">
        <v>8</v>
      </c>
      <c r="F449">
        <v>2</v>
      </c>
      <c r="G449" s="1">
        <v>0</v>
      </c>
      <c r="H449">
        <v>2</v>
      </c>
      <c r="I449">
        <v>0</v>
      </c>
      <c r="J449">
        <v>19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1">
        <v>1</v>
      </c>
    </row>
    <row r="450" spans="1:42" x14ac:dyDescent="0.3">
      <c r="A450" t="s">
        <v>187</v>
      </c>
      <c r="B450" t="s">
        <v>192</v>
      </c>
      <c r="C450" s="4" t="s">
        <v>43</v>
      </c>
      <c r="D450">
        <v>21</v>
      </c>
      <c r="E450">
        <v>3</v>
      </c>
      <c r="F450">
        <v>2</v>
      </c>
      <c r="G450" s="1">
        <v>0</v>
      </c>
      <c r="H450">
        <v>2</v>
      </c>
      <c r="I450">
        <v>0</v>
      </c>
      <c r="J450">
        <v>9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1">
        <v>1</v>
      </c>
    </row>
    <row r="451" spans="1:42" x14ac:dyDescent="0.3">
      <c r="A451" t="s">
        <v>187</v>
      </c>
      <c r="B451" t="s">
        <v>192</v>
      </c>
      <c r="C451" s="4" t="s">
        <v>44</v>
      </c>
      <c r="D451">
        <v>17</v>
      </c>
      <c r="E451">
        <v>5</v>
      </c>
      <c r="F451">
        <v>0</v>
      </c>
      <c r="G451" s="1">
        <v>0</v>
      </c>
      <c r="H451">
        <v>0</v>
      </c>
      <c r="I451">
        <v>0</v>
      </c>
      <c r="J451">
        <v>10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1">
        <v>0</v>
      </c>
    </row>
    <row r="452" spans="1:42" x14ac:dyDescent="0.3">
      <c r="A452" t="s">
        <v>187</v>
      </c>
      <c r="B452" t="s">
        <v>193</v>
      </c>
      <c r="C452" s="4" t="s">
        <v>40</v>
      </c>
      <c r="D452">
        <v>29</v>
      </c>
      <c r="E452">
        <v>0</v>
      </c>
      <c r="F452">
        <v>0</v>
      </c>
      <c r="G452" s="1">
        <v>0</v>
      </c>
      <c r="H452">
        <v>11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1">
        <v>15</v>
      </c>
    </row>
    <row r="453" spans="1:42" x14ac:dyDescent="0.3">
      <c r="A453" t="s">
        <v>187</v>
      </c>
      <c r="B453" t="s">
        <v>193</v>
      </c>
      <c r="C453" s="4" t="s">
        <v>43</v>
      </c>
      <c r="D453">
        <v>8</v>
      </c>
      <c r="E453">
        <v>0</v>
      </c>
      <c r="F453">
        <v>0</v>
      </c>
      <c r="G453" s="1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1">
        <v>3</v>
      </c>
    </row>
    <row r="454" spans="1:42" x14ac:dyDescent="0.3">
      <c r="A454" t="s">
        <v>187</v>
      </c>
      <c r="B454" t="s">
        <v>193</v>
      </c>
      <c r="C454" s="4" t="s">
        <v>44</v>
      </c>
      <c r="D454">
        <v>21</v>
      </c>
      <c r="E454">
        <v>0</v>
      </c>
      <c r="F454">
        <v>0</v>
      </c>
      <c r="G454" s="1">
        <v>0</v>
      </c>
      <c r="H454">
        <v>7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1">
        <v>12</v>
      </c>
    </row>
    <row r="455" spans="1:42" x14ac:dyDescent="0.3">
      <c r="A455" t="s">
        <v>187</v>
      </c>
      <c r="B455" t="s">
        <v>194</v>
      </c>
      <c r="C455" s="4" t="s">
        <v>40</v>
      </c>
      <c r="D455">
        <v>27</v>
      </c>
      <c r="E455">
        <v>7</v>
      </c>
      <c r="F455">
        <v>0</v>
      </c>
      <c r="G455" s="1">
        <v>0</v>
      </c>
      <c r="H455">
        <v>9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 s="1">
        <v>7</v>
      </c>
    </row>
    <row r="456" spans="1:42" x14ac:dyDescent="0.3">
      <c r="A456" t="s">
        <v>187</v>
      </c>
      <c r="B456" t="s">
        <v>194</v>
      </c>
      <c r="C456" s="4" t="s">
        <v>43</v>
      </c>
      <c r="D456">
        <v>18</v>
      </c>
      <c r="E456">
        <v>5</v>
      </c>
      <c r="F456">
        <v>0</v>
      </c>
      <c r="G456" s="1">
        <v>0</v>
      </c>
      <c r="H456">
        <v>7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 s="1">
        <v>2</v>
      </c>
    </row>
    <row r="457" spans="1:42" x14ac:dyDescent="0.3">
      <c r="A457" t="s">
        <v>187</v>
      </c>
      <c r="B457" t="s">
        <v>194</v>
      </c>
      <c r="C457" s="4" t="s">
        <v>44</v>
      </c>
      <c r="D457">
        <v>9</v>
      </c>
      <c r="E457">
        <v>2</v>
      </c>
      <c r="F457">
        <v>0</v>
      </c>
      <c r="G457" s="1">
        <v>0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1">
        <v>5</v>
      </c>
    </row>
    <row r="458" spans="1:42" x14ac:dyDescent="0.3">
      <c r="A458" t="s">
        <v>187</v>
      </c>
      <c r="B458" t="s">
        <v>195</v>
      </c>
      <c r="C458" s="4" t="s">
        <v>40</v>
      </c>
      <c r="D458">
        <v>18</v>
      </c>
      <c r="E458">
        <v>6</v>
      </c>
      <c r="F458">
        <v>0</v>
      </c>
      <c r="G458" s="1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6</v>
      </c>
      <c r="AJ458">
        <v>0</v>
      </c>
      <c r="AK458">
        <v>2</v>
      </c>
      <c r="AL458">
        <v>0</v>
      </c>
      <c r="AM458">
        <v>0</v>
      </c>
      <c r="AN458">
        <v>0</v>
      </c>
      <c r="AO458">
        <v>0</v>
      </c>
      <c r="AP458" s="1">
        <v>1</v>
      </c>
    </row>
    <row r="459" spans="1:42" x14ac:dyDescent="0.3">
      <c r="A459" t="s">
        <v>187</v>
      </c>
      <c r="B459" t="s">
        <v>195</v>
      </c>
      <c r="C459" s="4" t="s">
        <v>43</v>
      </c>
      <c r="D459">
        <v>7</v>
      </c>
      <c r="E459">
        <v>1</v>
      </c>
      <c r="F459">
        <v>0</v>
      </c>
      <c r="G459" s="1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s="1">
        <v>0</v>
      </c>
    </row>
    <row r="460" spans="1:42" x14ac:dyDescent="0.3">
      <c r="A460" t="s">
        <v>187</v>
      </c>
      <c r="B460" t="s">
        <v>195</v>
      </c>
      <c r="C460" s="4" t="s">
        <v>44</v>
      </c>
      <c r="D460">
        <v>11</v>
      </c>
      <c r="E460">
        <v>5</v>
      </c>
      <c r="F460">
        <v>0</v>
      </c>
      <c r="G460" s="1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2</v>
      </c>
      <c r="AJ460">
        <v>0</v>
      </c>
      <c r="AK460">
        <v>2</v>
      </c>
      <c r="AL460">
        <v>0</v>
      </c>
      <c r="AM460">
        <v>0</v>
      </c>
      <c r="AN460">
        <v>0</v>
      </c>
      <c r="AO460">
        <v>0</v>
      </c>
      <c r="AP460" s="1">
        <v>1</v>
      </c>
    </row>
    <row r="461" spans="1:42" x14ac:dyDescent="0.3">
      <c r="A461" t="s">
        <v>187</v>
      </c>
      <c r="B461" t="s">
        <v>196</v>
      </c>
      <c r="C461" s="4" t="s">
        <v>40</v>
      </c>
      <c r="D461">
        <v>14</v>
      </c>
      <c r="E461">
        <v>0</v>
      </c>
      <c r="F461">
        <v>0</v>
      </c>
      <c r="G461" s="1">
        <v>0</v>
      </c>
      <c r="H461">
        <v>8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1">
        <v>1</v>
      </c>
    </row>
    <row r="462" spans="1:42" x14ac:dyDescent="0.3">
      <c r="A462" t="s">
        <v>187</v>
      </c>
      <c r="B462" t="s">
        <v>196</v>
      </c>
      <c r="C462" s="4" t="s">
        <v>43</v>
      </c>
      <c r="D462">
        <v>8</v>
      </c>
      <c r="E462">
        <v>0</v>
      </c>
      <c r="F462">
        <v>0</v>
      </c>
      <c r="G462" s="1">
        <v>0</v>
      </c>
      <c r="H462">
        <v>6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1">
        <v>0</v>
      </c>
    </row>
    <row r="463" spans="1:42" x14ac:dyDescent="0.3">
      <c r="A463" t="s">
        <v>187</v>
      </c>
      <c r="B463" t="s">
        <v>196</v>
      </c>
      <c r="C463" s="4" t="s">
        <v>44</v>
      </c>
      <c r="D463">
        <v>6</v>
      </c>
      <c r="E463">
        <v>0</v>
      </c>
      <c r="F463">
        <v>0</v>
      </c>
      <c r="G463" s="1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1">
        <v>1</v>
      </c>
    </row>
    <row r="464" spans="1:42" x14ac:dyDescent="0.3">
      <c r="A464" t="s">
        <v>187</v>
      </c>
      <c r="B464" t="s">
        <v>197</v>
      </c>
      <c r="C464" s="4" t="s">
        <v>40</v>
      </c>
      <c r="D464">
        <v>9</v>
      </c>
      <c r="E464">
        <v>0</v>
      </c>
      <c r="F464">
        <v>0</v>
      </c>
      <c r="G464" s="1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0</v>
      </c>
      <c r="AM464">
        <v>0</v>
      </c>
      <c r="AN464">
        <v>0</v>
      </c>
      <c r="AO464">
        <v>0</v>
      </c>
      <c r="AP464" s="1">
        <v>4</v>
      </c>
    </row>
    <row r="465" spans="1:42" x14ac:dyDescent="0.3">
      <c r="A465" t="s">
        <v>187</v>
      </c>
      <c r="B465" t="s">
        <v>197</v>
      </c>
      <c r="C465" s="4" t="s">
        <v>43</v>
      </c>
      <c r="D465">
        <v>3</v>
      </c>
      <c r="E465">
        <v>0</v>
      </c>
      <c r="F465">
        <v>0</v>
      </c>
      <c r="G465" s="1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0</v>
      </c>
      <c r="AP465" s="1">
        <v>1</v>
      </c>
    </row>
    <row r="466" spans="1:42" x14ac:dyDescent="0.3">
      <c r="A466" t="s">
        <v>187</v>
      </c>
      <c r="B466" t="s">
        <v>197</v>
      </c>
      <c r="C466" s="4" t="s">
        <v>44</v>
      </c>
      <c r="D466">
        <v>6</v>
      </c>
      <c r="E466">
        <v>0</v>
      </c>
      <c r="F466">
        <v>0</v>
      </c>
      <c r="G466" s="1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1">
        <v>3</v>
      </c>
    </row>
    <row r="467" spans="1:42" x14ac:dyDescent="0.3">
      <c r="A467" t="s">
        <v>187</v>
      </c>
      <c r="B467" t="s">
        <v>198</v>
      </c>
      <c r="C467" s="4" t="s">
        <v>40</v>
      </c>
      <c r="D467">
        <v>7</v>
      </c>
      <c r="E467">
        <v>0</v>
      </c>
      <c r="F467">
        <v>0</v>
      </c>
      <c r="G467" s="1">
        <v>0</v>
      </c>
      <c r="H467">
        <v>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1">
        <v>0</v>
      </c>
    </row>
    <row r="468" spans="1:42" x14ac:dyDescent="0.3">
      <c r="A468" t="s">
        <v>187</v>
      </c>
      <c r="B468" t="s">
        <v>198</v>
      </c>
      <c r="C468" s="4" t="s">
        <v>43</v>
      </c>
      <c r="D468">
        <v>5</v>
      </c>
      <c r="E468">
        <v>0</v>
      </c>
      <c r="F468">
        <v>0</v>
      </c>
      <c r="G468" s="1">
        <v>0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1">
        <v>0</v>
      </c>
    </row>
    <row r="469" spans="1:42" x14ac:dyDescent="0.3">
      <c r="A469" t="s">
        <v>187</v>
      </c>
      <c r="B469" t="s">
        <v>198</v>
      </c>
      <c r="C469" s="4" t="s">
        <v>44</v>
      </c>
      <c r="D469">
        <v>2</v>
      </c>
      <c r="E469">
        <v>0</v>
      </c>
      <c r="F469">
        <v>0</v>
      </c>
      <c r="G469" s="1">
        <v>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1">
        <v>0</v>
      </c>
    </row>
    <row r="470" spans="1:42" x14ac:dyDescent="0.3">
      <c r="A470" t="s">
        <v>187</v>
      </c>
      <c r="B470" t="s">
        <v>199</v>
      </c>
      <c r="C470" s="4" t="s">
        <v>40</v>
      </c>
      <c r="D470">
        <v>5</v>
      </c>
      <c r="E470">
        <v>0</v>
      </c>
      <c r="F470">
        <v>0</v>
      </c>
      <c r="G470" s="1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3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1">
        <v>0</v>
      </c>
    </row>
    <row r="471" spans="1:42" x14ac:dyDescent="0.3">
      <c r="A471" t="s">
        <v>187</v>
      </c>
      <c r="B471" t="s">
        <v>199</v>
      </c>
      <c r="C471" s="4" t="s">
        <v>43</v>
      </c>
      <c r="D471">
        <v>1</v>
      </c>
      <c r="E471">
        <v>0</v>
      </c>
      <c r="F471">
        <v>0</v>
      </c>
      <c r="G471" s="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1">
        <v>0</v>
      </c>
    </row>
    <row r="472" spans="1:42" x14ac:dyDescent="0.3">
      <c r="A472" t="s">
        <v>187</v>
      </c>
      <c r="B472" t="s">
        <v>199</v>
      </c>
      <c r="C472" s="4" t="s">
        <v>44</v>
      </c>
      <c r="D472">
        <v>4</v>
      </c>
      <c r="E472">
        <v>0</v>
      </c>
      <c r="F472">
        <v>0</v>
      </c>
      <c r="G472" s="1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2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1">
        <v>0</v>
      </c>
    </row>
    <row r="473" spans="1:42" x14ac:dyDescent="0.3">
      <c r="A473" t="s">
        <v>187</v>
      </c>
      <c r="B473" t="s">
        <v>200</v>
      </c>
      <c r="C473" s="4" t="s">
        <v>40</v>
      </c>
      <c r="D473">
        <v>5</v>
      </c>
      <c r="E473">
        <v>0</v>
      </c>
      <c r="F473">
        <v>0</v>
      </c>
      <c r="G473" s="1">
        <v>0</v>
      </c>
      <c r="H473">
        <v>3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1">
        <v>0</v>
      </c>
    </row>
    <row r="474" spans="1:42" x14ac:dyDescent="0.3">
      <c r="A474" t="s">
        <v>187</v>
      </c>
      <c r="B474" t="s">
        <v>200</v>
      </c>
      <c r="C474" s="4" t="s">
        <v>43</v>
      </c>
      <c r="D474">
        <v>4</v>
      </c>
      <c r="E474">
        <v>0</v>
      </c>
      <c r="F474">
        <v>0</v>
      </c>
      <c r="G474" s="1">
        <v>0</v>
      </c>
      <c r="H474">
        <v>2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1">
        <v>0</v>
      </c>
    </row>
    <row r="475" spans="1:42" x14ac:dyDescent="0.3">
      <c r="A475" t="s">
        <v>187</v>
      </c>
      <c r="B475" t="s">
        <v>200</v>
      </c>
      <c r="C475" s="4" t="s">
        <v>44</v>
      </c>
      <c r="D475">
        <v>1</v>
      </c>
      <c r="E475">
        <v>0</v>
      </c>
      <c r="F475">
        <v>0</v>
      </c>
      <c r="G475" s="1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1">
        <v>0</v>
      </c>
    </row>
    <row r="476" spans="1:42" x14ac:dyDescent="0.3">
      <c r="A476" t="s">
        <v>187</v>
      </c>
      <c r="B476" t="s">
        <v>201</v>
      </c>
      <c r="C476" s="4" t="s">
        <v>40</v>
      </c>
      <c r="D476">
        <v>1</v>
      </c>
      <c r="E476">
        <v>0</v>
      </c>
      <c r="F476">
        <v>0</v>
      </c>
      <c r="G476" s="1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1">
        <v>0</v>
      </c>
    </row>
    <row r="477" spans="1:42" x14ac:dyDescent="0.3">
      <c r="A477" t="s">
        <v>187</v>
      </c>
      <c r="B477" t="s">
        <v>201</v>
      </c>
      <c r="C477" s="4" t="s">
        <v>43</v>
      </c>
      <c r="D477">
        <v>1</v>
      </c>
      <c r="E477">
        <v>0</v>
      </c>
      <c r="F477">
        <v>0</v>
      </c>
      <c r="G477" s="1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1">
        <v>0</v>
      </c>
    </row>
    <row r="478" spans="1:42" x14ac:dyDescent="0.3">
      <c r="A478" t="s">
        <v>202</v>
      </c>
      <c r="B478" t="s">
        <v>40</v>
      </c>
      <c r="C478" s="4" t="s">
        <v>40</v>
      </c>
      <c r="D478" s="1">
        <v>28334</v>
      </c>
      <c r="E478">
        <v>683</v>
      </c>
      <c r="F478">
        <v>260</v>
      </c>
      <c r="G478">
        <v>309</v>
      </c>
      <c r="H478">
        <v>777</v>
      </c>
      <c r="I478">
        <v>0</v>
      </c>
      <c r="J478" s="1">
        <v>1576</v>
      </c>
      <c r="K478">
        <v>24</v>
      </c>
      <c r="L478">
        <v>1</v>
      </c>
      <c r="M478" s="1">
        <v>2925</v>
      </c>
      <c r="N478">
        <v>1</v>
      </c>
      <c r="O478">
        <v>832</v>
      </c>
      <c r="P478">
        <v>0</v>
      </c>
      <c r="Q478">
        <v>38</v>
      </c>
      <c r="R478">
        <v>5</v>
      </c>
      <c r="S478">
        <v>514</v>
      </c>
      <c r="T478">
        <v>165</v>
      </c>
      <c r="U478">
        <v>575</v>
      </c>
      <c r="V478">
        <v>79</v>
      </c>
      <c r="W478" s="1">
        <v>3801</v>
      </c>
      <c r="X478">
        <v>150</v>
      </c>
      <c r="Y478">
        <v>8</v>
      </c>
      <c r="Z478">
        <v>2</v>
      </c>
      <c r="AA478">
        <v>69</v>
      </c>
      <c r="AB478">
        <v>357</v>
      </c>
      <c r="AC478">
        <v>0</v>
      </c>
      <c r="AD478">
        <v>60</v>
      </c>
      <c r="AE478">
        <v>0</v>
      </c>
      <c r="AF478">
        <v>311</v>
      </c>
      <c r="AG478" s="1">
        <v>1172</v>
      </c>
      <c r="AH478" s="1">
        <v>1920</v>
      </c>
      <c r="AI478">
        <v>17</v>
      </c>
      <c r="AJ478">
        <v>324</v>
      </c>
      <c r="AK478" s="1">
        <v>1748</v>
      </c>
      <c r="AL478" s="1">
        <v>7154</v>
      </c>
      <c r="AM478" s="1">
        <v>0</v>
      </c>
      <c r="AN478" s="1">
        <v>0</v>
      </c>
      <c r="AO478">
        <v>1</v>
      </c>
      <c r="AP478" s="1">
        <v>2476</v>
      </c>
    </row>
    <row r="479" spans="1:42" x14ac:dyDescent="0.3">
      <c r="A479" t="s">
        <v>202</v>
      </c>
      <c r="B479" t="s">
        <v>40</v>
      </c>
      <c r="C479" s="4" t="s">
        <v>43</v>
      </c>
      <c r="D479" s="1">
        <f>D482+D485+D488+D491+D494+D497+D500+D503+D506+D509+D512+D515+D518+D521+D524+D527+D530+D533+D536+D539+D542+D545+D548+D551+D554+D557+D560+D563+D566+D569+D572+D575+D578+D581+D584+D587+D590+D593+D596+D599+D602+D605+D608+D611+D614+D617+D620+D623+D626+D629+D632+D635+D640</f>
        <v>17171</v>
      </c>
      <c r="E479" s="1">
        <f t="shared" ref="E479:AP479" si="16">E482+E485+E488+E491+E494+E497+E500+E503+E506+E509+E512+E515+E518+E521+E524+E527+E530+E533+E536+E539+E542+E545+E548+E551+E554+E557+E560+E563+E566+E569+E572+E575+E578+E581+E584+E587+E590+E593+E596+E599+E602+E605+E608+E611+E614+E617+E620+E623+E626+E629+E632+E635+E640</f>
        <v>339</v>
      </c>
      <c r="F479" s="1">
        <f t="shared" si="16"/>
        <v>155</v>
      </c>
      <c r="G479" s="1">
        <f t="shared" si="16"/>
        <v>160</v>
      </c>
      <c r="H479" s="1">
        <f t="shared" si="16"/>
        <v>486</v>
      </c>
      <c r="I479" s="1">
        <f t="shared" si="16"/>
        <v>0</v>
      </c>
      <c r="J479" s="1">
        <f t="shared" si="16"/>
        <v>1312</v>
      </c>
      <c r="K479" s="1">
        <f t="shared" si="16"/>
        <v>18</v>
      </c>
      <c r="L479" s="1">
        <f t="shared" si="16"/>
        <v>1</v>
      </c>
      <c r="M479" s="1">
        <f t="shared" si="16"/>
        <v>1760</v>
      </c>
      <c r="N479" s="1">
        <f t="shared" si="16"/>
        <v>0</v>
      </c>
      <c r="O479" s="1">
        <f t="shared" si="16"/>
        <v>404</v>
      </c>
      <c r="P479" s="1">
        <f t="shared" si="16"/>
        <v>0</v>
      </c>
      <c r="Q479" s="1">
        <f t="shared" si="16"/>
        <v>33</v>
      </c>
      <c r="R479" s="1">
        <f t="shared" si="16"/>
        <v>5</v>
      </c>
      <c r="S479" s="1">
        <f t="shared" si="16"/>
        <v>471</v>
      </c>
      <c r="T479" s="1">
        <f t="shared" si="16"/>
        <v>155</v>
      </c>
      <c r="U479" s="1">
        <f t="shared" si="16"/>
        <v>367</v>
      </c>
      <c r="V479" s="1">
        <f t="shared" si="16"/>
        <v>58</v>
      </c>
      <c r="W479" s="1">
        <f t="shared" si="16"/>
        <v>759</v>
      </c>
      <c r="X479" s="1">
        <f t="shared" si="16"/>
        <v>122</v>
      </c>
      <c r="Y479" s="1">
        <f t="shared" si="16"/>
        <v>8</v>
      </c>
      <c r="Z479" s="1">
        <f t="shared" si="16"/>
        <v>2</v>
      </c>
      <c r="AA479" s="1">
        <f t="shared" si="16"/>
        <v>49</v>
      </c>
      <c r="AB479" s="1">
        <f t="shared" si="16"/>
        <v>227</v>
      </c>
      <c r="AC479" s="1">
        <f t="shared" si="16"/>
        <v>0</v>
      </c>
      <c r="AD479" s="1">
        <f t="shared" si="16"/>
        <v>57</v>
      </c>
      <c r="AE479" s="1">
        <f t="shared" si="16"/>
        <v>0</v>
      </c>
      <c r="AF479" s="1">
        <f t="shared" si="16"/>
        <v>119</v>
      </c>
      <c r="AG479" s="1">
        <f t="shared" si="16"/>
        <v>661</v>
      </c>
      <c r="AH479" s="1">
        <f t="shared" si="16"/>
        <v>777</v>
      </c>
      <c r="AI479" s="1">
        <f t="shared" si="16"/>
        <v>11</v>
      </c>
      <c r="AJ479" s="1">
        <f t="shared" si="16"/>
        <v>255</v>
      </c>
      <c r="AK479" s="1">
        <f t="shared" si="16"/>
        <v>843</v>
      </c>
      <c r="AL479" s="1">
        <f t="shared" si="16"/>
        <v>5621</v>
      </c>
      <c r="AM479" s="1">
        <f t="shared" si="16"/>
        <v>0</v>
      </c>
      <c r="AN479" s="1">
        <f t="shared" si="16"/>
        <v>0</v>
      </c>
      <c r="AO479" s="1">
        <f t="shared" si="16"/>
        <v>1</v>
      </c>
      <c r="AP479" s="1">
        <f t="shared" si="16"/>
        <v>1935</v>
      </c>
    </row>
    <row r="480" spans="1:42" x14ac:dyDescent="0.3">
      <c r="A480" t="s">
        <v>202</v>
      </c>
      <c r="B480" t="s">
        <v>40</v>
      </c>
      <c r="C480" s="4" t="s">
        <v>44</v>
      </c>
      <c r="D480" s="1">
        <f>D483+D486+D489+D492+D495+D498+D501+D504+D507+D510+D513+D516+D519+D522+D525+D528+D531+D534+D537+D540+D543+D546+D549+D552+D555+D558+D561+D564+D567+D570+D573+D576+D579+D582+D585+D588+D591+D594+D597+D600+D603+D606+D609+D612+D615+D618+D621+D624+D627+D630+D633+D636+D638</f>
        <v>11163</v>
      </c>
      <c r="E480" s="1">
        <f t="shared" ref="E480:AP480" si="17">E483+E486+E489+E492+E495+E498+E501+E504+E507+E510+E513+E516+E519+E522+E525+E528+E531+E534+E537+E540+E543+E546+E549+E552+E555+E558+E561+E564+E567+E570+E573+E576+E579+E582+E585+E588+E591+E594+E597+E600+E603+E606+E609+E612+E615+E618+E621+E624+E627+E630+E633+E636+E638</f>
        <v>344</v>
      </c>
      <c r="F480" s="1">
        <f t="shared" si="17"/>
        <v>105</v>
      </c>
      <c r="G480" s="1">
        <f t="shared" si="17"/>
        <v>149</v>
      </c>
      <c r="H480" s="1">
        <f t="shared" si="17"/>
        <v>291</v>
      </c>
      <c r="I480" s="1">
        <f t="shared" si="17"/>
        <v>0</v>
      </c>
      <c r="J480" s="1">
        <f t="shared" si="17"/>
        <v>264</v>
      </c>
      <c r="K480" s="1">
        <f t="shared" si="17"/>
        <v>6</v>
      </c>
      <c r="L480" s="1">
        <f t="shared" si="17"/>
        <v>0</v>
      </c>
      <c r="M480" s="1">
        <f t="shared" si="17"/>
        <v>1165</v>
      </c>
      <c r="N480" s="1">
        <f t="shared" si="17"/>
        <v>1</v>
      </c>
      <c r="O480" s="1">
        <f t="shared" si="17"/>
        <v>428</v>
      </c>
      <c r="P480" s="1">
        <f t="shared" si="17"/>
        <v>0</v>
      </c>
      <c r="Q480" s="1">
        <f t="shared" si="17"/>
        <v>5</v>
      </c>
      <c r="R480" s="1">
        <f t="shared" si="17"/>
        <v>0</v>
      </c>
      <c r="S480" s="1">
        <f t="shared" si="17"/>
        <v>43</v>
      </c>
      <c r="T480" s="1">
        <f t="shared" si="17"/>
        <v>10</v>
      </c>
      <c r="U480" s="1">
        <f t="shared" si="17"/>
        <v>208</v>
      </c>
      <c r="V480" s="1">
        <f t="shared" si="17"/>
        <v>21</v>
      </c>
      <c r="W480" s="1">
        <f t="shared" si="17"/>
        <v>3042</v>
      </c>
      <c r="X480" s="1">
        <f t="shared" si="17"/>
        <v>28</v>
      </c>
      <c r="Y480" s="1">
        <f t="shared" si="17"/>
        <v>0</v>
      </c>
      <c r="Z480" s="1">
        <f t="shared" si="17"/>
        <v>0</v>
      </c>
      <c r="AA480" s="1">
        <f t="shared" si="17"/>
        <v>20</v>
      </c>
      <c r="AB480" s="1">
        <f t="shared" si="17"/>
        <v>130</v>
      </c>
      <c r="AC480" s="1">
        <f t="shared" si="17"/>
        <v>0</v>
      </c>
      <c r="AD480" s="1">
        <f t="shared" si="17"/>
        <v>3</v>
      </c>
      <c r="AE480" s="1">
        <f t="shared" si="17"/>
        <v>0</v>
      </c>
      <c r="AF480" s="1">
        <f t="shared" si="17"/>
        <v>192</v>
      </c>
      <c r="AG480" s="1">
        <f t="shared" si="17"/>
        <v>511</v>
      </c>
      <c r="AH480" s="1">
        <f t="shared" si="17"/>
        <v>1143</v>
      </c>
      <c r="AI480" s="1">
        <f t="shared" si="17"/>
        <v>6</v>
      </c>
      <c r="AJ480" s="1">
        <f t="shared" si="17"/>
        <v>69</v>
      </c>
      <c r="AK480" s="1">
        <f t="shared" si="17"/>
        <v>905</v>
      </c>
      <c r="AL480" s="1">
        <f t="shared" si="17"/>
        <v>1533</v>
      </c>
      <c r="AM480" s="1">
        <f t="shared" si="17"/>
        <v>0</v>
      </c>
      <c r="AN480" s="1">
        <f t="shared" si="17"/>
        <v>0</v>
      </c>
      <c r="AO480" s="1">
        <f t="shared" si="17"/>
        <v>0</v>
      </c>
      <c r="AP480" s="1">
        <f t="shared" si="17"/>
        <v>541</v>
      </c>
    </row>
    <row r="481" spans="1:42" x14ac:dyDescent="0.3">
      <c r="A481" t="s">
        <v>202</v>
      </c>
      <c r="B481" t="s">
        <v>203</v>
      </c>
      <c r="C481" s="4" t="s">
        <v>40</v>
      </c>
      <c r="D481" s="1">
        <v>5552</v>
      </c>
      <c r="E481">
        <v>24</v>
      </c>
      <c r="F481">
        <v>0</v>
      </c>
      <c r="G481" s="1">
        <v>0</v>
      </c>
      <c r="H481">
        <v>491</v>
      </c>
      <c r="I481">
        <v>0</v>
      </c>
      <c r="J481">
        <v>12</v>
      </c>
      <c r="K481">
        <v>11</v>
      </c>
      <c r="L481">
        <v>0</v>
      </c>
      <c r="M481">
        <v>31</v>
      </c>
      <c r="N481">
        <v>0</v>
      </c>
      <c r="O481">
        <v>14</v>
      </c>
      <c r="P481">
        <v>0</v>
      </c>
      <c r="Q481">
        <v>2</v>
      </c>
      <c r="R481">
        <v>1</v>
      </c>
      <c r="S481">
        <v>9</v>
      </c>
      <c r="T481">
        <v>1</v>
      </c>
      <c r="U481">
        <v>32</v>
      </c>
      <c r="V481">
        <v>30</v>
      </c>
      <c r="W481" s="1">
        <v>3797</v>
      </c>
      <c r="X481">
        <v>1</v>
      </c>
      <c r="Y481">
        <v>8</v>
      </c>
      <c r="Z481">
        <v>0</v>
      </c>
      <c r="AA481">
        <v>6</v>
      </c>
      <c r="AB481">
        <v>76</v>
      </c>
      <c r="AC481">
        <v>0</v>
      </c>
      <c r="AD481">
        <v>1</v>
      </c>
      <c r="AE481">
        <v>0</v>
      </c>
      <c r="AF481">
        <v>6</v>
      </c>
      <c r="AG481">
        <v>97</v>
      </c>
      <c r="AH481">
        <v>160</v>
      </c>
      <c r="AI481">
        <v>7</v>
      </c>
      <c r="AJ481">
        <v>29</v>
      </c>
      <c r="AK481">
        <v>261</v>
      </c>
      <c r="AL481">
        <v>375</v>
      </c>
      <c r="AM481" s="1">
        <v>0</v>
      </c>
      <c r="AN481" s="1">
        <v>0</v>
      </c>
      <c r="AO481">
        <v>0</v>
      </c>
      <c r="AP481" s="1">
        <v>70</v>
      </c>
    </row>
    <row r="482" spans="1:42" x14ac:dyDescent="0.3">
      <c r="A482" t="s">
        <v>202</v>
      </c>
      <c r="B482" t="s">
        <v>203</v>
      </c>
      <c r="C482" s="4" t="s">
        <v>43</v>
      </c>
      <c r="D482" s="1">
        <v>1778</v>
      </c>
      <c r="E482">
        <v>11</v>
      </c>
      <c r="F482">
        <v>0</v>
      </c>
      <c r="G482" s="1">
        <v>0</v>
      </c>
      <c r="H482">
        <v>246</v>
      </c>
      <c r="I482">
        <v>0</v>
      </c>
      <c r="J482">
        <v>10</v>
      </c>
      <c r="K482">
        <v>8</v>
      </c>
      <c r="L482">
        <v>0</v>
      </c>
      <c r="M482">
        <v>10</v>
      </c>
      <c r="N482">
        <v>0</v>
      </c>
      <c r="O482">
        <v>9</v>
      </c>
      <c r="P482">
        <v>0</v>
      </c>
      <c r="Q482">
        <v>2</v>
      </c>
      <c r="R482">
        <v>1</v>
      </c>
      <c r="S482">
        <v>9</v>
      </c>
      <c r="T482">
        <v>1</v>
      </c>
      <c r="U482">
        <v>9</v>
      </c>
      <c r="V482">
        <v>19</v>
      </c>
      <c r="W482">
        <v>758</v>
      </c>
      <c r="X482">
        <v>1</v>
      </c>
      <c r="Y482">
        <v>8</v>
      </c>
      <c r="Z482">
        <v>0</v>
      </c>
      <c r="AA482">
        <v>4</v>
      </c>
      <c r="AB482">
        <v>35</v>
      </c>
      <c r="AC482">
        <v>0</v>
      </c>
      <c r="AD482">
        <v>1</v>
      </c>
      <c r="AE482">
        <v>0</v>
      </c>
      <c r="AF482">
        <v>1</v>
      </c>
      <c r="AG482">
        <v>58</v>
      </c>
      <c r="AH482">
        <v>76</v>
      </c>
      <c r="AI482">
        <v>4</v>
      </c>
      <c r="AJ482">
        <v>27</v>
      </c>
      <c r="AK482">
        <v>170</v>
      </c>
      <c r="AL482">
        <v>258</v>
      </c>
      <c r="AM482" s="1">
        <v>0</v>
      </c>
      <c r="AN482" s="1">
        <v>0</v>
      </c>
      <c r="AO482">
        <v>0</v>
      </c>
      <c r="AP482" s="1">
        <v>42</v>
      </c>
    </row>
    <row r="483" spans="1:42" x14ac:dyDescent="0.3">
      <c r="A483" t="s">
        <v>202</v>
      </c>
      <c r="B483" t="s">
        <v>203</v>
      </c>
      <c r="C483" s="4" t="s">
        <v>44</v>
      </c>
      <c r="D483" s="1">
        <v>3774</v>
      </c>
      <c r="E483">
        <v>13</v>
      </c>
      <c r="F483">
        <v>0</v>
      </c>
      <c r="G483" s="1">
        <v>0</v>
      </c>
      <c r="H483">
        <v>245</v>
      </c>
      <c r="I483">
        <v>0</v>
      </c>
      <c r="J483">
        <v>2</v>
      </c>
      <c r="K483">
        <v>3</v>
      </c>
      <c r="L483">
        <v>0</v>
      </c>
      <c r="M483">
        <v>21</v>
      </c>
      <c r="N483">
        <v>0</v>
      </c>
      <c r="O483">
        <v>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23</v>
      </c>
      <c r="V483">
        <v>11</v>
      </c>
      <c r="W483" s="1">
        <v>3039</v>
      </c>
      <c r="X483">
        <v>0</v>
      </c>
      <c r="Y483">
        <v>0</v>
      </c>
      <c r="Z483">
        <v>0</v>
      </c>
      <c r="AA483">
        <v>2</v>
      </c>
      <c r="AB483">
        <v>41</v>
      </c>
      <c r="AC483">
        <v>0</v>
      </c>
      <c r="AD483">
        <v>0</v>
      </c>
      <c r="AE483">
        <v>0</v>
      </c>
      <c r="AF483">
        <v>5</v>
      </c>
      <c r="AG483">
        <v>39</v>
      </c>
      <c r="AH483">
        <v>84</v>
      </c>
      <c r="AI483">
        <v>3</v>
      </c>
      <c r="AJ483">
        <v>2</v>
      </c>
      <c r="AK483">
        <v>91</v>
      </c>
      <c r="AL483">
        <v>117</v>
      </c>
      <c r="AM483" s="1">
        <v>0</v>
      </c>
      <c r="AN483" s="1">
        <v>0</v>
      </c>
      <c r="AO483">
        <v>0</v>
      </c>
      <c r="AP483" s="1">
        <v>28</v>
      </c>
    </row>
    <row r="484" spans="1:42" x14ac:dyDescent="0.3">
      <c r="A484" t="s">
        <v>202</v>
      </c>
      <c r="B484" t="s">
        <v>204</v>
      </c>
      <c r="C484" s="4" t="s">
        <v>40</v>
      </c>
      <c r="D484" s="1">
        <v>3383</v>
      </c>
      <c r="E484">
        <v>52</v>
      </c>
      <c r="F484">
        <v>26</v>
      </c>
      <c r="G484">
        <v>1</v>
      </c>
      <c r="H484">
        <v>119</v>
      </c>
      <c r="I484">
        <v>0</v>
      </c>
      <c r="J484">
        <v>218</v>
      </c>
      <c r="K484">
        <v>1</v>
      </c>
      <c r="L484">
        <v>0</v>
      </c>
      <c r="M484">
        <v>177</v>
      </c>
      <c r="N484">
        <v>0</v>
      </c>
      <c r="O484">
        <v>86</v>
      </c>
      <c r="P484">
        <v>0</v>
      </c>
      <c r="Q484">
        <v>2</v>
      </c>
      <c r="R484">
        <v>0</v>
      </c>
      <c r="S484">
        <v>135</v>
      </c>
      <c r="T484">
        <v>22</v>
      </c>
      <c r="U484">
        <v>8</v>
      </c>
      <c r="V484">
        <v>13</v>
      </c>
      <c r="W484">
        <v>2</v>
      </c>
      <c r="X484">
        <v>27</v>
      </c>
      <c r="Y484">
        <v>0</v>
      </c>
      <c r="Z484">
        <v>0</v>
      </c>
      <c r="AA484">
        <v>7</v>
      </c>
      <c r="AB484">
        <v>24</v>
      </c>
      <c r="AC484">
        <v>0</v>
      </c>
      <c r="AD484">
        <v>1</v>
      </c>
      <c r="AE484">
        <v>0</v>
      </c>
      <c r="AF484">
        <v>39</v>
      </c>
      <c r="AG484">
        <v>237</v>
      </c>
      <c r="AH484">
        <v>335</v>
      </c>
      <c r="AI484">
        <v>0</v>
      </c>
      <c r="AJ484">
        <v>38</v>
      </c>
      <c r="AK484">
        <v>193</v>
      </c>
      <c r="AL484" s="1">
        <v>1268</v>
      </c>
      <c r="AM484" s="1">
        <v>0</v>
      </c>
      <c r="AN484" s="1">
        <v>0</v>
      </c>
      <c r="AO484" s="1">
        <v>0</v>
      </c>
      <c r="AP484" s="1">
        <v>352</v>
      </c>
    </row>
    <row r="485" spans="1:42" x14ac:dyDescent="0.3">
      <c r="A485" t="s">
        <v>202</v>
      </c>
      <c r="B485" t="s">
        <v>204</v>
      </c>
      <c r="C485" s="4" t="s">
        <v>43</v>
      </c>
      <c r="D485" s="1">
        <v>2537</v>
      </c>
      <c r="E485">
        <v>27</v>
      </c>
      <c r="F485">
        <v>24</v>
      </c>
      <c r="G485">
        <v>1</v>
      </c>
      <c r="H485">
        <v>115</v>
      </c>
      <c r="I485">
        <v>0</v>
      </c>
      <c r="J485">
        <v>183</v>
      </c>
      <c r="K485">
        <v>1</v>
      </c>
      <c r="L485">
        <v>0</v>
      </c>
      <c r="M485">
        <v>70</v>
      </c>
      <c r="N485">
        <v>0</v>
      </c>
      <c r="O485">
        <v>32</v>
      </c>
      <c r="P485">
        <v>0</v>
      </c>
      <c r="Q485">
        <v>2</v>
      </c>
      <c r="R485">
        <v>0</v>
      </c>
      <c r="S485">
        <v>115</v>
      </c>
      <c r="T485">
        <v>21</v>
      </c>
      <c r="U485">
        <v>4</v>
      </c>
      <c r="V485">
        <v>9</v>
      </c>
      <c r="W485">
        <v>1</v>
      </c>
      <c r="X485">
        <v>20</v>
      </c>
      <c r="Y485">
        <v>0</v>
      </c>
      <c r="Z485">
        <v>0</v>
      </c>
      <c r="AA485">
        <v>5</v>
      </c>
      <c r="AB485">
        <v>16</v>
      </c>
      <c r="AC485">
        <v>0</v>
      </c>
      <c r="AD485">
        <v>1</v>
      </c>
      <c r="AE485">
        <v>0</v>
      </c>
      <c r="AF485">
        <v>19</v>
      </c>
      <c r="AG485">
        <v>138</v>
      </c>
      <c r="AH485">
        <v>148</v>
      </c>
      <c r="AI485">
        <v>0</v>
      </c>
      <c r="AJ485">
        <v>31</v>
      </c>
      <c r="AK485">
        <v>125</v>
      </c>
      <c r="AL485" s="1">
        <v>1095</v>
      </c>
      <c r="AM485" s="1">
        <v>0</v>
      </c>
      <c r="AN485" s="1">
        <v>0</v>
      </c>
      <c r="AO485" s="1">
        <v>0</v>
      </c>
      <c r="AP485" s="1">
        <v>334</v>
      </c>
    </row>
    <row r="486" spans="1:42" x14ac:dyDescent="0.3">
      <c r="A486" t="s">
        <v>202</v>
      </c>
      <c r="B486" t="s">
        <v>204</v>
      </c>
      <c r="C486" s="4" t="s">
        <v>44</v>
      </c>
      <c r="D486">
        <v>846</v>
      </c>
      <c r="E486">
        <v>25</v>
      </c>
      <c r="F486">
        <v>2</v>
      </c>
      <c r="G486" s="1">
        <v>0</v>
      </c>
      <c r="H486">
        <v>4</v>
      </c>
      <c r="I486">
        <v>0</v>
      </c>
      <c r="J486">
        <v>35</v>
      </c>
      <c r="K486">
        <v>0</v>
      </c>
      <c r="L486">
        <v>0</v>
      </c>
      <c r="M486">
        <v>107</v>
      </c>
      <c r="N486">
        <v>0</v>
      </c>
      <c r="O486">
        <v>54</v>
      </c>
      <c r="P486">
        <v>0</v>
      </c>
      <c r="Q486">
        <v>0</v>
      </c>
      <c r="R486">
        <v>0</v>
      </c>
      <c r="S486">
        <v>20</v>
      </c>
      <c r="T486">
        <v>1</v>
      </c>
      <c r="U486">
        <v>4</v>
      </c>
      <c r="V486">
        <v>4</v>
      </c>
      <c r="W486">
        <v>1</v>
      </c>
      <c r="X486">
        <v>7</v>
      </c>
      <c r="Y486">
        <v>0</v>
      </c>
      <c r="Z486">
        <v>0</v>
      </c>
      <c r="AA486">
        <v>2</v>
      </c>
      <c r="AB486">
        <v>8</v>
      </c>
      <c r="AC486">
        <v>0</v>
      </c>
      <c r="AD486">
        <v>0</v>
      </c>
      <c r="AE486">
        <v>0</v>
      </c>
      <c r="AF486">
        <v>20</v>
      </c>
      <c r="AG486">
        <v>99</v>
      </c>
      <c r="AH486">
        <v>187</v>
      </c>
      <c r="AI486">
        <v>0</v>
      </c>
      <c r="AJ486">
        <v>7</v>
      </c>
      <c r="AK486">
        <v>68</v>
      </c>
      <c r="AL486">
        <v>173</v>
      </c>
      <c r="AM486" s="1">
        <v>0</v>
      </c>
      <c r="AN486" s="1">
        <v>0</v>
      </c>
      <c r="AO486">
        <v>0</v>
      </c>
      <c r="AP486" s="1">
        <v>18</v>
      </c>
    </row>
    <row r="487" spans="1:42" x14ac:dyDescent="0.3">
      <c r="A487" t="s">
        <v>202</v>
      </c>
      <c r="B487" t="s">
        <v>205</v>
      </c>
      <c r="C487" s="4" t="s">
        <v>40</v>
      </c>
      <c r="D487" s="1">
        <v>3013</v>
      </c>
      <c r="E487">
        <v>80</v>
      </c>
      <c r="F487">
        <v>6</v>
      </c>
      <c r="G487" s="1">
        <v>0</v>
      </c>
      <c r="H487">
        <v>6</v>
      </c>
      <c r="I487">
        <v>0</v>
      </c>
      <c r="J487">
        <v>308</v>
      </c>
      <c r="K487">
        <v>3</v>
      </c>
      <c r="L487">
        <v>0</v>
      </c>
      <c r="M487">
        <v>313</v>
      </c>
      <c r="N487">
        <v>0</v>
      </c>
      <c r="O487">
        <v>114</v>
      </c>
      <c r="P487">
        <v>0</v>
      </c>
      <c r="Q487">
        <v>7</v>
      </c>
      <c r="R487">
        <v>1</v>
      </c>
      <c r="S487">
        <v>105</v>
      </c>
      <c r="T487">
        <v>103</v>
      </c>
      <c r="U487">
        <v>65</v>
      </c>
      <c r="V487">
        <v>6</v>
      </c>
      <c r="W487">
        <v>0</v>
      </c>
      <c r="X487">
        <v>29</v>
      </c>
      <c r="Y487">
        <v>0</v>
      </c>
      <c r="Z487">
        <v>0</v>
      </c>
      <c r="AA487">
        <v>11</v>
      </c>
      <c r="AB487">
        <v>23</v>
      </c>
      <c r="AC487">
        <v>0</v>
      </c>
      <c r="AD487">
        <v>20</v>
      </c>
      <c r="AE487">
        <v>0</v>
      </c>
      <c r="AF487">
        <v>23</v>
      </c>
      <c r="AG487">
        <v>67</v>
      </c>
      <c r="AH487">
        <v>428</v>
      </c>
      <c r="AI487">
        <v>0</v>
      </c>
      <c r="AJ487">
        <v>51</v>
      </c>
      <c r="AK487">
        <v>155</v>
      </c>
      <c r="AL487">
        <v>651</v>
      </c>
      <c r="AM487" s="1">
        <v>0</v>
      </c>
      <c r="AN487" s="1">
        <v>0</v>
      </c>
      <c r="AO487">
        <v>0</v>
      </c>
      <c r="AP487" s="1">
        <v>438</v>
      </c>
    </row>
    <row r="488" spans="1:42" x14ac:dyDescent="0.3">
      <c r="A488" t="s">
        <v>202</v>
      </c>
      <c r="B488" t="s">
        <v>205</v>
      </c>
      <c r="C488" s="4" t="s">
        <v>43</v>
      </c>
      <c r="D488" s="1">
        <v>2256</v>
      </c>
      <c r="E488">
        <v>45</v>
      </c>
      <c r="F488">
        <v>2</v>
      </c>
      <c r="G488" s="1">
        <v>0</v>
      </c>
      <c r="H488">
        <v>6</v>
      </c>
      <c r="I488">
        <v>0</v>
      </c>
      <c r="J488">
        <v>275</v>
      </c>
      <c r="K488">
        <v>2</v>
      </c>
      <c r="L488">
        <v>0</v>
      </c>
      <c r="M488">
        <v>195</v>
      </c>
      <c r="N488">
        <v>0</v>
      </c>
      <c r="O488">
        <v>61</v>
      </c>
      <c r="P488">
        <v>0</v>
      </c>
      <c r="Q488">
        <v>6</v>
      </c>
      <c r="R488">
        <v>1</v>
      </c>
      <c r="S488">
        <v>92</v>
      </c>
      <c r="T488">
        <v>98</v>
      </c>
      <c r="U488">
        <v>41</v>
      </c>
      <c r="V488">
        <v>6</v>
      </c>
      <c r="W488">
        <v>0</v>
      </c>
      <c r="X488">
        <v>24</v>
      </c>
      <c r="Y488">
        <v>0</v>
      </c>
      <c r="Z488">
        <v>0</v>
      </c>
      <c r="AA488">
        <v>9</v>
      </c>
      <c r="AB488">
        <v>17</v>
      </c>
      <c r="AC488">
        <v>0</v>
      </c>
      <c r="AD488">
        <v>19</v>
      </c>
      <c r="AE488">
        <v>0</v>
      </c>
      <c r="AF488">
        <v>13</v>
      </c>
      <c r="AG488">
        <v>41</v>
      </c>
      <c r="AH488">
        <v>169</v>
      </c>
      <c r="AI488">
        <v>0</v>
      </c>
      <c r="AJ488">
        <v>48</v>
      </c>
      <c r="AK488">
        <v>154</v>
      </c>
      <c r="AL488">
        <v>556</v>
      </c>
      <c r="AM488" s="1">
        <v>0</v>
      </c>
      <c r="AN488" s="1">
        <v>0</v>
      </c>
      <c r="AO488">
        <v>0</v>
      </c>
      <c r="AP488" s="1">
        <v>376</v>
      </c>
    </row>
    <row r="489" spans="1:42" x14ac:dyDescent="0.3">
      <c r="A489" t="s">
        <v>202</v>
      </c>
      <c r="B489" t="s">
        <v>205</v>
      </c>
      <c r="C489" s="4" t="s">
        <v>44</v>
      </c>
      <c r="D489">
        <v>757</v>
      </c>
      <c r="E489">
        <v>35</v>
      </c>
      <c r="F489">
        <v>4</v>
      </c>
      <c r="G489" s="1">
        <v>0</v>
      </c>
      <c r="H489">
        <v>0</v>
      </c>
      <c r="I489">
        <v>0</v>
      </c>
      <c r="J489">
        <v>33</v>
      </c>
      <c r="K489">
        <v>1</v>
      </c>
      <c r="L489">
        <v>0</v>
      </c>
      <c r="M489">
        <v>118</v>
      </c>
      <c r="N489">
        <v>0</v>
      </c>
      <c r="O489">
        <v>53</v>
      </c>
      <c r="P489">
        <v>0</v>
      </c>
      <c r="Q489">
        <v>1</v>
      </c>
      <c r="R489">
        <v>0</v>
      </c>
      <c r="S489">
        <v>13</v>
      </c>
      <c r="T489">
        <v>5</v>
      </c>
      <c r="U489">
        <v>24</v>
      </c>
      <c r="V489">
        <v>0</v>
      </c>
      <c r="W489">
        <v>0</v>
      </c>
      <c r="X489">
        <v>5</v>
      </c>
      <c r="Y489">
        <v>0</v>
      </c>
      <c r="Z489">
        <v>0</v>
      </c>
      <c r="AA489">
        <v>2</v>
      </c>
      <c r="AB489">
        <v>6</v>
      </c>
      <c r="AC489">
        <v>0</v>
      </c>
      <c r="AD489">
        <v>1</v>
      </c>
      <c r="AE489">
        <v>0</v>
      </c>
      <c r="AF489">
        <v>10</v>
      </c>
      <c r="AG489">
        <v>26</v>
      </c>
      <c r="AH489">
        <v>259</v>
      </c>
      <c r="AI489">
        <v>0</v>
      </c>
      <c r="AJ489">
        <v>3</v>
      </c>
      <c r="AK489">
        <v>1</v>
      </c>
      <c r="AL489">
        <v>95</v>
      </c>
      <c r="AM489" s="1">
        <v>0</v>
      </c>
      <c r="AN489" s="1">
        <v>0</v>
      </c>
      <c r="AO489">
        <v>0</v>
      </c>
      <c r="AP489" s="1">
        <v>62</v>
      </c>
    </row>
    <row r="490" spans="1:42" x14ac:dyDescent="0.3">
      <c r="A490" t="s">
        <v>202</v>
      </c>
      <c r="B490" t="s">
        <v>206</v>
      </c>
      <c r="C490" s="4" t="s">
        <v>40</v>
      </c>
      <c r="D490" s="1">
        <v>1966</v>
      </c>
      <c r="E490">
        <v>40</v>
      </c>
      <c r="F490">
        <v>7</v>
      </c>
      <c r="G490">
        <v>201</v>
      </c>
      <c r="H490">
        <v>0</v>
      </c>
      <c r="I490">
        <v>0</v>
      </c>
      <c r="J490">
        <v>18</v>
      </c>
      <c r="K490">
        <v>2</v>
      </c>
      <c r="L490">
        <v>0</v>
      </c>
      <c r="M490">
        <v>156</v>
      </c>
      <c r="N490">
        <v>0</v>
      </c>
      <c r="O490">
        <v>60</v>
      </c>
      <c r="P490">
        <v>0</v>
      </c>
      <c r="Q490">
        <v>0</v>
      </c>
      <c r="R490">
        <v>0</v>
      </c>
      <c r="S490">
        <v>4</v>
      </c>
      <c r="T490">
        <v>3</v>
      </c>
      <c r="U490">
        <v>14</v>
      </c>
      <c r="V490">
        <v>4</v>
      </c>
      <c r="W490">
        <v>1</v>
      </c>
      <c r="X490">
        <v>4</v>
      </c>
      <c r="Y490">
        <v>0</v>
      </c>
      <c r="Z490">
        <v>0</v>
      </c>
      <c r="AA490">
        <v>7</v>
      </c>
      <c r="AB490">
        <v>22</v>
      </c>
      <c r="AC490">
        <v>0</v>
      </c>
      <c r="AD490">
        <v>1</v>
      </c>
      <c r="AE490">
        <v>0</v>
      </c>
      <c r="AF490">
        <v>53</v>
      </c>
      <c r="AG490">
        <v>19</v>
      </c>
      <c r="AH490">
        <v>17</v>
      </c>
      <c r="AI490">
        <v>0</v>
      </c>
      <c r="AJ490">
        <v>25</v>
      </c>
      <c r="AK490">
        <v>676</v>
      </c>
      <c r="AL490">
        <v>492</v>
      </c>
      <c r="AM490" s="1">
        <v>0</v>
      </c>
      <c r="AN490" s="1">
        <v>0</v>
      </c>
      <c r="AO490">
        <v>0</v>
      </c>
      <c r="AP490" s="1">
        <v>140</v>
      </c>
    </row>
    <row r="491" spans="1:42" x14ac:dyDescent="0.3">
      <c r="A491" t="s">
        <v>202</v>
      </c>
      <c r="B491" t="s">
        <v>206</v>
      </c>
      <c r="C491" s="4" t="s">
        <v>43</v>
      </c>
      <c r="D491">
        <v>774</v>
      </c>
      <c r="E491">
        <v>19</v>
      </c>
      <c r="F491">
        <v>2</v>
      </c>
      <c r="G491">
        <v>94</v>
      </c>
      <c r="H491">
        <v>0</v>
      </c>
      <c r="I491">
        <v>0</v>
      </c>
      <c r="J491">
        <v>9</v>
      </c>
      <c r="K491">
        <v>1</v>
      </c>
      <c r="L491">
        <v>0</v>
      </c>
      <c r="M491">
        <v>39</v>
      </c>
      <c r="N491">
        <v>0</v>
      </c>
      <c r="O491">
        <v>13</v>
      </c>
      <c r="P491">
        <v>0</v>
      </c>
      <c r="Q491">
        <v>0</v>
      </c>
      <c r="R491">
        <v>0</v>
      </c>
      <c r="S491">
        <v>3</v>
      </c>
      <c r="T491">
        <v>3</v>
      </c>
      <c r="U491">
        <v>1</v>
      </c>
      <c r="V491">
        <v>3</v>
      </c>
      <c r="W491">
        <v>0</v>
      </c>
      <c r="X491">
        <v>2</v>
      </c>
      <c r="Y491">
        <v>0</v>
      </c>
      <c r="Z491">
        <v>0</v>
      </c>
      <c r="AA491">
        <v>4</v>
      </c>
      <c r="AB491">
        <v>6</v>
      </c>
      <c r="AC491">
        <v>0</v>
      </c>
      <c r="AD491">
        <v>1</v>
      </c>
      <c r="AE491">
        <v>0</v>
      </c>
      <c r="AF491">
        <v>14</v>
      </c>
      <c r="AG491">
        <v>8</v>
      </c>
      <c r="AH491">
        <v>6</v>
      </c>
      <c r="AI491">
        <v>0</v>
      </c>
      <c r="AJ491">
        <v>15</v>
      </c>
      <c r="AK491">
        <v>137</v>
      </c>
      <c r="AL491">
        <v>295</v>
      </c>
      <c r="AM491" s="1">
        <v>0</v>
      </c>
      <c r="AN491" s="1">
        <v>0</v>
      </c>
      <c r="AO491">
        <v>0</v>
      </c>
      <c r="AP491" s="1">
        <v>99</v>
      </c>
    </row>
    <row r="492" spans="1:42" x14ac:dyDescent="0.3">
      <c r="A492" t="s">
        <v>202</v>
      </c>
      <c r="B492" t="s">
        <v>206</v>
      </c>
      <c r="C492" s="4" t="s">
        <v>44</v>
      </c>
      <c r="D492" s="1">
        <v>1192</v>
      </c>
      <c r="E492">
        <v>21</v>
      </c>
      <c r="F492">
        <v>5</v>
      </c>
      <c r="G492">
        <v>107</v>
      </c>
      <c r="H492">
        <v>0</v>
      </c>
      <c r="I492">
        <v>0</v>
      </c>
      <c r="J492">
        <v>9</v>
      </c>
      <c r="K492">
        <v>1</v>
      </c>
      <c r="L492">
        <v>0</v>
      </c>
      <c r="M492">
        <v>117</v>
      </c>
      <c r="N492">
        <v>0</v>
      </c>
      <c r="O492">
        <v>47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13</v>
      </c>
      <c r="V492">
        <v>1</v>
      </c>
      <c r="W492">
        <v>1</v>
      </c>
      <c r="X492">
        <v>2</v>
      </c>
      <c r="Y492">
        <v>0</v>
      </c>
      <c r="Z492">
        <v>0</v>
      </c>
      <c r="AA492">
        <v>3</v>
      </c>
      <c r="AB492">
        <v>16</v>
      </c>
      <c r="AC492">
        <v>0</v>
      </c>
      <c r="AD492">
        <v>0</v>
      </c>
      <c r="AE492">
        <v>0</v>
      </c>
      <c r="AF492">
        <v>39</v>
      </c>
      <c r="AG492">
        <v>11</v>
      </c>
      <c r="AH492">
        <v>11</v>
      </c>
      <c r="AI492">
        <v>0</v>
      </c>
      <c r="AJ492">
        <v>10</v>
      </c>
      <c r="AK492">
        <v>539</v>
      </c>
      <c r="AL492">
        <v>197</v>
      </c>
      <c r="AM492" s="1">
        <v>0</v>
      </c>
      <c r="AN492" s="1">
        <v>0</v>
      </c>
      <c r="AO492">
        <v>0</v>
      </c>
      <c r="AP492" s="1">
        <v>41</v>
      </c>
    </row>
    <row r="493" spans="1:42" x14ac:dyDescent="0.3">
      <c r="A493" t="s">
        <v>202</v>
      </c>
      <c r="B493" t="s">
        <v>207</v>
      </c>
      <c r="C493" s="4" t="s">
        <v>40</v>
      </c>
      <c r="D493" s="1">
        <v>1691</v>
      </c>
      <c r="E493">
        <v>35</v>
      </c>
      <c r="F493">
        <v>11</v>
      </c>
      <c r="G493">
        <v>0</v>
      </c>
      <c r="H493">
        <v>4</v>
      </c>
      <c r="I493">
        <v>0</v>
      </c>
      <c r="J493">
        <v>287</v>
      </c>
      <c r="K493">
        <v>2</v>
      </c>
      <c r="L493">
        <v>0</v>
      </c>
      <c r="M493">
        <v>253</v>
      </c>
      <c r="N493">
        <v>0</v>
      </c>
      <c r="O493">
        <v>28</v>
      </c>
      <c r="P493">
        <v>0</v>
      </c>
      <c r="Q493">
        <v>0</v>
      </c>
      <c r="R493">
        <v>0</v>
      </c>
      <c r="S493">
        <v>30</v>
      </c>
      <c r="T493">
        <v>9</v>
      </c>
      <c r="U493">
        <v>55</v>
      </c>
      <c r="V493">
        <v>4</v>
      </c>
      <c r="W493">
        <v>0</v>
      </c>
      <c r="X493">
        <v>9</v>
      </c>
      <c r="Y493">
        <v>0</v>
      </c>
      <c r="Z493">
        <v>0</v>
      </c>
      <c r="AA493">
        <v>4</v>
      </c>
      <c r="AB493">
        <v>26</v>
      </c>
      <c r="AC493">
        <v>0</v>
      </c>
      <c r="AD493">
        <v>31</v>
      </c>
      <c r="AE493">
        <v>0</v>
      </c>
      <c r="AF493">
        <v>41</v>
      </c>
      <c r="AG493">
        <v>40</v>
      </c>
      <c r="AH493">
        <v>80</v>
      </c>
      <c r="AI493">
        <v>0</v>
      </c>
      <c r="AJ493">
        <v>16</v>
      </c>
      <c r="AK493">
        <v>37</v>
      </c>
      <c r="AL493">
        <v>497</v>
      </c>
      <c r="AM493" s="1">
        <v>0</v>
      </c>
      <c r="AN493" s="1">
        <v>0</v>
      </c>
      <c r="AO493">
        <v>0</v>
      </c>
      <c r="AP493" s="1">
        <v>192</v>
      </c>
    </row>
    <row r="494" spans="1:42" x14ac:dyDescent="0.3">
      <c r="A494" t="s">
        <v>202</v>
      </c>
      <c r="B494" t="s">
        <v>207</v>
      </c>
      <c r="C494" s="4" t="s">
        <v>43</v>
      </c>
      <c r="D494" s="1">
        <v>1382</v>
      </c>
      <c r="E494">
        <v>21</v>
      </c>
      <c r="F494">
        <v>6</v>
      </c>
      <c r="G494">
        <v>0</v>
      </c>
      <c r="H494">
        <v>3</v>
      </c>
      <c r="I494">
        <v>0</v>
      </c>
      <c r="J494">
        <v>269</v>
      </c>
      <c r="K494">
        <v>2</v>
      </c>
      <c r="L494">
        <v>0</v>
      </c>
      <c r="M494">
        <v>198</v>
      </c>
      <c r="N494">
        <v>0</v>
      </c>
      <c r="O494">
        <v>15</v>
      </c>
      <c r="P494">
        <v>0</v>
      </c>
      <c r="Q494">
        <v>0</v>
      </c>
      <c r="R494">
        <v>0</v>
      </c>
      <c r="S494">
        <v>27</v>
      </c>
      <c r="T494">
        <v>8</v>
      </c>
      <c r="U494">
        <v>38</v>
      </c>
      <c r="V494">
        <v>4</v>
      </c>
      <c r="W494">
        <v>0</v>
      </c>
      <c r="X494">
        <v>9</v>
      </c>
      <c r="Y494">
        <v>0</v>
      </c>
      <c r="Z494">
        <v>0</v>
      </c>
      <c r="AA494">
        <v>4</v>
      </c>
      <c r="AB494">
        <v>19</v>
      </c>
      <c r="AC494">
        <v>0</v>
      </c>
      <c r="AD494">
        <v>30</v>
      </c>
      <c r="AE494">
        <v>0</v>
      </c>
      <c r="AF494">
        <v>25</v>
      </c>
      <c r="AG494">
        <v>26</v>
      </c>
      <c r="AH494">
        <v>30</v>
      </c>
      <c r="AI494">
        <v>0</v>
      </c>
      <c r="AJ494">
        <v>14</v>
      </c>
      <c r="AK494">
        <v>33</v>
      </c>
      <c r="AL494">
        <v>454</v>
      </c>
      <c r="AM494" s="1">
        <v>0</v>
      </c>
      <c r="AN494" s="1">
        <v>0</v>
      </c>
      <c r="AO494">
        <v>0</v>
      </c>
      <c r="AP494" s="1">
        <v>147</v>
      </c>
    </row>
    <row r="495" spans="1:42" x14ac:dyDescent="0.3">
      <c r="A495" t="s">
        <v>202</v>
      </c>
      <c r="B495" t="s">
        <v>207</v>
      </c>
      <c r="C495" s="4" t="s">
        <v>44</v>
      </c>
      <c r="D495">
        <v>309</v>
      </c>
      <c r="E495">
        <v>14</v>
      </c>
      <c r="F495">
        <v>5</v>
      </c>
      <c r="G495">
        <v>0</v>
      </c>
      <c r="H495">
        <v>1</v>
      </c>
      <c r="I495">
        <v>0</v>
      </c>
      <c r="J495">
        <v>18</v>
      </c>
      <c r="K495">
        <v>0</v>
      </c>
      <c r="L495">
        <v>0</v>
      </c>
      <c r="M495">
        <v>55</v>
      </c>
      <c r="N495">
        <v>0</v>
      </c>
      <c r="O495">
        <v>13</v>
      </c>
      <c r="P495">
        <v>0</v>
      </c>
      <c r="Q495">
        <v>0</v>
      </c>
      <c r="R495">
        <v>0</v>
      </c>
      <c r="S495">
        <v>3</v>
      </c>
      <c r="T495">
        <v>1</v>
      </c>
      <c r="U495">
        <v>17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7</v>
      </c>
      <c r="AC495">
        <v>0</v>
      </c>
      <c r="AD495">
        <v>1</v>
      </c>
      <c r="AE495">
        <v>0</v>
      </c>
      <c r="AF495">
        <v>16</v>
      </c>
      <c r="AG495">
        <v>14</v>
      </c>
      <c r="AH495">
        <v>50</v>
      </c>
      <c r="AI495">
        <v>0</v>
      </c>
      <c r="AJ495">
        <v>2</v>
      </c>
      <c r="AK495">
        <v>4</v>
      </c>
      <c r="AL495">
        <v>43</v>
      </c>
      <c r="AM495" s="1">
        <v>0</v>
      </c>
      <c r="AN495" s="1">
        <v>0</v>
      </c>
      <c r="AO495">
        <v>0</v>
      </c>
      <c r="AP495" s="1">
        <v>45</v>
      </c>
    </row>
    <row r="496" spans="1:42" x14ac:dyDescent="0.3">
      <c r="A496" t="s">
        <v>202</v>
      </c>
      <c r="B496" t="s">
        <v>208</v>
      </c>
      <c r="C496" s="4" t="s">
        <v>40</v>
      </c>
      <c r="D496" s="1">
        <v>1677</v>
      </c>
      <c r="E496">
        <v>39</v>
      </c>
      <c r="F496">
        <v>45</v>
      </c>
      <c r="G496">
        <v>0</v>
      </c>
      <c r="H496">
        <v>3</v>
      </c>
      <c r="I496">
        <v>0</v>
      </c>
      <c r="J496">
        <v>49</v>
      </c>
      <c r="K496">
        <v>0</v>
      </c>
      <c r="L496">
        <v>0</v>
      </c>
      <c r="M496">
        <v>265</v>
      </c>
      <c r="N496">
        <v>1</v>
      </c>
      <c r="O496">
        <v>39</v>
      </c>
      <c r="P496">
        <v>0</v>
      </c>
      <c r="Q496">
        <v>2</v>
      </c>
      <c r="R496">
        <v>3</v>
      </c>
      <c r="S496">
        <v>2</v>
      </c>
      <c r="T496">
        <v>1</v>
      </c>
      <c r="U496">
        <v>32</v>
      </c>
      <c r="V496">
        <v>8</v>
      </c>
      <c r="W496">
        <v>0</v>
      </c>
      <c r="X496">
        <v>35</v>
      </c>
      <c r="Y496">
        <v>0</v>
      </c>
      <c r="Z496">
        <v>0</v>
      </c>
      <c r="AA496">
        <v>0</v>
      </c>
      <c r="AB496">
        <v>12</v>
      </c>
      <c r="AC496">
        <v>0</v>
      </c>
      <c r="AD496">
        <v>0</v>
      </c>
      <c r="AE496">
        <v>0</v>
      </c>
      <c r="AF496">
        <v>30</v>
      </c>
      <c r="AG496">
        <v>292</v>
      </c>
      <c r="AH496">
        <v>109</v>
      </c>
      <c r="AI496">
        <v>0</v>
      </c>
      <c r="AJ496">
        <v>54</v>
      </c>
      <c r="AK496">
        <v>31</v>
      </c>
      <c r="AL496">
        <v>484</v>
      </c>
      <c r="AM496" s="1">
        <v>0</v>
      </c>
      <c r="AN496" s="1">
        <v>0</v>
      </c>
      <c r="AO496">
        <v>0</v>
      </c>
      <c r="AP496" s="1">
        <v>141</v>
      </c>
    </row>
    <row r="497" spans="1:42" x14ac:dyDescent="0.3">
      <c r="A497" t="s">
        <v>202</v>
      </c>
      <c r="B497" t="s">
        <v>208</v>
      </c>
      <c r="C497" s="4" t="s">
        <v>43</v>
      </c>
      <c r="D497" s="1">
        <v>1034</v>
      </c>
      <c r="E497">
        <v>14</v>
      </c>
      <c r="F497">
        <v>24</v>
      </c>
      <c r="G497">
        <v>0</v>
      </c>
      <c r="H497">
        <v>3</v>
      </c>
      <c r="I497">
        <v>0</v>
      </c>
      <c r="J497">
        <v>30</v>
      </c>
      <c r="K497">
        <v>0</v>
      </c>
      <c r="L497">
        <v>0</v>
      </c>
      <c r="M497">
        <v>185</v>
      </c>
      <c r="N497">
        <v>0</v>
      </c>
      <c r="O497">
        <v>23</v>
      </c>
      <c r="P497">
        <v>0</v>
      </c>
      <c r="Q497">
        <v>2</v>
      </c>
      <c r="R497">
        <v>3</v>
      </c>
      <c r="S497">
        <v>2</v>
      </c>
      <c r="T497">
        <v>0</v>
      </c>
      <c r="U497">
        <v>19</v>
      </c>
      <c r="V497">
        <v>8</v>
      </c>
      <c r="W497">
        <v>0</v>
      </c>
      <c r="X497">
        <v>32</v>
      </c>
      <c r="Y497">
        <v>0</v>
      </c>
      <c r="Z497">
        <v>0</v>
      </c>
      <c r="AA497">
        <v>0</v>
      </c>
      <c r="AB497">
        <v>11</v>
      </c>
      <c r="AC497">
        <v>0</v>
      </c>
      <c r="AD497">
        <v>0</v>
      </c>
      <c r="AE497">
        <v>0</v>
      </c>
      <c r="AF497">
        <v>5</v>
      </c>
      <c r="AG497">
        <v>166</v>
      </c>
      <c r="AH497">
        <v>39</v>
      </c>
      <c r="AI497">
        <v>0</v>
      </c>
      <c r="AJ497">
        <v>43</v>
      </c>
      <c r="AK497">
        <v>12</v>
      </c>
      <c r="AL497">
        <v>328</v>
      </c>
      <c r="AM497" s="1">
        <v>0</v>
      </c>
      <c r="AN497" s="1">
        <v>0</v>
      </c>
      <c r="AO497">
        <v>0</v>
      </c>
      <c r="AP497" s="1">
        <v>85</v>
      </c>
    </row>
    <row r="498" spans="1:42" x14ac:dyDescent="0.3">
      <c r="A498" t="s">
        <v>202</v>
      </c>
      <c r="B498" t="s">
        <v>208</v>
      </c>
      <c r="C498" s="4" t="s">
        <v>44</v>
      </c>
      <c r="D498">
        <v>643</v>
      </c>
      <c r="E498">
        <v>25</v>
      </c>
      <c r="F498">
        <v>21</v>
      </c>
      <c r="G498">
        <v>0</v>
      </c>
      <c r="H498">
        <v>0</v>
      </c>
      <c r="I498">
        <v>0</v>
      </c>
      <c r="J498">
        <v>19</v>
      </c>
      <c r="K498">
        <v>0</v>
      </c>
      <c r="L498">
        <v>0</v>
      </c>
      <c r="M498">
        <v>80</v>
      </c>
      <c r="N498">
        <v>1</v>
      </c>
      <c r="O498">
        <v>16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13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25</v>
      </c>
      <c r="AG498">
        <v>126</v>
      </c>
      <c r="AH498">
        <v>70</v>
      </c>
      <c r="AI498">
        <v>0</v>
      </c>
      <c r="AJ498">
        <v>11</v>
      </c>
      <c r="AK498">
        <v>19</v>
      </c>
      <c r="AL498">
        <v>156</v>
      </c>
      <c r="AM498" s="1">
        <v>0</v>
      </c>
      <c r="AN498" s="1">
        <v>0</v>
      </c>
      <c r="AO498">
        <v>0</v>
      </c>
      <c r="AP498" s="1">
        <v>56</v>
      </c>
    </row>
    <row r="499" spans="1:42" x14ac:dyDescent="0.3">
      <c r="A499" t="s">
        <v>202</v>
      </c>
      <c r="B499" t="s">
        <v>209</v>
      </c>
      <c r="C499" s="4" t="s">
        <v>40</v>
      </c>
      <c r="D499" s="1">
        <v>1115</v>
      </c>
      <c r="E499">
        <v>57</v>
      </c>
      <c r="F499">
        <v>7</v>
      </c>
      <c r="G499">
        <v>0</v>
      </c>
      <c r="H499">
        <v>0</v>
      </c>
      <c r="I499">
        <v>0</v>
      </c>
      <c r="J499">
        <v>259</v>
      </c>
      <c r="K499">
        <v>1</v>
      </c>
      <c r="L499">
        <v>0</v>
      </c>
      <c r="M499">
        <v>13</v>
      </c>
      <c r="N499">
        <v>0</v>
      </c>
      <c r="O499">
        <v>3</v>
      </c>
      <c r="P499">
        <v>0</v>
      </c>
      <c r="Q499">
        <v>1</v>
      </c>
      <c r="R499">
        <v>0</v>
      </c>
      <c r="S499">
        <v>177</v>
      </c>
      <c r="T499">
        <v>8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2</v>
      </c>
      <c r="AC499">
        <v>0</v>
      </c>
      <c r="AD499">
        <v>0</v>
      </c>
      <c r="AE499">
        <v>0</v>
      </c>
      <c r="AF499">
        <v>16</v>
      </c>
      <c r="AG499">
        <v>18</v>
      </c>
      <c r="AH499">
        <v>293</v>
      </c>
      <c r="AI499">
        <v>0</v>
      </c>
      <c r="AJ499">
        <v>11</v>
      </c>
      <c r="AK499">
        <v>5</v>
      </c>
      <c r="AL499">
        <v>226</v>
      </c>
      <c r="AM499" s="1">
        <v>0</v>
      </c>
      <c r="AN499" s="1">
        <v>0</v>
      </c>
      <c r="AO499">
        <v>0</v>
      </c>
      <c r="AP499" s="1">
        <v>15</v>
      </c>
    </row>
    <row r="500" spans="1:42" x14ac:dyDescent="0.3">
      <c r="A500" t="s">
        <v>202</v>
      </c>
      <c r="B500" t="s">
        <v>209</v>
      </c>
      <c r="C500" s="4" t="s">
        <v>43</v>
      </c>
      <c r="D500">
        <v>864</v>
      </c>
      <c r="E500">
        <v>28</v>
      </c>
      <c r="F500">
        <v>5</v>
      </c>
      <c r="G500">
        <v>0</v>
      </c>
      <c r="H500">
        <v>0</v>
      </c>
      <c r="I500">
        <v>0</v>
      </c>
      <c r="J500">
        <v>256</v>
      </c>
      <c r="K500">
        <v>1</v>
      </c>
      <c r="L500">
        <v>0</v>
      </c>
      <c r="M500">
        <v>7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176</v>
      </c>
      <c r="T500">
        <v>8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0</v>
      </c>
      <c r="AE500">
        <v>0</v>
      </c>
      <c r="AF500">
        <v>9</v>
      </c>
      <c r="AG500">
        <v>8</v>
      </c>
      <c r="AH500">
        <v>115</v>
      </c>
      <c r="AI500">
        <v>0</v>
      </c>
      <c r="AJ500">
        <v>7</v>
      </c>
      <c r="AK500">
        <v>4</v>
      </c>
      <c r="AL500">
        <v>220</v>
      </c>
      <c r="AM500" s="1">
        <v>0</v>
      </c>
      <c r="AN500" s="1">
        <v>0</v>
      </c>
      <c r="AO500">
        <v>0</v>
      </c>
      <c r="AP500" s="1">
        <v>14</v>
      </c>
    </row>
    <row r="501" spans="1:42" x14ac:dyDescent="0.3">
      <c r="A501" t="s">
        <v>202</v>
      </c>
      <c r="B501" t="s">
        <v>209</v>
      </c>
      <c r="C501" s="4" t="s">
        <v>44</v>
      </c>
      <c r="D501">
        <v>251</v>
      </c>
      <c r="E501">
        <v>29</v>
      </c>
      <c r="F501">
        <v>2</v>
      </c>
      <c r="G501">
        <v>0</v>
      </c>
      <c r="H501">
        <v>0</v>
      </c>
      <c r="I501">
        <v>0</v>
      </c>
      <c r="J501">
        <v>3</v>
      </c>
      <c r="K501">
        <v>0</v>
      </c>
      <c r="L501">
        <v>0</v>
      </c>
      <c r="M501">
        <v>6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7</v>
      </c>
      <c r="AG501">
        <v>10</v>
      </c>
      <c r="AH501">
        <v>178</v>
      </c>
      <c r="AI501">
        <v>0</v>
      </c>
      <c r="AJ501">
        <v>4</v>
      </c>
      <c r="AK501">
        <v>1</v>
      </c>
      <c r="AL501">
        <v>6</v>
      </c>
      <c r="AM501" s="1">
        <v>0</v>
      </c>
      <c r="AN501" s="1">
        <v>0</v>
      </c>
      <c r="AO501">
        <v>0</v>
      </c>
      <c r="AP501" s="1">
        <v>1</v>
      </c>
    </row>
    <row r="502" spans="1:42" x14ac:dyDescent="0.3">
      <c r="A502" t="s">
        <v>202</v>
      </c>
      <c r="B502" t="s">
        <v>210</v>
      </c>
      <c r="C502" s="4" t="s">
        <v>40</v>
      </c>
      <c r="D502">
        <v>832</v>
      </c>
      <c r="E502">
        <v>19</v>
      </c>
      <c r="F502">
        <v>0</v>
      </c>
      <c r="G502">
        <v>79</v>
      </c>
      <c r="H502">
        <v>1</v>
      </c>
      <c r="I502">
        <v>0</v>
      </c>
      <c r="J502">
        <v>9</v>
      </c>
      <c r="K502">
        <v>1</v>
      </c>
      <c r="L502">
        <v>0</v>
      </c>
      <c r="M502">
        <v>46</v>
      </c>
      <c r="N502">
        <v>0</v>
      </c>
      <c r="O502">
        <v>16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4</v>
      </c>
      <c r="V502">
        <v>1</v>
      </c>
      <c r="W502">
        <v>0</v>
      </c>
      <c r="X502">
        <v>6</v>
      </c>
      <c r="Y502">
        <v>0</v>
      </c>
      <c r="Z502">
        <v>0</v>
      </c>
      <c r="AA502">
        <v>2</v>
      </c>
      <c r="AB502">
        <v>13</v>
      </c>
      <c r="AC502">
        <v>0</v>
      </c>
      <c r="AD502">
        <v>0</v>
      </c>
      <c r="AE502">
        <v>0</v>
      </c>
      <c r="AF502">
        <v>7</v>
      </c>
      <c r="AG502">
        <v>8</v>
      </c>
      <c r="AH502">
        <v>15</v>
      </c>
      <c r="AI502">
        <v>0</v>
      </c>
      <c r="AJ502">
        <v>7</v>
      </c>
      <c r="AK502">
        <v>98</v>
      </c>
      <c r="AL502">
        <v>458</v>
      </c>
      <c r="AM502" s="1">
        <v>0</v>
      </c>
      <c r="AN502" s="1">
        <v>0</v>
      </c>
      <c r="AO502">
        <v>0</v>
      </c>
      <c r="AP502" s="1">
        <v>41</v>
      </c>
    </row>
    <row r="503" spans="1:42" x14ac:dyDescent="0.3">
      <c r="A503" t="s">
        <v>202</v>
      </c>
      <c r="B503" t="s">
        <v>210</v>
      </c>
      <c r="C503" s="4" t="s">
        <v>43</v>
      </c>
      <c r="D503">
        <v>511</v>
      </c>
      <c r="E503">
        <v>12</v>
      </c>
      <c r="F503">
        <v>0</v>
      </c>
      <c r="G503">
        <v>42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5</v>
      </c>
      <c r="AC503">
        <v>0</v>
      </c>
      <c r="AD503">
        <v>0</v>
      </c>
      <c r="AE503">
        <v>0</v>
      </c>
      <c r="AF503">
        <v>1</v>
      </c>
      <c r="AG503">
        <v>3</v>
      </c>
      <c r="AH503">
        <v>4</v>
      </c>
      <c r="AI503">
        <v>0</v>
      </c>
      <c r="AJ503">
        <v>3</v>
      </c>
      <c r="AK503">
        <v>31</v>
      </c>
      <c r="AL503">
        <v>357</v>
      </c>
      <c r="AM503" s="1">
        <v>0</v>
      </c>
      <c r="AN503" s="1">
        <v>0</v>
      </c>
      <c r="AO503">
        <v>0</v>
      </c>
      <c r="AP503" s="1">
        <v>33</v>
      </c>
    </row>
    <row r="504" spans="1:42" x14ac:dyDescent="0.3">
      <c r="A504" t="s">
        <v>202</v>
      </c>
      <c r="B504" t="s">
        <v>210</v>
      </c>
      <c r="C504" s="4" t="s">
        <v>44</v>
      </c>
      <c r="D504">
        <v>321</v>
      </c>
      <c r="E504">
        <v>7</v>
      </c>
      <c r="F504">
        <v>0</v>
      </c>
      <c r="G504">
        <v>37</v>
      </c>
      <c r="H504">
        <v>1</v>
      </c>
      <c r="I504">
        <v>0</v>
      </c>
      <c r="J504">
        <v>6</v>
      </c>
      <c r="K504">
        <v>1</v>
      </c>
      <c r="L504">
        <v>0</v>
      </c>
      <c r="M504">
        <v>31</v>
      </c>
      <c r="N504">
        <v>0</v>
      </c>
      <c r="O504">
        <v>16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3</v>
      </c>
      <c r="V504">
        <v>1</v>
      </c>
      <c r="W504">
        <v>0</v>
      </c>
      <c r="X504">
        <v>5</v>
      </c>
      <c r="Y504">
        <v>0</v>
      </c>
      <c r="Z504">
        <v>0</v>
      </c>
      <c r="AA504">
        <v>2</v>
      </c>
      <c r="AB504">
        <v>8</v>
      </c>
      <c r="AC504">
        <v>0</v>
      </c>
      <c r="AD504">
        <v>0</v>
      </c>
      <c r="AE504">
        <v>0</v>
      </c>
      <c r="AF504">
        <v>6</v>
      </c>
      <c r="AG504">
        <v>5</v>
      </c>
      <c r="AH504">
        <v>11</v>
      </c>
      <c r="AI504">
        <v>0</v>
      </c>
      <c r="AJ504">
        <v>4</v>
      </c>
      <c r="AK504">
        <v>67</v>
      </c>
      <c r="AL504">
        <v>101</v>
      </c>
      <c r="AM504" s="1">
        <v>0</v>
      </c>
      <c r="AN504" s="1">
        <v>0</v>
      </c>
      <c r="AO504">
        <v>0</v>
      </c>
      <c r="AP504" s="1">
        <v>8</v>
      </c>
    </row>
    <row r="505" spans="1:42" x14ac:dyDescent="0.3">
      <c r="A505" t="s">
        <v>202</v>
      </c>
      <c r="B505" t="s">
        <v>211</v>
      </c>
      <c r="C505" s="4" t="s">
        <v>40</v>
      </c>
      <c r="D505">
        <v>816</v>
      </c>
      <c r="E505">
        <v>0</v>
      </c>
      <c r="F505">
        <v>2</v>
      </c>
      <c r="G505">
        <v>0</v>
      </c>
      <c r="H505">
        <v>8</v>
      </c>
      <c r="I505">
        <v>0</v>
      </c>
      <c r="J505">
        <v>24</v>
      </c>
      <c r="K505">
        <v>1</v>
      </c>
      <c r="L505">
        <v>0</v>
      </c>
      <c r="M505">
        <v>141</v>
      </c>
      <c r="N505">
        <v>0</v>
      </c>
      <c r="O505">
        <v>52</v>
      </c>
      <c r="P505">
        <v>0</v>
      </c>
      <c r="Q505">
        <v>0</v>
      </c>
      <c r="R505">
        <v>0</v>
      </c>
      <c r="S505">
        <v>4</v>
      </c>
      <c r="T505">
        <v>1</v>
      </c>
      <c r="U505">
        <v>49</v>
      </c>
      <c r="V505">
        <v>2</v>
      </c>
      <c r="W505">
        <v>0</v>
      </c>
      <c r="X505">
        <v>6</v>
      </c>
      <c r="Y505">
        <v>0</v>
      </c>
      <c r="Z505">
        <v>0</v>
      </c>
      <c r="AA505">
        <v>2</v>
      </c>
      <c r="AB505">
        <v>11</v>
      </c>
      <c r="AC505">
        <v>0</v>
      </c>
      <c r="AD505">
        <v>0</v>
      </c>
      <c r="AE505">
        <v>0</v>
      </c>
      <c r="AF505">
        <v>20</v>
      </c>
      <c r="AG505">
        <v>36</v>
      </c>
      <c r="AH505">
        <v>92</v>
      </c>
      <c r="AI505">
        <v>0</v>
      </c>
      <c r="AJ505">
        <v>15</v>
      </c>
      <c r="AK505">
        <v>24</v>
      </c>
      <c r="AL505">
        <v>151</v>
      </c>
      <c r="AM505" s="1">
        <v>0</v>
      </c>
      <c r="AN505" s="1">
        <v>0</v>
      </c>
      <c r="AO505">
        <v>0</v>
      </c>
      <c r="AP505" s="1">
        <v>175</v>
      </c>
    </row>
    <row r="506" spans="1:42" x14ac:dyDescent="0.3">
      <c r="A506" t="s">
        <v>202</v>
      </c>
      <c r="B506" t="s">
        <v>211</v>
      </c>
      <c r="C506" s="4" t="s">
        <v>43</v>
      </c>
      <c r="D506">
        <v>500</v>
      </c>
      <c r="E506">
        <v>0</v>
      </c>
      <c r="F506">
        <v>2</v>
      </c>
      <c r="G506">
        <v>0</v>
      </c>
      <c r="H506">
        <v>7</v>
      </c>
      <c r="I506">
        <v>0</v>
      </c>
      <c r="J506">
        <v>14</v>
      </c>
      <c r="K506">
        <v>1</v>
      </c>
      <c r="L506">
        <v>0</v>
      </c>
      <c r="M506">
        <v>99</v>
      </c>
      <c r="N506">
        <v>0</v>
      </c>
      <c r="O506">
        <v>26</v>
      </c>
      <c r="P506">
        <v>0</v>
      </c>
      <c r="Q506">
        <v>0</v>
      </c>
      <c r="R506">
        <v>0</v>
      </c>
      <c r="S506">
        <v>4</v>
      </c>
      <c r="T506">
        <v>1</v>
      </c>
      <c r="U506">
        <v>35</v>
      </c>
      <c r="V506">
        <v>1</v>
      </c>
      <c r="W506">
        <v>0</v>
      </c>
      <c r="X506">
        <v>4</v>
      </c>
      <c r="Y506">
        <v>0</v>
      </c>
      <c r="Z506">
        <v>0</v>
      </c>
      <c r="AA506">
        <v>0</v>
      </c>
      <c r="AB506">
        <v>10</v>
      </c>
      <c r="AC506">
        <v>0</v>
      </c>
      <c r="AD506">
        <v>0</v>
      </c>
      <c r="AE506">
        <v>0</v>
      </c>
      <c r="AF506">
        <v>8</v>
      </c>
      <c r="AG506">
        <v>16</v>
      </c>
      <c r="AH506">
        <v>35</v>
      </c>
      <c r="AI506">
        <v>0</v>
      </c>
      <c r="AJ506">
        <v>12</v>
      </c>
      <c r="AK506">
        <v>19</v>
      </c>
      <c r="AL506">
        <v>98</v>
      </c>
      <c r="AM506" s="1">
        <v>0</v>
      </c>
      <c r="AN506" s="1">
        <v>0</v>
      </c>
      <c r="AO506">
        <v>0</v>
      </c>
      <c r="AP506" s="1">
        <v>108</v>
      </c>
    </row>
    <row r="507" spans="1:42" x14ac:dyDescent="0.3">
      <c r="A507" t="s">
        <v>202</v>
      </c>
      <c r="B507" t="s">
        <v>211</v>
      </c>
      <c r="C507" s="4" t="s">
        <v>44</v>
      </c>
      <c r="D507">
        <v>316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10</v>
      </c>
      <c r="K507">
        <v>0</v>
      </c>
      <c r="L507">
        <v>0</v>
      </c>
      <c r="M507">
        <v>42</v>
      </c>
      <c r="N507">
        <v>0</v>
      </c>
      <c r="O507">
        <v>26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14</v>
      </c>
      <c r="V507">
        <v>1</v>
      </c>
      <c r="W507">
        <v>0</v>
      </c>
      <c r="X507">
        <v>2</v>
      </c>
      <c r="Y507">
        <v>0</v>
      </c>
      <c r="Z507">
        <v>0</v>
      </c>
      <c r="AA507">
        <v>2</v>
      </c>
      <c r="AB507">
        <v>1</v>
      </c>
      <c r="AC507">
        <v>0</v>
      </c>
      <c r="AD507">
        <v>0</v>
      </c>
      <c r="AE507">
        <v>0</v>
      </c>
      <c r="AF507">
        <v>12</v>
      </c>
      <c r="AG507">
        <v>20</v>
      </c>
      <c r="AH507">
        <v>57</v>
      </c>
      <c r="AI507">
        <v>0</v>
      </c>
      <c r="AJ507">
        <v>3</v>
      </c>
      <c r="AK507">
        <v>5</v>
      </c>
      <c r="AL507">
        <v>53</v>
      </c>
      <c r="AM507" s="1">
        <v>0</v>
      </c>
      <c r="AN507" s="1">
        <v>0</v>
      </c>
      <c r="AO507">
        <v>0</v>
      </c>
      <c r="AP507" s="1">
        <v>67</v>
      </c>
    </row>
    <row r="508" spans="1:42" x14ac:dyDescent="0.3">
      <c r="A508" t="s">
        <v>202</v>
      </c>
      <c r="B508" t="s">
        <v>212</v>
      </c>
      <c r="C508" s="4" t="s">
        <v>40</v>
      </c>
      <c r="D508">
        <v>807</v>
      </c>
      <c r="E508">
        <v>6</v>
      </c>
      <c r="F508">
        <v>2</v>
      </c>
      <c r="G508">
        <v>0</v>
      </c>
      <c r="H508">
        <v>3</v>
      </c>
      <c r="I508">
        <v>0</v>
      </c>
      <c r="J508">
        <v>36</v>
      </c>
      <c r="K508">
        <v>0</v>
      </c>
      <c r="L508">
        <v>0</v>
      </c>
      <c r="M508">
        <v>226</v>
      </c>
      <c r="N508">
        <v>0</v>
      </c>
      <c r="O508">
        <v>41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32</v>
      </c>
      <c r="V508">
        <v>0</v>
      </c>
      <c r="W508">
        <v>0</v>
      </c>
      <c r="X508">
        <v>5</v>
      </c>
      <c r="Y508">
        <v>0</v>
      </c>
      <c r="Z508">
        <v>0</v>
      </c>
      <c r="AA508">
        <v>3</v>
      </c>
      <c r="AB508">
        <v>14</v>
      </c>
      <c r="AC508">
        <v>0</v>
      </c>
      <c r="AD508">
        <v>0</v>
      </c>
      <c r="AE508">
        <v>0</v>
      </c>
      <c r="AF508">
        <v>3</v>
      </c>
      <c r="AG508">
        <v>28</v>
      </c>
      <c r="AH508">
        <v>69</v>
      </c>
      <c r="AI508">
        <v>0</v>
      </c>
      <c r="AJ508">
        <v>6</v>
      </c>
      <c r="AK508">
        <v>0</v>
      </c>
      <c r="AL508">
        <v>312</v>
      </c>
      <c r="AM508" s="1">
        <v>0</v>
      </c>
      <c r="AN508" s="1">
        <v>0</v>
      </c>
      <c r="AO508">
        <v>0</v>
      </c>
      <c r="AP508" s="1">
        <v>18</v>
      </c>
    </row>
    <row r="509" spans="1:42" x14ac:dyDescent="0.3">
      <c r="A509" t="s">
        <v>202</v>
      </c>
      <c r="B509" t="s">
        <v>212</v>
      </c>
      <c r="C509" s="4" t="s">
        <v>43</v>
      </c>
      <c r="D509">
        <v>543</v>
      </c>
      <c r="E509">
        <v>3</v>
      </c>
      <c r="F509">
        <v>0</v>
      </c>
      <c r="G509">
        <v>0</v>
      </c>
      <c r="H509">
        <v>1</v>
      </c>
      <c r="I509">
        <v>0</v>
      </c>
      <c r="J509">
        <v>22</v>
      </c>
      <c r="K509">
        <v>0</v>
      </c>
      <c r="L509">
        <v>0</v>
      </c>
      <c r="M509">
        <v>161</v>
      </c>
      <c r="N509">
        <v>0</v>
      </c>
      <c r="O509">
        <v>25</v>
      </c>
      <c r="P509">
        <v>0</v>
      </c>
      <c r="Q509">
        <v>0</v>
      </c>
      <c r="R509">
        <v>0</v>
      </c>
      <c r="S509">
        <v>2</v>
      </c>
      <c r="T509">
        <v>0</v>
      </c>
      <c r="U509">
        <v>24</v>
      </c>
      <c r="V509">
        <v>0</v>
      </c>
      <c r="W509">
        <v>0</v>
      </c>
      <c r="X509">
        <v>5</v>
      </c>
      <c r="Y509">
        <v>0</v>
      </c>
      <c r="Z509">
        <v>0</v>
      </c>
      <c r="AA509">
        <v>3</v>
      </c>
      <c r="AB509">
        <v>14</v>
      </c>
      <c r="AC509">
        <v>0</v>
      </c>
      <c r="AD509">
        <v>0</v>
      </c>
      <c r="AE509">
        <v>0</v>
      </c>
      <c r="AF509">
        <v>2</v>
      </c>
      <c r="AG509">
        <v>11</v>
      </c>
      <c r="AH509">
        <v>19</v>
      </c>
      <c r="AI509">
        <v>0</v>
      </c>
      <c r="AJ509">
        <v>5</v>
      </c>
      <c r="AK509">
        <v>0</v>
      </c>
      <c r="AL509">
        <v>236</v>
      </c>
      <c r="AM509" s="1">
        <v>0</v>
      </c>
      <c r="AN509" s="1">
        <v>0</v>
      </c>
      <c r="AO509">
        <v>0</v>
      </c>
      <c r="AP509" s="1">
        <v>10</v>
      </c>
    </row>
    <row r="510" spans="1:42" x14ac:dyDescent="0.3">
      <c r="A510" t="s">
        <v>202</v>
      </c>
      <c r="B510" t="s">
        <v>212</v>
      </c>
      <c r="C510" s="4" t="s">
        <v>44</v>
      </c>
      <c r="D510">
        <v>264</v>
      </c>
      <c r="E510">
        <v>3</v>
      </c>
      <c r="F510">
        <v>2</v>
      </c>
      <c r="G510">
        <v>0</v>
      </c>
      <c r="H510">
        <v>2</v>
      </c>
      <c r="I510">
        <v>0</v>
      </c>
      <c r="J510">
        <v>14</v>
      </c>
      <c r="K510">
        <v>0</v>
      </c>
      <c r="L510">
        <v>0</v>
      </c>
      <c r="M510">
        <v>65</v>
      </c>
      <c r="N510">
        <v>0</v>
      </c>
      <c r="O510">
        <v>16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17</v>
      </c>
      <c r="AH510">
        <v>50</v>
      </c>
      <c r="AI510">
        <v>0</v>
      </c>
      <c r="AJ510">
        <v>1</v>
      </c>
      <c r="AK510">
        <v>0</v>
      </c>
      <c r="AL510">
        <v>76</v>
      </c>
      <c r="AM510" s="1">
        <v>0</v>
      </c>
      <c r="AN510" s="1">
        <v>0</v>
      </c>
      <c r="AO510">
        <v>0</v>
      </c>
      <c r="AP510" s="1">
        <v>8</v>
      </c>
    </row>
    <row r="511" spans="1:42" x14ac:dyDescent="0.3">
      <c r="A511" t="s">
        <v>202</v>
      </c>
      <c r="B511" t="s">
        <v>213</v>
      </c>
      <c r="C511" s="4" t="s">
        <v>40</v>
      </c>
      <c r="D511">
        <v>754</v>
      </c>
      <c r="E511">
        <v>34</v>
      </c>
      <c r="F511">
        <v>42</v>
      </c>
      <c r="G511">
        <v>0</v>
      </c>
      <c r="H511">
        <v>1</v>
      </c>
      <c r="I511">
        <v>0</v>
      </c>
      <c r="J511">
        <v>34</v>
      </c>
      <c r="K511">
        <v>1</v>
      </c>
      <c r="L511">
        <v>0</v>
      </c>
      <c r="M511">
        <v>232</v>
      </c>
      <c r="N511">
        <v>0</v>
      </c>
      <c r="O511">
        <v>39</v>
      </c>
      <c r="P511">
        <v>0</v>
      </c>
      <c r="Q511">
        <v>5</v>
      </c>
      <c r="R511">
        <v>0</v>
      </c>
      <c r="S511">
        <v>1</v>
      </c>
      <c r="T511">
        <v>0</v>
      </c>
      <c r="U511">
        <v>41</v>
      </c>
      <c r="V511">
        <v>2</v>
      </c>
      <c r="W511">
        <v>0</v>
      </c>
      <c r="X511">
        <v>5</v>
      </c>
      <c r="Y511">
        <v>0</v>
      </c>
      <c r="Z511">
        <v>0</v>
      </c>
      <c r="AA511">
        <v>2</v>
      </c>
      <c r="AB511">
        <v>26</v>
      </c>
      <c r="AC511">
        <v>0</v>
      </c>
      <c r="AD511">
        <v>0</v>
      </c>
      <c r="AE511">
        <v>0</v>
      </c>
      <c r="AF511">
        <v>13</v>
      </c>
      <c r="AG511">
        <v>16</v>
      </c>
      <c r="AH511">
        <v>44</v>
      </c>
      <c r="AI511">
        <v>5</v>
      </c>
      <c r="AJ511">
        <v>3</v>
      </c>
      <c r="AK511">
        <v>15</v>
      </c>
      <c r="AL511">
        <v>156</v>
      </c>
      <c r="AM511" s="1">
        <v>0</v>
      </c>
      <c r="AN511" s="1">
        <v>0</v>
      </c>
      <c r="AO511">
        <v>0</v>
      </c>
      <c r="AP511" s="1">
        <v>37</v>
      </c>
    </row>
    <row r="512" spans="1:42" x14ac:dyDescent="0.3">
      <c r="A512" t="s">
        <v>202</v>
      </c>
      <c r="B512" t="s">
        <v>213</v>
      </c>
      <c r="C512" s="4" t="s">
        <v>43</v>
      </c>
      <c r="D512">
        <v>424</v>
      </c>
      <c r="E512">
        <v>13</v>
      </c>
      <c r="F512">
        <v>24</v>
      </c>
      <c r="G512">
        <v>0</v>
      </c>
      <c r="H512">
        <v>1</v>
      </c>
      <c r="I512">
        <v>0</v>
      </c>
      <c r="J512">
        <v>18</v>
      </c>
      <c r="K512">
        <v>1</v>
      </c>
      <c r="L512">
        <v>0</v>
      </c>
      <c r="M512">
        <v>129</v>
      </c>
      <c r="N512">
        <v>0</v>
      </c>
      <c r="O512">
        <v>20</v>
      </c>
      <c r="P512">
        <v>0</v>
      </c>
      <c r="Q512">
        <v>5</v>
      </c>
      <c r="R512">
        <v>0</v>
      </c>
      <c r="S512">
        <v>1</v>
      </c>
      <c r="T512">
        <v>0</v>
      </c>
      <c r="U512">
        <v>28</v>
      </c>
      <c r="V512">
        <v>2</v>
      </c>
      <c r="W512">
        <v>0</v>
      </c>
      <c r="X512">
        <v>5</v>
      </c>
      <c r="Y512">
        <v>0</v>
      </c>
      <c r="Z512">
        <v>0</v>
      </c>
      <c r="AA512">
        <v>2</v>
      </c>
      <c r="AB512">
        <v>15</v>
      </c>
      <c r="AC512">
        <v>0</v>
      </c>
      <c r="AD512">
        <v>0</v>
      </c>
      <c r="AE512">
        <v>0</v>
      </c>
      <c r="AF512">
        <v>1</v>
      </c>
      <c r="AG512">
        <v>10</v>
      </c>
      <c r="AH512">
        <v>23</v>
      </c>
      <c r="AI512">
        <v>4</v>
      </c>
      <c r="AJ512">
        <v>3</v>
      </c>
      <c r="AK512">
        <v>11</v>
      </c>
      <c r="AL512">
        <v>92</v>
      </c>
      <c r="AM512" s="1">
        <v>0</v>
      </c>
      <c r="AN512" s="1">
        <v>0</v>
      </c>
      <c r="AO512">
        <v>0</v>
      </c>
      <c r="AP512" s="1">
        <v>16</v>
      </c>
    </row>
    <row r="513" spans="1:42" x14ac:dyDescent="0.3">
      <c r="A513" t="s">
        <v>202</v>
      </c>
      <c r="B513" t="s">
        <v>213</v>
      </c>
      <c r="C513" s="4" t="s">
        <v>44</v>
      </c>
      <c r="D513">
        <v>330</v>
      </c>
      <c r="E513">
        <v>21</v>
      </c>
      <c r="F513">
        <v>18</v>
      </c>
      <c r="G513">
        <v>0</v>
      </c>
      <c r="H513">
        <v>0</v>
      </c>
      <c r="I513">
        <v>0</v>
      </c>
      <c r="J513">
        <v>16</v>
      </c>
      <c r="K513">
        <v>0</v>
      </c>
      <c r="L513">
        <v>0</v>
      </c>
      <c r="M513">
        <v>103</v>
      </c>
      <c r="N513">
        <v>0</v>
      </c>
      <c r="O513">
        <v>19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11</v>
      </c>
      <c r="AC513">
        <v>0</v>
      </c>
      <c r="AD513">
        <v>0</v>
      </c>
      <c r="AE513">
        <v>0</v>
      </c>
      <c r="AF513">
        <v>12</v>
      </c>
      <c r="AG513">
        <v>6</v>
      </c>
      <c r="AH513">
        <v>21</v>
      </c>
      <c r="AI513">
        <v>1</v>
      </c>
      <c r="AJ513">
        <v>0</v>
      </c>
      <c r="AK513">
        <v>4</v>
      </c>
      <c r="AL513">
        <v>64</v>
      </c>
      <c r="AM513" s="1">
        <v>0</v>
      </c>
      <c r="AN513" s="1">
        <v>0</v>
      </c>
      <c r="AO513">
        <v>0</v>
      </c>
      <c r="AP513" s="1">
        <v>21</v>
      </c>
    </row>
    <row r="514" spans="1:42" x14ac:dyDescent="0.3">
      <c r="A514" t="s">
        <v>202</v>
      </c>
      <c r="B514" t="s">
        <v>214</v>
      </c>
      <c r="C514" s="4" t="s">
        <v>40</v>
      </c>
      <c r="D514">
        <v>720</v>
      </c>
      <c r="E514">
        <v>38</v>
      </c>
      <c r="F514">
        <v>3</v>
      </c>
      <c r="G514">
        <v>0</v>
      </c>
      <c r="H514">
        <v>5</v>
      </c>
      <c r="I514">
        <v>0</v>
      </c>
      <c r="J514">
        <v>29</v>
      </c>
      <c r="K514">
        <v>0</v>
      </c>
      <c r="L514">
        <v>0</v>
      </c>
      <c r="M514">
        <v>186</v>
      </c>
      <c r="N514">
        <v>0</v>
      </c>
      <c r="O514">
        <v>26</v>
      </c>
      <c r="P514">
        <v>0</v>
      </c>
      <c r="Q514">
        <v>3</v>
      </c>
      <c r="R514">
        <v>0</v>
      </c>
      <c r="S514">
        <v>2</v>
      </c>
      <c r="T514">
        <v>0</v>
      </c>
      <c r="U514">
        <v>24</v>
      </c>
      <c r="V514">
        <v>1</v>
      </c>
      <c r="W514">
        <v>0</v>
      </c>
      <c r="X514">
        <v>3</v>
      </c>
      <c r="Y514">
        <v>0</v>
      </c>
      <c r="Z514">
        <v>0</v>
      </c>
      <c r="AA514">
        <v>0</v>
      </c>
      <c r="AB514">
        <v>10</v>
      </c>
      <c r="AC514">
        <v>0</v>
      </c>
      <c r="AD514">
        <v>0</v>
      </c>
      <c r="AE514">
        <v>0</v>
      </c>
      <c r="AF514">
        <v>6</v>
      </c>
      <c r="AG514">
        <v>11</v>
      </c>
      <c r="AH514">
        <v>25</v>
      </c>
      <c r="AI514">
        <v>2</v>
      </c>
      <c r="AJ514">
        <v>5</v>
      </c>
      <c r="AK514">
        <v>11</v>
      </c>
      <c r="AL514">
        <v>301</v>
      </c>
      <c r="AM514" s="1">
        <v>0</v>
      </c>
      <c r="AN514" s="1">
        <v>0</v>
      </c>
      <c r="AO514">
        <v>0</v>
      </c>
      <c r="AP514" s="1">
        <v>29</v>
      </c>
    </row>
    <row r="515" spans="1:42" x14ac:dyDescent="0.3">
      <c r="A515" t="s">
        <v>202</v>
      </c>
      <c r="B515" t="s">
        <v>214</v>
      </c>
      <c r="C515" s="4" t="s">
        <v>43</v>
      </c>
      <c r="D515">
        <v>509</v>
      </c>
      <c r="E515">
        <v>20</v>
      </c>
      <c r="F515">
        <v>1</v>
      </c>
      <c r="G515">
        <v>0</v>
      </c>
      <c r="H515">
        <v>5</v>
      </c>
      <c r="I515">
        <v>0</v>
      </c>
      <c r="J515">
        <v>17</v>
      </c>
      <c r="K515">
        <v>0</v>
      </c>
      <c r="L515">
        <v>0</v>
      </c>
      <c r="M515">
        <v>123</v>
      </c>
      <c r="N515">
        <v>0</v>
      </c>
      <c r="O515">
        <v>13</v>
      </c>
      <c r="P515">
        <v>0</v>
      </c>
      <c r="Q515">
        <v>2</v>
      </c>
      <c r="R515">
        <v>0</v>
      </c>
      <c r="S515">
        <v>2</v>
      </c>
      <c r="T515">
        <v>0</v>
      </c>
      <c r="U515">
        <v>14</v>
      </c>
      <c r="V515">
        <v>0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7</v>
      </c>
      <c r="AC515">
        <v>0</v>
      </c>
      <c r="AD515">
        <v>0</v>
      </c>
      <c r="AE515">
        <v>0</v>
      </c>
      <c r="AF515">
        <v>1</v>
      </c>
      <c r="AG515">
        <v>6</v>
      </c>
      <c r="AH515">
        <v>11</v>
      </c>
      <c r="AI515">
        <v>1</v>
      </c>
      <c r="AJ515">
        <v>4</v>
      </c>
      <c r="AK515">
        <v>9</v>
      </c>
      <c r="AL515">
        <v>251</v>
      </c>
      <c r="AM515" s="1">
        <v>0</v>
      </c>
      <c r="AN515" s="1">
        <v>0</v>
      </c>
      <c r="AO515">
        <v>0</v>
      </c>
      <c r="AP515" s="1">
        <v>19</v>
      </c>
    </row>
    <row r="516" spans="1:42" x14ac:dyDescent="0.3">
      <c r="A516" t="s">
        <v>202</v>
      </c>
      <c r="B516" t="s">
        <v>214</v>
      </c>
      <c r="C516" s="4" t="s">
        <v>44</v>
      </c>
      <c r="D516">
        <v>211</v>
      </c>
      <c r="E516">
        <v>18</v>
      </c>
      <c r="F516">
        <v>2</v>
      </c>
      <c r="G516">
        <v>0</v>
      </c>
      <c r="H516">
        <v>0</v>
      </c>
      <c r="I516">
        <v>0</v>
      </c>
      <c r="J516">
        <v>12</v>
      </c>
      <c r="K516">
        <v>0</v>
      </c>
      <c r="L516">
        <v>0</v>
      </c>
      <c r="M516">
        <v>63</v>
      </c>
      <c r="N516">
        <v>0</v>
      </c>
      <c r="O516">
        <v>13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0</v>
      </c>
      <c r="AD516">
        <v>0</v>
      </c>
      <c r="AE516">
        <v>0</v>
      </c>
      <c r="AF516">
        <v>5</v>
      </c>
      <c r="AG516">
        <v>5</v>
      </c>
      <c r="AH516">
        <v>14</v>
      </c>
      <c r="AI516">
        <v>1</v>
      </c>
      <c r="AJ516">
        <v>1</v>
      </c>
      <c r="AK516">
        <v>2</v>
      </c>
      <c r="AL516">
        <v>50</v>
      </c>
      <c r="AM516" s="1">
        <v>0</v>
      </c>
      <c r="AN516" s="1">
        <v>0</v>
      </c>
      <c r="AO516">
        <v>0</v>
      </c>
      <c r="AP516" s="1">
        <v>10</v>
      </c>
    </row>
    <row r="517" spans="1:42" x14ac:dyDescent="0.3">
      <c r="A517" t="s">
        <v>202</v>
      </c>
      <c r="B517" t="s">
        <v>215</v>
      </c>
      <c r="C517" s="4" t="s">
        <v>40</v>
      </c>
      <c r="D517">
        <v>711</v>
      </c>
      <c r="E517">
        <v>0</v>
      </c>
      <c r="F517">
        <v>0</v>
      </c>
      <c r="G517">
        <v>0</v>
      </c>
      <c r="H517">
        <v>3</v>
      </c>
      <c r="I517">
        <v>0</v>
      </c>
      <c r="J517">
        <v>5</v>
      </c>
      <c r="K517">
        <v>0</v>
      </c>
      <c r="L517">
        <v>0</v>
      </c>
      <c r="M517">
        <v>202</v>
      </c>
      <c r="N517">
        <v>0</v>
      </c>
      <c r="O517">
        <v>10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74</v>
      </c>
      <c r="V517">
        <v>2</v>
      </c>
      <c r="W517">
        <v>0</v>
      </c>
      <c r="X517">
        <v>1</v>
      </c>
      <c r="Y517">
        <v>0</v>
      </c>
      <c r="Z517">
        <v>0</v>
      </c>
      <c r="AA517">
        <v>3</v>
      </c>
      <c r="AB517">
        <v>2</v>
      </c>
      <c r="AC517">
        <v>0</v>
      </c>
      <c r="AD517">
        <v>0</v>
      </c>
      <c r="AE517">
        <v>0</v>
      </c>
      <c r="AF517">
        <v>1</v>
      </c>
      <c r="AG517">
        <v>42</v>
      </c>
      <c r="AH517">
        <v>40</v>
      </c>
      <c r="AI517">
        <v>0</v>
      </c>
      <c r="AJ517">
        <v>1</v>
      </c>
      <c r="AK517">
        <v>1</v>
      </c>
      <c r="AL517">
        <v>302</v>
      </c>
      <c r="AM517" s="1">
        <v>0</v>
      </c>
      <c r="AN517" s="1">
        <v>0</v>
      </c>
      <c r="AO517">
        <v>0</v>
      </c>
      <c r="AP517" s="1">
        <v>22</v>
      </c>
    </row>
    <row r="518" spans="1:42" x14ac:dyDescent="0.3">
      <c r="A518" t="s">
        <v>202</v>
      </c>
      <c r="B518" t="s">
        <v>215</v>
      </c>
      <c r="C518" s="4" t="s">
        <v>43</v>
      </c>
      <c r="D518">
        <v>554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5</v>
      </c>
      <c r="K518">
        <v>0</v>
      </c>
      <c r="L518">
        <v>0</v>
      </c>
      <c r="M518">
        <v>162</v>
      </c>
      <c r="N518">
        <v>0</v>
      </c>
      <c r="O518">
        <v>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65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3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20</v>
      </c>
      <c r="AH518">
        <v>16</v>
      </c>
      <c r="AI518">
        <v>0</v>
      </c>
      <c r="AJ518">
        <v>1</v>
      </c>
      <c r="AK518">
        <v>0</v>
      </c>
      <c r="AL518">
        <v>255</v>
      </c>
      <c r="AM518" s="1">
        <v>0</v>
      </c>
      <c r="AN518" s="1">
        <v>0</v>
      </c>
      <c r="AO518">
        <v>0</v>
      </c>
      <c r="AP518" s="1">
        <v>17</v>
      </c>
    </row>
    <row r="519" spans="1:42" x14ac:dyDescent="0.3">
      <c r="A519" t="s">
        <v>202</v>
      </c>
      <c r="B519" t="s">
        <v>215</v>
      </c>
      <c r="C519" s="4" t="s">
        <v>44</v>
      </c>
      <c r="D519">
        <v>157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40</v>
      </c>
      <c r="N519">
        <v>0</v>
      </c>
      <c r="O519">
        <v>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9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22</v>
      </c>
      <c r="AH519">
        <v>24</v>
      </c>
      <c r="AI519">
        <v>0</v>
      </c>
      <c r="AJ519">
        <v>0</v>
      </c>
      <c r="AK519">
        <v>1</v>
      </c>
      <c r="AL519">
        <v>47</v>
      </c>
      <c r="AM519" s="1">
        <v>0</v>
      </c>
      <c r="AN519" s="1">
        <v>0</v>
      </c>
      <c r="AO519">
        <v>0</v>
      </c>
      <c r="AP519" s="1">
        <v>5</v>
      </c>
    </row>
    <row r="520" spans="1:42" x14ac:dyDescent="0.3">
      <c r="A520" t="s">
        <v>202</v>
      </c>
      <c r="B520" t="s">
        <v>216</v>
      </c>
      <c r="C520" s="4" t="s">
        <v>40</v>
      </c>
      <c r="D520">
        <v>658</v>
      </c>
      <c r="E520">
        <v>0</v>
      </c>
      <c r="F520">
        <v>6</v>
      </c>
      <c r="G520">
        <v>0</v>
      </c>
      <c r="H520">
        <v>1</v>
      </c>
      <c r="I520">
        <v>0</v>
      </c>
      <c r="J520">
        <v>37</v>
      </c>
      <c r="K520">
        <v>1</v>
      </c>
      <c r="L520">
        <v>0</v>
      </c>
      <c r="M520">
        <v>153</v>
      </c>
      <c r="N520">
        <v>0</v>
      </c>
      <c r="O520">
        <v>36</v>
      </c>
      <c r="P520">
        <v>0</v>
      </c>
      <c r="Q520">
        <v>3</v>
      </c>
      <c r="R520">
        <v>0</v>
      </c>
      <c r="S520">
        <v>1</v>
      </c>
      <c r="T520">
        <v>0</v>
      </c>
      <c r="U520">
        <v>41</v>
      </c>
      <c r="V520">
        <v>1</v>
      </c>
      <c r="W520">
        <v>0</v>
      </c>
      <c r="X520">
        <v>2</v>
      </c>
      <c r="Y520">
        <v>0</v>
      </c>
      <c r="Z520">
        <v>0</v>
      </c>
      <c r="AA520">
        <v>0</v>
      </c>
      <c r="AB520">
        <v>12</v>
      </c>
      <c r="AC520">
        <v>0</v>
      </c>
      <c r="AD520">
        <v>0</v>
      </c>
      <c r="AE520">
        <v>0</v>
      </c>
      <c r="AF520">
        <v>6</v>
      </c>
      <c r="AG520">
        <v>39</v>
      </c>
      <c r="AH520">
        <v>9</v>
      </c>
      <c r="AI520">
        <v>1</v>
      </c>
      <c r="AJ520">
        <v>5</v>
      </c>
      <c r="AK520">
        <v>24</v>
      </c>
      <c r="AL520">
        <v>203</v>
      </c>
      <c r="AM520" s="1">
        <v>0</v>
      </c>
      <c r="AN520" s="1">
        <v>0</v>
      </c>
      <c r="AO520">
        <v>0</v>
      </c>
      <c r="AP520" s="1">
        <v>77</v>
      </c>
    </row>
    <row r="521" spans="1:42" x14ac:dyDescent="0.3">
      <c r="A521" t="s">
        <v>202</v>
      </c>
      <c r="B521" t="s">
        <v>216</v>
      </c>
      <c r="C521" s="4" t="s">
        <v>43</v>
      </c>
      <c r="D521">
        <v>413</v>
      </c>
      <c r="E521">
        <v>0</v>
      </c>
      <c r="F521">
        <v>3</v>
      </c>
      <c r="G521">
        <v>0</v>
      </c>
      <c r="H521">
        <v>1</v>
      </c>
      <c r="I521">
        <v>0</v>
      </c>
      <c r="J521">
        <v>19</v>
      </c>
      <c r="K521">
        <v>1</v>
      </c>
      <c r="L521">
        <v>0</v>
      </c>
      <c r="M521">
        <v>92</v>
      </c>
      <c r="N521">
        <v>0</v>
      </c>
      <c r="O521">
        <v>30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21</v>
      </c>
      <c r="V521">
        <v>1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10</v>
      </c>
      <c r="AC521">
        <v>0</v>
      </c>
      <c r="AD521">
        <v>0</v>
      </c>
      <c r="AE521">
        <v>0</v>
      </c>
      <c r="AF521">
        <v>0</v>
      </c>
      <c r="AG521">
        <v>22</v>
      </c>
      <c r="AH521">
        <v>5</v>
      </c>
      <c r="AI521">
        <v>1</v>
      </c>
      <c r="AJ521">
        <v>2</v>
      </c>
      <c r="AK521">
        <v>23</v>
      </c>
      <c r="AL521">
        <v>139</v>
      </c>
      <c r="AM521" s="1">
        <v>0</v>
      </c>
      <c r="AN521" s="1">
        <v>0</v>
      </c>
      <c r="AO521">
        <v>0</v>
      </c>
      <c r="AP521" s="1">
        <v>39</v>
      </c>
    </row>
    <row r="522" spans="1:42" x14ac:dyDescent="0.3">
      <c r="A522" t="s">
        <v>202</v>
      </c>
      <c r="B522" t="s">
        <v>216</v>
      </c>
      <c r="C522" s="4" t="s">
        <v>44</v>
      </c>
      <c r="D522">
        <v>245</v>
      </c>
      <c r="E522">
        <v>0</v>
      </c>
      <c r="F522">
        <v>3</v>
      </c>
      <c r="G522">
        <v>0</v>
      </c>
      <c r="H522">
        <v>0</v>
      </c>
      <c r="I522">
        <v>0</v>
      </c>
      <c r="J522">
        <v>18</v>
      </c>
      <c r="K522">
        <v>0</v>
      </c>
      <c r="L522">
        <v>0</v>
      </c>
      <c r="M522">
        <v>61</v>
      </c>
      <c r="N522">
        <v>0</v>
      </c>
      <c r="O522">
        <v>6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20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0</v>
      </c>
      <c r="AD522">
        <v>0</v>
      </c>
      <c r="AE522">
        <v>0</v>
      </c>
      <c r="AF522">
        <v>6</v>
      </c>
      <c r="AG522">
        <v>17</v>
      </c>
      <c r="AH522">
        <v>4</v>
      </c>
      <c r="AI522">
        <v>0</v>
      </c>
      <c r="AJ522">
        <v>3</v>
      </c>
      <c r="AK522">
        <v>1</v>
      </c>
      <c r="AL522">
        <v>64</v>
      </c>
      <c r="AM522" s="1">
        <v>0</v>
      </c>
      <c r="AN522" s="1">
        <v>0</v>
      </c>
      <c r="AO522">
        <v>0</v>
      </c>
      <c r="AP522" s="1">
        <v>38</v>
      </c>
    </row>
    <row r="523" spans="1:42" x14ac:dyDescent="0.3">
      <c r="A523" t="s">
        <v>202</v>
      </c>
      <c r="B523" t="s">
        <v>217</v>
      </c>
      <c r="C523" s="4" t="s">
        <v>40</v>
      </c>
      <c r="D523">
        <v>625</v>
      </c>
      <c r="E523">
        <v>22</v>
      </c>
      <c r="F523">
        <v>1</v>
      </c>
      <c r="G523">
        <v>0</v>
      </c>
      <c r="H523">
        <v>12</v>
      </c>
      <c r="I523">
        <v>0</v>
      </c>
      <c r="J523">
        <v>34</v>
      </c>
      <c r="K523">
        <v>0</v>
      </c>
      <c r="L523">
        <v>0</v>
      </c>
      <c r="M523">
        <v>46</v>
      </c>
      <c r="N523">
        <v>0</v>
      </c>
      <c r="O523">
        <v>35</v>
      </c>
      <c r="P523">
        <v>0</v>
      </c>
      <c r="Q523">
        <v>0</v>
      </c>
      <c r="R523">
        <v>0</v>
      </c>
      <c r="S523">
        <v>4</v>
      </c>
      <c r="T523">
        <v>6</v>
      </c>
      <c r="U523">
        <v>2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8</v>
      </c>
      <c r="AC523">
        <v>0</v>
      </c>
      <c r="AD523">
        <v>1</v>
      </c>
      <c r="AE523">
        <v>0</v>
      </c>
      <c r="AF523">
        <v>7</v>
      </c>
      <c r="AG523">
        <v>12</v>
      </c>
      <c r="AH523">
        <v>4</v>
      </c>
      <c r="AI523">
        <v>0</v>
      </c>
      <c r="AJ523">
        <v>14</v>
      </c>
      <c r="AK523">
        <v>111</v>
      </c>
      <c r="AL523">
        <v>216</v>
      </c>
      <c r="AM523" s="1">
        <v>0</v>
      </c>
      <c r="AN523" s="1">
        <v>0</v>
      </c>
      <c r="AO523">
        <v>0</v>
      </c>
      <c r="AP523" s="1">
        <v>87</v>
      </c>
    </row>
    <row r="524" spans="1:42" x14ac:dyDescent="0.3">
      <c r="A524" t="s">
        <v>202</v>
      </c>
      <c r="B524" t="s">
        <v>217</v>
      </c>
      <c r="C524" s="4" t="s">
        <v>43</v>
      </c>
      <c r="D524">
        <v>380</v>
      </c>
      <c r="E524">
        <v>10</v>
      </c>
      <c r="F524">
        <v>1</v>
      </c>
      <c r="G524">
        <v>0</v>
      </c>
      <c r="H524">
        <v>12</v>
      </c>
      <c r="I524">
        <v>0</v>
      </c>
      <c r="J524">
        <v>23</v>
      </c>
      <c r="K524">
        <v>0</v>
      </c>
      <c r="L524">
        <v>0</v>
      </c>
      <c r="M524">
        <v>9</v>
      </c>
      <c r="N524">
        <v>0</v>
      </c>
      <c r="O524">
        <v>6</v>
      </c>
      <c r="P524">
        <v>0</v>
      </c>
      <c r="Q524">
        <v>0</v>
      </c>
      <c r="R524">
        <v>0</v>
      </c>
      <c r="S524">
        <v>3</v>
      </c>
      <c r="T524">
        <v>6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2</v>
      </c>
      <c r="AC524">
        <v>0</v>
      </c>
      <c r="AD524">
        <v>1</v>
      </c>
      <c r="AE524">
        <v>0</v>
      </c>
      <c r="AF524">
        <v>2</v>
      </c>
      <c r="AG524">
        <v>4</v>
      </c>
      <c r="AH524">
        <v>1</v>
      </c>
      <c r="AI524">
        <v>0</v>
      </c>
      <c r="AJ524">
        <v>7</v>
      </c>
      <c r="AK524">
        <v>30</v>
      </c>
      <c r="AL524">
        <v>175</v>
      </c>
      <c r="AM524" s="1">
        <v>0</v>
      </c>
      <c r="AN524" s="1">
        <v>0</v>
      </c>
      <c r="AO524">
        <v>0</v>
      </c>
      <c r="AP524" s="1">
        <v>85</v>
      </c>
    </row>
    <row r="525" spans="1:42" x14ac:dyDescent="0.3">
      <c r="A525" t="s">
        <v>202</v>
      </c>
      <c r="B525" t="s">
        <v>217</v>
      </c>
      <c r="C525" s="4" t="s">
        <v>44</v>
      </c>
      <c r="D525">
        <v>245</v>
      </c>
      <c r="E525">
        <v>12</v>
      </c>
      <c r="F525">
        <v>0</v>
      </c>
      <c r="G525">
        <v>0</v>
      </c>
      <c r="H525">
        <v>0</v>
      </c>
      <c r="I525">
        <v>0</v>
      </c>
      <c r="J525">
        <v>11</v>
      </c>
      <c r="K525">
        <v>0</v>
      </c>
      <c r="L525">
        <v>0</v>
      </c>
      <c r="M525">
        <v>37</v>
      </c>
      <c r="N525">
        <v>0</v>
      </c>
      <c r="O525">
        <v>29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</v>
      </c>
      <c r="AC525">
        <v>0</v>
      </c>
      <c r="AD525">
        <v>0</v>
      </c>
      <c r="AE525">
        <v>0</v>
      </c>
      <c r="AF525">
        <v>5</v>
      </c>
      <c r="AG525">
        <v>8</v>
      </c>
      <c r="AH525">
        <v>3</v>
      </c>
      <c r="AI525">
        <v>0</v>
      </c>
      <c r="AJ525">
        <v>7</v>
      </c>
      <c r="AK525">
        <v>81</v>
      </c>
      <c r="AL525">
        <v>41</v>
      </c>
      <c r="AM525" s="1">
        <v>0</v>
      </c>
      <c r="AN525" s="1">
        <v>0</v>
      </c>
      <c r="AO525">
        <v>0</v>
      </c>
      <c r="AP525" s="1">
        <v>2</v>
      </c>
    </row>
    <row r="526" spans="1:42" x14ac:dyDescent="0.3">
      <c r="A526" t="s">
        <v>202</v>
      </c>
      <c r="B526" t="s">
        <v>218</v>
      </c>
      <c r="C526" s="4" t="s">
        <v>40</v>
      </c>
      <c r="D526">
        <v>549</v>
      </c>
      <c r="E526">
        <v>4</v>
      </c>
      <c r="F526">
        <v>12</v>
      </c>
      <c r="G526">
        <v>24</v>
      </c>
      <c r="H526">
        <v>3</v>
      </c>
      <c r="I526">
        <v>0</v>
      </c>
      <c r="J526">
        <v>15</v>
      </c>
      <c r="K526">
        <v>0</v>
      </c>
      <c r="L526">
        <v>0</v>
      </c>
      <c r="M526">
        <v>35</v>
      </c>
      <c r="N526">
        <v>0</v>
      </c>
      <c r="O526">
        <v>22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8</v>
      </c>
      <c r="AH526">
        <v>2</v>
      </c>
      <c r="AI526">
        <v>0</v>
      </c>
      <c r="AJ526">
        <v>2</v>
      </c>
      <c r="AK526">
        <v>7</v>
      </c>
      <c r="AL526">
        <v>194</v>
      </c>
      <c r="AM526" s="1">
        <v>0</v>
      </c>
      <c r="AN526" s="1">
        <v>0</v>
      </c>
      <c r="AO526">
        <v>0</v>
      </c>
      <c r="AP526" s="1">
        <v>214</v>
      </c>
    </row>
    <row r="527" spans="1:42" x14ac:dyDescent="0.3">
      <c r="A527" t="s">
        <v>202</v>
      </c>
      <c r="B527" t="s">
        <v>218</v>
      </c>
      <c r="C527" s="4" t="s">
        <v>43</v>
      </c>
      <c r="D527">
        <v>372</v>
      </c>
      <c r="E527">
        <v>3</v>
      </c>
      <c r="F527">
        <v>12</v>
      </c>
      <c r="G527">
        <v>20</v>
      </c>
      <c r="H527">
        <v>3</v>
      </c>
      <c r="I527">
        <v>0</v>
      </c>
      <c r="J527">
        <v>8</v>
      </c>
      <c r="K527">
        <v>0</v>
      </c>
      <c r="L527">
        <v>0</v>
      </c>
      <c r="M527">
        <v>20</v>
      </c>
      <c r="N527">
        <v>0</v>
      </c>
      <c r="O527">
        <v>13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5</v>
      </c>
      <c r="AH527">
        <v>1</v>
      </c>
      <c r="AI527">
        <v>0</v>
      </c>
      <c r="AJ527">
        <v>2</v>
      </c>
      <c r="AK527">
        <v>7</v>
      </c>
      <c r="AL527">
        <v>121</v>
      </c>
      <c r="AM527" s="1">
        <v>0</v>
      </c>
      <c r="AN527" s="1">
        <v>0</v>
      </c>
      <c r="AO527">
        <v>0</v>
      </c>
      <c r="AP527" s="1">
        <v>151</v>
      </c>
    </row>
    <row r="528" spans="1:42" x14ac:dyDescent="0.3">
      <c r="A528" t="s">
        <v>202</v>
      </c>
      <c r="B528" t="s">
        <v>218</v>
      </c>
      <c r="C528" s="4" t="s">
        <v>44</v>
      </c>
      <c r="D528">
        <v>177</v>
      </c>
      <c r="E528">
        <v>1</v>
      </c>
      <c r="F528">
        <v>0</v>
      </c>
      <c r="G528">
        <v>4</v>
      </c>
      <c r="H528">
        <v>0</v>
      </c>
      <c r="I528">
        <v>0</v>
      </c>
      <c r="J528">
        <v>7</v>
      </c>
      <c r="K528">
        <v>0</v>
      </c>
      <c r="L528">
        <v>0</v>
      </c>
      <c r="M528">
        <v>15</v>
      </c>
      <c r="N528">
        <v>0</v>
      </c>
      <c r="O528">
        <v>9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</v>
      </c>
      <c r="AH528">
        <v>1</v>
      </c>
      <c r="AI528">
        <v>0</v>
      </c>
      <c r="AJ528">
        <v>0</v>
      </c>
      <c r="AK528">
        <v>0</v>
      </c>
      <c r="AL528">
        <v>73</v>
      </c>
      <c r="AM528" s="1">
        <v>0</v>
      </c>
      <c r="AN528" s="1">
        <v>0</v>
      </c>
      <c r="AO528">
        <v>0</v>
      </c>
      <c r="AP528" s="1">
        <v>63</v>
      </c>
    </row>
    <row r="529" spans="1:42" x14ac:dyDescent="0.3">
      <c r="A529" t="s">
        <v>202</v>
      </c>
      <c r="B529" t="s">
        <v>219</v>
      </c>
      <c r="C529" s="4" t="s">
        <v>40</v>
      </c>
      <c r="D529">
        <v>475</v>
      </c>
      <c r="E529">
        <v>21</v>
      </c>
      <c r="F529">
        <v>3</v>
      </c>
      <c r="G529">
        <v>0</v>
      </c>
      <c r="H529">
        <v>1</v>
      </c>
      <c r="I529">
        <v>0</v>
      </c>
      <c r="J529">
        <v>31</v>
      </c>
      <c r="K529">
        <v>0</v>
      </c>
      <c r="L529">
        <v>0</v>
      </c>
      <c r="M529">
        <v>65</v>
      </c>
      <c r="N529">
        <v>0</v>
      </c>
      <c r="O529">
        <v>45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11</v>
      </c>
      <c r="V529">
        <v>1</v>
      </c>
      <c r="W529">
        <v>1</v>
      </c>
      <c r="X529">
        <v>3</v>
      </c>
      <c r="Y529">
        <v>0</v>
      </c>
      <c r="Z529">
        <v>0</v>
      </c>
      <c r="AA529">
        <v>0</v>
      </c>
      <c r="AB529">
        <v>11</v>
      </c>
      <c r="AC529">
        <v>0</v>
      </c>
      <c r="AD529">
        <v>0</v>
      </c>
      <c r="AE529">
        <v>0</v>
      </c>
      <c r="AF529">
        <v>5</v>
      </c>
      <c r="AG529">
        <v>70</v>
      </c>
      <c r="AH529">
        <v>41</v>
      </c>
      <c r="AI529">
        <v>0</v>
      </c>
      <c r="AJ529">
        <v>12</v>
      </c>
      <c r="AK529">
        <v>4</v>
      </c>
      <c r="AL529">
        <v>121</v>
      </c>
      <c r="AM529" s="1">
        <v>0</v>
      </c>
      <c r="AN529" s="1">
        <v>0</v>
      </c>
      <c r="AO529">
        <v>0</v>
      </c>
      <c r="AP529" s="1">
        <v>27</v>
      </c>
    </row>
    <row r="530" spans="1:42" x14ac:dyDescent="0.3">
      <c r="A530" t="s">
        <v>202</v>
      </c>
      <c r="B530" t="s">
        <v>219</v>
      </c>
      <c r="C530" s="4" t="s">
        <v>43</v>
      </c>
      <c r="D530">
        <v>299</v>
      </c>
      <c r="E530">
        <v>9</v>
      </c>
      <c r="F530">
        <v>3</v>
      </c>
      <c r="G530">
        <v>0</v>
      </c>
      <c r="H530">
        <v>1</v>
      </c>
      <c r="I530">
        <v>0</v>
      </c>
      <c r="J530">
        <v>22</v>
      </c>
      <c r="K530">
        <v>0</v>
      </c>
      <c r="L530">
        <v>0</v>
      </c>
      <c r="M530">
        <v>40</v>
      </c>
      <c r="N530">
        <v>0</v>
      </c>
      <c r="O530">
        <v>32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9</v>
      </c>
      <c r="V530">
        <v>1</v>
      </c>
      <c r="W530">
        <v>0</v>
      </c>
      <c r="X530">
        <v>3</v>
      </c>
      <c r="Y530">
        <v>0</v>
      </c>
      <c r="Z530">
        <v>0</v>
      </c>
      <c r="AA530">
        <v>0</v>
      </c>
      <c r="AB530">
        <v>10</v>
      </c>
      <c r="AC530">
        <v>0</v>
      </c>
      <c r="AD530">
        <v>0</v>
      </c>
      <c r="AE530">
        <v>0</v>
      </c>
      <c r="AF530">
        <v>3</v>
      </c>
      <c r="AG530">
        <v>40</v>
      </c>
      <c r="AH530">
        <v>13</v>
      </c>
      <c r="AI530">
        <v>0</v>
      </c>
      <c r="AJ530">
        <v>8</v>
      </c>
      <c r="AK530">
        <v>4</v>
      </c>
      <c r="AL530">
        <v>82</v>
      </c>
      <c r="AM530" s="1">
        <v>0</v>
      </c>
      <c r="AN530" s="1">
        <v>0</v>
      </c>
      <c r="AO530">
        <v>0</v>
      </c>
      <c r="AP530" s="1">
        <v>17</v>
      </c>
    </row>
    <row r="531" spans="1:42" x14ac:dyDescent="0.3">
      <c r="A531" t="s">
        <v>202</v>
      </c>
      <c r="B531" t="s">
        <v>219</v>
      </c>
      <c r="C531" s="4" t="s">
        <v>44</v>
      </c>
      <c r="D531">
        <v>176</v>
      </c>
      <c r="E531">
        <v>12</v>
      </c>
      <c r="F531">
        <v>0</v>
      </c>
      <c r="G531">
        <v>0</v>
      </c>
      <c r="H531">
        <v>0</v>
      </c>
      <c r="I531">
        <v>0</v>
      </c>
      <c r="J531">
        <v>9</v>
      </c>
      <c r="K531">
        <v>0</v>
      </c>
      <c r="L531">
        <v>0</v>
      </c>
      <c r="M531">
        <v>25</v>
      </c>
      <c r="N531">
        <v>0</v>
      </c>
      <c r="O531">
        <v>13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2</v>
      </c>
      <c r="AG531">
        <v>30</v>
      </c>
      <c r="AH531">
        <v>28</v>
      </c>
      <c r="AI531">
        <v>0</v>
      </c>
      <c r="AJ531">
        <v>4</v>
      </c>
      <c r="AK531">
        <v>0</v>
      </c>
      <c r="AL531">
        <v>39</v>
      </c>
      <c r="AM531" s="1">
        <v>0</v>
      </c>
      <c r="AN531" s="1">
        <v>0</v>
      </c>
      <c r="AO531">
        <v>0</v>
      </c>
      <c r="AP531" s="1">
        <v>10</v>
      </c>
    </row>
    <row r="532" spans="1:42" x14ac:dyDescent="0.3">
      <c r="A532" t="s">
        <v>202</v>
      </c>
      <c r="B532" t="s">
        <v>220</v>
      </c>
      <c r="C532" s="4" t="s">
        <v>40</v>
      </c>
      <c r="D532">
        <v>405</v>
      </c>
      <c r="E532">
        <v>29</v>
      </c>
      <c r="F532">
        <v>1</v>
      </c>
      <c r="G532">
        <v>0</v>
      </c>
      <c r="H532">
        <v>1</v>
      </c>
      <c r="I532">
        <v>0</v>
      </c>
      <c r="J532">
        <v>31</v>
      </c>
      <c r="K532">
        <v>0</v>
      </c>
      <c r="L532">
        <v>0</v>
      </c>
      <c r="M532">
        <v>28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26</v>
      </c>
      <c r="T532">
        <v>5</v>
      </c>
      <c r="U532">
        <v>8</v>
      </c>
      <c r="V532">
        <v>1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18</v>
      </c>
      <c r="AC532">
        <v>0</v>
      </c>
      <c r="AD532">
        <v>0</v>
      </c>
      <c r="AE532">
        <v>0</v>
      </c>
      <c r="AF532">
        <v>5</v>
      </c>
      <c r="AG532">
        <v>47</v>
      </c>
      <c r="AH532">
        <v>60</v>
      </c>
      <c r="AI532">
        <v>0</v>
      </c>
      <c r="AJ532">
        <v>4</v>
      </c>
      <c r="AK532">
        <v>4</v>
      </c>
      <c r="AL532">
        <v>106</v>
      </c>
      <c r="AM532" s="1">
        <v>0</v>
      </c>
      <c r="AN532" s="1">
        <v>0</v>
      </c>
      <c r="AO532">
        <v>0</v>
      </c>
      <c r="AP532" s="1">
        <v>28</v>
      </c>
    </row>
    <row r="533" spans="1:42" x14ac:dyDescent="0.3">
      <c r="A533" t="s">
        <v>202</v>
      </c>
      <c r="B533" t="s">
        <v>220</v>
      </c>
      <c r="C533" s="4" t="s">
        <v>43</v>
      </c>
      <c r="D533">
        <v>289</v>
      </c>
      <c r="E533">
        <v>12</v>
      </c>
      <c r="F533">
        <v>1</v>
      </c>
      <c r="G533">
        <v>0</v>
      </c>
      <c r="H533">
        <v>1</v>
      </c>
      <c r="I533">
        <v>0</v>
      </c>
      <c r="J533">
        <v>28</v>
      </c>
      <c r="K533">
        <v>0</v>
      </c>
      <c r="L533">
        <v>0</v>
      </c>
      <c r="M533">
        <v>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26</v>
      </c>
      <c r="T533">
        <v>4</v>
      </c>
      <c r="U533">
        <v>7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13</v>
      </c>
      <c r="AC533">
        <v>0</v>
      </c>
      <c r="AD533">
        <v>0</v>
      </c>
      <c r="AE533">
        <v>0</v>
      </c>
      <c r="AF533">
        <v>2</v>
      </c>
      <c r="AG533">
        <v>29</v>
      </c>
      <c r="AH533">
        <v>22</v>
      </c>
      <c r="AI533">
        <v>0</v>
      </c>
      <c r="AJ533">
        <v>4</v>
      </c>
      <c r="AK533">
        <v>4</v>
      </c>
      <c r="AL533">
        <v>101</v>
      </c>
      <c r="AM533" s="1">
        <v>0</v>
      </c>
      <c r="AN533" s="1">
        <v>0</v>
      </c>
      <c r="AO533">
        <v>0</v>
      </c>
      <c r="AP533" s="1">
        <v>25</v>
      </c>
    </row>
    <row r="534" spans="1:42" x14ac:dyDescent="0.3">
      <c r="A534" t="s">
        <v>202</v>
      </c>
      <c r="B534" t="s">
        <v>220</v>
      </c>
      <c r="C534" s="4" t="s">
        <v>44</v>
      </c>
      <c r="D534">
        <v>116</v>
      </c>
      <c r="E534">
        <v>17</v>
      </c>
      <c r="F534">
        <v>0</v>
      </c>
      <c r="G534">
        <v>0</v>
      </c>
      <c r="H534">
        <v>0</v>
      </c>
      <c r="I534">
        <v>0</v>
      </c>
      <c r="J534">
        <v>3</v>
      </c>
      <c r="K534">
        <v>0</v>
      </c>
      <c r="L534">
        <v>0</v>
      </c>
      <c r="M534">
        <v>19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5</v>
      </c>
      <c r="AC534">
        <v>0</v>
      </c>
      <c r="AD534">
        <v>0</v>
      </c>
      <c r="AE534">
        <v>0</v>
      </c>
      <c r="AF534">
        <v>3</v>
      </c>
      <c r="AG534">
        <v>18</v>
      </c>
      <c r="AH534">
        <v>38</v>
      </c>
      <c r="AI534">
        <v>0</v>
      </c>
      <c r="AJ534">
        <v>0</v>
      </c>
      <c r="AK534">
        <v>0</v>
      </c>
      <c r="AL534">
        <v>5</v>
      </c>
      <c r="AM534" s="1">
        <v>0</v>
      </c>
      <c r="AN534" s="1">
        <v>0</v>
      </c>
      <c r="AO534">
        <v>0</v>
      </c>
      <c r="AP534" s="1">
        <v>3</v>
      </c>
    </row>
    <row r="535" spans="1:42" x14ac:dyDescent="0.3">
      <c r="A535" t="s">
        <v>202</v>
      </c>
      <c r="B535" t="s">
        <v>221</v>
      </c>
      <c r="C535" s="4" t="s">
        <v>40</v>
      </c>
      <c r="D535">
        <v>311</v>
      </c>
      <c r="E535">
        <v>37</v>
      </c>
      <c r="F535">
        <v>7</v>
      </c>
      <c r="G535">
        <v>0</v>
      </c>
      <c r="H535">
        <v>1</v>
      </c>
      <c r="I535">
        <v>0</v>
      </c>
      <c r="J535">
        <v>13</v>
      </c>
      <c r="K535">
        <v>0</v>
      </c>
      <c r="L535">
        <v>0</v>
      </c>
      <c r="M535">
        <v>20</v>
      </c>
      <c r="N535">
        <v>0</v>
      </c>
      <c r="O535">
        <v>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5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7</v>
      </c>
      <c r="AC535">
        <v>0</v>
      </c>
      <c r="AD535">
        <v>0</v>
      </c>
      <c r="AE535">
        <v>0</v>
      </c>
      <c r="AF535">
        <v>3</v>
      </c>
      <c r="AG535">
        <v>2</v>
      </c>
      <c r="AH535">
        <v>4</v>
      </c>
      <c r="AI535">
        <v>0</v>
      </c>
      <c r="AJ535">
        <v>0</v>
      </c>
      <c r="AK535">
        <v>24</v>
      </c>
      <c r="AL535">
        <v>120</v>
      </c>
      <c r="AM535" s="1">
        <v>0</v>
      </c>
      <c r="AN535" s="1">
        <v>0</v>
      </c>
      <c r="AO535">
        <v>0</v>
      </c>
      <c r="AP535" s="1">
        <v>60</v>
      </c>
    </row>
    <row r="536" spans="1:42" x14ac:dyDescent="0.3">
      <c r="A536" t="s">
        <v>202</v>
      </c>
      <c r="B536" t="s">
        <v>221</v>
      </c>
      <c r="C536" s="4" t="s">
        <v>43</v>
      </c>
      <c r="D536">
        <v>236</v>
      </c>
      <c r="E536">
        <v>16</v>
      </c>
      <c r="F536">
        <v>5</v>
      </c>
      <c r="G536">
        <v>0</v>
      </c>
      <c r="H536">
        <v>1</v>
      </c>
      <c r="I536">
        <v>0</v>
      </c>
      <c r="J536">
        <v>10</v>
      </c>
      <c r="K536">
        <v>0</v>
      </c>
      <c r="L536">
        <v>0</v>
      </c>
      <c r="M536">
        <v>7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5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3</v>
      </c>
      <c r="AI536">
        <v>0</v>
      </c>
      <c r="AJ536">
        <v>0</v>
      </c>
      <c r="AK536">
        <v>23</v>
      </c>
      <c r="AL536">
        <v>109</v>
      </c>
      <c r="AM536" s="1">
        <v>0</v>
      </c>
      <c r="AN536" s="1">
        <v>0</v>
      </c>
      <c r="AO536">
        <v>0</v>
      </c>
      <c r="AP536" s="1">
        <v>51</v>
      </c>
    </row>
    <row r="537" spans="1:42" x14ac:dyDescent="0.3">
      <c r="A537" t="s">
        <v>202</v>
      </c>
      <c r="B537" t="s">
        <v>221</v>
      </c>
      <c r="C537" s="4" t="s">
        <v>44</v>
      </c>
      <c r="D537">
        <v>75</v>
      </c>
      <c r="E537">
        <v>21</v>
      </c>
      <c r="F537">
        <v>2</v>
      </c>
      <c r="G537">
        <v>0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13</v>
      </c>
      <c r="N537">
        <v>0</v>
      </c>
      <c r="O537">
        <v>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0</v>
      </c>
      <c r="AD537">
        <v>0</v>
      </c>
      <c r="AE537">
        <v>0</v>
      </c>
      <c r="AF537">
        <v>2</v>
      </c>
      <c r="AG537">
        <v>1</v>
      </c>
      <c r="AH537">
        <v>1</v>
      </c>
      <c r="AI537">
        <v>0</v>
      </c>
      <c r="AJ537">
        <v>0</v>
      </c>
      <c r="AK537">
        <v>1</v>
      </c>
      <c r="AL537">
        <v>11</v>
      </c>
      <c r="AM537" s="1">
        <v>0</v>
      </c>
      <c r="AN537" s="1">
        <v>0</v>
      </c>
      <c r="AO537">
        <v>0</v>
      </c>
      <c r="AP537" s="1">
        <v>9</v>
      </c>
    </row>
    <row r="538" spans="1:42" x14ac:dyDescent="0.3">
      <c r="A538" t="s">
        <v>202</v>
      </c>
      <c r="B538" t="s">
        <v>222</v>
      </c>
      <c r="C538" s="4" t="s">
        <v>40</v>
      </c>
      <c r="D538">
        <v>273</v>
      </c>
      <c r="E538">
        <v>16</v>
      </c>
      <c r="F538">
        <v>22</v>
      </c>
      <c r="G538">
        <v>0</v>
      </c>
      <c r="H538">
        <v>3</v>
      </c>
      <c r="I538">
        <v>0</v>
      </c>
      <c r="J538">
        <v>27</v>
      </c>
      <c r="K538">
        <v>0</v>
      </c>
      <c r="L538">
        <v>0</v>
      </c>
      <c r="M538">
        <v>25</v>
      </c>
      <c r="N538">
        <v>0</v>
      </c>
      <c r="O538">
        <v>22</v>
      </c>
      <c r="P538">
        <v>0</v>
      </c>
      <c r="Q538">
        <v>0</v>
      </c>
      <c r="R538">
        <v>0</v>
      </c>
      <c r="S538">
        <v>1</v>
      </c>
      <c r="T538">
        <v>2</v>
      </c>
      <c r="U538">
        <v>8</v>
      </c>
      <c r="V538">
        <v>0</v>
      </c>
      <c r="W538">
        <v>0</v>
      </c>
      <c r="X538">
        <v>2</v>
      </c>
      <c r="Y538">
        <v>0</v>
      </c>
      <c r="Z538">
        <v>0</v>
      </c>
      <c r="AA538">
        <v>9</v>
      </c>
      <c r="AB538">
        <v>6</v>
      </c>
      <c r="AC538">
        <v>0</v>
      </c>
      <c r="AD538">
        <v>1</v>
      </c>
      <c r="AE538">
        <v>0</v>
      </c>
      <c r="AF538">
        <v>0</v>
      </c>
      <c r="AG538">
        <v>8</v>
      </c>
      <c r="AH538">
        <v>10</v>
      </c>
      <c r="AI538">
        <v>0</v>
      </c>
      <c r="AJ538">
        <v>0</v>
      </c>
      <c r="AK538">
        <v>8</v>
      </c>
      <c r="AL538">
        <v>80</v>
      </c>
      <c r="AM538" s="1">
        <v>0</v>
      </c>
      <c r="AN538" s="1">
        <v>0</v>
      </c>
      <c r="AO538">
        <v>0</v>
      </c>
      <c r="AP538" s="1">
        <v>23</v>
      </c>
    </row>
    <row r="539" spans="1:42" x14ac:dyDescent="0.3">
      <c r="A539" t="s">
        <v>202</v>
      </c>
      <c r="B539" t="s">
        <v>222</v>
      </c>
      <c r="C539" s="4" t="s">
        <v>43</v>
      </c>
      <c r="D539">
        <v>182</v>
      </c>
      <c r="E539">
        <v>9</v>
      </c>
      <c r="F539">
        <v>15</v>
      </c>
      <c r="G539">
        <v>0</v>
      </c>
      <c r="H539">
        <v>3</v>
      </c>
      <c r="I539">
        <v>0</v>
      </c>
      <c r="J539">
        <v>25</v>
      </c>
      <c r="K539">
        <v>0</v>
      </c>
      <c r="L539">
        <v>0</v>
      </c>
      <c r="M539">
        <v>19</v>
      </c>
      <c r="N539">
        <v>0</v>
      </c>
      <c r="O539">
        <v>10</v>
      </c>
      <c r="P539">
        <v>0</v>
      </c>
      <c r="Q539">
        <v>0</v>
      </c>
      <c r="R539">
        <v>0</v>
      </c>
      <c r="S539">
        <v>1</v>
      </c>
      <c r="T539">
        <v>2</v>
      </c>
      <c r="U539">
        <v>4</v>
      </c>
      <c r="V539">
        <v>0</v>
      </c>
      <c r="W539">
        <v>0</v>
      </c>
      <c r="X539">
        <v>2</v>
      </c>
      <c r="Y539">
        <v>0</v>
      </c>
      <c r="Z539">
        <v>0</v>
      </c>
      <c r="AA539">
        <v>6</v>
      </c>
      <c r="AB539">
        <v>5</v>
      </c>
      <c r="AC539">
        <v>0</v>
      </c>
      <c r="AD539">
        <v>0</v>
      </c>
      <c r="AE539">
        <v>0</v>
      </c>
      <c r="AF539">
        <v>0</v>
      </c>
      <c r="AG539">
        <v>2</v>
      </c>
      <c r="AH539">
        <v>5</v>
      </c>
      <c r="AI539">
        <v>0</v>
      </c>
      <c r="AJ539">
        <v>0</v>
      </c>
      <c r="AK539">
        <v>5</v>
      </c>
      <c r="AL539">
        <v>55</v>
      </c>
      <c r="AM539" s="1">
        <v>0</v>
      </c>
      <c r="AN539" s="1">
        <v>0</v>
      </c>
      <c r="AO539">
        <v>0</v>
      </c>
      <c r="AP539" s="1">
        <v>14</v>
      </c>
    </row>
    <row r="540" spans="1:42" x14ac:dyDescent="0.3">
      <c r="A540" t="s">
        <v>202</v>
      </c>
      <c r="B540" t="s">
        <v>222</v>
      </c>
      <c r="C540" s="4" t="s">
        <v>44</v>
      </c>
      <c r="D540">
        <v>91</v>
      </c>
      <c r="E540">
        <v>7</v>
      </c>
      <c r="F540">
        <v>7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6</v>
      </c>
      <c r="N540">
        <v>0</v>
      </c>
      <c r="O540">
        <v>12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6</v>
      </c>
      <c r="AH540">
        <v>5</v>
      </c>
      <c r="AI540">
        <v>0</v>
      </c>
      <c r="AJ540">
        <v>0</v>
      </c>
      <c r="AK540">
        <v>3</v>
      </c>
      <c r="AL540">
        <v>25</v>
      </c>
      <c r="AM540" s="1">
        <v>0</v>
      </c>
      <c r="AN540" s="1">
        <v>0</v>
      </c>
      <c r="AO540">
        <v>0</v>
      </c>
      <c r="AP540" s="1">
        <v>9</v>
      </c>
    </row>
    <row r="541" spans="1:42" x14ac:dyDescent="0.3">
      <c r="A541" t="s">
        <v>202</v>
      </c>
      <c r="B541" t="s">
        <v>223</v>
      </c>
      <c r="C541" s="4" t="s">
        <v>40</v>
      </c>
      <c r="D541">
        <v>254</v>
      </c>
      <c r="E541">
        <v>0</v>
      </c>
      <c r="F541">
        <v>1</v>
      </c>
      <c r="G541">
        <v>0</v>
      </c>
      <c r="H541">
        <v>3</v>
      </c>
      <c r="I541">
        <v>0</v>
      </c>
      <c r="J541">
        <v>1</v>
      </c>
      <c r="K541">
        <v>0</v>
      </c>
      <c r="L541">
        <v>0</v>
      </c>
      <c r="M541">
        <v>8</v>
      </c>
      <c r="N541">
        <v>0</v>
      </c>
      <c r="O541">
        <v>14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3</v>
      </c>
      <c r="AG541">
        <v>15</v>
      </c>
      <c r="AH541">
        <v>9</v>
      </c>
      <c r="AI541">
        <v>0</v>
      </c>
      <c r="AJ541">
        <v>1</v>
      </c>
      <c r="AK541">
        <v>3</v>
      </c>
      <c r="AL541">
        <v>104</v>
      </c>
      <c r="AM541" s="1">
        <v>0</v>
      </c>
      <c r="AN541" s="1">
        <v>0</v>
      </c>
      <c r="AO541">
        <v>0</v>
      </c>
      <c r="AP541" s="1">
        <v>82</v>
      </c>
    </row>
    <row r="542" spans="1:42" x14ac:dyDescent="0.3">
      <c r="A542" t="s">
        <v>202</v>
      </c>
      <c r="B542" t="s">
        <v>223</v>
      </c>
      <c r="C542" s="4" t="s">
        <v>43</v>
      </c>
      <c r="D542">
        <v>191</v>
      </c>
      <c r="E542">
        <v>0</v>
      </c>
      <c r="F542">
        <v>0</v>
      </c>
      <c r="G542">
        <v>0</v>
      </c>
      <c r="H542">
        <v>3</v>
      </c>
      <c r="I542">
        <v>0</v>
      </c>
      <c r="J542">
        <v>1</v>
      </c>
      <c r="K542">
        <v>0</v>
      </c>
      <c r="L542">
        <v>0</v>
      </c>
      <c r="M542">
        <v>7</v>
      </c>
      <c r="N542">
        <v>0</v>
      </c>
      <c r="O542">
        <v>5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3</v>
      </c>
      <c r="AG542">
        <v>9</v>
      </c>
      <c r="AH542">
        <v>5</v>
      </c>
      <c r="AI542">
        <v>0</v>
      </c>
      <c r="AJ542">
        <v>1</v>
      </c>
      <c r="AK542">
        <v>3</v>
      </c>
      <c r="AL542">
        <v>78</v>
      </c>
      <c r="AM542" s="1">
        <v>0</v>
      </c>
      <c r="AN542" s="1">
        <v>0</v>
      </c>
      <c r="AO542">
        <v>0</v>
      </c>
      <c r="AP542" s="1">
        <v>68</v>
      </c>
    </row>
    <row r="543" spans="1:42" x14ac:dyDescent="0.3">
      <c r="A543" t="s">
        <v>202</v>
      </c>
      <c r="B543" t="s">
        <v>223</v>
      </c>
      <c r="C543" s="4" t="s">
        <v>44</v>
      </c>
      <c r="D543">
        <v>63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9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6</v>
      </c>
      <c r="AH543">
        <v>4</v>
      </c>
      <c r="AI543">
        <v>0</v>
      </c>
      <c r="AJ543">
        <v>0</v>
      </c>
      <c r="AK543">
        <v>0</v>
      </c>
      <c r="AL543">
        <v>26</v>
      </c>
      <c r="AM543" s="1">
        <v>0</v>
      </c>
      <c r="AN543" s="1">
        <v>0</v>
      </c>
      <c r="AO543">
        <v>0</v>
      </c>
      <c r="AP543" s="1">
        <v>14</v>
      </c>
    </row>
    <row r="544" spans="1:42" x14ac:dyDescent="0.3">
      <c r="A544" t="s">
        <v>202</v>
      </c>
      <c r="B544" t="s">
        <v>224</v>
      </c>
      <c r="C544" s="4" t="s">
        <v>40</v>
      </c>
      <c r="D544">
        <v>253</v>
      </c>
      <c r="E544">
        <v>2</v>
      </c>
      <c r="F544">
        <v>0</v>
      </c>
      <c r="G544">
        <v>0</v>
      </c>
      <c r="H544">
        <v>2</v>
      </c>
      <c r="I544">
        <v>0</v>
      </c>
      <c r="J544">
        <v>13</v>
      </c>
      <c r="K544">
        <v>0</v>
      </c>
      <c r="L544">
        <v>0</v>
      </c>
      <c r="M544">
        <v>10</v>
      </c>
      <c r="N544">
        <v>0</v>
      </c>
      <c r="O544">
        <v>10</v>
      </c>
      <c r="P544">
        <v>0</v>
      </c>
      <c r="Q544">
        <v>0</v>
      </c>
      <c r="R544">
        <v>0</v>
      </c>
      <c r="S544">
        <v>3</v>
      </c>
      <c r="T544">
        <v>0</v>
      </c>
      <c r="U544">
        <v>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9</v>
      </c>
      <c r="AH544">
        <v>13</v>
      </c>
      <c r="AI544">
        <v>0</v>
      </c>
      <c r="AJ544">
        <v>1</v>
      </c>
      <c r="AK544">
        <v>14</v>
      </c>
      <c r="AL544">
        <v>102</v>
      </c>
      <c r="AM544" s="1">
        <v>0</v>
      </c>
      <c r="AN544" s="1">
        <v>0</v>
      </c>
      <c r="AO544">
        <v>0</v>
      </c>
      <c r="AP544" s="1">
        <v>67</v>
      </c>
    </row>
    <row r="545" spans="1:42" x14ac:dyDescent="0.3">
      <c r="A545" t="s">
        <v>202</v>
      </c>
      <c r="B545" t="s">
        <v>224</v>
      </c>
      <c r="C545" s="4" t="s">
        <v>43</v>
      </c>
      <c r="D545">
        <v>212</v>
      </c>
      <c r="E545">
        <v>2</v>
      </c>
      <c r="F545">
        <v>0</v>
      </c>
      <c r="G545">
        <v>0</v>
      </c>
      <c r="H545">
        <v>2</v>
      </c>
      <c r="I545">
        <v>0</v>
      </c>
      <c r="J545">
        <v>11</v>
      </c>
      <c r="K545">
        <v>0</v>
      </c>
      <c r="L545">
        <v>0</v>
      </c>
      <c r="M545">
        <v>8</v>
      </c>
      <c r="N545">
        <v>0</v>
      </c>
      <c r="O545">
        <v>6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6</v>
      </c>
      <c r="AH545">
        <v>3</v>
      </c>
      <c r="AI545">
        <v>0</v>
      </c>
      <c r="AJ545">
        <v>1</v>
      </c>
      <c r="AK545">
        <v>14</v>
      </c>
      <c r="AL545">
        <v>89</v>
      </c>
      <c r="AM545" s="1">
        <v>0</v>
      </c>
      <c r="AN545" s="1">
        <v>0</v>
      </c>
      <c r="AO545">
        <v>0</v>
      </c>
      <c r="AP545" s="1">
        <v>63</v>
      </c>
    </row>
    <row r="546" spans="1:42" x14ac:dyDescent="0.3">
      <c r="A546" t="s">
        <v>202</v>
      </c>
      <c r="B546" t="s">
        <v>224</v>
      </c>
      <c r="C546" s="4" t="s">
        <v>44</v>
      </c>
      <c r="D546">
        <v>41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2</v>
      </c>
      <c r="N546">
        <v>0</v>
      </c>
      <c r="O546">
        <v>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3</v>
      </c>
      <c r="AH546">
        <v>10</v>
      </c>
      <c r="AI546">
        <v>0</v>
      </c>
      <c r="AJ546">
        <v>0</v>
      </c>
      <c r="AK546">
        <v>0</v>
      </c>
      <c r="AL546">
        <v>13</v>
      </c>
      <c r="AM546" s="1">
        <v>0</v>
      </c>
      <c r="AN546" s="1">
        <v>0</v>
      </c>
      <c r="AO546">
        <v>0</v>
      </c>
      <c r="AP546" s="1">
        <v>4</v>
      </c>
    </row>
    <row r="547" spans="1:42" x14ac:dyDescent="0.3">
      <c r="A547" t="s">
        <v>202</v>
      </c>
      <c r="B547" t="s">
        <v>225</v>
      </c>
      <c r="C547" s="4" t="s">
        <v>40</v>
      </c>
      <c r="D547">
        <v>144</v>
      </c>
      <c r="E547">
        <v>0</v>
      </c>
      <c r="F547">
        <v>12</v>
      </c>
      <c r="G547">
        <v>0</v>
      </c>
      <c r="H547">
        <v>10</v>
      </c>
      <c r="I547">
        <v>0</v>
      </c>
      <c r="J547">
        <v>9</v>
      </c>
      <c r="K547">
        <v>0</v>
      </c>
      <c r="L547">
        <v>0</v>
      </c>
      <c r="M547">
        <v>32</v>
      </c>
      <c r="N547">
        <v>0</v>
      </c>
      <c r="O547">
        <v>3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8</v>
      </c>
      <c r="V547">
        <v>0</v>
      </c>
      <c r="W547">
        <v>0</v>
      </c>
      <c r="X547">
        <v>3</v>
      </c>
      <c r="Y547">
        <v>0</v>
      </c>
      <c r="Z547">
        <v>0</v>
      </c>
      <c r="AA547">
        <v>2</v>
      </c>
      <c r="AB547">
        <v>6</v>
      </c>
      <c r="AC547">
        <v>0</v>
      </c>
      <c r="AD547">
        <v>1</v>
      </c>
      <c r="AE547">
        <v>0</v>
      </c>
      <c r="AF547">
        <v>1</v>
      </c>
      <c r="AG547">
        <v>2</v>
      </c>
      <c r="AH547">
        <v>24</v>
      </c>
      <c r="AI547">
        <v>0</v>
      </c>
      <c r="AJ547">
        <v>3</v>
      </c>
      <c r="AK547">
        <v>2</v>
      </c>
      <c r="AL547">
        <v>10</v>
      </c>
      <c r="AM547" s="1">
        <v>0</v>
      </c>
      <c r="AN547" s="1">
        <v>0</v>
      </c>
      <c r="AO547">
        <v>0</v>
      </c>
      <c r="AP547" s="1">
        <v>14</v>
      </c>
    </row>
    <row r="548" spans="1:42" x14ac:dyDescent="0.3">
      <c r="A548" t="s">
        <v>202</v>
      </c>
      <c r="B548" t="s">
        <v>225</v>
      </c>
      <c r="C548" s="4" t="s">
        <v>43</v>
      </c>
      <c r="D548">
        <v>82</v>
      </c>
      <c r="E548">
        <v>0</v>
      </c>
      <c r="F548">
        <v>5</v>
      </c>
      <c r="G548">
        <v>0</v>
      </c>
      <c r="H548">
        <v>10</v>
      </c>
      <c r="I548">
        <v>0</v>
      </c>
      <c r="J548">
        <v>6</v>
      </c>
      <c r="K548">
        <v>0</v>
      </c>
      <c r="L548">
        <v>0</v>
      </c>
      <c r="M548">
        <v>17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6</v>
      </c>
      <c r="V548">
        <v>0</v>
      </c>
      <c r="W548">
        <v>0</v>
      </c>
      <c r="X548">
        <v>2</v>
      </c>
      <c r="Y548">
        <v>0</v>
      </c>
      <c r="Z548">
        <v>0</v>
      </c>
      <c r="AA548">
        <v>2</v>
      </c>
      <c r="AB548">
        <v>5</v>
      </c>
      <c r="AC548">
        <v>0</v>
      </c>
      <c r="AD548">
        <v>1</v>
      </c>
      <c r="AE548">
        <v>0</v>
      </c>
      <c r="AF548">
        <v>0</v>
      </c>
      <c r="AG548">
        <v>1</v>
      </c>
      <c r="AH548">
        <v>10</v>
      </c>
      <c r="AI548">
        <v>0</v>
      </c>
      <c r="AJ548">
        <v>3</v>
      </c>
      <c r="AK548">
        <v>0</v>
      </c>
      <c r="AL548">
        <v>4</v>
      </c>
      <c r="AM548" s="1">
        <v>0</v>
      </c>
      <c r="AN548" s="1">
        <v>0</v>
      </c>
      <c r="AO548">
        <v>0</v>
      </c>
      <c r="AP548" s="1">
        <v>7</v>
      </c>
    </row>
    <row r="549" spans="1:42" x14ac:dyDescent="0.3">
      <c r="A549" t="s">
        <v>202</v>
      </c>
      <c r="B549" t="s">
        <v>225</v>
      </c>
      <c r="C549" s="4" t="s">
        <v>44</v>
      </c>
      <c r="D549">
        <v>62</v>
      </c>
      <c r="E549">
        <v>0</v>
      </c>
      <c r="F549">
        <v>7</v>
      </c>
      <c r="G549">
        <v>0</v>
      </c>
      <c r="H549">
        <v>0</v>
      </c>
      <c r="I549">
        <v>0</v>
      </c>
      <c r="J549">
        <v>3</v>
      </c>
      <c r="K549">
        <v>0</v>
      </c>
      <c r="L549">
        <v>0</v>
      </c>
      <c r="M549">
        <v>15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2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14</v>
      </c>
      <c r="AI549">
        <v>0</v>
      </c>
      <c r="AJ549">
        <v>0</v>
      </c>
      <c r="AK549">
        <v>2</v>
      </c>
      <c r="AL549">
        <v>6</v>
      </c>
      <c r="AM549" s="1">
        <v>0</v>
      </c>
      <c r="AN549" s="1">
        <v>0</v>
      </c>
      <c r="AO549">
        <v>0</v>
      </c>
      <c r="AP549" s="1">
        <v>7</v>
      </c>
    </row>
    <row r="550" spans="1:42" x14ac:dyDescent="0.3">
      <c r="A550" t="s">
        <v>202</v>
      </c>
      <c r="B550" t="s">
        <v>226</v>
      </c>
      <c r="C550" s="4" t="s">
        <v>40</v>
      </c>
      <c r="D550">
        <v>129</v>
      </c>
      <c r="E550">
        <v>31</v>
      </c>
      <c r="F550">
        <v>1</v>
      </c>
      <c r="G550">
        <v>0</v>
      </c>
      <c r="H550">
        <v>1</v>
      </c>
      <c r="I550">
        <v>0</v>
      </c>
      <c r="J550">
        <v>4</v>
      </c>
      <c r="K550">
        <v>0</v>
      </c>
      <c r="L550">
        <v>0</v>
      </c>
      <c r="M550">
        <v>30</v>
      </c>
      <c r="N550">
        <v>0</v>
      </c>
      <c r="O550">
        <v>25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6</v>
      </c>
      <c r="V550">
        <v>0</v>
      </c>
      <c r="W550">
        <v>0</v>
      </c>
      <c r="X550">
        <v>2</v>
      </c>
      <c r="Y550">
        <v>0</v>
      </c>
      <c r="Z550">
        <v>0</v>
      </c>
      <c r="AA550">
        <v>2</v>
      </c>
      <c r="AB550">
        <v>4</v>
      </c>
      <c r="AC550">
        <v>0</v>
      </c>
      <c r="AD550">
        <v>0</v>
      </c>
      <c r="AE550">
        <v>0</v>
      </c>
      <c r="AF550">
        <v>0</v>
      </c>
      <c r="AG550">
        <v>4</v>
      </c>
      <c r="AH550">
        <v>4</v>
      </c>
      <c r="AI550">
        <v>0</v>
      </c>
      <c r="AJ550">
        <v>7</v>
      </c>
      <c r="AK550">
        <v>0</v>
      </c>
      <c r="AL550">
        <v>7</v>
      </c>
      <c r="AM550" s="1">
        <v>0</v>
      </c>
      <c r="AN550" s="1">
        <v>0</v>
      </c>
      <c r="AO550">
        <v>0</v>
      </c>
      <c r="AP550" s="1">
        <v>1</v>
      </c>
    </row>
    <row r="551" spans="1:42" x14ac:dyDescent="0.3">
      <c r="A551" t="s">
        <v>202</v>
      </c>
      <c r="B551" t="s">
        <v>226</v>
      </c>
      <c r="C551" s="4" t="s">
        <v>43</v>
      </c>
      <c r="D551">
        <v>63</v>
      </c>
      <c r="E551">
        <v>18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13</v>
      </c>
      <c r="N551">
        <v>0</v>
      </c>
      <c r="O551">
        <v>10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1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4</v>
      </c>
      <c r="AH551">
        <v>2</v>
      </c>
      <c r="AI551">
        <v>0</v>
      </c>
      <c r="AJ551">
        <v>3</v>
      </c>
      <c r="AK551">
        <v>0</v>
      </c>
      <c r="AL551">
        <v>3</v>
      </c>
      <c r="AM551" s="1">
        <v>0</v>
      </c>
      <c r="AN551" s="1">
        <v>0</v>
      </c>
      <c r="AO551">
        <v>0</v>
      </c>
      <c r="AP551" s="1">
        <v>0</v>
      </c>
    </row>
    <row r="552" spans="1:42" x14ac:dyDescent="0.3">
      <c r="A552" t="s">
        <v>202</v>
      </c>
      <c r="B552" t="s">
        <v>226</v>
      </c>
      <c r="C552" s="4" t="s">
        <v>44</v>
      </c>
      <c r="D552">
        <v>66</v>
      </c>
      <c r="E552">
        <v>13</v>
      </c>
      <c r="F552">
        <v>1</v>
      </c>
      <c r="G552">
        <v>0</v>
      </c>
      <c r="H552">
        <v>1</v>
      </c>
      <c r="I552">
        <v>0</v>
      </c>
      <c r="J552">
        <v>3</v>
      </c>
      <c r="K552">
        <v>0</v>
      </c>
      <c r="L552">
        <v>0</v>
      </c>
      <c r="M552">
        <v>17</v>
      </c>
      <c r="N552">
        <v>0</v>
      </c>
      <c r="O552">
        <v>15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4</v>
      </c>
      <c r="AK552">
        <v>0</v>
      </c>
      <c r="AL552">
        <v>4</v>
      </c>
      <c r="AM552" s="1">
        <v>0</v>
      </c>
      <c r="AN552" s="1">
        <v>0</v>
      </c>
      <c r="AO552">
        <v>0</v>
      </c>
      <c r="AP552" s="1">
        <v>1</v>
      </c>
    </row>
    <row r="553" spans="1:42" x14ac:dyDescent="0.3">
      <c r="A553" t="s">
        <v>202</v>
      </c>
      <c r="B553" t="s">
        <v>227</v>
      </c>
      <c r="C553" s="4" t="s">
        <v>40</v>
      </c>
      <c r="D553">
        <v>122</v>
      </c>
      <c r="E553">
        <v>25</v>
      </c>
      <c r="F553">
        <v>4</v>
      </c>
      <c r="G553">
        <v>0</v>
      </c>
      <c r="H553">
        <v>3</v>
      </c>
      <c r="I553">
        <v>0</v>
      </c>
      <c r="J553">
        <v>3</v>
      </c>
      <c r="K553">
        <v>0</v>
      </c>
      <c r="L553">
        <v>0</v>
      </c>
      <c r="M553">
        <v>15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0</v>
      </c>
      <c r="AD553">
        <v>0</v>
      </c>
      <c r="AE553">
        <v>0</v>
      </c>
      <c r="AF553">
        <v>8</v>
      </c>
      <c r="AG553">
        <v>3</v>
      </c>
      <c r="AH553">
        <v>2</v>
      </c>
      <c r="AI553">
        <v>0</v>
      </c>
      <c r="AJ553">
        <v>0</v>
      </c>
      <c r="AK553">
        <v>1</v>
      </c>
      <c r="AL553">
        <v>38</v>
      </c>
      <c r="AM553" s="1">
        <v>0</v>
      </c>
      <c r="AN553" s="1">
        <v>0</v>
      </c>
      <c r="AO553">
        <v>0</v>
      </c>
      <c r="AP553" s="1">
        <v>15</v>
      </c>
    </row>
    <row r="554" spans="1:42" x14ac:dyDescent="0.3">
      <c r="A554" t="s">
        <v>202</v>
      </c>
      <c r="B554" t="s">
        <v>227</v>
      </c>
      <c r="C554" s="4" t="s">
        <v>43</v>
      </c>
      <c r="D554">
        <v>83</v>
      </c>
      <c r="E554">
        <v>11</v>
      </c>
      <c r="F554">
        <v>4</v>
      </c>
      <c r="G554">
        <v>0</v>
      </c>
      <c r="H554">
        <v>3</v>
      </c>
      <c r="I554">
        <v>0</v>
      </c>
      <c r="J554">
        <v>3</v>
      </c>
      <c r="K554">
        <v>0</v>
      </c>
      <c r="L554">
        <v>0</v>
      </c>
      <c r="M554">
        <v>10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5</v>
      </c>
      <c r="AG554">
        <v>1</v>
      </c>
      <c r="AH554">
        <v>1</v>
      </c>
      <c r="AI554">
        <v>0</v>
      </c>
      <c r="AJ554">
        <v>0</v>
      </c>
      <c r="AK554">
        <v>1</v>
      </c>
      <c r="AL554">
        <v>30</v>
      </c>
      <c r="AM554" s="1">
        <v>0</v>
      </c>
      <c r="AN554" s="1">
        <v>0</v>
      </c>
      <c r="AO554">
        <v>0</v>
      </c>
      <c r="AP554" s="1">
        <v>12</v>
      </c>
    </row>
    <row r="555" spans="1:42" x14ac:dyDescent="0.3">
      <c r="A555" t="s">
        <v>202</v>
      </c>
      <c r="B555" t="s">
        <v>227</v>
      </c>
      <c r="C555" s="4" t="s">
        <v>44</v>
      </c>
      <c r="D555">
        <v>39</v>
      </c>
      <c r="E555">
        <v>14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0</v>
      </c>
      <c r="AF555">
        <v>3</v>
      </c>
      <c r="AG555">
        <v>2</v>
      </c>
      <c r="AH555">
        <v>1</v>
      </c>
      <c r="AI555">
        <v>0</v>
      </c>
      <c r="AJ555">
        <v>0</v>
      </c>
      <c r="AK555">
        <v>0</v>
      </c>
      <c r="AL555">
        <v>8</v>
      </c>
      <c r="AM555" s="1">
        <v>0</v>
      </c>
      <c r="AN555" s="1">
        <v>0</v>
      </c>
      <c r="AO555">
        <v>0</v>
      </c>
      <c r="AP555" s="1">
        <v>3</v>
      </c>
    </row>
    <row r="556" spans="1:42" x14ac:dyDescent="0.3">
      <c r="A556" t="s">
        <v>202</v>
      </c>
      <c r="B556" t="s">
        <v>228</v>
      </c>
      <c r="C556" s="4" t="s">
        <v>40</v>
      </c>
      <c r="D556">
        <v>122</v>
      </c>
      <c r="E556">
        <v>0</v>
      </c>
      <c r="F556">
        <v>1</v>
      </c>
      <c r="G556">
        <v>0</v>
      </c>
      <c r="H556">
        <v>2</v>
      </c>
      <c r="I556">
        <v>0</v>
      </c>
      <c r="J556">
        <v>5</v>
      </c>
      <c r="K556">
        <v>0</v>
      </c>
      <c r="L556">
        <v>0</v>
      </c>
      <c r="M556">
        <v>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7</v>
      </c>
      <c r="AI556">
        <v>0</v>
      </c>
      <c r="AJ556">
        <v>0</v>
      </c>
      <c r="AK556">
        <v>4</v>
      </c>
      <c r="AL556">
        <v>36</v>
      </c>
      <c r="AM556" s="1">
        <v>0</v>
      </c>
      <c r="AN556" s="1">
        <v>0</v>
      </c>
      <c r="AO556">
        <v>0</v>
      </c>
      <c r="AP556" s="1">
        <v>49</v>
      </c>
    </row>
    <row r="557" spans="1:42" x14ac:dyDescent="0.3">
      <c r="A557" t="s">
        <v>202</v>
      </c>
      <c r="B557" t="s">
        <v>228</v>
      </c>
      <c r="C557" s="4" t="s">
        <v>43</v>
      </c>
      <c r="D557">
        <v>110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4</v>
      </c>
      <c r="K557">
        <v>0</v>
      </c>
      <c r="L557">
        <v>0</v>
      </c>
      <c r="M557">
        <v>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4</v>
      </c>
      <c r="AI557">
        <v>0</v>
      </c>
      <c r="AJ557">
        <v>0</v>
      </c>
      <c r="AK557">
        <v>4</v>
      </c>
      <c r="AL557">
        <v>33</v>
      </c>
      <c r="AM557" s="1">
        <v>0</v>
      </c>
      <c r="AN557" s="1">
        <v>0</v>
      </c>
      <c r="AO557">
        <v>0</v>
      </c>
      <c r="AP557" s="1">
        <v>49</v>
      </c>
    </row>
    <row r="558" spans="1:42" x14ac:dyDescent="0.3">
      <c r="A558" t="s">
        <v>202</v>
      </c>
      <c r="B558" t="s">
        <v>228</v>
      </c>
      <c r="C558" s="4" t="s">
        <v>44</v>
      </c>
      <c r="D558">
        <v>12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3</v>
      </c>
      <c r="AI558">
        <v>0</v>
      </c>
      <c r="AJ558">
        <v>0</v>
      </c>
      <c r="AK558">
        <v>0</v>
      </c>
      <c r="AL558">
        <v>3</v>
      </c>
      <c r="AM558" s="1">
        <v>0</v>
      </c>
      <c r="AN558" s="1">
        <v>0</v>
      </c>
      <c r="AO558">
        <v>0</v>
      </c>
      <c r="AP558" s="1">
        <v>0</v>
      </c>
    </row>
    <row r="559" spans="1:42" x14ac:dyDescent="0.3">
      <c r="A559" t="s">
        <v>202</v>
      </c>
      <c r="B559" t="s">
        <v>229</v>
      </c>
      <c r="C559" s="4" t="s">
        <v>40</v>
      </c>
      <c r="D559">
        <v>114</v>
      </c>
      <c r="E559">
        <v>30</v>
      </c>
      <c r="F559">
        <v>6</v>
      </c>
      <c r="G559">
        <v>0</v>
      </c>
      <c r="H559">
        <v>2</v>
      </c>
      <c r="I559">
        <v>0</v>
      </c>
      <c r="J559">
        <v>14</v>
      </c>
      <c r="K559">
        <v>0</v>
      </c>
      <c r="L559">
        <v>0</v>
      </c>
      <c r="M559">
        <v>20</v>
      </c>
      <c r="N559">
        <v>0</v>
      </c>
      <c r="O559">
        <v>10</v>
      </c>
      <c r="P559">
        <v>0</v>
      </c>
      <c r="Q559">
        <v>3</v>
      </c>
      <c r="R559">
        <v>0</v>
      </c>
      <c r="S559">
        <v>0</v>
      </c>
      <c r="T559">
        <v>0</v>
      </c>
      <c r="U559">
        <v>4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5</v>
      </c>
      <c r="AC559">
        <v>0</v>
      </c>
      <c r="AD559">
        <v>0</v>
      </c>
      <c r="AE559">
        <v>0</v>
      </c>
      <c r="AF559">
        <v>6</v>
      </c>
      <c r="AG559">
        <v>3</v>
      </c>
      <c r="AH559">
        <v>2</v>
      </c>
      <c r="AI559">
        <v>0</v>
      </c>
      <c r="AJ559">
        <v>4</v>
      </c>
      <c r="AK559">
        <v>2</v>
      </c>
      <c r="AL559">
        <v>0</v>
      </c>
      <c r="AM559" s="1">
        <v>0</v>
      </c>
      <c r="AN559" s="1">
        <v>0</v>
      </c>
      <c r="AO559">
        <v>0</v>
      </c>
      <c r="AP559" s="1">
        <v>1</v>
      </c>
    </row>
    <row r="560" spans="1:42" x14ac:dyDescent="0.3">
      <c r="A560" t="s">
        <v>202</v>
      </c>
      <c r="B560" t="s">
        <v>229</v>
      </c>
      <c r="C560" s="4" t="s">
        <v>43</v>
      </c>
      <c r="D560">
        <v>59</v>
      </c>
      <c r="E560">
        <v>15</v>
      </c>
      <c r="F560">
        <v>2</v>
      </c>
      <c r="G560">
        <v>0</v>
      </c>
      <c r="H560">
        <v>1</v>
      </c>
      <c r="I560">
        <v>0</v>
      </c>
      <c r="J560">
        <v>9</v>
      </c>
      <c r="K560">
        <v>0</v>
      </c>
      <c r="L560">
        <v>0</v>
      </c>
      <c r="M560">
        <v>10</v>
      </c>
      <c r="N560">
        <v>0</v>
      </c>
      <c r="O560">
        <v>7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2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0</v>
      </c>
      <c r="AD560">
        <v>0</v>
      </c>
      <c r="AE560">
        <v>0</v>
      </c>
      <c r="AF560">
        <v>1</v>
      </c>
      <c r="AG560">
        <v>3</v>
      </c>
      <c r="AH560">
        <v>1</v>
      </c>
      <c r="AI560">
        <v>0</v>
      </c>
      <c r="AJ560">
        <v>2</v>
      </c>
      <c r="AK560">
        <v>0</v>
      </c>
      <c r="AL560">
        <v>0</v>
      </c>
      <c r="AM560" s="1">
        <v>0</v>
      </c>
      <c r="AN560" s="1">
        <v>0</v>
      </c>
      <c r="AO560">
        <v>0</v>
      </c>
      <c r="AP560" s="1">
        <v>0</v>
      </c>
    </row>
    <row r="561" spans="1:42" x14ac:dyDescent="0.3">
      <c r="A561" t="s">
        <v>202</v>
      </c>
      <c r="B561" t="s">
        <v>229</v>
      </c>
      <c r="C561" s="4" t="s">
        <v>44</v>
      </c>
      <c r="D561">
        <v>55</v>
      </c>
      <c r="E561">
        <v>15</v>
      </c>
      <c r="F561">
        <v>4</v>
      </c>
      <c r="G561">
        <v>0</v>
      </c>
      <c r="H561">
        <v>1</v>
      </c>
      <c r="I561">
        <v>0</v>
      </c>
      <c r="J561">
        <v>5</v>
      </c>
      <c r="K561">
        <v>0</v>
      </c>
      <c r="L561">
        <v>0</v>
      </c>
      <c r="M561">
        <v>10</v>
      </c>
      <c r="N561">
        <v>0</v>
      </c>
      <c r="O561">
        <v>3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2</v>
      </c>
      <c r="AC561">
        <v>0</v>
      </c>
      <c r="AD561">
        <v>0</v>
      </c>
      <c r="AE561">
        <v>0</v>
      </c>
      <c r="AF561">
        <v>5</v>
      </c>
      <c r="AG561">
        <v>0</v>
      </c>
      <c r="AH561">
        <v>1</v>
      </c>
      <c r="AI561">
        <v>0</v>
      </c>
      <c r="AJ561">
        <v>2</v>
      </c>
      <c r="AK561">
        <v>2</v>
      </c>
      <c r="AL561">
        <v>0</v>
      </c>
      <c r="AM561" s="1">
        <v>0</v>
      </c>
      <c r="AN561" s="1">
        <v>0</v>
      </c>
      <c r="AO561">
        <v>0</v>
      </c>
      <c r="AP561" s="1">
        <v>1</v>
      </c>
    </row>
    <row r="562" spans="1:42" x14ac:dyDescent="0.3">
      <c r="A562" t="s">
        <v>202</v>
      </c>
      <c r="B562" t="s">
        <v>230</v>
      </c>
      <c r="C562" s="4" t="s">
        <v>40</v>
      </c>
      <c r="D562">
        <v>111</v>
      </c>
      <c r="E562">
        <v>21</v>
      </c>
      <c r="F562">
        <v>4</v>
      </c>
      <c r="G562">
        <v>0</v>
      </c>
      <c r="H562">
        <v>3</v>
      </c>
      <c r="I562">
        <v>0</v>
      </c>
      <c r="J562">
        <v>4</v>
      </c>
      <c r="K562">
        <v>0</v>
      </c>
      <c r="L562">
        <v>0</v>
      </c>
      <c r="M562">
        <v>11</v>
      </c>
      <c r="N562">
        <v>0</v>
      </c>
      <c r="O562">
        <v>10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</v>
      </c>
      <c r="AC562">
        <v>0</v>
      </c>
      <c r="AD562">
        <v>0</v>
      </c>
      <c r="AE562">
        <v>0</v>
      </c>
      <c r="AF562">
        <v>1</v>
      </c>
      <c r="AG562">
        <v>8</v>
      </c>
      <c r="AH562">
        <v>2</v>
      </c>
      <c r="AI562">
        <v>0</v>
      </c>
      <c r="AJ562">
        <v>1</v>
      </c>
      <c r="AK562">
        <v>2</v>
      </c>
      <c r="AL562">
        <v>17</v>
      </c>
      <c r="AM562" s="1">
        <v>0</v>
      </c>
      <c r="AN562" s="1">
        <v>0</v>
      </c>
      <c r="AO562">
        <v>0</v>
      </c>
      <c r="AP562" s="1">
        <v>19</v>
      </c>
    </row>
    <row r="563" spans="1:42" x14ac:dyDescent="0.3">
      <c r="A563" t="s">
        <v>202</v>
      </c>
      <c r="B563" t="s">
        <v>230</v>
      </c>
      <c r="C563" s="4" t="s">
        <v>43</v>
      </c>
      <c r="D563">
        <v>72</v>
      </c>
      <c r="E563">
        <v>8</v>
      </c>
      <c r="F563">
        <v>1</v>
      </c>
      <c r="G563">
        <v>0</v>
      </c>
      <c r="H563">
        <v>3</v>
      </c>
      <c r="I563">
        <v>0</v>
      </c>
      <c r="J563">
        <v>4</v>
      </c>
      <c r="K563">
        <v>0</v>
      </c>
      <c r="L563">
        <v>0</v>
      </c>
      <c r="M563">
        <v>5</v>
      </c>
      <c r="N563">
        <v>0</v>
      </c>
      <c r="O563">
        <v>5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0</v>
      </c>
      <c r="AD563">
        <v>0</v>
      </c>
      <c r="AE563">
        <v>0</v>
      </c>
      <c r="AF563">
        <v>1</v>
      </c>
      <c r="AG563">
        <v>5</v>
      </c>
      <c r="AH563">
        <v>2</v>
      </c>
      <c r="AI563">
        <v>0</v>
      </c>
      <c r="AJ563">
        <v>1</v>
      </c>
      <c r="AK563">
        <v>1</v>
      </c>
      <c r="AL563">
        <v>12</v>
      </c>
      <c r="AM563" s="1">
        <v>0</v>
      </c>
      <c r="AN563" s="1">
        <v>0</v>
      </c>
      <c r="AO563">
        <v>0</v>
      </c>
      <c r="AP563" s="1">
        <v>18</v>
      </c>
    </row>
    <row r="564" spans="1:42" x14ac:dyDescent="0.3">
      <c r="A564" t="s">
        <v>202</v>
      </c>
      <c r="B564" t="s">
        <v>230</v>
      </c>
      <c r="C564" s="4" t="s">
        <v>44</v>
      </c>
      <c r="D564">
        <v>39</v>
      </c>
      <c r="E564">
        <v>13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6</v>
      </c>
      <c r="N564">
        <v>0</v>
      </c>
      <c r="O564">
        <v>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0</v>
      </c>
      <c r="AD564">
        <v>0</v>
      </c>
      <c r="AE564">
        <v>0</v>
      </c>
      <c r="AF564">
        <v>0</v>
      </c>
      <c r="AG564">
        <v>3</v>
      </c>
      <c r="AH564">
        <v>0</v>
      </c>
      <c r="AI564">
        <v>0</v>
      </c>
      <c r="AJ564">
        <v>0</v>
      </c>
      <c r="AK564">
        <v>1</v>
      </c>
      <c r="AL564">
        <v>5</v>
      </c>
      <c r="AM564" s="1">
        <v>0</v>
      </c>
      <c r="AN564" s="1">
        <v>0</v>
      </c>
      <c r="AO564">
        <v>0</v>
      </c>
      <c r="AP564" s="1">
        <v>1</v>
      </c>
    </row>
    <row r="565" spans="1:42" x14ac:dyDescent="0.3">
      <c r="A565" t="s">
        <v>202</v>
      </c>
      <c r="B565" t="s">
        <v>231</v>
      </c>
      <c r="C565" s="4" t="s">
        <v>40</v>
      </c>
      <c r="D565">
        <v>77</v>
      </c>
      <c r="E565">
        <v>0</v>
      </c>
      <c r="F565">
        <v>1</v>
      </c>
      <c r="G565">
        <v>0</v>
      </c>
      <c r="H565">
        <v>2</v>
      </c>
      <c r="I565">
        <v>0</v>
      </c>
      <c r="J565">
        <v>5</v>
      </c>
      <c r="K565">
        <v>0</v>
      </c>
      <c r="L565">
        <v>0</v>
      </c>
      <c r="M565">
        <v>8</v>
      </c>
      <c r="N565">
        <v>0</v>
      </c>
      <c r="O565">
        <v>10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1</v>
      </c>
      <c r="AE565">
        <v>0</v>
      </c>
      <c r="AF565">
        <v>0</v>
      </c>
      <c r="AG565">
        <v>2</v>
      </c>
      <c r="AH565">
        <v>5</v>
      </c>
      <c r="AI565">
        <v>0</v>
      </c>
      <c r="AJ565">
        <v>1</v>
      </c>
      <c r="AK565">
        <v>5</v>
      </c>
      <c r="AL565">
        <v>18</v>
      </c>
      <c r="AM565" s="1">
        <v>0</v>
      </c>
      <c r="AN565" s="1">
        <v>0</v>
      </c>
      <c r="AO565">
        <v>0</v>
      </c>
      <c r="AP565" s="1">
        <v>14</v>
      </c>
    </row>
    <row r="566" spans="1:42" x14ac:dyDescent="0.3">
      <c r="A566" t="s">
        <v>202</v>
      </c>
      <c r="B566" t="s">
        <v>231</v>
      </c>
      <c r="C566" s="4" t="s">
        <v>43</v>
      </c>
      <c r="D566">
        <v>60</v>
      </c>
      <c r="E566">
        <v>0</v>
      </c>
      <c r="F566">
        <v>1</v>
      </c>
      <c r="G566">
        <v>0</v>
      </c>
      <c r="H566">
        <v>2</v>
      </c>
      <c r="I566">
        <v>0</v>
      </c>
      <c r="J566">
        <v>5</v>
      </c>
      <c r="K566">
        <v>0</v>
      </c>
      <c r="L566">
        <v>0</v>
      </c>
      <c r="M566">
        <v>7</v>
      </c>
      <c r="N566">
        <v>0</v>
      </c>
      <c r="O566">
        <v>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3</v>
      </c>
      <c r="AI566">
        <v>0</v>
      </c>
      <c r="AJ566">
        <v>1</v>
      </c>
      <c r="AK566">
        <v>5</v>
      </c>
      <c r="AL566">
        <v>13</v>
      </c>
      <c r="AM566" s="1">
        <v>0</v>
      </c>
      <c r="AN566" s="1">
        <v>0</v>
      </c>
      <c r="AO566">
        <v>0</v>
      </c>
      <c r="AP566" s="1">
        <v>12</v>
      </c>
    </row>
    <row r="567" spans="1:42" x14ac:dyDescent="0.3">
      <c r="A567" t="s">
        <v>202</v>
      </c>
      <c r="B567" t="s">
        <v>231</v>
      </c>
      <c r="C567" s="4" t="s">
        <v>44</v>
      </c>
      <c r="D567">
        <v>17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</v>
      </c>
      <c r="AH567">
        <v>2</v>
      </c>
      <c r="AI567">
        <v>0</v>
      </c>
      <c r="AJ567">
        <v>0</v>
      </c>
      <c r="AK567">
        <v>0</v>
      </c>
      <c r="AL567">
        <v>5</v>
      </c>
      <c r="AM567" s="1">
        <v>0</v>
      </c>
      <c r="AN567" s="1">
        <v>0</v>
      </c>
      <c r="AO567">
        <v>0</v>
      </c>
      <c r="AP567" s="1">
        <v>2</v>
      </c>
    </row>
    <row r="568" spans="1:42" x14ac:dyDescent="0.3">
      <c r="A568" t="s">
        <v>202</v>
      </c>
      <c r="B568" t="s">
        <v>232</v>
      </c>
      <c r="C568" s="4" t="s">
        <v>40</v>
      </c>
      <c r="D568">
        <v>75</v>
      </c>
      <c r="E568">
        <v>0</v>
      </c>
      <c r="F568">
        <v>13</v>
      </c>
      <c r="G568">
        <v>0</v>
      </c>
      <c r="H568">
        <v>2</v>
      </c>
      <c r="I568">
        <v>0</v>
      </c>
      <c r="J568">
        <v>2</v>
      </c>
      <c r="K568">
        <v>0</v>
      </c>
      <c r="L568">
        <v>0</v>
      </c>
      <c r="M568">
        <v>44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</v>
      </c>
      <c r="AE568">
        <v>0</v>
      </c>
      <c r="AF568">
        <v>0</v>
      </c>
      <c r="AG568">
        <v>1</v>
      </c>
      <c r="AH568">
        <v>1</v>
      </c>
      <c r="AI568">
        <v>0</v>
      </c>
      <c r="AJ568">
        <v>0</v>
      </c>
      <c r="AK568">
        <v>0</v>
      </c>
      <c r="AL568">
        <v>2</v>
      </c>
      <c r="AM568" s="1">
        <v>0</v>
      </c>
      <c r="AN568" s="1">
        <v>0</v>
      </c>
      <c r="AO568">
        <v>0</v>
      </c>
      <c r="AP568" s="1">
        <v>0</v>
      </c>
    </row>
    <row r="569" spans="1:42" x14ac:dyDescent="0.3">
      <c r="A569" t="s">
        <v>202</v>
      </c>
      <c r="B569" t="s">
        <v>232</v>
      </c>
      <c r="C569" s="4" t="s">
        <v>43</v>
      </c>
      <c r="D569">
        <v>44</v>
      </c>
      <c r="E569">
        <v>0</v>
      </c>
      <c r="F569">
        <v>5</v>
      </c>
      <c r="G569">
        <v>0</v>
      </c>
      <c r="H569">
        <v>2</v>
      </c>
      <c r="I569">
        <v>0</v>
      </c>
      <c r="J569">
        <v>1</v>
      </c>
      <c r="K569">
        <v>0</v>
      </c>
      <c r="L569">
        <v>0</v>
      </c>
      <c r="M569">
        <v>25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2</v>
      </c>
      <c r="AM569" s="1">
        <v>0</v>
      </c>
      <c r="AN569" s="1">
        <v>0</v>
      </c>
      <c r="AO569">
        <v>0</v>
      </c>
      <c r="AP569" s="1">
        <v>0</v>
      </c>
    </row>
    <row r="570" spans="1:42" x14ac:dyDescent="0.3">
      <c r="A570" t="s">
        <v>202</v>
      </c>
      <c r="B570" t="s">
        <v>232</v>
      </c>
      <c r="C570" s="4" t="s">
        <v>44</v>
      </c>
      <c r="D570">
        <v>31</v>
      </c>
      <c r="E570">
        <v>0</v>
      </c>
      <c r="F570">
        <v>8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19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 s="1">
        <v>0</v>
      </c>
      <c r="AN570" s="1">
        <v>0</v>
      </c>
      <c r="AO570">
        <v>0</v>
      </c>
      <c r="AP570" s="1">
        <v>0</v>
      </c>
    </row>
    <row r="571" spans="1:42" x14ac:dyDescent="0.3">
      <c r="A571" t="s">
        <v>202</v>
      </c>
      <c r="B571" t="s">
        <v>233</v>
      </c>
      <c r="C571" s="4" t="s">
        <v>40</v>
      </c>
      <c r="D571">
        <v>70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7</v>
      </c>
      <c r="K571">
        <v>0</v>
      </c>
      <c r="L571">
        <v>0</v>
      </c>
      <c r="M571">
        <v>25</v>
      </c>
      <c r="N571">
        <v>0</v>
      </c>
      <c r="O571">
        <v>14</v>
      </c>
      <c r="P571">
        <v>0</v>
      </c>
      <c r="Q571">
        <v>2</v>
      </c>
      <c r="R571">
        <v>0</v>
      </c>
      <c r="S571">
        <v>0</v>
      </c>
      <c r="T571">
        <v>0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8</v>
      </c>
      <c r="AI571">
        <v>0</v>
      </c>
      <c r="AJ571">
        <v>0</v>
      </c>
      <c r="AK571">
        <v>7</v>
      </c>
      <c r="AL571">
        <v>0</v>
      </c>
      <c r="AM571" s="1">
        <v>0</v>
      </c>
      <c r="AN571" s="1">
        <v>0</v>
      </c>
      <c r="AO571">
        <v>0</v>
      </c>
      <c r="AP571" s="1">
        <v>0</v>
      </c>
    </row>
    <row r="572" spans="1:42" x14ac:dyDescent="0.3">
      <c r="A572" t="s">
        <v>202</v>
      </c>
      <c r="B572" t="s">
        <v>233</v>
      </c>
      <c r="C572" s="4" t="s">
        <v>43</v>
      </c>
      <c r="D572">
        <v>22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8</v>
      </c>
      <c r="N572">
        <v>0</v>
      </c>
      <c r="O572">
        <v>6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2</v>
      </c>
      <c r="AI572">
        <v>0</v>
      </c>
      <c r="AJ572">
        <v>0</v>
      </c>
      <c r="AK572">
        <v>0</v>
      </c>
      <c r="AL572">
        <v>0</v>
      </c>
      <c r="AM572" s="1">
        <v>0</v>
      </c>
      <c r="AN572" s="1">
        <v>0</v>
      </c>
      <c r="AO572">
        <v>0</v>
      </c>
      <c r="AP572" s="1">
        <v>0</v>
      </c>
    </row>
    <row r="573" spans="1:42" x14ac:dyDescent="0.3">
      <c r="A573" t="s">
        <v>202</v>
      </c>
      <c r="B573" t="s">
        <v>233</v>
      </c>
      <c r="C573" s="4" t="s">
        <v>44</v>
      </c>
      <c r="D573">
        <v>48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6</v>
      </c>
      <c r="K573">
        <v>0</v>
      </c>
      <c r="L573">
        <v>0</v>
      </c>
      <c r="M573">
        <v>17</v>
      </c>
      <c r="N573">
        <v>0</v>
      </c>
      <c r="O573">
        <v>8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6</v>
      </c>
      <c r="AI573">
        <v>0</v>
      </c>
      <c r="AJ573">
        <v>0</v>
      </c>
      <c r="AK573">
        <v>7</v>
      </c>
      <c r="AL573">
        <v>0</v>
      </c>
      <c r="AM573" s="1">
        <v>0</v>
      </c>
      <c r="AN573" s="1">
        <v>0</v>
      </c>
      <c r="AO573">
        <v>0</v>
      </c>
      <c r="AP573" s="1">
        <v>0</v>
      </c>
    </row>
    <row r="574" spans="1:42" x14ac:dyDescent="0.3">
      <c r="A574" t="s">
        <v>202</v>
      </c>
      <c r="B574" t="s">
        <v>234</v>
      </c>
      <c r="C574" s="4" t="s">
        <v>40</v>
      </c>
      <c r="D574">
        <v>68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13</v>
      </c>
      <c r="K574">
        <v>0</v>
      </c>
      <c r="L574">
        <v>1</v>
      </c>
      <c r="M574">
        <v>16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2</v>
      </c>
      <c r="AG574">
        <v>0</v>
      </c>
      <c r="AH574">
        <v>2</v>
      </c>
      <c r="AI574">
        <v>0</v>
      </c>
      <c r="AJ574">
        <v>0</v>
      </c>
      <c r="AK574">
        <v>6</v>
      </c>
      <c r="AL574">
        <v>17</v>
      </c>
      <c r="AM574" s="1">
        <v>0</v>
      </c>
      <c r="AN574" s="1">
        <v>0</v>
      </c>
      <c r="AO574">
        <v>0</v>
      </c>
      <c r="AP574" s="1">
        <v>2</v>
      </c>
    </row>
    <row r="575" spans="1:42" x14ac:dyDescent="0.3">
      <c r="A575" t="s">
        <v>202</v>
      </c>
      <c r="B575" t="s">
        <v>234</v>
      </c>
      <c r="C575" s="4" t="s">
        <v>43</v>
      </c>
      <c r="D575">
        <v>42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5</v>
      </c>
      <c r="K575">
        <v>0</v>
      </c>
      <c r="L575">
        <v>1</v>
      </c>
      <c r="M575">
        <v>9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</v>
      </c>
      <c r="AL575">
        <v>15</v>
      </c>
      <c r="AM575" s="1">
        <v>0</v>
      </c>
      <c r="AN575" s="1">
        <v>0</v>
      </c>
      <c r="AO575">
        <v>0</v>
      </c>
      <c r="AP575" s="1">
        <v>2</v>
      </c>
    </row>
    <row r="576" spans="1:42" x14ac:dyDescent="0.3">
      <c r="A576" t="s">
        <v>202</v>
      </c>
      <c r="B576" t="s">
        <v>234</v>
      </c>
      <c r="C576" s="4" t="s">
        <v>44</v>
      </c>
      <c r="D576">
        <v>26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8</v>
      </c>
      <c r="K576">
        <v>0</v>
      </c>
      <c r="L576">
        <v>0</v>
      </c>
      <c r="M576">
        <v>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0</v>
      </c>
      <c r="AD576">
        <v>0</v>
      </c>
      <c r="AE576">
        <v>0</v>
      </c>
      <c r="AF576">
        <v>2</v>
      </c>
      <c r="AG576">
        <v>0</v>
      </c>
      <c r="AH576">
        <v>2</v>
      </c>
      <c r="AI576">
        <v>0</v>
      </c>
      <c r="AJ576">
        <v>0</v>
      </c>
      <c r="AK576">
        <v>1</v>
      </c>
      <c r="AL576">
        <v>2</v>
      </c>
      <c r="AM576" s="1">
        <v>0</v>
      </c>
      <c r="AN576" s="1">
        <v>0</v>
      </c>
      <c r="AO576">
        <v>0</v>
      </c>
      <c r="AP576" s="1">
        <v>0</v>
      </c>
    </row>
    <row r="577" spans="1:42" x14ac:dyDescent="0.3">
      <c r="A577" t="s">
        <v>202</v>
      </c>
      <c r="B577" t="s">
        <v>235</v>
      </c>
      <c r="C577" s="4" t="s">
        <v>40</v>
      </c>
      <c r="D577">
        <v>64</v>
      </c>
      <c r="E577">
        <v>0</v>
      </c>
      <c r="F577">
        <v>0</v>
      </c>
      <c r="G577">
        <v>0</v>
      </c>
      <c r="H577">
        <v>50</v>
      </c>
      <c r="I577">
        <v>0</v>
      </c>
      <c r="J577">
        <v>1</v>
      </c>
      <c r="K577">
        <v>0</v>
      </c>
      <c r="L577">
        <v>0</v>
      </c>
      <c r="M577">
        <v>3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1</v>
      </c>
      <c r="AK577">
        <v>0</v>
      </c>
      <c r="AL577">
        <v>2</v>
      </c>
      <c r="AM577" s="1">
        <v>0</v>
      </c>
      <c r="AN577" s="1">
        <v>0</v>
      </c>
      <c r="AO577">
        <v>1</v>
      </c>
      <c r="AP577" s="1">
        <v>1</v>
      </c>
    </row>
    <row r="578" spans="1:42" x14ac:dyDescent="0.3">
      <c r="A578" t="s">
        <v>202</v>
      </c>
      <c r="B578" t="s">
        <v>235</v>
      </c>
      <c r="C578" s="4" t="s">
        <v>43</v>
      </c>
      <c r="D578">
        <v>27</v>
      </c>
      <c r="E578">
        <v>0</v>
      </c>
      <c r="F578">
        <v>0</v>
      </c>
      <c r="G578">
        <v>0</v>
      </c>
      <c r="H578">
        <v>23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 s="1">
        <v>0</v>
      </c>
      <c r="AN578" s="1">
        <v>0</v>
      </c>
      <c r="AO578">
        <v>1</v>
      </c>
      <c r="AP578" s="1">
        <v>1</v>
      </c>
    </row>
    <row r="579" spans="1:42" x14ac:dyDescent="0.3">
      <c r="A579" t="s">
        <v>202</v>
      </c>
      <c r="B579" t="s">
        <v>235</v>
      </c>
      <c r="C579" s="4" t="s">
        <v>44</v>
      </c>
      <c r="D579">
        <v>37</v>
      </c>
      <c r="E579">
        <v>0</v>
      </c>
      <c r="F579">
        <v>0</v>
      </c>
      <c r="G579">
        <v>0</v>
      </c>
      <c r="H579">
        <v>27</v>
      </c>
      <c r="I579">
        <v>0</v>
      </c>
      <c r="J579">
        <v>0</v>
      </c>
      <c r="K579">
        <v>0</v>
      </c>
      <c r="L579">
        <v>0</v>
      </c>
      <c r="M579">
        <v>3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1</v>
      </c>
      <c r="AK579">
        <v>0</v>
      </c>
      <c r="AL579">
        <v>2</v>
      </c>
      <c r="AM579" s="1">
        <v>0</v>
      </c>
      <c r="AN579" s="1">
        <v>0</v>
      </c>
      <c r="AO579">
        <v>0</v>
      </c>
      <c r="AP579" s="1">
        <v>0</v>
      </c>
    </row>
    <row r="580" spans="1:42" x14ac:dyDescent="0.3">
      <c r="A580" t="s">
        <v>202</v>
      </c>
      <c r="B580" t="s">
        <v>236</v>
      </c>
      <c r="C580" s="4" t="s">
        <v>40</v>
      </c>
      <c r="D580">
        <v>53</v>
      </c>
      <c r="E580">
        <v>0</v>
      </c>
      <c r="F580">
        <v>6</v>
      </c>
      <c r="G580">
        <v>0</v>
      </c>
      <c r="H580">
        <v>3</v>
      </c>
      <c r="I580">
        <v>0</v>
      </c>
      <c r="J580">
        <v>2</v>
      </c>
      <c r="K580">
        <v>0</v>
      </c>
      <c r="L580">
        <v>0</v>
      </c>
      <c r="M580">
        <v>5</v>
      </c>
      <c r="N580">
        <v>0</v>
      </c>
      <c r="O580">
        <v>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>
        <v>0</v>
      </c>
      <c r="AJ580">
        <v>3</v>
      </c>
      <c r="AK580">
        <v>1</v>
      </c>
      <c r="AL580">
        <v>15</v>
      </c>
      <c r="AM580" s="1">
        <v>0</v>
      </c>
      <c r="AN580" s="1">
        <v>0</v>
      </c>
      <c r="AO580">
        <v>0</v>
      </c>
      <c r="AP580" s="1">
        <v>8</v>
      </c>
    </row>
    <row r="581" spans="1:42" x14ac:dyDescent="0.3">
      <c r="A581" t="s">
        <v>202</v>
      </c>
      <c r="B581" t="s">
        <v>236</v>
      </c>
      <c r="C581" s="4" t="s">
        <v>43</v>
      </c>
      <c r="D581">
        <v>38</v>
      </c>
      <c r="E581">
        <v>0</v>
      </c>
      <c r="F581">
        <v>2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3</v>
      </c>
      <c r="N581">
        <v>0</v>
      </c>
      <c r="O581">
        <v>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0</v>
      </c>
      <c r="AJ581">
        <v>3</v>
      </c>
      <c r="AK581">
        <v>1</v>
      </c>
      <c r="AL581">
        <v>14</v>
      </c>
      <c r="AM581" s="1">
        <v>0</v>
      </c>
      <c r="AN581" s="1">
        <v>0</v>
      </c>
      <c r="AO581">
        <v>0</v>
      </c>
      <c r="AP581" s="1">
        <v>6</v>
      </c>
    </row>
    <row r="582" spans="1:42" x14ac:dyDescent="0.3">
      <c r="A582" t="s">
        <v>202</v>
      </c>
      <c r="B582" t="s">
        <v>236</v>
      </c>
      <c r="C582" s="4" t="s">
        <v>44</v>
      </c>
      <c r="D582">
        <v>15</v>
      </c>
      <c r="E582">
        <v>0</v>
      </c>
      <c r="F582">
        <v>4</v>
      </c>
      <c r="G582">
        <v>0</v>
      </c>
      <c r="H582">
        <v>2</v>
      </c>
      <c r="I582">
        <v>0</v>
      </c>
      <c r="J582">
        <v>1</v>
      </c>
      <c r="K582">
        <v>0</v>
      </c>
      <c r="L582">
        <v>0</v>
      </c>
      <c r="M582">
        <v>2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 s="1">
        <v>0</v>
      </c>
      <c r="AN582" s="1">
        <v>0</v>
      </c>
      <c r="AO582">
        <v>0</v>
      </c>
      <c r="AP582" s="1">
        <v>2</v>
      </c>
    </row>
    <row r="583" spans="1:42" x14ac:dyDescent="0.3">
      <c r="A583" t="s">
        <v>202</v>
      </c>
      <c r="B583" t="s">
        <v>237</v>
      </c>
      <c r="C583" s="4" t="s">
        <v>40</v>
      </c>
      <c r="D583">
        <v>50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</v>
      </c>
      <c r="AG583">
        <v>1</v>
      </c>
      <c r="AH583">
        <v>0</v>
      </c>
      <c r="AI583">
        <v>0</v>
      </c>
      <c r="AJ583">
        <v>1</v>
      </c>
      <c r="AK583">
        <v>1</v>
      </c>
      <c r="AL583">
        <v>30</v>
      </c>
      <c r="AM583" s="1">
        <v>0</v>
      </c>
      <c r="AN583" s="1">
        <v>0</v>
      </c>
      <c r="AO583">
        <v>0</v>
      </c>
      <c r="AP583" s="1">
        <v>5</v>
      </c>
    </row>
    <row r="584" spans="1:42" x14ac:dyDescent="0.3">
      <c r="A584" t="s">
        <v>202</v>
      </c>
      <c r="B584" t="s">
        <v>237</v>
      </c>
      <c r="C584" s="4" t="s">
        <v>43</v>
      </c>
      <c r="D584">
        <v>40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26</v>
      </c>
      <c r="AM584" s="1">
        <v>0</v>
      </c>
      <c r="AN584" s="1">
        <v>0</v>
      </c>
      <c r="AO584">
        <v>0</v>
      </c>
      <c r="AP584" s="1">
        <v>5</v>
      </c>
    </row>
    <row r="585" spans="1:42" x14ac:dyDescent="0.3">
      <c r="A585" t="s">
        <v>202</v>
      </c>
      <c r="B585" t="s">
        <v>237</v>
      </c>
      <c r="C585" s="4" t="s">
        <v>44</v>
      </c>
      <c r="D585">
        <v>10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4</v>
      </c>
      <c r="AM585" s="1">
        <v>0</v>
      </c>
      <c r="AN585" s="1">
        <v>0</v>
      </c>
      <c r="AO585">
        <v>0</v>
      </c>
      <c r="AP585" s="1">
        <v>0</v>
      </c>
    </row>
    <row r="586" spans="1:42" x14ac:dyDescent="0.3">
      <c r="A586" t="s">
        <v>202</v>
      </c>
      <c r="B586" t="s">
        <v>238</v>
      </c>
      <c r="C586" s="4" t="s">
        <v>40</v>
      </c>
      <c r="D586">
        <v>36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23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3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4</v>
      </c>
      <c r="AM586" s="1">
        <v>0</v>
      </c>
      <c r="AN586" s="1">
        <v>0</v>
      </c>
      <c r="AO586">
        <v>0</v>
      </c>
      <c r="AP586" s="1">
        <v>2</v>
      </c>
    </row>
    <row r="587" spans="1:42" x14ac:dyDescent="0.3">
      <c r="A587" t="s">
        <v>202</v>
      </c>
      <c r="B587" t="s">
        <v>238</v>
      </c>
      <c r="C587" s="4" t="s">
        <v>43</v>
      </c>
      <c r="D587">
        <v>26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15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2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4</v>
      </c>
      <c r="AM587" s="1">
        <v>0</v>
      </c>
      <c r="AN587" s="1">
        <v>0</v>
      </c>
      <c r="AO587">
        <v>0</v>
      </c>
      <c r="AP587" s="1">
        <v>2</v>
      </c>
    </row>
    <row r="588" spans="1:42" x14ac:dyDescent="0.3">
      <c r="A588" t="s">
        <v>202</v>
      </c>
      <c r="B588" t="s">
        <v>238</v>
      </c>
      <c r="C588" s="4" t="s">
        <v>44</v>
      </c>
      <c r="D588">
        <v>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">
        <v>0</v>
      </c>
      <c r="AN588" s="1">
        <v>0</v>
      </c>
      <c r="AO588">
        <v>0</v>
      </c>
      <c r="AP588" s="1">
        <v>0</v>
      </c>
    </row>
    <row r="589" spans="1:42" x14ac:dyDescent="0.3">
      <c r="A589" t="s">
        <v>202</v>
      </c>
      <c r="B589" t="s">
        <v>239</v>
      </c>
      <c r="C589" s="4" t="s">
        <v>40</v>
      </c>
      <c r="D589">
        <v>32</v>
      </c>
      <c r="E589">
        <v>1</v>
      </c>
      <c r="F589">
        <v>0</v>
      </c>
      <c r="G589">
        <v>1</v>
      </c>
      <c r="H589">
        <v>5</v>
      </c>
      <c r="I589">
        <v>0</v>
      </c>
      <c r="J589">
        <v>2</v>
      </c>
      <c r="K589">
        <v>0</v>
      </c>
      <c r="L589">
        <v>0</v>
      </c>
      <c r="M589">
        <v>5</v>
      </c>
      <c r="N589">
        <v>0</v>
      </c>
      <c r="O589">
        <v>4</v>
      </c>
      <c r="P589">
        <v>0</v>
      </c>
      <c r="Q589">
        <v>0</v>
      </c>
      <c r="R589">
        <v>0</v>
      </c>
      <c r="S589">
        <v>2</v>
      </c>
      <c r="T589">
        <v>0</v>
      </c>
      <c r="U589">
        <v>4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2</v>
      </c>
      <c r="AL589">
        <v>1</v>
      </c>
      <c r="AM589" s="1">
        <v>0</v>
      </c>
      <c r="AN589" s="1">
        <v>0</v>
      </c>
      <c r="AO589">
        <v>0</v>
      </c>
      <c r="AP589" s="1">
        <v>2</v>
      </c>
    </row>
    <row r="590" spans="1:42" x14ac:dyDescent="0.3">
      <c r="A590" t="s">
        <v>202</v>
      </c>
      <c r="B590" t="s">
        <v>239</v>
      </c>
      <c r="C590" s="4" t="s">
        <v>43</v>
      </c>
      <c r="D590">
        <v>23</v>
      </c>
      <c r="E590">
        <v>1</v>
      </c>
      <c r="F590">
        <v>0</v>
      </c>
      <c r="G590">
        <v>1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0</v>
      </c>
      <c r="O590">
        <v>2</v>
      </c>
      <c r="P590">
        <v>0</v>
      </c>
      <c r="Q590">
        <v>0</v>
      </c>
      <c r="R590">
        <v>0</v>
      </c>
      <c r="S590">
        <v>2</v>
      </c>
      <c r="T590">
        <v>0</v>
      </c>
      <c r="U590">
        <v>4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1</v>
      </c>
      <c r="AK590">
        <v>2</v>
      </c>
      <c r="AL590">
        <v>1</v>
      </c>
      <c r="AM590" s="1">
        <v>0</v>
      </c>
      <c r="AN590" s="1">
        <v>0</v>
      </c>
      <c r="AO590">
        <v>0</v>
      </c>
      <c r="AP590" s="1">
        <v>1</v>
      </c>
    </row>
    <row r="591" spans="1:42" x14ac:dyDescent="0.3">
      <c r="A591" t="s">
        <v>202</v>
      </c>
      <c r="B591" t="s">
        <v>239</v>
      </c>
      <c r="C591" s="4" t="s">
        <v>44</v>
      </c>
      <c r="D591">
        <v>9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2</v>
      </c>
      <c r="K591">
        <v>0</v>
      </c>
      <c r="L591">
        <v>0</v>
      </c>
      <c r="M591">
        <v>3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">
        <v>0</v>
      </c>
      <c r="AN591" s="1">
        <v>0</v>
      </c>
      <c r="AO591">
        <v>0</v>
      </c>
      <c r="AP591" s="1">
        <v>1</v>
      </c>
    </row>
    <row r="592" spans="1:42" x14ac:dyDescent="0.3">
      <c r="A592" t="s">
        <v>202</v>
      </c>
      <c r="B592" t="s">
        <v>240</v>
      </c>
      <c r="C592" s="4" t="s">
        <v>40</v>
      </c>
      <c r="D592">
        <v>29</v>
      </c>
      <c r="E592">
        <v>0</v>
      </c>
      <c r="F592">
        <v>1</v>
      </c>
      <c r="G592">
        <v>0</v>
      </c>
      <c r="H592">
        <v>5</v>
      </c>
      <c r="I592">
        <v>0</v>
      </c>
      <c r="J592">
        <v>1</v>
      </c>
      <c r="K592">
        <v>0</v>
      </c>
      <c r="L592">
        <v>0</v>
      </c>
      <c r="M592">
        <v>9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1</v>
      </c>
      <c r="AK592">
        <v>1</v>
      </c>
      <c r="AL592">
        <v>6</v>
      </c>
      <c r="AM592" s="1">
        <v>0</v>
      </c>
      <c r="AN592" s="1">
        <v>0</v>
      </c>
      <c r="AO592">
        <v>0</v>
      </c>
      <c r="AP592" s="1">
        <v>0</v>
      </c>
    </row>
    <row r="593" spans="1:42" x14ac:dyDescent="0.3">
      <c r="A593" t="s">
        <v>202</v>
      </c>
      <c r="B593" t="s">
        <v>240</v>
      </c>
      <c r="C593" s="4" t="s">
        <v>43</v>
      </c>
      <c r="D593">
        <v>8</v>
      </c>
      <c r="E593">
        <v>0</v>
      </c>
      <c r="F593">
        <v>0</v>
      </c>
      <c r="G593">
        <v>0</v>
      </c>
      <c r="H593">
        <v>4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1</v>
      </c>
      <c r="AK593">
        <v>0</v>
      </c>
      <c r="AL593">
        <v>0</v>
      </c>
      <c r="AM593" s="1">
        <v>0</v>
      </c>
      <c r="AN593" s="1">
        <v>0</v>
      </c>
      <c r="AO593">
        <v>0</v>
      </c>
      <c r="AP593" s="1">
        <v>0</v>
      </c>
    </row>
    <row r="594" spans="1:42" x14ac:dyDescent="0.3">
      <c r="A594" t="s">
        <v>202</v>
      </c>
      <c r="B594" t="s">
        <v>240</v>
      </c>
      <c r="C594" s="4" t="s">
        <v>44</v>
      </c>
      <c r="D594">
        <v>21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8</v>
      </c>
      <c r="N594">
        <v>0</v>
      </c>
      <c r="O594">
        <v>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6</v>
      </c>
      <c r="AM594" s="1">
        <v>0</v>
      </c>
      <c r="AN594" s="1">
        <v>0</v>
      </c>
      <c r="AO594">
        <v>0</v>
      </c>
      <c r="AP594" s="1">
        <v>0</v>
      </c>
    </row>
    <row r="595" spans="1:42" x14ac:dyDescent="0.3">
      <c r="A595" t="s">
        <v>202</v>
      </c>
      <c r="B595" t="s">
        <v>241</v>
      </c>
      <c r="C595" s="4" t="s">
        <v>40</v>
      </c>
      <c r="D595">
        <v>25</v>
      </c>
      <c r="E595">
        <v>0</v>
      </c>
      <c r="F595">
        <v>0</v>
      </c>
      <c r="G595">
        <v>1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7</v>
      </c>
      <c r="N595">
        <v>0</v>
      </c>
      <c r="O595">
        <v>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</v>
      </c>
      <c r="AH595">
        <v>0</v>
      </c>
      <c r="AI595">
        <v>0</v>
      </c>
      <c r="AJ595">
        <v>0</v>
      </c>
      <c r="AK595">
        <v>0</v>
      </c>
      <c r="AL595">
        <v>6</v>
      </c>
      <c r="AM595" s="1">
        <v>0</v>
      </c>
      <c r="AN595" s="1">
        <v>0</v>
      </c>
      <c r="AO595">
        <v>0</v>
      </c>
      <c r="AP595" s="1">
        <v>0</v>
      </c>
    </row>
    <row r="596" spans="1:42" x14ac:dyDescent="0.3">
      <c r="A596" t="s">
        <v>202</v>
      </c>
      <c r="B596" t="s">
        <v>241</v>
      </c>
      <c r="C596" s="4" t="s">
        <v>43</v>
      </c>
      <c r="D596">
        <v>23</v>
      </c>
      <c r="E596">
        <v>0</v>
      </c>
      <c r="F596">
        <v>0</v>
      </c>
      <c r="G596">
        <v>1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6</v>
      </c>
      <c r="N596">
        <v>0</v>
      </c>
      <c r="O596">
        <v>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</v>
      </c>
      <c r="AH596">
        <v>0</v>
      </c>
      <c r="AI596">
        <v>0</v>
      </c>
      <c r="AJ596">
        <v>0</v>
      </c>
      <c r="AK596">
        <v>0</v>
      </c>
      <c r="AL596">
        <v>5</v>
      </c>
      <c r="AM596" s="1">
        <v>0</v>
      </c>
      <c r="AN596" s="1">
        <v>0</v>
      </c>
      <c r="AO596">
        <v>0</v>
      </c>
      <c r="AP596" s="1">
        <v>0</v>
      </c>
    </row>
    <row r="597" spans="1:42" x14ac:dyDescent="0.3">
      <c r="A597" t="s">
        <v>202</v>
      </c>
      <c r="B597" t="s">
        <v>241</v>
      </c>
      <c r="C597" s="4" t="s">
        <v>44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 s="1">
        <v>0</v>
      </c>
      <c r="AN597" s="1">
        <v>0</v>
      </c>
      <c r="AO597">
        <v>0</v>
      </c>
      <c r="AP597" s="1">
        <v>0</v>
      </c>
    </row>
    <row r="598" spans="1:42" x14ac:dyDescent="0.3">
      <c r="A598" t="s">
        <v>202</v>
      </c>
      <c r="B598" t="s">
        <v>242</v>
      </c>
      <c r="C598" s="4" t="s">
        <v>40</v>
      </c>
      <c r="D598">
        <v>25</v>
      </c>
      <c r="E598">
        <v>5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8</v>
      </c>
      <c r="AH598">
        <v>2</v>
      </c>
      <c r="AI598">
        <v>0</v>
      </c>
      <c r="AJ598">
        <v>1</v>
      </c>
      <c r="AK598">
        <v>0</v>
      </c>
      <c r="AL598">
        <v>1</v>
      </c>
      <c r="AM598" s="1">
        <v>0</v>
      </c>
      <c r="AN598" s="1">
        <v>0</v>
      </c>
      <c r="AO598">
        <v>0</v>
      </c>
      <c r="AP598" s="1">
        <v>1</v>
      </c>
    </row>
    <row r="599" spans="1:42" x14ac:dyDescent="0.3">
      <c r="A599" t="s">
        <v>202</v>
      </c>
      <c r="B599" t="s">
        <v>242</v>
      </c>
      <c r="C599" s="4" t="s">
        <v>43</v>
      </c>
      <c r="D599">
        <v>16</v>
      </c>
      <c r="E599">
        <v>4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</v>
      </c>
      <c r="AH599">
        <v>0</v>
      </c>
      <c r="AI599">
        <v>0</v>
      </c>
      <c r="AJ599">
        <v>1</v>
      </c>
      <c r="AK599">
        <v>0</v>
      </c>
      <c r="AL599">
        <v>1</v>
      </c>
      <c r="AM599" s="1">
        <v>0</v>
      </c>
      <c r="AN599" s="1">
        <v>0</v>
      </c>
      <c r="AO599">
        <v>0</v>
      </c>
      <c r="AP599" s="1">
        <v>1</v>
      </c>
    </row>
    <row r="600" spans="1:42" x14ac:dyDescent="0.3">
      <c r="A600" t="s">
        <v>202</v>
      </c>
      <c r="B600" t="s">
        <v>242</v>
      </c>
      <c r="C600" s="4" t="s">
        <v>44</v>
      </c>
      <c r="D600">
        <v>9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</v>
      </c>
      <c r="AH600">
        <v>2</v>
      </c>
      <c r="AI600">
        <v>0</v>
      </c>
      <c r="AJ600">
        <v>0</v>
      </c>
      <c r="AK600">
        <v>0</v>
      </c>
      <c r="AL600">
        <v>0</v>
      </c>
      <c r="AM600" s="1">
        <v>0</v>
      </c>
      <c r="AN600" s="1">
        <v>0</v>
      </c>
      <c r="AO600">
        <v>0</v>
      </c>
      <c r="AP600" s="1">
        <v>0</v>
      </c>
    </row>
    <row r="601" spans="1:42" x14ac:dyDescent="0.3">
      <c r="A601" t="s">
        <v>202</v>
      </c>
      <c r="B601" t="s">
        <v>243</v>
      </c>
      <c r="C601" s="4" t="s">
        <v>40</v>
      </c>
      <c r="D601">
        <v>23</v>
      </c>
      <c r="E601">
        <v>2</v>
      </c>
      <c r="F601">
        <v>0</v>
      </c>
      <c r="G601">
        <v>0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</v>
      </c>
      <c r="AJ601">
        <v>0</v>
      </c>
      <c r="AK601">
        <v>0</v>
      </c>
      <c r="AL601">
        <v>10</v>
      </c>
      <c r="AM601" s="1">
        <v>0</v>
      </c>
      <c r="AN601" s="1">
        <v>0</v>
      </c>
      <c r="AO601">
        <v>0</v>
      </c>
      <c r="AP601" s="1">
        <v>0</v>
      </c>
    </row>
    <row r="602" spans="1:42" x14ac:dyDescent="0.3">
      <c r="A602" t="s">
        <v>202</v>
      </c>
      <c r="B602" t="s">
        <v>243</v>
      </c>
      <c r="C602" s="4" t="s">
        <v>43</v>
      </c>
      <c r="D602">
        <v>12</v>
      </c>
      <c r="E602">
        <v>2</v>
      </c>
      <c r="F602">
        <v>0</v>
      </c>
      <c r="G602">
        <v>0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4</v>
      </c>
      <c r="AM602" s="1">
        <v>0</v>
      </c>
      <c r="AN602" s="1">
        <v>0</v>
      </c>
      <c r="AO602">
        <v>0</v>
      </c>
      <c r="AP602" s="1">
        <v>0</v>
      </c>
    </row>
    <row r="603" spans="1:42" x14ac:dyDescent="0.3">
      <c r="A603" t="s">
        <v>202</v>
      </c>
      <c r="B603" t="s">
        <v>243</v>
      </c>
      <c r="C603" s="4" t="s">
        <v>44</v>
      </c>
      <c r="D603">
        <v>11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6</v>
      </c>
      <c r="AM603" s="1">
        <v>0</v>
      </c>
      <c r="AN603" s="1">
        <v>0</v>
      </c>
      <c r="AO603">
        <v>0</v>
      </c>
      <c r="AP603" s="1">
        <v>0</v>
      </c>
    </row>
    <row r="604" spans="1:42" x14ac:dyDescent="0.3">
      <c r="A604" t="s">
        <v>202</v>
      </c>
      <c r="B604" t="s">
        <v>244</v>
      </c>
      <c r="C604" s="4" t="s">
        <v>40</v>
      </c>
      <c r="D604">
        <v>21</v>
      </c>
      <c r="E604">
        <v>2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10</v>
      </c>
      <c r="N604">
        <v>0</v>
      </c>
      <c r="O604">
        <v>4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 s="1">
        <v>0</v>
      </c>
      <c r="AN604" s="1">
        <v>0</v>
      </c>
      <c r="AO604">
        <v>0</v>
      </c>
      <c r="AP604" s="1">
        <v>0</v>
      </c>
    </row>
    <row r="605" spans="1:42" x14ac:dyDescent="0.3">
      <c r="A605" t="s">
        <v>202</v>
      </c>
      <c r="B605" t="s">
        <v>244</v>
      </c>
      <c r="C605" s="4" t="s">
        <v>43</v>
      </c>
      <c r="D605">
        <v>13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7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1</v>
      </c>
      <c r="AM605" s="1">
        <v>0</v>
      </c>
      <c r="AN605" s="1">
        <v>0</v>
      </c>
      <c r="AO605">
        <v>0</v>
      </c>
      <c r="AP605" s="1">
        <v>0</v>
      </c>
    </row>
    <row r="606" spans="1:42" x14ac:dyDescent="0.3">
      <c r="A606" t="s">
        <v>202</v>
      </c>
      <c r="B606" t="s">
        <v>244</v>
      </c>
      <c r="C606" s="4" t="s">
        <v>44</v>
      </c>
      <c r="D606">
        <v>8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3</v>
      </c>
      <c r="N606">
        <v>0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1">
        <v>0</v>
      </c>
      <c r="AN606" s="1">
        <v>0</v>
      </c>
      <c r="AO606">
        <v>0</v>
      </c>
      <c r="AP606" s="1">
        <v>0</v>
      </c>
    </row>
    <row r="607" spans="1:42" x14ac:dyDescent="0.3">
      <c r="A607" t="s">
        <v>202</v>
      </c>
      <c r="B607" t="s">
        <v>245</v>
      </c>
      <c r="C607" s="4" t="s">
        <v>40</v>
      </c>
      <c r="D607">
        <v>18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4</v>
      </c>
      <c r="N607">
        <v>0</v>
      </c>
      <c r="O607">
        <v>2</v>
      </c>
      <c r="P607">
        <v>0</v>
      </c>
      <c r="Q607">
        <v>4</v>
      </c>
      <c r="R607">
        <v>0</v>
      </c>
      <c r="S607">
        <v>0</v>
      </c>
      <c r="T607">
        <v>0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</v>
      </c>
      <c r="AM607" s="1">
        <v>0</v>
      </c>
      <c r="AN607" s="1">
        <v>0</v>
      </c>
      <c r="AO607">
        <v>0</v>
      </c>
      <c r="AP607" s="1">
        <v>0</v>
      </c>
    </row>
    <row r="608" spans="1:42" x14ac:dyDescent="0.3">
      <c r="A608" t="s">
        <v>202</v>
      </c>
      <c r="B608" t="s">
        <v>245</v>
      </c>
      <c r="C608" s="4" t="s">
        <v>43</v>
      </c>
      <c r="D608">
        <v>12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4</v>
      </c>
      <c r="N608">
        <v>0</v>
      </c>
      <c r="O608">
        <v>0</v>
      </c>
      <c r="P608">
        <v>0</v>
      </c>
      <c r="Q608">
        <v>4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 s="1">
        <v>0</v>
      </c>
      <c r="AN608" s="1">
        <v>0</v>
      </c>
      <c r="AO608">
        <v>0</v>
      </c>
      <c r="AP608" s="1">
        <v>0</v>
      </c>
    </row>
    <row r="609" spans="1:42" x14ac:dyDescent="0.3">
      <c r="A609" t="s">
        <v>202</v>
      </c>
      <c r="B609" t="s">
        <v>245</v>
      </c>
      <c r="C609" s="4" t="s">
        <v>44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</v>
      </c>
      <c r="AM609" s="1">
        <v>0</v>
      </c>
      <c r="AN609" s="1">
        <v>0</v>
      </c>
      <c r="AO609">
        <v>0</v>
      </c>
      <c r="AP609" s="1">
        <v>0</v>
      </c>
    </row>
    <row r="610" spans="1:42" x14ac:dyDescent="0.3">
      <c r="A610" t="s">
        <v>202</v>
      </c>
      <c r="B610" t="s">
        <v>246</v>
      </c>
      <c r="C610" s="4" t="s">
        <v>40</v>
      </c>
      <c r="D610">
        <v>18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2</v>
      </c>
      <c r="K610">
        <v>0</v>
      </c>
      <c r="L610">
        <v>0</v>
      </c>
      <c r="M610">
        <v>3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0</v>
      </c>
      <c r="AJ610">
        <v>0</v>
      </c>
      <c r="AK610">
        <v>3</v>
      </c>
      <c r="AL610">
        <v>3</v>
      </c>
      <c r="AM610" s="1">
        <v>0</v>
      </c>
      <c r="AN610" s="1">
        <v>0</v>
      </c>
      <c r="AO610">
        <v>0</v>
      </c>
      <c r="AP610" s="1">
        <v>1</v>
      </c>
    </row>
    <row r="611" spans="1:42" x14ac:dyDescent="0.3">
      <c r="A611" t="s">
        <v>202</v>
      </c>
      <c r="B611" t="s">
        <v>246</v>
      </c>
      <c r="C611" s="4" t="s">
        <v>43</v>
      </c>
      <c r="D611">
        <v>12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2</v>
      </c>
      <c r="K611">
        <v>0</v>
      </c>
      <c r="L611">
        <v>0</v>
      </c>
      <c r="M611">
        <v>1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3</v>
      </c>
      <c r="AM611" s="1">
        <v>0</v>
      </c>
      <c r="AN611" s="1">
        <v>0</v>
      </c>
      <c r="AO611">
        <v>0</v>
      </c>
      <c r="AP611" s="1">
        <v>1</v>
      </c>
    </row>
    <row r="612" spans="1:42" x14ac:dyDescent="0.3">
      <c r="A612" t="s">
        <v>202</v>
      </c>
      <c r="B612" t="s">
        <v>246</v>
      </c>
      <c r="C612" s="4" t="s">
        <v>44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2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 s="1">
        <v>0</v>
      </c>
      <c r="AN612" s="1">
        <v>0</v>
      </c>
      <c r="AO612">
        <v>0</v>
      </c>
      <c r="AP612" s="1">
        <v>0</v>
      </c>
    </row>
    <row r="613" spans="1:42" x14ac:dyDescent="0.3">
      <c r="A613" t="s">
        <v>202</v>
      </c>
      <c r="B613" t="s">
        <v>247</v>
      </c>
      <c r="C613" s="4" t="s">
        <v>40</v>
      </c>
      <c r="D613">
        <v>15</v>
      </c>
      <c r="E613">
        <v>1</v>
      </c>
      <c r="F613">
        <v>1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</v>
      </c>
      <c r="AM613" s="1">
        <v>0</v>
      </c>
      <c r="AN613" s="1">
        <v>0</v>
      </c>
      <c r="AO613">
        <v>0</v>
      </c>
      <c r="AP613" s="1">
        <v>5</v>
      </c>
    </row>
    <row r="614" spans="1:42" x14ac:dyDescent="0.3">
      <c r="A614" t="s">
        <v>202</v>
      </c>
      <c r="B614" t="s">
        <v>247</v>
      </c>
      <c r="C614" s="4" t="s">
        <v>43</v>
      </c>
      <c r="D614">
        <v>11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4</v>
      </c>
      <c r="AM614" s="1">
        <v>0</v>
      </c>
      <c r="AN614" s="1">
        <v>0</v>
      </c>
      <c r="AO614">
        <v>0</v>
      </c>
      <c r="AP614" s="1">
        <v>4</v>
      </c>
    </row>
    <row r="615" spans="1:42" x14ac:dyDescent="0.3">
      <c r="A615" t="s">
        <v>202</v>
      </c>
      <c r="B615" t="s">
        <v>247</v>
      </c>
      <c r="C615" s="4" t="s">
        <v>44</v>
      </c>
      <c r="D615">
        <v>4</v>
      </c>
      <c r="E615">
        <v>1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1">
        <v>0</v>
      </c>
      <c r="AN615" s="1">
        <v>0</v>
      </c>
      <c r="AO615">
        <v>0</v>
      </c>
      <c r="AP615" s="1">
        <v>1</v>
      </c>
    </row>
    <row r="616" spans="1:42" x14ac:dyDescent="0.3">
      <c r="A616" t="s">
        <v>202</v>
      </c>
      <c r="B616" t="s">
        <v>248</v>
      </c>
      <c r="C616" s="4" t="s">
        <v>40</v>
      </c>
      <c r="D616">
        <v>13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</v>
      </c>
      <c r="N616">
        <v>0</v>
      </c>
      <c r="O616">
        <v>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</v>
      </c>
      <c r="AM616" s="1">
        <v>0</v>
      </c>
      <c r="AN616" s="1">
        <v>0</v>
      </c>
      <c r="AO616">
        <v>0</v>
      </c>
      <c r="AP616" s="1">
        <v>1</v>
      </c>
    </row>
    <row r="617" spans="1:42" x14ac:dyDescent="0.3">
      <c r="A617" t="s">
        <v>202</v>
      </c>
      <c r="B617" t="s">
        <v>248</v>
      </c>
      <c r="C617" s="4" t="s">
        <v>43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0</v>
      </c>
      <c r="AM617" s="1">
        <v>0</v>
      </c>
      <c r="AN617" s="1">
        <v>0</v>
      </c>
      <c r="AO617">
        <v>0</v>
      </c>
      <c r="AP617" s="1">
        <v>1</v>
      </c>
    </row>
    <row r="618" spans="1:42" x14ac:dyDescent="0.3">
      <c r="A618" t="s">
        <v>202</v>
      </c>
      <c r="B618" t="s">
        <v>248</v>
      </c>
      <c r="C618" s="4" t="s">
        <v>44</v>
      </c>
      <c r="D618">
        <v>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1">
        <v>0</v>
      </c>
      <c r="AN618" s="1">
        <v>0</v>
      </c>
      <c r="AO618">
        <v>0</v>
      </c>
      <c r="AP618" s="1">
        <v>0</v>
      </c>
    </row>
    <row r="619" spans="1:42" x14ac:dyDescent="0.3">
      <c r="A619" t="s">
        <v>202</v>
      </c>
      <c r="B619" t="s">
        <v>249</v>
      </c>
      <c r="C619" s="4" t="s">
        <v>40</v>
      </c>
      <c r="D619">
        <v>10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7</v>
      </c>
      <c r="AH619">
        <v>0</v>
      </c>
      <c r="AI619">
        <v>0</v>
      </c>
      <c r="AJ619">
        <v>0</v>
      </c>
      <c r="AK619">
        <v>1</v>
      </c>
      <c r="AL619">
        <v>0</v>
      </c>
      <c r="AM619" s="1">
        <v>0</v>
      </c>
      <c r="AN619" s="1">
        <v>0</v>
      </c>
      <c r="AO619">
        <v>0</v>
      </c>
      <c r="AP619" s="1">
        <v>0</v>
      </c>
    </row>
    <row r="620" spans="1:42" x14ac:dyDescent="0.3">
      <c r="A620" t="s">
        <v>202</v>
      </c>
      <c r="B620" t="s">
        <v>249</v>
      </c>
      <c r="C620" s="4" t="s">
        <v>43</v>
      </c>
      <c r="D620">
        <v>6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</v>
      </c>
      <c r="AH620">
        <v>0</v>
      </c>
      <c r="AI620">
        <v>0</v>
      </c>
      <c r="AJ620">
        <v>0</v>
      </c>
      <c r="AK620">
        <v>0</v>
      </c>
      <c r="AL620">
        <v>0</v>
      </c>
      <c r="AM620" s="1">
        <v>0</v>
      </c>
      <c r="AN620" s="1">
        <v>0</v>
      </c>
      <c r="AO620">
        <v>0</v>
      </c>
      <c r="AP620" s="1">
        <v>0</v>
      </c>
    </row>
    <row r="621" spans="1:42" x14ac:dyDescent="0.3">
      <c r="A621" t="s">
        <v>202</v>
      </c>
      <c r="B621" t="s">
        <v>249</v>
      </c>
      <c r="C621" s="4" t="s">
        <v>44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</v>
      </c>
      <c r="AH621">
        <v>0</v>
      </c>
      <c r="AI621">
        <v>0</v>
      </c>
      <c r="AJ621">
        <v>0</v>
      </c>
      <c r="AK621">
        <v>1</v>
      </c>
      <c r="AL621">
        <v>0</v>
      </c>
      <c r="AM621" s="1">
        <v>0</v>
      </c>
      <c r="AN621" s="1">
        <v>0</v>
      </c>
      <c r="AO621">
        <v>0</v>
      </c>
      <c r="AP621" s="1">
        <v>0</v>
      </c>
    </row>
    <row r="622" spans="1:42" x14ac:dyDescent="0.3">
      <c r="A622" t="s">
        <v>202</v>
      </c>
      <c r="B622" t="s">
        <v>250</v>
      </c>
      <c r="C622" s="4" t="s">
        <v>40</v>
      </c>
      <c r="D622">
        <v>7</v>
      </c>
      <c r="E622">
        <v>2</v>
      </c>
      <c r="F622">
        <v>0</v>
      </c>
      <c r="G622">
        <v>0</v>
      </c>
      <c r="H622">
        <v>3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1">
        <v>0</v>
      </c>
      <c r="AN622" s="1">
        <v>0</v>
      </c>
      <c r="AO622">
        <v>0</v>
      </c>
      <c r="AP622" s="1">
        <v>0</v>
      </c>
    </row>
    <row r="623" spans="1:42" x14ac:dyDescent="0.3">
      <c r="A623" t="s">
        <v>202</v>
      </c>
      <c r="B623" t="s">
        <v>250</v>
      </c>
      <c r="C623" s="4" t="s">
        <v>43</v>
      </c>
      <c r="D623">
        <v>5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1">
        <v>0</v>
      </c>
      <c r="AN623" s="1">
        <v>0</v>
      </c>
      <c r="AO623">
        <v>0</v>
      </c>
      <c r="AP623" s="1">
        <v>0</v>
      </c>
    </row>
    <row r="624" spans="1:42" x14ac:dyDescent="0.3">
      <c r="A624" t="s">
        <v>202</v>
      </c>
      <c r="B624" t="s">
        <v>250</v>
      </c>
      <c r="C624" s="4" t="s">
        <v>44</v>
      </c>
      <c r="D624">
        <v>2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1">
        <v>0</v>
      </c>
      <c r="AN624" s="1">
        <v>0</v>
      </c>
      <c r="AO624">
        <v>0</v>
      </c>
      <c r="AP624" s="1">
        <v>0</v>
      </c>
    </row>
    <row r="625" spans="1:42" x14ac:dyDescent="0.3">
      <c r="A625" t="s">
        <v>202</v>
      </c>
      <c r="B625" t="s">
        <v>251</v>
      </c>
      <c r="C625" s="4" t="s">
        <v>40</v>
      </c>
      <c r="D625">
        <v>6</v>
      </c>
      <c r="E625">
        <v>2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3</v>
      </c>
      <c r="AM625" s="1">
        <v>0</v>
      </c>
      <c r="AN625" s="1">
        <v>0</v>
      </c>
      <c r="AO625">
        <v>0</v>
      </c>
      <c r="AP625" s="1">
        <v>0</v>
      </c>
    </row>
    <row r="626" spans="1:42" x14ac:dyDescent="0.3">
      <c r="A626" t="s">
        <v>202</v>
      </c>
      <c r="B626" t="s">
        <v>251</v>
      </c>
      <c r="C626" s="4" t="s">
        <v>43</v>
      </c>
      <c r="D626">
        <v>4</v>
      </c>
      <c r="E626">
        <v>2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 s="1">
        <v>0</v>
      </c>
      <c r="AN626" s="1">
        <v>0</v>
      </c>
      <c r="AO626">
        <v>0</v>
      </c>
      <c r="AP626" s="1">
        <v>0</v>
      </c>
    </row>
    <row r="627" spans="1:42" x14ac:dyDescent="0.3">
      <c r="A627" t="s">
        <v>202</v>
      </c>
      <c r="B627" t="s">
        <v>251</v>
      </c>
      <c r="C627" s="4" t="s">
        <v>44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</v>
      </c>
      <c r="AM627" s="1">
        <v>0</v>
      </c>
      <c r="AN627" s="1">
        <v>0</v>
      </c>
      <c r="AO627">
        <v>0</v>
      </c>
      <c r="AP627" s="1">
        <v>0</v>
      </c>
    </row>
    <row r="628" spans="1:42" x14ac:dyDescent="0.3">
      <c r="A628" t="s">
        <v>202</v>
      </c>
      <c r="B628" t="s">
        <v>252</v>
      </c>
      <c r="C628" s="4" t="s">
        <v>40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1</v>
      </c>
      <c r="AL628">
        <v>0</v>
      </c>
      <c r="AM628" s="1">
        <v>0</v>
      </c>
      <c r="AN628" s="1">
        <v>0</v>
      </c>
      <c r="AO628">
        <v>0</v>
      </c>
      <c r="AP628" s="1">
        <v>0</v>
      </c>
    </row>
    <row r="629" spans="1:42" x14ac:dyDescent="0.3">
      <c r="A629" t="s">
        <v>202</v>
      </c>
      <c r="B629" t="s">
        <v>252</v>
      </c>
      <c r="C629" s="4" t="s">
        <v>43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1</v>
      </c>
      <c r="AL629">
        <v>0</v>
      </c>
      <c r="AM629" s="1">
        <v>0</v>
      </c>
      <c r="AN629" s="1">
        <v>0</v>
      </c>
      <c r="AO629">
        <v>0</v>
      </c>
      <c r="AP629" s="1">
        <v>0</v>
      </c>
    </row>
    <row r="630" spans="1:42" x14ac:dyDescent="0.3">
      <c r="A630" t="s">
        <v>202</v>
      </c>
      <c r="B630" t="s">
        <v>252</v>
      </c>
      <c r="C630" s="4" t="s">
        <v>44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1">
        <v>0</v>
      </c>
      <c r="AN630" s="1">
        <v>0</v>
      </c>
      <c r="AO630">
        <v>0</v>
      </c>
      <c r="AP630" s="1">
        <v>0</v>
      </c>
    </row>
    <row r="631" spans="1:42" x14ac:dyDescent="0.3">
      <c r="A631" t="s">
        <v>202</v>
      </c>
      <c r="B631" t="s">
        <v>253</v>
      </c>
      <c r="C631" s="4" t="s">
        <v>40</v>
      </c>
      <c r="D631">
        <v>4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1">
        <v>0</v>
      </c>
      <c r="AN631" s="1">
        <v>0</v>
      </c>
      <c r="AO631">
        <v>0</v>
      </c>
      <c r="AP631" s="1">
        <v>0</v>
      </c>
    </row>
    <row r="632" spans="1:42" x14ac:dyDescent="0.3">
      <c r="A632" t="s">
        <v>202</v>
      </c>
      <c r="B632" t="s">
        <v>253</v>
      </c>
      <c r="C632" s="4" t="s">
        <v>43</v>
      </c>
      <c r="D632">
        <v>2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1">
        <v>0</v>
      </c>
      <c r="AN632" s="1">
        <v>0</v>
      </c>
      <c r="AO632">
        <v>0</v>
      </c>
      <c r="AP632" s="1">
        <v>0</v>
      </c>
    </row>
    <row r="633" spans="1:42" x14ac:dyDescent="0.3">
      <c r="A633" t="s">
        <v>202</v>
      </c>
      <c r="B633" t="s">
        <v>253</v>
      </c>
      <c r="C633" s="4" t="s">
        <v>44</v>
      </c>
      <c r="D633">
        <v>2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1">
        <v>0</v>
      </c>
      <c r="AN633" s="1">
        <v>0</v>
      </c>
      <c r="AO633">
        <v>0</v>
      </c>
      <c r="AP633" s="1">
        <v>0</v>
      </c>
    </row>
    <row r="634" spans="1:42" x14ac:dyDescent="0.3">
      <c r="A634" t="s">
        <v>202</v>
      </c>
      <c r="B634" t="s">
        <v>254</v>
      </c>
      <c r="C634" s="4" t="s">
        <v>40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</v>
      </c>
      <c r="AM634" s="1">
        <v>0</v>
      </c>
      <c r="AN634" s="1">
        <v>0</v>
      </c>
      <c r="AO634">
        <v>0</v>
      </c>
      <c r="AP634" s="1">
        <v>0</v>
      </c>
    </row>
    <row r="635" spans="1:42" x14ac:dyDescent="0.3">
      <c r="A635" t="s">
        <v>202</v>
      </c>
      <c r="B635" t="s">
        <v>254</v>
      </c>
      <c r="C635" s="4" t="s">
        <v>43</v>
      </c>
      <c r="D635">
        <v>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 s="1">
        <v>0</v>
      </c>
      <c r="AN635" s="1">
        <v>0</v>
      </c>
      <c r="AO635">
        <v>0</v>
      </c>
      <c r="AP635" s="1">
        <v>0</v>
      </c>
    </row>
    <row r="636" spans="1:42" x14ac:dyDescent="0.3">
      <c r="A636" t="s">
        <v>202</v>
      </c>
      <c r="B636" t="s">
        <v>254</v>
      </c>
      <c r="C636" s="4" t="s">
        <v>44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 s="1">
        <v>0</v>
      </c>
      <c r="AN636" s="1">
        <v>0</v>
      </c>
      <c r="AO636">
        <v>0</v>
      </c>
      <c r="AP636" s="1">
        <v>0</v>
      </c>
    </row>
    <row r="637" spans="1:42" x14ac:dyDescent="0.3">
      <c r="A637" t="s">
        <v>202</v>
      </c>
      <c r="B637" t="s">
        <v>255</v>
      </c>
      <c r="C637" s="4" t="s">
        <v>40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1">
        <v>0</v>
      </c>
      <c r="AN637" s="1">
        <v>0</v>
      </c>
      <c r="AO637">
        <v>0</v>
      </c>
      <c r="AP637" s="1">
        <v>0</v>
      </c>
    </row>
    <row r="638" spans="1:42" x14ac:dyDescent="0.3">
      <c r="A638" t="s">
        <v>202</v>
      </c>
      <c r="B638" t="s">
        <v>255</v>
      </c>
      <c r="C638" s="4" t="s">
        <v>44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1">
        <v>0</v>
      </c>
      <c r="AN638" s="1">
        <v>0</v>
      </c>
      <c r="AO638">
        <v>0</v>
      </c>
      <c r="AP638" s="1">
        <v>0</v>
      </c>
    </row>
    <row r="639" spans="1:42" x14ac:dyDescent="0.3">
      <c r="A639" t="s">
        <v>202</v>
      </c>
      <c r="B639" t="s">
        <v>256</v>
      </c>
      <c r="C639" s="4" t="s">
        <v>40</v>
      </c>
      <c r="D639">
        <v>2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1">
        <v>0</v>
      </c>
      <c r="AN639" s="1">
        <v>0</v>
      </c>
      <c r="AO639">
        <v>0</v>
      </c>
      <c r="AP639" s="1">
        <v>0</v>
      </c>
    </row>
    <row r="640" spans="1:42" x14ac:dyDescent="0.3">
      <c r="A640" t="s">
        <v>202</v>
      </c>
      <c r="B640" t="s">
        <v>256</v>
      </c>
      <c r="C640" s="4" t="s">
        <v>43</v>
      </c>
      <c r="D640">
        <v>2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1">
        <v>0</v>
      </c>
      <c r="AN640" s="1">
        <v>0</v>
      </c>
      <c r="AO640">
        <v>0</v>
      </c>
      <c r="AP640" s="1">
        <v>0</v>
      </c>
    </row>
    <row r="641" spans="1:42" x14ac:dyDescent="0.3">
      <c r="A641" t="s">
        <v>257</v>
      </c>
      <c r="B641" t="s">
        <v>40</v>
      </c>
      <c r="C641" s="4" t="s">
        <v>40</v>
      </c>
      <c r="D641">
        <v>283</v>
      </c>
      <c r="E641">
        <v>2</v>
      </c>
      <c r="F641">
        <v>41</v>
      </c>
      <c r="G641">
        <v>0</v>
      </c>
      <c r="H641">
        <v>15</v>
      </c>
      <c r="I641">
        <v>0</v>
      </c>
      <c r="J641">
        <v>33</v>
      </c>
      <c r="K641">
        <v>0</v>
      </c>
      <c r="L641">
        <v>0</v>
      </c>
      <c r="M641">
        <v>5</v>
      </c>
      <c r="N641">
        <v>0</v>
      </c>
      <c r="O641">
        <v>7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88</v>
      </c>
      <c r="AG641">
        <v>26</v>
      </c>
      <c r="AH641">
        <v>9</v>
      </c>
      <c r="AI641">
        <v>17</v>
      </c>
      <c r="AJ641">
        <v>3</v>
      </c>
      <c r="AK641">
        <v>12</v>
      </c>
      <c r="AL641">
        <v>16</v>
      </c>
      <c r="AM641" s="1">
        <v>0</v>
      </c>
      <c r="AN641" s="1">
        <v>0</v>
      </c>
      <c r="AO641">
        <v>0</v>
      </c>
      <c r="AP641" s="1">
        <v>6</v>
      </c>
    </row>
    <row r="642" spans="1:42" x14ac:dyDescent="0.3">
      <c r="A642" t="s">
        <v>257</v>
      </c>
      <c r="B642" t="s">
        <v>40</v>
      </c>
      <c r="C642" s="4" t="s">
        <v>43</v>
      </c>
      <c r="D642">
        <v>138</v>
      </c>
      <c r="E642">
        <v>1</v>
      </c>
      <c r="F642">
        <v>26</v>
      </c>
      <c r="G642">
        <v>0</v>
      </c>
      <c r="H642">
        <v>7</v>
      </c>
      <c r="I642">
        <v>0</v>
      </c>
      <c r="J642">
        <v>23</v>
      </c>
      <c r="K642">
        <v>0</v>
      </c>
      <c r="L642">
        <v>0</v>
      </c>
      <c r="M642">
        <v>3</v>
      </c>
      <c r="N642">
        <v>0</v>
      </c>
      <c r="O642">
        <v>3</v>
      </c>
      <c r="P642">
        <v>0</v>
      </c>
      <c r="Q642">
        <v>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35</v>
      </c>
      <c r="AG642">
        <v>10</v>
      </c>
      <c r="AH642">
        <v>3</v>
      </c>
      <c r="AI642">
        <v>6</v>
      </c>
      <c r="AJ642">
        <v>1</v>
      </c>
      <c r="AK642">
        <v>6</v>
      </c>
      <c r="AL642">
        <v>9</v>
      </c>
      <c r="AM642">
        <v>0</v>
      </c>
      <c r="AN642">
        <v>0</v>
      </c>
      <c r="AO642">
        <v>0</v>
      </c>
      <c r="AP642">
        <v>2</v>
      </c>
    </row>
    <row r="643" spans="1:42" x14ac:dyDescent="0.3">
      <c r="A643" t="s">
        <v>257</v>
      </c>
      <c r="B643" t="s">
        <v>40</v>
      </c>
      <c r="C643" s="4" t="s">
        <v>44</v>
      </c>
      <c r="D643">
        <v>145</v>
      </c>
      <c r="E643">
        <v>1</v>
      </c>
      <c r="F643">
        <v>15</v>
      </c>
      <c r="G643">
        <v>0</v>
      </c>
      <c r="H643">
        <v>8</v>
      </c>
      <c r="I643">
        <v>0</v>
      </c>
      <c r="J643">
        <v>10</v>
      </c>
      <c r="K643">
        <v>0</v>
      </c>
      <c r="L643">
        <v>0</v>
      </c>
      <c r="M643">
        <v>2</v>
      </c>
      <c r="N643">
        <v>0</v>
      </c>
      <c r="O643">
        <v>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53</v>
      </c>
      <c r="AG643">
        <v>16</v>
      </c>
      <c r="AH643">
        <v>6</v>
      </c>
      <c r="AI643">
        <v>11</v>
      </c>
      <c r="AJ643">
        <v>2</v>
      </c>
      <c r="AK643">
        <v>6</v>
      </c>
      <c r="AL643">
        <v>7</v>
      </c>
      <c r="AM643">
        <v>0</v>
      </c>
      <c r="AN643">
        <v>0</v>
      </c>
      <c r="AO643">
        <v>0</v>
      </c>
      <c r="AP643">
        <v>4</v>
      </c>
    </row>
  </sheetData>
  <mergeCells count="2">
    <mergeCell ref="A2:B5"/>
    <mergeCell ref="A6:B8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2026-03-04T10:41:17Z</dcterms:created>
  <dcterms:modified xsi:type="dcterms:W3CDTF">2026-03-04T10:41:17Z</dcterms:modified>
</cp:coreProperties>
</file>