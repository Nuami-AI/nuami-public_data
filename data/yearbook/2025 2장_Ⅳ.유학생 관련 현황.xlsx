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0E8D89C-E6EA-4E03-9C03-361F462ADF81}" xr6:coauthVersionLast="47" xr6:coauthVersionMax="47" xr10:uidLastSave="{00000000-0000-0000-0000-000000000000}"/>
  <bookViews>
    <workbookView xWindow="3975" yWindow="240" windowWidth="23355" windowHeight="1515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O4" i="1"/>
  <c r="D4" i="1"/>
  <c r="D3" i="1"/>
  <c r="P406" i="1"/>
  <c r="P379" i="1"/>
  <c r="P380" i="1"/>
  <c r="P240" i="1"/>
  <c r="P241" i="1"/>
  <c r="P155" i="1"/>
  <c r="P156" i="1"/>
  <c r="P146" i="1"/>
  <c r="P147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E406" i="1"/>
  <c r="F406" i="1"/>
  <c r="G406" i="1"/>
  <c r="H406" i="1"/>
  <c r="I406" i="1"/>
  <c r="J406" i="1"/>
  <c r="K406" i="1"/>
  <c r="L406" i="1"/>
  <c r="M406" i="1"/>
  <c r="N406" i="1"/>
  <c r="O406" i="1"/>
  <c r="D406" i="1"/>
  <c r="D405" i="1"/>
  <c r="E379" i="1"/>
  <c r="F379" i="1"/>
  <c r="G379" i="1"/>
  <c r="H379" i="1"/>
  <c r="I379" i="1"/>
  <c r="J379" i="1"/>
  <c r="K379" i="1"/>
  <c r="L379" i="1"/>
  <c r="M379" i="1"/>
  <c r="N379" i="1"/>
  <c r="O379" i="1"/>
  <c r="E380" i="1"/>
  <c r="F380" i="1"/>
  <c r="G380" i="1"/>
  <c r="H380" i="1"/>
  <c r="I380" i="1"/>
  <c r="J380" i="1"/>
  <c r="K380" i="1"/>
  <c r="L380" i="1"/>
  <c r="M380" i="1"/>
  <c r="N380" i="1"/>
  <c r="O380" i="1"/>
  <c r="D380" i="1"/>
  <c r="D379" i="1"/>
  <c r="E240" i="1"/>
  <c r="F240" i="1"/>
  <c r="G240" i="1"/>
  <c r="H240" i="1"/>
  <c r="I240" i="1"/>
  <c r="J240" i="1"/>
  <c r="K240" i="1"/>
  <c r="L240" i="1"/>
  <c r="M240" i="1"/>
  <c r="N240" i="1"/>
  <c r="O240" i="1"/>
  <c r="E241" i="1"/>
  <c r="F241" i="1"/>
  <c r="G241" i="1"/>
  <c r="H241" i="1"/>
  <c r="I241" i="1"/>
  <c r="J241" i="1"/>
  <c r="K241" i="1"/>
  <c r="L241" i="1"/>
  <c r="M241" i="1"/>
  <c r="N241" i="1"/>
  <c r="O241" i="1"/>
  <c r="D241" i="1"/>
  <c r="D240" i="1"/>
  <c r="E155" i="1"/>
  <c r="F155" i="1"/>
  <c r="G155" i="1"/>
  <c r="H155" i="1"/>
  <c r="I155" i="1"/>
  <c r="J155" i="1"/>
  <c r="K155" i="1"/>
  <c r="L155" i="1"/>
  <c r="M155" i="1"/>
  <c r="N155" i="1"/>
  <c r="O155" i="1"/>
  <c r="E156" i="1"/>
  <c r="E4" i="1" s="1"/>
  <c r="F156" i="1"/>
  <c r="G156" i="1"/>
  <c r="H156" i="1"/>
  <c r="I156" i="1"/>
  <c r="J156" i="1"/>
  <c r="K156" i="1"/>
  <c r="L156" i="1"/>
  <c r="M156" i="1"/>
  <c r="N156" i="1"/>
  <c r="O156" i="1"/>
  <c r="D155" i="1"/>
  <c r="D156" i="1"/>
  <c r="E146" i="1"/>
  <c r="F146" i="1"/>
  <c r="G146" i="1"/>
  <c r="H146" i="1"/>
  <c r="I146" i="1"/>
  <c r="J146" i="1"/>
  <c r="K146" i="1"/>
  <c r="L146" i="1"/>
  <c r="M146" i="1"/>
  <c r="N146" i="1"/>
  <c r="O146" i="1"/>
  <c r="E147" i="1"/>
  <c r="F147" i="1"/>
  <c r="G147" i="1"/>
  <c r="H147" i="1"/>
  <c r="I147" i="1"/>
  <c r="J147" i="1"/>
  <c r="K147" i="1"/>
  <c r="L147" i="1"/>
  <c r="M147" i="1"/>
  <c r="N147" i="1"/>
  <c r="O147" i="1"/>
  <c r="D147" i="1"/>
  <c r="D146" i="1"/>
  <c r="E6" i="1"/>
  <c r="E3" i="1" s="1"/>
  <c r="F6" i="1"/>
  <c r="F3" i="1" s="1"/>
  <c r="G6" i="1"/>
  <c r="G3" i="1" s="1"/>
  <c r="H6" i="1"/>
  <c r="H3" i="1" s="1"/>
  <c r="I6" i="1"/>
  <c r="I3" i="1" s="1"/>
  <c r="J6" i="1"/>
  <c r="J3" i="1" s="1"/>
  <c r="K6" i="1"/>
  <c r="K3" i="1" s="1"/>
  <c r="L6" i="1"/>
  <c r="L3" i="1" s="1"/>
  <c r="M6" i="1"/>
  <c r="M3" i="1" s="1"/>
  <c r="N6" i="1"/>
  <c r="N3" i="1" s="1"/>
  <c r="O6" i="1"/>
  <c r="O3" i="1" s="1"/>
  <c r="P6" i="1"/>
  <c r="P3" i="1" s="1"/>
  <c r="E7" i="1"/>
  <c r="F7" i="1"/>
  <c r="F4" i="1" s="1"/>
  <c r="G7" i="1"/>
  <c r="G4" i="1" s="1"/>
  <c r="H7" i="1"/>
  <c r="H4" i="1" s="1"/>
  <c r="I7" i="1"/>
  <c r="I4" i="1" s="1"/>
  <c r="J7" i="1"/>
  <c r="J4" i="1" s="1"/>
  <c r="K7" i="1"/>
  <c r="K4" i="1" s="1"/>
  <c r="L7" i="1"/>
  <c r="L4" i="1" s="1"/>
  <c r="M7" i="1"/>
  <c r="M4" i="1" s="1"/>
  <c r="N7" i="1"/>
  <c r="O7" i="1"/>
  <c r="P7" i="1"/>
  <c r="P4" i="1" s="1"/>
  <c r="D7" i="1"/>
  <c r="D6" i="1"/>
</calcChain>
</file>

<file path=xl/sharedStrings.xml><?xml version="1.0" encoding="utf-8"?>
<sst xmlns="http://schemas.openxmlformats.org/spreadsheetml/2006/main" count="1641" uniqueCount="209">
  <si>
    <t>총합계</t>
  </si>
  <si>
    <t>대륙</t>
  </si>
  <si>
    <t>국적</t>
  </si>
  <si>
    <t>성별</t>
  </si>
  <si>
    <t>총계</t>
  </si>
  <si>
    <t>D2-01 (전문학사)</t>
  </si>
  <si>
    <t>D2-02 (학사유학)</t>
  </si>
  <si>
    <t>D2-03 (석사유학)</t>
  </si>
  <si>
    <t>D2-04 (박사유학)</t>
  </si>
  <si>
    <t>D2-05 (연구유학)</t>
  </si>
  <si>
    <t>D2-06 (교환학생)</t>
  </si>
  <si>
    <t>D2-07 (일-학습연계 유학)</t>
  </si>
  <si>
    <t>D2-08 (방문학생)</t>
  </si>
  <si>
    <t>D4-01 (대학부설어학원연수)</t>
  </si>
  <si>
    <t>D4-07 (외국어연수)</t>
  </si>
  <si>
    <t>아시아주</t>
  </si>
  <si>
    <t>베트남</t>
  </si>
  <si>
    <t>남성</t>
  </si>
  <si>
    <t>여성</t>
  </si>
  <si>
    <t>중국</t>
  </si>
  <si>
    <t>우즈베키스탄</t>
  </si>
  <si>
    <t>몽골</t>
  </si>
  <si>
    <t>네팔</t>
  </si>
  <si>
    <t>미얀마</t>
  </si>
  <si>
    <t>방글라데시</t>
  </si>
  <si>
    <t>일본</t>
  </si>
  <si>
    <t>키르기즈</t>
  </si>
  <si>
    <t>인도네시아</t>
  </si>
  <si>
    <t>파키스탄</t>
  </si>
  <si>
    <t>인도</t>
  </si>
  <si>
    <t>카자흐스탄</t>
  </si>
  <si>
    <t>스리랑카</t>
  </si>
  <si>
    <t>타이완</t>
  </si>
  <si>
    <t>말레이시아</t>
  </si>
  <si>
    <t>타이</t>
  </si>
  <si>
    <t>필리핀</t>
  </si>
  <si>
    <t>튀르키예</t>
  </si>
  <si>
    <t>홍콩</t>
  </si>
  <si>
    <t>캄보디아</t>
  </si>
  <si>
    <t>이란</t>
  </si>
  <si>
    <t>타지키스탄</t>
  </si>
  <si>
    <t>싱가포르</t>
  </si>
  <si>
    <t>라오스</t>
  </si>
  <si>
    <t>한국계중국인</t>
  </si>
  <si>
    <t>투르크메니스탄</t>
  </si>
  <si>
    <t>사우디아라비아</t>
  </si>
  <si>
    <t>브루나이</t>
  </si>
  <si>
    <t>이스라엘</t>
  </si>
  <si>
    <t>마카오</t>
  </si>
  <si>
    <t>티모르민주공화국</t>
  </si>
  <si>
    <t>아프가니스탄</t>
  </si>
  <si>
    <t>요르단</t>
  </si>
  <si>
    <t>아랍에미리트연합</t>
  </si>
  <si>
    <t>예멘공화국</t>
  </si>
  <si>
    <t>이라크</t>
  </si>
  <si>
    <t>시리아</t>
  </si>
  <si>
    <t>팔레스타인</t>
  </si>
  <si>
    <t>레바논</t>
  </si>
  <si>
    <t>부탄</t>
  </si>
  <si>
    <t>바레인</t>
  </si>
  <si>
    <t>오만</t>
  </si>
  <si>
    <t>키프로스</t>
  </si>
  <si>
    <t>쿠웨이트</t>
  </si>
  <si>
    <t>카타르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</si>
  <si>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</si>
  <si>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</si>
  <si>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</si>
  <si>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</si>
  <si>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</si>
  <si>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</si>
  <si>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</si>
  <si>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페루</t>
  </si>
  <si>
    <t>칠레</t>
  </si>
  <si>
    <t>에콰도르</t>
  </si>
  <si>
    <t>아르헨티나</t>
  </si>
  <si>
    <t>도미니카공화국</t>
  </si>
  <si>
    <t>파라과이</t>
  </si>
  <si>
    <t>파나마</t>
  </si>
  <si>
    <t>과테말라</t>
  </si>
  <si>
    <t>베네수엘라</t>
  </si>
  <si>
    <t>코스타리카</t>
  </si>
  <si>
    <t>엘살바도르</t>
  </si>
  <si>
    <t>온두라스</t>
  </si>
  <si>
    <t>볼리비아</t>
  </si>
  <si>
    <t>트리니다드토바고</t>
  </si>
  <si>
    <t>바하마</t>
  </si>
  <si>
    <t>우루과이</t>
  </si>
  <si>
    <t>자메이카</t>
  </si>
  <si>
    <t>니카라과</t>
  </si>
  <si>
    <t>쿠바</t>
  </si>
  <si>
    <t>아이티</t>
  </si>
  <si>
    <t>가이아나</t>
  </si>
  <si>
    <t>세인트루시아</t>
  </si>
  <si>
    <t>벨리즈</t>
  </si>
  <si>
    <t>바베이도스</t>
  </si>
  <si>
    <t>도미니카연방</t>
  </si>
  <si>
    <t>그레나다</t>
  </si>
  <si>
    <t>유럽주</t>
  </si>
  <si>
    <t>러시아(연방)</t>
  </si>
  <si>
    <t>프랑스</t>
  </si>
  <si>
    <t>독일</t>
  </si>
  <si>
    <t>이탈리아</t>
  </si>
  <si>
    <t>스페인</t>
  </si>
  <si>
    <t>영국</t>
  </si>
  <si>
    <t>네덜란드</t>
  </si>
  <si>
    <t>아제르바이잔</t>
  </si>
  <si>
    <t>우크라이나</t>
  </si>
  <si>
    <t>폴란드</t>
  </si>
  <si>
    <t>스웨덴</t>
  </si>
  <si>
    <t>벨기에</t>
  </si>
  <si>
    <t>노르웨이</t>
  </si>
  <si>
    <t>덴마크</t>
  </si>
  <si>
    <t>스위스</t>
  </si>
  <si>
    <t>핀란드</t>
  </si>
  <si>
    <t>리투아니아</t>
  </si>
  <si>
    <t>헝가리</t>
  </si>
  <si>
    <t>체코</t>
  </si>
  <si>
    <t>벨라루스</t>
  </si>
  <si>
    <t>루마니아</t>
  </si>
  <si>
    <t>오스트리아</t>
  </si>
  <si>
    <t>불가리아</t>
  </si>
  <si>
    <t>조지아</t>
  </si>
  <si>
    <t>포르투갈</t>
  </si>
  <si>
    <t>슬로바크</t>
  </si>
  <si>
    <t>아일랜드</t>
  </si>
  <si>
    <t>아르메니아</t>
  </si>
  <si>
    <t>그리스</t>
  </si>
  <si>
    <t>라트비아</t>
  </si>
  <si>
    <t>세르비아</t>
  </si>
  <si>
    <t>에스토니아</t>
  </si>
  <si>
    <t>몰도바</t>
  </si>
  <si>
    <t>크로아티아</t>
  </si>
  <si>
    <t>영국외지민</t>
  </si>
  <si>
    <t>알바니아</t>
  </si>
  <si>
    <t>슬로베니아</t>
  </si>
  <si>
    <t>룩셈부르크</t>
  </si>
  <si>
    <t>보스니아-헤르체고비나</t>
  </si>
  <si>
    <t>아이슬란드</t>
  </si>
  <si>
    <t>코소보</t>
  </si>
  <si>
    <t>영국해외영토시민</t>
  </si>
  <si>
    <t>몬테네그로</t>
  </si>
  <si>
    <t>리히텐슈타인</t>
  </si>
  <si>
    <t>한국계러시아인</t>
  </si>
  <si>
    <t>안도라</t>
  </si>
  <si>
    <t>북마케도니아</t>
  </si>
  <si>
    <t>모나코</t>
  </si>
  <si>
    <t>오세아니아주</t>
  </si>
  <si>
    <t>오스트레일리아</t>
  </si>
  <si>
    <t>뉴질랜드</t>
  </si>
  <si>
    <t>피지</t>
  </si>
  <si>
    <t>키리바시</t>
  </si>
  <si>
    <t>통가</t>
  </si>
  <si>
    <t>솔로몬군도</t>
  </si>
  <si>
    <t>팔라우</t>
  </si>
  <si>
    <t>파푸아뉴기니</t>
  </si>
  <si>
    <t>미이크로네시아</t>
  </si>
  <si>
    <t>아프리카주</t>
  </si>
  <si>
    <t>나이지리아</t>
  </si>
  <si>
    <t>에티오피아</t>
  </si>
  <si>
    <t>가나</t>
  </si>
  <si>
    <t>르완다</t>
  </si>
  <si>
    <t>케냐</t>
  </si>
  <si>
    <t>이집트</t>
  </si>
  <si>
    <t>탄자니아</t>
  </si>
  <si>
    <t>부룬디</t>
  </si>
  <si>
    <t>모로코</t>
  </si>
  <si>
    <t>우간다</t>
  </si>
  <si>
    <t>카메룬</t>
  </si>
  <si>
    <t>콩고민주공화국</t>
  </si>
  <si>
    <t>알제리</t>
  </si>
  <si>
    <t>튀니지</t>
  </si>
  <si>
    <t>가봉</t>
  </si>
  <si>
    <t>말라위</t>
  </si>
  <si>
    <t>라이베리아</t>
  </si>
  <si>
    <t>마다가스카르</t>
  </si>
  <si>
    <t>코트디부아르</t>
  </si>
  <si>
    <t>남아프리카공화국</t>
  </si>
  <si>
    <t>짐바브웨</t>
  </si>
  <si>
    <t>잠비아</t>
  </si>
  <si>
    <t>수단</t>
  </si>
  <si>
    <t>세네갈</t>
  </si>
  <si>
    <t>남수단공화국</t>
  </si>
  <si>
    <t>부르키나파소</t>
  </si>
  <si>
    <t>모잠비크</t>
  </si>
  <si>
    <t>말리</t>
  </si>
  <si>
    <t>앙골라</t>
  </si>
  <si>
    <t>리비아</t>
  </si>
  <si>
    <t>시에라리온</t>
  </si>
  <si>
    <t>중앙아프리카공화국</t>
  </si>
  <si>
    <t>보츠와나</t>
  </si>
  <si>
    <t>기니</t>
  </si>
  <si>
    <t>소말리아</t>
  </si>
  <si>
    <t>토고</t>
  </si>
  <si>
    <t>적도기니</t>
  </si>
  <si>
    <t>감비아</t>
  </si>
  <si>
    <t>베냉</t>
  </si>
  <si>
    <t>레소토</t>
  </si>
  <si>
    <t>니제르</t>
  </si>
  <si>
    <t>모리셔스</t>
  </si>
  <si>
    <t>차드</t>
  </si>
  <si>
    <t>에스와티니</t>
  </si>
  <si>
    <t>모리타니</t>
  </si>
  <si>
    <t>나미비아</t>
  </si>
  <si>
    <t>기니비사우</t>
  </si>
  <si>
    <t>기타</t>
  </si>
  <si>
    <t>D2(유학) 소계</t>
    <phoneticPr fontId="18" type="noConversion"/>
  </si>
  <si>
    <t>D4(일반연수) 소계</t>
    <phoneticPr fontId="18" type="noConversion"/>
  </si>
  <si>
    <t>남성</t>
    <phoneticPr fontId="18" type="noConversion"/>
  </si>
  <si>
    <t>여성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</si>
</sst>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6"/>
  <sheetViews>
    <sheetView tabSelected="1" workbookViewId="0"/>
  </sheetViews>
  <sheetFormatPr defaultRowHeight="16.5" x14ac:dyDescent="0.3"/>
  <cols>
    <col min="4" max="16" width="11.625" customWidth="1"/>
  </cols>
  <sheetData>
    <row r="1" spans="1:16" s="4" customForma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205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206</v>
      </c>
      <c r="O1" s="4" t="s">
        <v>13</v>
      </c>
      <c r="P1" s="4" t="s">
        <v>14</v>
      </c>
    </row>
    <row r="2" spans="1:16" x14ac:dyDescent="0.3">
      <c r="A2" s="2" t="s">
        <v>0</v>
      </c>
      <c r="B2" s="2"/>
      <c r="C2" s="3" t="s">
        <v>4</v>
      </c>
      <c r="D2" s="1">
        <v>308838</v>
      </c>
      <c r="E2" s="1">
        <v>219571</v>
      </c>
      <c r="F2" s="1">
        <v>29319</v>
      </c>
      <c r="G2" s="1">
        <v>105257</v>
      </c>
      <c r="H2" s="1">
        <v>47623</v>
      </c>
      <c r="I2" s="1">
        <v>22368</v>
      </c>
      <c r="J2">
        <v>315</v>
      </c>
      <c r="K2" s="1">
        <v>10237</v>
      </c>
      <c r="L2" s="1">
        <v>3037</v>
      </c>
      <c r="M2" s="1">
        <v>1415</v>
      </c>
      <c r="N2" s="1">
        <v>89267</v>
      </c>
      <c r="O2" s="1">
        <v>88661</v>
      </c>
      <c r="P2">
        <v>606</v>
      </c>
    </row>
    <row r="3" spans="1:16" x14ac:dyDescent="0.3">
      <c r="A3" s="2"/>
      <c r="B3" s="2"/>
      <c r="C3" s="3" t="s">
        <v>207</v>
      </c>
      <c r="D3" s="1">
        <f>D6+D146+D155+D240+D379+D405+D545</f>
        <v>145751</v>
      </c>
      <c r="E3" s="1">
        <f t="shared" ref="E3:P3" si="0">E6+E146+E155+E240+E379+E405+E545</f>
        <v>101368</v>
      </c>
      <c r="F3" s="1">
        <f t="shared" si="0"/>
        <v>17335</v>
      </c>
      <c r="G3" s="1">
        <f t="shared" si="0"/>
        <v>47416</v>
      </c>
      <c r="H3" s="1">
        <f t="shared" si="0"/>
        <v>20657</v>
      </c>
      <c r="I3" s="1">
        <f t="shared" si="0"/>
        <v>10829</v>
      </c>
      <c r="J3" s="1">
        <f t="shared" si="0"/>
        <v>183</v>
      </c>
      <c r="K3" s="1">
        <f t="shared" si="0"/>
        <v>3790</v>
      </c>
      <c r="L3" s="1">
        <f t="shared" si="0"/>
        <v>606</v>
      </c>
      <c r="M3" s="1">
        <f t="shared" si="0"/>
        <v>552</v>
      </c>
      <c r="N3" s="1">
        <f t="shared" si="0"/>
        <v>44383</v>
      </c>
      <c r="O3" s="1">
        <f t="shared" si="0"/>
        <v>43948</v>
      </c>
      <c r="P3" s="1">
        <f t="shared" si="0"/>
        <v>435</v>
      </c>
    </row>
    <row r="4" spans="1:16" x14ac:dyDescent="0.3">
      <c r="A4" s="2"/>
      <c r="B4" s="2"/>
      <c r="C4" s="3" t="s">
        <v>208</v>
      </c>
      <c r="D4" s="1">
        <f>D7+D147+D156+D241+D380+D406+D546</f>
        <v>163087</v>
      </c>
      <c r="E4" s="1">
        <f t="shared" ref="E4:P4" si="1">E7+E147+E156+E241+E380+E406+E546</f>
        <v>118203</v>
      </c>
      <c r="F4" s="1">
        <f t="shared" si="1"/>
        <v>11984</v>
      </c>
      <c r="G4" s="1">
        <f t="shared" si="1"/>
        <v>57841</v>
      </c>
      <c r="H4" s="1">
        <f t="shared" si="1"/>
        <v>26966</v>
      </c>
      <c r="I4" s="1">
        <f t="shared" si="1"/>
        <v>11539</v>
      </c>
      <c r="J4" s="1">
        <f t="shared" si="1"/>
        <v>132</v>
      </c>
      <c r="K4" s="1">
        <f t="shared" si="1"/>
        <v>6447</v>
      </c>
      <c r="L4" s="1">
        <f t="shared" si="1"/>
        <v>2431</v>
      </c>
      <c r="M4" s="1">
        <f t="shared" si="1"/>
        <v>863</v>
      </c>
      <c r="N4" s="1">
        <f t="shared" si="1"/>
        <v>44884</v>
      </c>
      <c r="O4" s="1">
        <f t="shared" si="1"/>
        <v>44713</v>
      </c>
      <c r="P4" s="1">
        <f t="shared" si="1"/>
        <v>171</v>
      </c>
    </row>
    <row r="5" spans="1:16" x14ac:dyDescent="0.3">
      <c r="A5" s="2" t="s">
        <v>15</v>
      </c>
      <c r="B5" s="2"/>
      <c r="C5" s="3" t="s">
        <v>4</v>
      </c>
      <c r="D5" s="1">
        <v>290797</v>
      </c>
      <c r="E5" s="1">
        <v>205116</v>
      </c>
      <c r="F5" s="1">
        <v>28989</v>
      </c>
      <c r="G5" s="1">
        <v>101974</v>
      </c>
      <c r="H5" s="1">
        <v>45074</v>
      </c>
      <c r="I5" s="1">
        <v>21351</v>
      </c>
      <c r="J5">
        <v>265</v>
      </c>
      <c r="K5" s="1">
        <v>4879</v>
      </c>
      <c r="L5" s="1">
        <v>2159</v>
      </c>
      <c r="M5">
        <v>425</v>
      </c>
      <c r="N5" s="1">
        <v>85681</v>
      </c>
      <c r="O5" s="1">
        <v>85077</v>
      </c>
      <c r="P5">
        <v>604</v>
      </c>
    </row>
    <row r="6" spans="1:16" x14ac:dyDescent="0.3">
      <c r="A6" s="2"/>
      <c r="B6" s="2"/>
      <c r="C6" s="3" t="s">
        <v>207</v>
      </c>
      <c r="D6" s="1">
        <f>D9+D12+D15+D18+D21+D24+D27+D30+D33+D36+D39+D42+D45+D48+D51+D54+D57+D60+D63+D66+D69+D72+D75+D78+D81+D84+D87+D90+D93+D96+D99+D102+D105+D108+D111+D114+D117+D120+D123+D126+D129+D132+D135+D138+D141</f>
        <v>139090</v>
      </c>
      <c r="E6" s="1">
        <f t="shared" ref="E6:P6" si="2">E9+E12+E15+E18+E21+E24+E27+E30+E33+E36+E39+E42+E45+E48+E51+E54+E57+E60+E63+E66+E69+E72+E75+E78+E81+E84+E87+E90+E93+E96+E99+E102+E105+E108+E111+E114+E117+E120+E123+E126+E129+E132+E135+E138+E141</f>
        <v>95522</v>
      </c>
      <c r="F6" s="1">
        <f t="shared" si="2"/>
        <v>17246</v>
      </c>
      <c r="G6" s="1">
        <f t="shared" si="2"/>
        <v>46399</v>
      </c>
      <c r="H6" s="1">
        <f t="shared" si="2"/>
        <v>19483</v>
      </c>
      <c r="I6" s="1">
        <f t="shared" si="2"/>
        <v>10176</v>
      </c>
      <c r="J6" s="1">
        <f t="shared" si="2"/>
        <v>147</v>
      </c>
      <c r="K6" s="1">
        <f t="shared" si="2"/>
        <v>1530</v>
      </c>
      <c r="L6" s="1">
        <f t="shared" si="2"/>
        <v>416</v>
      </c>
      <c r="M6" s="1">
        <f t="shared" si="2"/>
        <v>125</v>
      </c>
      <c r="N6" s="1">
        <f t="shared" si="2"/>
        <v>43568</v>
      </c>
      <c r="O6" s="1">
        <f t="shared" si="2"/>
        <v>43133</v>
      </c>
      <c r="P6" s="1">
        <f t="shared" si="2"/>
        <v>435</v>
      </c>
    </row>
    <row r="7" spans="1:16" x14ac:dyDescent="0.3">
      <c r="A7" s="2"/>
      <c r="B7" s="2"/>
      <c r="C7" s="3" t="s">
        <v>208</v>
      </c>
      <c r="D7" s="1">
        <f>D10+D13+D16+D19+D22+D25+D28+D31+D34+D37+D40+D43+D46+D49+D52+D55+D58+D61+D64+D67+D70+D73+D76+D79+D82+D85+D88+D91+D94+D97+D100+D103+D106+D109+D112+D115+D118+D121+D124+D127+D130+D133+D136+D139+D142+D144</f>
        <v>151707</v>
      </c>
      <c r="E7" s="1">
        <f t="shared" ref="E7:P7" si="3">E10+E13+E16+E19+E22+E25+E28+E31+E34+E37+E40+E43+E46+E49+E52+E55+E58+E61+E64+E67+E70+E73+E76+E79+E82+E85+E88+E91+E94+E97+E100+E103+E106+E109+E112+E115+E118+E121+E124+E127+E130+E133+E136+E139+E142+E144</f>
        <v>109594</v>
      </c>
      <c r="F7" s="1">
        <f t="shared" si="3"/>
        <v>11743</v>
      </c>
      <c r="G7" s="1">
        <f t="shared" si="3"/>
        <v>55575</v>
      </c>
      <c r="H7" s="1">
        <f t="shared" si="3"/>
        <v>25591</v>
      </c>
      <c r="I7" s="1">
        <f t="shared" si="3"/>
        <v>11175</v>
      </c>
      <c r="J7" s="1">
        <f t="shared" si="3"/>
        <v>118</v>
      </c>
      <c r="K7" s="1">
        <f t="shared" si="3"/>
        <v>3349</v>
      </c>
      <c r="L7" s="1">
        <f t="shared" si="3"/>
        <v>1743</v>
      </c>
      <c r="M7" s="1">
        <f t="shared" si="3"/>
        <v>300</v>
      </c>
      <c r="N7" s="1">
        <f t="shared" si="3"/>
        <v>42113</v>
      </c>
      <c r="O7" s="1">
        <f t="shared" si="3"/>
        <v>41944</v>
      </c>
      <c r="P7" s="1">
        <f t="shared" si="3"/>
        <v>169</v>
      </c>
    </row>
    <row r="8" spans="1:16" x14ac:dyDescent="0.3">
      <c r="A8" t="s">
        <v>15</v>
      </c>
      <c r="B8" t="s">
        <v>16</v>
      </c>
      <c r="C8" t="s">
        <v>4</v>
      </c>
      <c r="D8" s="1">
        <v>116005</v>
      </c>
      <c r="E8" s="1">
        <v>56468</v>
      </c>
      <c r="F8" s="1">
        <v>17122</v>
      </c>
      <c r="G8" s="1">
        <v>27379</v>
      </c>
      <c r="H8" s="1">
        <v>9494</v>
      </c>
      <c r="I8" s="1">
        <v>1318</v>
      </c>
      <c r="J8">
        <v>3</v>
      </c>
      <c r="K8">
        <v>918</v>
      </c>
      <c r="L8">
        <v>186</v>
      </c>
      <c r="M8">
        <v>48</v>
      </c>
      <c r="N8" s="1">
        <v>59537</v>
      </c>
      <c r="O8" s="1">
        <v>59535</v>
      </c>
      <c r="P8">
        <v>2</v>
      </c>
    </row>
    <row r="9" spans="1:16" x14ac:dyDescent="0.3">
      <c r="A9" t="s">
        <v>15</v>
      </c>
      <c r="B9" t="s">
        <v>16</v>
      </c>
      <c r="C9" t="s">
        <v>17</v>
      </c>
      <c r="D9" s="1">
        <v>56351</v>
      </c>
      <c r="E9" s="1">
        <v>24511</v>
      </c>
      <c r="F9" s="1">
        <v>9303</v>
      </c>
      <c r="G9" s="1">
        <v>9975</v>
      </c>
      <c r="H9" s="1">
        <v>3902</v>
      </c>
      <c r="I9">
        <v>751</v>
      </c>
      <c r="J9">
        <v>1</v>
      </c>
      <c r="K9">
        <v>512</v>
      </c>
      <c r="L9">
        <v>33</v>
      </c>
      <c r="M9">
        <v>34</v>
      </c>
      <c r="N9" s="1">
        <v>31840</v>
      </c>
      <c r="O9" s="1">
        <v>31839</v>
      </c>
      <c r="P9">
        <v>1</v>
      </c>
    </row>
    <row r="10" spans="1:16" x14ac:dyDescent="0.3">
      <c r="A10" t="s">
        <v>15</v>
      </c>
      <c r="B10" t="s">
        <v>16</v>
      </c>
      <c r="C10" t="s">
        <v>18</v>
      </c>
      <c r="D10" s="1">
        <v>59654</v>
      </c>
      <c r="E10" s="1">
        <v>31957</v>
      </c>
      <c r="F10" s="1">
        <v>7819</v>
      </c>
      <c r="G10" s="1">
        <v>17404</v>
      </c>
      <c r="H10" s="1">
        <v>5592</v>
      </c>
      <c r="I10">
        <v>567</v>
      </c>
      <c r="J10">
        <v>2</v>
      </c>
      <c r="K10">
        <v>406</v>
      </c>
      <c r="L10">
        <v>153</v>
      </c>
      <c r="M10">
        <v>14</v>
      </c>
      <c r="N10" s="1">
        <v>27697</v>
      </c>
      <c r="O10" s="1">
        <v>27696</v>
      </c>
      <c r="P10">
        <v>1</v>
      </c>
    </row>
    <row r="11" spans="1:16" x14ac:dyDescent="0.3">
      <c r="A11" t="s">
        <v>15</v>
      </c>
      <c r="B11" t="s">
        <v>19</v>
      </c>
      <c r="C11" t="s">
        <v>4</v>
      </c>
      <c r="D11" s="1">
        <v>78645</v>
      </c>
      <c r="E11" s="1">
        <v>72719</v>
      </c>
      <c r="F11">
        <v>352</v>
      </c>
      <c r="G11" s="1">
        <v>35628</v>
      </c>
      <c r="H11" s="1">
        <v>20449</v>
      </c>
      <c r="I11" s="1">
        <v>14070</v>
      </c>
      <c r="J11">
        <v>220</v>
      </c>
      <c r="K11" s="1">
        <v>1704</v>
      </c>
      <c r="L11">
        <v>57</v>
      </c>
      <c r="M11">
        <v>239</v>
      </c>
      <c r="N11" s="1">
        <v>5926</v>
      </c>
      <c r="O11" s="1">
        <v>5926</v>
      </c>
      <c r="P11" s="1">
        <v>0</v>
      </c>
    </row>
    <row r="12" spans="1:16" x14ac:dyDescent="0.3">
      <c r="A12" t="s">
        <v>15</v>
      </c>
      <c r="B12" t="s">
        <v>19</v>
      </c>
      <c r="C12" t="s">
        <v>17</v>
      </c>
      <c r="D12" s="1">
        <v>32741</v>
      </c>
      <c r="E12" s="1">
        <v>30261</v>
      </c>
      <c r="F12">
        <v>225</v>
      </c>
      <c r="G12" s="1">
        <v>15439</v>
      </c>
      <c r="H12" s="1">
        <v>7803</v>
      </c>
      <c r="I12" s="1">
        <v>6138</v>
      </c>
      <c r="J12">
        <v>123</v>
      </c>
      <c r="K12">
        <v>455</v>
      </c>
      <c r="L12">
        <v>16</v>
      </c>
      <c r="M12">
        <v>62</v>
      </c>
      <c r="N12" s="1">
        <v>2480</v>
      </c>
      <c r="O12" s="1">
        <v>2480</v>
      </c>
      <c r="P12">
        <v>0</v>
      </c>
    </row>
    <row r="13" spans="1:16" x14ac:dyDescent="0.3">
      <c r="A13" t="s">
        <v>15</v>
      </c>
      <c r="B13" t="s">
        <v>19</v>
      </c>
      <c r="C13" t="s">
        <v>18</v>
      </c>
      <c r="D13" s="1">
        <v>45904</v>
      </c>
      <c r="E13" s="1">
        <v>42458</v>
      </c>
      <c r="F13">
        <v>127</v>
      </c>
      <c r="G13" s="1">
        <v>20189</v>
      </c>
      <c r="H13" s="1">
        <v>12646</v>
      </c>
      <c r="I13" s="1">
        <v>7932</v>
      </c>
      <c r="J13">
        <v>97</v>
      </c>
      <c r="K13" s="1">
        <v>1249</v>
      </c>
      <c r="L13">
        <v>41</v>
      </c>
      <c r="M13">
        <v>177</v>
      </c>
      <c r="N13" s="1">
        <v>3446</v>
      </c>
      <c r="O13" s="1">
        <v>3446</v>
      </c>
      <c r="P13" s="1">
        <v>0</v>
      </c>
    </row>
    <row r="14" spans="1:16" x14ac:dyDescent="0.3">
      <c r="A14" t="s">
        <v>15</v>
      </c>
      <c r="B14" t="s">
        <v>20</v>
      </c>
      <c r="C14" t="s">
        <v>4</v>
      </c>
      <c r="D14" s="1">
        <v>20185</v>
      </c>
      <c r="E14" s="1">
        <v>18302</v>
      </c>
      <c r="F14" s="1">
        <v>4371</v>
      </c>
      <c r="G14" s="1">
        <v>8638</v>
      </c>
      <c r="H14" s="1">
        <v>4528</v>
      </c>
      <c r="I14">
        <v>532</v>
      </c>
      <c r="J14" s="1">
        <v>0</v>
      </c>
      <c r="K14">
        <v>71</v>
      </c>
      <c r="L14">
        <v>159</v>
      </c>
      <c r="M14">
        <v>3</v>
      </c>
      <c r="N14" s="1">
        <v>1883</v>
      </c>
      <c r="O14" s="1">
        <v>1882</v>
      </c>
      <c r="P14">
        <v>1</v>
      </c>
    </row>
    <row r="15" spans="1:16" x14ac:dyDescent="0.3">
      <c r="A15" t="s">
        <v>15</v>
      </c>
      <c r="B15" t="s">
        <v>20</v>
      </c>
      <c r="C15" t="s">
        <v>17</v>
      </c>
      <c r="D15" s="1">
        <v>17158</v>
      </c>
      <c r="E15" s="1">
        <v>15462</v>
      </c>
      <c r="F15" s="1">
        <v>4044</v>
      </c>
      <c r="G15" s="1">
        <v>7311</v>
      </c>
      <c r="H15" s="1">
        <v>3593</v>
      </c>
      <c r="I15">
        <v>424</v>
      </c>
      <c r="J15" s="1">
        <v>0</v>
      </c>
      <c r="K15">
        <v>39</v>
      </c>
      <c r="L15">
        <v>48</v>
      </c>
      <c r="M15">
        <v>3</v>
      </c>
      <c r="N15" s="1">
        <v>1696</v>
      </c>
      <c r="O15" s="1">
        <v>1695</v>
      </c>
      <c r="P15">
        <v>1</v>
      </c>
    </row>
    <row r="16" spans="1:16" x14ac:dyDescent="0.3">
      <c r="A16" t="s">
        <v>15</v>
      </c>
      <c r="B16" t="s">
        <v>20</v>
      </c>
      <c r="C16" t="s">
        <v>18</v>
      </c>
      <c r="D16" s="1">
        <v>3027</v>
      </c>
      <c r="E16" s="1">
        <v>2840</v>
      </c>
      <c r="F16">
        <v>327</v>
      </c>
      <c r="G16" s="1">
        <v>1327</v>
      </c>
      <c r="H16">
        <v>935</v>
      </c>
      <c r="I16">
        <v>108</v>
      </c>
      <c r="J16">
        <v>0</v>
      </c>
      <c r="K16">
        <v>32</v>
      </c>
      <c r="L16">
        <v>111</v>
      </c>
      <c r="M16">
        <v>0</v>
      </c>
      <c r="N16">
        <v>187</v>
      </c>
      <c r="O16">
        <v>187</v>
      </c>
      <c r="P16">
        <v>0</v>
      </c>
    </row>
    <row r="17" spans="1:16" x14ac:dyDescent="0.3">
      <c r="A17" t="s">
        <v>15</v>
      </c>
      <c r="B17" t="s">
        <v>21</v>
      </c>
      <c r="C17" t="s">
        <v>4</v>
      </c>
      <c r="D17" s="1">
        <v>18957</v>
      </c>
      <c r="E17" s="1">
        <v>13194</v>
      </c>
      <c r="F17" s="1">
        <v>1649</v>
      </c>
      <c r="G17" s="1">
        <v>6659</v>
      </c>
      <c r="H17" s="1">
        <v>3381</v>
      </c>
      <c r="I17" s="1">
        <v>1177</v>
      </c>
      <c r="J17" s="1">
        <v>0</v>
      </c>
      <c r="K17">
        <v>168</v>
      </c>
      <c r="L17">
        <v>156</v>
      </c>
      <c r="M17">
        <v>4</v>
      </c>
      <c r="N17" s="1">
        <v>5763</v>
      </c>
      <c r="O17" s="1">
        <v>5761</v>
      </c>
      <c r="P17">
        <v>2</v>
      </c>
    </row>
    <row r="18" spans="1:16" x14ac:dyDescent="0.3">
      <c r="A18" t="s">
        <v>15</v>
      </c>
      <c r="B18" t="s">
        <v>21</v>
      </c>
      <c r="C18" t="s">
        <v>17</v>
      </c>
      <c r="D18" s="1">
        <v>7593</v>
      </c>
      <c r="E18" s="1">
        <v>4723</v>
      </c>
      <c r="F18">
        <v>939</v>
      </c>
      <c r="G18" s="1">
        <v>2430</v>
      </c>
      <c r="H18">
        <v>988</v>
      </c>
      <c r="I18">
        <v>266</v>
      </c>
      <c r="J18" s="1">
        <v>0</v>
      </c>
      <c r="K18">
        <v>71</v>
      </c>
      <c r="L18">
        <v>27</v>
      </c>
      <c r="M18">
        <v>2</v>
      </c>
      <c r="N18" s="1">
        <v>2870</v>
      </c>
      <c r="O18" s="1">
        <v>2868</v>
      </c>
      <c r="P18">
        <v>2</v>
      </c>
    </row>
    <row r="19" spans="1:16" x14ac:dyDescent="0.3">
      <c r="A19" t="s">
        <v>15</v>
      </c>
      <c r="B19" t="s">
        <v>21</v>
      </c>
      <c r="C19" t="s">
        <v>18</v>
      </c>
      <c r="D19" s="1">
        <v>11364</v>
      </c>
      <c r="E19" s="1">
        <v>8471</v>
      </c>
      <c r="F19">
        <v>710</v>
      </c>
      <c r="G19" s="1">
        <v>4229</v>
      </c>
      <c r="H19" s="1">
        <v>2393</v>
      </c>
      <c r="I19">
        <v>911</v>
      </c>
      <c r="J19" s="1">
        <v>0</v>
      </c>
      <c r="K19">
        <v>97</v>
      </c>
      <c r="L19">
        <v>129</v>
      </c>
      <c r="M19">
        <v>2</v>
      </c>
      <c r="N19" s="1">
        <v>2893</v>
      </c>
      <c r="O19" s="1">
        <v>2893</v>
      </c>
      <c r="P19">
        <v>0</v>
      </c>
    </row>
    <row r="20" spans="1:16" x14ac:dyDescent="0.3">
      <c r="A20" t="s">
        <v>15</v>
      </c>
      <c r="B20" t="s">
        <v>22</v>
      </c>
      <c r="C20" t="s">
        <v>4</v>
      </c>
      <c r="D20" s="1">
        <v>16608</v>
      </c>
      <c r="E20" s="1">
        <v>15584</v>
      </c>
      <c r="F20" s="1">
        <v>2583</v>
      </c>
      <c r="G20" s="1">
        <v>11025</v>
      </c>
      <c r="H20" s="1">
        <v>1502</v>
      </c>
      <c r="I20">
        <v>453</v>
      </c>
      <c r="J20" s="1">
        <v>0</v>
      </c>
      <c r="K20" s="1">
        <v>0</v>
      </c>
      <c r="L20">
        <v>20</v>
      </c>
      <c r="M20">
        <v>1</v>
      </c>
      <c r="N20" s="1">
        <v>1024</v>
      </c>
      <c r="O20">
        <v>777</v>
      </c>
      <c r="P20">
        <v>247</v>
      </c>
    </row>
    <row r="21" spans="1:16" x14ac:dyDescent="0.3">
      <c r="A21" t="s">
        <v>15</v>
      </c>
      <c r="B21" t="s">
        <v>22</v>
      </c>
      <c r="C21" t="s">
        <v>17</v>
      </c>
      <c r="D21" s="1">
        <v>9819</v>
      </c>
      <c r="E21" s="1">
        <v>9301</v>
      </c>
      <c r="F21" s="1">
        <v>1546</v>
      </c>
      <c r="G21" s="1">
        <v>6542</v>
      </c>
      <c r="H21">
        <v>901</v>
      </c>
      <c r="I21">
        <v>303</v>
      </c>
      <c r="J21" s="1">
        <v>0</v>
      </c>
      <c r="K21" s="1">
        <v>0</v>
      </c>
      <c r="L21">
        <v>9</v>
      </c>
      <c r="M21">
        <v>0</v>
      </c>
      <c r="N21">
        <v>518</v>
      </c>
      <c r="O21">
        <v>384</v>
      </c>
      <c r="P21">
        <v>134</v>
      </c>
    </row>
    <row r="22" spans="1:16" x14ac:dyDescent="0.3">
      <c r="A22" t="s">
        <v>15</v>
      </c>
      <c r="B22" t="s">
        <v>22</v>
      </c>
      <c r="C22" t="s">
        <v>18</v>
      </c>
      <c r="D22" s="1">
        <v>6789</v>
      </c>
      <c r="E22" s="1">
        <v>6283</v>
      </c>
      <c r="F22" s="1">
        <v>1037</v>
      </c>
      <c r="G22" s="1">
        <v>4483</v>
      </c>
      <c r="H22">
        <v>601</v>
      </c>
      <c r="I22">
        <v>150</v>
      </c>
      <c r="J22" s="1">
        <v>0</v>
      </c>
      <c r="K22" s="1">
        <v>0</v>
      </c>
      <c r="L22">
        <v>11</v>
      </c>
      <c r="M22">
        <v>1</v>
      </c>
      <c r="N22">
        <v>506</v>
      </c>
      <c r="O22">
        <v>393</v>
      </c>
      <c r="P22">
        <v>113</v>
      </c>
    </row>
    <row r="23" spans="1:16" x14ac:dyDescent="0.3">
      <c r="A23" t="s">
        <v>15</v>
      </c>
      <c r="B23" t="s">
        <v>23</v>
      </c>
      <c r="C23" t="s">
        <v>4</v>
      </c>
      <c r="D23" s="1">
        <v>10129</v>
      </c>
      <c r="E23" s="1">
        <v>5520</v>
      </c>
      <c r="F23" s="1">
        <v>1515</v>
      </c>
      <c r="G23" s="1">
        <v>2929</v>
      </c>
      <c r="H23">
        <v>737</v>
      </c>
      <c r="I23">
        <v>144</v>
      </c>
      <c r="J23" s="1">
        <v>0</v>
      </c>
      <c r="K23">
        <v>12</v>
      </c>
      <c r="L23">
        <v>181</v>
      </c>
      <c r="M23">
        <v>2</v>
      </c>
      <c r="N23" s="1">
        <v>4609</v>
      </c>
      <c r="O23" s="1">
        <v>4584</v>
      </c>
      <c r="P23">
        <v>25</v>
      </c>
    </row>
    <row r="24" spans="1:16" x14ac:dyDescent="0.3">
      <c r="A24" t="s">
        <v>15</v>
      </c>
      <c r="B24" t="s">
        <v>23</v>
      </c>
      <c r="C24" t="s">
        <v>17</v>
      </c>
      <c r="D24" s="1">
        <v>2882</v>
      </c>
      <c r="E24" s="1">
        <v>1254</v>
      </c>
      <c r="F24">
        <v>432</v>
      </c>
      <c r="G24">
        <v>592</v>
      </c>
      <c r="H24">
        <v>132</v>
      </c>
      <c r="I24">
        <v>63</v>
      </c>
      <c r="J24" s="1">
        <v>0</v>
      </c>
      <c r="K24">
        <v>7</v>
      </c>
      <c r="L24">
        <v>28</v>
      </c>
      <c r="M24">
        <v>0</v>
      </c>
      <c r="N24" s="1">
        <v>1628</v>
      </c>
      <c r="O24" s="1">
        <v>1617</v>
      </c>
      <c r="P24">
        <v>11</v>
      </c>
    </row>
    <row r="25" spans="1:16" x14ac:dyDescent="0.3">
      <c r="A25" t="s">
        <v>15</v>
      </c>
      <c r="B25" t="s">
        <v>23</v>
      </c>
      <c r="C25" t="s">
        <v>18</v>
      </c>
      <c r="D25" s="1">
        <v>7247</v>
      </c>
      <c r="E25" s="1">
        <v>4266</v>
      </c>
      <c r="F25" s="1">
        <v>1083</v>
      </c>
      <c r="G25" s="1">
        <v>2337</v>
      </c>
      <c r="H25">
        <v>605</v>
      </c>
      <c r="I25">
        <v>81</v>
      </c>
      <c r="J25" s="1">
        <v>0</v>
      </c>
      <c r="K25">
        <v>5</v>
      </c>
      <c r="L25">
        <v>153</v>
      </c>
      <c r="M25">
        <v>2</v>
      </c>
      <c r="N25" s="1">
        <v>2981</v>
      </c>
      <c r="O25" s="1">
        <v>2967</v>
      </c>
      <c r="P25">
        <v>14</v>
      </c>
    </row>
    <row r="26" spans="1:16" x14ac:dyDescent="0.3">
      <c r="A26" t="s">
        <v>15</v>
      </c>
      <c r="B26" t="s">
        <v>24</v>
      </c>
      <c r="C26" t="s">
        <v>4</v>
      </c>
      <c r="D26" s="1">
        <v>4381</v>
      </c>
      <c r="E26" s="1">
        <v>3692</v>
      </c>
      <c r="F26">
        <v>80</v>
      </c>
      <c r="G26" s="1">
        <v>2145</v>
      </c>
      <c r="H26">
        <v>971</v>
      </c>
      <c r="I26">
        <v>436</v>
      </c>
      <c r="J26" s="1">
        <v>0</v>
      </c>
      <c r="K26">
        <v>4</v>
      </c>
      <c r="L26">
        <v>55</v>
      </c>
      <c r="M26">
        <v>1</v>
      </c>
      <c r="N26">
        <v>689</v>
      </c>
      <c r="O26">
        <v>365</v>
      </c>
      <c r="P26">
        <v>324</v>
      </c>
    </row>
    <row r="27" spans="1:16" x14ac:dyDescent="0.3">
      <c r="A27" t="s">
        <v>15</v>
      </c>
      <c r="B27" t="s">
        <v>24</v>
      </c>
      <c r="C27" t="s">
        <v>17</v>
      </c>
      <c r="D27" s="1">
        <v>3415</v>
      </c>
      <c r="E27" s="1">
        <v>2855</v>
      </c>
      <c r="F27">
        <v>71</v>
      </c>
      <c r="G27" s="1">
        <v>1687</v>
      </c>
      <c r="H27">
        <v>735</v>
      </c>
      <c r="I27">
        <v>340</v>
      </c>
      <c r="J27" s="1">
        <v>0</v>
      </c>
      <c r="K27">
        <v>3</v>
      </c>
      <c r="L27">
        <v>19</v>
      </c>
      <c r="M27">
        <v>0</v>
      </c>
      <c r="N27">
        <v>560</v>
      </c>
      <c r="O27">
        <v>274</v>
      </c>
      <c r="P27">
        <v>286</v>
      </c>
    </row>
    <row r="28" spans="1:16" x14ac:dyDescent="0.3">
      <c r="A28" t="s">
        <v>15</v>
      </c>
      <c r="B28" t="s">
        <v>24</v>
      </c>
      <c r="C28" t="s">
        <v>18</v>
      </c>
      <c r="D28">
        <v>966</v>
      </c>
      <c r="E28">
        <v>837</v>
      </c>
      <c r="F28">
        <v>9</v>
      </c>
      <c r="G28">
        <v>458</v>
      </c>
      <c r="H28">
        <v>236</v>
      </c>
      <c r="I28">
        <v>96</v>
      </c>
      <c r="J28" s="1">
        <v>0</v>
      </c>
      <c r="K28">
        <v>1</v>
      </c>
      <c r="L28">
        <v>36</v>
      </c>
      <c r="M28">
        <v>1</v>
      </c>
      <c r="N28">
        <v>129</v>
      </c>
      <c r="O28">
        <v>91</v>
      </c>
      <c r="P28">
        <v>38</v>
      </c>
    </row>
    <row r="29" spans="1:16" x14ac:dyDescent="0.3">
      <c r="A29" t="s">
        <v>15</v>
      </c>
      <c r="B29" t="s">
        <v>25</v>
      </c>
      <c r="C29" t="s">
        <v>4</v>
      </c>
      <c r="D29" s="1">
        <v>4157</v>
      </c>
      <c r="E29" s="1">
        <v>2916</v>
      </c>
      <c r="F29">
        <v>132</v>
      </c>
      <c r="G29" s="1">
        <v>1828</v>
      </c>
      <c r="H29">
        <v>265</v>
      </c>
      <c r="I29">
        <v>32</v>
      </c>
      <c r="J29">
        <v>8</v>
      </c>
      <c r="K29">
        <v>581</v>
      </c>
      <c r="L29">
        <v>39</v>
      </c>
      <c r="M29">
        <v>31</v>
      </c>
      <c r="N29" s="1">
        <v>1241</v>
      </c>
      <c r="O29" s="1">
        <v>1241</v>
      </c>
      <c r="P29">
        <v>0</v>
      </c>
    </row>
    <row r="30" spans="1:16" x14ac:dyDescent="0.3">
      <c r="A30" t="s">
        <v>15</v>
      </c>
      <c r="B30" t="s">
        <v>25</v>
      </c>
      <c r="C30" t="s">
        <v>17</v>
      </c>
      <c r="D30">
        <v>541</v>
      </c>
      <c r="E30">
        <v>399</v>
      </c>
      <c r="F30">
        <v>8</v>
      </c>
      <c r="G30">
        <v>240</v>
      </c>
      <c r="H30">
        <v>49</v>
      </c>
      <c r="I30">
        <v>11</v>
      </c>
      <c r="J30">
        <v>5</v>
      </c>
      <c r="K30">
        <v>79</v>
      </c>
      <c r="L30">
        <v>5</v>
      </c>
      <c r="M30">
        <v>2</v>
      </c>
      <c r="N30">
        <v>142</v>
      </c>
      <c r="O30">
        <v>142</v>
      </c>
      <c r="P30">
        <v>0</v>
      </c>
    </row>
    <row r="31" spans="1:16" x14ac:dyDescent="0.3">
      <c r="A31" t="s">
        <v>15</v>
      </c>
      <c r="B31" t="s">
        <v>25</v>
      </c>
      <c r="C31" t="s">
        <v>18</v>
      </c>
      <c r="D31" s="1">
        <v>3616</v>
      </c>
      <c r="E31" s="1">
        <v>2517</v>
      </c>
      <c r="F31">
        <v>124</v>
      </c>
      <c r="G31" s="1">
        <v>1588</v>
      </c>
      <c r="H31">
        <v>216</v>
      </c>
      <c r="I31">
        <v>21</v>
      </c>
      <c r="J31">
        <v>3</v>
      </c>
      <c r="K31">
        <v>502</v>
      </c>
      <c r="L31">
        <v>34</v>
      </c>
      <c r="M31">
        <v>29</v>
      </c>
      <c r="N31" s="1">
        <v>1099</v>
      </c>
      <c r="O31" s="1">
        <v>1099</v>
      </c>
      <c r="P31">
        <v>0</v>
      </c>
    </row>
    <row r="32" spans="1:16" x14ac:dyDescent="0.3">
      <c r="A32" t="s">
        <v>15</v>
      </c>
      <c r="B32" t="s">
        <v>26</v>
      </c>
      <c r="C32" t="s">
        <v>4</v>
      </c>
      <c r="D32" s="1">
        <v>2616</v>
      </c>
      <c r="E32" s="1">
        <v>1565</v>
      </c>
      <c r="F32">
        <v>539</v>
      </c>
      <c r="G32">
        <v>780</v>
      </c>
      <c r="H32">
        <v>98</v>
      </c>
      <c r="I32">
        <v>13</v>
      </c>
      <c r="J32">
        <v>0</v>
      </c>
      <c r="K32">
        <v>68</v>
      </c>
      <c r="L32">
        <v>67</v>
      </c>
      <c r="M32">
        <v>0</v>
      </c>
      <c r="N32" s="1">
        <v>1051</v>
      </c>
      <c r="O32" s="1">
        <v>1051</v>
      </c>
      <c r="P32">
        <v>0</v>
      </c>
    </row>
    <row r="33" spans="1:16" x14ac:dyDescent="0.3">
      <c r="A33" t="s">
        <v>15</v>
      </c>
      <c r="B33" t="s">
        <v>26</v>
      </c>
      <c r="C33" t="s">
        <v>17</v>
      </c>
      <c r="D33" s="1">
        <v>1503</v>
      </c>
      <c r="E33">
        <v>836</v>
      </c>
      <c r="F33">
        <v>375</v>
      </c>
      <c r="G33">
        <v>407</v>
      </c>
      <c r="H33">
        <v>24</v>
      </c>
      <c r="I33">
        <v>6</v>
      </c>
      <c r="J33">
        <v>0</v>
      </c>
      <c r="K33">
        <v>18</v>
      </c>
      <c r="L33">
        <v>6</v>
      </c>
      <c r="M33">
        <v>0</v>
      </c>
      <c r="N33">
        <v>667</v>
      </c>
      <c r="O33">
        <v>667</v>
      </c>
      <c r="P33">
        <v>0</v>
      </c>
    </row>
    <row r="34" spans="1:16" x14ac:dyDescent="0.3">
      <c r="A34" t="s">
        <v>15</v>
      </c>
      <c r="B34" t="s">
        <v>26</v>
      </c>
      <c r="C34" t="s">
        <v>18</v>
      </c>
      <c r="D34" s="1">
        <v>1113</v>
      </c>
      <c r="E34">
        <v>729</v>
      </c>
      <c r="F34">
        <v>164</v>
      </c>
      <c r="G34">
        <v>373</v>
      </c>
      <c r="H34">
        <v>74</v>
      </c>
      <c r="I34">
        <v>7</v>
      </c>
      <c r="J34">
        <v>0</v>
      </c>
      <c r="K34">
        <v>50</v>
      </c>
      <c r="L34">
        <v>61</v>
      </c>
      <c r="M34">
        <v>0</v>
      </c>
      <c r="N34">
        <v>384</v>
      </c>
      <c r="O34">
        <v>384</v>
      </c>
      <c r="P34">
        <v>0</v>
      </c>
    </row>
    <row r="35" spans="1:16" x14ac:dyDescent="0.3">
      <c r="A35" t="s">
        <v>15</v>
      </c>
      <c r="B35" t="s">
        <v>27</v>
      </c>
      <c r="C35" t="s">
        <v>4</v>
      </c>
      <c r="D35" s="1">
        <v>2576</v>
      </c>
      <c r="E35" s="1">
        <v>2244</v>
      </c>
      <c r="F35">
        <v>24</v>
      </c>
      <c r="G35">
        <v>613</v>
      </c>
      <c r="H35">
        <v>523</v>
      </c>
      <c r="I35">
        <v>517</v>
      </c>
      <c r="J35">
        <v>2</v>
      </c>
      <c r="K35">
        <v>207</v>
      </c>
      <c r="L35">
        <v>312</v>
      </c>
      <c r="M35">
        <v>46</v>
      </c>
      <c r="N35">
        <v>332</v>
      </c>
      <c r="O35">
        <v>332</v>
      </c>
      <c r="P35">
        <v>0</v>
      </c>
    </row>
    <row r="36" spans="1:16" x14ac:dyDescent="0.3">
      <c r="A36" t="s">
        <v>15</v>
      </c>
      <c r="B36" t="s">
        <v>27</v>
      </c>
      <c r="C36" t="s">
        <v>17</v>
      </c>
      <c r="D36">
        <v>885</v>
      </c>
      <c r="E36">
        <v>793</v>
      </c>
      <c r="F36">
        <v>12</v>
      </c>
      <c r="G36">
        <v>163</v>
      </c>
      <c r="H36">
        <v>189</v>
      </c>
      <c r="I36">
        <v>288</v>
      </c>
      <c r="J36">
        <v>1</v>
      </c>
      <c r="K36">
        <v>79</v>
      </c>
      <c r="L36">
        <v>50</v>
      </c>
      <c r="M36">
        <v>11</v>
      </c>
      <c r="N36">
        <v>92</v>
      </c>
      <c r="O36">
        <v>92</v>
      </c>
      <c r="P36">
        <v>0</v>
      </c>
    </row>
    <row r="37" spans="1:16" x14ac:dyDescent="0.3">
      <c r="A37" t="s">
        <v>15</v>
      </c>
      <c r="B37" t="s">
        <v>27</v>
      </c>
      <c r="C37" t="s">
        <v>18</v>
      </c>
      <c r="D37" s="1">
        <v>1691</v>
      </c>
      <c r="E37" s="1">
        <v>1451</v>
      </c>
      <c r="F37">
        <v>12</v>
      </c>
      <c r="G37">
        <v>450</v>
      </c>
      <c r="H37">
        <v>334</v>
      </c>
      <c r="I37">
        <v>229</v>
      </c>
      <c r="J37">
        <v>1</v>
      </c>
      <c r="K37">
        <v>128</v>
      </c>
      <c r="L37">
        <v>262</v>
      </c>
      <c r="M37">
        <v>35</v>
      </c>
      <c r="N37">
        <v>240</v>
      </c>
      <c r="O37">
        <v>240</v>
      </c>
      <c r="P37">
        <v>0</v>
      </c>
    </row>
    <row r="38" spans="1:16" x14ac:dyDescent="0.3">
      <c r="A38" t="s">
        <v>15</v>
      </c>
      <c r="B38" t="s">
        <v>28</v>
      </c>
      <c r="C38" t="s">
        <v>4</v>
      </c>
      <c r="D38" s="1">
        <v>2308</v>
      </c>
      <c r="E38" s="1">
        <v>2122</v>
      </c>
      <c r="F38">
        <v>35</v>
      </c>
      <c r="G38">
        <v>353</v>
      </c>
      <c r="H38">
        <v>681</v>
      </c>
      <c r="I38">
        <v>952</v>
      </c>
      <c r="J38">
        <v>6</v>
      </c>
      <c r="K38">
        <v>24</v>
      </c>
      <c r="L38">
        <v>71</v>
      </c>
      <c r="M38">
        <v>0</v>
      </c>
      <c r="N38">
        <v>186</v>
      </c>
      <c r="O38">
        <v>186</v>
      </c>
      <c r="P38">
        <v>0</v>
      </c>
    </row>
    <row r="39" spans="1:16" x14ac:dyDescent="0.3">
      <c r="A39" t="s">
        <v>15</v>
      </c>
      <c r="B39" t="s">
        <v>28</v>
      </c>
      <c r="C39" t="s">
        <v>17</v>
      </c>
      <c r="D39" s="1">
        <v>1714</v>
      </c>
      <c r="E39" s="1">
        <v>1590</v>
      </c>
      <c r="F39">
        <v>31</v>
      </c>
      <c r="G39">
        <v>296</v>
      </c>
      <c r="H39">
        <v>487</v>
      </c>
      <c r="I39">
        <v>729</v>
      </c>
      <c r="J39">
        <v>4</v>
      </c>
      <c r="K39">
        <v>14</v>
      </c>
      <c r="L39">
        <v>29</v>
      </c>
      <c r="M39">
        <v>0</v>
      </c>
      <c r="N39">
        <v>124</v>
      </c>
      <c r="O39">
        <v>124</v>
      </c>
      <c r="P39">
        <v>0</v>
      </c>
    </row>
    <row r="40" spans="1:16" x14ac:dyDescent="0.3">
      <c r="A40" t="s">
        <v>15</v>
      </c>
      <c r="B40" t="s">
        <v>28</v>
      </c>
      <c r="C40" t="s">
        <v>18</v>
      </c>
      <c r="D40">
        <v>594</v>
      </c>
      <c r="E40">
        <v>532</v>
      </c>
      <c r="F40">
        <v>4</v>
      </c>
      <c r="G40">
        <v>57</v>
      </c>
      <c r="H40">
        <v>194</v>
      </c>
      <c r="I40">
        <v>223</v>
      </c>
      <c r="J40">
        <v>2</v>
      </c>
      <c r="K40">
        <v>10</v>
      </c>
      <c r="L40">
        <v>42</v>
      </c>
      <c r="M40">
        <v>0</v>
      </c>
      <c r="N40">
        <v>62</v>
      </c>
      <c r="O40">
        <v>62</v>
      </c>
      <c r="P40">
        <v>0</v>
      </c>
    </row>
    <row r="41" spans="1:16" x14ac:dyDescent="0.3">
      <c r="A41" t="s">
        <v>15</v>
      </c>
      <c r="B41" t="s">
        <v>29</v>
      </c>
      <c r="C41" t="s">
        <v>4</v>
      </c>
      <c r="D41" s="1">
        <v>2166</v>
      </c>
      <c r="E41" s="1">
        <v>1890</v>
      </c>
      <c r="F41">
        <v>15</v>
      </c>
      <c r="G41">
        <v>346</v>
      </c>
      <c r="H41">
        <v>418</v>
      </c>
      <c r="I41">
        <v>894</v>
      </c>
      <c r="J41">
        <v>8</v>
      </c>
      <c r="K41">
        <v>46</v>
      </c>
      <c r="L41">
        <v>152</v>
      </c>
      <c r="M41">
        <v>11</v>
      </c>
      <c r="N41">
        <v>276</v>
      </c>
      <c r="O41">
        <v>275</v>
      </c>
      <c r="P41">
        <v>1</v>
      </c>
    </row>
    <row r="42" spans="1:16" x14ac:dyDescent="0.3">
      <c r="A42" t="s">
        <v>15</v>
      </c>
      <c r="B42" t="s">
        <v>29</v>
      </c>
      <c r="C42" t="s">
        <v>17</v>
      </c>
      <c r="D42">
        <v>867</v>
      </c>
      <c r="E42">
        <v>788</v>
      </c>
      <c r="F42">
        <v>10</v>
      </c>
      <c r="G42">
        <v>137</v>
      </c>
      <c r="H42">
        <v>136</v>
      </c>
      <c r="I42">
        <v>459</v>
      </c>
      <c r="J42">
        <v>7</v>
      </c>
      <c r="K42">
        <v>18</v>
      </c>
      <c r="L42">
        <v>16</v>
      </c>
      <c r="M42">
        <v>5</v>
      </c>
      <c r="N42">
        <v>79</v>
      </c>
      <c r="O42">
        <v>79</v>
      </c>
      <c r="P42">
        <v>0</v>
      </c>
    </row>
    <row r="43" spans="1:16" x14ac:dyDescent="0.3">
      <c r="A43" t="s">
        <v>15</v>
      </c>
      <c r="B43" t="s">
        <v>29</v>
      </c>
      <c r="C43" t="s">
        <v>18</v>
      </c>
      <c r="D43" s="1">
        <v>1299</v>
      </c>
      <c r="E43" s="1">
        <v>1102</v>
      </c>
      <c r="F43">
        <v>5</v>
      </c>
      <c r="G43">
        <v>209</v>
      </c>
      <c r="H43">
        <v>282</v>
      </c>
      <c r="I43">
        <v>435</v>
      </c>
      <c r="J43">
        <v>1</v>
      </c>
      <c r="K43">
        <v>28</v>
      </c>
      <c r="L43">
        <v>136</v>
      </c>
      <c r="M43">
        <v>6</v>
      </c>
      <c r="N43">
        <v>197</v>
      </c>
      <c r="O43">
        <v>196</v>
      </c>
      <c r="P43">
        <v>1</v>
      </c>
    </row>
    <row r="44" spans="1:16" x14ac:dyDescent="0.3">
      <c r="A44" t="s">
        <v>15</v>
      </c>
      <c r="B44" t="s">
        <v>30</v>
      </c>
      <c r="C44" t="s">
        <v>4</v>
      </c>
      <c r="D44" s="1">
        <v>1808</v>
      </c>
      <c r="E44" s="1">
        <v>1464</v>
      </c>
      <c r="F44">
        <v>50</v>
      </c>
      <c r="G44">
        <v>980</v>
      </c>
      <c r="H44">
        <v>173</v>
      </c>
      <c r="I44">
        <v>37</v>
      </c>
      <c r="J44">
        <v>0</v>
      </c>
      <c r="K44">
        <v>113</v>
      </c>
      <c r="L44">
        <v>110</v>
      </c>
      <c r="M44">
        <v>1</v>
      </c>
      <c r="N44">
        <v>344</v>
      </c>
      <c r="O44">
        <v>344</v>
      </c>
      <c r="P44">
        <v>0</v>
      </c>
    </row>
    <row r="45" spans="1:16" x14ac:dyDescent="0.3">
      <c r="A45" t="s">
        <v>15</v>
      </c>
      <c r="B45" t="s">
        <v>30</v>
      </c>
      <c r="C45" t="s">
        <v>17</v>
      </c>
      <c r="D45">
        <v>502</v>
      </c>
      <c r="E45">
        <v>419</v>
      </c>
      <c r="F45">
        <v>9</v>
      </c>
      <c r="G45">
        <v>331</v>
      </c>
      <c r="H45">
        <v>32</v>
      </c>
      <c r="I45">
        <v>17</v>
      </c>
      <c r="J45">
        <v>0</v>
      </c>
      <c r="K45">
        <v>22</v>
      </c>
      <c r="L45">
        <v>8</v>
      </c>
      <c r="M45">
        <v>0</v>
      </c>
      <c r="N45">
        <v>83</v>
      </c>
      <c r="O45">
        <v>83</v>
      </c>
      <c r="P45">
        <v>0</v>
      </c>
    </row>
    <row r="46" spans="1:16" x14ac:dyDescent="0.3">
      <c r="A46" t="s">
        <v>15</v>
      </c>
      <c r="B46" t="s">
        <v>30</v>
      </c>
      <c r="C46" t="s">
        <v>18</v>
      </c>
      <c r="D46" s="1">
        <v>1306</v>
      </c>
      <c r="E46" s="1">
        <v>1045</v>
      </c>
      <c r="F46">
        <v>41</v>
      </c>
      <c r="G46">
        <v>649</v>
      </c>
      <c r="H46">
        <v>141</v>
      </c>
      <c r="I46">
        <v>20</v>
      </c>
      <c r="J46">
        <v>0</v>
      </c>
      <c r="K46">
        <v>91</v>
      </c>
      <c r="L46">
        <v>102</v>
      </c>
      <c r="M46">
        <v>1</v>
      </c>
      <c r="N46">
        <v>261</v>
      </c>
      <c r="O46">
        <v>261</v>
      </c>
      <c r="P46">
        <v>0</v>
      </c>
    </row>
    <row r="47" spans="1:16" x14ac:dyDescent="0.3">
      <c r="A47" t="s">
        <v>15</v>
      </c>
      <c r="B47" t="s">
        <v>31</v>
      </c>
      <c r="C47" t="s">
        <v>4</v>
      </c>
      <c r="D47" s="1">
        <v>1598</v>
      </c>
      <c r="E47" s="1">
        <v>1054</v>
      </c>
      <c r="F47">
        <v>176</v>
      </c>
      <c r="G47">
        <v>251</v>
      </c>
      <c r="H47">
        <v>480</v>
      </c>
      <c r="I47">
        <v>118</v>
      </c>
      <c r="J47">
        <v>1</v>
      </c>
      <c r="K47">
        <v>5</v>
      </c>
      <c r="L47">
        <v>23</v>
      </c>
      <c r="M47">
        <v>0</v>
      </c>
      <c r="N47">
        <v>544</v>
      </c>
      <c r="O47">
        <v>542</v>
      </c>
      <c r="P47">
        <v>2</v>
      </c>
    </row>
    <row r="48" spans="1:16" x14ac:dyDescent="0.3">
      <c r="A48" t="s">
        <v>15</v>
      </c>
      <c r="B48" t="s">
        <v>31</v>
      </c>
      <c r="C48" t="s">
        <v>17</v>
      </c>
      <c r="D48">
        <v>601</v>
      </c>
      <c r="E48">
        <v>369</v>
      </c>
      <c r="F48">
        <v>83</v>
      </c>
      <c r="G48">
        <v>87</v>
      </c>
      <c r="H48">
        <v>146</v>
      </c>
      <c r="I48">
        <v>51</v>
      </c>
      <c r="J48">
        <v>0</v>
      </c>
      <c r="K48">
        <v>1</v>
      </c>
      <c r="L48">
        <v>1</v>
      </c>
      <c r="M48">
        <v>0</v>
      </c>
      <c r="N48">
        <v>232</v>
      </c>
      <c r="O48">
        <v>232</v>
      </c>
      <c r="P48">
        <v>0</v>
      </c>
    </row>
    <row r="49" spans="1:16" x14ac:dyDescent="0.3">
      <c r="A49" t="s">
        <v>15</v>
      </c>
      <c r="B49" t="s">
        <v>31</v>
      </c>
      <c r="C49" t="s">
        <v>18</v>
      </c>
      <c r="D49">
        <v>997</v>
      </c>
      <c r="E49">
        <v>685</v>
      </c>
      <c r="F49">
        <v>93</v>
      </c>
      <c r="G49">
        <v>164</v>
      </c>
      <c r="H49">
        <v>334</v>
      </c>
      <c r="I49">
        <v>67</v>
      </c>
      <c r="J49">
        <v>1</v>
      </c>
      <c r="K49">
        <v>4</v>
      </c>
      <c r="L49">
        <v>22</v>
      </c>
      <c r="M49">
        <v>0</v>
      </c>
      <c r="N49">
        <v>312</v>
      </c>
      <c r="O49">
        <v>310</v>
      </c>
      <c r="P49">
        <v>2</v>
      </c>
    </row>
    <row r="50" spans="1:16" x14ac:dyDescent="0.3">
      <c r="A50" t="s">
        <v>15</v>
      </c>
      <c r="B50" t="s">
        <v>32</v>
      </c>
      <c r="C50" t="s">
        <v>4</v>
      </c>
      <c r="D50" s="1">
        <v>1535</v>
      </c>
      <c r="E50" s="1">
        <v>1043</v>
      </c>
      <c r="F50">
        <v>4</v>
      </c>
      <c r="G50">
        <v>221</v>
      </c>
      <c r="H50">
        <v>358</v>
      </c>
      <c r="I50">
        <v>31</v>
      </c>
      <c r="J50">
        <v>1</v>
      </c>
      <c r="K50">
        <v>414</v>
      </c>
      <c r="L50">
        <v>10</v>
      </c>
      <c r="M50">
        <v>4</v>
      </c>
      <c r="N50">
        <v>492</v>
      </c>
      <c r="O50">
        <v>492</v>
      </c>
      <c r="P50">
        <v>0</v>
      </c>
    </row>
    <row r="51" spans="1:16" x14ac:dyDescent="0.3">
      <c r="A51" t="s">
        <v>15</v>
      </c>
      <c r="B51" t="s">
        <v>32</v>
      </c>
      <c r="C51" t="s">
        <v>17</v>
      </c>
      <c r="D51">
        <v>190</v>
      </c>
      <c r="E51">
        <v>127</v>
      </c>
      <c r="F51">
        <v>0</v>
      </c>
      <c r="G51">
        <v>37</v>
      </c>
      <c r="H51">
        <v>32</v>
      </c>
      <c r="I51">
        <v>12</v>
      </c>
      <c r="J51">
        <v>1</v>
      </c>
      <c r="K51">
        <v>43</v>
      </c>
      <c r="L51">
        <v>2</v>
      </c>
      <c r="M51">
        <v>0</v>
      </c>
      <c r="N51">
        <v>63</v>
      </c>
      <c r="O51">
        <v>63</v>
      </c>
      <c r="P51">
        <v>0</v>
      </c>
    </row>
    <row r="52" spans="1:16" x14ac:dyDescent="0.3">
      <c r="A52" t="s">
        <v>15</v>
      </c>
      <c r="B52" t="s">
        <v>32</v>
      </c>
      <c r="C52" t="s">
        <v>18</v>
      </c>
      <c r="D52" s="1">
        <v>1345</v>
      </c>
      <c r="E52">
        <v>916</v>
      </c>
      <c r="F52">
        <v>4</v>
      </c>
      <c r="G52">
        <v>184</v>
      </c>
      <c r="H52">
        <v>326</v>
      </c>
      <c r="I52">
        <v>19</v>
      </c>
      <c r="J52">
        <v>0</v>
      </c>
      <c r="K52">
        <v>371</v>
      </c>
      <c r="L52">
        <v>8</v>
      </c>
      <c r="M52">
        <v>4</v>
      </c>
      <c r="N52">
        <v>429</v>
      </c>
      <c r="O52">
        <v>429</v>
      </c>
      <c r="P52">
        <v>0</v>
      </c>
    </row>
    <row r="53" spans="1:16" x14ac:dyDescent="0.3">
      <c r="A53" t="s">
        <v>15</v>
      </c>
      <c r="B53" t="s">
        <v>33</v>
      </c>
      <c r="C53" t="s">
        <v>4</v>
      </c>
      <c r="D53" s="1">
        <v>1224</v>
      </c>
      <c r="E53" s="1">
        <v>1079</v>
      </c>
      <c r="F53">
        <v>11</v>
      </c>
      <c r="G53">
        <v>777</v>
      </c>
      <c r="H53">
        <v>92</v>
      </c>
      <c r="I53">
        <v>44</v>
      </c>
      <c r="J53">
        <v>0</v>
      </c>
      <c r="K53">
        <v>97</v>
      </c>
      <c r="L53">
        <v>58</v>
      </c>
      <c r="M53">
        <v>0</v>
      </c>
      <c r="N53">
        <v>145</v>
      </c>
      <c r="O53">
        <v>145</v>
      </c>
      <c r="P53">
        <v>0</v>
      </c>
    </row>
    <row r="54" spans="1:16" x14ac:dyDescent="0.3">
      <c r="A54" t="s">
        <v>15</v>
      </c>
      <c r="B54" t="s">
        <v>33</v>
      </c>
      <c r="C54" t="s">
        <v>17</v>
      </c>
      <c r="D54">
        <v>411</v>
      </c>
      <c r="E54">
        <v>366</v>
      </c>
      <c r="F54">
        <v>4</v>
      </c>
      <c r="G54">
        <v>288</v>
      </c>
      <c r="H54">
        <v>27</v>
      </c>
      <c r="I54">
        <v>14</v>
      </c>
      <c r="J54">
        <v>0</v>
      </c>
      <c r="K54">
        <v>27</v>
      </c>
      <c r="L54">
        <v>6</v>
      </c>
      <c r="M54">
        <v>0</v>
      </c>
      <c r="N54">
        <v>45</v>
      </c>
      <c r="O54">
        <v>45</v>
      </c>
      <c r="P54">
        <v>0</v>
      </c>
    </row>
    <row r="55" spans="1:16" x14ac:dyDescent="0.3">
      <c r="A55" t="s">
        <v>15</v>
      </c>
      <c r="B55" t="s">
        <v>33</v>
      </c>
      <c r="C55" t="s">
        <v>18</v>
      </c>
      <c r="D55">
        <v>813</v>
      </c>
      <c r="E55">
        <v>713</v>
      </c>
      <c r="F55">
        <v>7</v>
      </c>
      <c r="G55">
        <v>489</v>
      </c>
      <c r="H55">
        <v>65</v>
      </c>
      <c r="I55">
        <v>30</v>
      </c>
      <c r="J55">
        <v>0</v>
      </c>
      <c r="K55">
        <v>70</v>
      </c>
      <c r="L55">
        <v>52</v>
      </c>
      <c r="M55">
        <v>0</v>
      </c>
      <c r="N55">
        <v>100</v>
      </c>
      <c r="O55">
        <v>100</v>
      </c>
      <c r="P55">
        <v>0</v>
      </c>
    </row>
    <row r="56" spans="1:16" x14ac:dyDescent="0.3">
      <c r="A56" t="s">
        <v>15</v>
      </c>
      <c r="B56" t="s">
        <v>34</v>
      </c>
      <c r="C56" t="s">
        <v>4</v>
      </c>
      <c r="D56">
        <v>939</v>
      </c>
      <c r="E56">
        <v>605</v>
      </c>
      <c r="F56">
        <v>46</v>
      </c>
      <c r="G56">
        <v>198</v>
      </c>
      <c r="H56">
        <v>143</v>
      </c>
      <c r="I56">
        <v>55</v>
      </c>
      <c r="J56">
        <v>8</v>
      </c>
      <c r="K56">
        <v>62</v>
      </c>
      <c r="L56">
        <v>78</v>
      </c>
      <c r="M56">
        <v>15</v>
      </c>
      <c r="N56">
        <v>334</v>
      </c>
      <c r="O56">
        <v>334</v>
      </c>
      <c r="P56">
        <v>0</v>
      </c>
    </row>
    <row r="57" spans="1:16" x14ac:dyDescent="0.3">
      <c r="A57" t="s">
        <v>15</v>
      </c>
      <c r="B57" t="s">
        <v>34</v>
      </c>
      <c r="C57" t="s">
        <v>17</v>
      </c>
      <c r="D57">
        <v>174</v>
      </c>
      <c r="E57">
        <v>136</v>
      </c>
      <c r="F57">
        <v>6</v>
      </c>
      <c r="G57">
        <v>55</v>
      </c>
      <c r="H57">
        <v>33</v>
      </c>
      <c r="I57">
        <v>23</v>
      </c>
      <c r="J57">
        <v>2</v>
      </c>
      <c r="K57">
        <v>13</v>
      </c>
      <c r="L57">
        <v>4</v>
      </c>
      <c r="M57">
        <v>0</v>
      </c>
      <c r="N57">
        <v>38</v>
      </c>
      <c r="O57">
        <v>38</v>
      </c>
      <c r="P57">
        <v>0</v>
      </c>
    </row>
    <row r="58" spans="1:16" x14ac:dyDescent="0.3">
      <c r="A58" t="s">
        <v>15</v>
      </c>
      <c r="B58" t="s">
        <v>34</v>
      </c>
      <c r="C58" t="s">
        <v>18</v>
      </c>
      <c r="D58">
        <v>765</v>
      </c>
      <c r="E58">
        <v>469</v>
      </c>
      <c r="F58">
        <v>40</v>
      </c>
      <c r="G58">
        <v>143</v>
      </c>
      <c r="H58">
        <v>110</v>
      </c>
      <c r="I58">
        <v>32</v>
      </c>
      <c r="J58">
        <v>6</v>
      </c>
      <c r="K58">
        <v>49</v>
      </c>
      <c r="L58">
        <v>74</v>
      </c>
      <c r="M58">
        <v>15</v>
      </c>
      <c r="N58">
        <v>296</v>
      </c>
      <c r="O58">
        <v>296</v>
      </c>
      <c r="P58">
        <v>0</v>
      </c>
    </row>
    <row r="59" spans="1:16" x14ac:dyDescent="0.3">
      <c r="A59" t="s">
        <v>15</v>
      </c>
      <c r="B59" t="s">
        <v>35</v>
      </c>
      <c r="C59" t="s">
        <v>4</v>
      </c>
      <c r="D59">
        <v>805</v>
      </c>
      <c r="E59">
        <v>658</v>
      </c>
      <c r="F59">
        <v>28</v>
      </c>
      <c r="G59">
        <v>147</v>
      </c>
      <c r="H59">
        <v>178</v>
      </c>
      <c r="I59">
        <v>171</v>
      </c>
      <c r="J59">
        <v>1</v>
      </c>
      <c r="K59">
        <v>33</v>
      </c>
      <c r="L59">
        <v>96</v>
      </c>
      <c r="M59">
        <v>4</v>
      </c>
      <c r="N59">
        <v>147</v>
      </c>
      <c r="O59">
        <v>147</v>
      </c>
      <c r="P59">
        <v>0</v>
      </c>
    </row>
    <row r="60" spans="1:16" x14ac:dyDescent="0.3">
      <c r="A60" t="s">
        <v>15</v>
      </c>
      <c r="B60" t="s">
        <v>35</v>
      </c>
      <c r="C60" t="s">
        <v>17</v>
      </c>
      <c r="D60">
        <v>305</v>
      </c>
      <c r="E60">
        <v>257</v>
      </c>
      <c r="F60">
        <v>15</v>
      </c>
      <c r="G60">
        <v>52</v>
      </c>
      <c r="H60">
        <v>72</v>
      </c>
      <c r="I60">
        <v>84</v>
      </c>
      <c r="J60">
        <v>0</v>
      </c>
      <c r="K60">
        <v>11</v>
      </c>
      <c r="L60">
        <v>21</v>
      </c>
      <c r="M60">
        <v>2</v>
      </c>
      <c r="N60">
        <v>48</v>
      </c>
      <c r="O60">
        <v>48</v>
      </c>
      <c r="P60">
        <v>0</v>
      </c>
    </row>
    <row r="61" spans="1:16" x14ac:dyDescent="0.3">
      <c r="A61" t="s">
        <v>15</v>
      </c>
      <c r="B61" t="s">
        <v>35</v>
      </c>
      <c r="C61" t="s">
        <v>18</v>
      </c>
      <c r="D61">
        <v>500</v>
      </c>
      <c r="E61">
        <v>401</v>
      </c>
      <c r="F61">
        <v>13</v>
      </c>
      <c r="G61">
        <v>95</v>
      </c>
      <c r="H61">
        <v>106</v>
      </c>
      <c r="I61">
        <v>87</v>
      </c>
      <c r="J61">
        <v>1</v>
      </c>
      <c r="K61">
        <v>22</v>
      </c>
      <c r="L61">
        <v>75</v>
      </c>
      <c r="M61">
        <v>2</v>
      </c>
      <c r="N61">
        <v>99</v>
      </c>
      <c r="O61">
        <v>99</v>
      </c>
      <c r="P61">
        <v>0</v>
      </c>
    </row>
    <row r="62" spans="1:16" x14ac:dyDescent="0.3">
      <c r="A62" t="s">
        <v>15</v>
      </c>
      <c r="B62" t="s">
        <v>36</v>
      </c>
      <c r="C62" t="s">
        <v>4</v>
      </c>
      <c r="D62">
        <v>793</v>
      </c>
      <c r="E62">
        <v>495</v>
      </c>
      <c r="F62">
        <v>85</v>
      </c>
      <c r="G62">
        <v>144</v>
      </c>
      <c r="H62">
        <v>69</v>
      </c>
      <c r="I62">
        <v>61</v>
      </c>
      <c r="J62">
        <v>3</v>
      </c>
      <c r="K62">
        <v>88</v>
      </c>
      <c r="L62">
        <v>43</v>
      </c>
      <c r="M62">
        <v>2</v>
      </c>
      <c r="N62">
        <v>298</v>
      </c>
      <c r="O62">
        <v>298</v>
      </c>
      <c r="P62">
        <v>0</v>
      </c>
    </row>
    <row r="63" spans="1:16" x14ac:dyDescent="0.3">
      <c r="A63" t="s">
        <v>15</v>
      </c>
      <c r="B63" t="s">
        <v>36</v>
      </c>
      <c r="C63" t="s">
        <v>17</v>
      </c>
      <c r="D63">
        <v>181</v>
      </c>
      <c r="E63">
        <v>118</v>
      </c>
      <c r="F63">
        <v>22</v>
      </c>
      <c r="G63">
        <v>31</v>
      </c>
      <c r="H63">
        <v>8</v>
      </c>
      <c r="I63">
        <v>21</v>
      </c>
      <c r="J63">
        <v>1</v>
      </c>
      <c r="K63">
        <v>28</v>
      </c>
      <c r="L63">
        <v>7</v>
      </c>
      <c r="M63">
        <v>0</v>
      </c>
      <c r="N63">
        <v>63</v>
      </c>
      <c r="O63">
        <v>63</v>
      </c>
      <c r="P63">
        <v>0</v>
      </c>
    </row>
    <row r="64" spans="1:16" x14ac:dyDescent="0.3">
      <c r="A64" t="s">
        <v>15</v>
      </c>
      <c r="B64" t="s">
        <v>36</v>
      </c>
      <c r="C64" t="s">
        <v>18</v>
      </c>
      <c r="D64">
        <v>612</v>
      </c>
      <c r="E64">
        <v>377</v>
      </c>
      <c r="F64">
        <v>63</v>
      </c>
      <c r="G64">
        <v>113</v>
      </c>
      <c r="H64">
        <v>61</v>
      </c>
      <c r="I64">
        <v>40</v>
      </c>
      <c r="J64">
        <v>2</v>
      </c>
      <c r="K64">
        <v>60</v>
      </c>
      <c r="L64">
        <v>36</v>
      </c>
      <c r="M64">
        <v>2</v>
      </c>
      <c r="N64">
        <v>235</v>
      </c>
      <c r="O64">
        <v>235</v>
      </c>
      <c r="P64">
        <v>0</v>
      </c>
    </row>
    <row r="65" spans="1:16" x14ac:dyDescent="0.3">
      <c r="A65" t="s">
        <v>15</v>
      </c>
      <c r="B65" t="s">
        <v>37</v>
      </c>
      <c r="C65" t="s">
        <v>4</v>
      </c>
      <c r="D65">
        <v>586</v>
      </c>
      <c r="E65">
        <v>448</v>
      </c>
      <c r="F65">
        <v>5</v>
      </c>
      <c r="G65">
        <v>279</v>
      </c>
      <c r="H65">
        <v>99</v>
      </c>
      <c r="I65">
        <v>12</v>
      </c>
      <c r="J65">
        <v>1</v>
      </c>
      <c r="K65">
        <v>43</v>
      </c>
      <c r="L65">
        <v>3</v>
      </c>
      <c r="M65">
        <v>6</v>
      </c>
      <c r="N65">
        <v>138</v>
      </c>
      <c r="O65">
        <v>138</v>
      </c>
      <c r="P65">
        <v>0</v>
      </c>
    </row>
    <row r="66" spans="1:16" x14ac:dyDescent="0.3">
      <c r="A66" t="s">
        <v>15</v>
      </c>
      <c r="B66" t="s">
        <v>37</v>
      </c>
      <c r="C66" t="s">
        <v>17</v>
      </c>
      <c r="D66">
        <v>80</v>
      </c>
      <c r="E66">
        <v>62</v>
      </c>
      <c r="F66">
        <v>1</v>
      </c>
      <c r="G66">
        <v>35</v>
      </c>
      <c r="H66">
        <v>14</v>
      </c>
      <c r="I66">
        <v>2</v>
      </c>
      <c r="J66">
        <v>1</v>
      </c>
      <c r="K66">
        <v>7</v>
      </c>
      <c r="L66">
        <v>0</v>
      </c>
      <c r="M66">
        <v>2</v>
      </c>
      <c r="N66">
        <v>18</v>
      </c>
      <c r="O66">
        <v>18</v>
      </c>
      <c r="P66">
        <v>0</v>
      </c>
    </row>
    <row r="67" spans="1:16" x14ac:dyDescent="0.3">
      <c r="A67" t="s">
        <v>15</v>
      </c>
      <c r="B67" t="s">
        <v>37</v>
      </c>
      <c r="C67" t="s">
        <v>18</v>
      </c>
      <c r="D67">
        <v>506</v>
      </c>
      <c r="E67">
        <v>386</v>
      </c>
      <c r="F67">
        <v>4</v>
      </c>
      <c r="G67">
        <v>244</v>
      </c>
      <c r="H67">
        <v>85</v>
      </c>
      <c r="I67">
        <v>10</v>
      </c>
      <c r="J67">
        <v>0</v>
      </c>
      <c r="K67">
        <v>36</v>
      </c>
      <c r="L67">
        <v>3</v>
      </c>
      <c r="M67">
        <v>4</v>
      </c>
      <c r="N67">
        <v>120</v>
      </c>
      <c r="O67">
        <v>120</v>
      </c>
      <c r="P67">
        <v>0</v>
      </c>
    </row>
    <row r="68" spans="1:16" x14ac:dyDescent="0.3">
      <c r="A68" t="s">
        <v>15</v>
      </c>
      <c r="B68" t="s">
        <v>38</v>
      </c>
      <c r="C68" t="s">
        <v>4</v>
      </c>
      <c r="D68">
        <v>523</v>
      </c>
      <c r="E68">
        <v>371</v>
      </c>
      <c r="F68">
        <v>14</v>
      </c>
      <c r="G68">
        <v>58</v>
      </c>
      <c r="H68">
        <v>134</v>
      </c>
      <c r="I68">
        <v>77</v>
      </c>
      <c r="J68">
        <v>0</v>
      </c>
      <c r="K68">
        <v>11</v>
      </c>
      <c r="L68">
        <v>77</v>
      </c>
      <c r="M68">
        <v>0</v>
      </c>
      <c r="N68">
        <v>152</v>
      </c>
      <c r="O68">
        <v>152</v>
      </c>
      <c r="P68">
        <v>0</v>
      </c>
    </row>
    <row r="69" spans="1:16" x14ac:dyDescent="0.3">
      <c r="A69" t="s">
        <v>15</v>
      </c>
      <c r="B69" t="s">
        <v>38</v>
      </c>
      <c r="C69" t="s">
        <v>17</v>
      </c>
      <c r="D69">
        <v>255</v>
      </c>
      <c r="E69">
        <v>195</v>
      </c>
      <c r="F69">
        <v>8</v>
      </c>
      <c r="G69">
        <v>21</v>
      </c>
      <c r="H69">
        <v>68</v>
      </c>
      <c r="I69">
        <v>56</v>
      </c>
      <c r="J69">
        <v>0</v>
      </c>
      <c r="K69">
        <v>6</v>
      </c>
      <c r="L69">
        <v>36</v>
      </c>
      <c r="M69">
        <v>0</v>
      </c>
      <c r="N69">
        <v>60</v>
      </c>
      <c r="O69">
        <v>60</v>
      </c>
      <c r="P69">
        <v>0</v>
      </c>
    </row>
    <row r="70" spans="1:16" x14ac:dyDescent="0.3">
      <c r="A70" t="s">
        <v>15</v>
      </c>
      <c r="B70" t="s">
        <v>38</v>
      </c>
      <c r="C70" t="s">
        <v>18</v>
      </c>
      <c r="D70">
        <v>268</v>
      </c>
      <c r="E70">
        <v>176</v>
      </c>
      <c r="F70">
        <v>6</v>
      </c>
      <c r="G70">
        <v>37</v>
      </c>
      <c r="H70">
        <v>66</v>
      </c>
      <c r="I70">
        <v>21</v>
      </c>
      <c r="J70">
        <v>0</v>
      </c>
      <c r="K70">
        <v>5</v>
      </c>
      <c r="L70">
        <v>41</v>
      </c>
      <c r="M70">
        <v>0</v>
      </c>
      <c r="N70">
        <v>92</v>
      </c>
      <c r="O70">
        <v>92</v>
      </c>
      <c r="P70">
        <v>0</v>
      </c>
    </row>
    <row r="71" spans="1:16" x14ac:dyDescent="0.3">
      <c r="A71" t="s">
        <v>15</v>
      </c>
      <c r="B71" t="s">
        <v>39</v>
      </c>
      <c r="C71" t="s">
        <v>4</v>
      </c>
      <c r="D71">
        <v>455</v>
      </c>
      <c r="E71">
        <v>333</v>
      </c>
      <c r="F71">
        <v>16</v>
      </c>
      <c r="G71">
        <v>96</v>
      </c>
      <c r="H71">
        <v>59</v>
      </c>
      <c r="I71">
        <v>106</v>
      </c>
      <c r="J71">
        <v>2</v>
      </c>
      <c r="K71">
        <v>3</v>
      </c>
      <c r="L71">
        <v>51</v>
      </c>
      <c r="M71">
        <v>0</v>
      </c>
      <c r="N71">
        <v>122</v>
      </c>
      <c r="O71">
        <v>122</v>
      </c>
      <c r="P71">
        <v>0</v>
      </c>
    </row>
    <row r="72" spans="1:16" x14ac:dyDescent="0.3">
      <c r="A72" t="s">
        <v>15</v>
      </c>
      <c r="B72" t="s">
        <v>39</v>
      </c>
      <c r="C72" t="s">
        <v>17</v>
      </c>
      <c r="D72">
        <v>108</v>
      </c>
      <c r="E72">
        <v>97</v>
      </c>
      <c r="F72">
        <v>1</v>
      </c>
      <c r="G72">
        <v>13</v>
      </c>
      <c r="H72">
        <v>15</v>
      </c>
      <c r="I72">
        <v>63</v>
      </c>
      <c r="J72">
        <v>1</v>
      </c>
      <c r="K72">
        <v>2</v>
      </c>
      <c r="L72">
        <v>2</v>
      </c>
      <c r="M72">
        <v>0</v>
      </c>
      <c r="N72">
        <v>11</v>
      </c>
      <c r="O72">
        <v>11</v>
      </c>
      <c r="P72">
        <v>0</v>
      </c>
    </row>
    <row r="73" spans="1:16" x14ac:dyDescent="0.3">
      <c r="A73" t="s">
        <v>15</v>
      </c>
      <c r="B73" t="s">
        <v>39</v>
      </c>
      <c r="C73" t="s">
        <v>18</v>
      </c>
      <c r="D73">
        <v>347</v>
      </c>
      <c r="E73">
        <v>236</v>
      </c>
      <c r="F73">
        <v>15</v>
      </c>
      <c r="G73">
        <v>83</v>
      </c>
      <c r="H73">
        <v>44</v>
      </c>
      <c r="I73">
        <v>43</v>
      </c>
      <c r="J73">
        <v>1</v>
      </c>
      <c r="K73">
        <v>1</v>
      </c>
      <c r="L73">
        <v>49</v>
      </c>
      <c r="M73">
        <v>0</v>
      </c>
      <c r="N73">
        <v>111</v>
      </c>
      <c r="O73">
        <v>111</v>
      </c>
      <c r="P73">
        <v>0</v>
      </c>
    </row>
    <row r="74" spans="1:16" x14ac:dyDescent="0.3">
      <c r="A74" t="s">
        <v>15</v>
      </c>
      <c r="B74" t="s">
        <v>40</v>
      </c>
      <c r="C74" t="s">
        <v>4</v>
      </c>
      <c r="D74">
        <v>420</v>
      </c>
      <c r="E74">
        <v>284</v>
      </c>
      <c r="F74">
        <v>88</v>
      </c>
      <c r="G74">
        <v>102</v>
      </c>
      <c r="H74">
        <v>42</v>
      </c>
      <c r="I74">
        <v>5</v>
      </c>
      <c r="J74">
        <v>0</v>
      </c>
      <c r="K74">
        <v>12</v>
      </c>
      <c r="L74">
        <v>35</v>
      </c>
      <c r="M74">
        <v>0</v>
      </c>
      <c r="N74">
        <v>136</v>
      </c>
      <c r="O74">
        <v>136</v>
      </c>
      <c r="P74">
        <v>0</v>
      </c>
    </row>
    <row r="75" spans="1:16" x14ac:dyDescent="0.3">
      <c r="A75" t="s">
        <v>15</v>
      </c>
      <c r="B75" t="s">
        <v>40</v>
      </c>
      <c r="C75" t="s">
        <v>17</v>
      </c>
      <c r="D75">
        <v>289</v>
      </c>
      <c r="E75">
        <v>191</v>
      </c>
      <c r="F75">
        <v>73</v>
      </c>
      <c r="G75">
        <v>75</v>
      </c>
      <c r="H75">
        <v>23</v>
      </c>
      <c r="I75">
        <v>2</v>
      </c>
      <c r="J75">
        <v>0</v>
      </c>
      <c r="K75">
        <v>3</v>
      </c>
      <c r="L75">
        <v>15</v>
      </c>
      <c r="M75">
        <v>0</v>
      </c>
      <c r="N75">
        <v>98</v>
      </c>
      <c r="O75">
        <v>98</v>
      </c>
      <c r="P75">
        <v>0</v>
      </c>
    </row>
    <row r="76" spans="1:16" x14ac:dyDescent="0.3">
      <c r="A76" t="s">
        <v>15</v>
      </c>
      <c r="B76" t="s">
        <v>40</v>
      </c>
      <c r="C76" t="s">
        <v>18</v>
      </c>
      <c r="D76">
        <v>131</v>
      </c>
      <c r="E76">
        <v>93</v>
      </c>
      <c r="F76">
        <v>15</v>
      </c>
      <c r="G76">
        <v>27</v>
      </c>
      <c r="H76">
        <v>19</v>
      </c>
      <c r="I76">
        <v>3</v>
      </c>
      <c r="J76">
        <v>0</v>
      </c>
      <c r="K76">
        <v>9</v>
      </c>
      <c r="L76">
        <v>20</v>
      </c>
      <c r="M76">
        <v>0</v>
      </c>
      <c r="N76">
        <v>38</v>
      </c>
      <c r="O76">
        <v>38</v>
      </c>
      <c r="P76">
        <v>0</v>
      </c>
    </row>
    <row r="77" spans="1:16" x14ac:dyDescent="0.3">
      <c r="A77" t="s">
        <v>15</v>
      </c>
      <c r="B77" t="s">
        <v>41</v>
      </c>
      <c r="C77" t="s">
        <v>4</v>
      </c>
      <c r="D77">
        <v>294</v>
      </c>
      <c r="E77">
        <v>247</v>
      </c>
      <c r="F77">
        <v>5</v>
      </c>
      <c r="G77">
        <v>78</v>
      </c>
      <c r="H77">
        <v>24</v>
      </c>
      <c r="I77">
        <v>2</v>
      </c>
      <c r="J77">
        <v>0</v>
      </c>
      <c r="K77">
        <v>126</v>
      </c>
      <c r="L77">
        <v>9</v>
      </c>
      <c r="M77">
        <v>3</v>
      </c>
      <c r="N77">
        <v>47</v>
      </c>
      <c r="O77">
        <v>47</v>
      </c>
      <c r="P77">
        <v>0</v>
      </c>
    </row>
    <row r="78" spans="1:16" x14ac:dyDescent="0.3">
      <c r="A78" t="s">
        <v>15</v>
      </c>
      <c r="B78" t="s">
        <v>41</v>
      </c>
      <c r="C78" t="s">
        <v>17</v>
      </c>
      <c r="D78">
        <v>92</v>
      </c>
      <c r="E78">
        <v>79</v>
      </c>
      <c r="F78">
        <v>2</v>
      </c>
      <c r="G78">
        <v>11</v>
      </c>
      <c r="H78">
        <v>2</v>
      </c>
      <c r="I78">
        <v>1</v>
      </c>
      <c r="J78">
        <v>0</v>
      </c>
      <c r="K78">
        <v>59</v>
      </c>
      <c r="L78">
        <v>3</v>
      </c>
      <c r="M78">
        <v>1</v>
      </c>
      <c r="N78">
        <v>13</v>
      </c>
      <c r="O78">
        <v>13</v>
      </c>
      <c r="P78">
        <v>0</v>
      </c>
    </row>
    <row r="79" spans="1:16" x14ac:dyDescent="0.3">
      <c r="A79" t="s">
        <v>15</v>
      </c>
      <c r="B79" t="s">
        <v>41</v>
      </c>
      <c r="C79" t="s">
        <v>18</v>
      </c>
      <c r="D79">
        <v>202</v>
      </c>
      <c r="E79">
        <v>168</v>
      </c>
      <c r="F79">
        <v>3</v>
      </c>
      <c r="G79">
        <v>67</v>
      </c>
      <c r="H79">
        <v>22</v>
      </c>
      <c r="I79">
        <v>1</v>
      </c>
      <c r="J79">
        <v>0</v>
      </c>
      <c r="K79">
        <v>67</v>
      </c>
      <c r="L79">
        <v>6</v>
      </c>
      <c r="M79">
        <v>2</v>
      </c>
      <c r="N79">
        <v>34</v>
      </c>
      <c r="O79">
        <v>34</v>
      </c>
      <c r="P79">
        <v>0</v>
      </c>
    </row>
    <row r="80" spans="1:16" x14ac:dyDescent="0.3">
      <c r="A80" t="s">
        <v>15</v>
      </c>
      <c r="B80" t="s">
        <v>42</v>
      </c>
      <c r="C80" t="s">
        <v>4</v>
      </c>
      <c r="D80">
        <v>238</v>
      </c>
      <c r="E80">
        <v>144</v>
      </c>
      <c r="F80">
        <v>26</v>
      </c>
      <c r="G80">
        <v>24</v>
      </c>
      <c r="H80">
        <v>48</v>
      </c>
      <c r="I80">
        <v>7</v>
      </c>
      <c r="J80">
        <v>0</v>
      </c>
      <c r="K80">
        <v>0</v>
      </c>
      <c r="L80">
        <v>39</v>
      </c>
      <c r="M80">
        <v>0</v>
      </c>
      <c r="N80">
        <v>94</v>
      </c>
      <c r="O80">
        <v>94</v>
      </c>
      <c r="P80">
        <v>0</v>
      </c>
    </row>
    <row r="81" spans="1:16" x14ac:dyDescent="0.3">
      <c r="A81" t="s">
        <v>15</v>
      </c>
      <c r="B81" t="s">
        <v>42</v>
      </c>
      <c r="C81" t="s">
        <v>17</v>
      </c>
      <c r="D81">
        <v>105</v>
      </c>
      <c r="E81">
        <v>63</v>
      </c>
      <c r="F81">
        <v>13</v>
      </c>
      <c r="G81">
        <v>8</v>
      </c>
      <c r="H81">
        <v>25</v>
      </c>
      <c r="I81">
        <v>4</v>
      </c>
      <c r="J81">
        <v>0</v>
      </c>
      <c r="K81">
        <v>0</v>
      </c>
      <c r="L81">
        <v>13</v>
      </c>
      <c r="M81">
        <v>0</v>
      </c>
      <c r="N81">
        <v>42</v>
      </c>
      <c r="O81">
        <v>42</v>
      </c>
      <c r="P81">
        <v>0</v>
      </c>
    </row>
    <row r="82" spans="1:16" x14ac:dyDescent="0.3">
      <c r="A82" t="s">
        <v>15</v>
      </c>
      <c r="B82" t="s">
        <v>42</v>
      </c>
      <c r="C82" t="s">
        <v>18</v>
      </c>
      <c r="D82">
        <v>133</v>
      </c>
      <c r="E82">
        <v>81</v>
      </c>
      <c r="F82">
        <v>13</v>
      </c>
      <c r="G82">
        <v>16</v>
      </c>
      <c r="H82">
        <v>23</v>
      </c>
      <c r="I82">
        <v>3</v>
      </c>
      <c r="J82">
        <v>0</v>
      </c>
      <c r="K82">
        <v>0</v>
      </c>
      <c r="L82">
        <v>26</v>
      </c>
      <c r="M82">
        <v>0</v>
      </c>
      <c r="N82">
        <v>52</v>
      </c>
      <c r="O82">
        <v>52</v>
      </c>
      <c r="P82">
        <v>0</v>
      </c>
    </row>
    <row r="83" spans="1:16" x14ac:dyDescent="0.3">
      <c r="A83" t="s">
        <v>15</v>
      </c>
      <c r="B83" t="s">
        <v>43</v>
      </c>
      <c r="C83" t="s">
        <v>4</v>
      </c>
      <c r="D83">
        <v>154</v>
      </c>
      <c r="E83">
        <v>150</v>
      </c>
      <c r="F83">
        <v>6</v>
      </c>
      <c r="G83">
        <v>86</v>
      </c>
      <c r="H83">
        <v>18</v>
      </c>
      <c r="I83">
        <v>39</v>
      </c>
      <c r="J83">
        <v>0</v>
      </c>
      <c r="K83">
        <v>1</v>
      </c>
      <c r="L83">
        <v>0</v>
      </c>
      <c r="M83">
        <v>0</v>
      </c>
      <c r="N83">
        <v>4</v>
      </c>
      <c r="O83">
        <v>4</v>
      </c>
      <c r="P83">
        <v>0</v>
      </c>
    </row>
    <row r="84" spans="1:16" x14ac:dyDescent="0.3">
      <c r="A84" t="s">
        <v>15</v>
      </c>
      <c r="B84" t="s">
        <v>43</v>
      </c>
      <c r="C84" t="s">
        <v>17</v>
      </c>
      <c r="D84">
        <v>74</v>
      </c>
      <c r="E84">
        <v>72</v>
      </c>
      <c r="F84">
        <v>4</v>
      </c>
      <c r="G84">
        <v>40</v>
      </c>
      <c r="H84">
        <v>6</v>
      </c>
      <c r="I84">
        <v>21</v>
      </c>
      <c r="J84">
        <v>0</v>
      </c>
      <c r="K84">
        <v>1</v>
      </c>
      <c r="L84">
        <v>0</v>
      </c>
      <c r="M84">
        <v>0</v>
      </c>
      <c r="N84">
        <v>2</v>
      </c>
      <c r="O84">
        <v>2</v>
      </c>
      <c r="P84">
        <v>0</v>
      </c>
    </row>
    <row r="85" spans="1:16" x14ac:dyDescent="0.3">
      <c r="A85" t="s">
        <v>15</v>
      </c>
      <c r="B85" t="s">
        <v>43</v>
      </c>
      <c r="C85" t="s">
        <v>18</v>
      </c>
      <c r="D85">
        <v>80</v>
      </c>
      <c r="E85">
        <v>78</v>
      </c>
      <c r="F85">
        <v>2</v>
      </c>
      <c r="G85">
        <v>46</v>
      </c>
      <c r="H85">
        <v>12</v>
      </c>
      <c r="I85">
        <v>18</v>
      </c>
      <c r="J85">
        <v>0</v>
      </c>
      <c r="K85">
        <v>0</v>
      </c>
      <c r="L85">
        <v>0</v>
      </c>
      <c r="M85">
        <v>0</v>
      </c>
      <c r="N85">
        <v>2</v>
      </c>
      <c r="O85">
        <v>2</v>
      </c>
      <c r="P85">
        <v>0</v>
      </c>
    </row>
    <row r="86" spans="1:16" x14ac:dyDescent="0.3">
      <c r="A86" t="s">
        <v>15</v>
      </c>
      <c r="B86" t="s">
        <v>44</v>
      </c>
      <c r="C86" t="s">
        <v>4</v>
      </c>
      <c r="D86">
        <v>98</v>
      </c>
      <c r="E86">
        <v>67</v>
      </c>
      <c r="F86">
        <v>1</v>
      </c>
      <c r="G86">
        <v>22</v>
      </c>
      <c r="H86">
        <v>14</v>
      </c>
      <c r="I86">
        <v>3</v>
      </c>
      <c r="J86">
        <v>0</v>
      </c>
      <c r="K86">
        <v>4</v>
      </c>
      <c r="L86">
        <v>23</v>
      </c>
      <c r="M86">
        <v>0</v>
      </c>
      <c r="N86">
        <v>31</v>
      </c>
      <c r="O86">
        <v>31</v>
      </c>
      <c r="P86">
        <v>0</v>
      </c>
    </row>
    <row r="87" spans="1:16" x14ac:dyDescent="0.3">
      <c r="A87" t="s">
        <v>15</v>
      </c>
      <c r="B87" t="s">
        <v>44</v>
      </c>
      <c r="C87" t="s">
        <v>17</v>
      </c>
      <c r="D87">
        <v>32</v>
      </c>
      <c r="E87">
        <v>21</v>
      </c>
      <c r="F87">
        <v>1</v>
      </c>
      <c r="G87">
        <v>11</v>
      </c>
      <c r="H87">
        <v>3</v>
      </c>
      <c r="I87">
        <v>2</v>
      </c>
      <c r="J87">
        <v>0</v>
      </c>
      <c r="K87">
        <v>1</v>
      </c>
      <c r="L87">
        <v>3</v>
      </c>
      <c r="M87">
        <v>0</v>
      </c>
      <c r="N87">
        <v>11</v>
      </c>
      <c r="O87">
        <v>11</v>
      </c>
      <c r="P87">
        <v>0</v>
      </c>
    </row>
    <row r="88" spans="1:16" x14ac:dyDescent="0.3">
      <c r="A88" t="s">
        <v>15</v>
      </c>
      <c r="B88" t="s">
        <v>44</v>
      </c>
      <c r="C88" t="s">
        <v>18</v>
      </c>
      <c r="D88">
        <v>66</v>
      </c>
      <c r="E88">
        <v>46</v>
      </c>
      <c r="F88">
        <v>0</v>
      </c>
      <c r="G88">
        <v>11</v>
      </c>
      <c r="H88">
        <v>11</v>
      </c>
      <c r="I88">
        <v>1</v>
      </c>
      <c r="J88">
        <v>0</v>
      </c>
      <c r="K88">
        <v>3</v>
      </c>
      <c r="L88">
        <v>20</v>
      </c>
      <c r="M88">
        <v>0</v>
      </c>
      <c r="N88">
        <v>20</v>
      </c>
      <c r="O88">
        <v>20</v>
      </c>
      <c r="P88">
        <v>0</v>
      </c>
    </row>
    <row r="89" spans="1:16" x14ac:dyDescent="0.3">
      <c r="A89" t="s">
        <v>15</v>
      </c>
      <c r="B89" t="s">
        <v>45</v>
      </c>
      <c r="C89" t="s">
        <v>4</v>
      </c>
      <c r="D89">
        <v>80</v>
      </c>
      <c r="E89">
        <v>68</v>
      </c>
      <c r="F89">
        <v>0</v>
      </c>
      <c r="G89">
        <v>56</v>
      </c>
      <c r="H89">
        <v>5</v>
      </c>
      <c r="I89">
        <v>6</v>
      </c>
      <c r="J89">
        <v>0</v>
      </c>
      <c r="K89">
        <v>0</v>
      </c>
      <c r="L89">
        <v>1</v>
      </c>
      <c r="M89">
        <v>0</v>
      </c>
      <c r="N89">
        <v>12</v>
      </c>
      <c r="O89">
        <v>12</v>
      </c>
      <c r="P89">
        <v>0</v>
      </c>
    </row>
    <row r="90" spans="1:16" x14ac:dyDescent="0.3">
      <c r="A90" t="s">
        <v>15</v>
      </c>
      <c r="B90" t="s">
        <v>45</v>
      </c>
      <c r="C90" t="s">
        <v>17</v>
      </c>
      <c r="D90">
        <v>37</v>
      </c>
      <c r="E90">
        <v>32</v>
      </c>
      <c r="F90">
        <v>0</v>
      </c>
      <c r="G90">
        <v>26</v>
      </c>
      <c r="H90">
        <v>3</v>
      </c>
      <c r="I90">
        <v>2</v>
      </c>
      <c r="J90">
        <v>0</v>
      </c>
      <c r="K90">
        <v>0</v>
      </c>
      <c r="L90">
        <v>1</v>
      </c>
      <c r="M90">
        <v>0</v>
      </c>
      <c r="N90">
        <v>5</v>
      </c>
      <c r="O90">
        <v>5</v>
      </c>
      <c r="P90">
        <v>0</v>
      </c>
    </row>
    <row r="91" spans="1:16" x14ac:dyDescent="0.3">
      <c r="A91" t="s">
        <v>15</v>
      </c>
      <c r="B91" t="s">
        <v>45</v>
      </c>
      <c r="C91" t="s">
        <v>18</v>
      </c>
      <c r="D91">
        <v>43</v>
      </c>
      <c r="E91">
        <v>36</v>
      </c>
      <c r="F91">
        <v>0</v>
      </c>
      <c r="G91">
        <v>30</v>
      </c>
      <c r="H91">
        <v>2</v>
      </c>
      <c r="I91">
        <v>4</v>
      </c>
      <c r="J91">
        <v>0</v>
      </c>
      <c r="K91">
        <v>0</v>
      </c>
      <c r="L91">
        <v>0</v>
      </c>
      <c r="M91">
        <v>0</v>
      </c>
      <c r="N91">
        <v>7</v>
      </c>
      <c r="O91">
        <v>7</v>
      </c>
      <c r="P91">
        <v>0</v>
      </c>
    </row>
    <row r="92" spans="1:16" x14ac:dyDescent="0.3">
      <c r="A92" t="s">
        <v>15</v>
      </c>
      <c r="B92" t="s">
        <v>46</v>
      </c>
      <c r="C92" t="s">
        <v>4</v>
      </c>
      <c r="D92">
        <v>64</v>
      </c>
      <c r="E92">
        <v>59</v>
      </c>
      <c r="F92">
        <v>0</v>
      </c>
      <c r="G92">
        <v>5</v>
      </c>
      <c r="H92">
        <v>7</v>
      </c>
      <c r="I92">
        <v>0</v>
      </c>
      <c r="J92">
        <v>0</v>
      </c>
      <c r="K92">
        <v>38</v>
      </c>
      <c r="L92">
        <v>9</v>
      </c>
      <c r="M92">
        <v>0</v>
      </c>
      <c r="N92">
        <v>5</v>
      </c>
      <c r="O92">
        <v>5</v>
      </c>
      <c r="P92">
        <v>0</v>
      </c>
    </row>
    <row r="93" spans="1:16" x14ac:dyDescent="0.3">
      <c r="A93" t="s">
        <v>15</v>
      </c>
      <c r="B93" t="s">
        <v>46</v>
      </c>
      <c r="C93" t="s">
        <v>17</v>
      </c>
      <c r="D93">
        <v>9</v>
      </c>
      <c r="E93">
        <v>9</v>
      </c>
      <c r="F93">
        <v>0</v>
      </c>
      <c r="G93">
        <v>1</v>
      </c>
      <c r="H93">
        <v>1</v>
      </c>
      <c r="I93">
        <v>0</v>
      </c>
      <c r="J93">
        <v>0</v>
      </c>
      <c r="K93">
        <v>6</v>
      </c>
      <c r="L93">
        <v>1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t="s">
        <v>15</v>
      </c>
      <c r="B94" t="s">
        <v>46</v>
      </c>
      <c r="C94" t="s">
        <v>18</v>
      </c>
      <c r="D94">
        <v>55</v>
      </c>
      <c r="E94">
        <v>50</v>
      </c>
      <c r="F94">
        <v>0</v>
      </c>
      <c r="G94">
        <v>4</v>
      </c>
      <c r="H94">
        <v>6</v>
      </c>
      <c r="I94">
        <v>0</v>
      </c>
      <c r="J94">
        <v>0</v>
      </c>
      <c r="K94">
        <v>32</v>
      </c>
      <c r="L94">
        <v>8</v>
      </c>
      <c r="M94">
        <v>0</v>
      </c>
      <c r="N94">
        <v>5</v>
      </c>
      <c r="O94">
        <v>5</v>
      </c>
      <c r="P94">
        <v>0</v>
      </c>
    </row>
    <row r="95" spans="1:16" x14ac:dyDescent="0.3">
      <c r="A95" t="s">
        <v>15</v>
      </c>
      <c r="B95" t="s">
        <v>47</v>
      </c>
      <c r="C95" t="s">
        <v>4</v>
      </c>
      <c r="D95">
        <v>63</v>
      </c>
      <c r="E95">
        <v>37</v>
      </c>
      <c r="F95">
        <v>1</v>
      </c>
      <c r="G95">
        <v>11</v>
      </c>
      <c r="H95">
        <v>2</v>
      </c>
      <c r="I95">
        <v>1</v>
      </c>
      <c r="J95">
        <v>0</v>
      </c>
      <c r="K95">
        <v>18</v>
      </c>
      <c r="L95">
        <v>4</v>
      </c>
      <c r="M95">
        <v>0</v>
      </c>
      <c r="N95">
        <v>26</v>
      </c>
      <c r="O95">
        <v>26</v>
      </c>
      <c r="P95">
        <v>0</v>
      </c>
    </row>
    <row r="96" spans="1:16" x14ac:dyDescent="0.3">
      <c r="A96" t="s">
        <v>15</v>
      </c>
      <c r="B96" t="s">
        <v>47</v>
      </c>
      <c r="C96" t="s">
        <v>17</v>
      </c>
      <c r="D96">
        <v>8</v>
      </c>
      <c r="E96">
        <v>7</v>
      </c>
      <c r="F96">
        <v>0</v>
      </c>
      <c r="G96">
        <v>3</v>
      </c>
      <c r="H96">
        <v>1</v>
      </c>
      <c r="I96">
        <v>0</v>
      </c>
      <c r="J96">
        <v>0</v>
      </c>
      <c r="K96">
        <v>3</v>
      </c>
      <c r="L96">
        <v>0</v>
      </c>
      <c r="M96">
        <v>0</v>
      </c>
      <c r="N96">
        <v>1</v>
      </c>
      <c r="O96">
        <v>1</v>
      </c>
      <c r="P96">
        <v>0</v>
      </c>
    </row>
    <row r="97" spans="1:16" x14ac:dyDescent="0.3">
      <c r="A97" t="s">
        <v>15</v>
      </c>
      <c r="B97" t="s">
        <v>47</v>
      </c>
      <c r="C97" t="s">
        <v>18</v>
      </c>
      <c r="D97">
        <v>55</v>
      </c>
      <c r="E97">
        <v>30</v>
      </c>
      <c r="F97">
        <v>1</v>
      </c>
      <c r="G97">
        <v>8</v>
      </c>
      <c r="H97">
        <v>1</v>
      </c>
      <c r="I97">
        <v>1</v>
      </c>
      <c r="J97">
        <v>0</v>
      </c>
      <c r="K97">
        <v>15</v>
      </c>
      <c r="L97">
        <v>4</v>
      </c>
      <c r="M97">
        <v>0</v>
      </c>
      <c r="N97">
        <v>25</v>
      </c>
      <c r="O97">
        <v>25</v>
      </c>
      <c r="P97">
        <v>0</v>
      </c>
    </row>
    <row r="98" spans="1:16" x14ac:dyDescent="0.3">
      <c r="A98" t="s">
        <v>15</v>
      </c>
      <c r="B98" t="s">
        <v>48</v>
      </c>
      <c r="C98" t="s">
        <v>4</v>
      </c>
      <c r="D98">
        <v>52</v>
      </c>
      <c r="E98">
        <v>39</v>
      </c>
      <c r="F98">
        <v>1</v>
      </c>
      <c r="G98">
        <v>23</v>
      </c>
      <c r="H98">
        <v>14</v>
      </c>
      <c r="I98">
        <v>0</v>
      </c>
      <c r="J98">
        <v>0</v>
      </c>
      <c r="K98">
        <v>1</v>
      </c>
      <c r="L98">
        <v>0</v>
      </c>
      <c r="M98">
        <v>0</v>
      </c>
      <c r="N98">
        <v>13</v>
      </c>
      <c r="O98">
        <v>13</v>
      </c>
      <c r="P98">
        <v>0</v>
      </c>
    </row>
    <row r="99" spans="1:16" x14ac:dyDescent="0.3">
      <c r="A99" t="s">
        <v>15</v>
      </c>
      <c r="B99" t="s">
        <v>48</v>
      </c>
      <c r="C99" t="s">
        <v>17</v>
      </c>
      <c r="D99">
        <v>8</v>
      </c>
      <c r="E99">
        <v>5</v>
      </c>
      <c r="F99">
        <v>0</v>
      </c>
      <c r="G99">
        <v>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</v>
      </c>
      <c r="O99">
        <v>3</v>
      </c>
      <c r="P99">
        <v>0</v>
      </c>
    </row>
    <row r="100" spans="1:16" x14ac:dyDescent="0.3">
      <c r="A100" t="s">
        <v>15</v>
      </c>
      <c r="B100" t="s">
        <v>48</v>
      </c>
      <c r="C100" t="s">
        <v>18</v>
      </c>
      <c r="D100">
        <v>44</v>
      </c>
      <c r="E100">
        <v>34</v>
      </c>
      <c r="F100">
        <v>1</v>
      </c>
      <c r="G100">
        <v>18</v>
      </c>
      <c r="H100">
        <v>14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10</v>
      </c>
      <c r="O100">
        <v>10</v>
      </c>
      <c r="P100">
        <v>0</v>
      </c>
    </row>
    <row r="101" spans="1:16" x14ac:dyDescent="0.3">
      <c r="A101" t="s">
        <v>15</v>
      </c>
      <c r="B101" t="s">
        <v>49</v>
      </c>
      <c r="C101" t="s">
        <v>4</v>
      </c>
      <c r="D101">
        <v>49</v>
      </c>
      <c r="E101">
        <v>41</v>
      </c>
      <c r="F101">
        <v>0</v>
      </c>
      <c r="G101">
        <v>24</v>
      </c>
      <c r="H101">
        <v>11</v>
      </c>
      <c r="I101">
        <v>1</v>
      </c>
      <c r="J101">
        <v>0</v>
      </c>
      <c r="K101">
        <v>0</v>
      </c>
      <c r="L101">
        <v>5</v>
      </c>
      <c r="M101">
        <v>0</v>
      </c>
      <c r="N101">
        <v>8</v>
      </c>
      <c r="O101">
        <v>8</v>
      </c>
      <c r="P101">
        <v>0</v>
      </c>
    </row>
    <row r="102" spans="1:16" x14ac:dyDescent="0.3">
      <c r="A102" t="s">
        <v>15</v>
      </c>
      <c r="B102" t="s">
        <v>49</v>
      </c>
      <c r="C102" t="s">
        <v>17</v>
      </c>
      <c r="D102">
        <v>20</v>
      </c>
      <c r="E102">
        <v>19</v>
      </c>
      <c r="F102">
        <v>0</v>
      </c>
      <c r="G102">
        <v>13</v>
      </c>
      <c r="H102">
        <v>5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1</v>
      </c>
      <c r="P102">
        <v>0</v>
      </c>
    </row>
    <row r="103" spans="1:16" x14ac:dyDescent="0.3">
      <c r="A103" t="s">
        <v>15</v>
      </c>
      <c r="B103" t="s">
        <v>49</v>
      </c>
      <c r="C103" t="s">
        <v>18</v>
      </c>
      <c r="D103">
        <v>29</v>
      </c>
      <c r="E103">
        <v>22</v>
      </c>
      <c r="F103">
        <v>0</v>
      </c>
      <c r="G103">
        <v>11</v>
      </c>
      <c r="H103">
        <v>6</v>
      </c>
      <c r="I103">
        <v>1</v>
      </c>
      <c r="J103">
        <v>0</v>
      </c>
      <c r="K103">
        <v>0</v>
      </c>
      <c r="L103">
        <v>4</v>
      </c>
      <c r="M103">
        <v>0</v>
      </c>
      <c r="N103">
        <v>7</v>
      </c>
      <c r="O103">
        <v>7</v>
      </c>
      <c r="P103">
        <v>0</v>
      </c>
    </row>
    <row r="104" spans="1:16" x14ac:dyDescent="0.3">
      <c r="A104" t="s">
        <v>15</v>
      </c>
      <c r="B104" t="s">
        <v>50</v>
      </c>
      <c r="C104" t="s">
        <v>4</v>
      </c>
      <c r="D104">
        <v>49</v>
      </c>
      <c r="E104">
        <v>41</v>
      </c>
      <c r="F104">
        <v>7</v>
      </c>
      <c r="G104">
        <v>5</v>
      </c>
      <c r="H104">
        <v>14</v>
      </c>
      <c r="I104">
        <v>10</v>
      </c>
      <c r="J104">
        <v>0</v>
      </c>
      <c r="K104">
        <v>0</v>
      </c>
      <c r="L104">
        <v>4</v>
      </c>
      <c r="M104">
        <v>1</v>
      </c>
      <c r="N104">
        <v>8</v>
      </c>
      <c r="O104">
        <v>8</v>
      </c>
      <c r="P104">
        <v>0</v>
      </c>
    </row>
    <row r="105" spans="1:16" x14ac:dyDescent="0.3">
      <c r="A105" t="s">
        <v>15</v>
      </c>
      <c r="B105" t="s">
        <v>50</v>
      </c>
      <c r="C105" t="s">
        <v>17</v>
      </c>
      <c r="D105">
        <v>34</v>
      </c>
      <c r="E105">
        <v>31</v>
      </c>
      <c r="F105">
        <v>7</v>
      </c>
      <c r="G105">
        <v>1</v>
      </c>
      <c r="H105">
        <v>12</v>
      </c>
      <c r="I105">
        <v>8</v>
      </c>
      <c r="J105">
        <v>0</v>
      </c>
      <c r="K105">
        <v>0</v>
      </c>
      <c r="L105">
        <v>2</v>
      </c>
      <c r="M105">
        <v>1</v>
      </c>
      <c r="N105">
        <v>3</v>
      </c>
      <c r="O105">
        <v>3</v>
      </c>
      <c r="P105">
        <v>0</v>
      </c>
    </row>
    <row r="106" spans="1:16" x14ac:dyDescent="0.3">
      <c r="A106" t="s">
        <v>15</v>
      </c>
      <c r="B106" t="s">
        <v>50</v>
      </c>
      <c r="C106" t="s">
        <v>18</v>
      </c>
      <c r="D106">
        <v>15</v>
      </c>
      <c r="E106">
        <v>10</v>
      </c>
      <c r="F106">
        <v>0</v>
      </c>
      <c r="G106">
        <v>4</v>
      </c>
      <c r="H106">
        <v>2</v>
      </c>
      <c r="I106">
        <v>2</v>
      </c>
      <c r="J106">
        <v>0</v>
      </c>
      <c r="K106">
        <v>0</v>
      </c>
      <c r="L106">
        <v>2</v>
      </c>
      <c r="M106">
        <v>0</v>
      </c>
      <c r="N106">
        <v>5</v>
      </c>
      <c r="O106">
        <v>5</v>
      </c>
      <c r="P106">
        <v>0</v>
      </c>
    </row>
    <row r="107" spans="1:16" x14ac:dyDescent="0.3">
      <c r="A107" t="s">
        <v>15</v>
      </c>
      <c r="B107" t="s">
        <v>51</v>
      </c>
      <c r="C107" t="s">
        <v>4</v>
      </c>
      <c r="D107">
        <v>48</v>
      </c>
      <c r="E107">
        <v>34</v>
      </c>
      <c r="F107">
        <v>0</v>
      </c>
      <c r="G107">
        <v>8</v>
      </c>
      <c r="H107">
        <v>10</v>
      </c>
      <c r="I107">
        <v>7</v>
      </c>
      <c r="J107">
        <v>0</v>
      </c>
      <c r="K107">
        <v>1</v>
      </c>
      <c r="L107">
        <v>7</v>
      </c>
      <c r="M107">
        <v>1</v>
      </c>
      <c r="N107">
        <v>14</v>
      </c>
      <c r="O107">
        <v>14</v>
      </c>
      <c r="P107">
        <v>0</v>
      </c>
    </row>
    <row r="108" spans="1:16" x14ac:dyDescent="0.3">
      <c r="A108" t="s">
        <v>15</v>
      </c>
      <c r="B108" t="s">
        <v>51</v>
      </c>
      <c r="C108" t="s">
        <v>17</v>
      </c>
      <c r="D108">
        <v>24</v>
      </c>
      <c r="E108">
        <v>12</v>
      </c>
      <c r="F108">
        <v>0</v>
      </c>
      <c r="G108">
        <v>4</v>
      </c>
      <c r="H108">
        <v>3</v>
      </c>
      <c r="I108">
        <v>4</v>
      </c>
      <c r="J108">
        <v>0</v>
      </c>
      <c r="K108">
        <v>0</v>
      </c>
      <c r="L108">
        <v>1</v>
      </c>
      <c r="M108">
        <v>0</v>
      </c>
      <c r="N108">
        <v>12</v>
      </c>
      <c r="O108">
        <v>12</v>
      </c>
      <c r="P108">
        <v>0</v>
      </c>
    </row>
    <row r="109" spans="1:16" x14ac:dyDescent="0.3">
      <c r="A109" t="s">
        <v>15</v>
      </c>
      <c r="B109" t="s">
        <v>51</v>
      </c>
      <c r="C109" t="s">
        <v>18</v>
      </c>
      <c r="D109">
        <v>24</v>
      </c>
      <c r="E109">
        <v>22</v>
      </c>
      <c r="F109">
        <v>0</v>
      </c>
      <c r="G109">
        <v>4</v>
      </c>
      <c r="H109">
        <v>7</v>
      </c>
      <c r="I109">
        <v>3</v>
      </c>
      <c r="J109">
        <v>0</v>
      </c>
      <c r="K109">
        <v>1</v>
      </c>
      <c r="L109">
        <v>6</v>
      </c>
      <c r="M109">
        <v>1</v>
      </c>
      <c r="N109">
        <v>2</v>
      </c>
      <c r="O109">
        <v>2</v>
      </c>
      <c r="P109">
        <v>0</v>
      </c>
    </row>
    <row r="110" spans="1:16" x14ac:dyDescent="0.3">
      <c r="A110" t="s">
        <v>15</v>
      </c>
      <c r="B110" t="s">
        <v>52</v>
      </c>
      <c r="C110" t="s">
        <v>4</v>
      </c>
      <c r="D110">
        <v>48</v>
      </c>
      <c r="E110">
        <v>31</v>
      </c>
      <c r="F110">
        <v>0</v>
      </c>
      <c r="G110">
        <v>18</v>
      </c>
      <c r="H110">
        <v>8</v>
      </c>
      <c r="I110">
        <v>5</v>
      </c>
      <c r="J110">
        <v>0</v>
      </c>
      <c r="K110">
        <v>0</v>
      </c>
      <c r="L110">
        <v>0</v>
      </c>
      <c r="M110">
        <v>0</v>
      </c>
      <c r="N110">
        <v>17</v>
      </c>
      <c r="O110">
        <v>17</v>
      </c>
      <c r="P110">
        <v>0</v>
      </c>
    </row>
    <row r="111" spans="1:16" x14ac:dyDescent="0.3">
      <c r="A111" t="s">
        <v>15</v>
      </c>
      <c r="B111" t="s">
        <v>52</v>
      </c>
      <c r="C111" t="s">
        <v>17</v>
      </c>
      <c r="D111">
        <v>30</v>
      </c>
      <c r="E111">
        <v>16</v>
      </c>
      <c r="F111">
        <v>0</v>
      </c>
      <c r="G111">
        <v>13</v>
      </c>
      <c r="H111">
        <v>2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14</v>
      </c>
      <c r="O111">
        <v>14</v>
      </c>
      <c r="P111">
        <v>0</v>
      </c>
    </row>
    <row r="112" spans="1:16" x14ac:dyDescent="0.3">
      <c r="A112" t="s">
        <v>15</v>
      </c>
      <c r="B112" t="s">
        <v>52</v>
      </c>
      <c r="C112" t="s">
        <v>18</v>
      </c>
      <c r="D112">
        <v>18</v>
      </c>
      <c r="E112">
        <v>15</v>
      </c>
      <c r="F112">
        <v>0</v>
      </c>
      <c r="G112">
        <v>5</v>
      </c>
      <c r="H112">
        <v>6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3</v>
      </c>
      <c r="O112">
        <v>3</v>
      </c>
      <c r="P112">
        <v>0</v>
      </c>
    </row>
    <row r="113" spans="1:16" x14ac:dyDescent="0.3">
      <c r="A113" t="s">
        <v>15</v>
      </c>
      <c r="B113" t="s">
        <v>53</v>
      </c>
      <c r="C113" t="s">
        <v>4</v>
      </c>
      <c r="D113">
        <v>23</v>
      </c>
      <c r="E113">
        <v>19</v>
      </c>
      <c r="F113">
        <v>0</v>
      </c>
      <c r="G113">
        <v>8</v>
      </c>
      <c r="H113">
        <v>4</v>
      </c>
      <c r="I113">
        <v>1</v>
      </c>
      <c r="J113">
        <v>0</v>
      </c>
      <c r="K113">
        <v>1</v>
      </c>
      <c r="L113">
        <v>4</v>
      </c>
      <c r="M113">
        <v>1</v>
      </c>
      <c r="N113">
        <v>4</v>
      </c>
      <c r="O113">
        <v>4</v>
      </c>
      <c r="P113">
        <v>0</v>
      </c>
    </row>
    <row r="114" spans="1:16" x14ac:dyDescent="0.3">
      <c r="A114" t="s">
        <v>15</v>
      </c>
      <c r="B114" t="s">
        <v>53</v>
      </c>
      <c r="C114" t="s">
        <v>17</v>
      </c>
      <c r="D114">
        <v>12</v>
      </c>
      <c r="E114">
        <v>11</v>
      </c>
      <c r="F114">
        <v>0</v>
      </c>
      <c r="G114">
        <v>6</v>
      </c>
      <c r="H114">
        <v>4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1</v>
      </c>
      <c r="P114">
        <v>0</v>
      </c>
    </row>
    <row r="115" spans="1:16" x14ac:dyDescent="0.3">
      <c r="A115" t="s">
        <v>15</v>
      </c>
      <c r="B115" t="s">
        <v>53</v>
      </c>
      <c r="C115" t="s">
        <v>18</v>
      </c>
      <c r="D115">
        <v>11</v>
      </c>
      <c r="E115">
        <v>8</v>
      </c>
      <c r="F115">
        <v>0</v>
      </c>
      <c r="G115">
        <v>2</v>
      </c>
      <c r="H115">
        <v>0</v>
      </c>
      <c r="I115">
        <v>1</v>
      </c>
      <c r="J115">
        <v>0</v>
      </c>
      <c r="K115">
        <v>1</v>
      </c>
      <c r="L115">
        <v>3</v>
      </c>
      <c r="M115">
        <v>1</v>
      </c>
      <c r="N115">
        <v>3</v>
      </c>
      <c r="O115">
        <v>3</v>
      </c>
      <c r="P115">
        <v>0</v>
      </c>
    </row>
    <row r="116" spans="1:16" x14ac:dyDescent="0.3">
      <c r="A116" t="s">
        <v>15</v>
      </c>
      <c r="B116" t="s">
        <v>54</v>
      </c>
      <c r="C116" t="s">
        <v>4</v>
      </c>
      <c r="D116">
        <v>22</v>
      </c>
      <c r="E116">
        <v>20</v>
      </c>
      <c r="F116">
        <v>0</v>
      </c>
      <c r="G116">
        <v>8</v>
      </c>
      <c r="H116">
        <v>7</v>
      </c>
      <c r="I116">
        <v>3</v>
      </c>
      <c r="J116">
        <v>0</v>
      </c>
      <c r="K116">
        <v>0</v>
      </c>
      <c r="L116">
        <v>2</v>
      </c>
      <c r="M116">
        <v>0</v>
      </c>
      <c r="N116">
        <v>2</v>
      </c>
      <c r="O116">
        <v>2</v>
      </c>
      <c r="P116">
        <v>0</v>
      </c>
    </row>
    <row r="117" spans="1:16" x14ac:dyDescent="0.3">
      <c r="A117" t="s">
        <v>15</v>
      </c>
      <c r="B117" t="s">
        <v>54</v>
      </c>
      <c r="C117" t="s">
        <v>17</v>
      </c>
      <c r="D117">
        <v>11</v>
      </c>
      <c r="E117">
        <v>10</v>
      </c>
      <c r="F117">
        <v>0</v>
      </c>
      <c r="G117">
        <v>6</v>
      </c>
      <c r="H117">
        <v>1</v>
      </c>
      <c r="I117">
        <v>3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</row>
    <row r="118" spans="1:16" x14ac:dyDescent="0.3">
      <c r="A118" t="s">
        <v>15</v>
      </c>
      <c r="B118" t="s">
        <v>54</v>
      </c>
      <c r="C118" t="s">
        <v>18</v>
      </c>
      <c r="D118">
        <v>11</v>
      </c>
      <c r="E118">
        <v>10</v>
      </c>
      <c r="F118">
        <v>0</v>
      </c>
      <c r="G118">
        <v>2</v>
      </c>
      <c r="H118">
        <v>6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1</v>
      </c>
      <c r="O118">
        <v>1</v>
      </c>
      <c r="P118">
        <v>0</v>
      </c>
    </row>
    <row r="119" spans="1:16" x14ac:dyDescent="0.3">
      <c r="A119" t="s">
        <v>15</v>
      </c>
      <c r="B119" t="s">
        <v>55</v>
      </c>
      <c r="C119" t="s">
        <v>4</v>
      </c>
      <c r="D119">
        <v>20</v>
      </c>
      <c r="E119">
        <v>15</v>
      </c>
      <c r="F119">
        <v>0</v>
      </c>
      <c r="G119">
        <v>7</v>
      </c>
      <c r="H119">
        <v>1</v>
      </c>
      <c r="I119">
        <v>3</v>
      </c>
      <c r="J119">
        <v>0</v>
      </c>
      <c r="K119">
        <v>1</v>
      </c>
      <c r="L119">
        <v>3</v>
      </c>
      <c r="M119">
        <v>0</v>
      </c>
      <c r="N119">
        <v>5</v>
      </c>
      <c r="O119">
        <v>5</v>
      </c>
      <c r="P119">
        <v>0</v>
      </c>
    </row>
    <row r="120" spans="1:16" x14ac:dyDescent="0.3">
      <c r="A120" t="s">
        <v>15</v>
      </c>
      <c r="B120" t="s">
        <v>55</v>
      </c>
      <c r="C120" t="s">
        <v>17</v>
      </c>
      <c r="D120">
        <v>9</v>
      </c>
      <c r="E120">
        <v>9</v>
      </c>
      <c r="F120">
        <v>0</v>
      </c>
      <c r="G120">
        <v>5</v>
      </c>
      <c r="H120">
        <v>0</v>
      </c>
      <c r="I120">
        <v>3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t="s">
        <v>15</v>
      </c>
      <c r="B121" t="s">
        <v>55</v>
      </c>
      <c r="C121" t="s">
        <v>18</v>
      </c>
      <c r="D121">
        <v>11</v>
      </c>
      <c r="E121">
        <v>6</v>
      </c>
      <c r="F121">
        <v>0</v>
      </c>
      <c r="G121">
        <v>2</v>
      </c>
      <c r="H121">
        <v>1</v>
      </c>
      <c r="I121">
        <v>0</v>
      </c>
      <c r="J121">
        <v>0</v>
      </c>
      <c r="K121">
        <v>0</v>
      </c>
      <c r="L121">
        <v>3</v>
      </c>
      <c r="M121">
        <v>0</v>
      </c>
      <c r="N121">
        <v>5</v>
      </c>
      <c r="O121">
        <v>5</v>
      </c>
      <c r="P121">
        <v>0</v>
      </c>
    </row>
    <row r="122" spans="1:16" x14ac:dyDescent="0.3">
      <c r="A122" t="s">
        <v>15</v>
      </c>
      <c r="B122" t="s">
        <v>56</v>
      </c>
      <c r="C122" t="s">
        <v>4</v>
      </c>
      <c r="D122">
        <v>16</v>
      </c>
      <c r="E122">
        <v>14</v>
      </c>
      <c r="F122">
        <v>1</v>
      </c>
      <c r="G122">
        <v>2</v>
      </c>
      <c r="H122">
        <v>1</v>
      </c>
      <c r="I122">
        <v>5</v>
      </c>
      <c r="J122">
        <v>0</v>
      </c>
      <c r="K122">
        <v>0</v>
      </c>
      <c r="L122">
        <v>4</v>
      </c>
      <c r="M122">
        <v>1</v>
      </c>
      <c r="N122">
        <v>2</v>
      </c>
      <c r="O122">
        <v>2</v>
      </c>
      <c r="P122">
        <v>0</v>
      </c>
    </row>
    <row r="123" spans="1:16" x14ac:dyDescent="0.3">
      <c r="A123" t="s">
        <v>15</v>
      </c>
      <c r="B123" t="s">
        <v>56</v>
      </c>
      <c r="C123" t="s">
        <v>17</v>
      </c>
      <c r="D123">
        <v>7</v>
      </c>
      <c r="E123">
        <v>6</v>
      </c>
      <c r="F123">
        <v>0</v>
      </c>
      <c r="G123">
        <v>1</v>
      </c>
      <c r="H123">
        <v>0</v>
      </c>
      <c r="I123">
        <v>3</v>
      </c>
      <c r="J123">
        <v>0</v>
      </c>
      <c r="K123">
        <v>0</v>
      </c>
      <c r="L123">
        <v>2</v>
      </c>
      <c r="M123">
        <v>0</v>
      </c>
      <c r="N123">
        <v>1</v>
      </c>
      <c r="O123">
        <v>1</v>
      </c>
      <c r="P123">
        <v>0</v>
      </c>
    </row>
    <row r="124" spans="1:16" x14ac:dyDescent="0.3">
      <c r="A124" t="s">
        <v>15</v>
      </c>
      <c r="B124" t="s">
        <v>56</v>
      </c>
      <c r="C124" t="s">
        <v>18</v>
      </c>
      <c r="D124">
        <v>9</v>
      </c>
      <c r="E124">
        <v>8</v>
      </c>
      <c r="F124">
        <v>1</v>
      </c>
      <c r="G124">
        <v>1</v>
      </c>
      <c r="H124">
        <v>1</v>
      </c>
      <c r="I124">
        <v>2</v>
      </c>
      <c r="J124">
        <v>0</v>
      </c>
      <c r="K124">
        <v>0</v>
      </c>
      <c r="L124">
        <v>2</v>
      </c>
      <c r="M124">
        <v>1</v>
      </c>
      <c r="N124">
        <v>1</v>
      </c>
      <c r="O124">
        <v>1</v>
      </c>
      <c r="P124">
        <v>0</v>
      </c>
    </row>
    <row r="125" spans="1:16" x14ac:dyDescent="0.3">
      <c r="A125" t="s">
        <v>15</v>
      </c>
      <c r="B125" t="s">
        <v>57</v>
      </c>
      <c r="C125" t="s">
        <v>4</v>
      </c>
      <c r="D125">
        <v>16</v>
      </c>
      <c r="E125">
        <v>11</v>
      </c>
      <c r="F125">
        <v>1</v>
      </c>
      <c r="G125">
        <v>2</v>
      </c>
      <c r="H125">
        <v>2</v>
      </c>
      <c r="I125">
        <v>2</v>
      </c>
      <c r="J125">
        <v>0</v>
      </c>
      <c r="K125">
        <v>3</v>
      </c>
      <c r="L125">
        <v>1</v>
      </c>
      <c r="M125">
        <v>0</v>
      </c>
      <c r="N125">
        <v>5</v>
      </c>
      <c r="O125">
        <v>5</v>
      </c>
      <c r="P125">
        <v>0</v>
      </c>
    </row>
    <row r="126" spans="1:16" x14ac:dyDescent="0.3">
      <c r="A126" t="s">
        <v>15</v>
      </c>
      <c r="B126" t="s">
        <v>57</v>
      </c>
      <c r="C126" t="s">
        <v>17</v>
      </c>
      <c r="D126">
        <v>5</v>
      </c>
      <c r="E126">
        <v>4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1</v>
      </c>
      <c r="P126">
        <v>0</v>
      </c>
    </row>
    <row r="127" spans="1:16" x14ac:dyDescent="0.3">
      <c r="A127" t="s">
        <v>15</v>
      </c>
      <c r="B127" t="s">
        <v>57</v>
      </c>
      <c r="C127" t="s">
        <v>18</v>
      </c>
      <c r="D127">
        <v>11</v>
      </c>
      <c r="E127">
        <v>7</v>
      </c>
      <c r="F127">
        <v>0</v>
      </c>
      <c r="G127">
        <v>2</v>
      </c>
      <c r="H127">
        <v>1</v>
      </c>
      <c r="I127">
        <v>1</v>
      </c>
      <c r="J127">
        <v>0</v>
      </c>
      <c r="K127">
        <v>2</v>
      </c>
      <c r="L127">
        <v>1</v>
      </c>
      <c r="M127">
        <v>0</v>
      </c>
      <c r="N127">
        <v>4</v>
      </c>
      <c r="O127">
        <v>4</v>
      </c>
      <c r="P127">
        <v>0</v>
      </c>
    </row>
    <row r="128" spans="1:16" x14ac:dyDescent="0.3">
      <c r="A128" t="s">
        <v>15</v>
      </c>
      <c r="B128" t="s">
        <v>58</v>
      </c>
      <c r="C128" t="s">
        <v>4</v>
      </c>
      <c r="D128">
        <v>13</v>
      </c>
      <c r="E128">
        <v>9</v>
      </c>
      <c r="F128">
        <v>0</v>
      </c>
      <c r="G128">
        <v>5</v>
      </c>
      <c r="H128">
        <v>2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4</v>
      </c>
      <c r="O128">
        <v>4</v>
      </c>
      <c r="P128">
        <v>0</v>
      </c>
    </row>
    <row r="129" spans="1:16" x14ac:dyDescent="0.3">
      <c r="A129" t="s">
        <v>15</v>
      </c>
      <c r="B129" t="s">
        <v>58</v>
      </c>
      <c r="C129" t="s">
        <v>17</v>
      </c>
      <c r="D129">
        <v>1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 t="s">
        <v>15</v>
      </c>
      <c r="B130" t="s">
        <v>58</v>
      </c>
      <c r="C130" t="s">
        <v>18</v>
      </c>
      <c r="D130">
        <v>12</v>
      </c>
      <c r="E130">
        <v>8</v>
      </c>
      <c r="F130">
        <v>0</v>
      </c>
      <c r="G130">
        <v>5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4</v>
      </c>
      <c r="O130">
        <v>4</v>
      </c>
      <c r="P130">
        <v>0</v>
      </c>
    </row>
    <row r="131" spans="1:16" x14ac:dyDescent="0.3">
      <c r="A131" t="s">
        <v>15</v>
      </c>
      <c r="B131" t="s">
        <v>59</v>
      </c>
      <c r="C131" t="s">
        <v>4</v>
      </c>
      <c r="D131">
        <v>11</v>
      </c>
      <c r="E131">
        <v>7</v>
      </c>
      <c r="F131">
        <v>0</v>
      </c>
      <c r="G131">
        <v>2</v>
      </c>
      <c r="H131">
        <v>1</v>
      </c>
      <c r="I131">
        <v>1</v>
      </c>
      <c r="J131">
        <v>0</v>
      </c>
      <c r="K131">
        <v>0</v>
      </c>
      <c r="L131">
        <v>3</v>
      </c>
      <c r="M131">
        <v>0</v>
      </c>
      <c r="N131">
        <v>4</v>
      </c>
      <c r="O131">
        <v>4</v>
      </c>
      <c r="P131">
        <v>0</v>
      </c>
    </row>
    <row r="132" spans="1:16" x14ac:dyDescent="0.3">
      <c r="A132" t="s">
        <v>15</v>
      </c>
      <c r="B132" t="s">
        <v>59</v>
      </c>
      <c r="C132" t="s">
        <v>17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</row>
    <row r="133" spans="1:16" x14ac:dyDescent="0.3">
      <c r="A133" t="s">
        <v>15</v>
      </c>
      <c r="B133" t="s">
        <v>59</v>
      </c>
      <c r="C133" t="s">
        <v>18</v>
      </c>
      <c r="D133">
        <v>10</v>
      </c>
      <c r="E133">
        <v>7</v>
      </c>
      <c r="F133">
        <v>0</v>
      </c>
      <c r="G133">
        <v>2</v>
      </c>
      <c r="H133">
        <v>1</v>
      </c>
      <c r="I133">
        <v>1</v>
      </c>
      <c r="J133">
        <v>0</v>
      </c>
      <c r="K133">
        <v>0</v>
      </c>
      <c r="L133">
        <v>3</v>
      </c>
      <c r="M133">
        <v>0</v>
      </c>
      <c r="N133">
        <v>3</v>
      </c>
      <c r="O133">
        <v>3</v>
      </c>
      <c r="P133">
        <v>0</v>
      </c>
    </row>
    <row r="134" spans="1:16" x14ac:dyDescent="0.3">
      <c r="A134" t="s">
        <v>15</v>
      </c>
      <c r="B134" t="s">
        <v>60</v>
      </c>
      <c r="C134" t="s">
        <v>4</v>
      </c>
      <c r="D134">
        <v>8</v>
      </c>
      <c r="E134">
        <v>5</v>
      </c>
      <c r="F134">
        <v>0</v>
      </c>
      <c r="G134">
        <v>0</v>
      </c>
      <c r="H134">
        <v>4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3</v>
      </c>
      <c r="O134">
        <v>3</v>
      </c>
      <c r="P134">
        <v>0</v>
      </c>
    </row>
    <row r="135" spans="1:16" x14ac:dyDescent="0.3">
      <c r="A135" t="s">
        <v>15</v>
      </c>
      <c r="B135" t="s">
        <v>60</v>
      </c>
      <c r="C135" t="s">
        <v>17</v>
      </c>
      <c r="D135">
        <v>2</v>
      </c>
      <c r="E135">
        <v>2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t="s">
        <v>15</v>
      </c>
      <c r="B136" t="s">
        <v>60</v>
      </c>
      <c r="C136" t="s">
        <v>18</v>
      </c>
      <c r="D136">
        <v>6</v>
      </c>
      <c r="E136">
        <v>3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3</v>
      </c>
      <c r="O136">
        <v>3</v>
      </c>
      <c r="P136">
        <v>0</v>
      </c>
    </row>
    <row r="137" spans="1:16" x14ac:dyDescent="0.3">
      <c r="A137" t="s">
        <v>15</v>
      </c>
      <c r="B137" t="s">
        <v>61</v>
      </c>
      <c r="C137" t="s">
        <v>4</v>
      </c>
      <c r="D137">
        <v>4</v>
      </c>
      <c r="E137">
        <v>2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2</v>
      </c>
      <c r="O137">
        <v>2</v>
      </c>
      <c r="P137">
        <v>0</v>
      </c>
    </row>
    <row r="138" spans="1:16" x14ac:dyDescent="0.3">
      <c r="A138" t="s">
        <v>15</v>
      </c>
      <c r="B138" t="s">
        <v>61</v>
      </c>
      <c r="C138" t="s">
        <v>17</v>
      </c>
      <c r="D138">
        <v>2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1</v>
      </c>
      <c r="P138">
        <v>0</v>
      </c>
    </row>
    <row r="139" spans="1:16" x14ac:dyDescent="0.3">
      <c r="A139" t="s">
        <v>15</v>
      </c>
      <c r="B139" t="s">
        <v>61</v>
      </c>
      <c r="C139" t="s">
        <v>18</v>
      </c>
      <c r="D139">
        <v>2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1</v>
      </c>
      <c r="P139">
        <v>0</v>
      </c>
    </row>
    <row r="140" spans="1:16" x14ac:dyDescent="0.3">
      <c r="A140" t="s">
        <v>15</v>
      </c>
      <c r="B140" t="s">
        <v>62</v>
      </c>
      <c r="C140" t="s">
        <v>4</v>
      </c>
      <c r="D140">
        <v>4</v>
      </c>
      <c r="E140">
        <v>3</v>
      </c>
      <c r="F140">
        <v>0</v>
      </c>
      <c r="G140">
        <v>2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0</v>
      </c>
    </row>
    <row r="141" spans="1:16" x14ac:dyDescent="0.3">
      <c r="A141" t="s">
        <v>15</v>
      </c>
      <c r="B141" t="s">
        <v>62</v>
      </c>
      <c r="C141" t="s">
        <v>17</v>
      </c>
      <c r="D141">
        <v>2</v>
      </c>
      <c r="E141">
        <v>2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t="s">
        <v>15</v>
      </c>
      <c r="B142" t="s">
        <v>62</v>
      </c>
      <c r="C142" t="s">
        <v>18</v>
      </c>
      <c r="D142">
        <v>2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</row>
    <row r="143" spans="1:16" x14ac:dyDescent="0.3">
      <c r="A143" t="s">
        <v>15</v>
      </c>
      <c r="B143" t="s">
        <v>63</v>
      </c>
      <c r="C143" t="s">
        <v>4</v>
      </c>
      <c r="D143">
        <v>4</v>
      </c>
      <c r="E143">
        <v>3</v>
      </c>
      <c r="F143">
        <v>0</v>
      </c>
      <c r="G143">
        <v>2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>
        <v>0</v>
      </c>
    </row>
    <row r="144" spans="1:16" x14ac:dyDescent="0.3">
      <c r="A144" t="s">
        <v>15</v>
      </c>
      <c r="B144" t="s">
        <v>63</v>
      </c>
      <c r="C144" t="s">
        <v>18</v>
      </c>
      <c r="D144">
        <v>4</v>
      </c>
      <c r="E144">
        <v>3</v>
      </c>
      <c r="F144">
        <v>0</v>
      </c>
      <c r="G144">
        <v>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0</v>
      </c>
    </row>
    <row r="145" spans="1:16" x14ac:dyDescent="0.3">
      <c r="A145" t="s">
        <v>64</v>
      </c>
      <c r="B145" t="s">
        <v>4</v>
      </c>
      <c r="C145" t="s">
        <v>4</v>
      </c>
      <c r="D145" s="1">
        <v>2361</v>
      </c>
      <c r="E145" s="1">
        <v>2035</v>
      </c>
      <c r="F145">
        <v>17</v>
      </c>
      <c r="G145">
        <v>397</v>
      </c>
      <c r="H145">
        <v>183</v>
      </c>
      <c r="I145">
        <v>62</v>
      </c>
      <c r="J145">
        <v>5</v>
      </c>
      <c r="K145">
        <v>788</v>
      </c>
      <c r="L145">
        <v>30</v>
      </c>
      <c r="M145">
        <v>553</v>
      </c>
      <c r="N145">
        <v>326</v>
      </c>
      <c r="O145">
        <v>326</v>
      </c>
      <c r="P145">
        <v>0</v>
      </c>
    </row>
    <row r="146" spans="1:16" x14ac:dyDescent="0.3">
      <c r="A146" t="s">
        <v>64</v>
      </c>
      <c r="B146" t="s">
        <v>4</v>
      </c>
      <c r="C146" t="s">
        <v>17</v>
      </c>
      <c r="D146" s="1">
        <f>D149+D152</f>
        <v>934</v>
      </c>
      <c r="E146" s="1">
        <f t="shared" ref="E146:O146" si="4">E149+E152</f>
        <v>824</v>
      </c>
      <c r="F146" s="1">
        <f t="shared" si="4"/>
        <v>7</v>
      </c>
      <c r="G146" s="1">
        <f t="shared" si="4"/>
        <v>157</v>
      </c>
      <c r="H146" s="1">
        <f t="shared" si="4"/>
        <v>71</v>
      </c>
      <c r="I146" s="1">
        <f t="shared" si="4"/>
        <v>37</v>
      </c>
      <c r="J146" s="1">
        <f t="shared" si="4"/>
        <v>4</v>
      </c>
      <c r="K146" s="1">
        <f t="shared" si="4"/>
        <v>330</v>
      </c>
      <c r="L146" s="1">
        <f t="shared" si="4"/>
        <v>10</v>
      </c>
      <c r="M146" s="1">
        <f t="shared" si="4"/>
        <v>208</v>
      </c>
      <c r="N146" s="1">
        <f t="shared" si="4"/>
        <v>110</v>
      </c>
      <c r="O146" s="1">
        <f t="shared" si="4"/>
        <v>110</v>
      </c>
      <c r="P146" s="1">
        <f t="shared" ref="P146" si="5">P149+P152</f>
        <v>0</v>
      </c>
    </row>
    <row r="147" spans="1:16" x14ac:dyDescent="0.3">
      <c r="A147" t="s">
        <v>64</v>
      </c>
      <c r="B147" t="s">
        <v>4</v>
      </c>
      <c r="C147" t="s">
        <v>18</v>
      </c>
      <c r="D147" s="1">
        <f>D150+D153</f>
        <v>1427</v>
      </c>
      <c r="E147" s="1">
        <f t="shared" ref="E147:O147" si="6">E150+E153</f>
        <v>1211</v>
      </c>
      <c r="F147" s="1">
        <f t="shared" si="6"/>
        <v>10</v>
      </c>
      <c r="G147" s="1">
        <f t="shared" si="6"/>
        <v>240</v>
      </c>
      <c r="H147" s="1">
        <f t="shared" si="6"/>
        <v>112</v>
      </c>
      <c r="I147" s="1">
        <f t="shared" si="6"/>
        <v>25</v>
      </c>
      <c r="J147" s="1">
        <f t="shared" si="6"/>
        <v>1</v>
      </c>
      <c r="K147" s="1">
        <f t="shared" si="6"/>
        <v>458</v>
      </c>
      <c r="L147" s="1">
        <f t="shared" si="6"/>
        <v>20</v>
      </c>
      <c r="M147" s="1">
        <f t="shared" si="6"/>
        <v>345</v>
      </c>
      <c r="N147" s="1">
        <f t="shared" si="6"/>
        <v>216</v>
      </c>
      <c r="O147" s="1">
        <f t="shared" si="6"/>
        <v>216</v>
      </c>
      <c r="P147" s="1">
        <f t="shared" ref="P147" si="7">P150+P153</f>
        <v>0</v>
      </c>
    </row>
    <row r="148" spans="1:16" x14ac:dyDescent="0.3">
      <c r="A148" t="s">
        <v>64</v>
      </c>
      <c r="B148" t="s">
        <v>65</v>
      </c>
      <c r="C148" t="s">
        <v>4</v>
      </c>
      <c r="D148" s="1">
        <v>2115</v>
      </c>
      <c r="E148" s="1">
        <v>1825</v>
      </c>
      <c r="F148">
        <v>14</v>
      </c>
      <c r="G148">
        <v>361</v>
      </c>
      <c r="H148">
        <v>160</v>
      </c>
      <c r="I148">
        <v>55</v>
      </c>
      <c r="J148">
        <v>4</v>
      </c>
      <c r="K148">
        <v>661</v>
      </c>
      <c r="L148">
        <v>20</v>
      </c>
      <c r="M148">
        <v>550</v>
      </c>
      <c r="N148">
        <v>290</v>
      </c>
      <c r="O148">
        <v>290</v>
      </c>
      <c r="P148">
        <v>0</v>
      </c>
    </row>
    <row r="149" spans="1:16" x14ac:dyDescent="0.3">
      <c r="A149" t="s">
        <v>64</v>
      </c>
      <c r="B149" t="s">
        <v>65</v>
      </c>
      <c r="C149" t="s">
        <v>17</v>
      </c>
      <c r="D149">
        <v>831</v>
      </c>
      <c r="E149">
        <v>734</v>
      </c>
      <c r="F149">
        <v>5</v>
      </c>
      <c r="G149">
        <v>143</v>
      </c>
      <c r="H149">
        <v>61</v>
      </c>
      <c r="I149">
        <v>33</v>
      </c>
      <c r="J149">
        <v>4</v>
      </c>
      <c r="K149">
        <v>273</v>
      </c>
      <c r="L149">
        <v>7</v>
      </c>
      <c r="M149">
        <v>208</v>
      </c>
      <c r="N149">
        <v>97</v>
      </c>
      <c r="O149">
        <v>97</v>
      </c>
      <c r="P149">
        <v>0</v>
      </c>
    </row>
    <row r="150" spans="1:16" x14ac:dyDescent="0.3">
      <c r="A150" t="s">
        <v>64</v>
      </c>
      <c r="B150" t="s">
        <v>65</v>
      </c>
      <c r="C150" t="s">
        <v>18</v>
      </c>
      <c r="D150" s="1">
        <v>1284</v>
      </c>
      <c r="E150" s="1">
        <v>1091</v>
      </c>
      <c r="F150">
        <v>9</v>
      </c>
      <c r="G150">
        <v>218</v>
      </c>
      <c r="H150">
        <v>99</v>
      </c>
      <c r="I150">
        <v>22</v>
      </c>
      <c r="J150">
        <v>0</v>
      </c>
      <c r="K150">
        <v>388</v>
      </c>
      <c r="L150">
        <v>13</v>
      </c>
      <c r="M150">
        <v>342</v>
      </c>
      <c r="N150">
        <v>193</v>
      </c>
      <c r="O150">
        <v>193</v>
      </c>
      <c r="P150">
        <v>0</v>
      </c>
    </row>
    <row r="151" spans="1:16" x14ac:dyDescent="0.3">
      <c r="A151" t="s">
        <v>64</v>
      </c>
      <c r="B151" t="s">
        <v>66</v>
      </c>
      <c r="C151" t="s">
        <v>4</v>
      </c>
      <c r="D151">
        <v>246</v>
      </c>
      <c r="E151">
        <v>210</v>
      </c>
      <c r="F151">
        <v>3</v>
      </c>
      <c r="G151">
        <v>36</v>
      </c>
      <c r="H151">
        <v>23</v>
      </c>
      <c r="I151">
        <v>7</v>
      </c>
      <c r="J151">
        <v>1</v>
      </c>
      <c r="K151">
        <v>127</v>
      </c>
      <c r="L151">
        <v>10</v>
      </c>
      <c r="M151">
        <v>3</v>
      </c>
      <c r="N151">
        <v>36</v>
      </c>
      <c r="O151">
        <v>36</v>
      </c>
      <c r="P151">
        <v>0</v>
      </c>
    </row>
    <row r="152" spans="1:16" x14ac:dyDescent="0.3">
      <c r="A152" t="s">
        <v>64</v>
      </c>
      <c r="B152" t="s">
        <v>66</v>
      </c>
      <c r="C152" t="s">
        <v>17</v>
      </c>
      <c r="D152">
        <v>103</v>
      </c>
      <c r="E152">
        <v>90</v>
      </c>
      <c r="F152">
        <v>2</v>
      </c>
      <c r="G152">
        <v>14</v>
      </c>
      <c r="H152">
        <v>10</v>
      </c>
      <c r="I152">
        <v>4</v>
      </c>
      <c r="J152">
        <v>0</v>
      </c>
      <c r="K152">
        <v>57</v>
      </c>
      <c r="L152">
        <v>3</v>
      </c>
      <c r="M152">
        <v>0</v>
      </c>
      <c r="N152">
        <v>13</v>
      </c>
      <c r="O152">
        <v>13</v>
      </c>
      <c r="P152">
        <v>0</v>
      </c>
    </row>
    <row r="153" spans="1:16" x14ac:dyDescent="0.3">
      <c r="A153" t="s">
        <v>64</v>
      </c>
      <c r="B153" t="s">
        <v>66</v>
      </c>
      <c r="C153" t="s">
        <v>18</v>
      </c>
      <c r="D153">
        <v>143</v>
      </c>
      <c r="E153">
        <v>120</v>
      </c>
      <c r="F153">
        <v>1</v>
      </c>
      <c r="G153">
        <v>22</v>
      </c>
      <c r="H153">
        <v>13</v>
      </c>
      <c r="I153">
        <v>3</v>
      </c>
      <c r="J153">
        <v>1</v>
      </c>
      <c r="K153">
        <v>70</v>
      </c>
      <c r="L153">
        <v>7</v>
      </c>
      <c r="M153">
        <v>3</v>
      </c>
      <c r="N153">
        <v>23</v>
      </c>
      <c r="O153">
        <v>23</v>
      </c>
      <c r="P153">
        <v>0</v>
      </c>
    </row>
    <row r="154" spans="1:16" x14ac:dyDescent="0.3">
      <c r="A154" t="s">
        <v>67</v>
      </c>
      <c r="B154" t="s">
        <v>4</v>
      </c>
      <c r="C154" t="s">
        <v>4</v>
      </c>
      <c r="D154" s="1">
        <v>1478</v>
      </c>
      <c r="E154" s="1">
        <v>1077</v>
      </c>
      <c r="F154">
        <v>20</v>
      </c>
      <c r="G154">
        <v>257</v>
      </c>
      <c r="H154">
        <v>219</v>
      </c>
      <c r="I154">
        <v>53</v>
      </c>
      <c r="J154">
        <v>4</v>
      </c>
      <c r="K154">
        <v>254</v>
      </c>
      <c r="L154">
        <v>198</v>
      </c>
      <c r="M154">
        <v>72</v>
      </c>
      <c r="N154">
        <v>401</v>
      </c>
      <c r="O154">
        <v>401</v>
      </c>
      <c r="P154">
        <v>0</v>
      </c>
    </row>
    <row r="155" spans="1:16" x14ac:dyDescent="0.3">
      <c r="A155" t="s">
        <v>67</v>
      </c>
      <c r="B155" t="s">
        <v>4</v>
      </c>
      <c r="C155" t="s">
        <v>17</v>
      </c>
      <c r="D155" s="1">
        <f>D158+D161+D164+D167+D170+D173+D176+D179+D182+D185+D188+D191+D194+D197+D200+D203+D206+D209+D214+D217+D220+D223+D226+D229+D232+D236</f>
        <v>405</v>
      </c>
      <c r="E155" s="1">
        <f t="shared" ref="E155:O155" si="8">E158+E161+E164+E167+E170+E173+E176+E179+E182+E185+E188+E191+E194+E197+E200+E203+E206+E209+E214+E217+E220+E223+E226+E229+E232+E236</f>
        <v>319</v>
      </c>
      <c r="F155" s="1">
        <f t="shared" si="8"/>
        <v>3</v>
      </c>
      <c r="G155" s="1">
        <f t="shared" si="8"/>
        <v>73</v>
      </c>
      <c r="H155" s="1">
        <f t="shared" si="8"/>
        <v>64</v>
      </c>
      <c r="I155" s="1">
        <f t="shared" si="8"/>
        <v>26</v>
      </c>
      <c r="J155" s="1">
        <f t="shared" si="8"/>
        <v>2</v>
      </c>
      <c r="K155" s="1">
        <f t="shared" si="8"/>
        <v>79</v>
      </c>
      <c r="L155" s="1">
        <f t="shared" si="8"/>
        <v>36</v>
      </c>
      <c r="M155" s="1">
        <f t="shared" si="8"/>
        <v>36</v>
      </c>
      <c r="N155" s="1">
        <f t="shared" si="8"/>
        <v>86</v>
      </c>
      <c r="O155" s="1">
        <f t="shared" si="8"/>
        <v>86</v>
      </c>
      <c r="P155" s="1">
        <f t="shared" ref="P155" si="9">P158+P161+P164+P167+P170+P173+P176+P179+P182+P185+P188+P191+P194+P197+P200+P203+P206+P209+P214+P217+P220+P223+P226+P229+P232+P236</f>
        <v>0</v>
      </c>
    </row>
    <row r="156" spans="1:16" x14ac:dyDescent="0.3">
      <c r="A156" t="s">
        <v>67</v>
      </c>
      <c r="B156" t="s">
        <v>4</v>
      </c>
      <c r="C156" t="s">
        <v>18</v>
      </c>
      <c r="D156" s="1">
        <f>D159+D162+D165+D168+D171+D174+D177+D180+D183+D186+D189+D192+D195+D198+D201+D204+D207+D210+D212+D215+D218+D221+D224+D227+D230+D234+D238</f>
        <v>1073</v>
      </c>
      <c r="E156" s="1">
        <f t="shared" ref="E156:O156" si="10">E159+E162+E165+E168+E171+E174+E177+E180+E183+E186+E189+E192+E195+E198+E201+E204+E207+E210+E212+E215+E218+E221+E224+E227+E230+E234+E238</f>
        <v>758</v>
      </c>
      <c r="F156" s="1">
        <f t="shared" si="10"/>
        <v>17</v>
      </c>
      <c r="G156" s="1">
        <f t="shared" si="10"/>
        <v>184</v>
      </c>
      <c r="H156" s="1">
        <f t="shared" si="10"/>
        <v>155</v>
      </c>
      <c r="I156" s="1">
        <f t="shared" si="10"/>
        <v>27</v>
      </c>
      <c r="J156" s="1">
        <f t="shared" si="10"/>
        <v>2</v>
      </c>
      <c r="K156" s="1">
        <f t="shared" si="10"/>
        <v>175</v>
      </c>
      <c r="L156" s="1">
        <f t="shared" si="10"/>
        <v>162</v>
      </c>
      <c r="M156" s="1">
        <f t="shared" si="10"/>
        <v>36</v>
      </c>
      <c r="N156" s="1">
        <f t="shared" si="10"/>
        <v>315</v>
      </c>
      <c r="O156" s="1">
        <f t="shared" si="10"/>
        <v>315</v>
      </c>
      <c r="P156" s="1">
        <f t="shared" ref="P156" si="11">P159+P162+P165+P168+P171+P174+P177+P180+P183+P186+P189+P192+P195+P198+P201+P204+P207+P210+P212+P215+P218+P221+P224+P227+P230+P234+P238</f>
        <v>0</v>
      </c>
    </row>
    <row r="157" spans="1:16" x14ac:dyDescent="0.3">
      <c r="A157" t="s">
        <v>67</v>
      </c>
      <c r="B157" t="s">
        <v>68</v>
      </c>
      <c r="C157" t="s">
        <v>4</v>
      </c>
      <c r="D157">
        <v>456</v>
      </c>
      <c r="E157">
        <v>360</v>
      </c>
      <c r="F157">
        <v>3</v>
      </c>
      <c r="G157">
        <v>39</v>
      </c>
      <c r="H157">
        <v>42</v>
      </c>
      <c r="I157">
        <v>12</v>
      </c>
      <c r="J157">
        <v>0</v>
      </c>
      <c r="K157">
        <v>159</v>
      </c>
      <c r="L157">
        <v>36</v>
      </c>
      <c r="M157">
        <v>69</v>
      </c>
      <c r="N157">
        <v>96</v>
      </c>
      <c r="O157">
        <v>96</v>
      </c>
      <c r="P157">
        <v>0</v>
      </c>
    </row>
    <row r="158" spans="1:16" x14ac:dyDescent="0.3">
      <c r="A158" t="s">
        <v>67</v>
      </c>
      <c r="B158" t="s">
        <v>68</v>
      </c>
      <c r="C158" t="s">
        <v>17</v>
      </c>
      <c r="D158">
        <v>142</v>
      </c>
      <c r="E158">
        <v>121</v>
      </c>
      <c r="F158">
        <v>0</v>
      </c>
      <c r="G158">
        <v>11</v>
      </c>
      <c r="H158">
        <v>9</v>
      </c>
      <c r="I158">
        <v>7</v>
      </c>
      <c r="J158">
        <v>0</v>
      </c>
      <c r="K158">
        <v>49</v>
      </c>
      <c r="L158">
        <v>9</v>
      </c>
      <c r="M158">
        <v>36</v>
      </c>
      <c r="N158">
        <v>21</v>
      </c>
      <c r="O158">
        <v>21</v>
      </c>
      <c r="P158">
        <v>0</v>
      </c>
    </row>
    <row r="159" spans="1:16" x14ac:dyDescent="0.3">
      <c r="A159" t="s">
        <v>67</v>
      </c>
      <c r="B159" t="s">
        <v>68</v>
      </c>
      <c r="C159" t="s">
        <v>18</v>
      </c>
      <c r="D159">
        <v>314</v>
      </c>
      <c r="E159">
        <v>239</v>
      </c>
      <c r="F159">
        <v>3</v>
      </c>
      <c r="G159">
        <v>28</v>
      </c>
      <c r="H159">
        <v>33</v>
      </c>
      <c r="I159">
        <v>5</v>
      </c>
      <c r="J159">
        <v>0</v>
      </c>
      <c r="K159">
        <v>110</v>
      </c>
      <c r="L159">
        <v>27</v>
      </c>
      <c r="M159">
        <v>33</v>
      </c>
      <c r="N159">
        <v>75</v>
      </c>
      <c r="O159">
        <v>75</v>
      </c>
      <c r="P159">
        <v>0</v>
      </c>
    </row>
    <row r="160" spans="1:16" x14ac:dyDescent="0.3">
      <c r="A160" t="s">
        <v>67</v>
      </c>
      <c r="B160" t="s">
        <v>69</v>
      </c>
      <c r="C160" t="s">
        <v>4</v>
      </c>
      <c r="D160">
        <v>256</v>
      </c>
      <c r="E160">
        <v>152</v>
      </c>
      <c r="F160">
        <v>0</v>
      </c>
      <c r="G160">
        <v>54</v>
      </c>
      <c r="H160">
        <v>25</v>
      </c>
      <c r="I160">
        <v>8</v>
      </c>
      <c r="J160">
        <v>3</v>
      </c>
      <c r="K160">
        <v>32</v>
      </c>
      <c r="L160">
        <v>30</v>
      </c>
      <c r="M160">
        <v>0</v>
      </c>
      <c r="N160">
        <v>104</v>
      </c>
      <c r="O160">
        <v>104</v>
      </c>
      <c r="P160">
        <v>0</v>
      </c>
    </row>
    <row r="161" spans="1:16" x14ac:dyDescent="0.3">
      <c r="A161" t="s">
        <v>67</v>
      </c>
      <c r="B161" t="s">
        <v>69</v>
      </c>
      <c r="C161" t="s">
        <v>17</v>
      </c>
      <c r="D161">
        <v>72</v>
      </c>
      <c r="E161">
        <v>43</v>
      </c>
      <c r="F161">
        <v>0</v>
      </c>
      <c r="G161">
        <v>13</v>
      </c>
      <c r="H161">
        <v>9</v>
      </c>
      <c r="I161">
        <v>4</v>
      </c>
      <c r="J161">
        <v>1</v>
      </c>
      <c r="K161">
        <v>10</v>
      </c>
      <c r="L161">
        <v>6</v>
      </c>
      <c r="M161">
        <v>0</v>
      </c>
      <c r="N161">
        <v>29</v>
      </c>
      <c r="O161">
        <v>29</v>
      </c>
      <c r="P161">
        <v>0</v>
      </c>
    </row>
    <row r="162" spans="1:16" x14ac:dyDescent="0.3">
      <c r="A162" t="s">
        <v>67</v>
      </c>
      <c r="B162" t="s">
        <v>69</v>
      </c>
      <c r="C162" t="s">
        <v>18</v>
      </c>
      <c r="D162">
        <v>184</v>
      </c>
      <c r="E162">
        <v>109</v>
      </c>
      <c r="F162">
        <v>0</v>
      </c>
      <c r="G162">
        <v>41</v>
      </c>
      <c r="H162">
        <v>16</v>
      </c>
      <c r="I162">
        <v>4</v>
      </c>
      <c r="J162">
        <v>2</v>
      </c>
      <c r="K162">
        <v>22</v>
      </c>
      <c r="L162">
        <v>24</v>
      </c>
      <c r="M162">
        <v>0</v>
      </c>
      <c r="N162">
        <v>75</v>
      </c>
      <c r="O162">
        <v>75</v>
      </c>
      <c r="P162">
        <v>0</v>
      </c>
    </row>
    <row r="163" spans="1:16" x14ac:dyDescent="0.3">
      <c r="A163" t="s">
        <v>67</v>
      </c>
      <c r="B163" t="s">
        <v>70</v>
      </c>
      <c r="C163" t="s">
        <v>4</v>
      </c>
      <c r="D163">
        <v>175</v>
      </c>
      <c r="E163">
        <v>121</v>
      </c>
      <c r="F163">
        <v>3</v>
      </c>
      <c r="G163">
        <v>29</v>
      </c>
      <c r="H163">
        <v>31</v>
      </c>
      <c r="I163">
        <v>7</v>
      </c>
      <c r="J163">
        <v>0</v>
      </c>
      <c r="K163">
        <v>20</v>
      </c>
      <c r="L163">
        <v>31</v>
      </c>
      <c r="M163">
        <v>0</v>
      </c>
      <c r="N163">
        <v>54</v>
      </c>
      <c r="O163">
        <v>54</v>
      </c>
      <c r="P163">
        <v>0</v>
      </c>
    </row>
    <row r="164" spans="1:16" x14ac:dyDescent="0.3">
      <c r="A164" t="s">
        <v>67</v>
      </c>
      <c r="B164" t="s">
        <v>70</v>
      </c>
      <c r="C164" t="s">
        <v>17</v>
      </c>
      <c r="D164">
        <v>46</v>
      </c>
      <c r="E164">
        <v>32</v>
      </c>
      <c r="F164">
        <v>0</v>
      </c>
      <c r="G164">
        <v>9</v>
      </c>
      <c r="H164">
        <v>8</v>
      </c>
      <c r="I164">
        <v>2</v>
      </c>
      <c r="J164">
        <v>0</v>
      </c>
      <c r="K164">
        <v>7</v>
      </c>
      <c r="L164">
        <v>6</v>
      </c>
      <c r="M164">
        <v>0</v>
      </c>
      <c r="N164">
        <v>14</v>
      </c>
      <c r="O164">
        <v>14</v>
      </c>
      <c r="P164">
        <v>0</v>
      </c>
    </row>
    <row r="165" spans="1:16" x14ac:dyDescent="0.3">
      <c r="A165" t="s">
        <v>67</v>
      </c>
      <c r="B165" t="s">
        <v>70</v>
      </c>
      <c r="C165" t="s">
        <v>18</v>
      </c>
      <c r="D165">
        <v>129</v>
      </c>
      <c r="E165">
        <v>89</v>
      </c>
      <c r="F165">
        <v>3</v>
      </c>
      <c r="G165">
        <v>20</v>
      </c>
      <c r="H165">
        <v>23</v>
      </c>
      <c r="I165">
        <v>5</v>
      </c>
      <c r="J165">
        <v>0</v>
      </c>
      <c r="K165">
        <v>13</v>
      </c>
      <c r="L165">
        <v>25</v>
      </c>
      <c r="M165">
        <v>0</v>
      </c>
      <c r="N165">
        <v>40</v>
      </c>
      <c r="O165">
        <v>40</v>
      </c>
      <c r="P165">
        <v>0</v>
      </c>
    </row>
    <row r="166" spans="1:16" x14ac:dyDescent="0.3">
      <c r="A166" t="s">
        <v>67</v>
      </c>
      <c r="B166" t="s">
        <v>71</v>
      </c>
      <c r="C166" t="s">
        <v>4</v>
      </c>
      <c r="D166">
        <v>108</v>
      </c>
      <c r="E166">
        <v>76</v>
      </c>
      <c r="F166">
        <v>2</v>
      </c>
      <c r="G166">
        <v>26</v>
      </c>
      <c r="H166">
        <v>16</v>
      </c>
      <c r="I166">
        <v>2</v>
      </c>
      <c r="J166">
        <v>0</v>
      </c>
      <c r="K166">
        <v>7</v>
      </c>
      <c r="L166">
        <v>22</v>
      </c>
      <c r="M166">
        <v>1</v>
      </c>
      <c r="N166">
        <v>32</v>
      </c>
      <c r="O166">
        <v>32</v>
      </c>
      <c r="P166">
        <v>0</v>
      </c>
    </row>
    <row r="167" spans="1:16" x14ac:dyDescent="0.3">
      <c r="A167" t="s">
        <v>67</v>
      </c>
      <c r="B167" t="s">
        <v>71</v>
      </c>
      <c r="C167" t="s">
        <v>17</v>
      </c>
      <c r="D167">
        <v>20</v>
      </c>
      <c r="E167">
        <v>14</v>
      </c>
      <c r="F167">
        <v>0</v>
      </c>
      <c r="G167">
        <v>6</v>
      </c>
      <c r="H167">
        <v>4</v>
      </c>
      <c r="I167">
        <v>0</v>
      </c>
      <c r="J167">
        <v>0</v>
      </c>
      <c r="K167">
        <v>2</v>
      </c>
      <c r="L167">
        <v>2</v>
      </c>
      <c r="M167">
        <v>0</v>
      </c>
      <c r="N167">
        <v>6</v>
      </c>
      <c r="O167">
        <v>6</v>
      </c>
      <c r="P167">
        <v>0</v>
      </c>
    </row>
    <row r="168" spans="1:16" x14ac:dyDescent="0.3">
      <c r="A168" t="s">
        <v>67</v>
      </c>
      <c r="B168" t="s">
        <v>71</v>
      </c>
      <c r="C168" t="s">
        <v>18</v>
      </c>
      <c r="D168">
        <v>88</v>
      </c>
      <c r="E168">
        <v>62</v>
      </c>
      <c r="F168">
        <v>2</v>
      </c>
      <c r="G168">
        <v>20</v>
      </c>
      <c r="H168">
        <v>12</v>
      </c>
      <c r="I168">
        <v>2</v>
      </c>
      <c r="J168">
        <v>0</v>
      </c>
      <c r="K168">
        <v>5</v>
      </c>
      <c r="L168">
        <v>20</v>
      </c>
      <c r="M168">
        <v>1</v>
      </c>
      <c r="N168">
        <v>26</v>
      </c>
      <c r="O168">
        <v>26</v>
      </c>
      <c r="P168">
        <v>0</v>
      </c>
    </row>
    <row r="169" spans="1:16" x14ac:dyDescent="0.3">
      <c r="A169" t="s">
        <v>67</v>
      </c>
      <c r="B169" t="s">
        <v>72</v>
      </c>
      <c r="C169" t="s">
        <v>4</v>
      </c>
      <c r="D169">
        <v>91</v>
      </c>
      <c r="E169">
        <v>63</v>
      </c>
      <c r="F169">
        <v>2</v>
      </c>
      <c r="G169">
        <v>21</v>
      </c>
      <c r="H169">
        <v>14</v>
      </c>
      <c r="I169">
        <v>3</v>
      </c>
      <c r="J169">
        <v>0</v>
      </c>
      <c r="K169">
        <v>14</v>
      </c>
      <c r="L169">
        <v>9</v>
      </c>
      <c r="M169">
        <v>0</v>
      </c>
      <c r="N169">
        <v>28</v>
      </c>
      <c r="O169">
        <v>28</v>
      </c>
      <c r="P169">
        <v>0</v>
      </c>
    </row>
    <row r="170" spans="1:16" x14ac:dyDescent="0.3">
      <c r="A170" t="s">
        <v>67</v>
      </c>
      <c r="B170" t="s">
        <v>72</v>
      </c>
      <c r="C170" t="s">
        <v>17</v>
      </c>
      <c r="D170">
        <v>20</v>
      </c>
      <c r="E170">
        <v>17</v>
      </c>
      <c r="F170">
        <v>2</v>
      </c>
      <c r="G170">
        <v>4</v>
      </c>
      <c r="H170">
        <v>4</v>
      </c>
      <c r="I170">
        <v>1</v>
      </c>
      <c r="J170">
        <v>0</v>
      </c>
      <c r="K170">
        <v>5</v>
      </c>
      <c r="L170">
        <v>1</v>
      </c>
      <c r="M170">
        <v>0</v>
      </c>
      <c r="N170">
        <v>3</v>
      </c>
      <c r="O170">
        <v>3</v>
      </c>
      <c r="P170">
        <v>0</v>
      </c>
    </row>
    <row r="171" spans="1:16" x14ac:dyDescent="0.3">
      <c r="A171" t="s">
        <v>67</v>
      </c>
      <c r="B171" t="s">
        <v>72</v>
      </c>
      <c r="C171" t="s">
        <v>18</v>
      </c>
      <c r="D171">
        <v>71</v>
      </c>
      <c r="E171">
        <v>46</v>
      </c>
      <c r="F171">
        <v>0</v>
      </c>
      <c r="G171">
        <v>17</v>
      </c>
      <c r="H171">
        <v>10</v>
      </c>
      <c r="I171">
        <v>2</v>
      </c>
      <c r="J171">
        <v>0</v>
      </c>
      <c r="K171">
        <v>9</v>
      </c>
      <c r="L171">
        <v>8</v>
      </c>
      <c r="M171">
        <v>0</v>
      </c>
      <c r="N171">
        <v>25</v>
      </c>
      <c r="O171">
        <v>25</v>
      </c>
      <c r="P171">
        <v>0</v>
      </c>
    </row>
    <row r="172" spans="1:16" x14ac:dyDescent="0.3">
      <c r="A172" t="s">
        <v>67</v>
      </c>
      <c r="B172" t="s">
        <v>73</v>
      </c>
      <c r="C172" t="s">
        <v>4</v>
      </c>
      <c r="D172">
        <v>85</v>
      </c>
      <c r="E172">
        <v>71</v>
      </c>
      <c r="F172">
        <v>0</v>
      </c>
      <c r="G172">
        <v>18</v>
      </c>
      <c r="H172">
        <v>22</v>
      </c>
      <c r="I172">
        <v>8</v>
      </c>
      <c r="J172">
        <v>0</v>
      </c>
      <c r="K172">
        <v>10</v>
      </c>
      <c r="L172">
        <v>12</v>
      </c>
      <c r="M172">
        <v>1</v>
      </c>
      <c r="N172">
        <v>14</v>
      </c>
      <c r="O172">
        <v>14</v>
      </c>
      <c r="P172">
        <v>0</v>
      </c>
    </row>
    <row r="173" spans="1:16" x14ac:dyDescent="0.3">
      <c r="A173" t="s">
        <v>67</v>
      </c>
      <c r="B173" t="s">
        <v>73</v>
      </c>
      <c r="C173" t="s">
        <v>17</v>
      </c>
      <c r="D173">
        <v>19</v>
      </c>
      <c r="E173">
        <v>18</v>
      </c>
      <c r="F173">
        <v>0</v>
      </c>
      <c r="G173">
        <v>2</v>
      </c>
      <c r="H173">
        <v>9</v>
      </c>
      <c r="I173">
        <v>4</v>
      </c>
      <c r="J173">
        <v>0</v>
      </c>
      <c r="K173">
        <v>2</v>
      </c>
      <c r="L173">
        <v>1</v>
      </c>
      <c r="M173">
        <v>0</v>
      </c>
      <c r="N173">
        <v>1</v>
      </c>
      <c r="O173">
        <v>1</v>
      </c>
      <c r="P173">
        <v>0</v>
      </c>
    </row>
    <row r="174" spans="1:16" x14ac:dyDescent="0.3">
      <c r="A174" t="s">
        <v>67</v>
      </c>
      <c r="B174" t="s">
        <v>73</v>
      </c>
      <c r="C174" t="s">
        <v>18</v>
      </c>
      <c r="D174">
        <v>66</v>
      </c>
      <c r="E174">
        <v>53</v>
      </c>
      <c r="F174">
        <v>0</v>
      </c>
      <c r="G174">
        <v>16</v>
      </c>
      <c r="H174">
        <v>13</v>
      </c>
      <c r="I174">
        <v>4</v>
      </c>
      <c r="J174">
        <v>0</v>
      </c>
      <c r="K174">
        <v>8</v>
      </c>
      <c r="L174">
        <v>11</v>
      </c>
      <c r="M174">
        <v>1</v>
      </c>
      <c r="N174">
        <v>13</v>
      </c>
      <c r="O174">
        <v>13</v>
      </c>
      <c r="P174">
        <v>0</v>
      </c>
    </row>
    <row r="175" spans="1:16" x14ac:dyDescent="0.3">
      <c r="A175" t="s">
        <v>67</v>
      </c>
      <c r="B175" t="s">
        <v>74</v>
      </c>
      <c r="C175" t="s">
        <v>4</v>
      </c>
      <c r="D175">
        <v>34</v>
      </c>
      <c r="E175">
        <v>22</v>
      </c>
      <c r="F175">
        <v>2</v>
      </c>
      <c r="G175">
        <v>8</v>
      </c>
      <c r="H175">
        <v>3</v>
      </c>
      <c r="I175">
        <v>0</v>
      </c>
      <c r="J175">
        <v>0</v>
      </c>
      <c r="K175">
        <v>3</v>
      </c>
      <c r="L175">
        <v>6</v>
      </c>
      <c r="M175">
        <v>0</v>
      </c>
      <c r="N175">
        <v>12</v>
      </c>
      <c r="O175">
        <v>12</v>
      </c>
      <c r="P175">
        <v>0</v>
      </c>
    </row>
    <row r="176" spans="1:16" x14ac:dyDescent="0.3">
      <c r="A176" t="s">
        <v>67</v>
      </c>
      <c r="B176" t="s">
        <v>74</v>
      </c>
      <c r="C176" t="s">
        <v>17</v>
      </c>
      <c r="D176">
        <v>7</v>
      </c>
      <c r="E176">
        <v>4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3</v>
      </c>
      <c r="O176">
        <v>3</v>
      </c>
      <c r="P176">
        <v>0</v>
      </c>
    </row>
    <row r="177" spans="1:16" x14ac:dyDescent="0.3">
      <c r="A177" t="s">
        <v>67</v>
      </c>
      <c r="B177" t="s">
        <v>74</v>
      </c>
      <c r="C177" t="s">
        <v>18</v>
      </c>
      <c r="D177">
        <v>27</v>
      </c>
      <c r="E177">
        <v>18</v>
      </c>
      <c r="F177">
        <v>2</v>
      </c>
      <c r="G177">
        <v>5</v>
      </c>
      <c r="H177">
        <v>3</v>
      </c>
      <c r="I177">
        <v>0</v>
      </c>
      <c r="J177">
        <v>0</v>
      </c>
      <c r="K177">
        <v>2</v>
      </c>
      <c r="L177">
        <v>6</v>
      </c>
      <c r="M177">
        <v>0</v>
      </c>
      <c r="N177">
        <v>9</v>
      </c>
      <c r="O177">
        <v>9</v>
      </c>
      <c r="P177">
        <v>0</v>
      </c>
    </row>
    <row r="178" spans="1:16" x14ac:dyDescent="0.3">
      <c r="A178" t="s">
        <v>67</v>
      </c>
      <c r="B178" t="s">
        <v>75</v>
      </c>
      <c r="C178" t="s">
        <v>4</v>
      </c>
      <c r="D178">
        <v>28</v>
      </c>
      <c r="E178">
        <v>22</v>
      </c>
      <c r="F178">
        <v>1</v>
      </c>
      <c r="G178">
        <v>5</v>
      </c>
      <c r="H178">
        <v>11</v>
      </c>
      <c r="I178">
        <v>0</v>
      </c>
      <c r="J178">
        <v>0</v>
      </c>
      <c r="K178">
        <v>0</v>
      </c>
      <c r="L178">
        <v>5</v>
      </c>
      <c r="M178">
        <v>0</v>
      </c>
      <c r="N178">
        <v>6</v>
      </c>
      <c r="O178">
        <v>6</v>
      </c>
      <c r="P178">
        <v>0</v>
      </c>
    </row>
    <row r="179" spans="1:16" x14ac:dyDescent="0.3">
      <c r="A179" t="s">
        <v>67</v>
      </c>
      <c r="B179" t="s">
        <v>75</v>
      </c>
      <c r="C179" t="s">
        <v>17</v>
      </c>
      <c r="D179">
        <v>7</v>
      </c>
      <c r="E179">
        <v>6</v>
      </c>
      <c r="F179">
        <v>0</v>
      </c>
      <c r="G179">
        <v>3</v>
      </c>
      <c r="H179">
        <v>1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1</v>
      </c>
      <c r="O179">
        <v>1</v>
      </c>
      <c r="P179">
        <v>0</v>
      </c>
    </row>
    <row r="180" spans="1:16" x14ac:dyDescent="0.3">
      <c r="A180" t="s">
        <v>67</v>
      </c>
      <c r="B180" t="s">
        <v>75</v>
      </c>
      <c r="C180" t="s">
        <v>18</v>
      </c>
      <c r="D180">
        <v>21</v>
      </c>
      <c r="E180">
        <v>16</v>
      </c>
      <c r="F180">
        <v>1</v>
      </c>
      <c r="G180">
        <v>2</v>
      </c>
      <c r="H180">
        <v>10</v>
      </c>
      <c r="I180">
        <v>0</v>
      </c>
      <c r="J180">
        <v>0</v>
      </c>
      <c r="K180">
        <v>0</v>
      </c>
      <c r="L180">
        <v>3</v>
      </c>
      <c r="M180">
        <v>0</v>
      </c>
      <c r="N180">
        <v>5</v>
      </c>
      <c r="O180">
        <v>5</v>
      </c>
      <c r="P180">
        <v>0</v>
      </c>
    </row>
    <row r="181" spans="1:16" x14ac:dyDescent="0.3">
      <c r="A181" t="s">
        <v>67</v>
      </c>
      <c r="B181" t="s">
        <v>76</v>
      </c>
      <c r="C181" t="s">
        <v>4</v>
      </c>
      <c r="D181">
        <v>27</v>
      </c>
      <c r="E181">
        <v>22</v>
      </c>
      <c r="F181">
        <v>0</v>
      </c>
      <c r="G181">
        <v>10</v>
      </c>
      <c r="H181">
        <v>8</v>
      </c>
      <c r="I181">
        <v>0</v>
      </c>
      <c r="J181">
        <v>0</v>
      </c>
      <c r="K181">
        <v>1</v>
      </c>
      <c r="L181">
        <v>3</v>
      </c>
      <c r="M181">
        <v>0</v>
      </c>
      <c r="N181">
        <v>5</v>
      </c>
      <c r="O181">
        <v>5</v>
      </c>
      <c r="P181">
        <v>0</v>
      </c>
    </row>
    <row r="182" spans="1:16" x14ac:dyDescent="0.3">
      <c r="A182" t="s">
        <v>67</v>
      </c>
      <c r="B182" t="s">
        <v>76</v>
      </c>
      <c r="C182" t="s">
        <v>17</v>
      </c>
      <c r="D182">
        <v>5</v>
      </c>
      <c r="E182">
        <v>5</v>
      </c>
      <c r="F182">
        <v>0</v>
      </c>
      <c r="G182">
        <v>2</v>
      </c>
      <c r="H182">
        <v>2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t="s">
        <v>67</v>
      </c>
      <c r="B183" t="s">
        <v>76</v>
      </c>
      <c r="C183" t="s">
        <v>18</v>
      </c>
      <c r="D183">
        <v>22</v>
      </c>
      <c r="E183">
        <v>17</v>
      </c>
      <c r="F183">
        <v>0</v>
      </c>
      <c r="G183">
        <v>8</v>
      </c>
      <c r="H183">
        <v>6</v>
      </c>
      <c r="I183">
        <v>0</v>
      </c>
      <c r="J183">
        <v>0</v>
      </c>
      <c r="K183">
        <v>1</v>
      </c>
      <c r="L183">
        <v>2</v>
      </c>
      <c r="M183">
        <v>0</v>
      </c>
      <c r="N183">
        <v>5</v>
      </c>
      <c r="O183">
        <v>5</v>
      </c>
      <c r="P183">
        <v>0</v>
      </c>
    </row>
    <row r="184" spans="1:16" x14ac:dyDescent="0.3">
      <c r="A184" t="s">
        <v>67</v>
      </c>
      <c r="B184" t="s">
        <v>77</v>
      </c>
      <c r="C184" t="s">
        <v>4</v>
      </c>
      <c r="D184">
        <v>25</v>
      </c>
      <c r="E184">
        <v>17</v>
      </c>
      <c r="F184">
        <v>1</v>
      </c>
      <c r="G184">
        <v>4</v>
      </c>
      <c r="H184">
        <v>5</v>
      </c>
      <c r="I184">
        <v>1</v>
      </c>
      <c r="J184">
        <v>0</v>
      </c>
      <c r="K184">
        <v>0</v>
      </c>
      <c r="L184">
        <v>6</v>
      </c>
      <c r="M184">
        <v>0</v>
      </c>
      <c r="N184">
        <v>8</v>
      </c>
      <c r="O184">
        <v>8</v>
      </c>
      <c r="P184">
        <v>0</v>
      </c>
    </row>
    <row r="185" spans="1:16" x14ac:dyDescent="0.3">
      <c r="A185" t="s">
        <v>67</v>
      </c>
      <c r="B185" t="s">
        <v>77</v>
      </c>
      <c r="C185" t="s">
        <v>17</v>
      </c>
      <c r="D185">
        <v>6</v>
      </c>
      <c r="E185">
        <v>3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>
        <v>3</v>
      </c>
      <c r="O185">
        <v>3</v>
      </c>
      <c r="P185">
        <v>0</v>
      </c>
    </row>
    <row r="186" spans="1:16" x14ac:dyDescent="0.3">
      <c r="A186" t="s">
        <v>67</v>
      </c>
      <c r="B186" t="s">
        <v>77</v>
      </c>
      <c r="C186" t="s">
        <v>18</v>
      </c>
      <c r="D186">
        <v>19</v>
      </c>
      <c r="E186">
        <v>14</v>
      </c>
      <c r="F186">
        <v>1</v>
      </c>
      <c r="G186">
        <v>3</v>
      </c>
      <c r="H186">
        <v>5</v>
      </c>
      <c r="I186">
        <v>0</v>
      </c>
      <c r="J186">
        <v>0</v>
      </c>
      <c r="K186">
        <v>0</v>
      </c>
      <c r="L186">
        <v>5</v>
      </c>
      <c r="M186">
        <v>0</v>
      </c>
      <c r="N186">
        <v>5</v>
      </c>
      <c r="O186">
        <v>5</v>
      </c>
      <c r="P186">
        <v>0</v>
      </c>
    </row>
    <row r="187" spans="1:16" x14ac:dyDescent="0.3">
      <c r="A187" t="s">
        <v>67</v>
      </c>
      <c r="B187" t="s">
        <v>78</v>
      </c>
      <c r="C187" t="s">
        <v>4</v>
      </c>
      <c r="D187">
        <v>25</v>
      </c>
      <c r="E187">
        <v>20</v>
      </c>
      <c r="F187">
        <v>1</v>
      </c>
      <c r="G187">
        <v>5</v>
      </c>
      <c r="H187">
        <v>7</v>
      </c>
      <c r="I187">
        <v>0</v>
      </c>
      <c r="J187">
        <v>0</v>
      </c>
      <c r="K187">
        <v>1</v>
      </c>
      <c r="L187">
        <v>6</v>
      </c>
      <c r="M187">
        <v>0</v>
      </c>
      <c r="N187">
        <v>5</v>
      </c>
      <c r="O187">
        <v>5</v>
      </c>
      <c r="P187">
        <v>0</v>
      </c>
    </row>
    <row r="188" spans="1:16" x14ac:dyDescent="0.3">
      <c r="A188" t="s">
        <v>67</v>
      </c>
      <c r="B188" t="s">
        <v>78</v>
      </c>
      <c r="C188" t="s">
        <v>17</v>
      </c>
      <c r="D188">
        <v>12</v>
      </c>
      <c r="E188">
        <v>12</v>
      </c>
      <c r="F188">
        <v>0</v>
      </c>
      <c r="G188">
        <v>4</v>
      </c>
      <c r="H188">
        <v>4</v>
      </c>
      <c r="I188">
        <v>0</v>
      </c>
      <c r="J188">
        <v>0</v>
      </c>
      <c r="K188">
        <v>1</v>
      </c>
      <c r="L188">
        <v>3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t="s">
        <v>67</v>
      </c>
      <c r="B189" t="s">
        <v>78</v>
      </c>
      <c r="C189" t="s">
        <v>18</v>
      </c>
      <c r="D189">
        <v>13</v>
      </c>
      <c r="E189">
        <v>8</v>
      </c>
      <c r="F189">
        <v>1</v>
      </c>
      <c r="G189">
        <v>1</v>
      </c>
      <c r="H189">
        <v>3</v>
      </c>
      <c r="I189">
        <v>0</v>
      </c>
      <c r="J189">
        <v>0</v>
      </c>
      <c r="K189">
        <v>0</v>
      </c>
      <c r="L189">
        <v>3</v>
      </c>
      <c r="M189">
        <v>0</v>
      </c>
      <c r="N189">
        <v>5</v>
      </c>
      <c r="O189">
        <v>5</v>
      </c>
      <c r="P189">
        <v>0</v>
      </c>
    </row>
    <row r="190" spans="1:16" x14ac:dyDescent="0.3">
      <c r="A190" t="s">
        <v>67</v>
      </c>
      <c r="B190" t="s">
        <v>79</v>
      </c>
      <c r="C190" t="s">
        <v>4</v>
      </c>
      <c r="D190">
        <v>24</v>
      </c>
      <c r="E190">
        <v>19</v>
      </c>
      <c r="F190">
        <v>2</v>
      </c>
      <c r="G190">
        <v>6</v>
      </c>
      <c r="H190">
        <v>3</v>
      </c>
      <c r="I190">
        <v>2</v>
      </c>
      <c r="J190">
        <v>0</v>
      </c>
      <c r="K190">
        <v>2</v>
      </c>
      <c r="L190">
        <v>4</v>
      </c>
      <c r="M190">
        <v>0</v>
      </c>
      <c r="N190">
        <v>5</v>
      </c>
      <c r="O190">
        <v>5</v>
      </c>
      <c r="P190">
        <v>0</v>
      </c>
    </row>
    <row r="191" spans="1:16" x14ac:dyDescent="0.3">
      <c r="A191" t="s">
        <v>67</v>
      </c>
      <c r="B191" t="s">
        <v>79</v>
      </c>
      <c r="C191" t="s">
        <v>17</v>
      </c>
      <c r="D191">
        <v>7</v>
      </c>
      <c r="E191">
        <v>6</v>
      </c>
      <c r="F191">
        <v>0</v>
      </c>
      <c r="G191">
        <v>2</v>
      </c>
      <c r="H191">
        <v>1</v>
      </c>
      <c r="I191">
        <v>2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1</v>
      </c>
      <c r="P191">
        <v>0</v>
      </c>
    </row>
    <row r="192" spans="1:16" x14ac:dyDescent="0.3">
      <c r="A192" t="s">
        <v>67</v>
      </c>
      <c r="B192" t="s">
        <v>79</v>
      </c>
      <c r="C192" t="s">
        <v>18</v>
      </c>
      <c r="D192">
        <v>17</v>
      </c>
      <c r="E192">
        <v>13</v>
      </c>
      <c r="F192">
        <v>2</v>
      </c>
      <c r="G192">
        <v>4</v>
      </c>
      <c r="H192">
        <v>2</v>
      </c>
      <c r="I192">
        <v>0</v>
      </c>
      <c r="J192">
        <v>0</v>
      </c>
      <c r="K192">
        <v>1</v>
      </c>
      <c r="L192">
        <v>4</v>
      </c>
      <c r="M192">
        <v>0</v>
      </c>
      <c r="N192">
        <v>4</v>
      </c>
      <c r="O192">
        <v>4</v>
      </c>
      <c r="P192">
        <v>0</v>
      </c>
    </row>
    <row r="193" spans="1:16" x14ac:dyDescent="0.3">
      <c r="A193" t="s">
        <v>67</v>
      </c>
      <c r="B193" t="s">
        <v>80</v>
      </c>
      <c r="C193" t="s">
        <v>4</v>
      </c>
      <c r="D193">
        <v>23</v>
      </c>
      <c r="E193">
        <v>16</v>
      </c>
      <c r="F193">
        <v>1</v>
      </c>
      <c r="G193">
        <v>5</v>
      </c>
      <c r="H193">
        <v>4</v>
      </c>
      <c r="I193">
        <v>0</v>
      </c>
      <c r="J193">
        <v>0</v>
      </c>
      <c r="K193">
        <v>1</v>
      </c>
      <c r="L193">
        <v>5</v>
      </c>
      <c r="M193">
        <v>0</v>
      </c>
      <c r="N193">
        <v>7</v>
      </c>
      <c r="O193">
        <v>7</v>
      </c>
      <c r="P193">
        <v>0</v>
      </c>
    </row>
    <row r="194" spans="1:16" x14ac:dyDescent="0.3">
      <c r="A194" t="s">
        <v>67</v>
      </c>
      <c r="B194" t="s">
        <v>80</v>
      </c>
      <c r="C194" t="s">
        <v>17</v>
      </c>
      <c r="D194">
        <v>9</v>
      </c>
      <c r="E194">
        <v>8</v>
      </c>
      <c r="F194">
        <v>0</v>
      </c>
      <c r="G194">
        <v>2</v>
      </c>
      <c r="H194">
        <v>3</v>
      </c>
      <c r="I194">
        <v>0</v>
      </c>
      <c r="J194">
        <v>0</v>
      </c>
      <c r="K194">
        <v>1</v>
      </c>
      <c r="L194">
        <v>2</v>
      </c>
      <c r="M194">
        <v>0</v>
      </c>
      <c r="N194">
        <v>1</v>
      </c>
      <c r="O194">
        <v>1</v>
      </c>
      <c r="P194">
        <v>0</v>
      </c>
    </row>
    <row r="195" spans="1:16" x14ac:dyDescent="0.3">
      <c r="A195" t="s">
        <v>67</v>
      </c>
      <c r="B195" t="s">
        <v>80</v>
      </c>
      <c r="C195" t="s">
        <v>18</v>
      </c>
      <c r="D195">
        <v>14</v>
      </c>
      <c r="E195">
        <v>8</v>
      </c>
      <c r="F195">
        <v>1</v>
      </c>
      <c r="G195">
        <v>3</v>
      </c>
      <c r="H195">
        <v>1</v>
      </c>
      <c r="I195">
        <v>0</v>
      </c>
      <c r="J195">
        <v>0</v>
      </c>
      <c r="K195">
        <v>0</v>
      </c>
      <c r="L195">
        <v>3</v>
      </c>
      <c r="M195">
        <v>0</v>
      </c>
      <c r="N195">
        <v>6</v>
      </c>
      <c r="O195">
        <v>6</v>
      </c>
      <c r="P195">
        <v>0</v>
      </c>
    </row>
    <row r="196" spans="1:16" x14ac:dyDescent="0.3">
      <c r="A196" t="s">
        <v>67</v>
      </c>
      <c r="B196" t="s">
        <v>81</v>
      </c>
      <c r="C196" t="s">
        <v>4</v>
      </c>
      <c r="D196">
        <v>22</v>
      </c>
      <c r="E196">
        <v>16</v>
      </c>
      <c r="F196">
        <v>0</v>
      </c>
      <c r="G196">
        <v>5</v>
      </c>
      <c r="H196">
        <v>4</v>
      </c>
      <c r="I196">
        <v>1</v>
      </c>
      <c r="J196">
        <v>0</v>
      </c>
      <c r="K196">
        <v>1</v>
      </c>
      <c r="L196">
        <v>5</v>
      </c>
      <c r="M196">
        <v>0</v>
      </c>
      <c r="N196">
        <v>6</v>
      </c>
      <c r="O196">
        <v>6</v>
      </c>
      <c r="P196">
        <v>0</v>
      </c>
    </row>
    <row r="197" spans="1:16" x14ac:dyDescent="0.3">
      <c r="A197" t="s">
        <v>67</v>
      </c>
      <c r="B197" t="s">
        <v>81</v>
      </c>
      <c r="C197" t="s">
        <v>17</v>
      </c>
      <c r="D197">
        <v>3</v>
      </c>
      <c r="E197">
        <v>3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 t="s">
        <v>67</v>
      </c>
      <c r="B198" t="s">
        <v>81</v>
      </c>
      <c r="C198" t="s">
        <v>18</v>
      </c>
      <c r="D198">
        <v>19</v>
      </c>
      <c r="E198">
        <v>13</v>
      </c>
      <c r="F198">
        <v>0</v>
      </c>
      <c r="G198">
        <v>4</v>
      </c>
      <c r="H198">
        <v>3</v>
      </c>
      <c r="I198">
        <v>1</v>
      </c>
      <c r="J198">
        <v>0</v>
      </c>
      <c r="K198">
        <v>1</v>
      </c>
      <c r="L198">
        <v>4</v>
      </c>
      <c r="M198">
        <v>0</v>
      </c>
      <c r="N198">
        <v>6</v>
      </c>
      <c r="O198">
        <v>6</v>
      </c>
      <c r="P198">
        <v>0</v>
      </c>
    </row>
    <row r="199" spans="1:16" x14ac:dyDescent="0.3">
      <c r="A199" t="s">
        <v>67</v>
      </c>
      <c r="B199" t="s">
        <v>82</v>
      </c>
      <c r="C199" t="s">
        <v>4</v>
      </c>
      <c r="D199">
        <v>20</v>
      </c>
      <c r="E199">
        <v>16</v>
      </c>
      <c r="F199">
        <v>1</v>
      </c>
      <c r="G199">
        <v>2</v>
      </c>
      <c r="H199">
        <v>6</v>
      </c>
      <c r="I199">
        <v>3</v>
      </c>
      <c r="J199">
        <v>0</v>
      </c>
      <c r="K199">
        <v>0</v>
      </c>
      <c r="L199">
        <v>3</v>
      </c>
      <c r="M199">
        <v>1</v>
      </c>
      <c r="N199">
        <v>4</v>
      </c>
      <c r="O199">
        <v>4</v>
      </c>
      <c r="P199">
        <v>0</v>
      </c>
    </row>
    <row r="200" spans="1:16" x14ac:dyDescent="0.3">
      <c r="A200" t="s">
        <v>67</v>
      </c>
      <c r="B200" t="s">
        <v>82</v>
      </c>
      <c r="C200" t="s">
        <v>17</v>
      </c>
      <c r="D200">
        <v>6</v>
      </c>
      <c r="E200">
        <v>4</v>
      </c>
      <c r="F200">
        <v>0</v>
      </c>
      <c r="G200">
        <v>1</v>
      </c>
      <c r="H200">
        <v>1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2</v>
      </c>
      <c r="P200">
        <v>0</v>
      </c>
    </row>
    <row r="201" spans="1:16" x14ac:dyDescent="0.3">
      <c r="A201" t="s">
        <v>67</v>
      </c>
      <c r="B201" t="s">
        <v>82</v>
      </c>
      <c r="C201" t="s">
        <v>18</v>
      </c>
      <c r="D201">
        <v>14</v>
      </c>
      <c r="E201">
        <v>12</v>
      </c>
      <c r="F201">
        <v>1</v>
      </c>
      <c r="G201">
        <v>1</v>
      </c>
      <c r="H201">
        <v>5</v>
      </c>
      <c r="I201">
        <v>1</v>
      </c>
      <c r="J201">
        <v>0</v>
      </c>
      <c r="K201">
        <v>0</v>
      </c>
      <c r="L201">
        <v>3</v>
      </c>
      <c r="M201">
        <v>1</v>
      </c>
      <c r="N201">
        <v>2</v>
      </c>
      <c r="O201">
        <v>2</v>
      </c>
      <c r="P201">
        <v>0</v>
      </c>
    </row>
    <row r="202" spans="1:16" x14ac:dyDescent="0.3">
      <c r="A202" t="s">
        <v>67</v>
      </c>
      <c r="B202" t="s">
        <v>83</v>
      </c>
      <c r="C202" t="s">
        <v>4</v>
      </c>
      <c r="D202">
        <v>18</v>
      </c>
      <c r="E202">
        <v>15</v>
      </c>
      <c r="F202">
        <v>0</v>
      </c>
      <c r="G202">
        <v>7</v>
      </c>
      <c r="H202">
        <v>3</v>
      </c>
      <c r="I202">
        <v>2</v>
      </c>
      <c r="J202">
        <v>0</v>
      </c>
      <c r="K202">
        <v>0</v>
      </c>
      <c r="L202">
        <v>3</v>
      </c>
      <c r="M202">
        <v>0</v>
      </c>
      <c r="N202">
        <v>3</v>
      </c>
      <c r="O202">
        <v>3</v>
      </c>
      <c r="P202">
        <v>0</v>
      </c>
    </row>
    <row r="203" spans="1:16" x14ac:dyDescent="0.3">
      <c r="A203" t="s">
        <v>67</v>
      </c>
      <c r="B203" t="s">
        <v>83</v>
      </c>
      <c r="C203" t="s">
        <v>17</v>
      </c>
      <c r="D203">
        <v>9</v>
      </c>
      <c r="E203">
        <v>9</v>
      </c>
      <c r="F203">
        <v>0</v>
      </c>
      <c r="G203">
        <v>5</v>
      </c>
      <c r="H203">
        <v>2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t="s">
        <v>67</v>
      </c>
      <c r="B204" t="s">
        <v>83</v>
      </c>
      <c r="C204" t="s">
        <v>18</v>
      </c>
      <c r="D204">
        <v>9</v>
      </c>
      <c r="E204">
        <v>6</v>
      </c>
      <c r="F204">
        <v>0</v>
      </c>
      <c r="G204">
        <v>2</v>
      </c>
      <c r="H204">
        <v>1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3</v>
      </c>
      <c r="O204">
        <v>3</v>
      </c>
      <c r="P204">
        <v>0</v>
      </c>
    </row>
    <row r="205" spans="1:16" x14ac:dyDescent="0.3">
      <c r="A205" t="s">
        <v>67</v>
      </c>
      <c r="B205" t="s">
        <v>84</v>
      </c>
      <c r="C205" t="s">
        <v>4</v>
      </c>
      <c r="D205">
        <v>13</v>
      </c>
      <c r="E205">
        <v>9</v>
      </c>
      <c r="F205">
        <v>0</v>
      </c>
      <c r="G205">
        <v>3</v>
      </c>
      <c r="H205">
        <v>0</v>
      </c>
      <c r="I205">
        <v>0</v>
      </c>
      <c r="J205">
        <v>1</v>
      </c>
      <c r="K205">
        <v>0</v>
      </c>
      <c r="L205">
        <v>5</v>
      </c>
      <c r="M205">
        <v>0</v>
      </c>
      <c r="N205">
        <v>4</v>
      </c>
      <c r="O205">
        <v>4</v>
      </c>
      <c r="P205">
        <v>0</v>
      </c>
    </row>
    <row r="206" spans="1:16" x14ac:dyDescent="0.3">
      <c r="A206" t="s">
        <v>67</v>
      </c>
      <c r="B206" t="s">
        <v>84</v>
      </c>
      <c r="C206" t="s">
        <v>17</v>
      </c>
      <c r="D206">
        <v>2</v>
      </c>
      <c r="E206">
        <v>2</v>
      </c>
      <c r="F206">
        <v>0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">
      <c r="A207" t="s">
        <v>67</v>
      </c>
      <c r="B207" t="s">
        <v>84</v>
      </c>
      <c r="C207" t="s">
        <v>18</v>
      </c>
      <c r="D207">
        <v>11</v>
      </c>
      <c r="E207">
        <v>7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5</v>
      </c>
      <c r="M207">
        <v>0</v>
      </c>
      <c r="N207">
        <v>4</v>
      </c>
      <c r="O207">
        <v>4</v>
      </c>
      <c r="P207">
        <v>0</v>
      </c>
    </row>
    <row r="208" spans="1:16" x14ac:dyDescent="0.3">
      <c r="A208" t="s">
        <v>67</v>
      </c>
      <c r="B208" t="s">
        <v>85</v>
      </c>
      <c r="C208" t="s">
        <v>4</v>
      </c>
      <c r="D208">
        <v>10</v>
      </c>
      <c r="E208">
        <v>8</v>
      </c>
      <c r="F208">
        <v>0</v>
      </c>
      <c r="G208">
        <v>7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2</v>
      </c>
      <c r="P208">
        <v>0</v>
      </c>
    </row>
    <row r="209" spans="1:16" x14ac:dyDescent="0.3">
      <c r="A209" t="s">
        <v>67</v>
      </c>
      <c r="B209" t="s">
        <v>85</v>
      </c>
      <c r="C209" t="s">
        <v>17</v>
      </c>
      <c r="D209">
        <v>3</v>
      </c>
      <c r="E209">
        <v>3</v>
      </c>
      <c r="F209">
        <v>0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 t="s">
        <v>67</v>
      </c>
      <c r="B210" t="s">
        <v>85</v>
      </c>
      <c r="C210" t="s">
        <v>18</v>
      </c>
      <c r="D210">
        <v>7</v>
      </c>
      <c r="E210">
        <v>5</v>
      </c>
      <c r="F210">
        <v>0</v>
      </c>
      <c r="G210">
        <v>4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</v>
      </c>
      <c r="O210">
        <v>2</v>
      </c>
      <c r="P210">
        <v>0</v>
      </c>
    </row>
    <row r="211" spans="1:16" x14ac:dyDescent="0.3">
      <c r="A211" t="s">
        <v>67</v>
      </c>
      <c r="B211" t="s">
        <v>86</v>
      </c>
      <c r="C211" t="s">
        <v>4</v>
      </c>
      <c r="D211">
        <v>9</v>
      </c>
      <c r="E211">
        <v>8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3</v>
      </c>
      <c r="L211">
        <v>3</v>
      </c>
      <c r="M211">
        <v>0</v>
      </c>
      <c r="N211">
        <v>1</v>
      </c>
      <c r="O211">
        <v>1</v>
      </c>
      <c r="P211">
        <v>0</v>
      </c>
    </row>
    <row r="212" spans="1:16" x14ac:dyDescent="0.3">
      <c r="A212" t="s">
        <v>67</v>
      </c>
      <c r="B212" t="s">
        <v>86</v>
      </c>
      <c r="C212" t="s">
        <v>18</v>
      </c>
      <c r="D212">
        <v>9</v>
      </c>
      <c r="E212">
        <v>8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3</v>
      </c>
      <c r="L212">
        <v>3</v>
      </c>
      <c r="M212">
        <v>0</v>
      </c>
      <c r="N212">
        <v>1</v>
      </c>
      <c r="O212">
        <v>1</v>
      </c>
      <c r="P212">
        <v>0</v>
      </c>
    </row>
    <row r="213" spans="1:16" x14ac:dyDescent="0.3">
      <c r="A213" t="s">
        <v>67</v>
      </c>
      <c r="B213" t="s">
        <v>87</v>
      </c>
      <c r="C213" t="s">
        <v>4</v>
      </c>
      <c r="D213">
        <v>7</v>
      </c>
      <c r="E213">
        <v>6</v>
      </c>
      <c r="F213">
        <v>0</v>
      </c>
      <c r="G213">
        <v>0</v>
      </c>
      <c r="H213">
        <v>3</v>
      </c>
      <c r="I213">
        <v>2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1</v>
      </c>
      <c r="P213">
        <v>0</v>
      </c>
    </row>
    <row r="214" spans="1:16" x14ac:dyDescent="0.3">
      <c r="A214" t="s">
        <v>67</v>
      </c>
      <c r="B214" t="s">
        <v>87</v>
      </c>
      <c r="C214" t="s">
        <v>17</v>
      </c>
      <c r="D214">
        <v>2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0</v>
      </c>
    </row>
    <row r="215" spans="1:16" x14ac:dyDescent="0.3">
      <c r="A215" t="s">
        <v>67</v>
      </c>
      <c r="B215" t="s">
        <v>87</v>
      </c>
      <c r="C215" t="s">
        <v>18</v>
      </c>
      <c r="D215">
        <v>5</v>
      </c>
      <c r="E215">
        <v>5</v>
      </c>
      <c r="F215">
        <v>0</v>
      </c>
      <c r="G215">
        <v>0</v>
      </c>
      <c r="H215">
        <v>2</v>
      </c>
      <c r="I215">
        <v>2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 t="s">
        <v>67</v>
      </c>
      <c r="B216" t="s">
        <v>88</v>
      </c>
      <c r="C216" t="s">
        <v>4</v>
      </c>
      <c r="D216">
        <v>6</v>
      </c>
      <c r="E216">
        <v>4</v>
      </c>
      <c r="F216">
        <v>0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2</v>
      </c>
      <c r="O216">
        <v>2</v>
      </c>
      <c r="P216">
        <v>0</v>
      </c>
    </row>
    <row r="217" spans="1:16" x14ac:dyDescent="0.3">
      <c r="A217" t="s">
        <v>67</v>
      </c>
      <c r="B217" t="s">
        <v>88</v>
      </c>
      <c r="C217" t="s">
        <v>17</v>
      </c>
      <c r="D217">
        <v>2</v>
      </c>
      <c r="E217">
        <v>2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</row>
    <row r="218" spans="1:16" x14ac:dyDescent="0.3">
      <c r="A218" t="s">
        <v>67</v>
      </c>
      <c r="B218" t="s">
        <v>88</v>
      </c>
      <c r="C218" t="s">
        <v>18</v>
      </c>
      <c r="D218">
        <v>4</v>
      </c>
      <c r="E218">
        <v>2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2</v>
      </c>
      <c r="O218">
        <v>2</v>
      </c>
      <c r="P218">
        <v>0</v>
      </c>
    </row>
    <row r="219" spans="1:16" x14ac:dyDescent="0.3">
      <c r="A219" t="s">
        <v>67</v>
      </c>
      <c r="B219" t="s">
        <v>89</v>
      </c>
      <c r="C219" t="s">
        <v>4</v>
      </c>
      <c r="D219">
        <v>4</v>
      </c>
      <c r="E219">
        <v>4</v>
      </c>
      <c r="F219">
        <v>0</v>
      </c>
      <c r="G219">
        <v>2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</row>
    <row r="220" spans="1:16" x14ac:dyDescent="0.3">
      <c r="A220" t="s">
        <v>67</v>
      </c>
      <c r="B220" t="s">
        <v>89</v>
      </c>
      <c r="C220" t="s">
        <v>17</v>
      </c>
      <c r="D220">
        <v>1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3">
      <c r="A221" t="s">
        <v>67</v>
      </c>
      <c r="B221" t="s">
        <v>89</v>
      </c>
      <c r="C221" t="s">
        <v>18</v>
      </c>
      <c r="D221">
        <v>3</v>
      </c>
      <c r="E221">
        <v>3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</row>
    <row r="222" spans="1:16" x14ac:dyDescent="0.3">
      <c r="A222" t="s">
        <v>67</v>
      </c>
      <c r="B222" t="s">
        <v>90</v>
      </c>
      <c r="C222" t="s">
        <v>4</v>
      </c>
      <c r="D222">
        <v>3</v>
      </c>
      <c r="E222">
        <v>2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0</v>
      </c>
    </row>
    <row r="223" spans="1:16" x14ac:dyDescent="0.3">
      <c r="A223" t="s">
        <v>67</v>
      </c>
      <c r="B223" t="s">
        <v>90</v>
      </c>
      <c r="C223" t="s">
        <v>17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 t="s">
        <v>67</v>
      </c>
      <c r="B224" t="s">
        <v>90</v>
      </c>
      <c r="C224" t="s">
        <v>18</v>
      </c>
      <c r="D224">
        <v>2</v>
      </c>
      <c r="E224">
        <v>1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</row>
    <row r="225" spans="1:16" x14ac:dyDescent="0.3">
      <c r="A225" t="s">
        <v>67</v>
      </c>
      <c r="B225" t="s">
        <v>91</v>
      </c>
      <c r="C225" t="s">
        <v>4</v>
      </c>
      <c r="D225">
        <v>3</v>
      </c>
      <c r="E225">
        <v>3</v>
      </c>
      <c r="F225">
        <v>0</v>
      </c>
      <c r="G225">
        <v>0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 t="s">
        <v>67</v>
      </c>
      <c r="B226" t="s">
        <v>91</v>
      </c>
      <c r="C226" t="s">
        <v>17</v>
      </c>
      <c r="D226">
        <v>1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">
      <c r="A227" t="s">
        <v>67</v>
      </c>
      <c r="B227" t="s">
        <v>91</v>
      </c>
      <c r="C227" t="s">
        <v>18</v>
      </c>
      <c r="D227">
        <v>2</v>
      </c>
      <c r="E227">
        <v>2</v>
      </c>
      <c r="F227">
        <v>0</v>
      </c>
      <c r="G227">
        <v>0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 t="s">
        <v>67</v>
      </c>
      <c r="B228" t="s">
        <v>92</v>
      </c>
      <c r="C228" t="s">
        <v>4</v>
      </c>
      <c r="D228">
        <v>2</v>
      </c>
      <c r="E228">
        <v>2</v>
      </c>
      <c r="F228">
        <v>0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3">
      <c r="A229" t="s">
        <v>67</v>
      </c>
      <c r="B229" t="s">
        <v>92</v>
      </c>
      <c r="C229" t="s">
        <v>17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3">
      <c r="A230" t="s">
        <v>67</v>
      </c>
      <c r="B230" t="s">
        <v>92</v>
      </c>
      <c r="C230" t="s">
        <v>18</v>
      </c>
      <c r="D230">
        <v>1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">
      <c r="A231" t="s">
        <v>67</v>
      </c>
      <c r="B231" t="s">
        <v>93</v>
      </c>
      <c r="C231" t="s">
        <v>4</v>
      </c>
      <c r="D231">
        <v>1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 t="s">
        <v>67</v>
      </c>
      <c r="B232" t="s">
        <v>93</v>
      </c>
      <c r="C232" t="s">
        <v>17</v>
      </c>
      <c r="D232">
        <v>1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">
      <c r="A233" t="s">
        <v>67</v>
      </c>
      <c r="B233" t="s">
        <v>94</v>
      </c>
      <c r="C233" t="s">
        <v>4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</row>
    <row r="234" spans="1:16" x14ac:dyDescent="0.3">
      <c r="A234" t="s">
        <v>67</v>
      </c>
      <c r="B234" t="s">
        <v>94</v>
      </c>
      <c r="C234" t="s">
        <v>18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</v>
      </c>
      <c r="P234">
        <v>0</v>
      </c>
    </row>
    <row r="235" spans="1:16" x14ac:dyDescent="0.3">
      <c r="A235" t="s">
        <v>67</v>
      </c>
      <c r="B235" t="s">
        <v>95</v>
      </c>
      <c r="C235" t="s">
        <v>4</v>
      </c>
      <c r="D235">
        <v>1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3">
      <c r="A236" t="s">
        <v>67</v>
      </c>
      <c r="B236" t="s">
        <v>95</v>
      </c>
      <c r="C236" t="s">
        <v>17</v>
      </c>
      <c r="D236">
        <v>1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 t="s">
        <v>67</v>
      </c>
      <c r="B237" t="s">
        <v>96</v>
      </c>
      <c r="C237" t="s">
        <v>4</v>
      </c>
      <c r="D237">
        <v>1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 t="s">
        <v>67</v>
      </c>
      <c r="B238" t="s">
        <v>96</v>
      </c>
      <c r="C238" t="s">
        <v>18</v>
      </c>
      <c r="D238">
        <v>1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 t="s">
        <v>97</v>
      </c>
      <c r="B239" t="s">
        <v>4</v>
      </c>
      <c r="C239" t="s">
        <v>4</v>
      </c>
      <c r="D239" s="1">
        <v>10495</v>
      </c>
      <c r="E239" s="1">
        <v>8277</v>
      </c>
      <c r="F239">
        <v>239</v>
      </c>
      <c r="G239" s="1">
        <v>2044</v>
      </c>
      <c r="H239">
        <v>905</v>
      </c>
      <c r="I239">
        <v>167</v>
      </c>
      <c r="J239">
        <v>31</v>
      </c>
      <c r="K239" s="1">
        <v>4191</v>
      </c>
      <c r="L239">
        <v>361</v>
      </c>
      <c r="M239">
        <v>339</v>
      </c>
      <c r="N239" s="1">
        <v>2218</v>
      </c>
      <c r="O239" s="1">
        <v>2218</v>
      </c>
      <c r="P239" s="1">
        <v>0</v>
      </c>
    </row>
    <row r="240" spans="1:16" x14ac:dyDescent="0.3">
      <c r="A240" t="s">
        <v>97</v>
      </c>
      <c r="B240" t="s">
        <v>4</v>
      </c>
      <c r="C240" t="s">
        <v>17</v>
      </c>
      <c r="D240" s="1">
        <f>D243+D246+D249+D252+D255+D258+D261+D264+D267+D270+D273+D276+D279+D282+D285+D288+D291+D294+D297+D300+D303+D306+D309+D312+D315+D318+D321+D324+D327+D330+D333+D336+D339+D342+D345+D348+D351+D354+D357+D364+D373+D375+D377</f>
        <v>3217</v>
      </c>
      <c r="E240" s="1">
        <f t="shared" ref="E240:O240" si="12">E243+E246+E249+E252+E255+E258+E261+E264+E267+E270+E273+E276+E279+E282+E285+E288+E291+E294+E297+E300+E303+E306+E309+E312+E315+E318+E321+E324+E327+E330+E333+E336+E339+E342+E345+E348+E351+E354+E357+E364+E373+E375+E377</f>
        <v>2883</v>
      </c>
      <c r="F240" s="1">
        <f t="shared" si="12"/>
        <v>48</v>
      </c>
      <c r="G240" s="1">
        <f t="shared" si="12"/>
        <v>510</v>
      </c>
      <c r="H240" s="1">
        <f t="shared" si="12"/>
        <v>222</v>
      </c>
      <c r="I240" s="1">
        <f t="shared" si="12"/>
        <v>72</v>
      </c>
      <c r="J240" s="1">
        <f t="shared" si="12"/>
        <v>20</v>
      </c>
      <c r="K240" s="1">
        <f t="shared" si="12"/>
        <v>1800</v>
      </c>
      <c r="L240" s="1">
        <f t="shared" si="12"/>
        <v>36</v>
      </c>
      <c r="M240" s="1">
        <f t="shared" si="12"/>
        <v>175</v>
      </c>
      <c r="N240" s="1">
        <f t="shared" si="12"/>
        <v>334</v>
      </c>
      <c r="O240" s="1">
        <f t="shared" si="12"/>
        <v>334</v>
      </c>
      <c r="P240" s="1">
        <f t="shared" ref="P240" si="13">P243+P246+P249+P252+P255+P258+P261+P264+P267+P270+P273+P276+P279+P282+P285+P288+P291+P294+P297+P300+P303+P306+P309+P312+P315+P318+P321+P324+P327+P330+P333+P336+P339+P342+P345+P348+P351+P354+P357+P364+P373+P375+P377</f>
        <v>0</v>
      </c>
    </row>
    <row r="241" spans="1:16" x14ac:dyDescent="0.3">
      <c r="A241" t="s">
        <v>97</v>
      </c>
      <c r="B241" t="s">
        <v>4</v>
      </c>
      <c r="C241" t="s">
        <v>18</v>
      </c>
      <c r="D241" s="1">
        <f>D244+D247+D250+D253+D256+D259+D262+D265+D268+D271+D274+D277+D280+D283+D286+D289+D292+D295+D298+D301+D304+D307+D310+D313+D316+D319+D322+D325+D328+D331+D334+D337+D340+D343+D346+D349+D352+D355+D358+D360+D362+D365+D367+D369+D371</f>
        <v>7278</v>
      </c>
      <c r="E241" s="1">
        <f t="shared" ref="E241:O241" si="14">E244+E247+E250+E253+E256+E259+E262+E265+E268+E271+E274+E277+E280+E283+E286+E289+E292+E295+E298+E301+E304+E307+E310+E313+E316+E319+E322+E325+E328+E331+E334+E337+E340+E343+E346+E349+E352+E355+E358+E360+E362+E365+E367+E369+E371</f>
        <v>5394</v>
      </c>
      <c r="F241" s="1">
        <f t="shared" si="14"/>
        <v>191</v>
      </c>
      <c r="G241" s="1">
        <f t="shared" si="14"/>
        <v>1534</v>
      </c>
      <c r="H241" s="1">
        <f t="shared" si="14"/>
        <v>683</v>
      </c>
      <c r="I241" s="1">
        <f t="shared" si="14"/>
        <v>95</v>
      </c>
      <c r="J241" s="1">
        <f t="shared" si="14"/>
        <v>11</v>
      </c>
      <c r="K241" s="1">
        <f t="shared" si="14"/>
        <v>2391</v>
      </c>
      <c r="L241" s="1">
        <f t="shared" si="14"/>
        <v>325</v>
      </c>
      <c r="M241" s="1">
        <f t="shared" si="14"/>
        <v>164</v>
      </c>
      <c r="N241" s="1">
        <f t="shared" si="14"/>
        <v>1884</v>
      </c>
      <c r="O241" s="1">
        <f t="shared" si="14"/>
        <v>1884</v>
      </c>
      <c r="P241" s="1">
        <f t="shared" ref="P241" si="15">P244+P247+P250+P253+P256+P259+P262+P265+P268+P271+P274+P277+P280+P283+P286+P289+P292+P295+P298+P301+P304+P307+P310+P313+P316+P319+P322+P325+P328+P331+P334+P337+P340+P343+P346+P349+P352+P355+P358+P360+P362+P365+P367+P369+P371</f>
        <v>0</v>
      </c>
    </row>
    <row r="242" spans="1:16" x14ac:dyDescent="0.3">
      <c r="A242" t="s">
        <v>97</v>
      </c>
      <c r="B242" t="s">
        <v>98</v>
      </c>
      <c r="C242" t="s">
        <v>4</v>
      </c>
      <c r="D242" s="1">
        <v>2669</v>
      </c>
      <c r="E242" s="1">
        <v>1676</v>
      </c>
      <c r="F242">
        <v>202</v>
      </c>
      <c r="G242">
        <v>999</v>
      </c>
      <c r="H242">
        <v>223</v>
      </c>
      <c r="I242">
        <v>30</v>
      </c>
      <c r="J242">
        <v>1</v>
      </c>
      <c r="K242">
        <v>109</v>
      </c>
      <c r="L242">
        <v>111</v>
      </c>
      <c r="M242">
        <v>1</v>
      </c>
      <c r="N242">
        <v>993</v>
      </c>
      <c r="O242">
        <v>993</v>
      </c>
      <c r="P242" s="1">
        <v>0</v>
      </c>
    </row>
    <row r="243" spans="1:16" x14ac:dyDescent="0.3">
      <c r="A243" t="s">
        <v>97</v>
      </c>
      <c r="B243" t="s">
        <v>98</v>
      </c>
      <c r="C243" t="s">
        <v>17</v>
      </c>
      <c r="D243">
        <v>422</v>
      </c>
      <c r="E243">
        <v>297</v>
      </c>
      <c r="F243">
        <v>40</v>
      </c>
      <c r="G243">
        <v>190</v>
      </c>
      <c r="H243">
        <v>36</v>
      </c>
      <c r="I243">
        <v>4</v>
      </c>
      <c r="J243">
        <v>0</v>
      </c>
      <c r="K243">
        <v>20</v>
      </c>
      <c r="L243">
        <v>7</v>
      </c>
      <c r="M243">
        <v>0</v>
      </c>
      <c r="N243">
        <v>125</v>
      </c>
      <c r="O243">
        <v>125</v>
      </c>
      <c r="P243" s="1">
        <v>0</v>
      </c>
    </row>
    <row r="244" spans="1:16" x14ac:dyDescent="0.3">
      <c r="A244" t="s">
        <v>97</v>
      </c>
      <c r="B244" t="s">
        <v>98</v>
      </c>
      <c r="C244" t="s">
        <v>18</v>
      </c>
      <c r="D244" s="1">
        <v>2247</v>
      </c>
      <c r="E244" s="1">
        <v>1379</v>
      </c>
      <c r="F244">
        <v>162</v>
      </c>
      <c r="G244">
        <v>809</v>
      </c>
      <c r="H244">
        <v>187</v>
      </c>
      <c r="I244">
        <v>26</v>
      </c>
      <c r="J244">
        <v>1</v>
      </c>
      <c r="K244">
        <v>89</v>
      </c>
      <c r="L244">
        <v>104</v>
      </c>
      <c r="M244">
        <v>1</v>
      </c>
      <c r="N244">
        <v>868</v>
      </c>
      <c r="O244">
        <v>868</v>
      </c>
      <c r="P244" s="1">
        <v>0</v>
      </c>
    </row>
    <row r="245" spans="1:16" x14ac:dyDescent="0.3">
      <c r="A245" t="s">
        <v>97</v>
      </c>
      <c r="B245" t="s">
        <v>99</v>
      </c>
      <c r="C245" t="s">
        <v>4</v>
      </c>
      <c r="D245" s="1">
        <v>2025</v>
      </c>
      <c r="E245" s="1">
        <v>1721</v>
      </c>
      <c r="F245">
        <v>2</v>
      </c>
      <c r="G245">
        <v>161</v>
      </c>
      <c r="H245">
        <v>134</v>
      </c>
      <c r="I245">
        <v>24</v>
      </c>
      <c r="J245">
        <v>12</v>
      </c>
      <c r="K245" s="1">
        <v>1217</v>
      </c>
      <c r="L245">
        <v>5</v>
      </c>
      <c r="M245">
        <v>166</v>
      </c>
      <c r="N245">
        <v>304</v>
      </c>
      <c r="O245">
        <v>304</v>
      </c>
      <c r="P245" s="1">
        <v>0</v>
      </c>
    </row>
    <row r="246" spans="1:16" x14ac:dyDescent="0.3">
      <c r="A246" t="s">
        <v>97</v>
      </c>
      <c r="B246" t="s">
        <v>99</v>
      </c>
      <c r="C246" t="s">
        <v>17</v>
      </c>
      <c r="D246">
        <v>852</v>
      </c>
      <c r="E246">
        <v>776</v>
      </c>
      <c r="F246">
        <v>0</v>
      </c>
      <c r="G246">
        <v>36</v>
      </c>
      <c r="H246">
        <v>32</v>
      </c>
      <c r="I246">
        <v>12</v>
      </c>
      <c r="J246">
        <v>10</v>
      </c>
      <c r="K246">
        <v>585</v>
      </c>
      <c r="L246">
        <v>3</v>
      </c>
      <c r="M246">
        <v>98</v>
      </c>
      <c r="N246">
        <v>76</v>
      </c>
      <c r="O246">
        <v>76</v>
      </c>
      <c r="P246" s="1">
        <v>0</v>
      </c>
    </row>
    <row r="247" spans="1:16" x14ac:dyDescent="0.3">
      <c r="A247" t="s">
        <v>97</v>
      </c>
      <c r="B247" t="s">
        <v>99</v>
      </c>
      <c r="C247" t="s">
        <v>18</v>
      </c>
      <c r="D247" s="1">
        <v>1173</v>
      </c>
      <c r="E247">
        <v>945</v>
      </c>
      <c r="F247">
        <v>2</v>
      </c>
      <c r="G247">
        <v>125</v>
      </c>
      <c r="H247">
        <v>102</v>
      </c>
      <c r="I247">
        <v>12</v>
      </c>
      <c r="J247">
        <v>2</v>
      </c>
      <c r="K247">
        <v>632</v>
      </c>
      <c r="L247">
        <v>2</v>
      </c>
      <c r="M247">
        <v>68</v>
      </c>
      <c r="N247">
        <v>228</v>
      </c>
      <c r="O247">
        <v>228</v>
      </c>
      <c r="P247" s="1">
        <v>0</v>
      </c>
    </row>
    <row r="248" spans="1:16" x14ac:dyDescent="0.3">
      <c r="A248" t="s">
        <v>97</v>
      </c>
      <c r="B248" t="s">
        <v>100</v>
      </c>
      <c r="C248" t="s">
        <v>4</v>
      </c>
      <c r="D248" s="1">
        <v>1295</v>
      </c>
      <c r="E248" s="1">
        <v>1191</v>
      </c>
      <c r="F248">
        <v>1</v>
      </c>
      <c r="G248">
        <v>94</v>
      </c>
      <c r="H248">
        <v>98</v>
      </c>
      <c r="I248">
        <v>20</v>
      </c>
      <c r="J248">
        <v>7</v>
      </c>
      <c r="K248">
        <v>875</v>
      </c>
      <c r="L248">
        <v>12</v>
      </c>
      <c r="M248">
        <v>84</v>
      </c>
      <c r="N248">
        <v>104</v>
      </c>
      <c r="O248">
        <v>104</v>
      </c>
      <c r="P248" s="1">
        <v>0</v>
      </c>
    </row>
    <row r="249" spans="1:16" x14ac:dyDescent="0.3">
      <c r="A249" t="s">
        <v>97</v>
      </c>
      <c r="B249" t="s">
        <v>100</v>
      </c>
      <c r="C249" t="s">
        <v>17</v>
      </c>
      <c r="D249">
        <v>498</v>
      </c>
      <c r="E249">
        <v>479</v>
      </c>
      <c r="F249">
        <v>0</v>
      </c>
      <c r="G249">
        <v>22</v>
      </c>
      <c r="H249">
        <v>29</v>
      </c>
      <c r="I249">
        <v>15</v>
      </c>
      <c r="J249">
        <v>3</v>
      </c>
      <c r="K249">
        <v>369</v>
      </c>
      <c r="L249">
        <v>2</v>
      </c>
      <c r="M249">
        <v>39</v>
      </c>
      <c r="N249">
        <v>19</v>
      </c>
      <c r="O249">
        <v>19</v>
      </c>
      <c r="P249" s="1">
        <v>0</v>
      </c>
    </row>
    <row r="250" spans="1:16" x14ac:dyDescent="0.3">
      <c r="A250" t="s">
        <v>97</v>
      </c>
      <c r="B250" t="s">
        <v>100</v>
      </c>
      <c r="C250" t="s">
        <v>18</v>
      </c>
      <c r="D250">
        <v>797</v>
      </c>
      <c r="E250">
        <v>712</v>
      </c>
      <c r="F250">
        <v>1</v>
      </c>
      <c r="G250">
        <v>72</v>
      </c>
      <c r="H250">
        <v>69</v>
      </c>
      <c r="I250">
        <v>5</v>
      </c>
      <c r="J250">
        <v>4</v>
      </c>
      <c r="K250">
        <v>506</v>
      </c>
      <c r="L250">
        <v>10</v>
      </c>
      <c r="M250">
        <v>45</v>
      </c>
      <c r="N250">
        <v>85</v>
      </c>
      <c r="O250">
        <v>85</v>
      </c>
      <c r="P250" s="1">
        <v>0</v>
      </c>
    </row>
    <row r="251" spans="1:16" x14ac:dyDescent="0.3">
      <c r="A251" t="s">
        <v>97</v>
      </c>
      <c r="B251" t="s">
        <v>101</v>
      </c>
      <c r="C251" t="s">
        <v>4</v>
      </c>
      <c r="D251">
        <v>505</v>
      </c>
      <c r="E251">
        <v>380</v>
      </c>
      <c r="F251">
        <v>3</v>
      </c>
      <c r="G251">
        <v>78</v>
      </c>
      <c r="H251">
        <v>85</v>
      </c>
      <c r="I251">
        <v>10</v>
      </c>
      <c r="J251">
        <v>2</v>
      </c>
      <c r="K251">
        <v>169</v>
      </c>
      <c r="L251">
        <v>20</v>
      </c>
      <c r="M251">
        <v>13</v>
      </c>
      <c r="N251">
        <v>125</v>
      </c>
      <c r="O251">
        <v>125</v>
      </c>
      <c r="P251" s="1">
        <v>0</v>
      </c>
    </row>
    <row r="252" spans="1:16" x14ac:dyDescent="0.3">
      <c r="A252" t="s">
        <v>97</v>
      </c>
      <c r="B252" t="s">
        <v>101</v>
      </c>
      <c r="C252" t="s">
        <v>17</v>
      </c>
      <c r="D252">
        <v>109</v>
      </c>
      <c r="E252">
        <v>95</v>
      </c>
      <c r="F252">
        <v>1</v>
      </c>
      <c r="G252">
        <v>9</v>
      </c>
      <c r="H252">
        <v>15</v>
      </c>
      <c r="I252">
        <v>5</v>
      </c>
      <c r="J252">
        <v>1</v>
      </c>
      <c r="K252">
        <v>60</v>
      </c>
      <c r="L252">
        <v>0</v>
      </c>
      <c r="M252">
        <v>4</v>
      </c>
      <c r="N252">
        <v>14</v>
      </c>
      <c r="O252">
        <v>14</v>
      </c>
      <c r="P252" s="1">
        <v>0</v>
      </c>
    </row>
    <row r="253" spans="1:16" x14ac:dyDescent="0.3">
      <c r="A253" t="s">
        <v>97</v>
      </c>
      <c r="B253" t="s">
        <v>101</v>
      </c>
      <c r="C253" t="s">
        <v>18</v>
      </c>
      <c r="D253">
        <v>396</v>
      </c>
      <c r="E253">
        <v>285</v>
      </c>
      <c r="F253">
        <v>2</v>
      </c>
      <c r="G253">
        <v>69</v>
      </c>
      <c r="H253">
        <v>70</v>
      </c>
      <c r="I253">
        <v>5</v>
      </c>
      <c r="J253">
        <v>1</v>
      </c>
      <c r="K253">
        <v>109</v>
      </c>
      <c r="L253">
        <v>20</v>
      </c>
      <c r="M253">
        <v>9</v>
      </c>
      <c r="N253">
        <v>111</v>
      </c>
      <c r="O253">
        <v>111</v>
      </c>
      <c r="P253" s="1">
        <v>0</v>
      </c>
    </row>
    <row r="254" spans="1:16" x14ac:dyDescent="0.3">
      <c r="A254" t="s">
        <v>97</v>
      </c>
      <c r="B254" t="s">
        <v>102</v>
      </c>
      <c r="C254" t="s">
        <v>4</v>
      </c>
      <c r="D254">
        <v>468</v>
      </c>
      <c r="E254">
        <v>392</v>
      </c>
      <c r="F254">
        <v>0</v>
      </c>
      <c r="G254">
        <v>21</v>
      </c>
      <c r="H254">
        <v>26</v>
      </c>
      <c r="I254">
        <v>10</v>
      </c>
      <c r="J254">
        <v>0</v>
      </c>
      <c r="K254">
        <v>324</v>
      </c>
      <c r="L254">
        <v>6</v>
      </c>
      <c r="M254">
        <v>5</v>
      </c>
      <c r="N254">
        <v>76</v>
      </c>
      <c r="O254">
        <v>76</v>
      </c>
      <c r="P254" s="1">
        <v>0</v>
      </c>
    </row>
    <row r="255" spans="1:16" x14ac:dyDescent="0.3">
      <c r="A255" t="s">
        <v>97</v>
      </c>
      <c r="B255" t="s">
        <v>102</v>
      </c>
      <c r="C255" t="s">
        <v>17</v>
      </c>
      <c r="D255">
        <v>178</v>
      </c>
      <c r="E255">
        <v>168</v>
      </c>
      <c r="F255">
        <v>0</v>
      </c>
      <c r="G255">
        <v>6</v>
      </c>
      <c r="H255">
        <v>7</v>
      </c>
      <c r="I255">
        <v>4</v>
      </c>
      <c r="J255">
        <v>0</v>
      </c>
      <c r="K255">
        <v>147</v>
      </c>
      <c r="L255">
        <v>2</v>
      </c>
      <c r="M255">
        <v>2</v>
      </c>
      <c r="N255">
        <v>10</v>
      </c>
      <c r="O255">
        <v>10</v>
      </c>
      <c r="P255" s="1">
        <v>0</v>
      </c>
    </row>
    <row r="256" spans="1:16" x14ac:dyDescent="0.3">
      <c r="A256" t="s">
        <v>97</v>
      </c>
      <c r="B256" t="s">
        <v>102</v>
      </c>
      <c r="C256" t="s">
        <v>18</v>
      </c>
      <c r="D256">
        <v>290</v>
      </c>
      <c r="E256">
        <v>224</v>
      </c>
      <c r="F256">
        <v>0</v>
      </c>
      <c r="G256">
        <v>15</v>
      </c>
      <c r="H256">
        <v>19</v>
      </c>
      <c r="I256">
        <v>6</v>
      </c>
      <c r="J256">
        <v>0</v>
      </c>
      <c r="K256">
        <v>177</v>
      </c>
      <c r="L256">
        <v>4</v>
      </c>
      <c r="M256">
        <v>3</v>
      </c>
      <c r="N256">
        <v>66</v>
      </c>
      <c r="O256">
        <v>66</v>
      </c>
      <c r="P256" s="1">
        <v>0</v>
      </c>
    </row>
    <row r="257" spans="1:16" x14ac:dyDescent="0.3">
      <c r="A257" t="s">
        <v>97</v>
      </c>
      <c r="B257" t="s">
        <v>103</v>
      </c>
      <c r="C257" t="s">
        <v>4</v>
      </c>
      <c r="D257">
        <v>349</v>
      </c>
      <c r="E257">
        <v>310</v>
      </c>
      <c r="F257">
        <v>0</v>
      </c>
      <c r="G257">
        <v>26</v>
      </c>
      <c r="H257">
        <v>17</v>
      </c>
      <c r="I257">
        <v>7</v>
      </c>
      <c r="J257">
        <v>0</v>
      </c>
      <c r="K257">
        <v>253</v>
      </c>
      <c r="L257">
        <v>7</v>
      </c>
      <c r="M257">
        <v>0</v>
      </c>
      <c r="N257">
        <v>39</v>
      </c>
      <c r="O257">
        <v>39</v>
      </c>
      <c r="P257" s="1">
        <v>0</v>
      </c>
    </row>
    <row r="258" spans="1:16" x14ac:dyDescent="0.3">
      <c r="A258" t="s">
        <v>97</v>
      </c>
      <c r="B258" t="s">
        <v>103</v>
      </c>
      <c r="C258" t="s">
        <v>17</v>
      </c>
      <c r="D258">
        <v>112</v>
      </c>
      <c r="E258">
        <v>101</v>
      </c>
      <c r="F258">
        <v>0</v>
      </c>
      <c r="G258">
        <v>10</v>
      </c>
      <c r="H258">
        <v>9</v>
      </c>
      <c r="I258">
        <v>4</v>
      </c>
      <c r="J258">
        <v>0</v>
      </c>
      <c r="K258">
        <v>75</v>
      </c>
      <c r="L258">
        <v>3</v>
      </c>
      <c r="M258">
        <v>0</v>
      </c>
      <c r="N258">
        <v>11</v>
      </c>
      <c r="O258">
        <v>11</v>
      </c>
      <c r="P258" s="1">
        <v>0</v>
      </c>
    </row>
    <row r="259" spans="1:16" x14ac:dyDescent="0.3">
      <c r="A259" t="s">
        <v>97</v>
      </c>
      <c r="B259" t="s">
        <v>103</v>
      </c>
      <c r="C259" t="s">
        <v>18</v>
      </c>
      <c r="D259">
        <v>237</v>
      </c>
      <c r="E259">
        <v>209</v>
      </c>
      <c r="F259">
        <v>0</v>
      </c>
      <c r="G259">
        <v>16</v>
      </c>
      <c r="H259">
        <v>8</v>
      </c>
      <c r="I259">
        <v>3</v>
      </c>
      <c r="J259">
        <v>0</v>
      </c>
      <c r="K259">
        <v>178</v>
      </c>
      <c r="L259">
        <v>4</v>
      </c>
      <c r="M259">
        <v>0</v>
      </c>
      <c r="N259">
        <v>28</v>
      </c>
      <c r="O259">
        <v>28</v>
      </c>
      <c r="P259" s="1">
        <v>0</v>
      </c>
    </row>
    <row r="260" spans="1:16" x14ac:dyDescent="0.3">
      <c r="A260" t="s">
        <v>97</v>
      </c>
      <c r="B260" t="s">
        <v>104</v>
      </c>
      <c r="C260" t="s">
        <v>4</v>
      </c>
      <c r="D260">
        <v>335</v>
      </c>
      <c r="E260">
        <v>306</v>
      </c>
      <c r="F260">
        <v>0</v>
      </c>
      <c r="G260">
        <v>32</v>
      </c>
      <c r="H260">
        <v>22</v>
      </c>
      <c r="I260">
        <v>5</v>
      </c>
      <c r="J260">
        <v>1</v>
      </c>
      <c r="K260">
        <v>234</v>
      </c>
      <c r="L260">
        <v>2</v>
      </c>
      <c r="M260">
        <v>10</v>
      </c>
      <c r="N260">
        <v>29</v>
      </c>
      <c r="O260">
        <v>29</v>
      </c>
      <c r="P260" s="1">
        <v>0</v>
      </c>
    </row>
    <row r="261" spans="1:16" x14ac:dyDescent="0.3">
      <c r="A261" t="s">
        <v>97</v>
      </c>
      <c r="B261" t="s">
        <v>104</v>
      </c>
      <c r="C261" t="s">
        <v>17</v>
      </c>
      <c r="D261">
        <v>134</v>
      </c>
      <c r="E261">
        <v>128</v>
      </c>
      <c r="F261">
        <v>0</v>
      </c>
      <c r="G261">
        <v>5</v>
      </c>
      <c r="H261">
        <v>7</v>
      </c>
      <c r="I261">
        <v>3</v>
      </c>
      <c r="J261">
        <v>0</v>
      </c>
      <c r="K261">
        <v>108</v>
      </c>
      <c r="L261">
        <v>0</v>
      </c>
      <c r="M261">
        <v>5</v>
      </c>
      <c r="N261">
        <v>6</v>
      </c>
      <c r="O261">
        <v>6</v>
      </c>
      <c r="P261" s="1">
        <v>0</v>
      </c>
    </row>
    <row r="262" spans="1:16" x14ac:dyDescent="0.3">
      <c r="A262" t="s">
        <v>97</v>
      </c>
      <c r="B262" t="s">
        <v>104</v>
      </c>
      <c r="C262" t="s">
        <v>18</v>
      </c>
      <c r="D262">
        <v>201</v>
      </c>
      <c r="E262">
        <v>178</v>
      </c>
      <c r="F262">
        <v>0</v>
      </c>
      <c r="G262">
        <v>27</v>
      </c>
      <c r="H262">
        <v>15</v>
      </c>
      <c r="I262">
        <v>2</v>
      </c>
      <c r="J262">
        <v>1</v>
      </c>
      <c r="K262">
        <v>126</v>
      </c>
      <c r="L262">
        <v>2</v>
      </c>
      <c r="M262">
        <v>5</v>
      </c>
      <c r="N262">
        <v>23</v>
      </c>
      <c r="O262">
        <v>23</v>
      </c>
      <c r="P262" s="1">
        <v>0</v>
      </c>
    </row>
    <row r="263" spans="1:16" x14ac:dyDescent="0.3">
      <c r="A263" t="s">
        <v>97</v>
      </c>
      <c r="B263" t="s">
        <v>105</v>
      </c>
      <c r="C263" t="s">
        <v>4</v>
      </c>
      <c r="D263">
        <v>317</v>
      </c>
      <c r="E263">
        <v>284</v>
      </c>
      <c r="F263">
        <v>5</v>
      </c>
      <c r="G263">
        <v>197</v>
      </c>
      <c r="H263">
        <v>35</v>
      </c>
      <c r="I263">
        <v>6</v>
      </c>
      <c r="J263">
        <v>0</v>
      </c>
      <c r="K263">
        <v>5</v>
      </c>
      <c r="L263">
        <v>36</v>
      </c>
      <c r="M263">
        <v>0</v>
      </c>
      <c r="N263">
        <v>33</v>
      </c>
      <c r="O263">
        <v>33</v>
      </c>
      <c r="P263" s="1">
        <v>0</v>
      </c>
    </row>
    <row r="264" spans="1:16" x14ac:dyDescent="0.3">
      <c r="A264" t="s">
        <v>97</v>
      </c>
      <c r="B264" t="s">
        <v>105</v>
      </c>
      <c r="C264" t="s">
        <v>17</v>
      </c>
      <c r="D264">
        <v>150</v>
      </c>
      <c r="E264">
        <v>144</v>
      </c>
      <c r="F264">
        <v>4</v>
      </c>
      <c r="G264">
        <v>119</v>
      </c>
      <c r="H264">
        <v>10</v>
      </c>
      <c r="I264">
        <v>4</v>
      </c>
      <c r="J264">
        <v>0</v>
      </c>
      <c r="K264">
        <v>2</v>
      </c>
      <c r="L264">
        <v>5</v>
      </c>
      <c r="M264">
        <v>0</v>
      </c>
      <c r="N264">
        <v>6</v>
      </c>
      <c r="O264">
        <v>6</v>
      </c>
      <c r="P264" s="1">
        <v>0</v>
      </c>
    </row>
    <row r="265" spans="1:16" x14ac:dyDescent="0.3">
      <c r="A265" t="s">
        <v>97</v>
      </c>
      <c r="B265" t="s">
        <v>105</v>
      </c>
      <c r="C265" t="s">
        <v>18</v>
      </c>
      <c r="D265">
        <v>167</v>
      </c>
      <c r="E265">
        <v>140</v>
      </c>
      <c r="F265">
        <v>1</v>
      </c>
      <c r="G265">
        <v>78</v>
      </c>
      <c r="H265">
        <v>25</v>
      </c>
      <c r="I265">
        <v>2</v>
      </c>
      <c r="J265">
        <v>0</v>
      </c>
      <c r="K265">
        <v>3</v>
      </c>
      <c r="L265">
        <v>31</v>
      </c>
      <c r="M265">
        <v>0</v>
      </c>
      <c r="N265">
        <v>27</v>
      </c>
      <c r="O265">
        <v>27</v>
      </c>
      <c r="P265" s="1">
        <v>0</v>
      </c>
    </row>
    <row r="266" spans="1:16" x14ac:dyDescent="0.3">
      <c r="A266" t="s">
        <v>97</v>
      </c>
      <c r="B266" t="s">
        <v>106</v>
      </c>
      <c r="C266" t="s">
        <v>4</v>
      </c>
      <c r="D266">
        <v>301</v>
      </c>
      <c r="E266">
        <v>166</v>
      </c>
      <c r="F266">
        <v>7</v>
      </c>
      <c r="G266">
        <v>57</v>
      </c>
      <c r="H266">
        <v>16</v>
      </c>
      <c r="I266">
        <v>11</v>
      </c>
      <c r="J266">
        <v>0</v>
      </c>
      <c r="K266">
        <v>28</v>
      </c>
      <c r="L266">
        <v>45</v>
      </c>
      <c r="M266">
        <v>2</v>
      </c>
      <c r="N266">
        <v>135</v>
      </c>
      <c r="O266">
        <v>135</v>
      </c>
      <c r="P266" s="1">
        <v>0</v>
      </c>
    </row>
    <row r="267" spans="1:16" x14ac:dyDescent="0.3">
      <c r="A267" t="s">
        <v>97</v>
      </c>
      <c r="B267" t="s">
        <v>106</v>
      </c>
      <c r="C267" t="s">
        <v>17</v>
      </c>
      <c r="D267">
        <v>28</v>
      </c>
      <c r="E267">
        <v>23</v>
      </c>
      <c r="F267">
        <v>2</v>
      </c>
      <c r="G267">
        <v>11</v>
      </c>
      <c r="H267">
        <v>1</v>
      </c>
      <c r="I267">
        <v>4</v>
      </c>
      <c r="J267">
        <v>0</v>
      </c>
      <c r="K267">
        <v>3</v>
      </c>
      <c r="L267">
        <v>1</v>
      </c>
      <c r="M267">
        <v>1</v>
      </c>
      <c r="N267">
        <v>5</v>
      </c>
      <c r="O267">
        <v>5</v>
      </c>
      <c r="P267" s="1">
        <v>0</v>
      </c>
    </row>
    <row r="268" spans="1:16" x14ac:dyDescent="0.3">
      <c r="A268" t="s">
        <v>97</v>
      </c>
      <c r="B268" t="s">
        <v>106</v>
      </c>
      <c r="C268" t="s">
        <v>18</v>
      </c>
      <c r="D268">
        <v>273</v>
      </c>
      <c r="E268">
        <v>143</v>
      </c>
      <c r="F268">
        <v>5</v>
      </c>
      <c r="G268">
        <v>46</v>
      </c>
      <c r="H268">
        <v>15</v>
      </c>
      <c r="I268">
        <v>7</v>
      </c>
      <c r="J268">
        <v>0</v>
      </c>
      <c r="K268">
        <v>25</v>
      </c>
      <c r="L268">
        <v>44</v>
      </c>
      <c r="M268">
        <v>1</v>
      </c>
      <c r="N268">
        <v>130</v>
      </c>
      <c r="O268">
        <v>130</v>
      </c>
      <c r="P268" s="1">
        <v>0</v>
      </c>
    </row>
    <row r="269" spans="1:16" x14ac:dyDescent="0.3">
      <c r="A269" t="s">
        <v>97</v>
      </c>
      <c r="B269" t="s">
        <v>107</v>
      </c>
      <c r="C269" t="s">
        <v>4</v>
      </c>
      <c r="D269">
        <v>226</v>
      </c>
      <c r="E269">
        <v>188</v>
      </c>
      <c r="F269">
        <v>0</v>
      </c>
      <c r="G269">
        <v>39</v>
      </c>
      <c r="H269">
        <v>69</v>
      </c>
      <c r="I269">
        <v>8</v>
      </c>
      <c r="J269">
        <v>2</v>
      </c>
      <c r="K269">
        <v>58</v>
      </c>
      <c r="L269">
        <v>10</v>
      </c>
      <c r="M269">
        <v>2</v>
      </c>
      <c r="N269">
        <v>38</v>
      </c>
      <c r="O269">
        <v>38</v>
      </c>
      <c r="P269" s="1">
        <v>0</v>
      </c>
    </row>
    <row r="270" spans="1:16" x14ac:dyDescent="0.3">
      <c r="A270" t="s">
        <v>97</v>
      </c>
      <c r="B270" t="s">
        <v>107</v>
      </c>
      <c r="C270" t="s">
        <v>17</v>
      </c>
      <c r="D270">
        <v>67</v>
      </c>
      <c r="E270">
        <v>61</v>
      </c>
      <c r="F270">
        <v>0</v>
      </c>
      <c r="G270">
        <v>9</v>
      </c>
      <c r="H270">
        <v>29</v>
      </c>
      <c r="I270">
        <v>4</v>
      </c>
      <c r="J270">
        <v>1</v>
      </c>
      <c r="K270">
        <v>16</v>
      </c>
      <c r="L270">
        <v>1</v>
      </c>
      <c r="M270">
        <v>1</v>
      </c>
      <c r="N270">
        <v>6</v>
      </c>
      <c r="O270">
        <v>6</v>
      </c>
      <c r="P270" s="1">
        <v>0</v>
      </c>
    </row>
    <row r="271" spans="1:16" x14ac:dyDescent="0.3">
      <c r="A271" t="s">
        <v>97</v>
      </c>
      <c r="B271" t="s">
        <v>107</v>
      </c>
      <c r="C271" t="s">
        <v>18</v>
      </c>
      <c r="D271">
        <v>159</v>
      </c>
      <c r="E271">
        <v>127</v>
      </c>
      <c r="F271">
        <v>0</v>
      </c>
      <c r="G271">
        <v>30</v>
      </c>
      <c r="H271">
        <v>40</v>
      </c>
      <c r="I271">
        <v>4</v>
      </c>
      <c r="J271">
        <v>1</v>
      </c>
      <c r="K271">
        <v>42</v>
      </c>
      <c r="L271">
        <v>9</v>
      </c>
      <c r="M271">
        <v>1</v>
      </c>
      <c r="N271">
        <v>32</v>
      </c>
      <c r="O271">
        <v>32</v>
      </c>
      <c r="P271" s="1">
        <v>0</v>
      </c>
    </row>
    <row r="272" spans="1:16" x14ac:dyDescent="0.3">
      <c r="A272" t="s">
        <v>97</v>
      </c>
      <c r="B272" t="s">
        <v>108</v>
      </c>
      <c r="C272" t="s">
        <v>4</v>
      </c>
      <c r="D272">
        <v>220</v>
      </c>
      <c r="E272">
        <v>183</v>
      </c>
      <c r="F272">
        <v>0</v>
      </c>
      <c r="G272">
        <v>39</v>
      </c>
      <c r="H272">
        <v>4</v>
      </c>
      <c r="I272">
        <v>0</v>
      </c>
      <c r="J272">
        <v>2</v>
      </c>
      <c r="K272">
        <v>129</v>
      </c>
      <c r="L272">
        <v>1</v>
      </c>
      <c r="M272">
        <v>8</v>
      </c>
      <c r="N272">
        <v>37</v>
      </c>
      <c r="O272">
        <v>37</v>
      </c>
      <c r="P272" s="1">
        <v>0</v>
      </c>
    </row>
    <row r="273" spans="1:16" x14ac:dyDescent="0.3">
      <c r="A273" t="s">
        <v>97</v>
      </c>
      <c r="B273" t="s">
        <v>108</v>
      </c>
      <c r="C273" t="s">
        <v>17</v>
      </c>
      <c r="D273">
        <v>83</v>
      </c>
      <c r="E273">
        <v>74</v>
      </c>
      <c r="F273">
        <v>0</v>
      </c>
      <c r="G273">
        <v>5</v>
      </c>
      <c r="H273">
        <v>3</v>
      </c>
      <c r="I273">
        <v>0</v>
      </c>
      <c r="J273">
        <v>1</v>
      </c>
      <c r="K273">
        <v>63</v>
      </c>
      <c r="L273">
        <v>0</v>
      </c>
      <c r="M273">
        <v>2</v>
      </c>
      <c r="N273">
        <v>9</v>
      </c>
      <c r="O273">
        <v>9</v>
      </c>
      <c r="P273" s="1">
        <v>0</v>
      </c>
    </row>
    <row r="274" spans="1:16" x14ac:dyDescent="0.3">
      <c r="A274" t="s">
        <v>97</v>
      </c>
      <c r="B274" t="s">
        <v>108</v>
      </c>
      <c r="C274" t="s">
        <v>18</v>
      </c>
      <c r="D274">
        <v>137</v>
      </c>
      <c r="E274">
        <v>109</v>
      </c>
      <c r="F274">
        <v>0</v>
      </c>
      <c r="G274">
        <v>34</v>
      </c>
      <c r="H274">
        <v>1</v>
      </c>
      <c r="I274">
        <v>0</v>
      </c>
      <c r="J274">
        <v>1</v>
      </c>
      <c r="K274">
        <v>66</v>
      </c>
      <c r="L274">
        <v>1</v>
      </c>
      <c r="M274">
        <v>6</v>
      </c>
      <c r="N274">
        <v>28</v>
      </c>
      <c r="O274">
        <v>28</v>
      </c>
      <c r="P274" s="1">
        <v>0</v>
      </c>
    </row>
    <row r="275" spans="1:16" x14ac:dyDescent="0.3">
      <c r="A275" t="s">
        <v>97</v>
      </c>
      <c r="B275" t="s">
        <v>109</v>
      </c>
      <c r="C275" t="s">
        <v>4</v>
      </c>
      <c r="D275">
        <v>175</v>
      </c>
      <c r="E275">
        <v>143</v>
      </c>
      <c r="F275">
        <v>1</v>
      </c>
      <c r="G275">
        <v>17</v>
      </c>
      <c r="H275">
        <v>19</v>
      </c>
      <c r="I275">
        <v>4</v>
      </c>
      <c r="J275">
        <v>1</v>
      </c>
      <c r="K275">
        <v>94</v>
      </c>
      <c r="L275">
        <v>4</v>
      </c>
      <c r="M275">
        <v>3</v>
      </c>
      <c r="N275">
        <v>32</v>
      </c>
      <c r="O275">
        <v>32</v>
      </c>
      <c r="P275" s="1">
        <v>0</v>
      </c>
    </row>
    <row r="276" spans="1:16" x14ac:dyDescent="0.3">
      <c r="A276" t="s">
        <v>97</v>
      </c>
      <c r="B276" t="s">
        <v>109</v>
      </c>
      <c r="C276" t="s">
        <v>17</v>
      </c>
      <c r="D276">
        <v>63</v>
      </c>
      <c r="E276">
        <v>56</v>
      </c>
      <c r="F276">
        <v>0</v>
      </c>
      <c r="G276">
        <v>4</v>
      </c>
      <c r="H276">
        <v>4</v>
      </c>
      <c r="I276">
        <v>2</v>
      </c>
      <c r="J276">
        <v>1</v>
      </c>
      <c r="K276">
        <v>45</v>
      </c>
      <c r="L276">
        <v>0</v>
      </c>
      <c r="M276">
        <v>0</v>
      </c>
      <c r="N276">
        <v>7</v>
      </c>
      <c r="O276">
        <v>7</v>
      </c>
      <c r="P276" s="1">
        <v>0</v>
      </c>
    </row>
    <row r="277" spans="1:16" x14ac:dyDescent="0.3">
      <c r="A277" t="s">
        <v>97</v>
      </c>
      <c r="B277" t="s">
        <v>109</v>
      </c>
      <c r="C277" t="s">
        <v>18</v>
      </c>
      <c r="D277">
        <v>112</v>
      </c>
      <c r="E277">
        <v>87</v>
      </c>
      <c r="F277">
        <v>1</v>
      </c>
      <c r="G277">
        <v>13</v>
      </c>
      <c r="H277">
        <v>15</v>
      </c>
      <c r="I277">
        <v>2</v>
      </c>
      <c r="J277">
        <v>0</v>
      </c>
      <c r="K277">
        <v>49</v>
      </c>
      <c r="L277">
        <v>4</v>
      </c>
      <c r="M277">
        <v>3</v>
      </c>
      <c r="N277">
        <v>25</v>
      </c>
      <c r="O277">
        <v>25</v>
      </c>
      <c r="P277" s="1">
        <v>0</v>
      </c>
    </row>
    <row r="278" spans="1:16" x14ac:dyDescent="0.3">
      <c r="A278" t="s">
        <v>97</v>
      </c>
      <c r="B278" t="s">
        <v>110</v>
      </c>
      <c r="C278" t="s">
        <v>4</v>
      </c>
      <c r="D278">
        <v>160</v>
      </c>
      <c r="E278">
        <v>135</v>
      </c>
      <c r="F278">
        <v>0</v>
      </c>
      <c r="G278">
        <v>31</v>
      </c>
      <c r="H278">
        <v>11</v>
      </c>
      <c r="I278">
        <v>0</v>
      </c>
      <c r="J278">
        <v>0</v>
      </c>
      <c r="K278">
        <v>82</v>
      </c>
      <c r="L278">
        <v>1</v>
      </c>
      <c r="M278">
        <v>10</v>
      </c>
      <c r="N278">
        <v>25</v>
      </c>
      <c r="O278">
        <v>25</v>
      </c>
      <c r="P278" s="1">
        <v>0</v>
      </c>
    </row>
    <row r="279" spans="1:16" x14ac:dyDescent="0.3">
      <c r="A279" t="s">
        <v>97</v>
      </c>
      <c r="B279" t="s">
        <v>110</v>
      </c>
      <c r="C279" t="s">
        <v>17</v>
      </c>
      <c r="D279">
        <v>50</v>
      </c>
      <c r="E279">
        <v>47</v>
      </c>
      <c r="F279">
        <v>0</v>
      </c>
      <c r="G279">
        <v>7</v>
      </c>
      <c r="H279">
        <v>4</v>
      </c>
      <c r="I279">
        <v>0</v>
      </c>
      <c r="J279">
        <v>0</v>
      </c>
      <c r="K279">
        <v>28</v>
      </c>
      <c r="L279">
        <v>0</v>
      </c>
      <c r="M279">
        <v>8</v>
      </c>
      <c r="N279">
        <v>3</v>
      </c>
      <c r="O279">
        <v>3</v>
      </c>
      <c r="P279" s="1">
        <v>0</v>
      </c>
    </row>
    <row r="280" spans="1:16" x14ac:dyDescent="0.3">
      <c r="A280" t="s">
        <v>97</v>
      </c>
      <c r="B280" t="s">
        <v>110</v>
      </c>
      <c r="C280" t="s">
        <v>18</v>
      </c>
      <c r="D280">
        <v>110</v>
      </c>
      <c r="E280">
        <v>88</v>
      </c>
      <c r="F280">
        <v>0</v>
      </c>
      <c r="G280">
        <v>24</v>
      </c>
      <c r="H280">
        <v>7</v>
      </c>
      <c r="I280">
        <v>0</v>
      </c>
      <c r="J280">
        <v>0</v>
      </c>
      <c r="K280">
        <v>54</v>
      </c>
      <c r="L280">
        <v>1</v>
      </c>
      <c r="M280">
        <v>2</v>
      </c>
      <c r="N280">
        <v>22</v>
      </c>
      <c r="O280">
        <v>22</v>
      </c>
      <c r="P280" s="1">
        <v>0</v>
      </c>
    </row>
    <row r="281" spans="1:16" x14ac:dyDescent="0.3">
      <c r="A281" t="s">
        <v>97</v>
      </c>
      <c r="B281" t="s">
        <v>111</v>
      </c>
      <c r="C281" t="s">
        <v>4</v>
      </c>
      <c r="D281">
        <v>152</v>
      </c>
      <c r="E281">
        <v>142</v>
      </c>
      <c r="F281">
        <v>0</v>
      </c>
      <c r="G281">
        <v>3</v>
      </c>
      <c r="H281">
        <v>8</v>
      </c>
      <c r="I281">
        <v>2</v>
      </c>
      <c r="J281">
        <v>0</v>
      </c>
      <c r="K281">
        <v>113</v>
      </c>
      <c r="L281">
        <v>2</v>
      </c>
      <c r="M281">
        <v>14</v>
      </c>
      <c r="N281">
        <v>10</v>
      </c>
      <c r="O281">
        <v>10</v>
      </c>
      <c r="P281" s="1">
        <v>0</v>
      </c>
    </row>
    <row r="282" spans="1:16" x14ac:dyDescent="0.3">
      <c r="A282" t="s">
        <v>97</v>
      </c>
      <c r="B282" t="s">
        <v>111</v>
      </c>
      <c r="C282" t="s">
        <v>17</v>
      </c>
      <c r="D282">
        <v>85</v>
      </c>
      <c r="E282">
        <v>81</v>
      </c>
      <c r="F282">
        <v>0</v>
      </c>
      <c r="G282">
        <v>1</v>
      </c>
      <c r="H282">
        <v>4</v>
      </c>
      <c r="I282">
        <v>1</v>
      </c>
      <c r="J282">
        <v>0</v>
      </c>
      <c r="K282">
        <v>65</v>
      </c>
      <c r="L282">
        <v>1</v>
      </c>
      <c r="M282">
        <v>9</v>
      </c>
      <c r="N282">
        <v>4</v>
      </c>
      <c r="O282">
        <v>4</v>
      </c>
      <c r="P282" s="1">
        <v>0</v>
      </c>
    </row>
    <row r="283" spans="1:16" x14ac:dyDescent="0.3">
      <c r="A283" t="s">
        <v>97</v>
      </c>
      <c r="B283" t="s">
        <v>111</v>
      </c>
      <c r="C283" t="s">
        <v>18</v>
      </c>
      <c r="D283">
        <v>67</v>
      </c>
      <c r="E283">
        <v>61</v>
      </c>
      <c r="F283">
        <v>0</v>
      </c>
      <c r="G283">
        <v>2</v>
      </c>
      <c r="H283">
        <v>4</v>
      </c>
      <c r="I283">
        <v>1</v>
      </c>
      <c r="J283">
        <v>0</v>
      </c>
      <c r="K283">
        <v>48</v>
      </c>
      <c r="L283">
        <v>1</v>
      </c>
      <c r="M283">
        <v>5</v>
      </c>
      <c r="N283">
        <v>6</v>
      </c>
      <c r="O283">
        <v>6</v>
      </c>
      <c r="P283" s="1">
        <v>0</v>
      </c>
    </row>
    <row r="284" spans="1:16" x14ac:dyDescent="0.3">
      <c r="A284" t="s">
        <v>97</v>
      </c>
      <c r="B284" t="s">
        <v>112</v>
      </c>
      <c r="C284" t="s">
        <v>4</v>
      </c>
      <c r="D284">
        <v>141</v>
      </c>
      <c r="E284">
        <v>112</v>
      </c>
      <c r="F284">
        <v>0</v>
      </c>
      <c r="G284">
        <v>14</v>
      </c>
      <c r="H284">
        <v>19</v>
      </c>
      <c r="I284">
        <v>1</v>
      </c>
      <c r="J284">
        <v>1</v>
      </c>
      <c r="K284">
        <v>58</v>
      </c>
      <c r="L284">
        <v>2</v>
      </c>
      <c r="M284">
        <v>17</v>
      </c>
      <c r="N284">
        <v>29</v>
      </c>
      <c r="O284">
        <v>29</v>
      </c>
      <c r="P284" s="1">
        <v>0</v>
      </c>
    </row>
    <row r="285" spans="1:16" x14ac:dyDescent="0.3">
      <c r="A285" t="s">
        <v>97</v>
      </c>
      <c r="B285" t="s">
        <v>112</v>
      </c>
      <c r="C285" t="s">
        <v>17</v>
      </c>
      <c r="D285">
        <v>58</v>
      </c>
      <c r="E285">
        <v>54</v>
      </c>
      <c r="F285">
        <v>0</v>
      </c>
      <c r="G285">
        <v>3</v>
      </c>
      <c r="H285">
        <v>7</v>
      </c>
      <c r="I285">
        <v>1</v>
      </c>
      <c r="J285">
        <v>1</v>
      </c>
      <c r="K285">
        <v>35</v>
      </c>
      <c r="L285">
        <v>1</v>
      </c>
      <c r="M285">
        <v>6</v>
      </c>
      <c r="N285">
        <v>4</v>
      </c>
      <c r="O285">
        <v>4</v>
      </c>
      <c r="P285" s="1">
        <v>0</v>
      </c>
    </row>
    <row r="286" spans="1:16" x14ac:dyDescent="0.3">
      <c r="A286" t="s">
        <v>97</v>
      </c>
      <c r="B286" t="s">
        <v>112</v>
      </c>
      <c r="C286" t="s">
        <v>18</v>
      </c>
      <c r="D286">
        <v>83</v>
      </c>
      <c r="E286">
        <v>58</v>
      </c>
      <c r="F286">
        <v>0</v>
      </c>
      <c r="G286">
        <v>11</v>
      </c>
      <c r="H286">
        <v>12</v>
      </c>
      <c r="I286">
        <v>0</v>
      </c>
      <c r="J286">
        <v>0</v>
      </c>
      <c r="K286">
        <v>23</v>
      </c>
      <c r="L286">
        <v>1</v>
      </c>
      <c r="M286">
        <v>11</v>
      </c>
      <c r="N286">
        <v>25</v>
      </c>
      <c r="O286">
        <v>25</v>
      </c>
      <c r="P286" s="1">
        <v>0</v>
      </c>
    </row>
    <row r="287" spans="1:16" x14ac:dyDescent="0.3">
      <c r="A287" t="s">
        <v>97</v>
      </c>
      <c r="B287" t="s">
        <v>113</v>
      </c>
      <c r="C287" t="s">
        <v>4</v>
      </c>
      <c r="D287">
        <v>131</v>
      </c>
      <c r="E287">
        <v>115</v>
      </c>
      <c r="F287">
        <v>0</v>
      </c>
      <c r="G287">
        <v>16</v>
      </c>
      <c r="H287">
        <v>6</v>
      </c>
      <c r="I287">
        <v>0</v>
      </c>
      <c r="J287">
        <v>0</v>
      </c>
      <c r="K287">
        <v>89</v>
      </c>
      <c r="L287">
        <v>3</v>
      </c>
      <c r="M287">
        <v>1</v>
      </c>
      <c r="N287">
        <v>16</v>
      </c>
      <c r="O287">
        <v>16</v>
      </c>
      <c r="P287" s="1">
        <v>0</v>
      </c>
    </row>
    <row r="288" spans="1:16" x14ac:dyDescent="0.3">
      <c r="A288" t="s">
        <v>97</v>
      </c>
      <c r="B288" t="s">
        <v>113</v>
      </c>
      <c r="C288" t="s">
        <v>17</v>
      </c>
      <c r="D288">
        <v>49</v>
      </c>
      <c r="E288">
        <v>45</v>
      </c>
      <c r="F288">
        <v>0</v>
      </c>
      <c r="G288">
        <v>3</v>
      </c>
      <c r="H288">
        <v>1</v>
      </c>
      <c r="I288">
        <v>0</v>
      </c>
      <c r="J288">
        <v>0</v>
      </c>
      <c r="K288">
        <v>41</v>
      </c>
      <c r="L288">
        <v>0</v>
      </c>
      <c r="M288">
        <v>0</v>
      </c>
      <c r="N288">
        <v>4</v>
      </c>
      <c r="O288">
        <v>4</v>
      </c>
      <c r="P288" s="1">
        <v>0</v>
      </c>
    </row>
    <row r="289" spans="1:16" x14ac:dyDescent="0.3">
      <c r="A289" t="s">
        <v>97</v>
      </c>
      <c r="B289" t="s">
        <v>113</v>
      </c>
      <c r="C289" t="s">
        <v>18</v>
      </c>
      <c r="D289">
        <v>82</v>
      </c>
      <c r="E289">
        <v>70</v>
      </c>
      <c r="F289">
        <v>0</v>
      </c>
      <c r="G289">
        <v>13</v>
      </c>
      <c r="H289">
        <v>5</v>
      </c>
      <c r="I289">
        <v>0</v>
      </c>
      <c r="J289">
        <v>0</v>
      </c>
      <c r="K289">
        <v>48</v>
      </c>
      <c r="L289">
        <v>3</v>
      </c>
      <c r="M289">
        <v>1</v>
      </c>
      <c r="N289">
        <v>12</v>
      </c>
      <c r="O289">
        <v>12</v>
      </c>
      <c r="P289" s="1">
        <v>0</v>
      </c>
    </row>
    <row r="290" spans="1:16" x14ac:dyDescent="0.3">
      <c r="A290" t="s">
        <v>97</v>
      </c>
      <c r="B290" t="s">
        <v>114</v>
      </c>
      <c r="C290" t="s">
        <v>4</v>
      </c>
      <c r="D290">
        <v>105</v>
      </c>
      <c r="E290">
        <v>100</v>
      </c>
      <c r="F290">
        <v>1</v>
      </c>
      <c r="G290">
        <v>58</v>
      </c>
      <c r="H290">
        <v>6</v>
      </c>
      <c r="I290">
        <v>2</v>
      </c>
      <c r="J290">
        <v>0</v>
      </c>
      <c r="K290">
        <v>30</v>
      </c>
      <c r="L290">
        <v>3</v>
      </c>
      <c r="M290">
        <v>0</v>
      </c>
      <c r="N290">
        <v>5</v>
      </c>
      <c r="O290">
        <v>5</v>
      </c>
      <c r="P290" s="1">
        <v>0</v>
      </c>
    </row>
    <row r="291" spans="1:16" x14ac:dyDescent="0.3">
      <c r="A291" t="s">
        <v>97</v>
      </c>
      <c r="B291" t="s">
        <v>114</v>
      </c>
      <c r="C291" t="s">
        <v>17</v>
      </c>
      <c r="D291">
        <v>50</v>
      </c>
      <c r="E291">
        <v>49</v>
      </c>
      <c r="F291">
        <v>0</v>
      </c>
      <c r="G291">
        <v>34</v>
      </c>
      <c r="H291">
        <v>3</v>
      </c>
      <c r="I291">
        <v>1</v>
      </c>
      <c r="J291">
        <v>0</v>
      </c>
      <c r="K291">
        <v>11</v>
      </c>
      <c r="L291">
        <v>0</v>
      </c>
      <c r="M291">
        <v>0</v>
      </c>
      <c r="N291">
        <v>1</v>
      </c>
      <c r="O291">
        <v>1</v>
      </c>
      <c r="P291" s="1">
        <v>0</v>
      </c>
    </row>
    <row r="292" spans="1:16" x14ac:dyDescent="0.3">
      <c r="A292" t="s">
        <v>97</v>
      </c>
      <c r="B292" t="s">
        <v>114</v>
      </c>
      <c r="C292" t="s">
        <v>18</v>
      </c>
      <c r="D292">
        <v>55</v>
      </c>
      <c r="E292">
        <v>51</v>
      </c>
      <c r="F292">
        <v>1</v>
      </c>
      <c r="G292">
        <v>24</v>
      </c>
      <c r="H292">
        <v>3</v>
      </c>
      <c r="I292">
        <v>1</v>
      </c>
      <c r="J292">
        <v>0</v>
      </c>
      <c r="K292">
        <v>19</v>
      </c>
      <c r="L292">
        <v>3</v>
      </c>
      <c r="M292">
        <v>0</v>
      </c>
      <c r="N292">
        <v>4</v>
      </c>
      <c r="O292">
        <v>4</v>
      </c>
      <c r="P292" s="1">
        <v>0</v>
      </c>
    </row>
    <row r="293" spans="1:16" x14ac:dyDescent="0.3">
      <c r="A293" t="s">
        <v>97</v>
      </c>
      <c r="B293" t="s">
        <v>115</v>
      </c>
      <c r="C293" t="s">
        <v>4</v>
      </c>
      <c r="D293">
        <v>99</v>
      </c>
      <c r="E293">
        <v>85</v>
      </c>
      <c r="F293">
        <v>0</v>
      </c>
      <c r="G293">
        <v>7</v>
      </c>
      <c r="H293">
        <v>6</v>
      </c>
      <c r="I293">
        <v>2</v>
      </c>
      <c r="J293">
        <v>0</v>
      </c>
      <c r="K293">
        <v>58</v>
      </c>
      <c r="L293">
        <v>12</v>
      </c>
      <c r="M293">
        <v>0</v>
      </c>
      <c r="N293">
        <v>14</v>
      </c>
      <c r="O293">
        <v>14</v>
      </c>
      <c r="P293" s="1">
        <v>0</v>
      </c>
    </row>
    <row r="294" spans="1:16" x14ac:dyDescent="0.3">
      <c r="A294" t="s">
        <v>97</v>
      </c>
      <c r="B294" t="s">
        <v>115</v>
      </c>
      <c r="C294" t="s">
        <v>17</v>
      </c>
      <c r="D294">
        <v>28</v>
      </c>
      <c r="E294">
        <v>26</v>
      </c>
      <c r="F294">
        <v>0</v>
      </c>
      <c r="G294">
        <v>2</v>
      </c>
      <c r="H294">
        <v>2</v>
      </c>
      <c r="I294">
        <v>1</v>
      </c>
      <c r="J294">
        <v>0</v>
      </c>
      <c r="K294">
        <v>18</v>
      </c>
      <c r="L294">
        <v>3</v>
      </c>
      <c r="M294">
        <v>0</v>
      </c>
      <c r="N294">
        <v>2</v>
      </c>
      <c r="O294">
        <v>2</v>
      </c>
      <c r="P294" s="1">
        <v>0</v>
      </c>
    </row>
    <row r="295" spans="1:16" x14ac:dyDescent="0.3">
      <c r="A295" t="s">
        <v>97</v>
      </c>
      <c r="B295" t="s">
        <v>115</v>
      </c>
      <c r="C295" t="s">
        <v>18</v>
      </c>
      <c r="D295">
        <v>71</v>
      </c>
      <c r="E295">
        <v>59</v>
      </c>
      <c r="F295">
        <v>0</v>
      </c>
      <c r="G295">
        <v>5</v>
      </c>
      <c r="H295">
        <v>4</v>
      </c>
      <c r="I295">
        <v>1</v>
      </c>
      <c r="J295">
        <v>0</v>
      </c>
      <c r="K295">
        <v>40</v>
      </c>
      <c r="L295">
        <v>9</v>
      </c>
      <c r="M295">
        <v>0</v>
      </c>
      <c r="N295">
        <v>12</v>
      </c>
      <c r="O295">
        <v>12</v>
      </c>
      <c r="P295" s="1">
        <v>0</v>
      </c>
    </row>
    <row r="296" spans="1:16" x14ac:dyDescent="0.3">
      <c r="A296" t="s">
        <v>97</v>
      </c>
      <c r="B296" t="s">
        <v>116</v>
      </c>
      <c r="C296" t="s">
        <v>4</v>
      </c>
      <c r="D296">
        <v>91</v>
      </c>
      <c r="E296">
        <v>78</v>
      </c>
      <c r="F296">
        <v>0</v>
      </c>
      <c r="G296">
        <v>11</v>
      </c>
      <c r="H296">
        <v>13</v>
      </c>
      <c r="I296">
        <v>1</v>
      </c>
      <c r="J296">
        <v>0</v>
      </c>
      <c r="K296">
        <v>50</v>
      </c>
      <c r="L296">
        <v>3</v>
      </c>
      <c r="M296">
        <v>0</v>
      </c>
      <c r="N296">
        <v>13</v>
      </c>
      <c r="O296">
        <v>13</v>
      </c>
      <c r="P296" s="1">
        <v>0</v>
      </c>
    </row>
    <row r="297" spans="1:16" x14ac:dyDescent="0.3">
      <c r="A297" t="s">
        <v>97</v>
      </c>
      <c r="B297" t="s">
        <v>116</v>
      </c>
      <c r="C297" t="s">
        <v>17</v>
      </c>
      <c r="D297">
        <v>30</v>
      </c>
      <c r="E297">
        <v>29</v>
      </c>
      <c r="F297">
        <v>0</v>
      </c>
      <c r="G297">
        <v>3</v>
      </c>
      <c r="H297">
        <v>6</v>
      </c>
      <c r="I297">
        <v>0</v>
      </c>
      <c r="J297">
        <v>0</v>
      </c>
      <c r="K297">
        <v>19</v>
      </c>
      <c r="L297">
        <v>1</v>
      </c>
      <c r="M297">
        <v>0</v>
      </c>
      <c r="N297">
        <v>1</v>
      </c>
      <c r="O297">
        <v>1</v>
      </c>
      <c r="P297" s="1">
        <v>0</v>
      </c>
    </row>
    <row r="298" spans="1:16" x14ac:dyDescent="0.3">
      <c r="A298" t="s">
        <v>97</v>
      </c>
      <c r="B298" t="s">
        <v>116</v>
      </c>
      <c r="C298" t="s">
        <v>18</v>
      </c>
      <c r="D298">
        <v>61</v>
      </c>
      <c r="E298">
        <v>49</v>
      </c>
      <c r="F298">
        <v>0</v>
      </c>
      <c r="G298">
        <v>8</v>
      </c>
      <c r="H298">
        <v>7</v>
      </c>
      <c r="I298">
        <v>1</v>
      </c>
      <c r="J298">
        <v>0</v>
      </c>
      <c r="K298">
        <v>31</v>
      </c>
      <c r="L298">
        <v>2</v>
      </c>
      <c r="M298">
        <v>0</v>
      </c>
      <c r="N298">
        <v>12</v>
      </c>
      <c r="O298">
        <v>12</v>
      </c>
      <c r="P298" s="1">
        <v>0</v>
      </c>
    </row>
    <row r="299" spans="1:16" x14ac:dyDescent="0.3">
      <c r="A299" t="s">
        <v>97</v>
      </c>
      <c r="B299" t="s">
        <v>117</v>
      </c>
      <c r="C299" t="s">
        <v>4</v>
      </c>
      <c r="D299">
        <v>89</v>
      </c>
      <c r="E299">
        <v>68</v>
      </c>
      <c r="F299">
        <v>8</v>
      </c>
      <c r="G299">
        <v>32</v>
      </c>
      <c r="H299">
        <v>7</v>
      </c>
      <c r="I299">
        <v>5</v>
      </c>
      <c r="J299">
        <v>0</v>
      </c>
      <c r="K299">
        <v>3</v>
      </c>
      <c r="L299">
        <v>13</v>
      </c>
      <c r="M299">
        <v>0</v>
      </c>
      <c r="N299">
        <v>21</v>
      </c>
      <c r="O299">
        <v>21</v>
      </c>
      <c r="P299" s="1">
        <v>0</v>
      </c>
    </row>
    <row r="300" spans="1:16" x14ac:dyDescent="0.3">
      <c r="A300" t="s">
        <v>97</v>
      </c>
      <c r="B300" t="s">
        <v>117</v>
      </c>
      <c r="C300" t="s">
        <v>17</v>
      </c>
      <c r="D300">
        <v>6</v>
      </c>
      <c r="E300">
        <v>6</v>
      </c>
      <c r="F300">
        <v>0</v>
      </c>
      <c r="G300">
        <v>3</v>
      </c>
      <c r="H300">
        <v>0</v>
      </c>
      <c r="I300">
        <v>2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 s="1">
        <v>0</v>
      </c>
    </row>
    <row r="301" spans="1:16" x14ac:dyDescent="0.3">
      <c r="A301" t="s">
        <v>97</v>
      </c>
      <c r="B301" t="s">
        <v>117</v>
      </c>
      <c r="C301" t="s">
        <v>18</v>
      </c>
      <c r="D301">
        <v>83</v>
      </c>
      <c r="E301">
        <v>62</v>
      </c>
      <c r="F301">
        <v>8</v>
      </c>
      <c r="G301">
        <v>29</v>
      </c>
      <c r="H301">
        <v>7</v>
      </c>
      <c r="I301">
        <v>3</v>
      </c>
      <c r="J301">
        <v>0</v>
      </c>
      <c r="K301">
        <v>2</v>
      </c>
      <c r="L301">
        <v>13</v>
      </c>
      <c r="M301">
        <v>0</v>
      </c>
      <c r="N301">
        <v>21</v>
      </c>
      <c r="O301">
        <v>21</v>
      </c>
      <c r="P301" s="1">
        <v>0</v>
      </c>
    </row>
    <row r="302" spans="1:16" x14ac:dyDescent="0.3">
      <c r="A302" t="s">
        <v>97</v>
      </c>
      <c r="B302" t="s">
        <v>118</v>
      </c>
      <c r="C302" t="s">
        <v>4</v>
      </c>
      <c r="D302">
        <v>86</v>
      </c>
      <c r="E302">
        <v>65</v>
      </c>
      <c r="F302">
        <v>3</v>
      </c>
      <c r="G302">
        <v>16</v>
      </c>
      <c r="H302">
        <v>8</v>
      </c>
      <c r="I302">
        <v>5</v>
      </c>
      <c r="J302">
        <v>0</v>
      </c>
      <c r="K302">
        <v>30</v>
      </c>
      <c r="L302">
        <v>3</v>
      </c>
      <c r="M302">
        <v>0</v>
      </c>
      <c r="N302">
        <v>21</v>
      </c>
      <c r="O302">
        <v>21</v>
      </c>
      <c r="P302" s="1">
        <v>0</v>
      </c>
    </row>
    <row r="303" spans="1:16" x14ac:dyDescent="0.3">
      <c r="A303" t="s">
        <v>97</v>
      </c>
      <c r="B303" t="s">
        <v>118</v>
      </c>
      <c r="C303" t="s">
        <v>17</v>
      </c>
      <c r="D303">
        <v>22</v>
      </c>
      <c r="E303">
        <v>18</v>
      </c>
      <c r="F303">
        <v>0</v>
      </c>
      <c r="G303">
        <v>4</v>
      </c>
      <c r="H303">
        <v>0</v>
      </c>
      <c r="I303">
        <v>2</v>
      </c>
      <c r="J303">
        <v>0</v>
      </c>
      <c r="K303">
        <v>12</v>
      </c>
      <c r="L303">
        <v>0</v>
      </c>
      <c r="M303">
        <v>0</v>
      </c>
      <c r="N303">
        <v>4</v>
      </c>
      <c r="O303">
        <v>4</v>
      </c>
      <c r="P303" s="1">
        <v>0</v>
      </c>
    </row>
    <row r="304" spans="1:16" x14ac:dyDescent="0.3">
      <c r="A304" t="s">
        <v>97</v>
      </c>
      <c r="B304" t="s">
        <v>118</v>
      </c>
      <c r="C304" t="s">
        <v>18</v>
      </c>
      <c r="D304">
        <v>64</v>
      </c>
      <c r="E304">
        <v>47</v>
      </c>
      <c r="F304">
        <v>3</v>
      </c>
      <c r="G304">
        <v>12</v>
      </c>
      <c r="H304">
        <v>8</v>
      </c>
      <c r="I304">
        <v>3</v>
      </c>
      <c r="J304">
        <v>0</v>
      </c>
      <c r="K304">
        <v>18</v>
      </c>
      <c r="L304">
        <v>3</v>
      </c>
      <c r="M304">
        <v>0</v>
      </c>
      <c r="N304">
        <v>17</v>
      </c>
      <c r="O304">
        <v>17</v>
      </c>
      <c r="P304" s="1">
        <v>0</v>
      </c>
    </row>
    <row r="305" spans="1:16" x14ac:dyDescent="0.3">
      <c r="A305" t="s">
        <v>97</v>
      </c>
      <c r="B305" t="s">
        <v>119</v>
      </c>
      <c r="C305" t="s">
        <v>4</v>
      </c>
      <c r="D305">
        <v>80</v>
      </c>
      <c r="E305">
        <v>65</v>
      </c>
      <c r="F305">
        <v>0</v>
      </c>
      <c r="G305">
        <v>9</v>
      </c>
      <c r="H305">
        <v>6</v>
      </c>
      <c r="I305">
        <v>1</v>
      </c>
      <c r="J305">
        <v>1</v>
      </c>
      <c r="K305">
        <v>46</v>
      </c>
      <c r="L305">
        <v>1</v>
      </c>
      <c r="M305">
        <v>1</v>
      </c>
      <c r="N305">
        <v>15</v>
      </c>
      <c r="O305">
        <v>15</v>
      </c>
      <c r="P305" s="1">
        <v>0</v>
      </c>
    </row>
    <row r="306" spans="1:16" x14ac:dyDescent="0.3">
      <c r="A306" t="s">
        <v>97</v>
      </c>
      <c r="B306" t="s">
        <v>119</v>
      </c>
      <c r="C306" t="s">
        <v>17</v>
      </c>
      <c r="D306">
        <v>30</v>
      </c>
      <c r="E306">
        <v>27</v>
      </c>
      <c r="F306">
        <v>0</v>
      </c>
      <c r="G306">
        <v>3</v>
      </c>
      <c r="H306">
        <v>0</v>
      </c>
      <c r="I306">
        <v>0</v>
      </c>
      <c r="J306">
        <v>1</v>
      </c>
      <c r="K306">
        <v>23</v>
      </c>
      <c r="L306">
        <v>0</v>
      </c>
      <c r="M306">
        <v>0</v>
      </c>
      <c r="N306">
        <v>3</v>
      </c>
      <c r="O306">
        <v>3</v>
      </c>
      <c r="P306" s="1">
        <v>0</v>
      </c>
    </row>
    <row r="307" spans="1:16" x14ac:dyDescent="0.3">
      <c r="A307" t="s">
        <v>97</v>
      </c>
      <c r="B307" t="s">
        <v>119</v>
      </c>
      <c r="C307" t="s">
        <v>18</v>
      </c>
      <c r="D307">
        <v>50</v>
      </c>
      <c r="E307">
        <v>38</v>
      </c>
      <c r="F307">
        <v>0</v>
      </c>
      <c r="G307">
        <v>6</v>
      </c>
      <c r="H307">
        <v>6</v>
      </c>
      <c r="I307">
        <v>1</v>
      </c>
      <c r="J307">
        <v>0</v>
      </c>
      <c r="K307">
        <v>23</v>
      </c>
      <c r="L307">
        <v>1</v>
      </c>
      <c r="M307">
        <v>1</v>
      </c>
      <c r="N307">
        <v>12</v>
      </c>
      <c r="O307">
        <v>12</v>
      </c>
      <c r="P307" s="1">
        <v>0</v>
      </c>
    </row>
    <row r="308" spans="1:16" x14ac:dyDescent="0.3">
      <c r="A308" t="s">
        <v>97</v>
      </c>
      <c r="B308" t="s">
        <v>120</v>
      </c>
      <c r="C308" t="s">
        <v>4</v>
      </c>
      <c r="D308">
        <v>67</v>
      </c>
      <c r="E308">
        <v>52</v>
      </c>
      <c r="F308">
        <v>1</v>
      </c>
      <c r="G308">
        <v>14</v>
      </c>
      <c r="H308">
        <v>7</v>
      </c>
      <c r="I308">
        <v>2</v>
      </c>
      <c r="J308">
        <v>0</v>
      </c>
      <c r="K308">
        <v>18</v>
      </c>
      <c r="L308">
        <v>10</v>
      </c>
      <c r="M308">
        <v>0</v>
      </c>
      <c r="N308">
        <v>15</v>
      </c>
      <c r="O308">
        <v>15</v>
      </c>
      <c r="P308" s="1">
        <v>0</v>
      </c>
    </row>
    <row r="309" spans="1:16" x14ac:dyDescent="0.3">
      <c r="A309" t="s">
        <v>97</v>
      </c>
      <c r="B309" t="s">
        <v>120</v>
      </c>
      <c r="C309" t="s">
        <v>17</v>
      </c>
      <c r="D309">
        <v>17</v>
      </c>
      <c r="E309">
        <v>13</v>
      </c>
      <c r="F309">
        <v>1</v>
      </c>
      <c r="G309">
        <v>3</v>
      </c>
      <c r="H309">
        <v>2</v>
      </c>
      <c r="I309">
        <v>1</v>
      </c>
      <c r="J309">
        <v>0</v>
      </c>
      <c r="K309">
        <v>5</v>
      </c>
      <c r="L309">
        <v>1</v>
      </c>
      <c r="M309">
        <v>0</v>
      </c>
      <c r="N309">
        <v>4</v>
      </c>
      <c r="O309">
        <v>4</v>
      </c>
      <c r="P309" s="1">
        <v>0</v>
      </c>
    </row>
    <row r="310" spans="1:16" x14ac:dyDescent="0.3">
      <c r="A310" t="s">
        <v>97</v>
      </c>
      <c r="B310" t="s">
        <v>120</v>
      </c>
      <c r="C310" t="s">
        <v>18</v>
      </c>
      <c r="D310">
        <v>50</v>
      </c>
      <c r="E310">
        <v>39</v>
      </c>
      <c r="F310">
        <v>0</v>
      </c>
      <c r="G310">
        <v>11</v>
      </c>
      <c r="H310">
        <v>5</v>
      </c>
      <c r="I310">
        <v>1</v>
      </c>
      <c r="J310">
        <v>0</v>
      </c>
      <c r="K310">
        <v>13</v>
      </c>
      <c r="L310">
        <v>9</v>
      </c>
      <c r="M310">
        <v>0</v>
      </c>
      <c r="N310">
        <v>11</v>
      </c>
      <c r="O310">
        <v>11</v>
      </c>
      <c r="P310" s="1">
        <v>0</v>
      </c>
    </row>
    <row r="311" spans="1:16" x14ac:dyDescent="0.3">
      <c r="A311" t="s">
        <v>97</v>
      </c>
      <c r="B311" t="s">
        <v>121</v>
      </c>
      <c r="C311" t="s">
        <v>4</v>
      </c>
      <c r="D311">
        <v>53</v>
      </c>
      <c r="E311">
        <v>37</v>
      </c>
      <c r="F311">
        <v>2</v>
      </c>
      <c r="G311">
        <v>6</v>
      </c>
      <c r="H311">
        <v>10</v>
      </c>
      <c r="I311">
        <v>1</v>
      </c>
      <c r="J311">
        <v>0</v>
      </c>
      <c r="K311">
        <v>7</v>
      </c>
      <c r="L311">
        <v>11</v>
      </c>
      <c r="M311">
        <v>0</v>
      </c>
      <c r="N311">
        <v>16</v>
      </c>
      <c r="O311">
        <v>16</v>
      </c>
      <c r="P311" s="1">
        <v>0</v>
      </c>
    </row>
    <row r="312" spans="1:16" x14ac:dyDescent="0.3">
      <c r="A312" t="s">
        <v>97</v>
      </c>
      <c r="B312" t="s">
        <v>121</v>
      </c>
      <c r="C312" t="s">
        <v>17</v>
      </c>
      <c r="D312">
        <v>3</v>
      </c>
      <c r="E312">
        <v>3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2</v>
      </c>
      <c r="L312">
        <v>0</v>
      </c>
      <c r="M312">
        <v>0</v>
      </c>
      <c r="N312">
        <v>0</v>
      </c>
      <c r="O312">
        <v>0</v>
      </c>
      <c r="P312" s="1">
        <v>0</v>
      </c>
    </row>
    <row r="313" spans="1:16" x14ac:dyDescent="0.3">
      <c r="A313" t="s">
        <v>97</v>
      </c>
      <c r="B313" t="s">
        <v>121</v>
      </c>
      <c r="C313" t="s">
        <v>18</v>
      </c>
      <c r="D313">
        <v>50</v>
      </c>
      <c r="E313">
        <v>34</v>
      </c>
      <c r="F313">
        <v>2</v>
      </c>
      <c r="G313">
        <v>6</v>
      </c>
      <c r="H313">
        <v>9</v>
      </c>
      <c r="I313">
        <v>1</v>
      </c>
      <c r="J313">
        <v>0</v>
      </c>
      <c r="K313">
        <v>5</v>
      </c>
      <c r="L313">
        <v>11</v>
      </c>
      <c r="M313">
        <v>0</v>
      </c>
      <c r="N313">
        <v>16</v>
      </c>
      <c r="O313">
        <v>16</v>
      </c>
      <c r="P313" s="1">
        <v>0</v>
      </c>
    </row>
    <row r="314" spans="1:16" x14ac:dyDescent="0.3">
      <c r="A314" t="s">
        <v>97</v>
      </c>
      <c r="B314" t="s">
        <v>122</v>
      </c>
      <c r="C314" t="s">
        <v>4</v>
      </c>
      <c r="D314">
        <v>51</v>
      </c>
      <c r="E314">
        <v>42</v>
      </c>
      <c r="F314">
        <v>0</v>
      </c>
      <c r="G314">
        <v>6</v>
      </c>
      <c r="H314">
        <v>4</v>
      </c>
      <c r="I314">
        <v>2</v>
      </c>
      <c r="J314">
        <v>0</v>
      </c>
      <c r="K314">
        <v>26</v>
      </c>
      <c r="L314">
        <v>3</v>
      </c>
      <c r="M314">
        <v>1</v>
      </c>
      <c r="N314">
        <v>9</v>
      </c>
      <c r="O314">
        <v>9</v>
      </c>
      <c r="P314" s="1">
        <v>0</v>
      </c>
    </row>
    <row r="315" spans="1:16" x14ac:dyDescent="0.3">
      <c r="A315" t="s">
        <v>97</v>
      </c>
      <c r="B315" t="s">
        <v>122</v>
      </c>
      <c r="C315" t="s">
        <v>17</v>
      </c>
      <c r="D315">
        <v>22</v>
      </c>
      <c r="E315">
        <v>20</v>
      </c>
      <c r="F315">
        <v>0</v>
      </c>
      <c r="G315">
        <v>5</v>
      </c>
      <c r="H315">
        <v>0</v>
      </c>
      <c r="I315">
        <v>0</v>
      </c>
      <c r="J315">
        <v>0</v>
      </c>
      <c r="K315">
        <v>15</v>
      </c>
      <c r="L315">
        <v>0</v>
      </c>
      <c r="M315">
        <v>0</v>
      </c>
      <c r="N315">
        <v>2</v>
      </c>
      <c r="O315">
        <v>2</v>
      </c>
      <c r="P315" s="1">
        <v>0</v>
      </c>
    </row>
    <row r="316" spans="1:16" x14ac:dyDescent="0.3">
      <c r="A316" t="s">
        <v>97</v>
      </c>
      <c r="B316" t="s">
        <v>122</v>
      </c>
      <c r="C316" t="s">
        <v>18</v>
      </c>
      <c r="D316">
        <v>29</v>
      </c>
      <c r="E316">
        <v>22</v>
      </c>
      <c r="F316">
        <v>0</v>
      </c>
      <c r="G316">
        <v>1</v>
      </c>
      <c r="H316">
        <v>4</v>
      </c>
      <c r="I316">
        <v>2</v>
      </c>
      <c r="J316">
        <v>0</v>
      </c>
      <c r="K316">
        <v>11</v>
      </c>
      <c r="L316">
        <v>3</v>
      </c>
      <c r="M316">
        <v>1</v>
      </c>
      <c r="N316">
        <v>7</v>
      </c>
      <c r="O316">
        <v>7</v>
      </c>
      <c r="P316" s="1">
        <v>0</v>
      </c>
    </row>
    <row r="317" spans="1:16" x14ac:dyDescent="0.3">
      <c r="A317" t="s">
        <v>97</v>
      </c>
      <c r="B317" t="s">
        <v>123</v>
      </c>
      <c r="C317" t="s">
        <v>4</v>
      </c>
      <c r="D317">
        <v>45</v>
      </c>
      <c r="E317">
        <v>36</v>
      </c>
      <c r="F317">
        <v>0</v>
      </c>
      <c r="G317">
        <v>8</v>
      </c>
      <c r="H317">
        <v>5</v>
      </c>
      <c r="I317">
        <v>1</v>
      </c>
      <c r="J317">
        <v>1</v>
      </c>
      <c r="K317">
        <v>19</v>
      </c>
      <c r="L317">
        <v>2</v>
      </c>
      <c r="M317">
        <v>0</v>
      </c>
      <c r="N317">
        <v>9</v>
      </c>
      <c r="O317">
        <v>9</v>
      </c>
      <c r="P317" s="1">
        <v>0</v>
      </c>
    </row>
    <row r="318" spans="1:16" x14ac:dyDescent="0.3">
      <c r="A318" t="s">
        <v>97</v>
      </c>
      <c r="B318" t="s">
        <v>123</v>
      </c>
      <c r="C318" t="s">
        <v>17</v>
      </c>
      <c r="D318">
        <v>11</v>
      </c>
      <c r="E318">
        <v>11</v>
      </c>
      <c r="F318">
        <v>0</v>
      </c>
      <c r="G318">
        <v>1</v>
      </c>
      <c r="H318">
        <v>2</v>
      </c>
      <c r="I318">
        <v>1</v>
      </c>
      <c r="J318">
        <v>1</v>
      </c>
      <c r="K318">
        <v>5</v>
      </c>
      <c r="L318">
        <v>1</v>
      </c>
      <c r="M318">
        <v>0</v>
      </c>
      <c r="N318">
        <v>0</v>
      </c>
      <c r="O318">
        <v>0</v>
      </c>
      <c r="P318" s="1">
        <v>0</v>
      </c>
    </row>
    <row r="319" spans="1:16" x14ac:dyDescent="0.3">
      <c r="A319" t="s">
        <v>97</v>
      </c>
      <c r="B319" t="s">
        <v>123</v>
      </c>
      <c r="C319" t="s">
        <v>18</v>
      </c>
      <c r="D319">
        <v>34</v>
      </c>
      <c r="E319">
        <v>25</v>
      </c>
      <c r="F319">
        <v>0</v>
      </c>
      <c r="G319">
        <v>7</v>
      </c>
      <c r="H319">
        <v>3</v>
      </c>
      <c r="I319">
        <v>0</v>
      </c>
      <c r="J319">
        <v>0</v>
      </c>
      <c r="K319">
        <v>14</v>
      </c>
      <c r="L319">
        <v>1</v>
      </c>
      <c r="M319">
        <v>0</v>
      </c>
      <c r="N319">
        <v>9</v>
      </c>
      <c r="O319">
        <v>9</v>
      </c>
      <c r="P319" s="1">
        <v>0</v>
      </c>
    </row>
    <row r="320" spans="1:16" x14ac:dyDescent="0.3">
      <c r="A320" t="s">
        <v>97</v>
      </c>
      <c r="B320" t="s">
        <v>124</v>
      </c>
      <c r="C320" t="s">
        <v>4</v>
      </c>
      <c r="D320">
        <v>35</v>
      </c>
      <c r="E320">
        <v>29</v>
      </c>
      <c r="F320">
        <v>0</v>
      </c>
      <c r="G320">
        <v>12</v>
      </c>
      <c r="H320">
        <v>1</v>
      </c>
      <c r="I320">
        <v>0</v>
      </c>
      <c r="J320">
        <v>0</v>
      </c>
      <c r="K320">
        <v>15</v>
      </c>
      <c r="L320">
        <v>1</v>
      </c>
      <c r="M320">
        <v>0</v>
      </c>
      <c r="N320">
        <v>6</v>
      </c>
      <c r="O320">
        <v>6</v>
      </c>
      <c r="P320" s="1">
        <v>0</v>
      </c>
    </row>
    <row r="321" spans="1:16" x14ac:dyDescent="0.3">
      <c r="A321" t="s">
        <v>97</v>
      </c>
      <c r="B321" t="s">
        <v>124</v>
      </c>
      <c r="C321" t="s">
        <v>17</v>
      </c>
      <c r="D321">
        <v>18</v>
      </c>
      <c r="E321">
        <v>17</v>
      </c>
      <c r="F321">
        <v>0</v>
      </c>
      <c r="G321">
        <v>9</v>
      </c>
      <c r="H321">
        <v>0</v>
      </c>
      <c r="I321">
        <v>0</v>
      </c>
      <c r="J321">
        <v>0</v>
      </c>
      <c r="K321">
        <v>8</v>
      </c>
      <c r="L321">
        <v>0</v>
      </c>
      <c r="M321">
        <v>0</v>
      </c>
      <c r="N321">
        <v>1</v>
      </c>
      <c r="O321">
        <v>1</v>
      </c>
      <c r="P321" s="1">
        <v>0</v>
      </c>
    </row>
    <row r="322" spans="1:16" x14ac:dyDescent="0.3">
      <c r="A322" t="s">
        <v>97</v>
      </c>
      <c r="B322" t="s">
        <v>124</v>
      </c>
      <c r="C322" t="s">
        <v>18</v>
      </c>
      <c r="D322">
        <v>17</v>
      </c>
      <c r="E322">
        <v>12</v>
      </c>
      <c r="F322">
        <v>0</v>
      </c>
      <c r="G322">
        <v>3</v>
      </c>
      <c r="H322">
        <v>1</v>
      </c>
      <c r="I322">
        <v>0</v>
      </c>
      <c r="J322">
        <v>0</v>
      </c>
      <c r="K322">
        <v>7</v>
      </c>
      <c r="L322">
        <v>1</v>
      </c>
      <c r="M322">
        <v>0</v>
      </c>
      <c r="N322">
        <v>5</v>
      </c>
      <c r="O322">
        <v>5</v>
      </c>
      <c r="P322" s="1">
        <v>0</v>
      </c>
    </row>
    <row r="323" spans="1:16" x14ac:dyDescent="0.3">
      <c r="A323" t="s">
        <v>97</v>
      </c>
      <c r="B323" t="s">
        <v>125</v>
      </c>
      <c r="C323" t="s">
        <v>4</v>
      </c>
      <c r="D323">
        <v>34</v>
      </c>
      <c r="E323">
        <v>26</v>
      </c>
      <c r="F323">
        <v>1</v>
      </c>
      <c r="G323">
        <v>9</v>
      </c>
      <c r="H323">
        <v>7</v>
      </c>
      <c r="I323">
        <v>2</v>
      </c>
      <c r="J323">
        <v>0</v>
      </c>
      <c r="K323">
        <v>0</v>
      </c>
      <c r="L323">
        <v>6</v>
      </c>
      <c r="M323">
        <v>1</v>
      </c>
      <c r="N323">
        <v>8</v>
      </c>
      <c r="O323">
        <v>8</v>
      </c>
      <c r="P323" s="1">
        <v>0</v>
      </c>
    </row>
    <row r="324" spans="1:16" x14ac:dyDescent="0.3">
      <c r="A324" t="s">
        <v>97</v>
      </c>
      <c r="B324" t="s">
        <v>125</v>
      </c>
      <c r="C324" t="s">
        <v>17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 s="1">
        <v>0</v>
      </c>
    </row>
    <row r="325" spans="1:16" x14ac:dyDescent="0.3">
      <c r="A325" t="s">
        <v>97</v>
      </c>
      <c r="B325" t="s">
        <v>125</v>
      </c>
      <c r="C325" t="s">
        <v>18</v>
      </c>
      <c r="D325">
        <v>33</v>
      </c>
      <c r="E325">
        <v>26</v>
      </c>
      <c r="F325">
        <v>1</v>
      </c>
      <c r="G325">
        <v>9</v>
      </c>
      <c r="H325">
        <v>7</v>
      </c>
      <c r="I325">
        <v>2</v>
      </c>
      <c r="J325">
        <v>0</v>
      </c>
      <c r="K325">
        <v>0</v>
      </c>
      <c r="L325">
        <v>6</v>
      </c>
      <c r="M325">
        <v>1</v>
      </c>
      <c r="N325">
        <v>7</v>
      </c>
      <c r="O325">
        <v>7</v>
      </c>
      <c r="P325" s="1">
        <v>0</v>
      </c>
    </row>
    <row r="326" spans="1:16" x14ac:dyDescent="0.3">
      <c r="A326" t="s">
        <v>97</v>
      </c>
      <c r="B326" t="s">
        <v>126</v>
      </c>
      <c r="C326" t="s">
        <v>4</v>
      </c>
      <c r="D326">
        <v>34</v>
      </c>
      <c r="E326">
        <v>23</v>
      </c>
      <c r="F326">
        <v>0</v>
      </c>
      <c r="G326">
        <v>6</v>
      </c>
      <c r="H326">
        <v>2</v>
      </c>
      <c r="I326">
        <v>1</v>
      </c>
      <c r="J326">
        <v>0</v>
      </c>
      <c r="K326">
        <v>10</v>
      </c>
      <c r="L326">
        <v>4</v>
      </c>
      <c r="M326">
        <v>0</v>
      </c>
      <c r="N326">
        <v>11</v>
      </c>
      <c r="O326">
        <v>11</v>
      </c>
      <c r="P326" s="1">
        <v>0</v>
      </c>
    </row>
    <row r="327" spans="1:16" x14ac:dyDescent="0.3">
      <c r="A327" t="s">
        <v>97</v>
      </c>
      <c r="B327" t="s">
        <v>126</v>
      </c>
      <c r="C327" t="s">
        <v>17</v>
      </c>
      <c r="D327">
        <v>7</v>
      </c>
      <c r="E327">
        <v>5</v>
      </c>
      <c r="F327">
        <v>0</v>
      </c>
      <c r="G327">
        <v>1</v>
      </c>
      <c r="H327">
        <v>0</v>
      </c>
      <c r="I327">
        <v>1</v>
      </c>
      <c r="J327">
        <v>0</v>
      </c>
      <c r="K327">
        <v>3</v>
      </c>
      <c r="L327">
        <v>0</v>
      </c>
      <c r="M327">
        <v>0</v>
      </c>
      <c r="N327">
        <v>2</v>
      </c>
      <c r="O327">
        <v>2</v>
      </c>
      <c r="P327" s="1">
        <v>0</v>
      </c>
    </row>
    <row r="328" spans="1:16" x14ac:dyDescent="0.3">
      <c r="A328" t="s">
        <v>97</v>
      </c>
      <c r="B328" t="s">
        <v>126</v>
      </c>
      <c r="C328" t="s">
        <v>18</v>
      </c>
      <c r="D328">
        <v>27</v>
      </c>
      <c r="E328">
        <v>18</v>
      </c>
      <c r="F328">
        <v>0</v>
      </c>
      <c r="G328">
        <v>5</v>
      </c>
      <c r="H328">
        <v>2</v>
      </c>
      <c r="I328">
        <v>0</v>
      </c>
      <c r="J328">
        <v>0</v>
      </c>
      <c r="K328">
        <v>7</v>
      </c>
      <c r="L328">
        <v>4</v>
      </c>
      <c r="M328">
        <v>0</v>
      </c>
      <c r="N328">
        <v>9</v>
      </c>
      <c r="O328">
        <v>9</v>
      </c>
      <c r="P328" s="1">
        <v>0</v>
      </c>
    </row>
    <row r="329" spans="1:16" x14ac:dyDescent="0.3">
      <c r="A329" t="s">
        <v>97</v>
      </c>
      <c r="B329" t="s">
        <v>127</v>
      </c>
      <c r="C329" t="s">
        <v>4</v>
      </c>
      <c r="D329">
        <v>26</v>
      </c>
      <c r="E329">
        <v>18</v>
      </c>
      <c r="F329">
        <v>2</v>
      </c>
      <c r="G329">
        <v>3</v>
      </c>
      <c r="H329">
        <v>4</v>
      </c>
      <c r="I329">
        <v>1</v>
      </c>
      <c r="J329">
        <v>0</v>
      </c>
      <c r="K329">
        <v>7</v>
      </c>
      <c r="L329">
        <v>1</v>
      </c>
      <c r="M329">
        <v>0</v>
      </c>
      <c r="N329">
        <v>8</v>
      </c>
      <c r="O329">
        <v>8</v>
      </c>
      <c r="P329" s="1">
        <v>0</v>
      </c>
    </row>
    <row r="330" spans="1:16" x14ac:dyDescent="0.3">
      <c r="A330" t="s">
        <v>97</v>
      </c>
      <c r="B330" t="s">
        <v>127</v>
      </c>
      <c r="C330" t="s">
        <v>17</v>
      </c>
      <c r="D330">
        <v>5</v>
      </c>
      <c r="E330">
        <v>4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3</v>
      </c>
      <c r="L330">
        <v>0</v>
      </c>
      <c r="M330">
        <v>0</v>
      </c>
      <c r="N330">
        <v>1</v>
      </c>
      <c r="O330">
        <v>1</v>
      </c>
      <c r="P330" s="1">
        <v>0</v>
      </c>
    </row>
    <row r="331" spans="1:16" x14ac:dyDescent="0.3">
      <c r="A331" t="s">
        <v>97</v>
      </c>
      <c r="B331" t="s">
        <v>127</v>
      </c>
      <c r="C331" t="s">
        <v>18</v>
      </c>
      <c r="D331">
        <v>21</v>
      </c>
      <c r="E331">
        <v>14</v>
      </c>
      <c r="F331">
        <v>2</v>
      </c>
      <c r="G331">
        <v>2</v>
      </c>
      <c r="H331">
        <v>4</v>
      </c>
      <c r="I331">
        <v>1</v>
      </c>
      <c r="J331">
        <v>0</v>
      </c>
      <c r="K331">
        <v>4</v>
      </c>
      <c r="L331">
        <v>1</v>
      </c>
      <c r="M331">
        <v>0</v>
      </c>
      <c r="N331">
        <v>7</v>
      </c>
      <c r="O331">
        <v>7</v>
      </c>
      <c r="P331" s="1">
        <v>0</v>
      </c>
    </row>
    <row r="332" spans="1:16" x14ac:dyDescent="0.3">
      <c r="A332" t="s">
        <v>97</v>
      </c>
      <c r="B332" t="s">
        <v>128</v>
      </c>
      <c r="C332" t="s">
        <v>4</v>
      </c>
      <c r="D332">
        <v>22</v>
      </c>
      <c r="E332">
        <v>16</v>
      </c>
      <c r="F332">
        <v>0</v>
      </c>
      <c r="G332">
        <v>2</v>
      </c>
      <c r="H332">
        <v>3</v>
      </c>
      <c r="I332">
        <v>1</v>
      </c>
      <c r="J332">
        <v>0</v>
      </c>
      <c r="K332">
        <v>0</v>
      </c>
      <c r="L332">
        <v>10</v>
      </c>
      <c r="M332">
        <v>0</v>
      </c>
      <c r="N332">
        <v>6</v>
      </c>
      <c r="O332">
        <v>6</v>
      </c>
      <c r="P332" s="1">
        <v>0</v>
      </c>
    </row>
    <row r="333" spans="1:16" x14ac:dyDescent="0.3">
      <c r="A333" t="s">
        <v>97</v>
      </c>
      <c r="B333" t="s">
        <v>128</v>
      </c>
      <c r="C333" t="s">
        <v>17</v>
      </c>
      <c r="D333">
        <v>4</v>
      </c>
      <c r="E333">
        <v>4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0</v>
      </c>
      <c r="P333" s="1">
        <v>0</v>
      </c>
    </row>
    <row r="334" spans="1:16" x14ac:dyDescent="0.3">
      <c r="A334" t="s">
        <v>97</v>
      </c>
      <c r="B334" t="s">
        <v>128</v>
      </c>
      <c r="C334" t="s">
        <v>18</v>
      </c>
      <c r="D334">
        <v>18</v>
      </c>
      <c r="E334">
        <v>12</v>
      </c>
      <c r="F334">
        <v>0</v>
      </c>
      <c r="G334">
        <v>2</v>
      </c>
      <c r="H334">
        <v>2</v>
      </c>
      <c r="I334">
        <v>1</v>
      </c>
      <c r="J334">
        <v>0</v>
      </c>
      <c r="K334">
        <v>0</v>
      </c>
      <c r="L334">
        <v>7</v>
      </c>
      <c r="M334">
        <v>0</v>
      </c>
      <c r="N334">
        <v>6</v>
      </c>
      <c r="O334">
        <v>6</v>
      </c>
      <c r="P334" s="1">
        <v>0</v>
      </c>
    </row>
    <row r="335" spans="1:16" x14ac:dyDescent="0.3">
      <c r="A335" t="s">
        <v>97</v>
      </c>
      <c r="B335" t="s">
        <v>129</v>
      </c>
      <c r="C335" t="s">
        <v>4</v>
      </c>
      <c r="D335">
        <v>18</v>
      </c>
      <c r="E335">
        <v>15</v>
      </c>
      <c r="F335">
        <v>0</v>
      </c>
      <c r="G335">
        <v>6</v>
      </c>
      <c r="H335">
        <v>2</v>
      </c>
      <c r="I335">
        <v>0</v>
      </c>
      <c r="J335">
        <v>0</v>
      </c>
      <c r="K335">
        <v>5</v>
      </c>
      <c r="L335">
        <v>2</v>
      </c>
      <c r="M335">
        <v>0</v>
      </c>
      <c r="N335">
        <v>3</v>
      </c>
      <c r="O335">
        <v>3</v>
      </c>
      <c r="P335" s="1">
        <v>0</v>
      </c>
    </row>
    <row r="336" spans="1:16" x14ac:dyDescent="0.3">
      <c r="A336" t="s">
        <v>97</v>
      </c>
      <c r="B336" t="s">
        <v>129</v>
      </c>
      <c r="C336" t="s">
        <v>17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 s="1">
        <v>0</v>
      </c>
    </row>
    <row r="337" spans="1:16" x14ac:dyDescent="0.3">
      <c r="A337" t="s">
        <v>97</v>
      </c>
      <c r="B337" t="s">
        <v>129</v>
      </c>
      <c r="C337" t="s">
        <v>18</v>
      </c>
      <c r="D337">
        <v>17</v>
      </c>
      <c r="E337">
        <v>14</v>
      </c>
      <c r="F337">
        <v>0</v>
      </c>
      <c r="G337">
        <v>6</v>
      </c>
      <c r="H337">
        <v>2</v>
      </c>
      <c r="I337">
        <v>0</v>
      </c>
      <c r="J337">
        <v>0</v>
      </c>
      <c r="K337">
        <v>4</v>
      </c>
      <c r="L337">
        <v>2</v>
      </c>
      <c r="M337">
        <v>0</v>
      </c>
      <c r="N337">
        <v>3</v>
      </c>
      <c r="O337">
        <v>3</v>
      </c>
      <c r="P337" s="1">
        <v>0</v>
      </c>
    </row>
    <row r="338" spans="1:16" x14ac:dyDescent="0.3">
      <c r="A338" t="s">
        <v>97</v>
      </c>
      <c r="B338" t="s">
        <v>130</v>
      </c>
      <c r="C338" t="s">
        <v>4</v>
      </c>
      <c r="D338">
        <v>17</v>
      </c>
      <c r="E338">
        <v>14</v>
      </c>
      <c r="F338">
        <v>0</v>
      </c>
      <c r="G338">
        <v>4</v>
      </c>
      <c r="H338">
        <v>3</v>
      </c>
      <c r="I338">
        <v>0</v>
      </c>
      <c r="J338">
        <v>0</v>
      </c>
      <c r="K338">
        <v>5</v>
      </c>
      <c r="L338">
        <v>2</v>
      </c>
      <c r="M338">
        <v>0</v>
      </c>
      <c r="N338">
        <v>3</v>
      </c>
      <c r="O338">
        <v>3</v>
      </c>
      <c r="P338" s="1">
        <v>0</v>
      </c>
    </row>
    <row r="339" spans="1:16" x14ac:dyDescent="0.3">
      <c r="A339" t="s">
        <v>97</v>
      </c>
      <c r="B339" t="s">
        <v>130</v>
      </c>
      <c r="C339" t="s">
        <v>17</v>
      </c>
      <c r="D339">
        <v>3</v>
      </c>
      <c r="E339">
        <v>3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 s="1">
        <v>0</v>
      </c>
    </row>
    <row r="340" spans="1:16" x14ac:dyDescent="0.3">
      <c r="A340" t="s">
        <v>97</v>
      </c>
      <c r="B340" t="s">
        <v>130</v>
      </c>
      <c r="C340" t="s">
        <v>18</v>
      </c>
      <c r="D340">
        <v>14</v>
      </c>
      <c r="E340">
        <v>11</v>
      </c>
      <c r="F340">
        <v>0</v>
      </c>
      <c r="G340">
        <v>3</v>
      </c>
      <c r="H340">
        <v>2</v>
      </c>
      <c r="I340">
        <v>0</v>
      </c>
      <c r="J340">
        <v>0</v>
      </c>
      <c r="K340">
        <v>4</v>
      </c>
      <c r="L340">
        <v>2</v>
      </c>
      <c r="M340">
        <v>0</v>
      </c>
      <c r="N340">
        <v>3</v>
      </c>
      <c r="O340">
        <v>3</v>
      </c>
      <c r="P340" s="1">
        <v>0</v>
      </c>
    </row>
    <row r="341" spans="1:16" x14ac:dyDescent="0.3">
      <c r="A341" t="s">
        <v>97</v>
      </c>
      <c r="B341" t="s">
        <v>131</v>
      </c>
      <c r="C341" t="s">
        <v>4</v>
      </c>
      <c r="D341">
        <v>15</v>
      </c>
      <c r="E341">
        <v>12</v>
      </c>
      <c r="F341">
        <v>0</v>
      </c>
      <c r="G341">
        <v>0</v>
      </c>
      <c r="H341">
        <v>4</v>
      </c>
      <c r="I341">
        <v>0</v>
      </c>
      <c r="J341">
        <v>0</v>
      </c>
      <c r="K341">
        <v>6</v>
      </c>
      <c r="L341">
        <v>2</v>
      </c>
      <c r="M341">
        <v>0</v>
      </c>
      <c r="N341">
        <v>3</v>
      </c>
      <c r="O341">
        <v>3</v>
      </c>
      <c r="P341" s="1">
        <v>0</v>
      </c>
    </row>
    <row r="342" spans="1:16" x14ac:dyDescent="0.3">
      <c r="A342" t="s">
        <v>97</v>
      </c>
      <c r="B342" t="s">
        <v>131</v>
      </c>
      <c r="C342" t="s">
        <v>17</v>
      </c>
      <c r="D342">
        <v>7</v>
      </c>
      <c r="E342">
        <v>5</v>
      </c>
      <c r="F342">
        <v>0</v>
      </c>
      <c r="G342">
        <v>0</v>
      </c>
      <c r="H342">
        <v>2</v>
      </c>
      <c r="I342">
        <v>0</v>
      </c>
      <c r="J342">
        <v>0</v>
      </c>
      <c r="K342">
        <v>3</v>
      </c>
      <c r="L342">
        <v>0</v>
      </c>
      <c r="M342">
        <v>0</v>
      </c>
      <c r="N342">
        <v>2</v>
      </c>
      <c r="O342">
        <v>2</v>
      </c>
      <c r="P342" s="1">
        <v>0</v>
      </c>
    </row>
    <row r="343" spans="1:16" x14ac:dyDescent="0.3">
      <c r="A343" t="s">
        <v>97</v>
      </c>
      <c r="B343" t="s">
        <v>131</v>
      </c>
      <c r="C343" t="s">
        <v>18</v>
      </c>
      <c r="D343">
        <v>8</v>
      </c>
      <c r="E343">
        <v>7</v>
      </c>
      <c r="F343">
        <v>0</v>
      </c>
      <c r="G343">
        <v>0</v>
      </c>
      <c r="H343">
        <v>2</v>
      </c>
      <c r="I343">
        <v>0</v>
      </c>
      <c r="J343">
        <v>0</v>
      </c>
      <c r="K343">
        <v>3</v>
      </c>
      <c r="L343">
        <v>2</v>
      </c>
      <c r="M343">
        <v>0</v>
      </c>
      <c r="N343">
        <v>1</v>
      </c>
      <c r="O343">
        <v>1</v>
      </c>
      <c r="P343" s="1">
        <v>0</v>
      </c>
    </row>
    <row r="344" spans="1:16" x14ac:dyDescent="0.3">
      <c r="A344" t="s">
        <v>97</v>
      </c>
      <c r="B344" t="s">
        <v>132</v>
      </c>
      <c r="C344" t="s">
        <v>4</v>
      </c>
      <c r="D344">
        <v>10</v>
      </c>
      <c r="E344">
        <v>9</v>
      </c>
      <c r="F344">
        <v>0</v>
      </c>
      <c r="G344">
        <v>2</v>
      </c>
      <c r="H344">
        <v>5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1</v>
      </c>
      <c r="P344" s="1">
        <v>0</v>
      </c>
    </row>
    <row r="345" spans="1:16" x14ac:dyDescent="0.3">
      <c r="A345" t="s">
        <v>97</v>
      </c>
      <c r="B345" t="s">
        <v>132</v>
      </c>
      <c r="C345" t="s">
        <v>17</v>
      </c>
      <c r="D345">
        <v>1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s="1">
        <v>0</v>
      </c>
    </row>
    <row r="346" spans="1:16" x14ac:dyDescent="0.3">
      <c r="A346" t="s">
        <v>97</v>
      </c>
      <c r="B346" t="s">
        <v>132</v>
      </c>
      <c r="C346" t="s">
        <v>18</v>
      </c>
      <c r="D346">
        <v>9</v>
      </c>
      <c r="E346">
        <v>8</v>
      </c>
      <c r="F346">
        <v>0</v>
      </c>
      <c r="G346">
        <v>2</v>
      </c>
      <c r="H346">
        <v>4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1</v>
      </c>
      <c r="P346" s="1">
        <v>0</v>
      </c>
    </row>
    <row r="347" spans="1:16" x14ac:dyDescent="0.3">
      <c r="A347" t="s">
        <v>97</v>
      </c>
      <c r="B347" t="s">
        <v>133</v>
      </c>
      <c r="C347" t="s">
        <v>4</v>
      </c>
      <c r="D347">
        <v>10</v>
      </c>
      <c r="E347">
        <v>8</v>
      </c>
      <c r="F347">
        <v>0</v>
      </c>
      <c r="G347">
        <v>3</v>
      </c>
      <c r="H347">
        <v>1</v>
      </c>
      <c r="I347">
        <v>0</v>
      </c>
      <c r="J347">
        <v>0</v>
      </c>
      <c r="K347">
        <v>3</v>
      </c>
      <c r="L347">
        <v>1</v>
      </c>
      <c r="M347">
        <v>0</v>
      </c>
      <c r="N347">
        <v>2</v>
      </c>
      <c r="O347">
        <v>2</v>
      </c>
      <c r="P347" s="1">
        <v>0</v>
      </c>
    </row>
    <row r="348" spans="1:16" x14ac:dyDescent="0.3">
      <c r="A348" t="s">
        <v>97</v>
      </c>
      <c r="B348" t="s">
        <v>133</v>
      </c>
      <c r="C348" t="s">
        <v>17</v>
      </c>
      <c r="D348">
        <v>2</v>
      </c>
      <c r="E348">
        <v>2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 s="1">
        <v>0</v>
      </c>
    </row>
    <row r="349" spans="1:16" x14ac:dyDescent="0.3">
      <c r="A349" t="s">
        <v>97</v>
      </c>
      <c r="B349" t="s">
        <v>133</v>
      </c>
      <c r="C349" t="s">
        <v>18</v>
      </c>
      <c r="D349">
        <v>8</v>
      </c>
      <c r="E349">
        <v>6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2</v>
      </c>
      <c r="L349">
        <v>1</v>
      </c>
      <c r="M349">
        <v>0</v>
      </c>
      <c r="N349">
        <v>2</v>
      </c>
      <c r="O349">
        <v>2</v>
      </c>
      <c r="P349" s="1">
        <v>0</v>
      </c>
    </row>
    <row r="350" spans="1:16" x14ac:dyDescent="0.3">
      <c r="A350" t="s">
        <v>97</v>
      </c>
      <c r="B350" t="s">
        <v>134</v>
      </c>
      <c r="C350" t="s">
        <v>4</v>
      </c>
      <c r="D350">
        <v>10</v>
      </c>
      <c r="E350">
        <v>7</v>
      </c>
      <c r="F350">
        <v>0</v>
      </c>
      <c r="G350">
        <v>2</v>
      </c>
      <c r="H350">
        <v>2</v>
      </c>
      <c r="I350">
        <v>0</v>
      </c>
      <c r="J350">
        <v>0</v>
      </c>
      <c r="K350">
        <v>3</v>
      </c>
      <c r="L350">
        <v>0</v>
      </c>
      <c r="M350">
        <v>0</v>
      </c>
      <c r="N350">
        <v>3</v>
      </c>
      <c r="O350">
        <v>3</v>
      </c>
      <c r="P350" s="1">
        <v>0</v>
      </c>
    </row>
    <row r="351" spans="1:16" x14ac:dyDescent="0.3">
      <c r="A351" t="s">
        <v>97</v>
      </c>
      <c r="B351" t="s">
        <v>134</v>
      </c>
      <c r="C351" t="s">
        <v>17</v>
      </c>
      <c r="D351">
        <v>2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1</v>
      </c>
      <c r="P351" s="1">
        <v>0</v>
      </c>
    </row>
    <row r="352" spans="1:16" x14ac:dyDescent="0.3">
      <c r="A352" t="s">
        <v>97</v>
      </c>
      <c r="B352" t="s">
        <v>134</v>
      </c>
      <c r="C352" t="s">
        <v>18</v>
      </c>
      <c r="D352">
        <v>8</v>
      </c>
      <c r="E352">
        <v>6</v>
      </c>
      <c r="F352">
        <v>0</v>
      </c>
      <c r="G352">
        <v>2</v>
      </c>
      <c r="H352">
        <v>2</v>
      </c>
      <c r="I352">
        <v>0</v>
      </c>
      <c r="J352">
        <v>0</v>
      </c>
      <c r="K352">
        <v>2</v>
      </c>
      <c r="L352">
        <v>0</v>
      </c>
      <c r="M352">
        <v>0</v>
      </c>
      <c r="N352">
        <v>2</v>
      </c>
      <c r="O352">
        <v>2</v>
      </c>
      <c r="P352" s="1">
        <v>0</v>
      </c>
    </row>
    <row r="353" spans="1:16" x14ac:dyDescent="0.3">
      <c r="A353" t="s">
        <v>97</v>
      </c>
      <c r="B353" t="s">
        <v>135</v>
      </c>
      <c r="C353" t="s">
        <v>4</v>
      </c>
      <c r="D353">
        <v>10</v>
      </c>
      <c r="E353">
        <v>10</v>
      </c>
      <c r="F353">
        <v>0</v>
      </c>
      <c r="G353">
        <v>2</v>
      </c>
      <c r="H353">
        <v>1</v>
      </c>
      <c r="I353">
        <v>0</v>
      </c>
      <c r="J353">
        <v>0</v>
      </c>
      <c r="K353">
        <v>7</v>
      </c>
      <c r="L353">
        <v>0</v>
      </c>
      <c r="M353">
        <v>0</v>
      </c>
      <c r="N353">
        <v>0</v>
      </c>
      <c r="O353">
        <v>0</v>
      </c>
      <c r="P353" s="1">
        <v>0</v>
      </c>
    </row>
    <row r="354" spans="1:16" x14ac:dyDescent="0.3">
      <c r="A354" t="s">
        <v>97</v>
      </c>
      <c r="B354" t="s">
        <v>135</v>
      </c>
      <c r="C354" t="s">
        <v>17</v>
      </c>
      <c r="D354">
        <v>4</v>
      </c>
      <c r="E354">
        <v>4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3</v>
      </c>
      <c r="L354">
        <v>0</v>
      </c>
      <c r="M354">
        <v>0</v>
      </c>
      <c r="N354">
        <v>0</v>
      </c>
      <c r="O354">
        <v>0</v>
      </c>
      <c r="P354" s="1">
        <v>0</v>
      </c>
    </row>
    <row r="355" spans="1:16" x14ac:dyDescent="0.3">
      <c r="A355" t="s">
        <v>97</v>
      </c>
      <c r="B355" t="s">
        <v>135</v>
      </c>
      <c r="C355" t="s">
        <v>18</v>
      </c>
      <c r="D355">
        <v>6</v>
      </c>
      <c r="E355">
        <v>6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4</v>
      </c>
      <c r="L355">
        <v>0</v>
      </c>
      <c r="M355">
        <v>0</v>
      </c>
      <c r="N355">
        <v>0</v>
      </c>
      <c r="O355">
        <v>0</v>
      </c>
      <c r="P355" s="1">
        <v>0</v>
      </c>
    </row>
    <row r="356" spans="1:16" x14ac:dyDescent="0.3">
      <c r="A356" t="s">
        <v>97</v>
      </c>
      <c r="B356" t="s">
        <v>136</v>
      </c>
      <c r="C356" t="s">
        <v>4</v>
      </c>
      <c r="D356">
        <v>4</v>
      </c>
      <c r="E356">
        <v>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</v>
      </c>
      <c r="L356">
        <v>2</v>
      </c>
      <c r="M356">
        <v>0</v>
      </c>
      <c r="N356">
        <v>0</v>
      </c>
      <c r="O356">
        <v>0</v>
      </c>
      <c r="P356" s="1">
        <v>0</v>
      </c>
    </row>
    <row r="357" spans="1:16" x14ac:dyDescent="0.3">
      <c r="A357" t="s">
        <v>97</v>
      </c>
      <c r="B357" t="s">
        <v>136</v>
      </c>
      <c r="C357" t="s">
        <v>17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 s="1">
        <v>0</v>
      </c>
    </row>
    <row r="358" spans="1:16" x14ac:dyDescent="0.3">
      <c r="A358" t="s">
        <v>97</v>
      </c>
      <c r="B358" t="s">
        <v>136</v>
      </c>
      <c r="C358" t="s">
        <v>18</v>
      </c>
      <c r="D358">
        <v>3</v>
      </c>
      <c r="E358">
        <v>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2</v>
      </c>
      <c r="M358">
        <v>0</v>
      </c>
      <c r="N358">
        <v>0</v>
      </c>
      <c r="O358">
        <v>0</v>
      </c>
      <c r="P358" s="1">
        <v>0</v>
      </c>
    </row>
    <row r="359" spans="1:16" x14ac:dyDescent="0.3">
      <c r="A359" t="s">
        <v>97</v>
      </c>
      <c r="B359" t="s">
        <v>137</v>
      </c>
      <c r="C359" t="s">
        <v>4</v>
      </c>
      <c r="D359">
        <v>3</v>
      </c>
      <c r="E359">
        <v>3</v>
      </c>
      <c r="F359">
        <v>0</v>
      </c>
      <c r="G359">
        <v>0</v>
      </c>
      <c r="H359">
        <v>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s="1">
        <v>0</v>
      </c>
    </row>
    <row r="360" spans="1:16" x14ac:dyDescent="0.3">
      <c r="A360" t="s">
        <v>97</v>
      </c>
      <c r="B360" t="s">
        <v>137</v>
      </c>
      <c r="C360" t="s">
        <v>18</v>
      </c>
      <c r="D360">
        <v>3</v>
      </c>
      <c r="E360">
        <v>3</v>
      </c>
      <c r="F360">
        <v>0</v>
      </c>
      <c r="G360">
        <v>0</v>
      </c>
      <c r="H360">
        <v>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s="1">
        <v>0</v>
      </c>
    </row>
    <row r="361" spans="1:16" x14ac:dyDescent="0.3">
      <c r="A361" t="s">
        <v>97</v>
      </c>
      <c r="B361" t="s">
        <v>138</v>
      </c>
      <c r="C361" t="s">
        <v>4</v>
      </c>
      <c r="D361">
        <v>2</v>
      </c>
      <c r="E361">
        <v>2</v>
      </c>
      <c r="F361">
        <v>0</v>
      </c>
      <c r="G361">
        <v>0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s="1">
        <v>0</v>
      </c>
    </row>
    <row r="362" spans="1:16" x14ac:dyDescent="0.3">
      <c r="A362" t="s">
        <v>97</v>
      </c>
      <c r="B362" t="s">
        <v>138</v>
      </c>
      <c r="C362" t="s">
        <v>18</v>
      </c>
      <c r="D362">
        <v>2</v>
      </c>
      <c r="E362">
        <v>2</v>
      </c>
      <c r="F362">
        <v>0</v>
      </c>
      <c r="G362">
        <v>0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s="1">
        <v>0</v>
      </c>
    </row>
    <row r="363" spans="1:16" x14ac:dyDescent="0.3">
      <c r="A363" t="s">
        <v>97</v>
      </c>
      <c r="B363" t="s">
        <v>139</v>
      </c>
      <c r="C363" t="s">
        <v>4</v>
      </c>
      <c r="D363">
        <v>2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1</v>
      </c>
      <c r="P363" s="1">
        <v>0</v>
      </c>
    </row>
    <row r="364" spans="1:16" x14ac:dyDescent="0.3">
      <c r="A364" t="s">
        <v>97</v>
      </c>
      <c r="B364" t="s">
        <v>139</v>
      </c>
      <c r="C364" t="s">
        <v>17</v>
      </c>
      <c r="D364">
        <v>1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s="1">
        <v>0</v>
      </c>
    </row>
    <row r="365" spans="1:16" x14ac:dyDescent="0.3">
      <c r="A365" t="s">
        <v>97</v>
      </c>
      <c r="B365" t="s">
        <v>139</v>
      </c>
      <c r="C365" t="s">
        <v>18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1</v>
      </c>
      <c r="P365" s="1">
        <v>0</v>
      </c>
    </row>
    <row r="366" spans="1:16" x14ac:dyDescent="0.3">
      <c r="A366" t="s">
        <v>97</v>
      </c>
      <c r="B366" t="s">
        <v>140</v>
      </c>
      <c r="C366" t="s">
        <v>4</v>
      </c>
      <c r="D366">
        <v>2</v>
      </c>
      <c r="E366">
        <v>2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 s="1">
        <v>0</v>
      </c>
    </row>
    <row r="367" spans="1:16" x14ac:dyDescent="0.3">
      <c r="A367" t="s">
        <v>97</v>
      </c>
      <c r="B367" t="s">
        <v>140</v>
      </c>
      <c r="C367" t="s">
        <v>18</v>
      </c>
      <c r="D367">
        <v>2</v>
      </c>
      <c r="E367">
        <v>2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 s="1">
        <v>0</v>
      </c>
    </row>
    <row r="368" spans="1:16" x14ac:dyDescent="0.3">
      <c r="A368" t="s">
        <v>97</v>
      </c>
      <c r="B368" t="s">
        <v>141</v>
      </c>
      <c r="C368" t="s">
        <v>4</v>
      </c>
      <c r="D368">
        <v>2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0</v>
      </c>
      <c r="P368" s="1">
        <v>0</v>
      </c>
    </row>
    <row r="369" spans="1:16" x14ac:dyDescent="0.3">
      <c r="A369" t="s">
        <v>97</v>
      </c>
      <c r="B369" t="s">
        <v>141</v>
      </c>
      <c r="C369" t="s">
        <v>18</v>
      </c>
      <c r="D369">
        <v>2</v>
      </c>
      <c r="E369">
        <v>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0</v>
      </c>
      <c r="P369" s="1">
        <v>0</v>
      </c>
    </row>
    <row r="370" spans="1:16" x14ac:dyDescent="0.3">
      <c r="A370" t="s">
        <v>97</v>
      </c>
      <c r="B370" t="s">
        <v>142</v>
      </c>
      <c r="C370" t="s">
        <v>4</v>
      </c>
      <c r="D370">
        <v>1</v>
      </c>
      <c r="E370">
        <v>1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s="1">
        <v>0</v>
      </c>
    </row>
    <row r="371" spans="1:16" x14ac:dyDescent="0.3">
      <c r="A371" t="s">
        <v>97</v>
      </c>
      <c r="B371" t="s">
        <v>142</v>
      </c>
      <c r="C371" t="s">
        <v>18</v>
      </c>
      <c r="D371">
        <v>1</v>
      </c>
      <c r="E371">
        <v>1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s="1">
        <v>0</v>
      </c>
    </row>
    <row r="372" spans="1:16" x14ac:dyDescent="0.3">
      <c r="A372" t="s">
        <v>97</v>
      </c>
      <c r="B372" t="s">
        <v>143</v>
      </c>
      <c r="C372" t="s">
        <v>4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 s="1">
        <v>0</v>
      </c>
    </row>
    <row r="373" spans="1:16" x14ac:dyDescent="0.3">
      <c r="A373" t="s">
        <v>97</v>
      </c>
      <c r="B373" t="s">
        <v>143</v>
      </c>
      <c r="C373" t="s">
        <v>17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 s="1">
        <v>0</v>
      </c>
    </row>
    <row r="374" spans="1:16" x14ac:dyDescent="0.3">
      <c r="A374" t="s">
        <v>97</v>
      </c>
      <c r="B374" t="s">
        <v>144</v>
      </c>
      <c r="C374" t="s">
        <v>4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 s="1">
        <v>0</v>
      </c>
    </row>
    <row r="375" spans="1:16" x14ac:dyDescent="0.3">
      <c r="A375" t="s">
        <v>97</v>
      </c>
      <c r="B375" t="s">
        <v>144</v>
      </c>
      <c r="C375" t="s">
        <v>17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 s="1">
        <v>0</v>
      </c>
    </row>
    <row r="376" spans="1:16" x14ac:dyDescent="0.3">
      <c r="A376" t="s">
        <v>97</v>
      </c>
      <c r="B376" t="s">
        <v>145</v>
      </c>
      <c r="C376" t="s">
        <v>4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 s="1">
        <v>0</v>
      </c>
    </row>
    <row r="377" spans="1:16" x14ac:dyDescent="0.3">
      <c r="A377" t="s">
        <v>97</v>
      </c>
      <c r="B377" t="s">
        <v>145</v>
      </c>
      <c r="C377" t="s">
        <v>17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 s="1">
        <v>0</v>
      </c>
    </row>
    <row r="378" spans="1:16" x14ac:dyDescent="0.3">
      <c r="A378" t="s">
        <v>146</v>
      </c>
      <c r="B378" t="s">
        <v>4</v>
      </c>
      <c r="C378" t="s">
        <v>4</v>
      </c>
      <c r="D378">
        <v>172</v>
      </c>
      <c r="E378">
        <v>136</v>
      </c>
      <c r="F378">
        <v>4</v>
      </c>
      <c r="G378">
        <v>18</v>
      </c>
      <c r="H378">
        <v>20</v>
      </c>
      <c r="I378">
        <v>7</v>
      </c>
      <c r="J378">
        <v>2</v>
      </c>
      <c r="K378">
        <v>72</v>
      </c>
      <c r="L378">
        <v>4</v>
      </c>
      <c r="M378">
        <v>9</v>
      </c>
      <c r="N378">
        <v>36</v>
      </c>
      <c r="O378">
        <v>36</v>
      </c>
      <c r="P378" s="1">
        <v>0</v>
      </c>
    </row>
    <row r="379" spans="1:16" x14ac:dyDescent="0.3">
      <c r="A379" t="s">
        <v>146</v>
      </c>
      <c r="B379" t="s">
        <v>4</v>
      </c>
      <c r="C379" t="s">
        <v>17</v>
      </c>
      <c r="D379" s="1">
        <f>D382+D385+D388+D391+D394+D397+D401+D403</f>
        <v>67</v>
      </c>
      <c r="E379" s="1">
        <f t="shared" ref="E379:O379" si="16">E382+E385+E388+E391+E394+E397+E401+E403</f>
        <v>57</v>
      </c>
      <c r="F379" s="1">
        <f t="shared" si="16"/>
        <v>3</v>
      </c>
      <c r="G379" s="1">
        <f t="shared" si="16"/>
        <v>7</v>
      </c>
      <c r="H379" s="1">
        <f t="shared" si="16"/>
        <v>9</v>
      </c>
      <c r="I379" s="1">
        <f t="shared" si="16"/>
        <v>5</v>
      </c>
      <c r="J379" s="1">
        <f t="shared" si="16"/>
        <v>2</v>
      </c>
      <c r="K379" s="1">
        <f t="shared" si="16"/>
        <v>29</v>
      </c>
      <c r="L379" s="1">
        <f t="shared" si="16"/>
        <v>0</v>
      </c>
      <c r="M379" s="1">
        <f t="shared" si="16"/>
        <v>2</v>
      </c>
      <c r="N379" s="1">
        <f t="shared" si="16"/>
        <v>10</v>
      </c>
      <c r="O379" s="1">
        <f t="shared" si="16"/>
        <v>10</v>
      </c>
      <c r="P379" s="1">
        <f t="shared" ref="P379" si="17">P382+P385+P388+P391+P394+P397+P401+P403</f>
        <v>0</v>
      </c>
    </row>
    <row r="380" spans="1:16" x14ac:dyDescent="0.3">
      <c r="A380" t="s">
        <v>146</v>
      </c>
      <c r="B380" t="s">
        <v>4</v>
      </c>
      <c r="C380" t="s">
        <v>18</v>
      </c>
      <c r="D380" s="1">
        <f>D383+D386+D389+D392+D395+D399</f>
        <v>105</v>
      </c>
      <c r="E380" s="1">
        <f t="shared" ref="E380:O380" si="18">E383+E386+E389+E392+E395+E399</f>
        <v>79</v>
      </c>
      <c r="F380" s="1">
        <f t="shared" si="18"/>
        <v>1</v>
      </c>
      <c r="G380" s="1">
        <f t="shared" si="18"/>
        <v>11</v>
      </c>
      <c r="H380" s="1">
        <f t="shared" si="18"/>
        <v>11</v>
      </c>
      <c r="I380" s="1">
        <f t="shared" si="18"/>
        <v>2</v>
      </c>
      <c r="J380" s="1">
        <f t="shared" si="18"/>
        <v>0</v>
      </c>
      <c r="K380" s="1">
        <f t="shared" si="18"/>
        <v>43</v>
      </c>
      <c r="L380" s="1">
        <f t="shared" si="18"/>
        <v>4</v>
      </c>
      <c r="M380" s="1">
        <f t="shared" si="18"/>
        <v>7</v>
      </c>
      <c r="N380" s="1">
        <f t="shared" si="18"/>
        <v>26</v>
      </c>
      <c r="O380" s="1">
        <f t="shared" si="18"/>
        <v>26</v>
      </c>
      <c r="P380" s="1">
        <f t="shared" ref="P380" si="19">P383+P386+P389+P392+P395+P399</f>
        <v>0</v>
      </c>
    </row>
    <row r="381" spans="1:16" x14ac:dyDescent="0.3">
      <c r="A381" t="s">
        <v>146</v>
      </c>
      <c r="B381" t="s">
        <v>147</v>
      </c>
      <c r="C381" t="s">
        <v>4</v>
      </c>
      <c r="D381">
        <v>133</v>
      </c>
      <c r="E381">
        <v>108</v>
      </c>
      <c r="F381">
        <v>3</v>
      </c>
      <c r="G381">
        <v>12</v>
      </c>
      <c r="H381">
        <v>5</v>
      </c>
      <c r="I381">
        <v>6</v>
      </c>
      <c r="J381">
        <v>2</v>
      </c>
      <c r="K381">
        <v>70</v>
      </c>
      <c r="L381">
        <v>1</v>
      </c>
      <c r="M381">
        <v>9</v>
      </c>
      <c r="N381">
        <v>25</v>
      </c>
      <c r="O381">
        <v>25</v>
      </c>
      <c r="P381" s="1">
        <v>0</v>
      </c>
    </row>
    <row r="382" spans="1:16" x14ac:dyDescent="0.3">
      <c r="A382" t="s">
        <v>146</v>
      </c>
      <c r="B382" t="s">
        <v>147</v>
      </c>
      <c r="C382" t="s">
        <v>17</v>
      </c>
      <c r="D382">
        <v>52</v>
      </c>
      <c r="E382">
        <v>47</v>
      </c>
      <c r="F382">
        <v>3</v>
      </c>
      <c r="G382">
        <v>5</v>
      </c>
      <c r="H382">
        <v>1</v>
      </c>
      <c r="I382">
        <v>5</v>
      </c>
      <c r="J382">
        <v>2</v>
      </c>
      <c r="K382">
        <v>29</v>
      </c>
      <c r="L382">
        <v>0</v>
      </c>
      <c r="M382">
        <v>2</v>
      </c>
      <c r="N382">
        <v>5</v>
      </c>
      <c r="O382">
        <v>5</v>
      </c>
      <c r="P382" s="1">
        <v>0</v>
      </c>
    </row>
    <row r="383" spans="1:16" x14ac:dyDescent="0.3">
      <c r="A383" t="s">
        <v>146</v>
      </c>
      <c r="B383" t="s">
        <v>147</v>
      </c>
      <c r="C383" t="s">
        <v>18</v>
      </c>
      <c r="D383">
        <v>81</v>
      </c>
      <c r="E383">
        <v>61</v>
      </c>
      <c r="F383">
        <v>0</v>
      </c>
      <c r="G383">
        <v>7</v>
      </c>
      <c r="H383">
        <v>4</v>
      </c>
      <c r="I383">
        <v>1</v>
      </c>
      <c r="J383">
        <v>0</v>
      </c>
      <c r="K383">
        <v>41</v>
      </c>
      <c r="L383">
        <v>1</v>
      </c>
      <c r="M383">
        <v>7</v>
      </c>
      <c r="N383">
        <v>20</v>
      </c>
      <c r="O383">
        <v>20</v>
      </c>
      <c r="P383" s="1">
        <v>0</v>
      </c>
    </row>
    <row r="384" spans="1:16" x14ac:dyDescent="0.3">
      <c r="A384" t="s">
        <v>146</v>
      </c>
      <c r="B384" t="s">
        <v>148</v>
      </c>
      <c r="C384" t="s">
        <v>4</v>
      </c>
      <c r="D384">
        <v>14</v>
      </c>
      <c r="E384">
        <v>8</v>
      </c>
      <c r="F384">
        <v>0</v>
      </c>
      <c r="G384">
        <v>3</v>
      </c>
      <c r="H384">
        <v>3</v>
      </c>
      <c r="I384">
        <v>0</v>
      </c>
      <c r="J384">
        <v>0</v>
      </c>
      <c r="K384">
        <v>2</v>
      </c>
      <c r="L384">
        <v>0</v>
      </c>
      <c r="M384">
        <v>0</v>
      </c>
      <c r="N384">
        <v>6</v>
      </c>
      <c r="O384">
        <v>6</v>
      </c>
      <c r="P384" s="1">
        <v>0</v>
      </c>
    </row>
    <row r="385" spans="1:16" x14ac:dyDescent="0.3">
      <c r="A385" t="s">
        <v>146</v>
      </c>
      <c r="B385" t="s">
        <v>148</v>
      </c>
      <c r="C385" t="s">
        <v>17</v>
      </c>
      <c r="D385">
        <v>6</v>
      </c>
      <c r="E385">
        <v>3</v>
      </c>
      <c r="F385">
        <v>0</v>
      </c>
      <c r="G385">
        <v>1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3</v>
      </c>
      <c r="O385">
        <v>3</v>
      </c>
      <c r="P385" s="1">
        <v>0</v>
      </c>
    </row>
    <row r="386" spans="1:16" x14ac:dyDescent="0.3">
      <c r="A386" t="s">
        <v>146</v>
      </c>
      <c r="B386" t="s">
        <v>148</v>
      </c>
      <c r="C386" t="s">
        <v>18</v>
      </c>
      <c r="D386">
        <v>8</v>
      </c>
      <c r="E386">
        <v>5</v>
      </c>
      <c r="F386">
        <v>0</v>
      </c>
      <c r="G386">
        <v>2</v>
      </c>
      <c r="H386">
        <v>1</v>
      </c>
      <c r="I386">
        <v>0</v>
      </c>
      <c r="J386">
        <v>0</v>
      </c>
      <c r="K386">
        <v>2</v>
      </c>
      <c r="L386">
        <v>0</v>
      </c>
      <c r="M386">
        <v>0</v>
      </c>
      <c r="N386">
        <v>3</v>
      </c>
      <c r="O386">
        <v>3</v>
      </c>
      <c r="P386" s="1">
        <v>0</v>
      </c>
    </row>
    <row r="387" spans="1:16" x14ac:dyDescent="0.3">
      <c r="A387" t="s">
        <v>146</v>
      </c>
      <c r="B387" t="s">
        <v>149</v>
      </c>
      <c r="C387" t="s">
        <v>4</v>
      </c>
      <c r="D387">
        <v>13</v>
      </c>
      <c r="E387">
        <v>12</v>
      </c>
      <c r="F387">
        <v>0</v>
      </c>
      <c r="G387">
        <v>2</v>
      </c>
      <c r="H387">
        <v>6</v>
      </c>
      <c r="I387">
        <v>1</v>
      </c>
      <c r="J387">
        <v>0</v>
      </c>
      <c r="K387">
        <v>0</v>
      </c>
      <c r="L387">
        <v>3</v>
      </c>
      <c r="M387">
        <v>0</v>
      </c>
      <c r="N387">
        <v>1</v>
      </c>
      <c r="O387">
        <v>1</v>
      </c>
      <c r="P387" s="1">
        <v>0</v>
      </c>
    </row>
    <row r="388" spans="1:16" x14ac:dyDescent="0.3">
      <c r="A388" t="s">
        <v>146</v>
      </c>
      <c r="B388" t="s">
        <v>149</v>
      </c>
      <c r="C388" t="s">
        <v>17</v>
      </c>
      <c r="D388">
        <v>3</v>
      </c>
      <c r="E388">
        <v>3</v>
      </c>
      <c r="F388">
        <v>0</v>
      </c>
      <c r="G388">
        <v>1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s="1">
        <v>0</v>
      </c>
    </row>
    <row r="389" spans="1:16" x14ac:dyDescent="0.3">
      <c r="A389" t="s">
        <v>146</v>
      </c>
      <c r="B389" t="s">
        <v>149</v>
      </c>
      <c r="C389" t="s">
        <v>18</v>
      </c>
      <c r="D389">
        <v>10</v>
      </c>
      <c r="E389">
        <v>9</v>
      </c>
      <c r="F389">
        <v>0</v>
      </c>
      <c r="G389">
        <v>1</v>
      </c>
      <c r="H389">
        <v>4</v>
      </c>
      <c r="I389">
        <v>1</v>
      </c>
      <c r="J389">
        <v>0</v>
      </c>
      <c r="K389">
        <v>0</v>
      </c>
      <c r="L389">
        <v>3</v>
      </c>
      <c r="M389">
        <v>0</v>
      </c>
      <c r="N389">
        <v>1</v>
      </c>
      <c r="O389">
        <v>1</v>
      </c>
      <c r="P389" s="1">
        <v>0</v>
      </c>
    </row>
    <row r="390" spans="1:16" x14ac:dyDescent="0.3">
      <c r="A390" t="s">
        <v>146</v>
      </c>
      <c r="B390" t="s">
        <v>150</v>
      </c>
      <c r="C390" t="s">
        <v>4</v>
      </c>
      <c r="D390">
        <v>4</v>
      </c>
      <c r="E390">
        <v>1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</v>
      </c>
      <c r="O390">
        <v>3</v>
      </c>
      <c r="P390" s="1">
        <v>0</v>
      </c>
    </row>
    <row r="391" spans="1:16" x14ac:dyDescent="0.3">
      <c r="A391" t="s">
        <v>146</v>
      </c>
      <c r="B391" t="s">
        <v>150</v>
      </c>
      <c r="C391" t="s">
        <v>17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 s="1">
        <v>0</v>
      </c>
    </row>
    <row r="392" spans="1:16" x14ac:dyDescent="0.3">
      <c r="A392" t="s">
        <v>146</v>
      </c>
      <c r="B392" t="s">
        <v>150</v>
      </c>
      <c r="C392" t="s">
        <v>18</v>
      </c>
      <c r="D392">
        <v>3</v>
      </c>
      <c r="E392">
        <v>1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2</v>
      </c>
      <c r="P392" s="1">
        <v>0</v>
      </c>
    </row>
    <row r="393" spans="1:16" x14ac:dyDescent="0.3">
      <c r="A393" t="s">
        <v>146</v>
      </c>
      <c r="B393" t="s">
        <v>151</v>
      </c>
      <c r="C393" t="s">
        <v>4</v>
      </c>
      <c r="D393">
        <v>3</v>
      </c>
      <c r="E393">
        <v>3</v>
      </c>
      <c r="F393">
        <v>1</v>
      </c>
      <c r="G393">
        <v>0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s="1">
        <v>0</v>
      </c>
    </row>
    <row r="394" spans="1:16" x14ac:dyDescent="0.3">
      <c r="A394" t="s">
        <v>146</v>
      </c>
      <c r="B394" t="s">
        <v>151</v>
      </c>
      <c r="C394" t="s">
        <v>17</v>
      </c>
      <c r="D394">
        <v>1</v>
      </c>
      <c r="E394">
        <v>1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s="1">
        <v>0</v>
      </c>
    </row>
    <row r="395" spans="1:16" x14ac:dyDescent="0.3">
      <c r="A395" t="s">
        <v>146</v>
      </c>
      <c r="B395" t="s">
        <v>151</v>
      </c>
      <c r="C395" t="s">
        <v>18</v>
      </c>
      <c r="D395">
        <v>2</v>
      </c>
      <c r="E395">
        <v>2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s="1">
        <v>0</v>
      </c>
    </row>
    <row r="396" spans="1:16" x14ac:dyDescent="0.3">
      <c r="A396" t="s">
        <v>146</v>
      </c>
      <c r="B396" t="s">
        <v>152</v>
      </c>
      <c r="C396" t="s">
        <v>4</v>
      </c>
      <c r="D396">
        <v>2</v>
      </c>
      <c r="E396">
        <v>2</v>
      </c>
      <c r="F396">
        <v>0</v>
      </c>
      <c r="G396">
        <v>0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s="1">
        <v>0</v>
      </c>
    </row>
    <row r="397" spans="1:16" x14ac:dyDescent="0.3">
      <c r="A397" t="s">
        <v>146</v>
      </c>
      <c r="B397" t="s">
        <v>152</v>
      </c>
      <c r="C397" t="s">
        <v>17</v>
      </c>
      <c r="D397">
        <v>2</v>
      </c>
      <c r="E397">
        <v>2</v>
      </c>
      <c r="F397">
        <v>0</v>
      </c>
      <c r="G397">
        <v>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s="1">
        <v>0</v>
      </c>
    </row>
    <row r="398" spans="1:16" x14ac:dyDescent="0.3">
      <c r="A398" t="s">
        <v>146</v>
      </c>
      <c r="B398" t="s">
        <v>153</v>
      </c>
      <c r="C398" t="s">
        <v>4</v>
      </c>
      <c r="D398">
        <v>1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s="1">
        <v>0</v>
      </c>
    </row>
    <row r="399" spans="1:16" x14ac:dyDescent="0.3">
      <c r="A399" t="s">
        <v>146</v>
      </c>
      <c r="B399" t="s">
        <v>153</v>
      </c>
      <c r="C399" t="s">
        <v>18</v>
      </c>
      <c r="D399">
        <v>1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s="1">
        <v>0</v>
      </c>
    </row>
    <row r="400" spans="1:16" x14ac:dyDescent="0.3">
      <c r="A400" t="s">
        <v>146</v>
      </c>
      <c r="B400" t="s">
        <v>154</v>
      </c>
      <c r="C400" t="s">
        <v>4</v>
      </c>
      <c r="D400">
        <v>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s="1">
        <v>0</v>
      </c>
    </row>
    <row r="401" spans="1:16" x14ac:dyDescent="0.3">
      <c r="A401" t="s">
        <v>146</v>
      </c>
      <c r="B401" t="s">
        <v>154</v>
      </c>
      <c r="C401" t="s">
        <v>17</v>
      </c>
      <c r="D401">
        <v>1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s="1">
        <v>0</v>
      </c>
    </row>
    <row r="402" spans="1:16" x14ac:dyDescent="0.3">
      <c r="A402" t="s">
        <v>146</v>
      </c>
      <c r="B402" t="s">
        <v>155</v>
      </c>
      <c r="C402" t="s">
        <v>4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1</v>
      </c>
      <c r="P402" s="1">
        <v>0</v>
      </c>
    </row>
    <row r="403" spans="1:16" x14ac:dyDescent="0.3">
      <c r="A403" t="s">
        <v>146</v>
      </c>
      <c r="B403" t="s">
        <v>155</v>
      </c>
      <c r="C403" t="s">
        <v>17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1</v>
      </c>
      <c r="P403" s="1">
        <v>0</v>
      </c>
    </row>
    <row r="404" spans="1:16" x14ac:dyDescent="0.3">
      <c r="A404" t="s">
        <v>156</v>
      </c>
      <c r="B404" t="s">
        <v>4</v>
      </c>
      <c r="C404" t="s">
        <v>4</v>
      </c>
      <c r="D404" s="1">
        <v>3526</v>
      </c>
      <c r="E404" s="1">
        <v>2925</v>
      </c>
      <c r="F404">
        <v>50</v>
      </c>
      <c r="G404">
        <v>566</v>
      </c>
      <c r="H404" s="1">
        <v>1219</v>
      </c>
      <c r="I404">
        <v>728</v>
      </c>
      <c r="J404">
        <v>8</v>
      </c>
      <c r="K404">
        <v>52</v>
      </c>
      <c r="L404">
        <v>285</v>
      </c>
      <c r="M404">
        <v>17</v>
      </c>
      <c r="N404">
        <v>601</v>
      </c>
      <c r="O404">
        <v>599</v>
      </c>
      <c r="P404">
        <v>2</v>
      </c>
    </row>
    <row r="405" spans="1:16" x14ac:dyDescent="0.3">
      <c r="A405" t="s">
        <v>156</v>
      </c>
      <c r="B405" t="s">
        <v>4</v>
      </c>
      <c r="C405" t="s">
        <v>17</v>
      </c>
      <c r="D405" s="1">
        <f>D408+D411+D414+D417+D420+D423+D426+D429+D432+D435+D438+D441+D444+D447+D450+D453+D456+D459+D462+D465+D468+D471+D474+D477+D480+D483+D486+D489+D492+D495+D498+D501+D504+D507+D510+D513+D516+D519+D522+D525+D528+D533+D538+D543</f>
        <v>2034</v>
      </c>
      <c r="E405" s="1">
        <f t="shared" ref="E405:P405" si="20">E408+E411+E414+E417+E420+E423+E426+E429+E432+E435+E438+E441+E444+E447+E450+E453+E456+E459+E462+E465+E468+E471+E474+E477+E480+E483+E486+E489+E492+E495+E498+E501+E504+E507+E510+E513+E516+E519+E522+E525+E528+E533+E538+E543</f>
        <v>1760</v>
      </c>
      <c r="F405" s="1">
        <f t="shared" si="20"/>
        <v>28</v>
      </c>
      <c r="G405" s="1">
        <f t="shared" si="20"/>
        <v>269</v>
      </c>
      <c r="H405" s="1">
        <f t="shared" si="20"/>
        <v>806</v>
      </c>
      <c r="I405" s="1">
        <f t="shared" si="20"/>
        <v>513</v>
      </c>
      <c r="J405" s="1">
        <f t="shared" si="20"/>
        <v>8</v>
      </c>
      <c r="K405" s="1">
        <f t="shared" si="20"/>
        <v>22</v>
      </c>
      <c r="L405" s="1">
        <f t="shared" si="20"/>
        <v>108</v>
      </c>
      <c r="M405" s="1">
        <f t="shared" si="20"/>
        <v>6</v>
      </c>
      <c r="N405" s="1">
        <f t="shared" si="20"/>
        <v>274</v>
      </c>
      <c r="O405" s="1">
        <f t="shared" si="20"/>
        <v>274</v>
      </c>
      <c r="P405" s="1">
        <f t="shared" si="20"/>
        <v>0</v>
      </c>
    </row>
    <row r="406" spans="1:16" x14ac:dyDescent="0.3">
      <c r="A406" t="s">
        <v>156</v>
      </c>
      <c r="B406" t="s">
        <v>4</v>
      </c>
      <c r="C406" t="s">
        <v>18</v>
      </c>
      <c r="D406" s="1">
        <f>D409+D412+D415+D418+D421+D424+D427+D430+D433+D436+D439+D442+D445+D448+D451+D454+D457+D460+D463+D466+D469+D472+D475+D478+D481+D484+D487+D490+D493+D496+D499+D502+D505+D508+D511+D514+D517+D520+D523+D526+D529+D531+D534+D536+D541+D539</f>
        <v>1492</v>
      </c>
      <c r="E406" s="1">
        <f t="shared" ref="E406:O406" si="21">E409+E412+E415+E418+E421+E424+E427+E430+E433+E436+E439+E442+E445+E448+E451+E454+E457+E460+E463+E466+E469+E472+E475+E478+E481+E484+E487+E490+E493+E496+E499+E502+E505+E508+E511+E514+E517+E520+E523+E526+E529+E531+E534+E536+E541+E539</f>
        <v>1165</v>
      </c>
      <c r="F406" s="1">
        <f t="shared" si="21"/>
        <v>22</v>
      </c>
      <c r="G406" s="1">
        <f t="shared" si="21"/>
        <v>297</v>
      </c>
      <c r="H406" s="1">
        <f t="shared" si="21"/>
        <v>413</v>
      </c>
      <c r="I406" s="1">
        <f t="shared" si="21"/>
        <v>215</v>
      </c>
      <c r="J406" s="1">
        <f t="shared" si="21"/>
        <v>0</v>
      </c>
      <c r="K406" s="1">
        <f t="shared" si="21"/>
        <v>30</v>
      </c>
      <c r="L406" s="1">
        <f t="shared" si="21"/>
        <v>177</v>
      </c>
      <c r="M406" s="1">
        <f t="shared" si="21"/>
        <v>11</v>
      </c>
      <c r="N406" s="1">
        <f t="shared" si="21"/>
        <v>327</v>
      </c>
      <c r="O406" s="1">
        <f t="shared" si="21"/>
        <v>325</v>
      </c>
      <c r="P406" s="1">
        <f>P409+P412+P415+P418+P421+P424+P427+P430+P433+P436+P439+P442+P445+P448+P451+P454+P457+P460+P463+P466+P469+P472+P475+P478+P481+P484+P487+P490+P493+P496+P499+P502+P505+P508+P511+P514+P517+P520+P523+P526+P529+P531+P534+P536+P541+P539</f>
        <v>2</v>
      </c>
    </row>
    <row r="407" spans="1:16" x14ac:dyDescent="0.3">
      <c r="A407" t="s">
        <v>156</v>
      </c>
      <c r="B407" t="s">
        <v>157</v>
      </c>
      <c r="C407" t="s">
        <v>4</v>
      </c>
      <c r="D407">
        <v>364</v>
      </c>
      <c r="E407">
        <v>313</v>
      </c>
      <c r="F407">
        <v>2</v>
      </c>
      <c r="G407">
        <v>51</v>
      </c>
      <c r="H407">
        <v>107</v>
      </c>
      <c r="I407">
        <v>111</v>
      </c>
      <c r="J407">
        <v>2</v>
      </c>
      <c r="K407">
        <v>0</v>
      </c>
      <c r="L407">
        <v>40</v>
      </c>
      <c r="M407">
        <v>0</v>
      </c>
      <c r="N407">
        <v>51</v>
      </c>
      <c r="O407">
        <v>49</v>
      </c>
      <c r="P407">
        <v>2</v>
      </c>
    </row>
    <row r="408" spans="1:16" x14ac:dyDescent="0.3">
      <c r="A408" t="s">
        <v>156</v>
      </c>
      <c r="B408" t="s">
        <v>157</v>
      </c>
      <c r="C408" t="s">
        <v>17</v>
      </c>
      <c r="D408">
        <v>215</v>
      </c>
      <c r="E408">
        <v>195</v>
      </c>
      <c r="F408">
        <v>1</v>
      </c>
      <c r="G408">
        <v>31</v>
      </c>
      <c r="H408">
        <v>69</v>
      </c>
      <c r="I408">
        <v>82</v>
      </c>
      <c r="J408">
        <v>2</v>
      </c>
      <c r="K408">
        <v>0</v>
      </c>
      <c r="L408">
        <v>10</v>
      </c>
      <c r="M408">
        <v>0</v>
      </c>
      <c r="N408">
        <v>20</v>
      </c>
      <c r="O408">
        <v>20</v>
      </c>
      <c r="P408" s="1">
        <v>0</v>
      </c>
    </row>
    <row r="409" spans="1:16" x14ac:dyDescent="0.3">
      <c r="A409" t="s">
        <v>156</v>
      </c>
      <c r="B409" t="s">
        <v>157</v>
      </c>
      <c r="C409" t="s">
        <v>18</v>
      </c>
      <c r="D409">
        <v>149</v>
      </c>
      <c r="E409">
        <v>118</v>
      </c>
      <c r="F409">
        <v>1</v>
      </c>
      <c r="G409">
        <v>20</v>
      </c>
      <c r="H409">
        <v>38</v>
      </c>
      <c r="I409">
        <v>29</v>
      </c>
      <c r="J409">
        <v>0</v>
      </c>
      <c r="K409">
        <v>0</v>
      </c>
      <c r="L409">
        <v>30</v>
      </c>
      <c r="M409">
        <v>0</v>
      </c>
      <c r="N409">
        <v>31</v>
      </c>
      <c r="O409">
        <v>29</v>
      </c>
      <c r="P409">
        <v>2</v>
      </c>
    </row>
    <row r="410" spans="1:16" x14ac:dyDescent="0.3">
      <c r="A410" t="s">
        <v>156</v>
      </c>
      <c r="B410" t="s">
        <v>158</v>
      </c>
      <c r="C410" t="s">
        <v>4</v>
      </c>
      <c r="D410">
        <v>297</v>
      </c>
      <c r="E410">
        <v>265</v>
      </c>
      <c r="F410">
        <v>0</v>
      </c>
      <c r="G410">
        <v>54</v>
      </c>
      <c r="H410">
        <v>63</v>
      </c>
      <c r="I410">
        <v>120</v>
      </c>
      <c r="J410">
        <v>5</v>
      </c>
      <c r="K410">
        <v>1</v>
      </c>
      <c r="L410">
        <v>22</v>
      </c>
      <c r="M410">
        <v>0</v>
      </c>
      <c r="N410">
        <v>32</v>
      </c>
      <c r="O410">
        <v>32</v>
      </c>
      <c r="P410" s="1">
        <v>0</v>
      </c>
    </row>
    <row r="411" spans="1:16" x14ac:dyDescent="0.3">
      <c r="A411" t="s">
        <v>156</v>
      </c>
      <c r="B411" t="s">
        <v>158</v>
      </c>
      <c r="C411" t="s">
        <v>17</v>
      </c>
      <c r="D411">
        <v>201</v>
      </c>
      <c r="E411">
        <v>185</v>
      </c>
      <c r="F411">
        <v>0</v>
      </c>
      <c r="G411">
        <v>30</v>
      </c>
      <c r="H411">
        <v>42</v>
      </c>
      <c r="I411">
        <v>94</v>
      </c>
      <c r="J411">
        <v>5</v>
      </c>
      <c r="K411">
        <v>0</v>
      </c>
      <c r="L411">
        <v>14</v>
      </c>
      <c r="M411">
        <v>0</v>
      </c>
      <c r="N411">
        <v>16</v>
      </c>
      <c r="O411">
        <v>16</v>
      </c>
      <c r="P411">
        <v>0</v>
      </c>
    </row>
    <row r="412" spans="1:16" x14ac:dyDescent="0.3">
      <c r="A412" t="s">
        <v>156</v>
      </c>
      <c r="B412" t="s">
        <v>158</v>
      </c>
      <c r="C412" t="s">
        <v>18</v>
      </c>
      <c r="D412">
        <v>96</v>
      </c>
      <c r="E412">
        <v>80</v>
      </c>
      <c r="F412">
        <v>0</v>
      </c>
      <c r="G412">
        <v>24</v>
      </c>
      <c r="H412">
        <v>21</v>
      </c>
      <c r="I412">
        <v>26</v>
      </c>
      <c r="J412">
        <v>0</v>
      </c>
      <c r="K412">
        <v>1</v>
      </c>
      <c r="L412">
        <v>8</v>
      </c>
      <c r="M412">
        <v>0</v>
      </c>
      <c r="N412">
        <v>16</v>
      </c>
      <c r="O412">
        <v>16</v>
      </c>
      <c r="P412" s="1">
        <v>0</v>
      </c>
    </row>
    <row r="413" spans="1:16" x14ac:dyDescent="0.3">
      <c r="A413" t="s">
        <v>156</v>
      </c>
      <c r="B413" t="s">
        <v>159</v>
      </c>
      <c r="C413" t="s">
        <v>4</v>
      </c>
      <c r="D413">
        <v>277</v>
      </c>
      <c r="E413">
        <v>253</v>
      </c>
      <c r="F413">
        <v>1</v>
      </c>
      <c r="G413">
        <v>10</v>
      </c>
      <c r="H413">
        <v>128</v>
      </c>
      <c r="I413">
        <v>99</v>
      </c>
      <c r="J413">
        <v>0</v>
      </c>
      <c r="K413">
        <v>1</v>
      </c>
      <c r="L413">
        <v>14</v>
      </c>
      <c r="M413">
        <v>0</v>
      </c>
      <c r="N413">
        <v>24</v>
      </c>
      <c r="O413">
        <v>24</v>
      </c>
      <c r="P413">
        <v>0</v>
      </c>
    </row>
    <row r="414" spans="1:16" x14ac:dyDescent="0.3">
      <c r="A414" t="s">
        <v>156</v>
      </c>
      <c r="B414" t="s">
        <v>159</v>
      </c>
      <c r="C414" t="s">
        <v>17</v>
      </c>
      <c r="D414">
        <v>212</v>
      </c>
      <c r="E414">
        <v>198</v>
      </c>
      <c r="F414">
        <v>1</v>
      </c>
      <c r="G414">
        <v>5</v>
      </c>
      <c r="H414">
        <v>92</v>
      </c>
      <c r="I414">
        <v>90</v>
      </c>
      <c r="J414">
        <v>0</v>
      </c>
      <c r="K414">
        <v>0</v>
      </c>
      <c r="L414">
        <v>10</v>
      </c>
      <c r="M414">
        <v>0</v>
      </c>
      <c r="N414">
        <v>14</v>
      </c>
      <c r="O414">
        <v>14</v>
      </c>
      <c r="P414" s="1">
        <v>0</v>
      </c>
    </row>
    <row r="415" spans="1:16" x14ac:dyDescent="0.3">
      <c r="A415" t="s">
        <v>156</v>
      </c>
      <c r="B415" t="s">
        <v>159</v>
      </c>
      <c r="C415" t="s">
        <v>18</v>
      </c>
      <c r="D415">
        <v>65</v>
      </c>
      <c r="E415">
        <v>55</v>
      </c>
      <c r="F415">
        <v>0</v>
      </c>
      <c r="G415">
        <v>5</v>
      </c>
      <c r="H415">
        <v>36</v>
      </c>
      <c r="I415">
        <v>9</v>
      </c>
      <c r="J415">
        <v>0</v>
      </c>
      <c r="K415">
        <v>1</v>
      </c>
      <c r="L415">
        <v>4</v>
      </c>
      <c r="M415">
        <v>0</v>
      </c>
      <c r="N415">
        <v>10</v>
      </c>
      <c r="O415">
        <v>10</v>
      </c>
      <c r="P415">
        <v>0</v>
      </c>
    </row>
    <row r="416" spans="1:16" x14ac:dyDescent="0.3">
      <c r="A416" t="s">
        <v>156</v>
      </c>
      <c r="B416" t="s">
        <v>160</v>
      </c>
      <c r="C416" t="s">
        <v>4</v>
      </c>
      <c r="D416">
        <v>266</v>
      </c>
      <c r="E416">
        <v>226</v>
      </c>
      <c r="F416">
        <v>0</v>
      </c>
      <c r="G416">
        <v>41</v>
      </c>
      <c r="H416">
        <v>146</v>
      </c>
      <c r="I416">
        <v>29</v>
      </c>
      <c r="J416">
        <v>0</v>
      </c>
      <c r="K416">
        <v>0</v>
      </c>
      <c r="L416">
        <v>10</v>
      </c>
      <c r="M416">
        <v>0</v>
      </c>
      <c r="N416">
        <v>40</v>
      </c>
      <c r="O416">
        <v>40</v>
      </c>
      <c r="P416" s="1">
        <v>0</v>
      </c>
    </row>
    <row r="417" spans="1:16" x14ac:dyDescent="0.3">
      <c r="A417" t="s">
        <v>156</v>
      </c>
      <c r="B417" t="s">
        <v>160</v>
      </c>
      <c r="C417" t="s">
        <v>17</v>
      </c>
      <c r="D417">
        <v>186</v>
      </c>
      <c r="E417">
        <v>161</v>
      </c>
      <c r="F417">
        <v>0</v>
      </c>
      <c r="G417">
        <v>21</v>
      </c>
      <c r="H417">
        <v>112</v>
      </c>
      <c r="I417">
        <v>22</v>
      </c>
      <c r="J417">
        <v>0</v>
      </c>
      <c r="K417">
        <v>0</v>
      </c>
      <c r="L417">
        <v>6</v>
      </c>
      <c r="M417">
        <v>0</v>
      </c>
      <c r="N417">
        <v>25</v>
      </c>
      <c r="O417">
        <v>25</v>
      </c>
      <c r="P417">
        <v>0</v>
      </c>
    </row>
    <row r="418" spans="1:16" x14ac:dyDescent="0.3">
      <c r="A418" t="s">
        <v>156</v>
      </c>
      <c r="B418" t="s">
        <v>160</v>
      </c>
      <c r="C418" t="s">
        <v>18</v>
      </c>
      <c r="D418">
        <v>80</v>
      </c>
      <c r="E418">
        <v>65</v>
      </c>
      <c r="F418">
        <v>0</v>
      </c>
      <c r="G418">
        <v>20</v>
      </c>
      <c r="H418">
        <v>34</v>
      </c>
      <c r="I418">
        <v>7</v>
      </c>
      <c r="J418">
        <v>0</v>
      </c>
      <c r="K418">
        <v>0</v>
      </c>
      <c r="L418">
        <v>4</v>
      </c>
      <c r="M418">
        <v>0</v>
      </c>
      <c r="N418">
        <v>15</v>
      </c>
      <c r="O418">
        <v>15</v>
      </c>
      <c r="P418" s="1">
        <v>0</v>
      </c>
    </row>
    <row r="419" spans="1:16" x14ac:dyDescent="0.3">
      <c r="A419" t="s">
        <v>156</v>
      </c>
      <c r="B419" t="s">
        <v>161</v>
      </c>
      <c r="C419" t="s">
        <v>4</v>
      </c>
      <c r="D419">
        <v>260</v>
      </c>
      <c r="E419">
        <v>232</v>
      </c>
      <c r="F419">
        <v>12</v>
      </c>
      <c r="G419">
        <v>50</v>
      </c>
      <c r="H419">
        <v>122</v>
      </c>
      <c r="I419">
        <v>32</v>
      </c>
      <c r="J419">
        <v>0</v>
      </c>
      <c r="K419">
        <v>0</v>
      </c>
      <c r="L419">
        <v>16</v>
      </c>
      <c r="M419">
        <v>0</v>
      </c>
      <c r="N419">
        <v>28</v>
      </c>
      <c r="O419">
        <v>28</v>
      </c>
      <c r="P419">
        <v>0</v>
      </c>
    </row>
    <row r="420" spans="1:16" x14ac:dyDescent="0.3">
      <c r="A420" t="s">
        <v>156</v>
      </c>
      <c r="B420" t="s">
        <v>161</v>
      </c>
      <c r="C420" t="s">
        <v>17</v>
      </c>
      <c r="D420">
        <v>144</v>
      </c>
      <c r="E420">
        <v>129</v>
      </c>
      <c r="F420">
        <v>7</v>
      </c>
      <c r="G420">
        <v>29</v>
      </c>
      <c r="H420">
        <v>73</v>
      </c>
      <c r="I420">
        <v>16</v>
      </c>
      <c r="J420">
        <v>0</v>
      </c>
      <c r="K420">
        <v>0</v>
      </c>
      <c r="L420">
        <v>4</v>
      </c>
      <c r="M420">
        <v>0</v>
      </c>
      <c r="N420">
        <v>15</v>
      </c>
      <c r="O420">
        <v>15</v>
      </c>
      <c r="P420" s="1">
        <v>0</v>
      </c>
    </row>
    <row r="421" spans="1:16" x14ac:dyDescent="0.3">
      <c r="A421" t="s">
        <v>156</v>
      </c>
      <c r="B421" t="s">
        <v>161</v>
      </c>
      <c r="C421" t="s">
        <v>18</v>
      </c>
      <c r="D421">
        <v>116</v>
      </c>
      <c r="E421">
        <v>103</v>
      </c>
      <c r="F421">
        <v>5</v>
      </c>
      <c r="G421">
        <v>21</v>
      </c>
      <c r="H421">
        <v>49</v>
      </c>
      <c r="I421">
        <v>16</v>
      </c>
      <c r="J421">
        <v>0</v>
      </c>
      <c r="K421">
        <v>0</v>
      </c>
      <c r="L421">
        <v>12</v>
      </c>
      <c r="M421">
        <v>0</v>
      </c>
      <c r="N421">
        <v>13</v>
      </c>
      <c r="O421">
        <v>13</v>
      </c>
      <c r="P421">
        <v>0</v>
      </c>
    </row>
    <row r="422" spans="1:16" x14ac:dyDescent="0.3">
      <c r="A422" t="s">
        <v>156</v>
      </c>
      <c r="B422" t="s">
        <v>162</v>
      </c>
      <c r="C422" t="s">
        <v>4</v>
      </c>
      <c r="D422">
        <v>227</v>
      </c>
      <c r="E422">
        <v>177</v>
      </c>
      <c r="F422">
        <v>9</v>
      </c>
      <c r="G422">
        <v>28</v>
      </c>
      <c r="H422">
        <v>47</v>
      </c>
      <c r="I422">
        <v>55</v>
      </c>
      <c r="J422">
        <v>0</v>
      </c>
      <c r="K422">
        <v>2</v>
      </c>
      <c r="L422">
        <v>35</v>
      </c>
      <c r="M422">
        <v>1</v>
      </c>
      <c r="N422">
        <v>50</v>
      </c>
      <c r="O422">
        <v>50</v>
      </c>
      <c r="P422" s="1">
        <v>0</v>
      </c>
    </row>
    <row r="423" spans="1:16" x14ac:dyDescent="0.3">
      <c r="A423" t="s">
        <v>156</v>
      </c>
      <c r="B423" t="s">
        <v>162</v>
      </c>
      <c r="C423" t="s">
        <v>17</v>
      </c>
      <c r="D423">
        <v>85</v>
      </c>
      <c r="E423">
        <v>70</v>
      </c>
      <c r="F423">
        <v>2</v>
      </c>
      <c r="G423">
        <v>9</v>
      </c>
      <c r="H423">
        <v>21</v>
      </c>
      <c r="I423">
        <v>33</v>
      </c>
      <c r="J423">
        <v>0</v>
      </c>
      <c r="K423">
        <v>0</v>
      </c>
      <c r="L423">
        <v>4</v>
      </c>
      <c r="M423">
        <v>1</v>
      </c>
      <c r="N423">
        <v>15</v>
      </c>
      <c r="O423">
        <v>15</v>
      </c>
      <c r="P423">
        <v>0</v>
      </c>
    </row>
    <row r="424" spans="1:16" x14ac:dyDescent="0.3">
      <c r="A424" t="s">
        <v>156</v>
      </c>
      <c r="B424" t="s">
        <v>162</v>
      </c>
      <c r="C424" t="s">
        <v>18</v>
      </c>
      <c r="D424">
        <v>142</v>
      </c>
      <c r="E424">
        <v>107</v>
      </c>
      <c r="F424">
        <v>7</v>
      </c>
      <c r="G424">
        <v>19</v>
      </c>
      <c r="H424">
        <v>26</v>
      </c>
      <c r="I424">
        <v>22</v>
      </c>
      <c r="J424">
        <v>0</v>
      </c>
      <c r="K424">
        <v>2</v>
      </c>
      <c r="L424">
        <v>31</v>
      </c>
      <c r="M424">
        <v>0</v>
      </c>
      <c r="N424">
        <v>35</v>
      </c>
      <c r="O424">
        <v>35</v>
      </c>
      <c r="P424" s="1">
        <v>0</v>
      </c>
    </row>
    <row r="425" spans="1:16" x14ac:dyDescent="0.3">
      <c r="A425" t="s">
        <v>156</v>
      </c>
      <c r="B425" t="s">
        <v>163</v>
      </c>
      <c r="C425" t="s">
        <v>4</v>
      </c>
      <c r="D425">
        <v>212</v>
      </c>
      <c r="E425">
        <v>186</v>
      </c>
      <c r="F425">
        <v>1</v>
      </c>
      <c r="G425">
        <v>34</v>
      </c>
      <c r="H425">
        <v>91</v>
      </c>
      <c r="I425">
        <v>42</v>
      </c>
      <c r="J425">
        <v>0</v>
      </c>
      <c r="K425">
        <v>1</v>
      </c>
      <c r="L425">
        <v>16</v>
      </c>
      <c r="M425">
        <v>1</v>
      </c>
      <c r="N425">
        <v>26</v>
      </c>
      <c r="O425">
        <v>26</v>
      </c>
      <c r="P425">
        <v>0</v>
      </c>
    </row>
    <row r="426" spans="1:16" x14ac:dyDescent="0.3">
      <c r="A426" t="s">
        <v>156</v>
      </c>
      <c r="B426" t="s">
        <v>163</v>
      </c>
      <c r="C426" t="s">
        <v>17</v>
      </c>
      <c r="D426">
        <v>136</v>
      </c>
      <c r="E426">
        <v>123</v>
      </c>
      <c r="F426">
        <v>1</v>
      </c>
      <c r="G426">
        <v>17</v>
      </c>
      <c r="H426">
        <v>63</v>
      </c>
      <c r="I426">
        <v>30</v>
      </c>
      <c r="J426">
        <v>0</v>
      </c>
      <c r="K426">
        <v>1</v>
      </c>
      <c r="L426">
        <v>11</v>
      </c>
      <c r="M426">
        <v>0</v>
      </c>
      <c r="N426">
        <v>13</v>
      </c>
      <c r="O426">
        <v>13</v>
      </c>
      <c r="P426" s="1">
        <v>0</v>
      </c>
    </row>
    <row r="427" spans="1:16" x14ac:dyDescent="0.3">
      <c r="A427" t="s">
        <v>156</v>
      </c>
      <c r="B427" t="s">
        <v>163</v>
      </c>
      <c r="C427" t="s">
        <v>18</v>
      </c>
      <c r="D427">
        <v>76</v>
      </c>
      <c r="E427">
        <v>63</v>
      </c>
      <c r="F427">
        <v>0</v>
      </c>
      <c r="G427">
        <v>17</v>
      </c>
      <c r="H427">
        <v>28</v>
      </c>
      <c r="I427">
        <v>12</v>
      </c>
      <c r="J427">
        <v>0</v>
      </c>
      <c r="K427">
        <v>0</v>
      </c>
      <c r="L427">
        <v>5</v>
      </c>
      <c r="M427">
        <v>1</v>
      </c>
      <c r="N427">
        <v>13</v>
      </c>
      <c r="O427">
        <v>13</v>
      </c>
      <c r="P427">
        <v>0</v>
      </c>
    </row>
    <row r="428" spans="1:16" x14ac:dyDescent="0.3">
      <c r="A428" t="s">
        <v>156</v>
      </c>
      <c r="B428" t="s">
        <v>164</v>
      </c>
      <c r="C428" t="s">
        <v>4</v>
      </c>
      <c r="D428">
        <v>212</v>
      </c>
      <c r="E428">
        <v>202</v>
      </c>
      <c r="F428">
        <v>0</v>
      </c>
      <c r="G428">
        <v>35</v>
      </c>
      <c r="H428">
        <v>158</v>
      </c>
      <c r="I428">
        <v>9</v>
      </c>
      <c r="J428">
        <v>0</v>
      </c>
      <c r="K428">
        <v>0</v>
      </c>
      <c r="L428">
        <v>0</v>
      </c>
      <c r="M428">
        <v>0</v>
      </c>
      <c r="N428">
        <v>10</v>
      </c>
      <c r="O428">
        <v>10</v>
      </c>
      <c r="P428" s="1">
        <v>0</v>
      </c>
    </row>
    <row r="429" spans="1:16" x14ac:dyDescent="0.3">
      <c r="A429" t="s">
        <v>156</v>
      </c>
      <c r="B429" t="s">
        <v>164</v>
      </c>
      <c r="C429" t="s">
        <v>17</v>
      </c>
      <c r="D429">
        <v>167</v>
      </c>
      <c r="E429">
        <v>162</v>
      </c>
      <c r="F429">
        <v>0</v>
      </c>
      <c r="G429">
        <v>21</v>
      </c>
      <c r="H429">
        <v>134</v>
      </c>
      <c r="I429">
        <v>7</v>
      </c>
      <c r="J429">
        <v>0</v>
      </c>
      <c r="K429">
        <v>0</v>
      </c>
      <c r="L429">
        <v>0</v>
      </c>
      <c r="M429">
        <v>0</v>
      </c>
      <c r="N429">
        <v>5</v>
      </c>
      <c r="O429">
        <v>5</v>
      </c>
      <c r="P429">
        <v>0</v>
      </c>
    </row>
    <row r="430" spans="1:16" x14ac:dyDescent="0.3">
      <c r="A430" t="s">
        <v>156</v>
      </c>
      <c r="B430" t="s">
        <v>164</v>
      </c>
      <c r="C430" t="s">
        <v>18</v>
      </c>
      <c r="D430">
        <v>45</v>
      </c>
      <c r="E430">
        <v>40</v>
      </c>
      <c r="F430">
        <v>0</v>
      </c>
      <c r="G430">
        <v>14</v>
      </c>
      <c r="H430">
        <v>24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5</v>
      </c>
      <c r="O430">
        <v>5</v>
      </c>
      <c r="P430" s="1">
        <v>0</v>
      </c>
    </row>
    <row r="431" spans="1:16" x14ac:dyDescent="0.3">
      <c r="A431" t="s">
        <v>156</v>
      </c>
      <c r="B431" t="s">
        <v>165</v>
      </c>
      <c r="C431" t="s">
        <v>4</v>
      </c>
      <c r="D431">
        <v>208</v>
      </c>
      <c r="E431">
        <v>156</v>
      </c>
      <c r="F431">
        <v>2</v>
      </c>
      <c r="G431">
        <v>58</v>
      </c>
      <c r="H431">
        <v>27</v>
      </c>
      <c r="I431">
        <v>13</v>
      </c>
      <c r="J431">
        <v>0</v>
      </c>
      <c r="K431">
        <v>24</v>
      </c>
      <c r="L431">
        <v>17</v>
      </c>
      <c r="M431">
        <v>15</v>
      </c>
      <c r="N431">
        <v>52</v>
      </c>
      <c r="O431">
        <v>52</v>
      </c>
      <c r="P431">
        <v>0</v>
      </c>
    </row>
    <row r="432" spans="1:16" x14ac:dyDescent="0.3">
      <c r="A432" t="s">
        <v>156</v>
      </c>
      <c r="B432" t="s">
        <v>165</v>
      </c>
      <c r="C432" t="s">
        <v>17</v>
      </c>
      <c r="D432">
        <v>47</v>
      </c>
      <c r="E432">
        <v>39</v>
      </c>
      <c r="F432">
        <v>1</v>
      </c>
      <c r="G432">
        <v>15</v>
      </c>
      <c r="H432">
        <v>4</v>
      </c>
      <c r="I432">
        <v>1</v>
      </c>
      <c r="J432">
        <v>0</v>
      </c>
      <c r="K432">
        <v>11</v>
      </c>
      <c r="L432">
        <v>2</v>
      </c>
      <c r="M432">
        <v>5</v>
      </c>
      <c r="N432">
        <v>8</v>
      </c>
      <c r="O432">
        <v>8</v>
      </c>
      <c r="P432" s="1">
        <v>0</v>
      </c>
    </row>
    <row r="433" spans="1:16" x14ac:dyDescent="0.3">
      <c r="A433" t="s">
        <v>156</v>
      </c>
      <c r="B433" t="s">
        <v>165</v>
      </c>
      <c r="C433" t="s">
        <v>18</v>
      </c>
      <c r="D433">
        <v>161</v>
      </c>
      <c r="E433">
        <v>117</v>
      </c>
      <c r="F433">
        <v>1</v>
      </c>
      <c r="G433">
        <v>43</v>
      </c>
      <c r="H433">
        <v>23</v>
      </c>
      <c r="I433">
        <v>12</v>
      </c>
      <c r="J433">
        <v>0</v>
      </c>
      <c r="K433">
        <v>13</v>
      </c>
      <c r="L433">
        <v>15</v>
      </c>
      <c r="M433">
        <v>10</v>
      </c>
      <c r="N433">
        <v>44</v>
      </c>
      <c r="O433">
        <v>44</v>
      </c>
      <c r="P433">
        <v>0</v>
      </c>
    </row>
    <row r="434" spans="1:16" x14ac:dyDescent="0.3">
      <c r="A434" t="s">
        <v>156</v>
      </c>
      <c r="B434" t="s">
        <v>166</v>
      </c>
      <c r="C434" t="s">
        <v>4</v>
      </c>
      <c r="D434">
        <v>175</v>
      </c>
      <c r="E434">
        <v>153</v>
      </c>
      <c r="F434">
        <v>2</v>
      </c>
      <c r="G434">
        <v>28</v>
      </c>
      <c r="H434">
        <v>63</v>
      </c>
      <c r="I434">
        <v>39</v>
      </c>
      <c r="J434">
        <v>0</v>
      </c>
      <c r="K434">
        <v>0</v>
      </c>
      <c r="L434">
        <v>21</v>
      </c>
      <c r="M434">
        <v>0</v>
      </c>
      <c r="N434">
        <v>22</v>
      </c>
      <c r="O434">
        <v>22</v>
      </c>
      <c r="P434" s="1">
        <v>0</v>
      </c>
    </row>
    <row r="435" spans="1:16" x14ac:dyDescent="0.3">
      <c r="A435" t="s">
        <v>156</v>
      </c>
      <c r="B435" t="s">
        <v>166</v>
      </c>
      <c r="C435" t="s">
        <v>17</v>
      </c>
      <c r="D435">
        <v>108</v>
      </c>
      <c r="E435">
        <v>92</v>
      </c>
      <c r="F435">
        <v>2</v>
      </c>
      <c r="G435">
        <v>14</v>
      </c>
      <c r="H435">
        <v>39</v>
      </c>
      <c r="I435">
        <v>24</v>
      </c>
      <c r="J435">
        <v>0</v>
      </c>
      <c r="K435">
        <v>0</v>
      </c>
      <c r="L435">
        <v>13</v>
      </c>
      <c r="M435">
        <v>0</v>
      </c>
      <c r="N435">
        <v>16</v>
      </c>
      <c r="O435">
        <v>16</v>
      </c>
      <c r="P435">
        <v>0</v>
      </c>
    </row>
    <row r="436" spans="1:16" x14ac:dyDescent="0.3">
      <c r="A436" t="s">
        <v>156</v>
      </c>
      <c r="B436" t="s">
        <v>166</v>
      </c>
      <c r="C436" t="s">
        <v>18</v>
      </c>
      <c r="D436">
        <v>67</v>
      </c>
      <c r="E436">
        <v>61</v>
      </c>
      <c r="F436">
        <v>0</v>
      </c>
      <c r="G436">
        <v>14</v>
      </c>
      <c r="H436">
        <v>24</v>
      </c>
      <c r="I436">
        <v>15</v>
      </c>
      <c r="J436">
        <v>0</v>
      </c>
      <c r="K436">
        <v>0</v>
      </c>
      <c r="L436">
        <v>8</v>
      </c>
      <c r="M436">
        <v>0</v>
      </c>
      <c r="N436">
        <v>6</v>
      </c>
      <c r="O436">
        <v>6</v>
      </c>
      <c r="P436" s="1">
        <v>0</v>
      </c>
    </row>
    <row r="437" spans="1:16" x14ac:dyDescent="0.3">
      <c r="A437" t="s">
        <v>156</v>
      </c>
      <c r="B437" t="s">
        <v>167</v>
      </c>
      <c r="C437" t="s">
        <v>4</v>
      </c>
      <c r="D437">
        <v>172</v>
      </c>
      <c r="E437">
        <v>141</v>
      </c>
      <c r="F437">
        <v>0</v>
      </c>
      <c r="G437">
        <v>9</v>
      </c>
      <c r="H437">
        <v>40</v>
      </c>
      <c r="I437">
        <v>84</v>
      </c>
      <c r="J437">
        <v>0</v>
      </c>
      <c r="K437">
        <v>1</v>
      </c>
      <c r="L437">
        <v>7</v>
      </c>
      <c r="M437">
        <v>0</v>
      </c>
      <c r="N437">
        <v>31</v>
      </c>
      <c r="O437">
        <v>31</v>
      </c>
      <c r="P437">
        <v>0</v>
      </c>
    </row>
    <row r="438" spans="1:16" x14ac:dyDescent="0.3">
      <c r="A438" t="s">
        <v>156</v>
      </c>
      <c r="B438" t="s">
        <v>167</v>
      </c>
      <c r="C438" t="s">
        <v>17</v>
      </c>
      <c r="D438">
        <v>117</v>
      </c>
      <c r="E438">
        <v>99</v>
      </c>
      <c r="F438">
        <v>0</v>
      </c>
      <c r="G438">
        <v>7</v>
      </c>
      <c r="H438">
        <v>24</v>
      </c>
      <c r="I438">
        <v>63</v>
      </c>
      <c r="J438">
        <v>0</v>
      </c>
      <c r="K438">
        <v>0</v>
      </c>
      <c r="L438">
        <v>5</v>
      </c>
      <c r="M438">
        <v>0</v>
      </c>
      <c r="N438">
        <v>18</v>
      </c>
      <c r="O438">
        <v>18</v>
      </c>
      <c r="P438" s="1">
        <v>0</v>
      </c>
    </row>
    <row r="439" spans="1:16" x14ac:dyDescent="0.3">
      <c r="A439" t="s">
        <v>156</v>
      </c>
      <c r="B439" t="s">
        <v>167</v>
      </c>
      <c r="C439" t="s">
        <v>18</v>
      </c>
      <c r="D439">
        <v>55</v>
      </c>
      <c r="E439">
        <v>42</v>
      </c>
      <c r="F439">
        <v>0</v>
      </c>
      <c r="G439">
        <v>2</v>
      </c>
      <c r="H439">
        <v>16</v>
      </c>
      <c r="I439">
        <v>21</v>
      </c>
      <c r="J439">
        <v>0</v>
      </c>
      <c r="K439">
        <v>1</v>
      </c>
      <c r="L439">
        <v>2</v>
      </c>
      <c r="M439">
        <v>0</v>
      </c>
      <c r="N439">
        <v>13</v>
      </c>
      <c r="O439">
        <v>13</v>
      </c>
      <c r="P439">
        <v>0</v>
      </c>
    </row>
    <row r="440" spans="1:16" x14ac:dyDescent="0.3">
      <c r="A440" t="s">
        <v>156</v>
      </c>
      <c r="B440" t="s">
        <v>168</v>
      </c>
      <c r="C440" t="s">
        <v>4</v>
      </c>
      <c r="D440">
        <v>108</v>
      </c>
      <c r="E440">
        <v>65</v>
      </c>
      <c r="F440">
        <v>5</v>
      </c>
      <c r="G440">
        <v>25</v>
      </c>
      <c r="H440">
        <v>19</v>
      </c>
      <c r="I440">
        <v>15</v>
      </c>
      <c r="J440">
        <v>0</v>
      </c>
      <c r="K440">
        <v>0</v>
      </c>
      <c r="L440">
        <v>1</v>
      </c>
      <c r="M440">
        <v>0</v>
      </c>
      <c r="N440">
        <v>43</v>
      </c>
      <c r="O440">
        <v>43</v>
      </c>
      <c r="P440" s="1">
        <v>0</v>
      </c>
    </row>
    <row r="441" spans="1:16" x14ac:dyDescent="0.3">
      <c r="A441" t="s">
        <v>156</v>
      </c>
      <c r="B441" t="s">
        <v>168</v>
      </c>
      <c r="C441" t="s">
        <v>17</v>
      </c>
      <c r="D441">
        <v>71</v>
      </c>
      <c r="E441">
        <v>40</v>
      </c>
      <c r="F441">
        <v>3</v>
      </c>
      <c r="G441">
        <v>11</v>
      </c>
      <c r="H441">
        <v>13</v>
      </c>
      <c r="I441">
        <v>12</v>
      </c>
      <c r="J441">
        <v>0</v>
      </c>
      <c r="K441">
        <v>0</v>
      </c>
      <c r="L441">
        <v>1</v>
      </c>
      <c r="M441">
        <v>0</v>
      </c>
      <c r="N441">
        <v>31</v>
      </c>
      <c r="O441">
        <v>31</v>
      </c>
      <c r="P441">
        <v>0</v>
      </c>
    </row>
    <row r="442" spans="1:16" x14ac:dyDescent="0.3">
      <c r="A442" t="s">
        <v>156</v>
      </c>
      <c r="B442" t="s">
        <v>168</v>
      </c>
      <c r="C442" t="s">
        <v>18</v>
      </c>
      <c r="D442">
        <v>37</v>
      </c>
      <c r="E442">
        <v>25</v>
      </c>
      <c r="F442">
        <v>2</v>
      </c>
      <c r="G442">
        <v>14</v>
      </c>
      <c r="H442">
        <v>6</v>
      </c>
      <c r="I442">
        <v>3</v>
      </c>
      <c r="J442">
        <v>0</v>
      </c>
      <c r="K442">
        <v>0</v>
      </c>
      <c r="L442">
        <v>0</v>
      </c>
      <c r="M442">
        <v>0</v>
      </c>
      <c r="N442">
        <v>12</v>
      </c>
      <c r="O442">
        <v>12</v>
      </c>
      <c r="P442" s="1">
        <v>0</v>
      </c>
    </row>
    <row r="443" spans="1:16" x14ac:dyDescent="0.3">
      <c r="A443" t="s">
        <v>156</v>
      </c>
      <c r="B443" t="s">
        <v>169</v>
      </c>
      <c r="C443" t="s">
        <v>4</v>
      </c>
      <c r="D443">
        <v>81</v>
      </c>
      <c r="E443">
        <v>46</v>
      </c>
      <c r="F443">
        <v>1</v>
      </c>
      <c r="G443">
        <v>9</v>
      </c>
      <c r="H443">
        <v>16</v>
      </c>
      <c r="I443">
        <v>9</v>
      </c>
      <c r="J443">
        <v>0</v>
      </c>
      <c r="K443">
        <v>2</v>
      </c>
      <c r="L443">
        <v>9</v>
      </c>
      <c r="M443">
        <v>0</v>
      </c>
      <c r="N443">
        <v>35</v>
      </c>
      <c r="O443">
        <v>35</v>
      </c>
      <c r="P443">
        <v>0</v>
      </c>
    </row>
    <row r="444" spans="1:16" x14ac:dyDescent="0.3">
      <c r="A444" t="s">
        <v>156</v>
      </c>
      <c r="B444" t="s">
        <v>169</v>
      </c>
      <c r="C444" t="s">
        <v>17</v>
      </c>
      <c r="D444">
        <v>15</v>
      </c>
      <c r="E444">
        <v>9</v>
      </c>
      <c r="F444">
        <v>0</v>
      </c>
      <c r="G444">
        <v>3</v>
      </c>
      <c r="H444">
        <v>5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6</v>
      </c>
      <c r="O444">
        <v>6</v>
      </c>
      <c r="P444" s="1">
        <v>0</v>
      </c>
    </row>
    <row r="445" spans="1:16" x14ac:dyDescent="0.3">
      <c r="A445" t="s">
        <v>156</v>
      </c>
      <c r="B445" t="s">
        <v>169</v>
      </c>
      <c r="C445" t="s">
        <v>18</v>
      </c>
      <c r="D445">
        <v>66</v>
      </c>
      <c r="E445">
        <v>37</v>
      </c>
      <c r="F445">
        <v>1</v>
      </c>
      <c r="G445">
        <v>6</v>
      </c>
      <c r="H445">
        <v>11</v>
      </c>
      <c r="I445">
        <v>9</v>
      </c>
      <c r="J445">
        <v>0</v>
      </c>
      <c r="K445">
        <v>2</v>
      </c>
      <c r="L445">
        <v>8</v>
      </c>
      <c r="M445">
        <v>0</v>
      </c>
      <c r="N445">
        <v>29</v>
      </c>
      <c r="O445">
        <v>29</v>
      </c>
      <c r="P445">
        <v>0</v>
      </c>
    </row>
    <row r="446" spans="1:16" x14ac:dyDescent="0.3">
      <c r="A446" t="s">
        <v>156</v>
      </c>
      <c r="B446" t="s">
        <v>170</v>
      </c>
      <c r="C446" t="s">
        <v>4</v>
      </c>
      <c r="D446">
        <v>61</v>
      </c>
      <c r="E446">
        <v>46</v>
      </c>
      <c r="F446">
        <v>0</v>
      </c>
      <c r="G446">
        <v>17</v>
      </c>
      <c r="H446">
        <v>10</v>
      </c>
      <c r="I446">
        <v>5</v>
      </c>
      <c r="J446">
        <v>0</v>
      </c>
      <c r="K446">
        <v>3</v>
      </c>
      <c r="L446">
        <v>11</v>
      </c>
      <c r="M446">
        <v>0</v>
      </c>
      <c r="N446">
        <v>15</v>
      </c>
      <c r="O446">
        <v>15</v>
      </c>
      <c r="P446" s="1">
        <v>0</v>
      </c>
    </row>
    <row r="447" spans="1:16" x14ac:dyDescent="0.3">
      <c r="A447" t="s">
        <v>156</v>
      </c>
      <c r="B447" t="s">
        <v>170</v>
      </c>
      <c r="C447" t="s">
        <v>17</v>
      </c>
      <c r="D447">
        <v>15</v>
      </c>
      <c r="E447">
        <v>15</v>
      </c>
      <c r="F447">
        <v>0</v>
      </c>
      <c r="G447">
        <v>7</v>
      </c>
      <c r="H447">
        <v>4</v>
      </c>
      <c r="I447">
        <v>1</v>
      </c>
      <c r="J447">
        <v>0</v>
      </c>
      <c r="K447">
        <v>1</v>
      </c>
      <c r="L447">
        <v>2</v>
      </c>
      <c r="M447">
        <v>0</v>
      </c>
      <c r="N447">
        <v>0</v>
      </c>
      <c r="O447">
        <v>0</v>
      </c>
      <c r="P447">
        <v>0</v>
      </c>
    </row>
    <row r="448" spans="1:16" x14ac:dyDescent="0.3">
      <c r="A448" t="s">
        <v>156</v>
      </c>
      <c r="B448" t="s">
        <v>170</v>
      </c>
      <c r="C448" t="s">
        <v>18</v>
      </c>
      <c r="D448">
        <v>46</v>
      </c>
      <c r="E448">
        <v>31</v>
      </c>
      <c r="F448">
        <v>0</v>
      </c>
      <c r="G448">
        <v>10</v>
      </c>
      <c r="H448">
        <v>6</v>
      </c>
      <c r="I448">
        <v>4</v>
      </c>
      <c r="J448">
        <v>0</v>
      </c>
      <c r="K448">
        <v>2</v>
      </c>
      <c r="L448">
        <v>9</v>
      </c>
      <c r="M448">
        <v>0</v>
      </c>
      <c r="N448">
        <v>15</v>
      </c>
      <c r="O448">
        <v>15</v>
      </c>
      <c r="P448" s="1">
        <v>0</v>
      </c>
    </row>
    <row r="449" spans="1:16" x14ac:dyDescent="0.3">
      <c r="A449" t="s">
        <v>156</v>
      </c>
      <c r="B449" t="s">
        <v>171</v>
      </c>
      <c r="C449" t="s">
        <v>4</v>
      </c>
      <c r="D449">
        <v>55</v>
      </c>
      <c r="E449">
        <v>30</v>
      </c>
      <c r="F449">
        <v>1</v>
      </c>
      <c r="G449">
        <v>16</v>
      </c>
      <c r="H449">
        <v>3</v>
      </c>
      <c r="I449">
        <v>6</v>
      </c>
      <c r="J449">
        <v>0</v>
      </c>
      <c r="K449">
        <v>0</v>
      </c>
      <c r="L449">
        <v>4</v>
      </c>
      <c r="M449">
        <v>0</v>
      </c>
      <c r="N449">
        <v>25</v>
      </c>
      <c r="O449">
        <v>25</v>
      </c>
      <c r="P449">
        <v>0</v>
      </c>
    </row>
    <row r="450" spans="1:16" x14ac:dyDescent="0.3">
      <c r="A450" t="s">
        <v>156</v>
      </c>
      <c r="B450" t="s">
        <v>171</v>
      </c>
      <c r="C450" t="s">
        <v>17</v>
      </c>
      <c r="D450">
        <v>23</v>
      </c>
      <c r="E450">
        <v>13</v>
      </c>
      <c r="F450">
        <v>0</v>
      </c>
      <c r="G450">
        <v>6</v>
      </c>
      <c r="H450">
        <v>2</v>
      </c>
      <c r="I450">
        <v>3</v>
      </c>
      <c r="J450">
        <v>0</v>
      </c>
      <c r="K450">
        <v>0</v>
      </c>
      <c r="L450">
        <v>2</v>
      </c>
      <c r="M450">
        <v>0</v>
      </c>
      <c r="N450">
        <v>10</v>
      </c>
      <c r="O450">
        <v>10</v>
      </c>
      <c r="P450" s="1">
        <v>0</v>
      </c>
    </row>
    <row r="451" spans="1:16" x14ac:dyDescent="0.3">
      <c r="A451" t="s">
        <v>156</v>
      </c>
      <c r="B451" t="s">
        <v>171</v>
      </c>
      <c r="C451" t="s">
        <v>18</v>
      </c>
      <c r="D451">
        <v>32</v>
      </c>
      <c r="E451">
        <v>17</v>
      </c>
      <c r="F451">
        <v>1</v>
      </c>
      <c r="G451">
        <v>10</v>
      </c>
      <c r="H451">
        <v>1</v>
      </c>
      <c r="I451">
        <v>3</v>
      </c>
      <c r="J451">
        <v>0</v>
      </c>
      <c r="K451">
        <v>0</v>
      </c>
      <c r="L451">
        <v>2</v>
      </c>
      <c r="M451">
        <v>0</v>
      </c>
      <c r="N451">
        <v>15</v>
      </c>
      <c r="O451">
        <v>15</v>
      </c>
      <c r="P451">
        <v>0</v>
      </c>
    </row>
    <row r="452" spans="1:16" x14ac:dyDescent="0.3">
      <c r="A452" t="s">
        <v>156</v>
      </c>
      <c r="B452" t="s">
        <v>172</v>
      </c>
      <c r="C452" t="s">
        <v>4</v>
      </c>
      <c r="D452">
        <v>46</v>
      </c>
      <c r="E452">
        <v>44</v>
      </c>
      <c r="F452">
        <v>0</v>
      </c>
      <c r="G452">
        <v>1</v>
      </c>
      <c r="H452">
        <v>34</v>
      </c>
      <c r="I452">
        <v>5</v>
      </c>
      <c r="J452">
        <v>0</v>
      </c>
      <c r="K452">
        <v>0</v>
      </c>
      <c r="L452">
        <v>4</v>
      </c>
      <c r="M452">
        <v>0</v>
      </c>
      <c r="N452">
        <v>2</v>
      </c>
      <c r="O452">
        <v>2</v>
      </c>
      <c r="P452" s="1">
        <v>0</v>
      </c>
    </row>
    <row r="453" spans="1:16" x14ac:dyDescent="0.3">
      <c r="A453" t="s">
        <v>156</v>
      </c>
      <c r="B453" t="s">
        <v>172</v>
      </c>
      <c r="C453" t="s">
        <v>17</v>
      </c>
      <c r="D453">
        <v>26</v>
      </c>
      <c r="E453">
        <v>25</v>
      </c>
      <c r="F453">
        <v>0</v>
      </c>
      <c r="G453">
        <v>1</v>
      </c>
      <c r="H453">
        <v>22</v>
      </c>
      <c r="I453">
        <v>1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1</v>
      </c>
      <c r="P453">
        <v>0</v>
      </c>
    </row>
    <row r="454" spans="1:16" x14ac:dyDescent="0.3">
      <c r="A454" t="s">
        <v>156</v>
      </c>
      <c r="B454" t="s">
        <v>172</v>
      </c>
      <c r="C454" t="s">
        <v>18</v>
      </c>
      <c r="D454">
        <v>20</v>
      </c>
      <c r="E454">
        <v>19</v>
      </c>
      <c r="F454">
        <v>0</v>
      </c>
      <c r="G454">
        <v>0</v>
      </c>
      <c r="H454">
        <v>12</v>
      </c>
      <c r="I454">
        <v>4</v>
      </c>
      <c r="J454">
        <v>0</v>
      </c>
      <c r="K454">
        <v>0</v>
      </c>
      <c r="L454">
        <v>3</v>
      </c>
      <c r="M454">
        <v>0</v>
      </c>
      <c r="N454">
        <v>1</v>
      </c>
      <c r="O454">
        <v>1</v>
      </c>
      <c r="P454" s="1">
        <v>0</v>
      </c>
    </row>
    <row r="455" spans="1:16" x14ac:dyDescent="0.3">
      <c r="A455" t="s">
        <v>156</v>
      </c>
      <c r="B455" t="s">
        <v>173</v>
      </c>
      <c r="C455" t="s">
        <v>4</v>
      </c>
      <c r="D455">
        <v>42</v>
      </c>
      <c r="E455">
        <v>35</v>
      </c>
      <c r="F455">
        <v>0</v>
      </c>
      <c r="G455">
        <v>7</v>
      </c>
      <c r="H455">
        <v>19</v>
      </c>
      <c r="I455">
        <v>8</v>
      </c>
      <c r="J455">
        <v>0</v>
      </c>
      <c r="K455">
        <v>0</v>
      </c>
      <c r="L455">
        <v>1</v>
      </c>
      <c r="M455">
        <v>0</v>
      </c>
      <c r="N455">
        <v>7</v>
      </c>
      <c r="O455">
        <v>7</v>
      </c>
      <c r="P455">
        <v>0</v>
      </c>
    </row>
    <row r="456" spans="1:16" x14ac:dyDescent="0.3">
      <c r="A456" t="s">
        <v>156</v>
      </c>
      <c r="B456" t="s">
        <v>173</v>
      </c>
      <c r="C456" t="s">
        <v>17</v>
      </c>
      <c r="D456">
        <v>25</v>
      </c>
      <c r="E456">
        <v>20</v>
      </c>
      <c r="F456">
        <v>0</v>
      </c>
      <c r="G456">
        <v>3</v>
      </c>
      <c r="H456">
        <v>10</v>
      </c>
      <c r="I456">
        <v>6</v>
      </c>
      <c r="J456">
        <v>0</v>
      </c>
      <c r="K456">
        <v>0</v>
      </c>
      <c r="L456">
        <v>1</v>
      </c>
      <c r="M456">
        <v>0</v>
      </c>
      <c r="N456">
        <v>5</v>
      </c>
      <c r="O456">
        <v>5</v>
      </c>
      <c r="P456" s="1">
        <v>0</v>
      </c>
    </row>
    <row r="457" spans="1:16" x14ac:dyDescent="0.3">
      <c r="A457" t="s">
        <v>156</v>
      </c>
      <c r="B457" t="s">
        <v>173</v>
      </c>
      <c r="C457" t="s">
        <v>18</v>
      </c>
      <c r="D457">
        <v>17</v>
      </c>
      <c r="E457">
        <v>15</v>
      </c>
      <c r="F457">
        <v>0</v>
      </c>
      <c r="G457">
        <v>4</v>
      </c>
      <c r="H457">
        <v>9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2</v>
      </c>
      <c r="O457">
        <v>2</v>
      </c>
      <c r="P457">
        <v>0</v>
      </c>
    </row>
    <row r="458" spans="1:16" x14ac:dyDescent="0.3">
      <c r="A458" t="s">
        <v>156</v>
      </c>
      <c r="B458" t="s">
        <v>174</v>
      </c>
      <c r="C458" t="s">
        <v>4</v>
      </c>
      <c r="D458">
        <v>39</v>
      </c>
      <c r="E458">
        <v>25</v>
      </c>
      <c r="F458">
        <v>1</v>
      </c>
      <c r="G458">
        <v>3</v>
      </c>
      <c r="H458">
        <v>8</v>
      </c>
      <c r="I458">
        <v>4</v>
      </c>
      <c r="J458">
        <v>0</v>
      </c>
      <c r="K458">
        <v>3</v>
      </c>
      <c r="L458">
        <v>6</v>
      </c>
      <c r="M458">
        <v>0</v>
      </c>
      <c r="N458">
        <v>14</v>
      </c>
      <c r="O458">
        <v>14</v>
      </c>
      <c r="P458" s="1">
        <v>0</v>
      </c>
    </row>
    <row r="459" spans="1:16" x14ac:dyDescent="0.3">
      <c r="A459" t="s">
        <v>156</v>
      </c>
      <c r="B459" t="s">
        <v>174</v>
      </c>
      <c r="C459" t="s">
        <v>17</v>
      </c>
      <c r="D459">
        <v>14</v>
      </c>
      <c r="E459">
        <v>8</v>
      </c>
      <c r="F459">
        <v>1</v>
      </c>
      <c r="G459">
        <v>1</v>
      </c>
      <c r="H459">
        <v>3</v>
      </c>
      <c r="I459">
        <v>0</v>
      </c>
      <c r="J459">
        <v>0</v>
      </c>
      <c r="K459">
        <v>2</v>
      </c>
      <c r="L459">
        <v>1</v>
      </c>
      <c r="M459">
        <v>0</v>
      </c>
      <c r="N459">
        <v>6</v>
      </c>
      <c r="O459">
        <v>6</v>
      </c>
      <c r="P459">
        <v>0</v>
      </c>
    </row>
    <row r="460" spans="1:16" x14ac:dyDescent="0.3">
      <c r="A460" t="s">
        <v>156</v>
      </c>
      <c r="B460" t="s">
        <v>174</v>
      </c>
      <c r="C460" t="s">
        <v>18</v>
      </c>
      <c r="D460">
        <v>25</v>
      </c>
      <c r="E460">
        <v>17</v>
      </c>
      <c r="F460">
        <v>0</v>
      </c>
      <c r="G460">
        <v>2</v>
      </c>
      <c r="H460">
        <v>5</v>
      </c>
      <c r="I460">
        <v>4</v>
      </c>
      <c r="J460">
        <v>0</v>
      </c>
      <c r="K460">
        <v>1</v>
      </c>
      <c r="L460">
        <v>5</v>
      </c>
      <c r="M460">
        <v>0</v>
      </c>
      <c r="N460">
        <v>8</v>
      </c>
      <c r="O460">
        <v>8</v>
      </c>
      <c r="P460" s="1">
        <v>0</v>
      </c>
    </row>
    <row r="461" spans="1:16" x14ac:dyDescent="0.3">
      <c r="A461" t="s">
        <v>156</v>
      </c>
      <c r="B461" t="s">
        <v>175</v>
      </c>
      <c r="C461" t="s">
        <v>4</v>
      </c>
      <c r="D461">
        <v>36</v>
      </c>
      <c r="E461">
        <v>25</v>
      </c>
      <c r="F461">
        <v>1</v>
      </c>
      <c r="G461">
        <v>4</v>
      </c>
      <c r="H461">
        <v>7</v>
      </c>
      <c r="I461">
        <v>2</v>
      </c>
      <c r="J461">
        <v>0</v>
      </c>
      <c r="K461">
        <v>5</v>
      </c>
      <c r="L461">
        <v>6</v>
      </c>
      <c r="M461">
        <v>0</v>
      </c>
      <c r="N461">
        <v>11</v>
      </c>
      <c r="O461">
        <v>11</v>
      </c>
      <c r="P461">
        <v>0</v>
      </c>
    </row>
    <row r="462" spans="1:16" x14ac:dyDescent="0.3">
      <c r="A462" t="s">
        <v>156</v>
      </c>
      <c r="B462" t="s">
        <v>175</v>
      </c>
      <c r="C462" t="s">
        <v>17</v>
      </c>
      <c r="D462">
        <v>26</v>
      </c>
      <c r="E462">
        <v>19</v>
      </c>
      <c r="F462">
        <v>0</v>
      </c>
      <c r="G462">
        <v>4</v>
      </c>
      <c r="H462">
        <v>4</v>
      </c>
      <c r="I462">
        <v>2</v>
      </c>
      <c r="J462">
        <v>0</v>
      </c>
      <c r="K462">
        <v>4</v>
      </c>
      <c r="L462">
        <v>5</v>
      </c>
      <c r="M462">
        <v>0</v>
      </c>
      <c r="N462">
        <v>7</v>
      </c>
      <c r="O462">
        <v>7</v>
      </c>
      <c r="P462" s="1">
        <v>0</v>
      </c>
    </row>
    <row r="463" spans="1:16" x14ac:dyDescent="0.3">
      <c r="A463" t="s">
        <v>156</v>
      </c>
      <c r="B463" t="s">
        <v>175</v>
      </c>
      <c r="C463" t="s">
        <v>18</v>
      </c>
      <c r="D463">
        <v>10</v>
      </c>
      <c r="E463">
        <v>6</v>
      </c>
      <c r="F463">
        <v>1</v>
      </c>
      <c r="G463">
        <v>0</v>
      </c>
      <c r="H463">
        <v>3</v>
      </c>
      <c r="I463">
        <v>0</v>
      </c>
      <c r="J463">
        <v>0</v>
      </c>
      <c r="K463">
        <v>1</v>
      </c>
      <c r="L463">
        <v>1</v>
      </c>
      <c r="M463">
        <v>0</v>
      </c>
      <c r="N463">
        <v>4</v>
      </c>
      <c r="O463">
        <v>4</v>
      </c>
      <c r="P463">
        <v>0</v>
      </c>
    </row>
    <row r="464" spans="1:16" x14ac:dyDescent="0.3">
      <c r="A464" t="s">
        <v>156</v>
      </c>
      <c r="B464" t="s">
        <v>176</v>
      </c>
      <c r="C464" t="s">
        <v>4</v>
      </c>
      <c r="D464">
        <v>36</v>
      </c>
      <c r="E464">
        <v>31</v>
      </c>
      <c r="F464">
        <v>2</v>
      </c>
      <c r="G464">
        <v>23</v>
      </c>
      <c r="H464">
        <v>2</v>
      </c>
      <c r="I464">
        <v>2</v>
      </c>
      <c r="J464">
        <v>0</v>
      </c>
      <c r="K464">
        <v>2</v>
      </c>
      <c r="L464">
        <v>0</v>
      </c>
      <c r="M464">
        <v>0</v>
      </c>
      <c r="N464">
        <v>5</v>
      </c>
      <c r="O464">
        <v>5</v>
      </c>
      <c r="P464" s="1">
        <v>0</v>
      </c>
    </row>
    <row r="465" spans="1:16" x14ac:dyDescent="0.3">
      <c r="A465" t="s">
        <v>156</v>
      </c>
      <c r="B465" t="s">
        <v>176</v>
      </c>
      <c r="C465" t="s">
        <v>17</v>
      </c>
      <c r="D465">
        <v>14</v>
      </c>
      <c r="E465">
        <v>10</v>
      </c>
      <c r="F465">
        <v>2</v>
      </c>
      <c r="G465">
        <v>7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4</v>
      </c>
      <c r="O465">
        <v>4</v>
      </c>
      <c r="P465">
        <v>0</v>
      </c>
    </row>
    <row r="466" spans="1:16" x14ac:dyDescent="0.3">
      <c r="A466" t="s">
        <v>156</v>
      </c>
      <c r="B466" t="s">
        <v>176</v>
      </c>
      <c r="C466" t="s">
        <v>18</v>
      </c>
      <c r="D466">
        <v>22</v>
      </c>
      <c r="E466">
        <v>21</v>
      </c>
      <c r="F466">
        <v>0</v>
      </c>
      <c r="G466">
        <v>16</v>
      </c>
      <c r="H466">
        <v>2</v>
      </c>
      <c r="I466">
        <v>1</v>
      </c>
      <c r="J466">
        <v>0</v>
      </c>
      <c r="K466">
        <v>2</v>
      </c>
      <c r="L466">
        <v>0</v>
      </c>
      <c r="M466">
        <v>0</v>
      </c>
      <c r="N466">
        <v>1</v>
      </c>
      <c r="O466">
        <v>1</v>
      </c>
      <c r="P466" s="1">
        <v>0</v>
      </c>
    </row>
    <row r="467" spans="1:16" x14ac:dyDescent="0.3">
      <c r="A467" t="s">
        <v>156</v>
      </c>
      <c r="B467" t="s">
        <v>177</v>
      </c>
      <c r="C467" t="s">
        <v>4</v>
      </c>
      <c r="D467">
        <v>35</v>
      </c>
      <c r="E467">
        <v>32</v>
      </c>
      <c r="F467">
        <v>0</v>
      </c>
      <c r="G467">
        <v>3</v>
      </c>
      <c r="H467">
        <v>17</v>
      </c>
      <c r="I467">
        <v>8</v>
      </c>
      <c r="J467">
        <v>0</v>
      </c>
      <c r="K467">
        <v>1</v>
      </c>
      <c r="L467">
        <v>3</v>
      </c>
      <c r="M467">
        <v>0</v>
      </c>
      <c r="N467">
        <v>3</v>
      </c>
      <c r="O467">
        <v>3</v>
      </c>
      <c r="P467">
        <v>0</v>
      </c>
    </row>
    <row r="468" spans="1:16" x14ac:dyDescent="0.3">
      <c r="A468" t="s">
        <v>156</v>
      </c>
      <c r="B468" t="s">
        <v>177</v>
      </c>
      <c r="C468" t="s">
        <v>17</v>
      </c>
      <c r="D468">
        <v>19</v>
      </c>
      <c r="E468">
        <v>17</v>
      </c>
      <c r="F468">
        <v>0</v>
      </c>
      <c r="G468">
        <v>1</v>
      </c>
      <c r="H468">
        <v>10</v>
      </c>
      <c r="I468">
        <v>3</v>
      </c>
      <c r="J468">
        <v>0</v>
      </c>
      <c r="K468">
        <v>1</v>
      </c>
      <c r="L468">
        <v>2</v>
      </c>
      <c r="M468">
        <v>0</v>
      </c>
      <c r="N468">
        <v>2</v>
      </c>
      <c r="O468">
        <v>2</v>
      </c>
      <c r="P468" s="1">
        <v>0</v>
      </c>
    </row>
    <row r="469" spans="1:16" x14ac:dyDescent="0.3">
      <c r="A469" t="s">
        <v>156</v>
      </c>
      <c r="B469" t="s">
        <v>177</v>
      </c>
      <c r="C469" t="s">
        <v>18</v>
      </c>
      <c r="D469">
        <v>16</v>
      </c>
      <c r="E469">
        <v>15</v>
      </c>
      <c r="F469">
        <v>0</v>
      </c>
      <c r="G469">
        <v>2</v>
      </c>
      <c r="H469">
        <v>7</v>
      </c>
      <c r="I469">
        <v>5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1</v>
      </c>
      <c r="P469">
        <v>0</v>
      </c>
    </row>
    <row r="470" spans="1:16" x14ac:dyDescent="0.3">
      <c r="A470" t="s">
        <v>156</v>
      </c>
      <c r="B470" t="s">
        <v>178</v>
      </c>
      <c r="C470" t="s">
        <v>4</v>
      </c>
      <c r="D470">
        <v>30</v>
      </c>
      <c r="E470">
        <v>20</v>
      </c>
      <c r="F470">
        <v>5</v>
      </c>
      <c r="G470">
        <v>4</v>
      </c>
      <c r="H470">
        <v>7</v>
      </c>
      <c r="I470">
        <v>0</v>
      </c>
      <c r="J470">
        <v>0</v>
      </c>
      <c r="K470">
        <v>0</v>
      </c>
      <c r="L470">
        <v>4</v>
      </c>
      <c r="M470">
        <v>0</v>
      </c>
      <c r="N470">
        <v>10</v>
      </c>
      <c r="O470">
        <v>10</v>
      </c>
      <c r="P470" s="1">
        <v>0</v>
      </c>
    </row>
    <row r="471" spans="1:16" x14ac:dyDescent="0.3">
      <c r="A471" t="s">
        <v>156</v>
      </c>
      <c r="B471" t="s">
        <v>178</v>
      </c>
      <c r="C471" t="s">
        <v>17</v>
      </c>
      <c r="D471">
        <v>17</v>
      </c>
      <c r="E471">
        <v>10</v>
      </c>
      <c r="F471">
        <v>2</v>
      </c>
      <c r="G471">
        <v>3</v>
      </c>
      <c r="H471">
        <v>4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7</v>
      </c>
      <c r="O471">
        <v>7</v>
      </c>
      <c r="P471">
        <v>0</v>
      </c>
    </row>
    <row r="472" spans="1:16" x14ac:dyDescent="0.3">
      <c r="A472" t="s">
        <v>156</v>
      </c>
      <c r="B472" t="s">
        <v>178</v>
      </c>
      <c r="C472" t="s">
        <v>18</v>
      </c>
      <c r="D472">
        <v>13</v>
      </c>
      <c r="E472">
        <v>10</v>
      </c>
      <c r="F472">
        <v>3</v>
      </c>
      <c r="G472">
        <v>1</v>
      </c>
      <c r="H472">
        <v>3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3</v>
      </c>
      <c r="O472">
        <v>3</v>
      </c>
      <c r="P472" s="1">
        <v>0</v>
      </c>
    </row>
    <row r="473" spans="1:16" x14ac:dyDescent="0.3">
      <c r="A473" t="s">
        <v>156</v>
      </c>
      <c r="B473" t="s">
        <v>179</v>
      </c>
      <c r="C473" t="s">
        <v>4</v>
      </c>
      <c r="D473">
        <v>29</v>
      </c>
      <c r="E473">
        <v>28</v>
      </c>
      <c r="F473">
        <v>0</v>
      </c>
      <c r="G473">
        <v>7</v>
      </c>
      <c r="H473">
        <v>5</v>
      </c>
      <c r="I473">
        <v>9</v>
      </c>
      <c r="J473">
        <v>0</v>
      </c>
      <c r="K473">
        <v>0</v>
      </c>
      <c r="L473">
        <v>7</v>
      </c>
      <c r="M473">
        <v>0</v>
      </c>
      <c r="N473">
        <v>1</v>
      </c>
      <c r="O473">
        <v>1</v>
      </c>
      <c r="P473">
        <v>0</v>
      </c>
    </row>
    <row r="474" spans="1:16" x14ac:dyDescent="0.3">
      <c r="A474" t="s">
        <v>156</v>
      </c>
      <c r="B474" t="s">
        <v>179</v>
      </c>
      <c r="C474" t="s">
        <v>17</v>
      </c>
      <c r="D474">
        <v>9</v>
      </c>
      <c r="E474">
        <v>9</v>
      </c>
      <c r="F474">
        <v>0</v>
      </c>
      <c r="G474">
        <v>3</v>
      </c>
      <c r="H474">
        <v>2</v>
      </c>
      <c r="I474">
        <v>2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 s="1">
        <v>0</v>
      </c>
    </row>
    <row r="475" spans="1:16" x14ac:dyDescent="0.3">
      <c r="A475" t="s">
        <v>156</v>
      </c>
      <c r="B475" t="s">
        <v>179</v>
      </c>
      <c r="C475" t="s">
        <v>18</v>
      </c>
      <c r="D475">
        <v>20</v>
      </c>
      <c r="E475">
        <v>19</v>
      </c>
      <c r="F475">
        <v>0</v>
      </c>
      <c r="G475">
        <v>4</v>
      </c>
      <c r="H475">
        <v>3</v>
      </c>
      <c r="I475">
        <v>7</v>
      </c>
      <c r="J475">
        <v>0</v>
      </c>
      <c r="K475">
        <v>0</v>
      </c>
      <c r="L475">
        <v>5</v>
      </c>
      <c r="M475">
        <v>0</v>
      </c>
      <c r="N475">
        <v>1</v>
      </c>
      <c r="O475">
        <v>1</v>
      </c>
      <c r="P475">
        <v>0</v>
      </c>
    </row>
    <row r="476" spans="1:16" x14ac:dyDescent="0.3">
      <c r="A476" t="s">
        <v>156</v>
      </c>
      <c r="B476" t="s">
        <v>180</v>
      </c>
      <c r="C476" t="s">
        <v>4</v>
      </c>
      <c r="D476">
        <v>24</v>
      </c>
      <c r="E476">
        <v>20</v>
      </c>
      <c r="F476">
        <v>0</v>
      </c>
      <c r="G476">
        <v>3</v>
      </c>
      <c r="H476">
        <v>7</v>
      </c>
      <c r="I476">
        <v>2</v>
      </c>
      <c r="J476">
        <v>0</v>
      </c>
      <c r="K476">
        <v>1</v>
      </c>
      <c r="L476">
        <v>7</v>
      </c>
      <c r="M476">
        <v>0</v>
      </c>
      <c r="N476">
        <v>4</v>
      </c>
      <c r="O476">
        <v>4</v>
      </c>
      <c r="P476" s="1">
        <v>0</v>
      </c>
    </row>
    <row r="477" spans="1:16" x14ac:dyDescent="0.3">
      <c r="A477" t="s">
        <v>156</v>
      </c>
      <c r="B477" t="s">
        <v>180</v>
      </c>
      <c r="C477" t="s">
        <v>17</v>
      </c>
      <c r="D477">
        <v>7</v>
      </c>
      <c r="E477">
        <v>7</v>
      </c>
      <c r="F477">
        <v>0</v>
      </c>
      <c r="G477">
        <v>1</v>
      </c>
      <c r="H477">
        <v>3</v>
      </c>
      <c r="I477">
        <v>2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 x14ac:dyDescent="0.3">
      <c r="A478" t="s">
        <v>156</v>
      </c>
      <c r="B478" t="s">
        <v>180</v>
      </c>
      <c r="C478" t="s">
        <v>18</v>
      </c>
      <c r="D478">
        <v>17</v>
      </c>
      <c r="E478">
        <v>13</v>
      </c>
      <c r="F478">
        <v>0</v>
      </c>
      <c r="G478">
        <v>2</v>
      </c>
      <c r="H478">
        <v>4</v>
      </c>
      <c r="I478">
        <v>0</v>
      </c>
      <c r="J478">
        <v>0</v>
      </c>
      <c r="K478">
        <v>0</v>
      </c>
      <c r="L478">
        <v>7</v>
      </c>
      <c r="M478">
        <v>0</v>
      </c>
      <c r="N478">
        <v>4</v>
      </c>
      <c r="O478">
        <v>4</v>
      </c>
      <c r="P478" s="1">
        <v>0</v>
      </c>
    </row>
    <row r="479" spans="1:16" x14ac:dyDescent="0.3">
      <c r="A479" t="s">
        <v>156</v>
      </c>
      <c r="B479" t="s">
        <v>181</v>
      </c>
      <c r="C479" t="s">
        <v>4</v>
      </c>
      <c r="D479">
        <v>23</v>
      </c>
      <c r="E479">
        <v>23</v>
      </c>
      <c r="F479">
        <v>0</v>
      </c>
      <c r="G479">
        <v>12</v>
      </c>
      <c r="H479">
        <v>11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3">
      <c r="A480" t="s">
        <v>156</v>
      </c>
      <c r="B480" t="s">
        <v>181</v>
      </c>
      <c r="C480" t="s">
        <v>17</v>
      </c>
      <c r="D480">
        <v>15</v>
      </c>
      <c r="E480">
        <v>15</v>
      </c>
      <c r="F480">
        <v>0</v>
      </c>
      <c r="G480">
        <v>4</v>
      </c>
      <c r="H480">
        <v>11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s="1">
        <v>0</v>
      </c>
    </row>
    <row r="481" spans="1:16" x14ac:dyDescent="0.3">
      <c r="A481" t="s">
        <v>156</v>
      </c>
      <c r="B481" t="s">
        <v>181</v>
      </c>
      <c r="C481" t="s">
        <v>18</v>
      </c>
      <c r="D481">
        <v>8</v>
      </c>
      <c r="E481">
        <v>8</v>
      </c>
      <c r="F481">
        <v>0</v>
      </c>
      <c r="G481">
        <v>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3">
      <c r="A482" t="s">
        <v>156</v>
      </c>
      <c r="B482" t="s">
        <v>182</v>
      </c>
      <c r="C482" t="s">
        <v>4</v>
      </c>
      <c r="D482">
        <v>17</v>
      </c>
      <c r="E482">
        <v>8</v>
      </c>
      <c r="F482">
        <v>2</v>
      </c>
      <c r="G482">
        <v>2</v>
      </c>
      <c r="H482">
        <v>3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9</v>
      </c>
      <c r="O482">
        <v>9</v>
      </c>
      <c r="P482" s="1">
        <v>0</v>
      </c>
    </row>
    <row r="483" spans="1:16" x14ac:dyDescent="0.3">
      <c r="A483" t="s">
        <v>156</v>
      </c>
      <c r="B483" t="s">
        <v>182</v>
      </c>
      <c r="C483" t="s">
        <v>17</v>
      </c>
      <c r="D483">
        <v>14</v>
      </c>
      <c r="E483">
        <v>7</v>
      </c>
      <c r="F483">
        <v>2</v>
      </c>
      <c r="G483">
        <v>1</v>
      </c>
      <c r="H483">
        <v>3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7</v>
      </c>
      <c r="O483">
        <v>7</v>
      </c>
      <c r="P483">
        <v>0</v>
      </c>
    </row>
    <row r="484" spans="1:16" x14ac:dyDescent="0.3">
      <c r="A484" t="s">
        <v>156</v>
      </c>
      <c r="B484" t="s">
        <v>182</v>
      </c>
      <c r="C484" t="s">
        <v>18</v>
      </c>
      <c r="D484">
        <v>3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</v>
      </c>
      <c r="O484">
        <v>2</v>
      </c>
      <c r="P484" s="1">
        <v>0</v>
      </c>
    </row>
    <row r="485" spans="1:16" x14ac:dyDescent="0.3">
      <c r="A485" t="s">
        <v>156</v>
      </c>
      <c r="B485" t="s">
        <v>183</v>
      </c>
      <c r="C485" t="s">
        <v>4</v>
      </c>
      <c r="D485">
        <v>17</v>
      </c>
      <c r="E485">
        <v>16</v>
      </c>
      <c r="F485">
        <v>0</v>
      </c>
      <c r="G485">
        <v>4</v>
      </c>
      <c r="H485">
        <v>4</v>
      </c>
      <c r="I485">
        <v>4</v>
      </c>
      <c r="J485">
        <v>1</v>
      </c>
      <c r="K485">
        <v>0</v>
      </c>
      <c r="L485">
        <v>3</v>
      </c>
      <c r="M485">
        <v>0</v>
      </c>
      <c r="N485">
        <v>1</v>
      </c>
      <c r="O485">
        <v>1</v>
      </c>
      <c r="P485">
        <v>0</v>
      </c>
    </row>
    <row r="486" spans="1:16" x14ac:dyDescent="0.3">
      <c r="A486" t="s">
        <v>156</v>
      </c>
      <c r="B486" t="s">
        <v>183</v>
      </c>
      <c r="C486" t="s">
        <v>17</v>
      </c>
      <c r="D486">
        <v>10</v>
      </c>
      <c r="E486">
        <v>9</v>
      </c>
      <c r="F486">
        <v>0</v>
      </c>
      <c r="G486">
        <v>0</v>
      </c>
      <c r="H486">
        <v>4</v>
      </c>
      <c r="I486">
        <v>4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1</v>
      </c>
      <c r="P486" s="1">
        <v>0</v>
      </c>
    </row>
    <row r="487" spans="1:16" x14ac:dyDescent="0.3">
      <c r="A487" t="s">
        <v>156</v>
      </c>
      <c r="B487" t="s">
        <v>183</v>
      </c>
      <c r="C487" t="s">
        <v>18</v>
      </c>
      <c r="D487">
        <v>7</v>
      </c>
      <c r="E487">
        <v>7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3</v>
      </c>
      <c r="M487">
        <v>0</v>
      </c>
      <c r="N487">
        <v>0</v>
      </c>
      <c r="O487">
        <v>0</v>
      </c>
      <c r="P487">
        <v>0</v>
      </c>
    </row>
    <row r="488" spans="1:16" x14ac:dyDescent="0.3">
      <c r="A488" t="s">
        <v>156</v>
      </c>
      <c r="B488" t="s">
        <v>184</v>
      </c>
      <c r="C488" t="s">
        <v>4</v>
      </c>
      <c r="D488">
        <v>17</v>
      </c>
      <c r="E488">
        <v>10</v>
      </c>
      <c r="F488">
        <v>0</v>
      </c>
      <c r="G488">
        <v>2</v>
      </c>
      <c r="H488">
        <v>7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7</v>
      </c>
      <c r="O488">
        <v>7</v>
      </c>
      <c r="P488" s="1">
        <v>0</v>
      </c>
    </row>
    <row r="489" spans="1:16" x14ac:dyDescent="0.3">
      <c r="A489" t="s">
        <v>156</v>
      </c>
      <c r="B489" t="s">
        <v>184</v>
      </c>
      <c r="C489" t="s">
        <v>17</v>
      </c>
      <c r="D489">
        <v>12</v>
      </c>
      <c r="E489">
        <v>8</v>
      </c>
      <c r="F489">
        <v>0</v>
      </c>
      <c r="G489">
        <v>1</v>
      </c>
      <c r="H489">
        <v>6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4</v>
      </c>
      <c r="O489">
        <v>4</v>
      </c>
      <c r="P489">
        <v>0</v>
      </c>
    </row>
    <row r="490" spans="1:16" x14ac:dyDescent="0.3">
      <c r="A490" t="s">
        <v>156</v>
      </c>
      <c r="B490" t="s">
        <v>184</v>
      </c>
      <c r="C490" t="s">
        <v>18</v>
      </c>
      <c r="D490">
        <v>5</v>
      </c>
      <c r="E490">
        <v>2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3</v>
      </c>
      <c r="O490">
        <v>3</v>
      </c>
      <c r="P490" s="1">
        <v>0</v>
      </c>
    </row>
    <row r="491" spans="1:16" x14ac:dyDescent="0.3">
      <c r="A491" t="s">
        <v>156</v>
      </c>
      <c r="B491" t="s">
        <v>185</v>
      </c>
      <c r="C491" t="s">
        <v>4</v>
      </c>
      <c r="D491">
        <v>16</v>
      </c>
      <c r="E491">
        <v>11</v>
      </c>
      <c r="F491">
        <v>0</v>
      </c>
      <c r="G491">
        <v>5</v>
      </c>
      <c r="H491">
        <v>1</v>
      </c>
      <c r="I491">
        <v>1</v>
      </c>
      <c r="J491">
        <v>0</v>
      </c>
      <c r="K491">
        <v>1</v>
      </c>
      <c r="L491">
        <v>3</v>
      </c>
      <c r="M491">
        <v>0</v>
      </c>
      <c r="N491">
        <v>5</v>
      </c>
      <c r="O491">
        <v>5</v>
      </c>
      <c r="P491">
        <v>0</v>
      </c>
    </row>
    <row r="492" spans="1:16" x14ac:dyDescent="0.3">
      <c r="A492" t="s">
        <v>156</v>
      </c>
      <c r="B492" t="s">
        <v>185</v>
      </c>
      <c r="C492" t="s">
        <v>17</v>
      </c>
      <c r="D492">
        <v>6</v>
      </c>
      <c r="E492">
        <v>5</v>
      </c>
      <c r="F492">
        <v>0</v>
      </c>
      <c r="G492">
        <v>2</v>
      </c>
      <c r="H492">
        <v>1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1</v>
      </c>
      <c r="P492" s="1">
        <v>0</v>
      </c>
    </row>
    <row r="493" spans="1:16" x14ac:dyDescent="0.3">
      <c r="A493" t="s">
        <v>156</v>
      </c>
      <c r="B493" t="s">
        <v>185</v>
      </c>
      <c r="C493" t="s">
        <v>18</v>
      </c>
      <c r="D493">
        <v>10</v>
      </c>
      <c r="E493">
        <v>6</v>
      </c>
      <c r="F493">
        <v>0</v>
      </c>
      <c r="G493">
        <v>3</v>
      </c>
      <c r="H493">
        <v>0</v>
      </c>
      <c r="I493">
        <v>0</v>
      </c>
      <c r="J493">
        <v>0</v>
      </c>
      <c r="K493">
        <v>1</v>
      </c>
      <c r="L493">
        <v>2</v>
      </c>
      <c r="M493">
        <v>0</v>
      </c>
      <c r="N493">
        <v>4</v>
      </c>
      <c r="O493">
        <v>4</v>
      </c>
      <c r="P493">
        <v>0</v>
      </c>
    </row>
    <row r="494" spans="1:16" x14ac:dyDescent="0.3">
      <c r="A494" t="s">
        <v>156</v>
      </c>
      <c r="B494" t="s">
        <v>186</v>
      </c>
      <c r="C494" t="s">
        <v>4</v>
      </c>
      <c r="D494">
        <v>16</v>
      </c>
      <c r="E494">
        <v>13</v>
      </c>
      <c r="F494">
        <v>1</v>
      </c>
      <c r="G494">
        <v>4</v>
      </c>
      <c r="H494">
        <v>2</v>
      </c>
      <c r="I494">
        <v>2</v>
      </c>
      <c r="J494">
        <v>0</v>
      </c>
      <c r="K494">
        <v>1</v>
      </c>
      <c r="L494">
        <v>3</v>
      </c>
      <c r="M494">
        <v>0</v>
      </c>
      <c r="N494">
        <v>3</v>
      </c>
      <c r="O494">
        <v>3</v>
      </c>
      <c r="P494" s="1">
        <v>0</v>
      </c>
    </row>
    <row r="495" spans="1:16" x14ac:dyDescent="0.3">
      <c r="A495" t="s">
        <v>156</v>
      </c>
      <c r="B495" t="s">
        <v>186</v>
      </c>
      <c r="C495" t="s">
        <v>17</v>
      </c>
      <c r="D495">
        <v>8</v>
      </c>
      <c r="E495">
        <v>7</v>
      </c>
      <c r="F495">
        <v>1</v>
      </c>
      <c r="G495">
        <v>3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</v>
      </c>
      <c r="N495">
        <v>1</v>
      </c>
      <c r="O495">
        <v>1</v>
      </c>
      <c r="P495">
        <v>0</v>
      </c>
    </row>
    <row r="496" spans="1:16" x14ac:dyDescent="0.3">
      <c r="A496" t="s">
        <v>156</v>
      </c>
      <c r="B496" t="s">
        <v>186</v>
      </c>
      <c r="C496" t="s">
        <v>18</v>
      </c>
      <c r="D496">
        <v>8</v>
      </c>
      <c r="E496">
        <v>6</v>
      </c>
      <c r="F496">
        <v>0</v>
      </c>
      <c r="G496">
        <v>1</v>
      </c>
      <c r="H496">
        <v>1</v>
      </c>
      <c r="I496">
        <v>2</v>
      </c>
      <c r="J496">
        <v>0</v>
      </c>
      <c r="K496">
        <v>0</v>
      </c>
      <c r="L496">
        <v>2</v>
      </c>
      <c r="M496">
        <v>0</v>
      </c>
      <c r="N496">
        <v>2</v>
      </c>
      <c r="O496">
        <v>2</v>
      </c>
      <c r="P496" s="1">
        <v>0</v>
      </c>
    </row>
    <row r="497" spans="1:16" x14ac:dyDescent="0.3">
      <c r="A497" t="s">
        <v>156</v>
      </c>
      <c r="B497" t="s">
        <v>187</v>
      </c>
      <c r="C497" t="s">
        <v>4</v>
      </c>
      <c r="D497">
        <v>15</v>
      </c>
      <c r="E497">
        <v>15</v>
      </c>
      <c r="F497">
        <v>0</v>
      </c>
      <c r="G497">
        <v>0</v>
      </c>
      <c r="H497">
        <v>12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 x14ac:dyDescent="0.3">
      <c r="A498" t="s">
        <v>156</v>
      </c>
      <c r="B498" t="s">
        <v>187</v>
      </c>
      <c r="C498" t="s">
        <v>17</v>
      </c>
      <c r="D498">
        <v>10</v>
      </c>
      <c r="E498">
        <v>10</v>
      </c>
      <c r="F498">
        <v>0</v>
      </c>
      <c r="G498">
        <v>0</v>
      </c>
      <c r="H498">
        <v>7</v>
      </c>
      <c r="I498">
        <v>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s="1">
        <v>0</v>
      </c>
    </row>
    <row r="499" spans="1:16" x14ac:dyDescent="0.3">
      <c r="A499" t="s">
        <v>156</v>
      </c>
      <c r="B499" t="s">
        <v>187</v>
      </c>
      <c r="C499" t="s">
        <v>18</v>
      </c>
      <c r="D499">
        <v>5</v>
      </c>
      <c r="E499">
        <v>5</v>
      </c>
      <c r="F499">
        <v>0</v>
      </c>
      <c r="G499">
        <v>0</v>
      </c>
      <c r="H499">
        <v>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 x14ac:dyDescent="0.3">
      <c r="A500" t="s">
        <v>156</v>
      </c>
      <c r="B500" t="s">
        <v>188</v>
      </c>
      <c r="C500" t="s">
        <v>4</v>
      </c>
      <c r="D500">
        <v>14</v>
      </c>
      <c r="E500">
        <v>10</v>
      </c>
      <c r="F500">
        <v>1</v>
      </c>
      <c r="G500">
        <v>6</v>
      </c>
      <c r="H500">
        <v>2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4</v>
      </c>
      <c r="O500">
        <v>4</v>
      </c>
      <c r="P500" s="1">
        <v>0</v>
      </c>
    </row>
    <row r="501" spans="1:16" x14ac:dyDescent="0.3">
      <c r="A501" t="s">
        <v>156</v>
      </c>
      <c r="B501" t="s">
        <v>188</v>
      </c>
      <c r="C501" t="s">
        <v>17</v>
      </c>
      <c r="D501">
        <v>8</v>
      </c>
      <c r="E501">
        <v>7</v>
      </c>
      <c r="F501">
        <v>1</v>
      </c>
      <c r="G501">
        <v>4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  <c r="P501">
        <v>0</v>
      </c>
    </row>
    <row r="502" spans="1:16" x14ac:dyDescent="0.3">
      <c r="A502" t="s">
        <v>156</v>
      </c>
      <c r="B502" t="s">
        <v>188</v>
      </c>
      <c r="C502" t="s">
        <v>18</v>
      </c>
      <c r="D502">
        <v>6</v>
      </c>
      <c r="E502">
        <v>3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3</v>
      </c>
      <c r="O502">
        <v>3</v>
      </c>
      <c r="P502" s="1">
        <v>0</v>
      </c>
    </row>
    <row r="503" spans="1:16" x14ac:dyDescent="0.3">
      <c r="A503" t="s">
        <v>156</v>
      </c>
      <c r="B503" t="s">
        <v>189</v>
      </c>
      <c r="C503" t="s">
        <v>4</v>
      </c>
      <c r="D503">
        <v>12</v>
      </c>
      <c r="E503">
        <v>9</v>
      </c>
      <c r="F503">
        <v>0</v>
      </c>
      <c r="G503">
        <v>0</v>
      </c>
      <c r="H503">
        <v>6</v>
      </c>
      <c r="I503">
        <v>1</v>
      </c>
      <c r="J503">
        <v>0</v>
      </c>
      <c r="K503">
        <v>0</v>
      </c>
      <c r="L503">
        <v>2</v>
      </c>
      <c r="M503">
        <v>0</v>
      </c>
      <c r="N503">
        <v>3</v>
      </c>
      <c r="O503">
        <v>3</v>
      </c>
      <c r="P503">
        <v>0</v>
      </c>
    </row>
    <row r="504" spans="1:16" x14ac:dyDescent="0.3">
      <c r="A504" t="s">
        <v>156</v>
      </c>
      <c r="B504" t="s">
        <v>189</v>
      </c>
      <c r="C504" t="s">
        <v>17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s="1">
        <v>0</v>
      </c>
    </row>
    <row r="505" spans="1:16" x14ac:dyDescent="0.3">
      <c r="A505" t="s">
        <v>156</v>
      </c>
      <c r="B505" t="s">
        <v>189</v>
      </c>
      <c r="C505" t="s">
        <v>18</v>
      </c>
      <c r="D505">
        <v>11</v>
      </c>
      <c r="E505">
        <v>8</v>
      </c>
      <c r="F505">
        <v>0</v>
      </c>
      <c r="G505">
        <v>0</v>
      </c>
      <c r="H505">
        <v>6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3</v>
      </c>
      <c r="O505">
        <v>3</v>
      </c>
      <c r="P505">
        <v>0</v>
      </c>
    </row>
    <row r="506" spans="1:16" x14ac:dyDescent="0.3">
      <c r="A506" t="s">
        <v>156</v>
      </c>
      <c r="B506" t="s">
        <v>190</v>
      </c>
      <c r="C506" t="s">
        <v>4</v>
      </c>
      <c r="D506">
        <v>12</v>
      </c>
      <c r="E506">
        <v>8</v>
      </c>
      <c r="F506">
        <v>1</v>
      </c>
      <c r="G506">
        <v>1</v>
      </c>
      <c r="H506">
        <v>2</v>
      </c>
      <c r="I506">
        <v>3</v>
      </c>
      <c r="J506">
        <v>0</v>
      </c>
      <c r="K506">
        <v>1</v>
      </c>
      <c r="L506">
        <v>0</v>
      </c>
      <c r="M506">
        <v>0</v>
      </c>
      <c r="N506">
        <v>4</v>
      </c>
      <c r="O506">
        <v>4</v>
      </c>
      <c r="P506" s="1">
        <v>0</v>
      </c>
    </row>
    <row r="507" spans="1:16" x14ac:dyDescent="0.3">
      <c r="A507" t="s">
        <v>156</v>
      </c>
      <c r="B507" t="s">
        <v>190</v>
      </c>
      <c r="C507" t="s">
        <v>17</v>
      </c>
      <c r="D507">
        <v>10</v>
      </c>
      <c r="E507">
        <v>7</v>
      </c>
      <c r="F507">
        <v>1</v>
      </c>
      <c r="G507">
        <v>1</v>
      </c>
      <c r="H507">
        <v>2</v>
      </c>
      <c r="I507">
        <v>3</v>
      </c>
      <c r="J507">
        <v>0</v>
      </c>
      <c r="K507">
        <v>0</v>
      </c>
      <c r="L507">
        <v>0</v>
      </c>
      <c r="M507">
        <v>0</v>
      </c>
      <c r="N507">
        <v>3</v>
      </c>
      <c r="O507">
        <v>3</v>
      </c>
      <c r="P507">
        <v>0</v>
      </c>
    </row>
    <row r="508" spans="1:16" x14ac:dyDescent="0.3">
      <c r="A508" t="s">
        <v>156</v>
      </c>
      <c r="B508" t="s">
        <v>190</v>
      </c>
      <c r="C508" t="s">
        <v>18</v>
      </c>
      <c r="D508">
        <v>2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1</v>
      </c>
      <c r="O508">
        <v>1</v>
      </c>
      <c r="P508" s="1">
        <v>0</v>
      </c>
    </row>
    <row r="509" spans="1:16" x14ac:dyDescent="0.3">
      <c r="A509" t="s">
        <v>156</v>
      </c>
      <c r="B509" t="s">
        <v>191</v>
      </c>
      <c r="C509" t="s">
        <v>4</v>
      </c>
      <c r="D509">
        <v>11</v>
      </c>
      <c r="E509">
        <v>7</v>
      </c>
      <c r="F509">
        <v>0</v>
      </c>
      <c r="G509">
        <v>0</v>
      </c>
      <c r="H509">
        <v>2</v>
      </c>
      <c r="I509">
        <v>2</v>
      </c>
      <c r="J509">
        <v>0</v>
      </c>
      <c r="K509">
        <v>0</v>
      </c>
      <c r="L509">
        <v>3</v>
      </c>
      <c r="M509">
        <v>0</v>
      </c>
      <c r="N509">
        <v>4</v>
      </c>
      <c r="O509">
        <v>4</v>
      </c>
      <c r="P509">
        <v>0</v>
      </c>
    </row>
    <row r="510" spans="1:16" x14ac:dyDescent="0.3">
      <c r="A510" t="s">
        <v>156</v>
      </c>
      <c r="B510" t="s">
        <v>191</v>
      </c>
      <c r="C510" t="s">
        <v>17</v>
      </c>
      <c r="D510">
        <v>10</v>
      </c>
      <c r="E510">
        <v>6</v>
      </c>
      <c r="F510">
        <v>0</v>
      </c>
      <c r="G510">
        <v>0</v>
      </c>
      <c r="H510">
        <v>1</v>
      </c>
      <c r="I510">
        <v>2</v>
      </c>
      <c r="J510">
        <v>0</v>
      </c>
      <c r="K510">
        <v>0</v>
      </c>
      <c r="L510">
        <v>3</v>
      </c>
      <c r="M510">
        <v>0</v>
      </c>
      <c r="N510">
        <v>4</v>
      </c>
      <c r="O510">
        <v>4</v>
      </c>
      <c r="P510" s="1">
        <v>0</v>
      </c>
    </row>
    <row r="511" spans="1:16" x14ac:dyDescent="0.3">
      <c r="A511" t="s">
        <v>156</v>
      </c>
      <c r="B511" t="s">
        <v>191</v>
      </c>
      <c r="C511" t="s">
        <v>18</v>
      </c>
      <c r="D511">
        <v>1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 t="s">
        <v>156</v>
      </c>
      <c r="B512" t="s">
        <v>192</v>
      </c>
      <c r="C512" t="s">
        <v>4</v>
      </c>
      <c r="D512">
        <v>9</v>
      </c>
      <c r="E512">
        <v>5</v>
      </c>
      <c r="F512">
        <v>0</v>
      </c>
      <c r="G512">
        <v>2</v>
      </c>
      <c r="H512">
        <v>1</v>
      </c>
      <c r="I512">
        <v>1</v>
      </c>
      <c r="J512">
        <v>0</v>
      </c>
      <c r="K512">
        <v>0</v>
      </c>
      <c r="L512">
        <v>1</v>
      </c>
      <c r="M512">
        <v>0</v>
      </c>
      <c r="N512">
        <v>4</v>
      </c>
      <c r="O512">
        <v>4</v>
      </c>
      <c r="P512" s="1">
        <v>0</v>
      </c>
    </row>
    <row r="513" spans="1:16" x14ac:dyDescent="0.3">
      <c r="A513" t="s">
        <v>156</v>
      </c>
      <c r="B513" t="s">
        <v>192</v>
      </c>
      <c r="C513" t="s">
        <v>17</v>
      </c>
      <c r="D513">
        <v>5</v>
      </c>
      <c r="E513">
        <v>3</v>
      </c>
      <c r="F513">
        <v>0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2</v>
      </c>
      <c r="O513">
        <v>2</v>
      </c>
      <c r="P513">
        <v>0</v>
      </c>
    </row>
    <row r="514" spans="1:16" x14ac:dyDescent="0.3">
      <c r="A514" t="s">
        <v>156</v>
      </c>
      <c r="B514" t="s">
        <v>192</v>
      </c>
      <c r="C514" t="s">
        <v>18</v>
      </c>
      <c r="D514">
        <v>4</v>
      </c>
      <c r="E514">
        <v>2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2</v>
      </c>
      <c r="O514">
        <v>2</v>
      </c>
      <c r="P514" s="1">
        <v>0</v>
      </c>
    </row>
    <row r="515" spans="1:16" x14ac:dyDescent="0.3">
      <c r="A515" t="s">
        <v>156</v>
      </c>
      <c r="B515" t="s">
        <v>193</v>
      </c>
      <c r="C515" t="s">
        <v>4</v>
      </c>
      <c r="D515">
        <v>9</v>
      </c>
      <c r="E515">
        <v>6</v>
      </c>
      <c r="F515">
        <v>0</v>
      </c>
      <c r="G515">
        <v>3</v>
      </c>
      <c r="H515">
        <v>0</v>
      </c>
      <c r="I515">
        <v>0</v>
      </c>
      <c r="J515">
        <v>0</v>
      </c>
      <c r="K515">
        <v>0</v>
      </c>
      <c r="L515">
        <v>3</v>
      </c>
      <c r="M515">
        <v>0</v>
      </c>
      <c r="N515">
        <v>3</v>
      </c>
      <c r="O515">
        <v>3</v>
      </c>
      <c r="P515">
        <v>0</v>
      </c>
    </row>
    <row r="516" spans="1:16" x14ac:dyDescent="0.3">
      <c r="A516" t="s">
        <v>156</v>
      </c>
      <c r="B516" t="s">
        <v>193</v>
      </c>
      <c r="C516" t="s">
        <v>17</v>
      </c>
      <c r="D516">
        <v>5</v>
      </c>
      <c r="E516">
        <v>4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3</v>
      </c>
      <c r="M516">
        <v>0</v>
      </c>
      <c r="N516">
        <v>1</v>
      </c>
      <c r="O516">
        <v>1</v>
      </c>
      <c r="P516" s="1">
        <v>0</v>
      </c>
    </row>
    <row r="517" spans="1:16" x14ac:dyDescent="0.3">
      <c r="A517" t="s">
        <v>156</v>
      </c>
      <c r="B517" t="s">
        <v>193</v>
      </c>
      <c r="C517" t="s">
        <v>18</v>
      </c>
      <c r="D517">
        <v>4</v>
      </c>
      <c r="E517">
        <v>2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2</v>
      </c>
      <c r="O517">
        <v>2</v>
      </c>
      <c r="P517">
        <v>0</v>
      </c>
    </row>
    <row r="518" spans="1:16" x14ac:dyDescent="0.3">
      <c r="A518" t="s">
        <v>156</v>
      </c>
      <c r="B518" t="s">
        <v>194</v>
      </c>
      <c r="C518" t="s">
        <v>4</v>
      </c>
      <c r="D518">
        <v>9</v>
      </c>
      <c r="E518">
        <v>9</v>
      </c>
      <c r="F518">
        <v>0</v>
      </c>
      <c r="G518">
        <v>0</v>
      </c>
      <c r="H518">
        <v>8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 s="1">
        <v>0</v>
      </c>
    </row>
    <row r="519" spans="1:16" x14ac:dyDescent="0.3">
      <c r="A519" t="s">
        <v>156</v>
      </c>
      <c r="B519" t="s">
        <v>194</v>
      </c>
      <c r="C519" t="s">
        <v>17</v>
      </c>
      <c r="D519">
        <v>6</v>
      </c>
      <c r="E519">
        <v>6</v>
      </c>
      <c r="F519">
        <v>0</v>
      </c>
      <c r="G519">
        <v>0</v>
      </c>
      <c r="H519">
        <v>5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</row>
    <row r="520" spans="1:16" x14ac:dyDescent="0.3">
      <c r="A520" t="s">
        <v>156</v>
      </c>
      <c r="B520" t="s">
        <v>194</v>
      </c>
      <c r="C520" t="s">
        <v>18</v>
      </c>
      <c r="D520">
        <v>3</v>
      </c>
      <c r="E520">
        <v>3</v>
      </c>
      <c r="F520">
        <v>0</v>
      </c>
      <c r="G520">
        <v>0</v>
      </c>
      <c r="H520">
        <v>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s="1">
        <v>0</v>
      </c>
    </row>
    <row r="521" spans="1:16" x14ac:dyDescent="0.3">
      <c r="A521" t="s">
        <v>156</v>
      </c>
      <c r="B521" t="s">
        <v>195</v>
      </c>
      <c r="C521" t="s">
        <v>4</v>
      </c>
      <c r="D521">
        <v>8</v>
      </c>
      <c r="E521">
        <v>5</v>
      </c>
      <c r="F521">
        <v>0</v>
      </c>
      <c r="G521">
        <v>1</v>
      </c>
      <c r="H521">
        <v>1</v>
      </c>
      <c r="I521">
        <v>1</v>
      </c>
      <c r="J521">
        <v>0</v>
      </c>
      <c r="K521">
        <v>1</v>
      </c>
      <c r="L521">
        <v>1</v>
      </c>
      <c r="M521">
        <v>0</v>
      </c>
      <c r="N521">
        <v>3</v>
      </c>
      <c r="O521">
        <v>3</v>
      </c>
      <c r="P521">
        <v>0</v>
      </c>
    </row>
    <row r="522" spans="1:16" x14ac:dyDescent="0.3">
      <c r="A522" t="s">
        <v>156</v>
      </c>
      <c r="B522" t="s">
        <v>195</v>
      </c>
      <c r="C522" t="s">
        <v>17</v>
      </c>
      <c r="D522">
        <v>3</v>
      </c>
      <c r="E522">
        <v>2</v>
      </c>
      <c r="F522">
        <v>0</v>
      </c>
      <c r="G522">
        <v>0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  <c r="P522" s="1">
        <v>0</v>
      </c>
    </row>
    <row r="523" spans="1:16" x14ac:dyDescent="0.3">
      <c r="A523" t="s">
        <v>156</v>
      </c>
      <c r="B523" t="s">
        <v>195</v>
      </c>
      <c r="C523" t="s">
        <v>18</v>
      </c>
      <c r="D523">
        <v>5</v>
      </c>
      <c r="E523">
        <v>3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1</v>
      </c>
      <c r="L523">
        <v>1</v>
      </c>
      <c r="M523">
        <v>0</v>
      </c>
      <c r="N523">
        <v>2</v>
      </c>
      <c r="O523">
        <v>2</v>
      </c>
      <c r="P523">
        <v>0</v>
      </c>
    </row>
    <row r="524" spans="1:16" x14ac:dyDescent="0.3">
      <c r="A524" t="s">
        <v>156</v>
      </c>
      <c r="B524" t="s">
        <v>196</v>
      </c>
      <c r="C524" t="s">
        <v>4</v>
      </c>
      <c r="D524">
        <v>6</v>
      </c>
      <c r="E524">
        <v>4</v>
      </c>
      <c r="F524">
        <v>0</v>
      </c>
      <c r="G524">
        <v>0</v>
      </c>
      <c r="H524">
        <v>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2</v>
      </c>
      <c r="O524">
        <v>2</v>
      </c>
      <c r="P524" s="1">
        <v>0</v>
      </c>
    </row>
    <row r="525" spans="1:16" x14ac:dyDescent="0.3">
      <c r="A525" t="s">
        <v>156</v>
      </c>
      <c r="B525" t="s">
        <v>196</v>
      </c>
      <c r="C525" t="s">
        <v>17</v>
      </c>
      <c r="D525">
        <v>4</v>
      </c>
      <c r="E525">
        <v>4</v>
      </c>
      <c r="F525">
        <v>0</v>
      </c>
      <c r="G525">
        <v>0</v>
      </c>
      <c r="H525">
        <v>4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x14ac:dyDescent="0.3">
      <c r="A526" t="s">
        <v>156</v>
      </c>
      <c r="B526" t="s">
        <v>196</v>
      </c>
      <c r="C526" t="s">
        <v>18</v>
      </c>
      <c r="D526">
        <v>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2</v>
      </c>
      <c r="O526">
        <v>2</v>
      </c>
      <c r="P526" s="1">
        <v>0</v>
      </c>
    </row>
    <row r="527" spans="1:16" x14ac:dyDescent="0.3">
      <c r="A527" t="s">
        <v>156</v>
      </c>
      <c r="B527" t="s">
        <v>197</v>
      </c>
      <c r="C527" t="s">
        <v>4</v>
      </c>
      <c r="D527">
        <v>6</v>
      </c>
      <c r="E527">
        <v>3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2</v>
      </c>
      <c r="M527">
        <v>0</v>
      </c>
      <c r="N527">
        <v>3</v>
      </c>
      <c r="O527">
        <v>3</v>
      </c>
      <c r="P527">
        <v>0</v>
      </c>
    </row>
    <row r="528" spans="1:16" x14ac:dyDescent="0.3">
      <c r="A528" t="s">
        <v>156</v>
      </c>
      <c r="B528" t="s">
        <v>197</v>
      </c>
      <c r="C528" t="s">
        <v>17</v>
      </c>
      <c r="D528">
        <v>3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2</v>
      </c>
      <c r="O528">
        <v>2</v>
      </c>
      <c r="P528" s="1">
        <v>0</v>
      </c>
    </row>
    <row r="529" spans="1:16" x14ac:dyDescent="0.3">
      <c r="A529" t="s">
        <v>156</v>
      </c>
      <c r="B529" t="s">
        <v>197</v>
      </c>
      <c r="C529" t="s">
        <v>18</v>
      </c>
      <c r="D529">
        <v>3</v>
      </c>
      <c r="E529">
        <v>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2</v>
      </c>
      <c r="M529">
        <v>0</v>
      </c>
      <c r="N529">
        <v>1</v>
      </c>
      <c r="O529">
        <v>1</v>
      </c>
      <c r="P529">
        <v>0</v>
      </c>
    </row>
    <row r="530" spans="1:16" x14ac:dyDescent="0.3">
      <c r="A530" t="s">
        <v>156</v>
      </c>
      <c r="B530" t="s">
        <v>198</v>
      </c>
      <c r="C530" t="s">
        <v>4</v>
      </c>
      <c r="D530">
        <v>4</v>
      </c>
      <c r="E530">
        <v>3</v>
      </c>
      <c r="F530">
        <v>0</v>
      </c>
      <c r="G530">
        <v>1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1</v>
      </c>
      <c r="P530" s="1">
        <v>0</v>
      </c>
    </row>
    <row r="531" spans="1:16" x14ac:dyDescent="0.3">
      <c r="A531" t="s">
        <v>156</v>
      </c>
      <c r="B531" t="s">
        <v>198</v>
      </c>
      <c r="C531" t="s">
        <v>18</v>
      </c>
      <c r="D531">
        <v>4</v>
      </c>
      <c r="E531">
        <v>3</v>
      </c>
      <c r="F531">
        <v>0</v>
      </c>
      <c r="G531">
        <v>1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0</v>
      </c>
    </row>
    <row r="532" spans="1:16" x14ac:dyDescent="0.3">
      <c r="A532" t="s">
        <v>156</v>
      </c>
      <c r="B532" t="s">
        <v>199</v>
      </c>
      <c r="C532" t="s">
        <v>4</v>
      </c>
      <c r="D532">
        <v>3</v>
      </c>
      <c r="E532">
        <v>3</v>
      </c>
      <c r="F532">
        <v>0</v>
      </c>
      <c r="G532">
        <v>1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s="1">
        <v>0</v>
      </c>
    </row>
    <row r="533" spans="1:16" x14ac:dyDescent="0.3">
      <c r="A533" t="s">
        <v>156</v>
      </c>
      <c r="B533" t="s">
        <v>199</v>
      </c>
      <c r="C533" t="s">
        <v>17</v>
      </c>
      <c r="D533">
        <v>2</v>
      </c>
      <c r="E533">
        <v>2</v>
      </c>
      <c r="F533">
        <v>0</v>
      </c>
      <c r="G533">
        <v>0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3">
      <c r="A534" t="s">
        <v>156</v>
      </c>
      <c r="B534" t="s">
        <v>199</v>
      </c>
      <c r="C534" t="s">
        <v>18</v>
      </c>
      <c r="D534">
        <v>1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s="1">
        <v>0</v>
      </c>
    </row>
    <row r="535" spans="1:16" x14ac:dyDescent="0.3">
      <c r="A535" t="s">
        <v>156</v>
      </c>
      <c r="B535" t="s">
        <v>200</v>
      </c>
      <c r="C535" t="s">
        <v>4</v>
      </c>
      <c r="D535">
        <v>3</v>
      </c>
      <c r="E535">
        <v>3</v>
      </c>
      <c r="F535">
        <v>0</v>
      </c>
      <c r="G535">
        <v>0</v>
      </c>
      <c r="H535">
        <v>2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</row>
    <row r="536" spans="1:16" x14ac:dyDescent="0.3">
      <c r="A536" t="s">
        <v>156</v>
      </c>
      <c r="B536" t="s">
        <v>200</v>
      </c>
      <c r="C536" t="s">
        <v>18</v>
      </c>
      <c r="D536">
        <v>3</v>
      </c>
      <c r="E536">
        <v>3</v>
      </c>
      <c r="F536">
        <v>0</v>
      </c>
      <c r="G536">
        <v>0</v>
      </c>
      <c r="H536">
        <v>2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 s="1">
        <v>0</v>
      </c>
    </row>
    <row r="537" spans="1:16" x14ac:dyDescent="0.3">
      <c r="A537" t="s">
        <v>156</v>
      </c>
      <c r="B537" t="s">
        <v>201</v>
      </c>
      <c r="C537" t="s">
        <v>4</v>
      </c>
      <c r="D537">
        <v>3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2</v>
      </c>
      <c r="O537">
        <v>2</v>
      </c>
      <c r="P537">
        <v>0</v>
      </c>
    </row>
    <row r="538" spans="1:16" x14ac:dyDescent="0.3">
      <c r="A538" t="s">
        <v>156</v>
      </c>
      <c r="B538" t="s">
        <v>201</v>
      </c>
      <c r="C538" t="s">
        <v>17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1">
        <v>0</v>
      </c>
    </row>
    <row r="539" spans="1:16" x14ac:dyDescent="0.3">
      <c r="A539" t="s">
        <v>156</v>
      </c>
      <c r="B539" t="s">
        <v>201</v>
      </c>
      <c r="C539" t="s">
        <v>18</v>
      </c>
      <c r="D539">
        <v>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2</v>
      </c>
      <c r="O539">
        <v>2</v>
      </c>
      <c r="P539">
        <v>0</v>
      </c>
    </row>
    <row r="540" spans="1:16" x14ac:dyDescent="0.3">
      <c r="A540" t="s">
        <v>156</v>
      </c>
      <c r="B540" t="s">
        <v>202</v>
      </c>
      <c r="C540" t="s">
        <v>4</v>
      </c>
      <c r="D540">
        <v>2</v>
      </c>
      <c r="E540">
        <v>2</v>
      </c>
      <c r="F540">
        <v>0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s="1">
        <v>0</v>
      </c>
    </row>
    <row r="541" spans="1:16" x14ac:dyDescent="0.3">
      <c r="A541" t="s">
        <v>156</v>
      </c>
      <c r="B541" t="s">
        <v>202</v>
      </c>
      <c r="C541" t="s">
        <v>18</v>
      </c>
      <c r="D541">
        <v>2</v>
      </c>
      <c r="E541">
        <v>2</v>
      </c>
      <c r="F541">
        <v>0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3">
      <c r="A542" t="s">
        <v>156</v>
      </c>
      <c r="B542" t="s">
        <v>203</v>
      </c>
      <c r="C542" t="s">
        <v>4</v>
      </c>
      <c r="D542">
        <v>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2</v>
      </c>
      <c r="O542">
        <v>2</v>
      </c>
      <c r="P542" s="1">
        <v>0</v>
      </c>
    </row>
    <row r="543" spans="1:16" x14ac:dyDescent="0.3">
      <c r="A543" t="s">
        <v>156</v>
      </c>
      <c r="B543" t="s">
        <v>203</v>
      </c>
      <c r="C543" t="s">
        <v>17</v>
      </c>
      <c r="D543">
        <v>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2</v>
      </c>
      <c r="O543">
        <v>2</v>
      </c>
      <c r="P543">
        <v>0</v>
      </c>
    </row>
    <row r="544" spans="1:16" x14ac:dyDescent="0.3">
      <c r="A544" t="s">
        <v>204</v>
      </c>
      <c r="B544" t="s">
        <v>4</v>
      </c>
      <c r="C544" t="s">
        <v>4</v>
      </c>
      <c r="D544">
        <v>9</v>
      </c>
      <c r="E544">
        <v>5</v>
      </c>
      <c r="F544">
        <v>0</v>
      </c>
      <c r="G544">
        <v>1</v>
      </c>
      <c r="H544">
        <v>3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4</v>
      </c>
      <c r="O544">
        <v>4</v>
      </c>
      <c r="P544" s="1">
        <v>0</v>
      </c>
    </row>
    <row r="545" spans="1:16" x14ac:dyDescent="0.3">
      <c r="A545" t="s">
        <v>204</v>
      </c>
      <c r="B545" t="s">
        <v>4</v>
      </c>
      <c r="C545" t="s">
        <v>17</v>
      </c>
      <c r="D545">
        <v>4</v>
      </c>
      <c r="E545">
        <v>3</v>
      </c>
      <c r="F545">
        <v>0</v>
      </c>
      <c r="G545">
        <v>1</v>
      </c>
      <c r="H545">
        <v>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0</v>
      </c>
    </row>
    <row r="546" spans="1:16" x14ac:dyDescent="0.3">
      <c r="A546" t="s">
        <v>204</v>
      </c>
      <c r="B546" t="s">
        <v>4</v>
      </c>
      <c r="C546" t="s">
        <v>18</v>
      </c>
      <c r="D546">
        <v>5</v>
      </c>
      <c r="E546">
        <v>2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3</v>
      </c>
      <c r="O546">
        <v>3</v>
      </c>
      <c r="P546">
        <v>0</v>
      </c>
    </row>
  </sheetData>
  <mergeCells count="2">
    <mergeCell ref="A2:B4"/>
    <mergeCell ref="A5:B7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2026-03-06T05:09:42Z</dcterms:created>
  <dcterms:modified xsi:type="dcterms:W3CDTF">2026-03-06T05:09:42Z</dcterms:modified>
</cp:coreProperties>
</file>