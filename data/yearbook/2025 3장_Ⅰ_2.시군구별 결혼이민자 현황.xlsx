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381B8BD-1169-4A2B-954D-5A2F10DAC927}" xr6:coauthVersionLast="47" xr6:coauthVersionMax="47" xr10:uidLastSave="{00000000-0000-0000-0000-000000000000}"/>
  <bookViews>
    <workbookView xWindow="4710" yWindow="255" windowWidth="23355" windowHeight="15150"/>
  </bookViews>
  <sheets>
    <sheet name="2025" sheetId="1" r:id="rId1"/>
  </sheets>
  <definedNames>
    <definedName name="_xlnm._FilterDatabase" localSheetId="0" hidden="1">'2025'!$A$1:$I$807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61" i="1" l="1"/>
  <c r="F761" i="1"/>
  <c r="G761" i="1"/>
  <c r="H761" i="1"/>
  <c r="I761" i="1"/>
  <c r="E762" i="1"/>
  <c r="F762" i="1"/>
  <c r="G762" i="1"/>
  <c r="H762" i="1"/>
  <c r="I762" i="1"/>
  <c r="D762" i="1"/>
  <c r="D761" i="1"/>
  <c r="E704" i="1"/>
  <c r="F704" i="1"/>
  <c r="G704" i="1"/>
  <c r="H704" i="1"/>
  <c r="I704" i="1"/>
  <c r="E705" i="1"/>
  <c r="F705" i="1"/>
  <c r="G705" i="1"/>
  <c r="H705" i="1"/>
  <c r="I705" i="1"/>
  <c r="D705" i="1"/>
  <c r="D704" i="1"/>
  <c r="E659" i="1"/>
  <c r="F659" i="1"/>
  <c r="G659" i="1"/>
  <c r="H659" i="1"/>
  <c r="I659" i="1"/>
  <c r="E660" i="1"/>
  <c r="F660" i="1"/>
  <c r="G660" i="1"/>
  <c r="H660" i="1"/>
  <c r="I660" i="1"/>
  <c r="D660" i="1"/>
  <c r="D659" i="1"/>
  <c r="E608" i="1"/>
  <c r="F608" i="1"/>
  <c r="G608" i="1"/>
  <c r="H608" i="1"/>
  <c r="I608" i="1"/>
  <c r="E609" i="1"/>
  <c r="F609" i="1"/>
  <c r="G609" i="1"/>
  <c r="H609" i="1"/>
  <c r="I609" i="1"/>
  <c r="D609" i="1"/>
  <c r="D608" i="1"/>
  <c r="E599" i="1"/>
  <c r="F599" i="1"/>
  <c r="G599" i="1"/>
  <c r="H599" i="1"/>
  <c r="I599" i="1"/>
  <c r="E600" i="1"/>
  <c r="F600" i="1"/>
  <c r="G600" i="1"/>
  <c r="H600" i="1"/>
  <c r="I600" i="1"/>
  <c r="D599" i="1"/>
  <c r="D600" i="1"/>
  <c r="E530" i="1"/>
  <c r="F530" i="1"/>
  <c r="G530" i="1"/>
  <c r="H530" i="1"/>
  <c r="I530" i="1"/>
  <c r="E531" i="1"/>
  <c r="F531" i="1"/>
  <c r="G531" i="1"/>
  <c r="H531" i="1"/>
  <c r="I531" i="1"/>
  <c r="D531" i="1"/>
  <c r="D530" i="1"/>
  <c r="E497" i="1"/>
  <c r="F497" i="1"/>
  <c r="G497" i="1"/>
  <c r="H497" i="1"/>
  <c r="I497" i="1"/>
  <c r="E498" i="1"/>
  <c r="F498" i="1"/>
  <c r="G498" i="1"/>
  <c r="H498" i="1"/>
  <c r="I498" i="1"/>
  <c r="D498" i="1"/>
  <c r="D497" i="1"/>
  <c r="E479" i="1"/>
  <c r="F479" i="1"/>
  <c r="G479" i="1"/>
  <c r="H479" i="1"/>
  <c r="I479" i="1"/>
  <c r="E480" i="1"/>
  <c r="F480" i="1"/>
  <c r="G480" i="1"/>
  <c r="H480" i="1"/>
  <c r="I480" i="1"/>
  <c r="D480" i="1"/>
  <c r="D479" i="1"/>
  <c r="E398" i="1"/>
  <c r="F398" i="1"/>
  <c r="G398" i="1"/>
  <c r="H398" i="1"/>
  <c r="I398" i="1"/>
  <c r="E399" i="1"/>
  <c r="F399" i="1"/>
  <c r="G399" i="1"/>
  <c r="H399" i="1"/>
  <c r="I399" i="1"/>
  <c r="D398" i="1"/>
  <c r="D399" i="1"/>
  <c r="E347" i="1"/>
  <c r="F347" i="1"/>
  <c r="G347" i="1"/>
  <c r="H347" i="1"/>
  <c r="I347" i="1"/>
  <c r="E348" i="1"/>
  <c r="F348" i="1"/>
  <c r="G348" i="1"/>
  <c r="H348" i="1"/>
  <c r="I348" i="1"/>
  <c r="D348" i="1"/>
  <c r="D347" i="1"/>
  <c r="E329" i="1"/>
  <c r="F329" i="1"/>
  <c r="G329" i="1"/>
  <c r="H329" i="1"/>
  <c r="I329" i="1"/>
  <c r="E330" i="1"/>
  <c r="F330" i="1"/>
  <c r="G330" i="1"/>
  <c r="H330" i="1"/>
  <c r="I330" i="1"/>
  <c r="D330" i="1"/>
  <c r="D329" i="1"/>
  <c r="E299" i="1"/>
  <c r="F299" i="1"/>
  <c r="G299" i="1"/>
  <c r="H299" i="1"/>
  <c r="I299" i="1"/>
  <c r="E300" i="1"/>
  <c r="F300" i="1"/>
  <c r="G300" i="1"/>
  <c r="H300" i="1"/>
  <c r="I300" i="1"/>
  <c r="D300" i="1"/>
  <c r="D299" i="1"/>
  <c r="E281" i="1"/>
  <c r="F281" i="1"/>
  <c r="G281" i="1"/>
  <c r="H281" i="1"/>
  <c r="I281" i="1"/>
  <c r="E282" i="1"/>
  <c r="F282" i="1"/>
  <c r="G282" i="1"/>
  <c r="H282" i="1"/>
  <c r="I282" i="1"/>
  <c r="D282" i="1"/>
  <c r="D281" i="1"/>
  <c r="E210" i="1"/>
  <c r="F210" i="1"/>
  <c r="G210" i="1"/>
  <c r="H210" i="1"/>
  <c r="I210" i="1"/>
  <c r="E211" i="1"/>
  <c r="F211" i="1"/>
  <c r="G211" i="1"/>
  <c r="H211" i="1"/>
  <c r="I211" i="1"/>
  <c r="D211" i="1"/>
  <c r="D210" i="1"/>
  <c r="E141" i="1"/>
  <c r="F141" i="1"/>
  <c r="G141" i="1"/>
  <c r="H141" i="1"/>
  <c r="I141" i="1"/>
  <c r="E142" i="1"/>
  <c r="F142" i="1"/>
  <c r="G142" i="1"/>
  <c r="H142" i="1"/>
  <c r="I142" i="1"/>
  <c r="D142" i="1"/>
  <c r="D141" i="1"/>
  <c r="D3" i="1" s="1"/>
  <c r="E6" i="1"/>
  <c r="E3" i="1" s="1"/>
  <c r="F6" i="1"/>
  <c r="F3" i="1" s="1"/>
  <c r="G6" i="1"/>
  <c r="G3" i="1" s="1"/>
  <c r="H6" i="1"/>
  <c r="H3" i="1" s="1"/>
  <c r="I6" i="1"/>
  <c r="I3" i="1" s="1"/>
  <c r="E7" i="1"/>
  <c r="E4" i="1" s="1"/>
  <c r="F7" i="1"/>
  <c r="F4" i="1" s="1"/>
  <c r="G7" i="1"/>
  <c r="G4" i="1" s="1"/>
  <c r="H7" i="1"/>
  <c r="I7" i="1"/>
  <c r="I4" i="1" s="1"/>
  <c r="D6" i="1"/>
  <c r="D7" i="1"/>
  <c r="D4" i="1" s="1"/>
  <c r="H4" i="1" l="1"/>
</calcChain>
</file>

<file path=xl/sharedStrings.xml><?xml version="1.0" encoding="utf-8"?>
<sst xmlns="http://schemas.openxmlformats.org/spreadsheetml/2006/main" count="2427" uniqueCount="258">
  <si>
    <t>시도</t>
  </si>
  <si>
    <t>시군구</t>
  </si>
  <si>
    <t>성별</t>
  </si>
  <si>
    <t>총합계</t>
  </si>
  <si>
    <t>F2-01(국민배우자)</t>
  </si>
  <si>
    <t>F5-02(국민의배우자)</t>
  </si>
  <si>
    <t>F6-01(국민의배우자)</t>
  </si>
  <si>
    <t>F6-02(자녀양육자)</t>
  </si>
  <si>
    <t>F6-03(혼인단절자)</t>
  </si>
  <si>
    <t>총계</t>
  </si>
  <si>
    <t>경기도</t>
  </si>
  <si>
    <t>가평군</t>
  </si>
  <si>
    <t>남성</t>
  </si>
  <si>
    <t>여성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</si>
  <si>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</si>
  <si>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</si>
  <si>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</si>
  <si>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</si>
  <si>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</si>
  <si>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</si>
  <si>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</si>
  <si>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</si>
  <si>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</si>
  <si>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</si>
  <si>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</si>
  <si>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 소사구</t>
  </si>
  <si>
    <t>부천시 오정구</t>
  </si>
  <si>
    <t>부천시 원미구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</si>
  <si>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</si>
  <si>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</si>
  <si>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</si>
  <si>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</si>
  <si>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</si>
  <si>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</si>
  <si>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</si>
  <si>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</si>
  <si>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</si>
  <si>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</si>
  <si>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</si>
  <si>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</si>
  <si>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</si>
  <si>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</si>
  <si>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</si>
  <si>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</si>
  <si>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</si>
  <si>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</si>
  <si>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</si>
  <si>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</si>
  <si>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</si>
  <si>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</si>
  <si>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</si>
  <si>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</si>
  <si>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</si>
  <si>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</si>
  <si>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</si>
  <si>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</si>
  <si>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</si>
  <si>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경상남도</t>
  </si>
  <si>
    <t>거제시</t>
  </si>
  <si>
    <t>거창군</t>
  </si>
  <si>
    <t>고성군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</si>
  <si>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</si>
  <si>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</si>
  <si>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</si>
  <si>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</si>
  <si>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</si>
  <si>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</si>
  <si>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</si>
  <si>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</si>
  <si>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</si>
  <si>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</si>
  <si>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</si>
  <si>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</si>
  <si>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</si>
  <si>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</si>
  <si>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</si>
  <si>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</si>
  <si>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</si>
  <si>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</si>
  <si>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</si>
  <si>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경상북도</t>
  </si>
  <si>
    <t>경산시</t>
  </si>
  <si>
    <t>경주시</t>
  </si>
  <si>
    <t>고령군</t>
  </si>
  <si>
    <t>구미시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</si>
  <si>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</si>
  <si>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</si>
  <si>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</si>
  <si>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</si>
  <si>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</si>
  <si>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</si>
  <si>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</si>
  <si>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</si>
  <si>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</si>
  <si>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</si>
  <si>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</si>
  <si>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</si>
  <si>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</si>
  <si>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</si>
  <si>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</si>
  <si>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</si>
  <si>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</si>
  <si>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</si>
  <si>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</si>
  <si>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광주광역시</t>
  </si>
  <si>
    <t>광산구</t>
  </si>
  <si>
    <t>남구</t>
  </si>
  <si>
    <t>동구</t>
  </si>
  <si>
    <t>북구</t>
  </si>
  <si>
    <t>서구</t>
  </si>
  <si>
    <t>대구광역시</t>
  </si>
  <si>
    <t>군위군</t>
  </si>
  <si>
    <t>달서구</t>
  </si>
  <si>
    <t>달성군</t>
  </si>
  <si>
    <t>수성구</t>
  </si>
  <si>
    <t>중구</t>
  </si>
  <si>
    <t>대전광역시</t>
  </si>
  <si>
    <t>대덕구</t>
  </si>
  <si>
    <t>유성구</t>
  </si>
  <si>
    <t>부산광역시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</si>
  <si>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</si>
  <si>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</si>
  <si>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</si>
  <si>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</si>
  <si>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</si>
  <si>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</si>
  <si>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</si>
  <si>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</si>
  <si>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</si>
  <si>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</si>
  <si>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</si>
  <si>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서울특별시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</si>
  <si>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</si>
  <si>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</si>
  <si>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</si>
  <si>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</si>
  <si>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</si>
  <si>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</si>
  <si>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</si>
  <si>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</si>
  <si>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</si>
  <si>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</si>
  <si>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</si>
  <si>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</si>
  <si>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</si>
  <si>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</si>
  <si>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</si>
  <si>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</si>
  <si>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</si>
  <si>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</si>
  <si>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</si>
  <si>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</si>
  <si>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</si>
  <si>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</si>
  <si>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</si>
  <si>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세종특별자치시</t>
  </si>
  <si>
    <t>울산광역시</t>
  </si>
  <si>
    <t>울주군</t>
  </si>
  <si>
    <t>인천광역시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</si>
  <si>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</si>
  <si>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</si>
  <si>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</si>
  <si>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</si>
  <si>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</si>
  <si>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</si>
  <si>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</si>
  <si>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</si>
  <si>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</si>
  <si>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</si>
  <si>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</si>
  <si>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</si>
  <si>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</si>
  <si>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</si>
  <si>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</si>
  <si>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</si>
  <si>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</si>
  <si>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</si>
  <si>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</si>
  <si>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</si>
  <si>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</si>
  <si>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</si>
  <si>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</si>
  <si>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</si>
  <si>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</si>
  <si>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</si>
  <si>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</si>
  <si>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</si>
  <si>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</si>
  <si>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</si>
  <si>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제주특별자치도</t>
  </si>
  <si>
    <t>서귀포시</t>
  </si>
  <si>
    <t>제주시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</si>
  <si>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</si>
  <si>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</si>
  <si>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</si>
  <si>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</si>
  <si>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</si>
  <si>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</si>
  <si>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</si>
  <si>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</si>
  <si>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</si>
  <si>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</si>
  <si>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</si>
  <si>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</si>
  <si>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</si>
  <si>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</si>
  <si>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</si>
  <si>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</si>
  <si>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</si>
  <si>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</si>
  <si>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</si>
  <si>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</si>
  <si>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</si>
  <si>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</si>
  <si>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</si>
  <si>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</si>
  <si>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</si>
  <si>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</si>
  <si>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</si>
  <si>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</si>
  <si>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</si>
  <si>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</si>
  <si>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</si>
  <si>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</si>
  <si>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강원특별자치도</t>
  </si>
  <si>
    <t>강릉시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</si>
  <si>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</si>
  <si>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</si>
  <si>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</si>
  <si>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</si>
  <si>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</si>
  <si>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</si>
  <si>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</si>
  <si>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</si>
  <si>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</si>
  <si>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</si>
  <si>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</si>
  <si>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</si>
  <si>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</si>
  <si>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</si>
  <si>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</si>
  <si>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</si>
  <si>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전북특별자치도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</si>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</sst>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7"/>
  <sheetViews>
    <sheetView tabSelected="1" workbookViewId="0"/>
  </sheetViews>
  <sheetFormatPr defaultRowHeight="16.5" x14ac:dyDescent="0.3"/>
  <cols>
    <col min="4" max="9" width="11.625" customWidth="1"/>
  </cols>
  <sheetData>
    <row r="1" spans="1:9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3</v>
      </c>
      <c r="B2" t="s">
        <v>9</v>
      </c>
      <c r="C2" t="s">
        <v>9</v>
      </c>
      <c r="D2" s="1">
        <v>186304</v>
      </c>
      <c r="E2">
        <v>959</v>
      </c>
      <c r="F2" s="1">
        <v>32132</v>
      </c>
      <c r="G2" s="1">
        <v>143237</v>
      </c>
      <c r="H2" s="1">
        <v>5425</v>
      </c>
      <c r="I2" s="1">
        <v>4551</v>
      </c>
    </row>
    <row r="3" spans="1:9" x14ac:dyDescent="0.3">
      <c r="A3" t="s">
        <v>3</v>
      </c>
      <c r="B3" t="s">
        <v>9</v>
      </c>
      <c r="C3" t="s">
        <v>12</v>
      </c>
      <c r="D3" s="1">
        <f>D6+D141+D210+D281+D299+D329+D347+D398+D476+D479+D497+D530+D599+D608+D659+D704+D761</f>
        <v>36793</v>
      </c>
      <c r="E3" s="1">
        <f t="shared" ref="E3:I3" si="0">E6+E141+E210+E281+E299+E329+E347+E398+E476+E479+E497+E530+E599+E608+E659+E704+E761</f>
        <v>64</v>
      </c>
      <c r="F3" s="1">
        <f t="shared" si="0"/>
        <v>4432</v>
      </c>
      <c r="G3" s="1">
        <f t="shared" si="0"/>
        <v>30988</v>
      </c>
      <c r="H3" s="1">
        <f t="shared" si="0"/>
        <v>861</v>
      </c>
      <c r="I3" s="1">
        <f t="shared" si="0"/>
        <v>448</v>
      </c>
    </row>
    <row r="4" spans="1:9" x14ac:dyDescent="0.3">
      <c r="A4" t="s">
        <v>3</v>
      </c>
      <c r="B4" t="s">
        <v>9</v>
      </c>
      <c r="C4" t="s">
        <v>13</v>
      </c>
      <c r="D4" s="1">
        <f>D7+D142+D211+D282+D300+D330+D348+D399+D477+D480+D498+D531+D600+D609+D660+D705+D762</f>
        <v>149511</v>
      </c>
      <c r="E4" s="1">
        <f t="shared" ref="E4:I4" si="1">E7+E142+E211+E282+E300+E330+E348+E399+E477+E480+E498+E531+E600+E609+E660+E705+E762</f>
        <v>895</v>
      </c>
      <c r="F4" s="1">
        <f t="shared" si="1"/>
        <v>27700</v>
      </c>
      <c r="G4" s="1">
        <f t="shared" si="1"/>
        <v>112249</v>
      </c>
      <c r="H4" s="1">
        <f t="shared" si="1"/>
        <v>4564</v>
      </c>
      <c r="I4" s="1">
        <f t="shared" si="1"/>
        <v>4103</v>
      </c>
    </row>
    <row r="5" spans="1:9" x14ac:dyDescent="0.3">
      <c r="A5" t="s">
        <v>10</v>
      </c>
      <c r="B5" t="s">
        <v>9</v>
      </c>
      <c r="C5" t="s">
        <v>9</v>
      </c>
      <c r="D5" s="1">
        <v>58147</v>
      </c>
      <c r="E5">
        <v>220</v>
      </c>
      <c r="F5" s="1">
        <v>11028</v>
      </c>
      <c r="G5" s="1">
        <v>44016</v>
      </c>
      <c r="H5" s="1">
        <v>1429</v>
      </c>
      <c r="I5" s="1">
        <v>1454</v>
      </c>
    </row>
    <row r="6" spans="1:9" x14ac:dyDescent="0.3">
      <c r="A6" t="s">
        <v>10</v>
      </c>
      <c r="B6" t="s">
        <v>9</v>
      </c>
      <c r="C6" t="s">
        <v>12</v>
      </c>
      <c r="D6" s="1">
        <f>D9+D12+D15+D18+D21+D24+D27+D30+D33+D36+D39+D42+D45+D48+D51+D54+D57+D60+D63+D66+D69+D72+D75+D78+D81+D84+D87+D90+D93+D96+D99+D102+D105+D108+D111+D114+D117+D120+D123+D126+D129+D132+D135+D138</f>
        <v>12698</v>
      </c>
      <c r="E6" s="1">
        <f t="shared" ref="E6:I6" si="2">E9+E12+E15+E18+E21+E24+E27+E30+E33+E36+E39+E42+E45+E48+E51+E54+E57+E60+E63+E66+E69+E72+E75+E78+E81+E84+E87+E90+E93+E96+E99+E102+E105+E108+E111+E114+E117+E120+E123+E126+E129+E132+E135+E138</f>
        <v>19</v>
      </c>
      <c r="F6" s="1">
        <f t="shared" si="2"/>
        <v>1702</v>
      </c>
      <c r="G6" s="1">
        <f t="shared" si="2"/>
        <v>10516</v>
      </c>
      <c r="H6" s="1">
        <f t="shared" si="2"/>
        <v>298</v>
      </c>
      <c r="I6" s="1">
        <f t="shared" si="2"/>
        <v>163</v>
      </c>
    </row>
    <row r="7" spans="1:9" x14ac:dyDescent="0.3">
      <c r="A7" t="s">
        <v>10</v>
      </c>
      <c r="B7" t="s">
        <v>9</v>
      </c>
      <c r="C7" t="s">
        <v>13</v>
      </c>
      <c r="D7" s="1">
        <f>D10+D13+D16+D19+D22+D25+D28+D31+D34+D37+D40+D43+D46+D49+D52+D55+D58+D61+D64+D67+D70+D73+D76+D79+D82+D85+D88+D91+D94+D97+D100+D103+D106+D109+D112+D115+D118+D121+D124+D127+D130+D133+D136+D139</f>
        <v>45449</v>
      </c>
      <c r="E7" s="1">
        <f t="shared" ref="E7:I7" si="3">E10+E13+E16+E19+E22+E25+E28+E31+E34+E37+E40+E43+E46+E49+E52+E55+E58+E61+E64+E67+E70+E73+E76+E79+E82+E85+E88+E91+E94+E97+E100+E103+E106+E109+E112+E115+E118+E121+E124+E127+E130+E133+E136+E139</f>
        <v>201</v>
      </c>
      <c r="F7" s="1">
        <f t="shared" si="3"/>
        <v>9326</v>
      </c>
      <c r="G7" s="1">
        <f t="shared" si="3"/>
        <v>33500</v>
      </c>
      <c r="H7" s="1">
        <f t="shared" si="3"/>
        <v>1131</v>
      </c>
      <c r="I7" s="1">
        <f t="shared" si="3"/>
        <v>1291</v>
      </c>
    </row>
    <row r="8" spans="1:9" x14ac:dyDescent="0.3">
      <c r="A8" t="s">
        <v>10</v>
      </c>
      <c r="B8" t="s">
        <v>11</v>
      </c>
      <c r="C8" t="s">
        <v>9</v>
      </c>
      <c r="D8">
        <v>474</v>
      </c>
      <c r="E8">
        <v>4</v>
      </c>
      <c r="F8">
        <v>195</v>
      </c>
      <c r="G8">
        <v>264</v>
      </c>
      <c r="H8">
        <v>3</v>
      </c>
      <c r="I8">
        <v>8</v>
      </c>
    </row>
    <row r="9" spans="1:9" x14ac:dyDescent="0.3">
      <c r="A9" t="s">
        <v>10</v>
      </c>
      <c r="B9" t="s">
        <v>11</v>
      </c>
      <c r="C9" t="s">
        <v>12</v>
      </c>
      <c r="D9">
        <v>85</v>
      </c>
      <c r="E9">
        <v>0</v>
      </c>
      <c r="F9">
        <v>39</v>
      </c>
      <c r="G9">
        <v>46</v>
      </c>
      <c r="H9">
        <v>0</v>
      </c>
      <c r="I9">
        <v>0</v>
      </c>
    </row>
    <row r="10" spans="1:9" x14ac:dyDescent="0.3">
      <c r="A10" t="s">
        <v>10</v>
      </c>
      <c r="B10" t="s">
        <v>11</v>
      </c>
      <c r="C10" t="s">
        <v>13</v>
      </c>
      <c r="D10">
        <v>389</v>
      </c>
      <c r="E10">
        <v>4</v>
      </c>
      <c r="F10">
        <v>156</v>
      </c>
      <c r="G10">
        <v>218</v>
      </c>
      <c r="H10">
        <v>3</v>
      </c>
      <c r="I10">
        <v>8</v>
      </c>
    </row>
    <row r="11" spans="1:9" x14ac:dyDescent="0.3">
      <c r="A11" t="s">
        <v>10</v>
      </c>
      <c r="B11" t="s">
        <v>14</v>
      </c>
      <c r="C11" t="s">
        <v>9</v>
      </c>
      <c r="D11" s="1">
        <v>1556</v>
      </c>
      <c r="E11">
        <v>5</v>
      </c>
      <c r="F11">
        <v>292</v>
      </c>
      <c r="G11" s="1">
        <v>1236</v>
      </c>
      <c r="H11">
        <v>10</v>
      </c>
      <c r="I11">
        <v>13</v>
      </c>
    </row>
    <row r="12" spans="1:9" x14ac:dyDescent="0.3">
      <c r="A12" t="s">
        <v>10</v>
      </c>
      <c r="B12" t="s">
        <v>14</v>
      </c>
      <c r="C12" t="s">
        <v>12</v>
      </c>
      <c r="D12">
        <v>279</v>
      </c>
      <c r="E12">
        <v>0</v>
      </c>
      <c r="F12">
        <v>49</v>
      </c>
      <c r="G12">
        <v>226</v>
      </c>
      <c r="H12">
        <v>3</v>
      </c>
      <c r="I12">
        <v>1</v>
      </c>
    </row>
    <row r="13" spans="1:9" x14ac:dyDescent="0.3">
      <c r="A13" t="s">
        <v>10</v>
      </c>
      <c r="B13" t="s">
        <v>14</v>
      </c>
      <c r="C13" t="s">
        <v>13</v>
      </c>
      <c r="D13" s="1">
        <v>1277</v>
      </c>
      <c r="E13">
        <v>5</v>
      </c>
      <c r="F13">
        <v>243</v>
      </c>
      <c r="G13" s="1">
        <v>1010</v>
      </c>
      <c r="H13">
        <v>7</v>
      </c>
      <c r="I13">
        <v>12</v>
      </c>
    </row>
    <row r="14" spans="1:9" x14ac:dyDescent="0.3">
      <c r="A14" t="s">
        <v>10</v>
      </c>
      <c r="B14" t="s">
        <v>15</v>
      </c>
      <c r="C14" t="s">
        <v>9</v>
      </c>
      <c r="D14">
        <v>980</v>
      </c>
      <c r="E14">
        <v>1</v>
      </c>
      <c r="F14">
        <v>173</v>
      </c>
      <c r="G14">
        <v>772</v>
      </c>
      <c r="H14">
        <v>13</v>
      </c>
      <c r="I14">
        <v>21</v>
      </c>
    </row>
    <row r="15" spans="1:9" x14ac:dyDescent="0.3">
      <c r="A15" t="s">
        <v>10</v>
      </c>
      <c r="B15" t="s">
        <v>15</v>
      </c>
      <c r="C15" t="s">
        <v>12</v>
      </c>
      <c r="D15">
        <v>222</v>
      </c>
      <c r="E15">
        <v>0</v>
      </c>
      <c r="F15">
        <v>26</v>
      </c>
      <c r="G15">
        <v>192</v>
      </c>
      <c r="H15">
        <v>4</v>
      </c>
      <c r="I15">
        <v>0</v>
      </c>
    </row>
    <row r="16" spans="1:9" x14ac:dyDescent="0.3">
      <c r="A16" t="s">
        <v>10</v>
      </c>
      <c r="B16" t="s">
        <v>15</v>
      </c>
      <c r="C16" t="s">
        <v>13</v>
      </c>
      <c r="D16">
        <v>758</v>
      </c>
      <c r="E16">
        <v>1</v>
      </c>
      <c r="F16">
        <v>147</v>
      </c>
      <c r="G16">
        <v>580</v>
      </c>
      <c r="H16">
        <v>9</v>
      </c>
      <c r="I16">
        <v>21</v>
      </c>
    </row>
    <row r="17" spans="1:9" x14ac:dyDescent="0.3">
      <c r="A17" t="s">
        <v>10</v>
      </c>
      <c r="B17" t="s">
        <v>16</v>
      </c>
      <c r="C17" t="s">
        <v>9</v>
      </c>
      <c r="D17">
        <v>751</v>
      </c>
      <c r="E17">
        <v>2</v>
      </c>
      <c r="F17">
        <v>161</v>
      </c>
      <c r="G17">
        <v>561</v>
      </c>
      <c r="H17">
        <v>12</v>
      </c>
      <c r="I17">
        <v>15</v>
      </c>
    </row>
    <row r="18" spans="1:9" x14ac:dyDescent="0.3">
      <c r="A18" t="s">
        <v>10</v>
      </c>
      <c r="B18" t="s">
        <v>16</v>
      </c>
      <c r="C18" t="s">
        <v>12</v>
      </c>
      <c r="D18">
        <v>154</v>
      </c>
      <c r="E18">
        <v>0</v>
      </c>
      <c r="F18">
        <v>32</v>
      </c>
      <c r="G18">
        <v>122</v>
      </c>
      <c r="H18">
        <v>0</v>
      </c>
      <c r="I18">
        <v>0</v>
      </c>
    </row>
    <row r="19" spans="1:9" x14ac:dyDescent="0.3">
      <c r="A19" t="s">
        <v>10</v>
      </c>
      <c r="B19" t="s">
        <v>16</v>
      </c>
      <c r="C19" t="s">
        <v>13</v>
      </c>
      <c r="D19">
        <v>597</v>
      </c>
      <c r="E19">
        <v>2</v>
      </c>
      <c r="F19">
        <v>129</v>
      </c>
      <c r="G19">
        <v>439</v>
      </c>
      <c r="H19">
        <v>12</v>
      </c>
      <c r="I19">
        <v>15</v>
      </c>
    </row>
    <row r="20" spans="1:9" x14ac:dyDescent="0.3">
      <c r="A20" t="s">
        <v>10</v>
      </c>
      <c r="B20" t="s">
        <v>17</v>
      </c>
      <c r="C20" t="s">
        <v>9</v>
      </c>
      <c r="D20">
        <v>129</v>
      </c>
      <c r="E20">
        <v>0</v>
      </c>
      <c r="F20">
        <v>23</v>
      </c>
      <c r="G20">
        <v>105</v>
      </c>
      <c r="H20">
        <v>0</v>
      </c>
      <c r="I20">
        <v>1</v>
      </c>
    </row>
    <row r="21" spans="1:9" x14ac:dyDescent="0.3">
      <c r="A21" t="s">
        <v>10</v>
      </c>
      <c r="B21" t="s">
        <v>17</v>
      </c>
      <c r="C21" t="s">
        <v>12</v>
      </c>
      <c r="D21">
        <v>32</v>
      </c>
      <c r="E21">
        <v>0</v>
      </c>
      <c r="F21">
        <v>4</v>
      </c>
      <c r="G21">
        <v>28</v>
      </c>
      <c r="H21">
        <v>0</v>
      </c>
      <c r="I21">
        <v>0</v>
      </c>
    </row>
    <row r="22" spans="1:9" x14ac:dyDescent="0.3">
      <c r="A22" t="s">
        <v>10</v>
      </c>
      <c r="B22" t="s">
        <v>17</v>
      </c>
      <c r="C22" t="s">
        <v>13</v>
      </c>
      <c r="D22">
        <v>97</v>
      </c>
      <c r="E22">
        <v>0</v>
      </c>
      <c r="F22">
        <v>19</v>
      </c>
      <c r="G22">
        <v>77</v>
      </c>
      <c r="H22">
        <v>0</v>
      </c>
      <c r="I22">
        <v>1</v>
      </c>
    </row>
    <row r="23" spans="1:9" x14ac:dyDescent="0.3">
      <c r="A23" t="s">
        <v>10</v>
      </c>
      <c r="B23" t="s">
        <v>18</v>
      </c>
      <c r="C23" t="s">
        <v>9</v>
      </c>
      <c r="D23">
        <v>739</v>
      </c>
      <c r="E23">
        <v>8</v>
      </c>
      <c r="F23">
        <v>151</v>
      </c>
      <c r="G23">
        <v>561</v>
      </c>
      <c r="H23">
        <v>13</v>
      </c>
      <c r="I23">
        <v>6</v>
      </c>
    </row>
    <row r="24" spans="1:9" x14ac:dyDescent="0.3">
      <c r="A24" t="s">
        <v>10</v>
      </c>
      <c r="B24" t="s">
        <v>18</v>
      </c>
      <c r="C24" t="s">
        <v>12</v>
      </c>
      <c r="D24">
        <v>157</v>
      </c>
      <c r="E24">
        <v>1</v>
      </c>
      <c r="F24">
        <v>29</v>
      </c>
      <c r="G24">
        <v>125</v>
      </c>
      <c r="H24">
        <v>2</v>
      </c>
      <c r="I24">
        <v>0</v>
      </c>
    </row>
    <row r="25" spans="1:9" x14ac:dyDescent="0.3">
      <c r="A25" t="s">
        <v>10</v>
      </c>
      <c r="B25" t="s">
        <v>18</v>
      </c>
      <c r="C25" t="s">
        <v>13</v>
      </c>
      <c r="D25">
        <v>582</v>
      </c>
      <c r="E25">
        <v>7</v>
      </c>
      <c r="F25">
        <v>122</v>
      </c>
      <c r="G25">
        <v>436</v>
      </c>
      <c r="H25">
        <v>11</v>
      </c>
      <c r="I25">
        <v>6</v>
      </c>
    </row>
    <row r="26" spans="1:9" x14ac:dyDescent="0.3">
      <c r="A26" t="s">
        <v>10</v>
      </c>
      <c r="B26" t="s">
        <v>19</v>
      </c>
      <c r="C26" t="s">
        <v>9</v>
      </c>
      <c r="D26" s="1">
        <v>1702</v>
      </c>
      <c r="E26">
        <v>5</v>
      </c>
      <c r="F26">
        <v>303</v>
      </c>
      <c r="G26" s="1">
        <v>1319</v>
      </c>
      <c r="H26">
        <v>44</v>
      </c>
      <c r="I26">
        <v>31</v>
      </c>
    </row>
    <row r="27" spans="1:9" x14ac:dyDescent="0.3">
      <c r="A27" t="s">
        <v>10</v>
      </c>
      <c r="B27" t="s">
        <v>19</v>
      </c>
      <c r="C27" t="s">
        <v>12</v>
      </c>
      <c r="D27">
        <v>324</v>
      </c>
      <c r="E27">
        <v>0</v>
      </c>
      <c r="F27">
        <v>45</v>
      </c>
      <c r="G27">
        <v>271</v>
      </c>
      <c r="H27">
        <v>7</v>
      </c>
      <c r="I27">
        <v>1</v>
      </c>
    </row>
    <row r="28" spans="1:9" x14ac:dyDescent="0.3">
      <c r="A28" t="s">
        <v>10</v>
      </c>
      <c r="B28" t="s">
        <v>19</v>
      </c>
      <c r="C28" t="s">
        <v>13</v>
      </c>
      <c r="D28" s="1">
        <v>1378</v>
      </c>
      <c r="E28">
        <v>5</v>
      </c>
      <c r="F28">
        <v>258</v>
      </c>
      <c r="G28" s="1">
        <v>1048</v>
      </c>
      <c r="H28">
        <v>37</v>
      </c>
      <c r="I28">
        <v>30</v>
      </c>
    </row>
    <row r="29" spans="1:9" x14ac:dyDescent="0.3">
      <c r="A29" t="s">
        <v>10</v>
      </c>
      <c r="B29" t="s">
        <v>20</v>
      </c>
      <c r="C29" t="s">
        <v>9</v>
      </c>
      <c r="D29">
        <v>453</v>
      </c>
      <c r="E29">
        <v>4</v>
      </c>
      <c r="F29">
        <v>101</v>
      </c>
      <c r="G29">
        <v>328</v>
      </c>
      <c r="H29">
        <v>9</v>
      </c>
      <c r="I29">
        <v>11</v>
      </c>
    </row>
    <row r="30" spans="1:9" x14ac:dyDescent="0.3">
      <c r="A30" t="s">
        <v>10</v>
      </c>
      <c r="B30" t="s">
        <v>20</v>
      </c>
      <c r="C30" t="s">
        <v>12</v>
      </c>
      <c r="D30">
        <v>76</v>
      </c>
      <c r="E30">
        <v>0</v>
      </c>
      <c r="F30">
        <v>13</v>
      </c>
      <c r="G30">
        <v>59</v>
      </c>
      <c r="H30">
        <v>2</v>
      </c>
      <c r="I30">
        <v>2</v>
      </c>
    </row>
    <row r="31" spans="1:9" x14ac:dyDescent="0.3">
      <c r="A31" t="s">
        <v>10</v>
      </c>
      <c r="B31" t="s">
        <v>20</v>
      </c>
      <c r="C31" t="s">
        <v>13</v>
      </c>
      <c r="D31">
        <v>377</v>
      </c>
      <c r="E31">
        <v>4</v>
      </c>
      <c r="F31">
        <v>88</v>
      </c>
      <c r="G31">
        <v>269</v>
      </c>
      <c r="H31">
        <v>7</v>
      </c>
      <c r="I31">
        <v>9</v>
      </c>
    </row>
    <row r="32" spans="1:9" x14ac:dyDescent="0.3">
      <c r="A32" t="s">
        <v>10</v>
      </c>
      <c r="B32" t="s">
        <v>21</v>
      </c>
      <c r="C32" t="s">
        <v>9</v>
      </c>
      <c r="D32" s="1">
        <v>1073</v>
      </c>
      <c r="E32">
        <v>2</v>
      </c>
      <c r="F32">
        <v>238</v>
      </c>
      <c r="G32">
        <v>768</v>
      </c>
      <c r="H32">
        <v>36</v>
      </c>
      <c r="I32">
        <v>29</v>
      </c>
    </row>
    <row r="33" spans="1:9" x14ac:dyDescent="0.3">
      <c r="A33" t="s">
        <v>10</v>
      </c>
      <c r="B33" t="s">
        <v>21</v>
      </c>
      <c r="C33" t="s">
        <v>12</v>
      </c>
      <c r="D33">
        <v>278</v>
      </c>
      <c r="E33">
        <v>0</v>
      </c>
      <c r="F33">
        <v>42</v>
      </c>
      <c r="G33">
        <v>225</v>
      </c>
      <c r="H33">
        <v>10</v>
      </c>
      <c r="I33">
        <v>1</v>
      </c>
    </row>
    <row r="34" spans="1:9" x14ac:dyDescent="0.3">
      <c r="A34" t="s">
        <v>10</v>
      </c>
      <c r="B34" t="s">
        <v>21</v>
      </c>
      <c r="C34" t="s">
        <v>13</v>
      </c>
      <c r="D34">
        <v>795</v>
      </c>
      <c r="E34">
        <v>2</v>
      </c>
      <c r="F34">
        <v>196</v>
      </c>
      <c r="G34">
        <v>543</v>
      </c>
      <c r="H34">
        <v>26</v>
      </c>
      <c r="I34">
        <v>28</v>
      </c>
    </row>
    <row r="35" spans="1:9" x14ac:dyDescent="0.3">
      <c r="A35" t="s">
        <v>10</v>
      </c>
      <c r="B35" t="s">
        <v>22</v>
      </c>
      <c r="C35" t="s">
        <v>9</v>
      </c>
      <c r="D35" s="1">
        <v>2374</v>
      </c>
      <c r="E35">
        <v>4</v>
      </c>
      <c r="F35">
        <v>351</v>
      </c>
      <c r="G35" s="1">
        <v>1891</v>
      </c>
      <c r="H35">
        <v>73</v>
      </c>
      <c r="I35">
        <v>55</v>
      </c>
    </row>
    <row r="36" spans="1:9" x14ac:dyDescent="0.3">
      <c r="A36" t="s">
        <v>10</v>
      </c>
      <c r="B36" t="s">
        <v>22</v>
      </c>
      <c r="C36" t="s">
        <v>12</v>
      </c>
      <c r="D36">
        <v>563</v>
      </c>
      <c r="E36">
        <v>1</v>
      </c>
      <c r="F36">
        <v>53</v>
      </c>
      <c r="G36">
        <v>474</v>
      </c>
      <c r="H36">
        <v>24</v>
      </c>
      <c r="I36">
        <v>11</v>
      </c>
    </row>
    <row r="37" spans="1:9" x14ac:dyDescent="0.3">
      <c r="A37" t="s">
        <v>10</v>
      </c>
      <c r="B37" t="s">
        <v>22</v>
      </c>
      <c r="C37" t="s">
        <v>13</v>
      </c>
      <c r="D37" s="1">
        <v>1811</v>
      </c>
      <c r="E37">
        <v>3</v>
      </c>
      <c r="F37">
        <v>298</v>
      </c>
      <c r="G37" s="1">
        <v>1417</v>
      </c>
      <c r="H37">
        <v>49</v>
      </c>
      <c r="I37">
        <v>44</v>
      </c>
    </row>
    <row r="38" spans="1:9" x14ac:dyDescent="0.3">
      <c r="A38" t="s">
        <v>10</v>
      </c>
      <c r="B38" t="s">
        <v>23</v>
      </c>
      <c r="C38" t="s">
        <v>9</v>
      </c>
      <c r="D38" s="1">
        <v>2058</v>
      </c>
      <c r="E38">
        <v>4</v>
      </c>
      <c r="F38">
        <v>422</v>
      </c>
      <c r="G38" s="1">
        <v>1573</v>
      </c>
      <c r="H38">
        <v>25</v>
      </c>
      <c r="I38">
        <v>34</v>
      </c>
    </row>
    <row r="39" spans="1:9" x14ac:dyDescent="0.3">
      <c r="A39" t="s">
        <v>10</v>
      </c>
      <c r="B39" t="s">
        <v>23</v>
      </c>
      <c r="C39" t="s">
        <v>12</v>
      </c>
      <c r="D39">
        <v>318</v>
      </c>
      <c r="E39">
        <v>1</v>
      </c>
      <c r="F39">
        <v>46</v>
      </c>
      <c r="G39">
        <v>263</v>
      </c>
      <c r="H39">
        <v>4</v>
      </c>
      <c r="I39">
        <v>4</v>
      </c>
    </row>
    <row r="40" spans="1:9" x14ac:dyDescent="0.3">
      <c r="A40" t="s">
        <v>10</v>
      </c>
      <c r="B40" t="s">
        <v>23</v>
      </c>
      <c r="C40" t="s">
        <v>13</v>
      </c>
      <c r="D40" s="1">
        <v>1740</v>
      </c>
      <c r="E40">
        <v>3</v>
      </c>
      <c r="F40">
        <v>376</v>
      </c>
      <c r="G40" s="1">
        <v>1310</v>
      </c>
      <c r="H40">
        <v>21</v>
      </c>
      <c r="I40">
        <v>30</v>
      </c>
    </row>
    <row r="41" spans="1:9" x14ac:dyDescent="0.3">
      <c r="A41" t="s">
        <v>10</v>
      </c>
      <c r="B41" t="s">
        <v>24</v>
      </c>
      <c r="C41" t="s">
        <v>9</v>
      </c>
      <c r="D41">
        <v>542</v>
      </c>
      <c r="E41">
        <v>6</v>
      </c>
      <c r="F41">
        <v>79</v>
      </c>
      <c r="G41">
        <v>412</v>
      </c>
      <c r="H41">
        <v>19</v>
      </c>
      <c r="I41">
        <v>26</v>
      </c>
    </row>
    <row r="42" spans="1:9" x14ac:dyDescent="0.3">
      <c r="A42" t="s">
        <v>10</v>
      </c>
      <c r="B42" t="s">
        <v>24</v>
      </c>
      <c r="C42" t="s">
        <v>12</v>
      </c>
      <c r="D42">
        <v>125</v>
      </c>
      <c r="E42">
        <v>2</v>
      </c>
      <c r="F42">
        <v>13</v>
      </c>
      <c r="G42">
        <v>98</v>
      </c>
      <c r="H42">
        <v>3</v>
      </c>
      <c r="I42">
        <v>9</v>
      </c>
    </row>
    <row r="43" spans="1:9" x14ac:dyDescent="0.3">
      <c r="A43" t="s">
        <v>10</v>
      </c>
      <c r="B43" t="s">
        <v>24</v>
      </c>
      <c r="C43" t="s">
        <v>13</v>
      </c>
      <c r="D43">
        <v>417</v>
      </c>
      <c r="E43">
        <v>4</v>
      </c>
      <c r="F43">
        <v>66</v>
      </c>
      <c r="G43">
        <v>314</v>
      </c>
      <c r="H43">
        <v>16</v>
      </c>
      <c r="I43">
        <v>17</v>
      </c>
    </row>
    <row r="44" spans="1:9" x14ac:dyDescent="0.3">
      <c r="A44" t="s">
        <v>10</v>
      </c>
      <c r="B44" t="s">
        <v>25</v>
      </c>
      <c r="C44" t="s">
        <v>9</v>
      </c>
      <c r="D44" s="1">
        <v>1514</v>
      </c>
      <c r="E44">
        <v>7</v>
      </c>
      <c r="F44">
        <v>280</v>
      </c>
      <c r="G44" s="1">
        <v>1179</v>
      </c>
      <c r="H44">
        <v>18</v>
      </c>
      <c r="I44">
        <v>30</v>
      </c>
    </row>
    <row r="45" spans="1:9" x14ac:dyDescent="0.3">
      <c r="A45" t="s">
        <v>10</v>
      </c>
      <c r="B45" t="s">
        <v>25</v>
      </c>
      <c r="C45" t="s">
        <v>12</v>
      </c>
      <c r="D45">
        <v>538</v>
      </c>
      <c r="E45">
        <v>0</v>
      </c>
      <c r="F45">
        <v>48</v>
      </c>
      <c r="G45">
        <v>480</v>
      </c>
      <c r="H45">
        <v>3</v>
      </c>
      <c r="I45">
        <v>7</v>
      </c>
    </row>
    <row r="46" spans="1:9" x14ac:dyDescent="0.3">
      <c r="A46" t="s">
        <v>10</v>
      </c>
      <c r="B46" t="s">
        <v>25</v>
      </c>
      <c r="C46" t="s">
        <v>13</v>
      </c>
      <c r="D46">
        <v>976</v>
      </c>
      <c r="E46">
        <v>7</v>
      </c>
      <c r="F46">
        <v>232</v>
      </c>
      <c r="G46">
        <v>699</v>
      </c>
      <c r="H46">
        <v>15</v>
      </c>
      <c r="I46">
        <v>23</v>
      </c>
    </row>
    <row r="47" spans="1:9" x14ac:dyDescent="0.3">
      <c r="A47" t="s">
        <v>10</v>
      </c>
      <c r="B47" t="s">
        <v>26</v>
      </c>
      <c r="C47" t="s">
        <v>9</v>
      </c>
      <c r="D47">
        <v>720</v>
      </c>
      <c r="E47">
        <v>2</v>
      </c>
      <c r="F47">
        <v>120</v>
      </c>
      <c r="G47">
        <v>553</v>
      </c>
      <c r="H47">
        <v>23</v>
      </c>
      <c r="I47">
        <v>22</v>
      </c>
    </row>
    <row r="48" spans="1:9" x14ac:dyDescent="0.3">
      <c r="A48" t="s">
        <v>10</v>
      </c>
      <c r="B48" t="s">
        <v>26</v>
      </c>
      <c r="C48" t="s">
        <v>12</v>
      </c>
      <c r="D48">
        <v>132</v>
      </c>
      <c r="E48">
        <v>0</v>
      </c>
      <c r="F48">
        <v>9</v>
      </c>
      <c r="G48">
        <v>116</v>
      </c>
      <c r="H48">
        <v>5</v>
      </c>
      <c r="I48">
        <v>2</v>
      </c>
    </row>
    <row r="49" spans="1:9" x14ac:dyDescent="0.3">
      <c r="A49" t="s">
        <v>10</v>
      </c>
      <c r="B49" t="s">
        <v>26</v>
      </c>
      <c r="C49" t="s">
        <v>13</v>
      </c>
      <c r="D49">
        <v>588</v>
      </c>
      <c r="E49">
        <v>2</v>
      </c>
      <c r="F49">
        <v>111</v>
      </c>
      <c r="G49">
        <v>437</v>
      </c>
      <c r="H49">
        <v>18</v>
      </c>
      <c r="I49">
        <v>20</v>
      </c>
    </row>
    <row r="50" spans="1:9" x14ac:dyDescent="0.3">
      <c r="A50" t="s">
        <v>10</v>
      </c>
      <c r="B50" t="s">
        <v>27</v>
      </c>
      <c r="C50" t="s">
        <v>9</v>
      </c>
      <c r="D50" s="1">
        <v>1927</v>
      </c>
      <c r="E50">
        <v>12</v>
      </c>
      <c r="F50">
        <v>389</v>
      </c>
      <c r="G50" s="1">
        <v>1400</v>
      </c>
      <c r="H50">
        <v>63</v>
      </c>
      <c r="I50">
        <v>63</v>
      </c>
    </row>
    <row r="51" spans="1:9" x14ac:dyDescent="0.3">
      <c r="A51" t="s">
        <v>10</v>
      </c>
      <c r="B51" t="s">
        <v>27</v>
      </c>
      <c r="C51" t="s">
        <v>12</v>
      </c>
      <c r="D51">
        <v>571</v>
      </c>
      <c r="E51">
        <v>2</v>
      </c>
      <c r="F51">
        <v>83</v>
      </c>
      <c r="G51">
        <v>466</v>
      </c>
      <c r="H51">
        <v>14</v>
      </c>
      <c r="I51">
        <v>6</v>
      </c>
    </row>
    <row r="52" spans="1:9" x14ac:dyDescent="0.3">
      <c r="A52" t="s">
        <v>10</v>
      </c>
      <c r="B52" t="s">
        <v>27</v>
      </c>
      <c r="C52" t="s">
        <v>13</v>
      </c>
      <c r="D52" s="1">
        <v>1356</v>
      </c>
      <c r="E52">
        <v>10</v>
      </c>
      <c r="F52">
        <v>306</v>
      </c>
      <c r="G52">
        <v>934</v>
      </c>
      <c r="H52">
        <v>49</v>
      </c>
      <c r="I52">
        <v>57</v>
      </c>
    </row>
    <row r="53" spans="1:9" x14ac:dyDescent="0.3">
      <c r="A53" t="s">
        <v>10</v>
      </c>
      <c r="B53" t="s">
        <v>28</v>
      </c>
      <c r="C53" t="s">
        <v>9</v>
      </c>
      <c r="D53">
        <v>802</v>
      </c>
      <c r="E53">
        <v>2</v>
      </c>
      <c r="F53">
        <v>141</v>
      </c>
      <c r="G53">
        <v>645</v>
      </c>
      <c r="H53">
        <v>8</v>
      </c>
      <c r="I53">
        <v>6</v>
      </c>
    </row>
    <row r="54" spans="1:9" x14ac:dyDescent="0.3">
      <c r="A54" t="s">
        <v>10</v>
      </c>
      <c r="B54" t="s">
        <v>28</v>
      </c>
      <c r="C54" t="s">
        <v>12</v>
      </c>
      <c r="D54">
        <v>241</v>
      </c>
      <c r="E54">
        <v>0</v>
      </c>
      <c r="F54">
        <v>34</v>
      </c>
      <c r="G54">
        <v>203</v>
      </c>
      <c r="H54">
        <v>2</v>
      </c>
      <c r="I54">
        <v>2</v>
      </c>
    </row>
    <row r="55" spans="1:9" x14ac:dyDescent="0.3">
      <c r="A55" t="s">
        <v>10</v>
      </c>
      <c r="B55" t="s">
        <v>28</v>
      </c>
      <c r="C55" t="s">
        <v>13</v>
      </c>
      <c r="D55">
        <v>561</v>
      </c>
      <c r="E55">
        <v>2</v>
      </c>
      <c r="F55">
        <v>107</v>
      </c>
      <c r="G55">
        <v>442</v>
      </c>
      <c r="H55">
        <v>6</v>
      </c>
      <c r="I55">
        <v>4</v>
      </c>
    </row>
    <row r="56" spans="1:9" x14ac:dyDescent="0.3">
      <c r="A56" t="s">
        <v>10</v>
      </c>
      <c r="B56" t="s">
        <v>29</v>
      </c>
      <c r="C56" t="s">
        <v>9</v>
      </c>
      <c r="D56">
        <v>961</v>
      </c>
      <c r="E56">
        <v>6</v>
      </c>
      <c r="F56">
        <v>202</v>
      </c>
      <c r="G56">
        <v>719</v>
      </c>
      <c r="H56">
        <v>13</v>
      </c>
      <c r="I56">
        <v>21</v>
      </c>
    </row>
    <row r="57" spans="1:9" x14ac:dyDescent="0.3">
      <c r="A57" t="s">
        <v>10</v>
      </c>
      <c r="B57" t="s">
        <v>29</v>
      </c>
      <c r="C57" t="s">
        <v>12</v>
      </c>
      <c r="D57">
        <v>215</v>
      </c>
      <c r="E57">
        <v>0</v>
      </c>
      <c r="F57">
        <v>32</v>
      </c>
      <c r="G57">
        <v>180</v>
      </c>
      <c r="H57">
        <v>1</v>
      </c>
      <c r="I57">
        <v>2</v>
      </c>
    </row>
    <row r="58" spans="1:9" x14ac:dyDescent="0.3">
      <c r="A58" t="s">
        <v>10</v>
      </c>
      <c r="B58" t="s">
        <v>29</v>
      </c>
      <c r="C58" t="s">
        <v>13</v>
      </c>
      <c r="D58">
        <v>746</v>
      </c>
      <c r="E58">
        <v>6</v>
      </c>
      <c r="F58">
        <v>170</v>
      </c>
      <c r="G58">
        <v>539</v>
      </c>
      <c r="H58">
        <v>12</v>
      </c>
      <c r="I58">
        <v>19</v>
      </c>
    </row>
    <row r="59" spans="1:9" x14ac:dyDescent="0.3">
      <c r="A59" t="s">
        <v>10</v>
      </c>
      <c r="B59" t="s">
        <v>30</v>
      </c>
      <c r="C59" t="s">
        <v>9</v>
      </c>
      <c r="D59">
        <v>681</v>
      </c>
      <c r="E59">
        <v>8</v>
      </c>
      <c r="F59">
        <v>136</v>
      </c>
      <c r="G59">
        <v>510</v>
      </c>
      <c r="H59">
        <v>15</v>
      </c>
      <c r="I59">
        <v>12</v>
      </c>
    </row>
    <row r="60" spans="1:9" x14ac:dyDescent="0.3">
      <c r="A60" t="s">
        <v>10</v>
      </c>
      <c r="B60" t="s">
        <v>30</v>
      </c>
      <c r="C60" t="s">
        <v>12</v>
      </c>
      <c r="D60">
        <v>109</v>
      </c>
      <c r="E60">
        <v>1</v>
      </c>
      <c r="F60">
        <v>16</v>
      </c>
      <c r="G60">
        <v>90</v>
      </c>
      <c r="H60">
        <v>2</v>
      </c>
      <c r="I60">
        <v>0</v>
      </c>
    </row>
    <row r="61" spans="1:9" x14ac:dyDescent="0.3">
      <c r="A61" t="s">
        <v>10</v>
      </c>
      <c r="B61" t="s">
        <v>30</v>
      </c>
      <c r="C61" t="s">
        <v>13</v>
      </c>
      <c r="D61">
        <v>572</v>
      </c>
      <c r="E61">
        <v>7</v>
      </c>
      <c r="F61">
        <v>120</v>
      </c>
      <c r="G61">
        <v>420</v>
      </c>
      <c r="H61">
        <v>13</v>
      </c>
      <c r="I61">
        <v>12</v>
      </c>
    </row>
    <row r="62" spans="1:9" x14ac:dyDescent="0.3">
      <c r="A62" t="s">
        <v>10</v>
      </c>
      <c r="B62" t="s">
        <v>31</v>
      </c>
      <c r="C62" t="s">
        <v>9</v>
      </c>
      <c r="D62" s="1">
        <v>1635</v>
      </c>
      <c r="E62">
        <v>5</v>
      </c>
      <c r="F62">
        <v>319</v>
      </c>
      <c r="G62" s="1">
        <v>1232</v>
      </c>
      <c r="H62">
        <v>36</v>
      </c>
      <c r="I62">
        <v>43</v>
      </c>
    </row>
    <row r="63" spans="1:9" x14ac:dyDescent="0.3">
      <c r="A63" t="s">
        <v>10</v>
      </c>
      <c r="B63" t="s">
        <v>31</v>
      </c>
      <c r="C63" t="s">
        <v>12</v>
      </c>
      <c r="D63">
        <v>365</v>
      </c>
      <c r="E63">
        <v>1</v>
      </c>
      <c r="F63">
        <v>48</v>
      </c>
      <c r="G63">
        <v>302</v>
      </c>
      <c r="H63">
        <v>10</v>
      </c>
      <c r="I63">
        <v>4</v>
      </c>
    </row>
    <row r="64" spans="1:9" x14ac:dyDescent="0.3">
      <c r="A64" t="s">
        <v>10</v>
      </c>
      <c r="B64" t="s">
        <v>31</v>
      </c>
      <c r="C64" t="s">
        <v>13</v>
      </c>
      <c r="D64" s="1">
        <v>1270</v>
      </c>
      <c r="E64">
        <v>4</v>
      </c>
      <c r="F64">
        <v>271</v>
      </c>
      <c r="G64">
        <v>930</v>
      </c>
      <c r="H64">
        <v>26</v>
      </c>
      <c r="I64">
        <v>39</v>
      </c>
    </row>
    <row r="65" spans="1:9" x14ac:dyDescent="0.3">
      <c r="A65" t="s">
        <v>10</v>
      </c>
      <c r="B65" t="s">
        <v>32</v>
      </c>
      <c r="C65" t="s">
        <v>9</v>
      </c>
      <c r="D65">
        <v>842</v>
      </c>
      <c r="E65">
        <v>3</v>
      </c>
      <c r="F65">
        <v>167</v>
      </c>
      <c r="G65">
        <v>656</v>
      </c>
      <c r="H65">
        <v>8</v>
      </c>
      <c r="I65">
        <v>8</v>
      </c>
    </row>
    <row r="66" spans="1:9" x14ac:dyDescent="0.3">
      <c r="A66" t="s">
        <v>10</v>
      </c>
      <c r="B66" t="s">
        <v>32</v>
      </c>
      <c r="C66" t="s">
        <v>12</v>
      </c>
      <c r="D66">
        <v>178</v>
      </c>
      <c r="E66">
        <v>0</v>
      </c>
      <c r="F66">
        <v>27</v>
      </c>
      <c r="G66">
        <v>149</v>
      </c>
      <c r="H66">
        <v>2</v>
      </c>
      <c r="I66">
        <v>0</v>
      </c>
    </row>
    <row r="67" spans="1:9" x14ac:dyDescent="0.3">
      <c r="A67" t="s">
        <v>10</v>
      </c>
      <c r="B67" t="s">
        <v>32</v>
      </c>
      <c r="C67" t="s">
        <v>13</v>
      </c>
      <c r="D67">
        <v>664</v>
      </c>
      <c r="E67">
        <v>3</v>
      </c>
      <c r="F67">
        <v>140</v>
      </c>
      <c r="G67">
        <v>507</v>
      </c>
      <c r="H67">
        <v>6</v>
      </c>
      <c r="I67">
        <v>8</v>
      </c>
    </row>
    <row r="68" spans="1:9" x14ac:dyDescent="0.3">
      <c r="A68" t="s">
        <v>10</v>
      </c>
      <c r="B68" t="s">
        <v>33</v>
      </c>
      <c r="C68" t="s">
        <v>9</v>
      </c>
      <c r="D68">
        <v>851</v>
      </c>
      <c r="E68">
        <v>2</v>
      </c>
      <c r="F68">
        <v>175</v>
      </c>
      <c r="G68">
        <v>641</v>
      </c>
      <c r="H68">
        <v>17</v>
      </c>
      <c r="I68">
        <v>16</v>
      </c>
    </row>
    <row r="69" spans="1:9" x14ac:dyDescent="0.3">
      <c r="A69" t="s">
        <v>10</v>
      </c>
      <c r="B69" t="s">
        <v>33</v>
      </c>
      <c r="C69" t="s">
        <v>12</v>
      </c>
      <c r="D69">
        <v>180</v>
      </c>
      <c r="E69">
        <v>1</v>
      </c>
      <c r="F69">
        <v>25</v>
      </c>
      <c r="G69">
        <v>147</v>
      </c>
      <c r="H69">
        <v>4</v>
      </c>
      <c r="I69">
        <v>3</v>
      </c>
    </row>
    <row r="70" spans="1:9" x14ac:dyDescent="0.3">
      <c r="A70" t="s">
        <v>10</v>
      </c>
      <c r="B70" t="s">
        <v>33</v>
      </c>
      <c r="C70" t="s">
        <v>13</v>
      </c>
      <c r="D70">
        <v>671</v>
      </c>
      <c r="E70">
        <v>1</v>
      </c>
      <c r="F70">
        <v>150</v>
      </c>
      <c r="G70">
        <v>494</v>
      </c>
      <c r="H70">
        <v>13</v>
      </c>
      <c r="I70">
        <v>13</v>
      </c>
    </row>
    <row r="71" spans="1:9" x14ac:dyDescent="0.3">
      <c r="A71" t="s">
        <v>10</v>
      </c>
      <c r="B71" t="s">
        <v>34</v>
      </c>
      <c r="C71" t="s">
        <v>9</v>
      </c>
      <c r="D71" s="1">
        <v>1275</v>
      </c>
      <c r="E71">
        <v>9</v>
      </c>
      <c r="F71">
        <v>302</v>
      </c>
      <c r="G71">
        <v>882</v>
      </c>
      <c r="H71">
        <v>32</v>
      </c>
      <c r="I71">
        <v>50</v>
      </c>
    </row>
    <row r="72" spans="1:9" x14ac:dyDescent="0.3">
      <c r="A72" t="s">
        <v>10</v>
      </c>
      <c r="B72" t="s">
        <v>34</v>
      </c>
      <c r="C72" t="s">
        <v>12</v>
      </c>
      <c r="D72">
        <v>370</v>
      </c>
      <c r="E72">
        <v>1</v>
      </c>
      <c r="F72">
        <v>59</v>
      </c>
      <c r="G72">
        <v>296</v>
      </c>
      <c r="H72">
        <v>9</v>
      </c>
      <c r="I72">
        <v>5</v>
      </c>
    </row>
    <row r="73" spans="1:9" x14ac:dyDescent="0.3">
      <c r="A73" t="s">
        <v>10</v>
      </c>
      <c r="B73" t="s">
        <v>34</v>
      </c>
      <c r="C73" t="s">
        <v>13</v>
      </c>
      <c r="D73">
        <v>905</v>
      </c>
      <c r="E73">
        <v>8</v>
      </c>
      <c r="F73">
        <v>243</v>
      </c>
      <c r="G73">
        <v>586</v>
      </c>
      <c r="H73">
        <v>23</v>
      </c>
      <c r="I73">
        <v>45</v>
      </c>
    </row>
    <row r="74" spans="1:9" x14ac:dyDescent="0.3">
      <c r="A74" t="s">
        <v>10</v>
      </c>
      <c r="B74" t="s">
        <v>35</v>
      </c>
      <c r="C74" t="s">
        <v>9</v>
      </c>
      <c r="D74" s="1">
        <v>4314</v>
      </c>
      <c r="E74">
        <v>6</v>
      </c>
      <c r="F74">
        <v>883</v>
      </c>
      <c r="G74" s="1">
        <v>3078</v>
      </c>
      <c r="H74">
        <v>188</v>
      </c>
      <c r="I74">
        <v>159</v>
      </c>
    </row>
    <row r="75" spans="1:9" x14ac:dyDescent="0.3">
      <c r="A75" t="s">
        <v>10</v>
      </c>
      <c r="B75" t="s">
        <v>35</v>
      </c>
      <c r="C75" t="s">
        <v>12</v>
      </c>
      <c r="D75" s="1">
        <v>1070</v>
      </c>
      <c r="E75">
        <v>0</v>
      </c>
      <c r="F75">
        <v>137</v>
      </c>
      <c r="G75">
        <v>867</v>
      </c>
      <c r="H75">
        <v>44</v>
      </c>
      <c r="I75">
        <v>22</v>
      </c>
    </row>
    <row r="76" spans="1:9" x14ac:dyDescent="0.3">
      <c r="A76" t="s">
        <v>10</v>
      </c>
      <c r="B76" t="s">
        <v>35</v>
      </c>
      <c r="C76" t="s">
        <v>13</v>
      </c>
      <c r="D76" s="1">
        <v>3244</v>
      </c>
      <c r="E76">
        <v>6</v>
      </c>
      <c r="F76">
        <v>746</v>
      </c>
      <c r="G76" s="1">
        <v>2211</v>
      </c>
      <c r="H76">
        <v>144</v>
      </c>
      <c r="I76">
        <v>137</v>
      </c>
    </row>
    <row r="77" spans="1:9" x14ac:dyDescent="0.3">
      <c r="A77" t="s">
        <v>10</v>
      </c>
      <c r="B77" t="s">
        <v>36</v>
      </c>
      <c r="C77" t="s">
        <v>9</v>
      </c>
      <c r="D77" s="1">
        <v>3238</v>
      </c>
      <c r="E77">
        <v>21</v>
      </c>
      <c r="F77">
        <v>818</v>
      </c>
      <c r="G77" s="1">
        <v>2058</v>
      </c>
      <c r="H77">
        <v>116</v>
      </c>
      <c r="I77">
        <v>225</v>
      </c>
    </row>
    <row r="78" spans="1:9" x14ac:dyDescent="0.3">
      <c r="A78" t="s">
        <v>10</v>
      </c>
      <c r="B78" t="s">
        <v>36</v>
      </c>
      <c r="C78" t="s">
        <v>12</v>
      </c>
      <c r="D78">
        <v>904</v>
      </c>
      <c r="E78">
        <v>2</v>
      </c>
      <c r="F78">
        <v>142</v>
      </c>
      <c r="G78">
        <v>710</v>
      </c>
      <c r="H78">
        <v>32</v>
      </c>
      <c r="I78">
        <v>18</v>
      </c>
    </row>
    <row r="79" spans="1:9" x14ac:dyDescent="0.3">
      <c r="A79" t="s">
        <v>10</v>
      </c>
      <c r="B79" t="s">
        <v>36</v>
      </c>
      <c r="C79" t="s">
        <v>13</v>
      </c>
      <c r="D79" s="1">
        <v>2334</v>
      </c>
      <c r="E79">
        <v>19</v>
      </c>
      <c r="F79">
        <v>676</v>
      </c>
      <c r="G79" s="1">
        <v>1348</v>
      </c>
      <c r="H79">
        <v>84</v>
      </c>
      <c r="I79">
        <v>207</v>
      </c>
    </row>
    <row r="80" spans="1:9" x14ac:dyDescent="0.3">
      <c r="A80" t="s">
        <v>10</v>
      </c>
      <c r="B80" t="s">
        <v>37</v>
      </c>
      <c r="C80" t="s">
        <v>9</v>
      </c>
      <c r="D80" s="1">
        <v>1823</v>
      </c>
      <c r="E80">
        <v>8</v>
      </c>
      <c r="F80">
        <v>369</v>
      </c>
      <c r="G80" s="1">
        <v>1330</v>
      </c>
      <c r="H80">
        <v>66</v>
      </c>
      <c r="I80">
        <v>50</v>
      </c>
    </row>
    <row r="81" spans="1:9" x14ac:dyDescent="0.3">
      <c r="A81" t="s">
        <v>10</v>
      </c>
      <c r="B81" t="s">
        <v>37</v>
      </c>
      <c r="C81" t="s">
        <v>12</v>
      </c>
      <c r="D81">
        <v>375</v>
      </c>
      <c r="E81">
        <v>1</v>
      </c>
      <c r="F81">
        <v>53</v>
      </c>
      <c r="G81">
        <v>303</v>
      </c>
      <c r="H81">
        <v>15</v>
      </c>
      <c r="I81">
        <v>3</v>
      </c>
    </row>
    <row r="82" spans="1:9" x14ac:dyDescent="0.3">
      <c r="A82" t="s">
        <v>10</v>
      </c>
      <c r="B82" t="s">
        <v>37</v>
      </c>
      <c r="C82" t="s">
        <v>13</v>
      </c>
      <c r="D82" s="1">
        <v>1448</v>
      </c>
      <c r="E82">
        <v>7</v>
      </c>
      <c r="F82">
        <v>316</v>
      </c>
      <c r="G82" s="1">
        <v>1027</v>
      </c>
      <c r="H82">
        <v>51</v>
      </c>
      <c r="I82">
        <v>47</v>
      </c>
    </row>
    <row r="83" spans="1:9" x14ac:dyDescent="0.3">
      <c r="A83" t="s">
        <v>10</v>
      </c>
      <c r="B83" t="s">
        <v>38</v>
      </c>
      <c r="C83" t="s">
        <v>9</v>
      </c>
      <c r="D83" s="1">
        <v>1115</v>
      </c>
      <c r="E83">
        <v>8</v>
      </c>
      <c r="F83">
        <v>188</v>
      </c>
      <c r="G83">
        <v>848</v>
      </c>
      <c r="H83">
        <v>38</v>
      </c>
      <c r="I83">
        <v>33</v>
      </c>
    </row>
    <row r="84" spans="1:9" x14ac:dyDescent="0.3">
      <c r="A84" t="s">
        <v>10</v>
      </c>
      <c r="B84" t="s">
        <v>38</v>
      </c>
      <c r="C84" t="s">
        <v>12</v>
      </c>
      <c r="D84">
        <v>203</v>
      </c>
      <c r="E84">
        <v>0</v>
      </c>
      <c r="F84">
        <v>32</v>
      </c>
      <c r="G84">
        <v>161</v>
      </c>
      <c r="H84">
        <v>7</v>
      </c>
      <c r="I84">
        <v>3</v>
      </c>
    </row>
    <row r="85" spans="1:9" x14ac:dyDescent="0.3">
      <c r="A85" t="s">
        <v>10</v>
      </c>
      <c r="B85" t="s">
        <v>38</v>
      </c>
      <c r="C85" t="s">
        <v>13</v>
      </c>
      <c r="D85">
        <v>912</v>
      </c>
      <c r="E85">
        <v>8</v>
      </c>
      <c r="F85">
        <v>156</v>
      </c>
      <c r="G85">
        <v>687</v>
      </c>
      <c r="H85">
        <v>31</v>
      </c>
      <c r="I85">
        <v>30</v>
      </c>
    </row>
    <row r="86" spans="1:9" x14ac:dyDescent="0.3">
      <c r="A86" t="s">
        <v>10</v>
      </c>
      <c r="B86" t="s">
        <v>39</v>
      </c>
      <c r="C86" t="s">
        <v>9</v>
      </c>
      <c r="D86">
        <v>640</v>
      </c>
      <c r="E86">
        <v>3</v>
      </c>
      <c r="F86">
        <v>108</v>
      </c>
      <c r="G86">
        <v>513</v>
      </c>
      <c r="H86">
        <v>13</v>
      </c>
      <c r="I86">
        <v>3</v>
      </c>
    </row>
    <row r="87" spans="1:9" x14ac:dyDescent="0.3">
      <c r="A87" t="s">
        <v>10</v>
      </c>
      <c r="B87" t="s">
        <v>39</v>
      </c>
      <c r="C87" t="s">
        <v>12</v>
      </c>
      <c r="D87">
        <v>128</v>
      </c>
      <c r="E87">
        <v>1</v>
      </c>
      <c r="F87">
        <v>20</v>
      </c>
      <c r="G87">
        <v>107</v>
      </c>
      <c r="H87">
        <v>0</v>
      </c>
      <c r="I87">
        <v>0</v>
      </c>
    </row>
    <row r="88" spans="1:9" x14ac:dyDescent="0.3">
      <c r="A88" t="s">
        <v>10</v>
      </c>
      <c r="B88" t="s">
        <v>39</v>
      </c>
      <c r="C88" t="s">
        <v>13</v>
      </c>
      <c r="D88">
        <v>512</v>
      </c>
      <c r="E88">
        <v>2</v>
      </c>
      <c r="F88">
        <v>88</v>
      </c>
      <c r="G88">
        <v>406</v>
      </c>
      <c r="H88">
        <v>13</v>
      </c>
      <c r="I88">
        <v>3</v>
      </c>
    </row>
    <row r="89" spans="1:9" x14ac:dyDescent="0.3">
      <c r="A89" t="s">
        <v>10</v>
      </c>
      <c r="B89" t="s">
        <v>40</v>
      </c>
      <c r="C89" t="s">
        <v>9</v>
      </c>
      <c r="D89">
        <v>758</v>
      </c>
      <c r="E89">
        <v>5</v>
      </c>
      <c r="F89">
        <v>112</v>
      </c>
      <c r="G89">
        <v>614</v>
      </c>
      <c r="H89">
        <v>10</v>
      </c>
      <c r="I89">
        <v>17</v>
      </c>
    </row>
    <row r="90" spans="1:9" x14ac:dyDescent="0.3">
      <c r="A90" t="s">
        <v>10</v>
      </c>
      <c r="B90" t="s">
        <v>40</v>
      </c>
      <c r="C90" t="s">
        <v>12</v>
      </c>
      <c r="D90">
        <v>187</v>
      </c>
      <c r="E90">
        <v>0</v>
      </c>
      <c r="F90">
        <v>16</v>
      </c>
      <c r="G90">
        <v>169</v>
      </c>
      <c r="H90">
        <v>2</v>
      </c>
      <c r="I90">
        <v>0</v>
      </c>
    </row>
    <row r="91" spans="1:9" x14ac:dyDescent="0.3">
      <c r="A91" t="s">
        <v>10</v>
      </c>
      <c r="B91" t="s">
        <v>40</v>
      </c>
      <c r="C91" t="s">
        <v>13</v>
      </c>
      <c r="D91">
        <v>571</v>
      </c>
      <c r="E91">
        <v>5</v>
      </c>
      <c r="F91">
        <v>96</v>
      </c>
      <c r="G91">
        <v>445</v>
      </c>
      <c r="H91">
        <v>8</v>
      </c>
      <c r="I91">
        <v>17</v>
      </c>
    </row>
    <row r="92" spans="1:9" x14ac:dyDescent="0.3">
      <c r="A92" t="s">
        <v>10</v>
      </c>
      <c r="B92" t="s">
        <v>41</v>
      </c>
      <c r="C92" t="s">
        <v>9</v>
      </c>
      <c r="D92" s="1">
        <v>1286</v>
      </c>
      <c r="E92">
        <v>4</v>
      </c>
      <c r="F92">
        <v>203</v>
      </c>
      <c r="G92" s="1">
        <v>1029</v>
      </c>
      <c r="H92">
        <v>26</v>
      </c>
      <c r="I92">
        <v>24</v>
      </c>
    </row>
    <row r="93" spans="1:9" x14ac:dyDescent="0.3">
      <c r="A93" t="s">
        <v>10</v>
      </c>
      <c r="B93" t="s">
        <v>41</v>
      </c>
      <c r="C93" t="s">
        <v>12</v>
      </c>
      <c r="D93">
        <v>223</v>
      </c>
      <c r="E93">
        <v>1</v>
      </c>
      <c r="F93">
        <v>26</v>
      </c>
      <c r="G93">
        <v>194</v>
      </c>
      <c r="H93">
        <v>1</v>
      </c>
      <c r="I93">
        <v>1</v>
      </c>
    </row>
    <row r="94" spans="1:9" x14ac:dyDescent="0.3">
      <c r="A94" t="s">
        <v>10</v>
      </c>
      <c r="B94" t="s">
        <v>41</v>
      </c>
      <c r="C94" t="s">
        <v>13</v>
      </c>
      <c r="D94" s="1">
        <v>1063</v>
      </c>
      <c r="E94">
        <v>3</v>
      </c>
      <c r="F94">
        <v>177</v>
      </c>
      <c r="G94">
        <v>835</v>
      </c>
      <c r="H94">
        <v>25</v>
      </c>
      <c r="I94">
        <v>23</v>
      </c>
    </row>
    <row r="95" spans="1:9" x14ac:dyDescent="0.3">
      <c r="A95" t="s">
        <v>10</v>
      </c>
      <c r="B95" t="s">
        <v>42</v>
      </c>
      <c r="C95" t="s">
        <v>9</v>
      </c>
      <c r="D95">
        <v>378</v>
      </c>
      <c r="E95">
        <v>0</v>
      </c>
      <c r="F95">
        <v>62</v>
      </c>
      <c r="G95">
        <v>304</v>
      </c>
      <c r="H95">
        <v>6</v>
      </c>
      <c r="I95">
        <v>6</v>
      </c>
    </row>
    <row r="96" spans="1:9" x14ac:dyDescent="0.3">
      <c r="A96" t="s">
        <v>10</v>
      </c>
      <c r="B96" t="s">
        <v>42</v>
      </c>
      <c r="C96" t="s">
        <v>12</v>
      </c>
      <c r="D96">
        <v>71</v>
      </c>
      <c r="E96">
        <v>0</v>
      </c>
      <c r="F96">
        <v>10</v>
      </c>
      <c r="G96">
        <v>61</v>
      </c>
      <c r="H96">
        <v>0</v>
      </c>
      <c r="I96">
        <v>0</v>
      </c>
    </row>
    <row r="97" spans="1:9" x14ac:dyDescent="0.3">
      <c r="A97" t="s">
        <v>10</v>
      </c>
      <c r="B97" t="s">
        <v>42</v>
      </c>
      <c r="C97" t="s">
        <v>13</v>
      </c>
      <c r="D97">
        <v>307</v>
      </c>
      <c r="E97">
        <v>0</v>
      </c>
      <c r="F97">
        <v>52</v>
      </c>
      <c r="G97">
        <v>243</v>
      </c>
      <c r="H97">
        <v>6</v>
      </c>
      <c r="I97">
        <v>6</v>
      </c>
    </row>
    <row r="98" spans="1:9" x14ac:dyDescent="0.3">
      <c r="A98" t="s">
        <v>10</v>
      </c>
      <c r="B98" t="s">
        <v>43</v>
      </c>
      <c r="C98" t="s">
        <v>9</v>
      </c>
      <c r="D98">
        <v>412</v>
      </c>
      <c r="E98">
        <v>4</v>
      </c>
      <c r="F98">
        <v>66</v>
      </c>
      <c r="G98">
        <v>332</v>
      </c>
      <c r="H98">
        <v>8</v>
      </c>
      <c r="I98">
        <v>2</v>
      </c>
    </row>
    <row r="99" spans="1:9" x14ac:dyDescent="0.3">
      <c r="A99" t="s">
        <v>10</v>
      </c>
      <c r="B99" t="s">
        <v>43</v>
      </c>
      <c r="C99" t="s">
        <v>12</v>
      </c>
      <c r="D99">
        <v>69</v>
      </c>
      <c r="E99">
        <v>0</v>
      </c>
      <c r="F99">
        <v>6</v>
      </c>
      <c r="G99">
        <v>61</v>
      </c>
      <c r="H99">
        <v>1</v>
      </c>
      <c r="I99">
        <v>1</v>
      </c>
    </row>
    <row r="100" spans="1:9" x14ac:dyDescent="0.3">
      <c r="A100" t="s">
        <v>10</v>
      </c>
      <c r="B100" t="s">
        <v>43</v>
      </c>
      <c r="C100" t="s">
        <v>13</v>
      </c>
      <c r="D100">
        <v>343</v>
      </c>
      <c r="E100">
        <v>4</v>
      </c>
      <c r="F100">
        <v>60</v>
      </c>
      <c r="G100">
        <v>271</v>
      </c>
      <c r="H100">
        <v>7</v>
      </c>
      <c r="I100">
        <v>1</v>
      </c>
    </row>
    <row r="101" spans="1:9" x14ac:dyDescent="0.3">
      <c r="A101" t="s">
        <v>10</v>
      </c>
      <c r="B101" t="s">
        <v>44</v>
      </c>
      <c r="C101" t="s">
        <v>9</v>
      </c>
      <c r="D101">
        <v>146</v>
      </c>
      <c r="E101">
        <v>1</v>
      </c>
      <c r="F101">
        <v>30</v>
      </c>
      <c r="G101">
        <v>111</v>
      </c>
      <c r="H101">
        <v>4</v>
      </c>
      <c r="I101">
        <v>0</v>
      </c>
    </row>
    <row r="102" spans="1:9" x14ac:dyDescent="0.3">
      <c r="A102" t="s">
        <v>10</v>
      </c>
      <c r="B102" t="s">
        <v>44</v>
      </c>
      <c r="C102" t="s">
        <v>12</v>
      </c>
      <c r="D102">
        <v>18</v>
      </c>
      <c r="E102">
        <v>0</v>
      </c>
      <c r="F102">
        <v>1</v>
      </c>
      <c r="G102">
        <v>15</v>
      </c>
      <c r="H102">
        <v>2</v>
      </c>
      <c r="I102">
        <v>0</v>
      </c>
    </row>
    <row r="103" spans="1:9" x14ac:dyDescent="0.3">
      <c r="A103" t="s">
        <v>10</v>
      </c>
      <c r="B103" t="s">
        <v>44</v>
      </c>
      <c r="C103" t="s">
        <v>13</v>
      </c>
      <c r="D103">
        <v>128</v>
      </c>
      <c r="E103">
        <v>1</v>
      </c>
      <c r="F103">
        <v>29</v>
      </c>
      <c r="G103">
        <v>96</v>
      </c>
      <c r="H103">
        <v>2</v>
      </c>
      <c r="I103">
        <v>0</v>
      </c>
    </row>
    <row r="104" spans="1:9" x14ac:dyDescent="0.3">
      <c r="A104" t="s">
        <v>10</v>
      </c>
      <c r="B104" t="s">
        <v>45</v>
      </c>
      <c r="C104" t="s">
        <v>9</v>
      </c>
      <c r="D104" s="1">
        <v>1752</v>
      </c>
      <c r="E104">
        <v>1</v>
      </c>
      <c r="F104">
        <v>363</v>
      </c>
      <c r="G104" s="1">
        <v>1293</v>
      </c>
      <c r="H104">
        <v>54</v>
      </c>
      <c r="I104">
        <v>41</v>
      </c>
    </row>
    <row r="105" spans="1:9" x14ac:dyDescent="0.3">
      <c r="A105" t="s">
        <v>10</v>
      </c>
      <c r="B105" t="s">
        <v>45</v>
      </c>
      <c r="C105" t="s">
        <v>12</v>
      </c>
      <c r="D105">
        <v>405</v>
      </c>
      <c r="E105">
        <v>0</v>
      </c>
      <c r="F105">
        <v>57</v>
      </c>
      <c r="G105">
        <v>334</v>
      </c>
      <c r="H105">
        <v>9</v>
      </c>
      <c r="I105">
        <v>5</v>
      </c>
    </row>
    <row r="106" spans="1:9" x14ac:dyDescent="0.3">
      <c r="A106" t="s">
        <v>10</v>
      </c>
      <c r="B106" t="s">
        <v>45</v>
      </c>
      <c r="C106" t="s">
        <v>13</v>
      </c>
      <c r="D106" s="1">
        <v>1347</v>
      </c>
      <c r="E106">
        <v>1</v>
      </c>
      <c r="F106">
        <v>306</v>
      </c>
      <c r="G106">
        <v>959</v>
      </c>
      <c r="H106">
        <v>45</v>
      </c>
      <c r="I106">
        <v>36</v>
      </c>
    </row>
    <row r="107" spans="1:9" x14ac:dyDescent="0.3">
      <c r="A107" t="s">
        <v>10</v>
      </c>
      <c r="B107" t="s">
        <v>46</v>
      </c>
      <c r="C107" t="s">
        <v>9</v>
      </c>
      <c r="D107" s="1">
        <v>1020</v>
      </c>
      <c r="E107">
        <v>2</v>
      </c>
      <c r="F107">
        <v>206</v>
      </c>
      <c r="G107">
        <v>784</v>
      </c>
      <c r="H107">
        <v>13</v>
      </c>
      <c r="I107">
        <v>15</v>
      </c>
    </row>
    <row r="108" spans="1:9" x14ac:dyDescent="0.3">
      <c r="A108" t="s">
        <v>10</v>
      </c>
      <c r="B108" t="s">
        <v>46</v>
      </c>
      <c r="C108" t="s">
        <v>12</v>
      </c>
      <c r="D108">
        <v>249</v>
      </c>
      <c r="E108">
        <v>0</v>
      </c>
      <c r="F108">
        <v>39</v>
      </c>
      <c r="G108">
        <v>207</v>
      </c>
      <c r="H108">
        <v>3</v>
      </c>
      <c r="I108">
        <v>0</v>
      </c>
    </row>
    <row r="109" spans="1:9" x14ac:dyDescent="0.3">
      <c r="A109" t="s">
        <v>10</v>
      </c>
      <c r="B109" t="s">
        <v>46</v>
      </c>
      <c r="C109" t="s">
        <v>13</v>
      </c>
      <c r="D109">
        <v>771</v>
      </c>
      <c r="E109">
        <v>2</v>
      </c>
      <c r="F109">
        <v>167</v>
      </c>
      <c r="G109">
        <v>577</v>
      </c>
      <c r="H109">
        <v>10</v>
      </c>
      <c r="I109">
        <v>15</v>
      </c>
    </row>
    <row r="110" spans="1:9" x14ac:dyDescent="0.3">
      <c r="A110" t="s">
        <v>10</v>
      </c>
      <c r="B110" t="s">
        <v>47</v>
      </c>
      <c r="C110" t="s">
        <v>9</v>
      </c>
      <c r="D110">
        <v>582</v>
      </c>
      <c r="E110">
        <v>2</v>
      </c>
      <c r="F110">
        <v>138</v>
      </c>
      <c r="G110">
        <v>436</v>
      </c>
      <c r="H110">
        <v>1</v>
      </c>
      <c r="I110">
        <v>5</v>
      </c>
    </row>
    <row r="111" spans="1:9" x14ac:dyDescent="0.3">
      <c r="A111" t="s">
        <v>10</v>
      </c>
      <c r="B111" t="s">
        <v>47</v>
      </c>
      <c r="C111" t="s">
        <v>12</v>
      </c>
      <c r="D111">
        <v>137</v>
      </c>
      <c r="E111">
        <v>0</v>
      </c>
      <c r="F111">
        <v>27</v>
      </c>
      <c r="G111">
        <v>109</v>
      </c>
      <c r="H111">
        <v>0</v>
      </c>
      <c r="I111">
        <v>1</v>
      </c>
    </row>
    <row r="112" spans="1:9" x14ac:dyDescent="0.3">
      <c r="A112" t="s">
        <v>10</v>
      </c>
      <c r="B112" t="s">
        <v>47</v>
      </c>
      <c r="C112" t="s">
        <v>13</v>
      </c>
      <c r="D112">
        <v>445</v>
      </c>
      <c r="E112">
        <v>2</v>
      </c>
      <c r="F112">
        <v>111</v>
      </c>
      <c r="G112">
        <v>327</v>
      </c>
      <c r="H112">
        <v>1</v>
      </c>
      <c r="I112">
        <v>4</v>
      </c>
    </row>
    <row r="113" spans="1:9" x14ac:dyDescent="0.3">
      <c r="A113" t="s">
        <v>10</v>
      </c>
      <c r="B113" t="s">
        <v>48</v>
      </c>
      <c r="C113" t="s">
        <v>9</v>
      </c>
      <c r="D113" s="1">
        <v>1274</v>
      </c>
      <c r="E113">
        <v>8</v>
      </c>
      <c r="F113">
        <v>227</v>
      </c>
      <c r="G113">
        <v>974</v>
      </c>
      <c r="H113">
        <v>30</v>
      </c>
      <c r="I113">
        <v>35</v>
      </c>
    </row>
    <row r="114" spans="1:9" x14ac:dyDescent="0.3">
      <c r="A114" t="s">
        <v>10</v>
      </c>
      <c r="B114" t="s">
        <v>48</v>
      </c>
      <c r="C114" t="s">
        <v>12</v>
      </c>
      <c r="D114">
        <v>234</v>
      </c>
      <c r="E114">
        <v>0</v>
      </c>
      <c r="F114">
        <v>31</v>
      </c>
      <c r="G114">
        <v>194</v>
      </c>
      <c r="H114">
        <v>5</v>
      </c>
      <c r="I114">
        <v>4</v>
      </c>
    </row>
    <row r="115" spans="1:9" x14ac:dyDescent="0.3">
      <c r="A115" t="s">
        <v>10</v>
      </c>
      <c r="B115" t="s">
        <v>48</v>
      </c>
      <c r="C115" t="s">
        <v>13</v>
      </c>
      <c r="D115" s="1">
        <v>1040</v>
      </c>
      <c r="E115">
        <v>8</v>
      </c>
      <c r="F115">
        <v>196</v>
      </c>
      <c r="G115">
        <v>780</v>
      </c>
      <c r="H115">
        <v>25</v>
      </c>
      <c r="I115">
        <v>31</v>
      </c>
    </row>
    <row r="116" spans="1:9" x14ac:dyDescent="0.3">
      <c r="A116" t="s">
        <v>10</v>
      </c>
      <c r="B116" t="s">
        <v>49</v>
      </c>
      <c r="C116" t="s">
        <v>9</v>
      </c>
      <c r="D116">
        <v>341</v>
      </c>
      <c r="E116">
        <v>3</v>
      </c>
      <c r="F116">
        <v>50</v>
      </c>
      <c r="G116">
        <v>285</v>
      </c>
      <c r="H116">
        <v>3</v>
      </c>
      <c r="I116">
        <v>0</v>
      </c>
    </row>
    <row r="117" spans="1:9" x14ac:dyDescent="0.3">
      <c r="A117" t="s">
        <v>10</v>
      </c>
      <c r="B117" t="s">
        <v>49</v>
      </c>
      <c r="C117" t="s">
        <v>12</v>
      </c>
      <c r="D117">
        <v>77</v>
      </c>
      <c r="E117">
        <v>0</v>
      </c>
      <c r="F117">
        <v>10</v>
      </c>
      <c r="G117">
        <v>67</v>
      </c>
      <c r="H117">
        <v>0</v>
      </c>
      <c r="I117">
        <v>0</v>
      </c>
    </row>
    <row r="118" spans="1:9" x14ac:dyDescent="0.3">
      <c r="A118" t="s">
        <v>10</v>
      </c>
      <c r="B118" t="s">
        <v>49</v>
      </c>
      <c r="C118" t="s">
        <v>13</v>
      </c>
      <c r="D118">
        <v>264</v>
      </c>
      <c r="E118">
        <v>3</v>
      </c>
      <c r="F118">
        <v>40</v>
      </c>
      <c r="G118">
        <v>218</v>
      </c>
      <c r="H118">
        <v>3</v>
      </c>
      <c r="I118">
        <v>0</v>
      </c>
    </row>
    <row r="119" spans="1:9" x14ac:dyDescent="0.3">
      <c r="A119" t="s">
        <v>10</v>
      </c>
      <c r="B119" t="s">
        <v>50</v>
      </c>
      <c r="C119" t="s">
        <v>9</v>
      </c>
      <c r="D119" s="1">
        <v>1391</v>
      </c>
      <c r="E119">
        <v>8</v>
      </c>
      <c r="F119">
        <v>233</v>
      </c>
      <c r="G119" s="1">
        <v>1099</v>
      </c>
      <c r="H119">
        <v>25</v>
      </c>
      <c r="I119">
        <v>26</v>
      </c>
    </row>
    <row r="120" spans="1:9" x14ac:dyDescent="0.3">
      <c r="A120" t="s">
        <v>10</v>
      </c>
      <c r="B120" t="s">
        <v>50</v>
      </c>
      <c r="C120" t="s">
        <v>12</v>
      </c>
      <c r="D120">
        <v>236</v>
      </c>
      <c r="E120">
        <v>0</v>
      </c>
      <c r="F120">
        <v>28</v>
      </c>
      <c r="G120">
        <v>206</v>
      </c>
      <c r="H120">
        <v>1</v>
      </c>
      <c r="I120">
        <v>1</v>
      </c>
    </row>
    <row r="121" spans="1:9" x14ac:dyDescent="0.3">
      <c r="A121" t="s">
        <v>10</v>
      </c>
      <c r="B121" t="s">
        <v>50</v>
      </c>
      <c r="C121" t="s">
        <v>13</v>
      </c>
      <c r="D121" s="1">
        <v>1155</v>
      </c>
      <c r="E121">
        <v>8</v>
      </c>
      <c r="F121">
        <v>205</v>
      </c>
      <c r="G121">
        <v>893</v>
      </c>
      <c r="H121">
        <v>24</v>
      </c>
      <c r="I121">
        <v>25</v>
      </c>
    </row>
    <row r="122" spans="1:9" x14ac:dyDescent="0.3">
      <c r="A122" t="s">
        <v>10</v>
      </c>
      <c r="B122" t="s">
        <v>51</v>
      </c>
      <c r="C122" t="s">
        <v>9</v>
      </c>
      <c r="D122">
        <v>967</v>
      </c>
      <c r="E122">
        <v>4</v>
      </c>
      <c r="F122">
        <v>203</v>
      </c>
      <c r="G122">
        <v>711</v>
      </c>
      <c r="H122">
        <v>23</v>
      </c>
      <c r="I122">
        <v>26</v>
      </c>
    </row>
    <row r="123" spans="1:9" x14ac:dyDescent="0.3">
      <c r="A123" t="s">
        <v>10</v>
      </c>
      <c r="B123" t="s">
        <v>51</v>
      </c>
      <c r="C123" t="s">
        <v>12</v>
      </c>
      <c r="D123">
        <v>124</v>
      </c>
      <c r="E123">
        <v>0</v>
      </c>
      <c r="F123">
        <v>13</v>
      </c>
      <c r="G123">
        <v>105</v>
      </c>
      <c r="H123">
        <v>3</v>
      </c>
      <c r="I123">
        <v>3</v>
      </c>
    </row>
    <row r="124" spans="1:9" x14ac:dyDescent="0.3">
      <c r="A124" t="s">
        <v>10</v>
      </c>
      <c r="B124" t="s">
        <v>51</v>
      </c>
      <c r="C124" t="s">
        <v>13</v>
      </c>
      <c r="D124">
        <v>843</v>
      </c>
      <c r="E124">
        <v>4</v>
      </c>
      <c r="F124">
        <v>190</v>
      </c>
      <c r="G124">
        <v>606</v>
      </c>
      <c r="H124">
        <v>20</v>
      </c>
      <c r="I124">
        <v>23</v>
      </c>
    </row>
    <row r="125" spans="1:9" x14ac:dyDescent="0.3">
      <c r="A125" t="s">
        <v>10</v>
      </c>
      <c r="B125" t="s">
        <v>52</v>
      </c>
      <c r="C125" t="s">
        <v>9</v>
      </c>
      <c r="D125" s="1">
        <v>2189</v>
      </c>
      <c r="E125">
        <v>2</v>
      </c>
      <c r="F125">
        <v>352</v>
      </c>
      <c r="G125" s="1">
        <v>1754</v>
      </c>
      <c r="H125">
        <v>35</v>
      </c>
      <c r="I125">
        <v>46</v>
      </c>
    </row>
    <row r="126" spans="1:9" x14ac:dyDescent="0.3">
      <c r="A126" t="s">
        <v>10</v>
      </c>
      <c r="B126" t="s">
        <v>52</v>
      </c>
      <c r="C126" t="s">
        <v>12</v>
      </c>
      <c r="D126">
        <v>401</v>
      </c>
      <c r="E126">
        <v>1</v>
      </c>
      <c r="F126">
        <v>54</v>
      </c>
      <c r="G126">
        <v>333</v>
      </c>
      <c r="H126">
        <v>6</v>
      </c>
      <c r="I126">
        <v>7</v>
      </c>
    </row>
    <row r="127" spans="1:9" x14ac:dyDescent="0.3">
      <c r="A127" t="s">
        <v>10</v>
      </c>
      <c r="B127" t="s">
        <v>52</v>
      </c>
      <c r="C127" t="s">
        <v>13</v>
      </c>
      <c r="D127" s="1">
        <v>1788</v>
      </c>
      <c r="E127">
        <v>1</v>
      </c>
      <c r="F127">
        <v>298</v>
      </c>
      <c r="G127" s="1">
        <v>1421</v>
      </c>
      <c r="H127">
        <v>29</v>
      </c>
      <c r="I127">
        <v>39</v>
      </c>
    </row>
    <row r="128" spans="1:9" x14ac:dyDescent="0.3">
      <c r="A128" t="s">
        <v>10</v>
      </c>
      <c r="B128" t="s">
        <v>53</v>
      </c>
      <c r="C128" t="s">
        <v>9</v>
      </c>
      <c r="D128" s="1">
        <v>4012</v>
      </c>
      <c r="E128">
        <v>9</v>
      </c>
      <c r="F128">
        <v>573</v>
      </c>
      <c r="G128" s="1">
        <v>3227</v>
      </c>
      <c r="H128">
        <v>122</v>
      </c>
      <c r="I128">
        <v>81</v>
      </c>
    </row>
    <row r="129" spans="1:9" x14ac:dyDescent="0.3">
      <c r="A129" t="s">
        <v>10</v>
      </c>
      <c r="B129" t="s">
        <v>53</v>
      </c>
      <c r="C129" t="s">
        <v>12</v>
      </c>
      <c r="D129">
        <v>852</v>
      </c>
      <c r="E129">
        <v>2</v>
      </c>
      <c r="F129">
        <v>78</v>
      </c>
      <c r="G129">
        <v>740</v>
      </c>
      <c r="H129">
        <v>23</v>
      </c>
      <c r="I129">
        <v>9</v>
      </c>
    </row>
    <row r="130" spans="1:9" x14ac:dyDescent="0.3">
      <c r="A130" t="s">
        <v>10</v>
      </c>
      <c r="B130" t="s">
        <v>53</v>
      </c>
      <c r="C130" t="s">
        <v>13</v>
      </c>
      <c r="D130" s="1">
        <v>3160</v>
      </c>
      <c r="E130">
        <v>7</v>
      </c>
      <c r="F130">
        <v>495</v>
      </c>
      <c r="G130" s="1">
        <v>2487</v>
      </c>
      <c r="H130">
        <v>99</v>
      </c>
      <c r="I130">
        <v>72</v>
      </c>
    </row>
    <row r="131" spans="1:9" x14ac:dyDescent="0.3">
      <c r="A131" t="s">
        <v>10</v>
      </c>
      <c r="B131" t="s">
        <v>54</v>
      </c>
      <c r="C131" t="s">
        <v>9</v>
      </c>
      <c r="D131">
        <v>975</v>
      </c>
      <c r="E131">
        <v>10</v>
      </c>
      <c r="F131">
        <v>194</v>
      </c>
      <c r="G131">
        <v>698</v>
      </c>
      <c r="H131">
        <v>33</v>
      </c>
      <c r="I131">
        <v>40</v>
      </c>
    </row>
    <row r="132" spans="1:9" x14ac:dyDescent="0.3">
      <c r="A132" t="s">
        <v>10</v>
      </c>
      <c r="B132" t="s">
        <v>54</v>
      </c>
      <c r="C132" t="s">
        <v>12</v>
      </c>
      <c r="D132">
        <v>157</v>
      </c>
      <c r="E132">
        <v>0</v>
      </c>
      <c r="F132">
        <v>25</v>
      </c>
      <c r="G132">
        <v>118</v>
      </c>
      <c r="H132">
        <v>5</v>
      </c>
      <c r="I132">
        <v>9</v>
      </c>
    </row>
    <row r="133" spans="1:9" x14ac:dyDescent="0.3">
      <c r="A133" t="s">
        <v>10</v>
      </c>
      <c r="B133" t="s">
        <v>54</v>
      </c>
      <c r="C133" t="s">
        <v>13</v>
      </c>
      <c r="D133">
        <v>818</v>
      </c>
      <c r="E133">
        <v>10</v>
      </c>
      <c r="F133">
        <v>169</v>
      </c>
      <c r="G133">
        <v>580</v>
      </c>
      <c r="H133">
        <v>28</v>
      </c>
      <c r="I133">
        <v>31</v>
      </c>
    </row>
    <row r="134" spans="1:9" x14ac:dyDescent="0.3">
      <c r="A134" t="s">
        <v>10</v>
      </c>
      <c r="B134" t="s">
        <v>55</v>
      </c>
      <c r="C134" t="s">
        <v>9</v>
      </c>
      <c r="D134">
        <v>759</v>
      </c>
      <c r="E134">
        <v>3</v>
      </c>
      <c r="F134">
        <v>119</v>
      </c>
      <c r="G134">
        <v>623</v>
      </c>
      <c r="H134">
        <v>8</v>
      </c>
      <c r="I134">
        <v>6</v>
      </c>
    </row>
    <row r="135" spans="1:9" x14ac:dyDescent="0.3">
      <c r="A135" t="s">
        <v>10</v>
      </c>
      <c r="B135" t="s">
        <v>55</v>
      </c>
      <c r="C135" t="s">
        <v>12</v>
      </c>
      <c r="D135">
        <v>144</v>
      </c>
      <c r="E135">
        <v>0</v>
      </c>
      <c r="F135">
        <v>17</v>
      </c>
      <c r="G135">
        <v>122</v>
      </c>
      <c r="H135">
        <v>4</v>
      </c>
      <c r="I135">
        <v>1</v>
      </c>
    </row>
    <row r="136" spans="1:9" x14ac:dyDescent="0.3">
      <c r="A136" t="s">
        <v>10</v>
      </c>
      <c r="B136" t="s">
        <v>55</v>
      </c>
      <c r="C136" t="s">
        <v>13</v>
      </c>
      <c r="D136">
        <v>615</v>
      </c>
      <c r="E136">
        <v>3</v>
      </c>
      <c r="F136">
        <v>102</v>
      </c>
      <c r="G136">
        <v>501</v>
      </c>
      <c r="H136">
        <v>4</v>
      </c>
      <c r="I136">
        <v>5</v>
      </c>
    </row>
    <row r="137" spans="1:9" x14ac:dyDescent="0.3">
      <c r="A137" t="s">
        <v>10</v>
      </c>
      <c r="B137" t="s">
        <v>56</v>
      </c>
      <c r="C137" t="s">
        <v>9</v>
      </c>
      <c r="D137" s="1">
        <v>4736</v>
      </c>
      <c r="E137">
        <v>7</v>
      </c>
      <c r="F137">
        <v>811</v>
      </c>
      <c r="G137" s="1">
        <v>3708</v>
      </c>
      <c r="H137">
        <v>117</v>
      </c>
      <c r="I137">
        <v>93</v>
      </c>
    </row>
    <row r="138" spans="1:9" x14ac:dyDescent="0.3">
      <c r="A138" t="s">
        <v>10</v>
      </c>
      <c r="B138" t="s">
        <v>56</v>
      </c>
      <c r="C138" t="s">
        <v>12</v>
      </c>
      <c r="D138">
        <v>922</v>
      </c>
      <c r="E138">
        <v>0</v>
      </c>
      <c r="F138">
        <v>108</v>
      </c>
      <c r="G138">
        <v>775</v>
      </c>
      <c r="H138">
        <v>24</v>
      </c>
      <c r="I138">
        <v>15</v>
      </c>
    </row>
    <row r="139" spans="1:9" x14ac:dyDescent="0.3">
      <c r="A139" t="s">
        <v>10</v>
      </c>
      <c r="B139" t="s">
        <v>56</v>
      </c>
      <c r="C139" t="s">
        <v>13</v>
      </c>
      <c r="D139" s="1">
        <v>3814</v>
      </c>
      <c r="E139">
        <v>7</v>
      </c>
      <c r="F139">
        <v>703</v>
      </c>
      <c r="G139" s="1">
        <v>2933</v>
      </c>
      <c r="H139">
        <v>93</v>
      </c>
      <c r="I139">
        <v>78</v>
      </c>
    </row>
    <row r="140" spans="1:9" x14ac:dyDescent="0.3">
      <c r="A140" t="s">
        <v>57</v>
      </c>
      <c r="B140" t="s">
        <v>9</v>
      </c>
      <c r="C140" t="s">
        <v>9</v>
      </c>
      <c r="D140" s="1">
        <v>11740</v>
      </c>
      <c r="E140">
        <v>61</v>
      </c>
      <c r="F140" s="1">
        <v>1697</v>
      </c>
      <c r="G140" s="1">
        <v>9010</v>
      </c>
      <c r="H140">
        <v>595</v>
      </c>
      <c r="I140">
        <v>377</v>
      </c>
    </row>
    <row r="141" spans="1:9" x14ac:dyDescent="0.3">
      <c r="A141" t="s">
        <v>57</v>
      </c>
      <c r="B141" t="s">
        <v>9</v>
      </c>
      <c r="C141" t="s">
        <v>12</v>
      </c>
      <c r="D141" s="1">
        <f>D144+D147+D150+D153+D156+D159+D162+D165+D168+D171+D174+D177+D180+D183+D186+D189+D192+D195+D198+D201+D204+D207</f>
        <v>2274</v>
      </c>
      <c r="E141" s="1">
        <f t="shared" ref="E141:I141" si="4">E144+E147+E150+E153+E156+E159+E162+E165+E168+E171+E174+E177+E180+E183+E186+E189+E192+E195+E198+E201+E204+E207</f>
        <v>1</v>
      </c>
      <c r="F141" s="1">
        <f t="shared" si="4"/>
        <v>199</v>
      </c>
      <c r="G141" s="1">
        <f t="shared" si="4"/>
        <v>1945</v>
      </c>
      <c r="H141" s="1">
        <f t="shared" si="4"/>
        <v>88</v>
      </c>
      <c r="I141" s="1">
        <f t="shared" si="4"/>
        <v>41</v>
      </c>
    </row>
    <row r="142" spans="1:9" x14ac:dyDescent="0.3">
      <c r="A142" t="s">
        <v>57</v>
      </c>
      <c r="B142" t="s">
        <v>9</v>
      </c>
      <c r="C142" t="s">
        <v>13</v>
      </c>
      <c r="D142" s="1">
        <f>D145+D148+D151+D154+D157+D160+D163+D166+D169+D172+D175+D178+D181+D184+D187+D190+D193+D196+D199+D202+D205+D208</f>
        <v>9466</v>
      </c>
      <c r="E142" s="1">
        <f t="shared" ref="E142:I142" si="5">E145+E148+E151+E154+E157+E160+E163+E166+E169+E172+E175+E178+E181+E184+E187+E190+E193+E196+E199+E202+E205+E208</f>
        <v>60</v>
      </c>
      <c r="F142" s="1">
        <f t="shared" si="5"/>
        <v>1498</v>
      </c>
      <c r="G142" s="1">
        <f t="shared" si="5"/>
        <v>7065</v>
      </c>
      <c r="H142" s="1">
        <f t="shared" si="5"/>
        <v>507</v>
      </c>
      <c r="I142" s="1">
        <f t="shared" si="5"/>
        <v>336</v>
      </c>
    </row>
    <row r="143" spans="1:9" x14ac:dyDescent="0.3">
      <c r="A143" t="s">
        <v>57</v>
      </c>
      <c r="B143" t="s">
        <v>58</v>
      </c>
      <c r="C143" t="s">
        <v>9</v>
      </c>
      <c r="D143">
        <v>990</v>
      </c>
      <c r="E143">
        <v>2</v>
      </c>
      <c r="F143">
        <v>130</v>
      </c>
      <c r="G143">
        <v>807</v>
      </c>
      <c r="H143">
        <v>25</v>
      </c>
      <c r="I143">
        <v>26</v>
      </c>
    </row>
    <row r="144" spans="1:9" x14ac:dyDescent="0.3">
      <c r="A144" t="s">
        <v>57</v>
      </c>
      <c r="B144" t="s">
        <v>58</v>
      </c>
      <c r="C144" t="s">
        <v>12</v>
      </c>
      <c r="D144">
        <v>227</v>
      </c>
      <c r="E144">
        <v>0</v>
      </c>
      <c r="F144">
        <v>24</v>
      </c>
      <c r="G144">
        <v>193</v>
      </c>
      <c r="H144">
        <v>5</v>
      </c>
      <c r="I144">
        <v>5</v>
      </c>
    </row>
    <row r="145" spans="1:9" x14ac:dyDescent="0.3">
      <c r="A145" t="s">
        <v>57</v>
      </c>
      <c r="B145" t="s">
        <v>58</v>
      </c>
      <c r="C145" t="s">
        <v>13</v>
      </c>
      <c r="D145">
        <v>763</v>
      </c>
      <c r="E145">
        <v>2</v>
      </c>
      <c r="F145">
        <v>106</v>
      </c>
      <c r="G145">
        <v>614</v>
      </c>
      <c r="H145">
        <v>20</v>
      </c>
      <c r="I145">
        <v>21</v>
      </c>
    </row>
    <row r="146" spans="1:9" x14ac:dyDescent="0.3">
      <c r="A146" t="s">
        <v>57</v>
      </c>
      <c r="B146" t="s">
        <v>59</v>
      </c>
      <c r="C146" t="s">
        <v>9</v>
      </c>
      <c r="D146">
        <v>190</v>
      </c>
      <c r="E146">
        <v>2</v>
      </c>
      <c r="F146">
        <v>28</v>
      </c>
      <c r="G146">
        <v>151</v>
      </c>
      <c r="H146">
        <v>4</v>
      </c>
      <c r="I146">
        <v>5</v>
      </c>
    </row>
    <row r="147" spans="1:9" x14ac:dyDescent="0.3">
      <c r="A147" t="s">
        <v>57</v>
      </c>
      <c r="B147" t="s">
        <v>59</v>
      </c>
      <c r="C147" t="s">
        <v>12</v>
      </c>
      <c r="D147">
        <v>18</v>
      </c>
      <c r="E147">
        <v>0</v>
      </c>
      <c r="F147">
        <v>2</v>
      </c>
      <c r="G147">
        <v>16</v>
      </c>
      <c r="H147">
        <v>0</v>
      </c>
      <c r="I147">
        <v>0</v>
      </c>
    </row>
    <row r="148" spans="1:9" x14ac:dyDescent="0.3">
      <c r="A148" t="s">
        <v>57</v>
      </c>
      <c r="B148" t="s">
        <v>59</v>
      </c>
      <c r="C148" t="s">
        <v>13</v>
      </c>
      <c r="D148">
        <v>172</v>
      </c>
      <c r="E148">
        <v>2</v>
      </c>
      <c r="F148">
        <v>26</v>
      </c>
      <c r="G148">
        <v>135</v>
      </c>
      <c r="H148">
        <v>4</v>
      </c>
      <c r="I148">
        <v>5</v>
      </c>
    </row>
    <row r="149" spans="1:9" x14ac:dyDescent="0.3">
      <c r="A149" t="s">
        <v>57</v>
      </c>
      <c r="B149" t="s">
        <v>60</v>
      </c>
      <c r="C149" t="s">
        <v>9</v>
      </c>
      <c r="D149">
        <v>205</v>
      </c>
      <c r="E149">
        <v>0</v>
      </c>
      <c r="F149">
        <v>26</v>
      </c>
      <c r="G149">
        <v>167</v>
      </c>
      <c r="H149">
        <v>5</v>
      </c>
      <c r="I149">
        <v>7</v>
      </c>
    </row>
    <row r="150" spans="1:9" x14ac:dyDescent="0.3">
      <c r="A150" t="s">
        <v>57</v>
      </c>
      <c r="B150" t="s">
        <v>60</v>
      </c>
      <c r="C150" t="s">
        <v>12</v>
      </c>
      <c r="D150">
        <v>17</v>
      </c>
      <c r="E150">
        <v>0</v>
      </c>
      <c r="F150">
        <v>1</v>
      </c>
      <c r="G150">
        <v>16</v>
      </c>
      <c r="H150">
        <v>0</v>
      </c>
      <c r="I150">
        <v>0</v>
      </c>
    </row>
    <row r="151" spans="1:9" x14ac:dyDescent="0.3">
      <c r="A151" t="s">
        <v>57</v>
      </c>
      <c r="B151" t="s">
        <v>60</v>
      </c>
      <c r="C151" t="s">
        <v>13</v>
      </c>
      <c r="D151">
        <v>188</v>
      </c>
      <c r="E151">
        <v>0</v>
      </c>
      <c r="F151">
        <v>25</v>
      </c>
      <c r="G151">
        <v>151</v>
      </c>
      <c r="H151">
        <v>5</v>
      </c>
      <c r="I151">
        <v>7</v>
      </c>
    </row>
    <row r="152" spans="1:9" x14ac:dyDescent="0.3">
      <c r="A152" t="s">
        <v>57</v>
      </c>
      <c r="B152" t="s">
        <v>61</v>
      </c>
      <c r="C152" t="s">
        <v>9</v>
      </c>
      <c r="D152" s="1">
        <v>2419</v>
      </c>
      <c r="E152">
        <v>6</v>
      </c>
      <c r="F152">
        <v>375</v>
      </c>
      <c r="G152" s="1">
        <v>1795</v>
      </c>
      <c r="H152">
        <v>161</v>
      </c>
      <c r="I152">
        <v>82</v>
      </c>
    </row>
    <row r="153" spans="1:9" x14ac:dyDescent="0.3">
      <c r="A153" t="s">
        <v>57</v>
      </c>
      <c r="B153" t="s">
        <v>61</v>
      </c>
      <c r="C153" t="s">
        <v>12</v>
      </c>
      <c r="D153">
        <v>578</v>
      </c>
      <c r="E153">
        <v>0</v>
      </c>
      <c r="F153">
        <v>70</v>
      </c>
      <c r="G153">
        <v>471</v>
      </c>
      <c r="H153">
        <v>24</v>
      </c>
      <c r="I153">
        <v>13</v>
      </c>
    </row>
    <row r="154" spans="1:9" x14ac:dyDescent="0.3">
      <c r="A154" t="s">
        <v>57</v>
      </c>
      <c r="B154" t="s">
        <v>61</v>
      </c>
      <c r="C154" t="s">
        <v>13</v>
      </c>
      <c r="D154" s="1">
        <v>1841</v>
      </c>
      <c r="E154">
        <v>6</v>
      </c>
      <c r="F154">
        <v>305</v>
      </c>
      <c r="G154" s="1">
        <v>1324</v>
      </c>
      <c r="H154">
        <v>137</v>
      </c>
      <c r="I154">
        <v>69</v>
      </c>
    </row>
    <row r="155" spans="1:9" x14ac:dyDescent="0.3">
      <c r="A155" t="s">
        <v>57</v>
      </c>
      <c r="B155" t="s">
        <v>62</v>
      </c>
      <c r="C155" t="s">
        <v>9</v>
      </c>
      <c r="D155">
        <v>92</v>
      </c>
      <c r="E155">
        <v>1</v>
      </c>
      <c r="F155">
        <v>15</v>
      </c>
      <c r="G155">
        <v>74</v>
      </c>
      <c r="H155">
        <v>0</v>
      </c>
      <c r="I155">
        <v>2</v>
      </c>
    </row>
    <row r="156" spans="1:9" x14ac:dyDescent="0.3">
      <c r="A156" t="s">
        <v>57</v>
      </c>
      <c r="B156" t="s">
        <v>62</v>
      </c>
      <c r="C156" t="s">
        <v>12</v>
      </c>
      <c r="D156">
        <v>14</v>
      </c>
      <c r="E156">
        <v>0</v>
      </c>
      <c r="F156">
        <v>1</v>
      </c>
      <c r="G156">
        <v>12</v>
      </c>
      <c r="H156">
        <v>0</v>
      </c>
      <c r="I156">
        <v>1</v>
      </c>
    </row>
    <row r="157" spans="1:9" x14ac:dyDescent="0.3">
      <c r="A157" t="s">
        <v>57</v>
      </c>
      <c r="B157" t="s">
        <v>62</v>
      </c>
      <c r="C157" t="s">
        <v>13</v>
      </c>
      <c r="D157">
        <v>78</v>
      </c>
      <c r="E157">
        <v>1</v>
      </c>
      <c r="F157">
        <v>14</v>
      </c>
      <c r="G157">
        <v>62</v>
      </c>
      <c r="H157">
        <v>0</v>
      </c>
      <c r="I157">
        <v>1</v>
      </c>
    </row>
    <row r="158" spans="1:9" x14ac:dyDescent="0.3">
      <c r="A158" t="s">
        <v>57</v>
      </c>
      <c r="B158" t="s">
        <v>63</v>
      </c>
      <c r="C158" t="s">
        <v>9</v>
      </c>
      <c r="D158">
        <v>368</v>
      </c>
      <c r="E158">
        <v>5</v>
      </c>
      <c r="F158">
        <v>49</v>
      </c>
      <c r="G158">
        <v>288</v>
      </c>
      <c r="H158">
        <v>17</v>
      </c>
      <c r="I158">
        <v>9</v>
      </c>
    </row>
    <row r="159" spans="1:9" x14ac:dyDescent="0.3">
      <c r="A159" t="s">
        <v>57</v>
      </c>
      <c r="B159" t="s">
        <v>63</v>
      </c>
      <c r="C159" t="s">
        <v>12</v>
      </c>
      <c r="D159">
        <v>37</v>
      </c>
      <c r="E159">
        <v>0</v>
      </c>
      <c r="F159">
        <v>5</v>
      </c>
      <c r="G159">
        <v>30</v>
      </c>
      <c r="H159">
        <v>1</v>
      </c>
      <c r="I159">
        <v>1</v>
      </c>
    </row>
    <row r="160" spans="1:9" x14ac:dyDescent="0.3">
      <c r="A160" t="s">
        <v>57</v>
      </c>
      <c r="B160" t="s">
        <v>63</v>
      </c>
      <c r="C160" t="s">
        <v>13</v>
      </c>
      <c r="D160">
        <v>331</v>
      </c>
      <c r="E160">
        <v>5</v>
      </c>
      <c r="F160">
        <v>44</v>
      </c>
      <c r="G160">
        <v>258</v>
      </c>
      <c r="H160">
        <v>16</v>
      </c>
      <c r="I160">
        <v>8</v>
      </c>
    </row>
    <row r="161" spans="1:9" x14ac:dyDescent="0.3">
      <c r="A161" t="s">
        <v>57</v>
      </c>
      <c r="B161" t="s">
        <v>64</v>
      </c>
      <c r="C161" t="s">
        <v>9</v>
      </c>
      <c r="D161">
        <v>377</v>
      </c>
      <c r="E161">
        <v>1</v>
      </c>
      <c r="F161">
        <v>35</v>
      </c>
      <c r="G161">
        <v>319</v>
      </c>
      <c r="H161">
        <v>10</v>
      </c>
      <c r="I161">
        <v>12</v>
      </c>
    </row>
    <row r="162" spans="1:9" x14ac:dyDescent="0.3">
      <c r="A162" t="s">
        <v>57</v>
      </c>
      <c r="B162" t="s">
        <v>64</v>
      </c>
      <c r="C162" t="s">
        <v>12</v>
      </c>
      <c r="D162">
        <v>61</v>
      </c>
      <c r="E162">
        <v>0</v>
      </c>
      <c r="F162">
        <v>1</v>
      </c>
      <c r="G162">
        <v>59</v>
      </c>
      <c r="H162">
        <v>0</v>
      </c>
      <c r="I162">
        <v>1</v>
      </c>
    </row>
    <row r="163" spans="1:9" x14ac:dyDescent="0.3">
      <c r="A163" t="s">
        <v>57</v>
      </c>
      <c r="B163" t="s">
        <v>64</v>
      </c>
      <c r="C163" t="s">
        <v>13</v>
      </c>
      <c r="D163">
        <v>316</v>
      </c>
      <c r="E163">
        <v>1</v>
      </c>
      <c r="F163">
        <v>34</v>
      </c>
      <c r="G163">
        <v>260</v>
      </c>
      <c r="H163">
        <v>10</v>
      </c>
      <c r="I163">
        <v>11</v>
      </c>
    </row>
    <row r="164" spans="1:9" x14ac:dyDescent="0.3">
      <c r="A164" t="s">
        <v>57</v>
      </c>
      <c r="B164" t="s">
        <v>65</v>
      </c>
      <c r="C164" t="s">
        <v>9</v>
      </c>
      <c r="D164">
        <v>97</v>
      </c>
      <c r="E164">
        <v>1</v>
      </c>
      <c r="F164">
        <v>12</v>
      </c>
      <c r="G164">
        <v>79</v>
      </c>
      <c r="H164">
        <v>3</v>
      </c>
      <c r="I164">
        <v>2</v>
      </c>
    </row>
    <row r="165" spans="1:9" x14ac:dyDescent="0.3">
      <c r="A165" t="s">
        <v>57</v>
      </c>
      <c r="B165" t="s">
        <v>65</v>
      </c>
      <c r="C165" t="s">
        <v>12</v>
      </c>
      <c r="D165">
        <v>8</v>
      </c>
      <c r="E165">
        <v>0</v>
      </c>
      <c r="F165">
        <v>2</v>
      </c>
      <c r="G165">
        <v>5</v>
      </c>
      <c r="H165">
        <v>1</v>
      </c>
      <c r="I165">
        <v>0</v>
      </c>
    </row>
    <row r="166" spans="1:9" x14ac:dyDescent="0.3">
      <c r="A166" t="s">
        <v>57</v>
      </c>
      <c r="B166" t="s">
        <v>65</v>
      </c>
      <c r="C166" t="s">
        <v>13</v>
      </c>
      <c r="D166">
        <v>89</v>
      </c>
      <c r="E166">
        <v>1</v>
      </c>
      <c r="F166">
        <v>10</v>
      </c>
      <c r="G166">
        <v>74</v>
      </c>
      <c r="H166">
        <v>2</v>
      </c>
      <c r="I166">
        <v>2</v>
      </c>
    </row>
    <row r="167" spans="1:9" x14ac:dyDescent="0.3">
      <c r="A167" t="s">
        <v>57</v>
      </c>
      <c r="B167" t="s">
        <v>66</v>
      </c>
      <c r="C167" t="s">
        <v>9</v>
      </c>
      <c r="D167" s="1">
        <v>1470</v>
      </c>
      <c r="E167">
        <v>7</v>
      </c>
      <c r="F167">
        <v>166</v>
      </c>
      <c r="G167" s="1">
        <v>1189</v>
      </c>
      <c r="H167">
        <v>68</v>
      </c>
      <c r="I167">
        <v>40</v>
      </c>
    </row>
    <row r="168" spans="1:9" x14ac:dyDescent="0.3">
      <c r="A168" t="s">
        <v>57</v>
      </c>
      <c r="B168" t="s">
        <v>66</v>
      </c>
      <c r="C168" t="s">
        <v>12</v>
      </c>
      <c r="D168">
        <v>271</v>
      </c>
      <c r="E168">
        <v>1</v>
      </c>
      <c r="F168">
        <v>12</v>
      </c>
      <c r="G168">
        <v>243</v>
      </c>
      <c r="H168">
        <v>11</v>
      </c>
      <c r="I168">
        <v>4</v>
      </c>
    </row>
    <row r="169" spans="1:9" x14ac:dyDescent="0.3">
      <c r="A169" t="s">
        <v>57</v>
      </c>
      <c r="B169" t="s">
        <v>66</v>
      </c>
      <c r="C169" t="s">
        <v>13</v>
      </c>
      <c r="D169" s="1">
        <v>1199</v>
      </c>
      <c r="E169">
        <v>6</v>
      </c>
      <c r="F169">
        <v>154</v>
      </c>
      <c r="G169">
        <v>946</v>
      </c>
      <c r="H169">
        <v>57</v>
      </c>
      <c r="I169">
        <v>36</v>
      </c>
    </row>
    <row r="170" spans="1:9" x14ac:dyDescent="0.3">
      <c r="A170" t="s">
        <v>57</v>
      </c>
      <c r="B170" t="s">
        <v>67</v>
      </c>
      <c r="C170" t="s">
        <v>9</v>
      </c>
      <c r="D170">
        <v>83</v>
      </c>
      <c r="E170">
        <v>1</v>
      </c>
      <c r="F170">
        <v>14</v>
      </c>
      <c r="G170">
        <v>67</v>
      </c>
      <c r="H170">
        <v>1</v>
      </c>
      <c r="I170">
        <v>0</v>
      </c>
    </row>
    <row r="171" spans="1:9" x14ac:dyDescent="0.3">
      <c r="A171" t="s">
        <v>57</v>
      </c>
      <c r="B171" t="s">
        <v>67</v>
      </c>
      <c r="C171" t="s">
        <v>12</v>
      </c>
      <c r="D171">
        <v>11</v>
      </c>
      <c r="E171">
        <v>0</v>
      </c>
      <c r="F171">
        <v>1</v>
      </c>
      <c r="G171">
        <v>10</v>
      </c>
      <c r="H171">
        <v>0</v>
      </c>
      <c r="I171">
        <v>0</v>
      </c>
    </row>
    <row r="172" spans="1:9" x14ac:dyDescent="0.3">
      <c r="A172" t="s">
        <v>57</v>
      </c>
      <c r="B172" t="s">
        <v>67</v>
      </c>
      <c r="C172" t="s">
        <v>13</v>
      </c>
      <c r="D172">
        <v>72</v>
      </c>
      <c r="E172">
        <v>1</v>
      </c>
      <c r="F172">
        <v>13</v>
      </c>
      <c r="G172">
        <v>57</v>
      </c>
      <c r="H172">
        <v>1</v>
      </c>
      <c r="I172">
        <v>0</v>
      </c>
    </row>
    <row r="173" spans="1:9" x14ac:dyDescent="0.3">
      <c r="A173" t="s">
        <v>57</v>
      </c>
      <c r="B173" t="s">
        <v>68</v>
      </c>
      <c r="C173" t="s">
        <v>9</v>
      </c>
      <c r="D173" s="1">
        <v>1013</v>
      </c>
      <c r="E173">
        <v>5</v>
      </c>
      <c r="F173">
        <v>113</v>
      </c>
      <c r="G173">
        <v>781</v>
      </c>
      <c r="H173">
        <v>70</v>
      </c>
      <c r="I173">
        <v>44</v>
      </c>
    </row>
    <row r="174" spans="1:9" x14ac:dyDescent="0.3">
      <c r="A174" t="s">
        <v>57</v>
      </c>
      <c r="B174" t="s">
        <v>68</v>
      </c>
      <c r="C174" t="s">
        <v>12</v>
      </c>
      <c r="D174">
        <v>211</v>
      </c>
      <c r="E174">
        <v>0</v>
      </c>
      <c r="F174">
        <v>7</v>
      </c>
      <c r="G174">
        <v>193</v>
      </c>
      <c r="H174">
        <v>6</v>
      </c>
      <c r="I174">
        <v>5</v>
      </c>
    </row>
    <row r="175" spans="1:9" x14ac:dyDescent="0.3">
      <c r="A175" t="s">
        <v>57</v>
      </c>
      <c r="B175" t="s">
        <v>68</v>
      </c>
      <c r="C175" t="s">
        <v>13</v>
      </c>
      <c r="D175">
        <v>802</v>
      </c>
      <c r="E175">
        <v>5</v>
      </c>
      <c r="F175">
        <v>106</v>
      </c>
      <c r="G175">
        <v>588</v>
      </c>
      <c r="H175">
        <v>64</v>
      </c>
      <c r="I175">
        <v>39</v>
      </c>
    </row>
    <row r="176" spans="1:9" x14ac:dyDescent="0.3">
      <c r="A176" t="s">
        <v>57</v>
      </c>
      <c r="B176" t="s">
        <v>69</v>
      </c>
      <c r="C176" t="s">
        <v>9</v>
      </c>
      <c r="D176">
        <v>272</v>
      </c>
      <c r="E176">
        <v>4</v>
      </c>
      <c r="F176">
        <v>21</v>
      </c>
      <c r="G176">
        <v>219</v>
      </c>
      <c r="H176">
        <v>17</v>
      </c>
      <c r="I176">
        <v>11</v>
      </c>
    </row>
    <row r="177" spans="1:9" x14ac:dyDescent="0.3">
      <c r="A177" t="s">
        <v>57</v>
      </c>
      <c r="B177" t="s">
        <v>69</v>
      </c>
      <c r="C177" t="s">
        <v>12</v>
      </c>
      <c r="D177">
        <v>48</v>
      </c>
      <c r="E177">
        <v>0</v>
      </c>
      <c r="F177">
        <v>2</v>
      </c>
      <c r="G177">
        <v>45</v>
      </c>
      <c r="H177">
        <v>0</v>
      </c>
      <c r="I177">
        <v>1</v>
      </c>
    </row>
    <row r="178" spans="1:9" x14ac:dyDescent="0.3">
      <c r="A178" t="s">
        <v>57</v>
      </c>
      <c r="B178" t="s">
        <v>69</v>
      </c>
      <c r="C178" t="s">
        <v>13</v>
      </c>
      <c r="D178">
        <v>224</v>
      </c>
      <c r="E178">
        <v>4</v>
      </c>
      <c r="F178">
        <v>19</v>
      </c>
      <c r="G178">
        <v>174</v>
      </c>
      <c r="H178">
        <v>17</v>
      </c>
      <c r="I178">
        <v>10</v>
      </c>
    </row>
    <row r="179" spans="1:9" x14ac:dyDescent="0.3">
      <c r="A179" t="s">
        <v>57</v>
      </c>
      <c r="B179" t="s">
        <v>70</v>
      </c>
      <c r="C179" t="s">
        <v>9</v>
      </c>
      <c r="D179">
        <v>437</v>
      </c>
      <c r="E179">
        <v>4</v>
      </c>
      <c r="F179">
        <v>74</v>
      </c>
      <c r="G179">
        <v>330</v>
      </c>
      <c r="H179">
        <v>14</v>
      </c>
      <c r="I179">
        <v>15</v>
      </c>
    </row>
    <row r="180" spans="1:9" x14ac:dyDescent="0.3">
      <c r="A180" t="s">
        <v>57</v>
      </c>
      <c r="B180" t="s">
        <v>70</v>
      </c>
      <c r="C180" t="s">
        <v>12</v>
      </c>
      <c r="D180">
        <v>52</v>
      </c>
      <c r="E180">
        <v>0</v>
      </c>
      <c r="F180">
        <v>6</v>
      </c>
      <c r="G180">
        <v>46</v>
      </c>
      <c r="H180">
        <v>0</v>
      </c>
      <c r="I180">
        <v>0</v>
      </c>
    </row>
    <row r="181" spans="1:9" x14ac:dyDescent="0.3">
      <c r="A181" t="s">
        <v>57</v>
      </c>
      <c r="B181" t="s">
        <v>70</v>
      </c>
      <c r="C181" t="s">
        <v>13</v>
      </c>
      <c r="D181">
        <v>385</v>
      </c>
      <c r="E181">
        <v>4</v>
      </c>
      <c r="F181">
        <v>68</v>
      </c>
      <c r="G181">
        <v>284</v>
      </c>
      <c r="H181">
        <v>14</v>
      </c>
      <c r="I181">
        <v>15</v>
      </c>
    </row>
    <row r="182" spans="1:9" x14ac:dyDescent="0.3">
      <c r="A182" t="s">
        <v>57</v>
      </c>
      <c r="B182" t="s">
        <v>71</v>
      </c>
      <c r="C182" t="s">
        <v>9</v>
      </c>
      <c r="D182">
        <v>452</v>
      </c>
      <c r="E182">
        <v>4</v>
      </c>
      <c r="F182">
        <v>78</v>
      </c>
      <c r="G182">
        <v>338</v>
      </c>
      <c r="H182">
        <v>19</v>
      </c>
      <c r="I182">
        <v>13</v>
      </c>
    </row>
    <row r="183" spans="1:9" x14ac:dyDescent="0.3">
      <c r="A183" t="s">
        <v>57</v>
      </c>
      <c r="B183" t="s">
        <v>71</v>
      </c>
      <c r="C183" t="s">
        <v>12</v>
      </c>
      <c r="D183">
        <v>77</v>
      </c>
      <c r="E183">
        <v>0</v>
      </c>
      <c r="F183">
        <v>11</v>
      </c>
      <c r="G183">
        <v>63</v>
      </c>
      <c r="H183">
        <v>3</v>
      </c>
      <c r="I183">
        <v>0</v>
      </c>
    </row>
    <row r="184" spans="1:9" x14ac:dyDescent="0.3">
      <c r="A184" t="s">
        <v>57</v>
      </c>
      <c r="B184" t="s">
        <v>71</v>
      </c>
      <c r="C184" t="s">
        <v>13</v>
      </c>
      <c r="D184">
        <v>375</v>
      </c>
      <c r="E184">
        <v>4</v>
      </c>
      <c r="F184">
        <v>67</v>
      </c>
      <c r="G184">
        <v>275</v>
      </c>
      <c r="H184">
        <v>16</v>
      </c>
      <c r="I184">
        <v>13</v>
      </c>
    </row>
    <row r="185" spans="1:9" x14ac:dyDescent="0.3">
      <c r="A185" t="s">
        <v>57</v>
      </c>
      <c r="B185" t="s">
        <v>72</v>
      </c>
      <c r="C185" t="s">
        <v>9</v>
      </c>
      <c r="D185">
        <v>699</v>
      </c>
      <c r="E185">
        <v>6</v>
      </c>
      <c r="F185">
        <v>146</v>
      </c>
      <c r="G185">
        <v>470</v>
      </c>
      <c r="H185">
        <v>52</v>
      </c>
      <c r="I185">
        <v>25</v>
      </c>
    </row>
    <row r="186" spans="1:9" x14ac:dyDescent="0.3">
      <c r="A186" t="s">
        <v>57</v>
      </c>
      <c r="B186" t="s">
        <v>72</v>
      </c>
      <c r="C186" t="s">
        <v>12</v>
      </c>
      <c r="D186">
        <v>152</v>
      </c>
      <c r="E186">
        <v>0</v>
      </c>
      <c r="F186">
        <v>16</v>
      </c>
      <c r="G186">
        <v>124</v>
      </c>
      <c r="H186">
        <v>9</v>
      </c>
      <c r="I186">
        <v>3</v>
      </c>
    </row>
    <row r="187" spans="1:9" x14ac:dyDescent="0.3">
      <c r="A187" t="s">
        <v>57</v>
      </c>
      <c r="B187" t="s">
        <v>72</v>
      </c>
      <c r="C187" t="s">
        <v>13</v>
      </c>
      <c r="D187">
        <v>547</v>
      </c>
      <c r="E187">
        <v>6</v>
      </c>
      <c r="F187">
        <v>130</v>
      </c>
      <c r="G187">
        <v>346</v>
      </c>
      <c r="H187">
        <v>43</v>
      </c>
      <c r="I187">
        <v>22</v>
      </c>
    </row>
    <row r="188" spans="1:9" x14ac:dyDescent="0.3">
      <c r="A188" t="s">
        <v>57</v>
      </c>
      <c r="B188" t="s">
        <v>73</v>
      </c>
      <c r="C188" t="s">
        <v>9</v>
      </c>
      <c r="D188">
        <v>695</v>
      </c>
      <c r="E188">
        <v>3</v>
      </c>
      <c r="F188">
        <v>143</v>
      </c>
      <c r="G188">
        <v>475</v>
      </c>
      <c r="H188">
        <v>46</v>
      </c>
      <c r="I188">
        <v>28</v>
      </c>
    </row>
    <row r="189" spans="1:9" x14ac:dyDescent="0.3">
      <c r="A189" t="s">
        <v>57</v>
      </c>
      <c r="B189" t="s">
        <v>73</v>
      </c>
      <c r="C189" t="s">
        <v>12</v>
      </c>
      <c r="D189">
        <v>141</v>
      </c>
      <c r="E189">
        <v>0</v>
      </c>
      <c r="F189">
        <v>16</v>
      </c>
      <c r="G189">
        <v>112</v>
      </c>
      <c r="H189">
        <v>13</v>
      </c>
      <c r="I189">
        <v>0</v>
      </c>
    </row>
    <row r="190" spans="1:9" x14ac:dyDescent="0.3">
      <c r="A190" t="s">
        <v>57</v>
      </c>
      <c r="B190" t="s">
        <v>73</v>
      </c>
      <c r="C190" t="s">
        <v>13</v>
      </c>
      <c r="D190">
        <v>554</v>
      </c>
      <c r="E190">
        <v>3</v>
      </c>
      <c r="F190">
        <v>127</v>
      </c>
      <c r="G190">
        <v>363</v>
      </c>
      <c r="H190">
        <v>33</v>
      </c>
      <c r="I190">
        <v>28</v>
      </c>
    </row>
    <row r="191" spans="1:9" x14ac:dyDescent="0.3">
      <c r="A191" t="s">
        <v>57</v>
      </c>
      <c r="B191" t="s">
        <v>74</v>
      </c>
      <c r="C191" t="s">
        <v>9</v>
      </c>
      <c r="D191">
        <v>774</v>
      </c>
      <c r="E191">
        <v>2</v>
      </c>
      <c r="F191">
        <v>109</v>
      </c>
      <c r="G191">
        <v>611</v>
      </c>
      <c r="H191">
        <v>37</v>
      </c>
      <c r="I191">
        <v>15</v>
      </c>
    </row>
    <row r="192" spans="1:9" x14ac:dyDescent="0.3">
      <c r="A192" t="s">
        <v>57</v>
      </c>
      <c r="B192" t="s">
        <v>74</v>
      </c>
      <c r="C192" t="s">
        <v>12</v>
      </c>
      <c r="D192">
        <v>183</v>
      </c>
      <c r="E192">
        <v>0</v>
      </c>
      <c r="F192">
        <v>10</v>
      </c>
      <c r="G192">
        <v>161</v>
      </c>
      <c r="H192">
        <v>8</v>
      </c>
      <c r="I192">
        <v>4</v>
      </c>
    </row>
    <row r="193" spans="1:9" x14ac:dyDescent="0.3">
      <c r="A193" t="s">
        <v>57</v>
      </c>
      <c r="B193" t="s">
        <v>74</v>
      </c>
      <c r="C193" t="s">
        <v>13</v>
      </c>
      <c r="D193">
        <v>591</v>
      </c>
      <c r="E193">
        <v>2</v>
      </c>
      <c r="F193">
        <v>99</v>
      </c>
      <c r="G193">
        <v>450</v>
      </c>
      <c r="H193">
        <v>29</v>
      </c>
      <c r="I193">
        <v>11</v>
      </c>
    </row>
    <row r="194" spans="1:9" x14ac:dyDescent="0.3">
      <c r="A194" t="s">
        <v>57</v>
      </c>
      <c r="B194" t="s">
        <v>75</v>
      </c>
      <c r="C194" t="s">
        <v>9</v>
      </c>
      <c r="D194">
        <v>401</v>
      </c>
      <c r="E194">
        <v>3</v>
      </c>
      <c r="F194">
        <v>52</v>
      </c>
      <c r="G194">
        <v>306</v>
      </c>
      <c r="H194">
        <v>23</v>
      </c>
      <c r="I194">
        <v>17</v>
      </c>
    </row>
    <row r="195" spans="1:9" x14ac:dyDescent="0.3">
      <c r="A195" t="s">
        <v>57</v>
      </c>
      <c r="B195" t="s">
        <v>75</v>
      </c>
      <c r="C195" t="s">
        <v>12</v>
      </c>
      <c r="D195">
        <v>72</v>
      </c>
      <c r="E195">
        <v>0</v>
      </c>
      <c r="F195">
        <v>5</v>
      </c>
      <c r="G195">
        <v>62</v>
      </c>
      <c r="H195">
        <v>4</v>
      </c>
      <c r="I195">
        <v>1</v>
      </c>
    </row>
    <row r="196" spans="1:9" x14ac:dyDescent="0.3">
      <c r="A196" t="s">
        <v>57</v>
      </c>
      <c r="B196" t="s">
        <v>75</v>
      </c>
      <c r="C196" t="s">
        <v>13</v>
      </c>
      <c r="D196">
        <v>329</v>
      </c>
      <c r="E196">
        <v>3</v>
      </c>
      <c r="F196">
        <v>47</v>
      </c>
      <c r="G196">
        <v>244</v>
      </c>
      <c r="H196">
        <v>19</v>
      </c>
      <c r="I196">
        <v>16</v>
      </c>
    </row>
    <row r="197" spans="1:9" x14ac:dyDescent="0.3">
      <c r="A197" t="s">
        <v>57</v>
      </c>
      <c r="B197" t="s">
        <v>76</v>
      </c>
      <c r="C197" t="s">
        <v>9</v>
      </c>
      <c r="D197">
        <v>118</v>
      </c>
      <c r="E197">
        <v>2</v>
      </c>
      <c r="F197">
        <v>20</v>
      </c>
      <c r="G197">
        <v>89</v>
      </c>
      <c r="H197">
        <v>4</v>
      </c>
      <c r="I197">
        <v>3</v>
      </c>
    </row>
    <row r="198" spans="1:9" x14ac:dyDescent="0.3">
      <c r="A198" t="s">
        <v>57</v>
      </c>
      <c r="B198" t="s">
        <v>76</v>
      </c>
      <c r="C198" t="s">
        <v>12</v>
      </c>
      <c r="D198">
        <v>2</v>
      </c>
      <c r="E198">
        <v>0</v>
      </c>
      <c r="F198">
        <v>1</v>
      </c>
      <c r="G198">
        <v>1</v>
      </c>
      <c r="H198">
        <v>0</v>
      </c>
      <c r="I198">
        <v>0</v>
      </c>
    </row>
    <row r="199" spans="1:9" x14ac:dyDescent="0.3">
      <c r="A199" t="s">
        <v>57</v>
      </c>
      <c r="B199" t="s">
        <v>76</v>
      </c>
      <c r="C199" t="s">
        <v>13</v>
      </c>
      <c r="D199">
        <v>116</v>
      </c>
      <c r="E199">
        <v>2</v>
      </c>
      <c r="F199">
        <v>19</v>
      </c>
      <c r="G199">
        <v>88</v>
      </c>
      <c r="H199">
        <v>4</v>
      </c>
      <c r="I199">
        <v>3</v>
      </c>
    </row>
    <row r="200" spans="1:9" x14ac:dyDescent="0.3">
      <c r="A200" t="s">
        <v>57</v>
      </c>
      <c r="B200" t="s">
        <v>77</v>
      </c>
      <c r="C200" t="s">
        <v>9</v>
      </c>
      <c r="D200">
        <v>315</v>
      </c>
      <c r="E200">
        <v>1</v>
      </c>
      <c r="F200">
        <v>48</v>
      </c>
      <c r="G200">
        <v>246</v>
      </c>
      <c r="H200">
        <v>11</v>
      </c>
      <c r="I200">
        <v>9</v>
      </c>
    </row>
    <row r="201" spans="1:9" x14ac:dyDescent="0.3">
      <c r="A201" t="s">
        <v>57</v>
      </c>
      <c r="B201" t="s">
        <v>77</v>
      </c>
      <c r="C201" t="s">
        <v>12</v>
      </c>
      <c r="D201">
        <v>76</v>
      </c>
      <c r="E201">
        <v>0</v>
      </c>
      <c r="F201">
        <v>3</v>
      </c>
      <c r="G201">
        <v>69</v>
      </c>
      <c r="H201">
        <v>3</v>
      </c>
      <c r="I201">
        <v>1</v>
      </c>
    </row>
    <row r="202" spans="1:9" x14ac:dyDescent="0.3">
      <c r="A202" t="s">
        <v>57</v>
      </c>
      <c r="B202" t="s">
        <v>77</v>
      </c>
      <c r="C202" t="s">
        <v>13</v>
      </c>
      <c r="D202">
        <v>239</v>
      </c>
      <c r="E202">
        <v>1</v>
      </c>
      <c r="F202">
        <v>45</v>
      </c>
      <c r="G202">
        <v>177</v>
      </c>
      <c r="H202">
        <v>8</v>
      </c>
      <c r="I202">
        <v>8</v>
      </c>
    </row>
    <row r="203" spans="1:9" x14ac:dyDescent="0.3">
      <c r="A203" t="s">
        <v>57</v>
      </c>
      <c r="B203" t="s">
        <v>78</v>
      </c>
      <c r="C203" t="s">
        <v>9</v>
      </c>
      <c r="D203">
        <v>117</v>
      </c>
      <c r="E203">
        <v>0</v>
      </c>
      <c r="F203">
        <v>20</v>
      </c>
      <c r="G203">
        <v>87</v>
      </c>
      <c r="H203">
        <v>5</v>
      </c>
      <c r="I203">
        <v>5</v>
      </c>
    </row>
    <row r="204" spans="1:9" x14ac:dyDescent="0.3">
      <c r="A204" t="s">
        <v>57</v>
      </c>
      <c r="B204" t="s">
        <v>78</v>
      </c>
      <c r="C204" t="s">
        <v>12</v>
      </c>
      <c r="D204">
        <v>9</v>
      </c>
      <c r="E204">
        <v>0</v>
      </c>
      <c r="F204">
        <v>1</v>
      </c>
      <c r="G204">
        <v>8</v>
      </c>
      <c r="H204">
        <v>0</v>
      </c>
      <c r="I204">
        <v>0</v>
      </c>
    </row>
    <row r="205" spans="1:9" x14ac:dyDescent="0.3">
      <c r="A205" t="s">
        <v>57</v>
      </c>
      <c r="B205" t="s">
        <v>78</v>
      </c>
      <c r="C205" t="s">
        <v>13</v>
      </c>
      <c r="D205">
        <v>108</v>
      </c>
      <c r="E205">
        <v>0</v>
      </c>
      <c r="F205">
        <v>19</v>
      </c>
      <c r="G205">
        <v>79</v>
      </c>
      <c r="H205">
        <v>5</v>
      </c>
      <c r="I205">
        <v>5</v>
      </c>
    </row>
    <row r="206" spans="1:9" x14ac:dyDescent="0.3">
      <c r="A206" t="s">
        <v>57</v>
      </c>
      <c r="B206" t="s">
        <v>79</v>
      </c>
      <c r="C206" t="s">
        <v>9</v>
      </c>
      <c r="D206">
        <v>156</v>
      </c>
      <c r="E206">
        <v>1</v>
      </c>
      <c r="F206">
        <v>23</v>
      </c>
      <c r="G206">
        <v>122</v>
      </c>
      <c r="H206">
        <v>3</v>
      </c>
      <c r="I206">
        <v>7</v>
      </c>
    </row>
    <row r="207" spans="1:9" x14ac:dyDescent="0.3">
      <c r="A207" t="s">
        <v>57</v>
      </c>
      <c r="B207" t="s">
        <v>79</v>
      </c>
      <c r="C207" t="s">
        <v>12</v>
      </c>
      <c r="D207">
        <v>9</v>
      </c>
      <c r="E207">
        <v>0</v>
      </c>
      <c r="F207">
        <v>2</v>
      </c>
      <c r="G207">
        <v>6</v>
      </c>
      <c r="H207">
        <v>0</v>
      </c>
      <c r="I207">
        <v>1</v>
      </c>
    </row>
    <row r="208" spans="1:9" x14ac:dyDescent="0.3">
      <c r="A208" t="s">
        <v>57</v>
      </c>
      <c r="B208" t="s">
        <v>79</v>
      </c>
      <c r="C208" t="s">
        <v>13</v>
      </c>
      <c r="D208">
        <v>147</v>
      </c>
      <c r="E208">
        <v>1</v>
      </c>
      <c r="F208">
        <v>21</v>
      </c>
      <c r="G208">
        <v>116</v>
      </c>
      <c r="H208">
        <v>3</v>
      </c>
      <c r="I208">
        <v>6</v>
      </c>
    </row>
    <row r="209" spans="1:9" x14ac:dyDescent="0.3">
      <c r="A209" t="s">
        <v>80</v>
      </c>
      <c r="B209" t="s">
        <v>9</v>
      </c>
      <c r="C209" t="s">
        <v>9</v>
      </c>
      <c r="D209" s="1">
        <v>8729</v>
      </c>
      <c r="E209">
        <v>49</v>
      </c>
      <c r="F209" s="1">
        <v>1081</v>
      </c>
      <c r="G209" s="1">
        <v>7003</v>
      </c>
      <c r="H209">
        <v>383</v>
      </c>
      <c r="I209">
        <v>213</v>
      </c>
    </row>
    <row r="210" spans="1:9" x14ac:dyDescent="0.3">
      <c r="A210" t="s">
        <v>80</v>
      </c>
      <c r="B210" t="s">
        <v>9</v>
      </c>
      <c r="C210" t="s">
        <v>12</v>
      </c>
      <c r="D210" s="1">
        <f>D213+D216+D219+D222+D225+D228+D231+D234+D237+D240+D243+D246+D249+D252+D255+D260+D263+D266+D269+D272+D275+D278</f>
        <v>1280</v>
      </c>
      <c r="E210" s="1">
        <f t="shared" ref="E210:I210" si="6">E213+E216+E219+E222+E225+E228+E231+E234+E237+E240+E243+E246+E249+E252+E255+E260+E263+E266+E269+E272+E275+E278</f>
        <v>3</v>
      </c>
      <c r="F210" s="1">
        <f t="shared" si="6"/>
        <v>109</v>
      </c>
      <c r="G210" s="1">
        <f t="shared" si="6"/>
        <v>1116</v>
      </c>
      <c r="H210" s="1">
        <f t="shared" si="6"/>
        <v>37</v>
      </c>
      <c r="I210" s="1">
        <f t="shared" si="6"/>
        <v>15</v>
      </c>
    </row>
    <row r="211" spans="1:9" x14ac:dyDescent="0.3">
      <c r="A211" t="s">
        <v>80</v>
      </c>
      <c r="B211" t="s">
        <v>9</v>
      </c>
      <c r="C211" t="s">
        <v>13</v>
      </c>
      <c r="D211" s="1">
        <f>D214+D217+D220+D223+D226+D229+D232+D235+D238+D241+D244+D247+D250+D253+D256+D258+D261+D264+D267+D270+D273+D276+D279</f>
        <v>7449</v>
      </c>
      <c r="E211" s="1">
        <f t="shared" ref="E211:I211" si="7">E214+E217+E220+E223+E226+E229+E232+E235+E238+E241+E244+E247+E250+E253+E256+E258+E261+E264+E267+E270+E273+E276+E279</f>
        <v>46</v>
      </c>
      <c r="F211" s="1">
        <f t="shared" si="7"/>
        <v>972</v>
      </c>
      <c r="G211" s="1">
        <f t="shared" si="7"/>
        <v>5887</v>
      </c>
      <c r="H211" s="1">
        <f t="shared" si="7"/>
        <v>346</v>
      </c>
      <c r="I211" s="1">
        <f t="shared" si="7"/>
        <v>198</v>
      </c>
    </row>
    <row r="212" spans="1:9" x14ac:dyDescent="0.3">
      <c r="A212" t="s">
        <v>80</v>
      </c>
      <c r="B212" t="s">
        <v>81</v>
      </c>
      <c r="C212" t="s">
        <v>9</v>
      </c>
      <c r="D212">
        <v>929</v>
      </c>
      <c r="E212">
        <v>3</v>
      </c>
      <c r="F212">
        <v>120</v>
      </c>
      <c r="G212">
        <v>750</v>
      </c>
      <c r="H212">
        <v>42</v>
      </c>
      <c r="I212">
        <v>14</v>
      </c>
    </row>
    <row r="213" spans="1:9" x14ac:dyDescent="0.3">
      <c r="A213" t="s">
        <v>80</v>
      </c>
      <c r="B213" t="s">
        <v>81</v>
      </c>
      <c r="C213" t="s">
        <v>12</v>
      </c>
      <c r="D213">
        <v>201</v>
      </c>
      <c r="E213">
        <v>0</v>
      </c>
      <c r="F213">
        <v>14</v>
      </c>
      <c r="G213">
        <v>178</v>
      </c>
      <c r="H213">
        <v>5</v>
      </c>
      <c r="I213">
        <v>4</v>
      </c>
    </row>
    <row r="214" spans="1:9" x14ac:dyDescent="0.3">
      <c r="A214" t="s">
        <v>80</v>
      </c>
      <c r="B214" t="s">
        <v>81</v>
      </c>
      <c r="C214" t="s">
        <v>13</v>
      </c>
      <c r="D214">
        <v>728</v>
      </c>
      <c r="E214">
        <v>3</v>
      </c>
      <c r="F214">
        <v>106</v>
      </c>
      <c r="G214">
        <v>572</v>
      </c>
      <c r="H214">
        <v>37</v>
      </c>
      <c r="I214">
        <v>10</v>
      </c>
    </row>
    <row r="215" spans="1:9" x14ac:dyDescent="0.3">
      <c r="A215" t="s">
        <v>80</v>
      </c>
      <c r="B215" t="s">
        <v>82</v>
      </c>
      <c r="C215" t="s">
        <v>9</v>
      </c>
      <c r="D215" s="1">
        <v>1142</v>
      </c>
      <c r="E215">
        <v>4</v>
      </c>
      <c r="F215">
        <v>159</v>
      </c>
      <c r="G215">
        <v>886</v>
      </c>
      <c r="H215">
        <v>61</v>
      </c>
      <c r="I215">
        <v>32</v>
      </c>
    </row>
    <row r="216" spans="1:9" x14ac:dyDescent="0.3">
      <c r="A216" t="s">
        <v>80</v>
      </c>
      <c r="B216" t="s">
        <v>82</v>
      </c>
      <c r="C216" t="s">
        <v>12</v>
      </c>
      <c r="D216">
        <v>233</v>
      </c>
      <c r="E216">
        <v>0</v>
      </c>
      <c r="F216">
        <v>16</v>
      </c>
      <c r="G216">
        <v>209</v>
      </c>
      <c r="H216">
        <v>7</v>
      </c>
      <c r="I216">
        <v>1</v>
      </c>
    </row>
    <row r="217" spans="1:9" x14ac:dyDescent="0.3">
      <c r="A217" t="s">
        <v>80</v>
      </c>
      <c r="B217" t="s">
        <v>82</v>
      </c>
      <c r="C217" t="s">
        <v>13</v>
      </c>
      <c r="D217">
        <v>909</v>
      </c>
      <c r="E217">
        <v>4</v>
      </c>
      <c r="F217">
        <v>143</v>
      </c>
      <c r="G217">
        <v>677</v>
      </c>
      <c r="H217">
        <v>54</v>
      </c>
      <c r="I217">
        <v>31</v>
      </c>
    </row>
    <row r="218" spans="1:9" x14ac:dyDescent="0.3">
      <c r="A218" t="s">
        <v>80</v>
      </c>
      <c r="B218" t="s">
        <v>83</v>
      </c>
      <c r="C218" t="s">
        <v>9</v>
      </c>
      <c r="D218">
        <v>140</v>
      </c>
      <c r="E218">
        <v>2</v>
      </c>
      <c r="F218">
        <v>14</v>
      </c>
      <c r="G218">
        <v>116</v>
      </c>
      <c r="H218">
        <v>5</v>
      </c>
      <c r="I218">
        <v>3</v>
      </c>
    </row>
    <row r="219" spans="1:9" x14ac:dyDescent="0.3">
      <c r="A219" t="s">
        <v>80</v>
      </c>
      <c r="B219" t="s">
        <v>83</v>
      </c>
      <c r="C219" t="s">
        <v>12</v>
      </c>
      <c r="D219">
        <v>12</v>
      </c>
      <c r="E219">
        <v>0</v>
      </c>
      <c r="F219">
        <v>0</v>
      </c>
      <c r="G219">
        <v>11</v>
      </c>
      <c r="H219">
        <v>1</v>
      </c>
      <c r="I219">
        <v>0</v>
      </c>
    </row>
    <row r="220" spans="1:9" x14ac:dyDescent="0.3">
      <c r="A220" t="s">
        <v>80</v>
      </c>
      <c r="B220" t="s">
        <v>83</v>
      </c>
      <c r="C220" t="s">
        <v>13</v>
      </c>
      <c r="D220">
        <v>128</v>
      </c>
      <c r="E220">
        <v>2</v>
      </c>
      <c r="F220">
        <v>14</v>
      </c>
      <c r="G220">
        <v>105</v>
      </c>
      <c r="H220">
        <v>4</v>
      </c>
      <c r="I220">
        <v>3</v>
      </c>
    </row>
    <row r="221" spans="1:9" x14ac:dyDescent="0.3">
      <c r="A221" t="s">
        <v>80</v>
      </c>
      <c r="B221" t="s">
        <v>84</v>
      </c>
      <c r="C221" t="s">
        <v>9</v>
      </c>
      <c r="D221" s="1">
        <v>1287</v>
      </c>
      <c r="E221">
        <v>6</v>
      </c>
      <c r="F221">
        <v>181</v>
      </c>
      <c r="G221">
        <v>988</v>
      </c>
      <c r="H221">
        <v>77</v>
      </c>
      <c r="I221">
        <v>35</v>
      </c>
    </row>
    <row r="222" spans="1:9" x14ac:dyDescent="0.3">
      <c r="A222" t="s">
        <v>80</v>
      </c>
      <c r="B222" t="s">
        <v>84</v>
      </c>
      <c r="C222" t="s">
        <v>12</v>
      </c>
      <c r="D222">
        <v>199</v>
      </c>
      <c r="E222">
        <v>1</v>
      </c>
      <c r="F222">
        <v>18</v>
      </c>
      <c r="G222">
        <v>166</v>
      </c>
      <c r="H222">
        <v>11</v>
      </c>
      <c r="I222">
        <v>3</v>
      </c>
    </row>
    <row r="223" spans="1:9" x14ac:dyDescent="0.3">
      <c r="A223" t="s">
        <v>80</v>
      </c>
      <c r="B223" t="s">
        <v>84</v>
      </c>
      <c r="C223" t="s">
        <v>13</v>
      </c>
      <c r="D223" s="1">
        <v>1088</v>
      </c>
      <c r="E223">
        <v>5</v>
      </c>
      <c r="F223">
        <v>163</v>
      </c>
      <c r="G223">
        <v>822</v>
      </c>
      <c r="H223">
        <v>66</v>
      </c>
      <c r="I223">
        <v>32</v>
      </c>
    </row>
    <row r="224" spans="1:9" x14ac:dyDescent="0.3">
      <c r="A224" t="s">
        <v>80</v>
      </c>
      <c r="B224" t="s">
        <v>85</v>
      </c>
      <c r="C224" t="s">
        <v>9</v>
      </c>
      <c r="D224">
        <v>416</v>
      </c>
      <c r="E224">
        <v>4</v>
      </c>
      <c r="F224">
        <v>41</v>
      </c>
      <c r="G224">
        <v>341</v>
      </c>
      <c r="H224">
        <v>16</v>
      </c>
      <c r="I224">
        <v>14</v>
      </c>
    </row>
    <row r="225" spans="1:9" x14ac:dyDescent="0.3">
      <c r="A225" t="s">
        <v>80</v>
      </c>
      <c r="B225" t="s">
        <v>85</v>
      </c>
      <c r="C225" t="s">
        <v>12</v>
      </c>
      <c r="D225">
        <v>63</v>
      </c>
      <c r="E225">
        <v>0</v>
      </c>
      <c r="F225">
        <v>7</v>
      </c>
      <c r="G225">
        <v>55</v>
      </c>
      <c r="H225">
        <v>1</v>
      </c>
      <c r="I225">
        <v>0</v>
      </c>
    </row>
    <row r="226" spans="1:9" x14ac:dyDescent="0.3">
      <c r="A226" t="s">
        <v>80</v>
      </c>
      <c r="B226" t="s">
        <v>85</v>
      </c>
      <c r="C226" t="s">
        <v>13</v>
      </c>
      <c r="D226">
        <v>353</v>
      </c>
      <c r="E226">
        <v>4</v>
      </c>
      <c r="F226">
        <v>34</v>
      </c>
      <c r="G226">
        <v>286</v>
      </c>
      <c r="H226">
        <v>15</v>
      </c>
      <c r="I226">
        <v>14</v>
      </c>
    </row>
    <row r="227" spans="1:9" x14ac:dyDescent="0.3">
      <c r="A227" t="s">
        <v>80</v>
      </c>
      <c r="B227" t="s">
        <v>86</v>
      </c>
      <c r="C227" t="s">
        <v>9</v>
      </c>
      <c r="D227">
        <v>188</v>
      </c>
      <c r="E227">
        <v>1</v>
      </c>
      <c r="F227">
        <v>13</v>
      </c>
      <c r="G227">
        <v>169</v>
      </c>
      <c r="H227">
        <v>3</v>
      </c>
      <c r="I227">
        <v>2</v>
      </c>
    </row>
    <row r="228" spans="1:9" x14ac:dyDescent="0.3">
      <c r="A228" t="s">
        <v>80</v>
      </c>
      <c r="B228" t="s">
        <v>86</v>
      </c>
      <c r="C228" t="s">
        <v>12</v>
      </c>
      <c r="D228">
        <v>20</v>
      </c>
      <c r="E228">
        <v>0</v>
      </c>
      <c r="F228">
        <v>1</v>
      </c>
      <c r="G228">
        <v>19</v>
      </c>
      <c r="H228">
        <v>0</v>
      </c>
      <c r="I228">
        <v>0</v>
      </c>
    </row>
    <row r="229" spans="1:9" x14ac:dyDescent="0.3">
      <c r="A229" t="s">
        <v>80</v>
      </c>
      <c r="B229" t="s">
        <v>86</v>
      </c>
      <c r="C229" t="s">
        <v>13</v>
      </c>
      <c r="D229">
        <v>168</v>
      </c>
      <c r="E229">
        <v>1</v>
      </c>
      <c r="F229">
        <v>12</v>
      </c>
      <c r="G229">
        <v>150</v>
      </c>
      <c r="H229">
        <v>3</v>
      </c>
      <c r="I229">
        <v>2</v>
      </c>
    </row>
    <row r="230" spans="1:9" x14ac:dyDescent="0.3">
      <c r="A230" t="s">
        <v>80</v>
      </c>
      <c r="B230" t="s">
        <v>87</v>
      </c>
      <c r="C230" t="s">
        <v>9</v>
      </c>
      <c r="D230">
        <v>121</v>
      </c>
      <c r="E230">
        <v>0</v>
      </c>
      <c r="F230">
        <v>18</v>
      </c>
      <c r="G230">
        <v>99</v>
      </c>
      <c r="H230">
        <v>2</v>
      </c>
      <c r="I230">
        <v>2</v>
      </c>
    </row>
    <row r="231" spans="1:9" x14ac:dyDescent="0.3">
      <c r="A231" t="s">
        <v>80</v>
      </c>
      <c r="B231" t="s">
        <v>87</v>
      </c>
      <c r="C231" t="s">
        <v>12</v>
      </c>
      <c r="D231">
        <v>4</v>
      </c>
      <c r="E231">
        <v>0</v>
      </c>
      <c r="F231">
        <v>0</v>
      </c>
      <c r="G231">
        <v>4</v>
      </c>
      <c r="H231">
        <v>0</v>
      </c>
      <c r="I231">
        <v>0</v>
      </c>
    </row>
    <row r="232" spans="1:9" x14ac:dyDescent="0.3">
      <c r="A232" t="s">
        <v>80</v>
      </c>
      <c r="B232" t="s">
        <v>87</v>
      </c>
      <c r="C232" t="s">
        <v>13</v>
      </c>
      <c r="D232">
        <v>117</v>
      </c>
      <c r="E232">
        <v>0</v>
      </c>
      <c r="F232">
        <v>18</v>
      </c>
      <c r="G232">
        <v>95</v>
      </c>
      <c r="H232">
        <v>2</v>
      </c>
      <c r="I232">
        <v>2</v>
      </c>
    </row>
    <row r="233" spans="1:9" x14ac:dyDescent="0.3">
      <c r="A233" t="s">
        <v>80</v>
      </c>
      <c r="B233" t="s">
        <v>88</v>
      </c>
      <c r="C233" t="s">
        <v>9</v>
      </c>
      <c r="D233">
        <v>355</v>
      </c>
      <c r="E233">
        <v>6</v>
      </c>
      <c r="F233">
        <v>31</v>
      </c>
      <c r="G233">
        <v>297</v>
      </c>
      <c r="H233">
        <v>11</v>
      </c>
      <c r="I233">
        <v>10</v>
      </c>
    </row>
    <row r="234" spans="1:9" x14ac:dyDescent="0.3">
      <c r="A234" t="s">
        <v>80</v>
      </c>
      <c r="B234" t="s">
        <v>88</v>
      </c>
      <c r="C234" t="s">
        <v>12</v>
      </c>
      <c r="D234">
        <v>36</v>
      </c>
      <c r="E234">
        <v>0</v>
      </c>
      <c r="F234">
        <v>5</v>
      </c>
      <c r="G234">
        <v>31</v>
      </c>
      <c r="H234">
        <v>0</v>
      </c>
      <c r="I234">
        <v>0</v>
      </c>
    </row>
    <row r="235" spans="1:9" x14ac:dyDescent="0.3">
      <c r="A235" t="s">
        <v>80</v>
      </c>
      <c r="B235" t="s">
        <v>88</v>
      </c>
      <c r="C235" t="s">
        <v>13</v>
      </c>
      <c r="D235">
        <v>319</v>
      </c>
      <c r="E235">
        <v>6</v>
      </c>
      <c r="F235">
        <v>26</v>
      </c>
      <c r="G235">
        <v>266</v>
      </c>
      <c r="H235">
        <v>11</v>
      </c>
      <c r="I235">
        <v>10</v>
      </c>
    </row>
    <row r="236" spans="1:9" x14ac:dyDescent="0.3">
      <c r="A236" t="s">
        <v>80</v>
      </c>
      <c r="B236" t="s">
        <v>89</v>
      </c>
      <c r="C236" t="s">
        <v>9</v>
      </c>
      <c r="D236">
        <v>166</v>
      </c>
      <c r="E236">
        <v>2</v>
      </c>
      <c r="F236">
        <v>10</v>
      </c>
      <c r="G236">
        <v>141</v>
      </c>
      <c r="H236">
        <v>8</v>
      </c>
      <c r="I236">
        <v>5</v>
      </c>
    </row>
    <row r="237" spans="1:9" x14ac:dyDescent="0.3">
      <c r="A237" t="s">
        <v>80</v>
      </c>
      <c r="B237" t="s">
        <v>89</v>
      </c>
      <c r="C237" t="s">
        <v>12</v>
      </c>
      <c r="D237">
        <v>15</v>
      </c>
      <c r="E237">
        <v>0</v>
      </c>
      <c r="F237">
        <v>0</v>
      </c>
      <c r="G237">
        <v>14</v>
      </c>
      <c r="H237">
        <v>1</v>
      </c>
      <c r="I237">
        <v>0</v>
      </c>
    </row>
    <row r="238" spans="1:9" x14ac:dyDescent="0.3">
      <c r="A238" t="s">
        <v>80</v>
      </c>
      <c r="B238" t="s">
        <v>89</v>
      </c>
      <c r="C238" t="s">
        <v>13</v>
      </c>
      <c r="D238">
        <v>151</v>
      </c>
      <c r="E238">
        <v>2</v>
      </c>
      <c r="F238">
        <v>10</v>
      </c>
      <c r="G238">
        <v>127</v>
      </c>
      <c r="H238">
        <v>7</v>
      </c>
      <c r="I238">
        <v>5</v>
      </c>
    </row>
    <row r="239" spans="1:9" x14ac:dyDescent="0.3">
      <c r="A239" t="s">
        <v>80</v>
      </c>
      <c r="B239" t="s">
        <v>90</v>
      </c>
      <c r="C239" t="s">
        <v>9</v>
      </c>
      <c r="D239">
        <v>466</v>
      </c>
      <c r="E239">
        <v>2</v>
      </c>
      <c r="F239">
        <v>46</v>
      </c>
      <c r="G239">
        <v>388</v>
      </c>
      <c r="H239">
        <v>16</v>
      </c>
      <c r="I239">
        <v>14</v>
      </c>
    </row>
    <row r="240" spans="1:9" x14ac:dyDescent="0.3">
      <c r="A240" t="s">
        <v>80</v>
      </c>
      <c r="B240" t="s">
        <v>90</v>
      </c>
      <c r="C240" t="s">
        <v>12</v>
      </c>
      <c r="D240">
        <v>45</v>
      </c>
      <c r="E240">
        <v>0</v>
      </c>
      <c r="F240">
        <v>4</v>
      </c>
      <c r="G240">
        <v>41</v>
      </c>
      <c r="H240">
        <v>0</v>
      </c>
      <c r="I240">
        <v>0</v>
      </c>
    </row>
    <row r="241" spans="1:9" x14ac:dyDescent="0.3">
      <c r="A241" t="s">
        <v>80</v>
      </c>
      <c r="B241" t="s">
        <v>90</v>
      </c>
      <c r="C241" t="s">
        <v>13</v>
      </c>
      <c r="D241">
        <v>421</v>
      </c>
      <c r="E241">
        <v>2</v>
      </c>
      <c r="F241">
        <v>42</v>
      </c>
      <c r="G241">
        <v>347</v>
      </c>
      <c r="H241">
        <v>16</v>
      </c>
      <c r="I241">
        <v>14</v>
      </c>
    </row>
    <row r="242" spans="1:9" x14ac:dyDescent="0.3">
      <c r="A242" t="s">
        <v>80</v>
      </c>
      <c r="B242" t="s">
        <v>91</v>
      </c>
      <c r="C242" t="s">
        <v>9</v>
      </c>
      <c r="D242">
        <v>105</v>
      </c>
      <c r="E242">
        <v>0</v>
      </c>
      <c r="F242">
        <v>16</v>
      </c>
      <c r="G242">
        <v>85</v>
      </c>
      <c r="H242">
        <v>3</v>
      </c>
      <c r="I242">
        <v>1</v>
      </c>
    </row>
    <row r="243" spans="1:9" x14ac:dyDescent="0.3">
      <c r="A243" t="s">
        <v>80</v>
      </c>
      <c r="B243" t="s">
        <v>91</v>
      </c>
      <c r="C243" t="s">
        <v>12</v>
      </c>
      <c r="D243">
        <v>8</v>
      </c>
      <c r="E243">
        <v>0</v>
      </c>
      <c r="F243">
        <v>1</v>
      </c>
      <c r="G243">
        <v>7</v>
      </c>
      <c r="H243">
        <v>0</v>
      </c>
      <c r="I243">
        <v>0</v>
      </c>
    </row>
    <row r="244" spans="1:9" x14ac:dyDescent="0.3">
      <c r="A244" t="s">
        <v>80</v>
      </c>
      <c r="B244" t="s">
        <v>91</v>
      </c>
      <c r="C244" t="s">
        <v>13</v>
      </c>
      <c r="D244">
        <v>97</v>
      </c>
      <c r="E244">
        <v>0</v>
      </c>
      <c r="F244">
        <v>15</v>
      </c>
      <c r="G244">
        <v>78</v>
      </c>
      <c r="H244">
        <v>3</v>
      </c>
      <c r="I244">
        <v>1</v>
      </c>
    </row>
    <row r="245" spans="1:9" x14ac:dyDescent="0.3">
      <c r="A245" t="s">
        <v>80</v>
      </c>
      <c r="B245" t="s">
        <v>92</v>
      </c>
      <c r="C245" t="s">
        <v>9</v>
      </c>
      <c r="D245">
        <v>82</v>
      </c>
      <c r="E245">
        <v>2</v>
      </c>
      <c r="F245">
        <v>6</v>
      </c>
      <c r="G245">
        <v>64</v>
      </c>
      <c r="H245">
        <v>3</v>
      </c>
      <c r="I245">
        <v>7</v>
      </c>
    </row>
    <row r="246" spans="1:9" x14ac:dyDescent="0.3">
      <c r="A246" t="s">
        <v>80</v>
      </c>
      <c r="B246" t="s">
        <v>92</v>
      </c>
      <c r="C246" t="s">
        <v>12</v>
      </c>
      <c r="D246">
        <v>5</v>
      </c>
      <c r="E246">
        <v>0</v>
      </c>
      <c r="F246">
        <v>0</v>
      </c>
      <c r="G246">
        <v>5</v>
      </c>
      <c r="H246">
        <v>0</v>
      </c>
      <c r="I246">
        <v>0</v>
      </c>
    </row>
    <row r="247" spans="1:9" x14ac:dyDescent="0.3">
      <c r="A247" t="s">
        <v>80</v>
      </c>
      <c r="B247" t="s">
        <v>92</v>
      </c>
      <c r="C247" t="s">
        <v>13</v>
      </c>
      <c r="D247">
        <v>77</v>
      </c>
      <c r="E247">
        <v>2</v>
      </c>
      <c r="F247">
        <v>6</v>
      </c>
      <c r="G247">
        <v>59</v>
      </c>
      <c r="H247">
        <v>3</v>
      </c>
      <c r="I247">
        <v>7</v>
      </c>
    </row>
    <row r="248" spans="1:9" x14ac:dyDescent="0.3">
      <c r="A248" t="s">
        <v>80</v>
      </c>
      <c r="B248" t="s">
        <v>93</v>
      </c>
      <c r="C248" t="s">
        <v>9</v>
      </c>
      <c r="D248">
        <v>306</v>
      </c>
      <c r="E248">
        <v>2</v>
      </c>
      <c r="F248">
        <v>22</v>
      </c>
      <c r="G248">
        <v>262</v>
      </c>
      <c r="H248">
        <v>12</v>
      </c>
      <c r="I248">
        <v>8</v>
      </c>
    </row>
    <row r="249" spans="1:9" x14ac:dyDescent="0.3">
      <c r="A249" t="s">
        <v>80</v>
      </c>
      <c r="B249" t="s">
        <v>93</v>
      </c>
      <c r="C249" t="s">
        <v>12</v>
      </c>
      <c r="D249">
        <v>18</v>
      </c>
      <c r="E249">
        <v>0</v>
      </c>
      <c r="F249">
        <v>0</v>
      </c>
      <c r="G249">
        <v>17</v>
      </c>
      <c r="H249">
        <v>1</v>
      </c>
      <c r="I249">
        <v>0</v>
      </c>
    </row>
    <row r="250" spans="1:9" x14ac:dyDescent="0.3">
      <c r="A250" t="s">
        <v>80</v>
      </c>
      <c r="B250" t="s">
        <v>93</v>
      </c>
      <c r="C250" t="s">
        <v>13</v>
      </c>
      <c r="D250">
        <v>288</v>
      </c>
      <c r="E250">
        <v>2</v>
      </c>
      <c r="F250">
        <v>22</v>
      </c>
      <c r="G250">
        <v>245</v>
      </c>
      <c r="H250">
        <v>11</v>
      </c>
      <c r="I250">
        <v>8</v>
      </c>
    </row>
    <row r="251" spans="1:9" x14ac:dyDescent="0.3">
      <c r="A251" t="s">
        <v>80</v>
      </c>
      <c r="B251" t="s">
        <v>94</v>
      </c>
      <c r="C251" t="s">
        <v>9</v>
      </c>
      <c r="D251">
        <v>424</v>
      </c>
      <c r="E251">
        <v>2</v>
      </c>
      <c r="F251">
        <v>53</v>
      </c>
      <c r="G251">
        <v>339</v>
      </c>
      <c r="H251">
        <v>20</v>
      </c>
      <c r="I251">
        <v>10</v>
      </c>
    </row>
    <row r="252" spans="1:9" x14ac:dyDescent="0.3">
      <c r="A252" t="s">
        <v>80</v>
      </c>
      <c r="B252" t="s">
        <v>94</v>
      </c>
      <c r="C252" t="s">
        <v>12</v>
      </c>
      <c r="D252">
        <v>70</v>
      </c>
      <c r="E252">
        <v>0</v>
      </c>
      <c r="F252">
        <v>3</v>
      </c>
      <c r="G252">
        <v>65</v>
      </c>
      <c r="H252">
        <v>2</v>
      </c>
      <c r="I252">
        <v>0</v>
      </c>
    </row>
    <row r="253" spans="1:9" x14ac:dyDescent="0.3">
      <c r="A253" t="s">
        <v>80</v>
      </c>
      <c r="B253" t="s">
        <v>94</v>
      </c>
      <c r="C253" t="s">
        <v>13</v>
      </c>
      <c r="D253">
        <v>354</v>
      </c>
      <c r="E253">
        <v>2</v>
      </c>
      <c r="F253">
        <v>50</v>
      </c>
      <c r="G253">
        <v>274</v>
      </c>
      <c r="H253">
        <v>18</v>
      </c>
      <c r="I253">
        <v>10</v>
      </c>
    </row>
    <row r="254" spans="1:9" x14ac:dyDescent="0.3">
      <c r="A254" t="s">
        <v>80</v>
      </c>
      <c r="B254" t="s">
        <v>95</v>
      </c>
      <c r="C254" t="s">
        <v>9</v>
      </c>
      <c r="D254">
        <v>171</v>
      </c>
      <c r="E254">
        <v>0</v>
      </c>
      <c r="F254">
        <v>10</v>
      </c>
      <c r="G254">
        <v>151</v>
      </c>
      <c r="H254">
        <v>3</v>
      </c>
      <c r="I254">
        <v>7</v>
      </c>
    </row>
    <row r="255" spans="1:9" x14ac:dyDescent="0.3">
      <c r="A255" t="s">
        <v>80</v>
      </c>
      <c r="B255" t="s">
        <v>95</v>
      </c>
      <c r="C255" t="s">
        <v>12</v>
      </c>
      <c r="D255">
        <v>19</v>
      </c>
      <c r="E255">
        <v>0</v>
      </c>
      <c r="F255">
        <v>1</v>
      </c>
      <c r="G255">
        <v>18</v>
      </c>
      <c r="H255">
        <v>0</v>
      </c>
      <c r="I255">
        <v>0</v>
      </c>
    </row>
    <row r="256" spans="1:9" x14ac:dyDescent="0.3">
      <c r="A256" t="s">
        <v>80</v>
      </c>
      <c r="B256" t="s">
        <v>95</v>
      </c>
      <c r="C256" t="s">
        <v>13</v>
      </c>
      <c r="D256">
        <v>152</v>
      </c>
      <c r="E256">
        <v>0</v>
      </c>
      <c r="F256">
        <v>9</v>
      </c>
      <c r="G256">
        <v>133</v>
      </c>
      <c r="H256">
        <v>3</v>
      </c>
      <c r="I256">
        <v>7</v>
      </c>
    </row>
    <row r="257" spans="1:9" x14ac:dyDescent="0.3">
      <c r="A257" t="s">
        <v>80</v>
      </c>
      <c r="B257" t="s">
        <v>96</v>
      </c>
      <c r="C257" t="s">
        <v>9</v>
      </c>
      <c r="D257">
        <v>16</v>
      </c>
      <c r="E257">
        <v>0</v>
      </c>
      <c r="F257">
        <v>3</v>
      </c>
      <c r="G257">
        <v>13</v>
      </c>
      <c r="H257">
        <v>0</v>
      </c>
      <c r="I257">
        <v>0</v>
      </c>
    </row>
    <row r="258" spans="1:9" x14ac:dyDescent="0.3">
      <c r="A258" t="s">
        <v>80</v>
      </c>
      <c r="B258" t="s">
        <v>96</v>
      </c>
      <c r="C258" t="s">
        <v>13</v>
      </c>
      <c r="D258">
        <v>16</v>
      </c>
      <c r="E258">
        <v>0</v>
      </c>
      <c r="F258">
        <v>3</v>
      </c>
      <c r="G258">
        <v>13</v>
      </c>
      <c r="H258">
        <v>0</v>
      </c>
      <c r="I258">
        <v>0</v>
      </c>
    </row>
    <row r="259" spans="1:9" x14ac:dyDescent="0.3">
      <c r="A259" t="s">
        <v>80</v>
      </c>
      <c r="B259" t="s">
        <v>97</v>
      </c>
      <c r="C259" t="s">
        <v>9</v>
      </c>
      <c r="D259">
        <v>130</v>
      </c>
      <c r="E259">
        <v>0</v>
      </c>
      <c r="F259">
        <v>19</v>
      </c>
      <c r="G259">
        <v>102</v>
      </c>
      <c r="H259">
        <v>4</v>
      </c>
      <c r="I259">
        <v>5</v>
      </c>
    </row>
    <row r="260" spans="1:9" x14ac:dyDescent="0.3">
      <c r="A260" t="s">
        <v>80</v>
      </c>
      <c r="B260" t="s">
        <v>97</v>
      </c>
      <c r="C260" t="s">
        <v>12</v>
      </c>
      <c r="D260">
        <v>5</v>
      </c>
      <c r="E260">
        <v>0</v>
      </c>
      <c r="F260">
        <v>2</v>
      </c>
      <c r="G260">
        <v>3</v>
      </c>
      <c r="H260">
        <v>0</v>
      </c>
      <c r="I260">
        <v>0</v>
      </c>
    </row>
    <row r="261" spans="1:9" x14ac:dyDescent="0.3">
      <c r="A261" t="s">
        <v>80</v>
      </c>
      <c r="B261" t="s">
        <v>97</v>
      </c>
      <c r="C261" t="s">
        <v>13</v>
      </c>
      <c r="D261">
        <v>125</v>
      </c>
      <c r="E261">
        <v>0</v>
      </c>
      <c r="F261">
        <v>17</v>
      </c>
      <c r="G261">
        <v>99</v>
      </c>
      <c r="H261">
        <v>4</v>
      </c>
      <c r="I261">
        <v>5</v>
      </c>
    </row>
    <row r="262" spans="1:9" x14ac:dyDescent="0.3">
      <c r="A262" t="s">
        <v>80</v>
      </c>
      <c r="B262" t="s">
        <v>98</v>
      </c>
      <c r="C262" t="s">
        <v>9</v>
      </c>
      <c r="D262">
        <v>167</v>
      </c>
      <c r="E262">
        <v>1</v>
      </c>
      <c r="F262">
        <v>23</v>
      </c>
      <c r="G262">
        <v>135</v>
      </c>
      <c r="H262">
        <v>2</v>
      </c>
      <c r="I262">
        <v>6</v>
      </c>
    </row>
    <row r="263" spans="1:9" x14ac:dyDescent="0.3">
      <c r="A263" t="s">
        <v>80</v>
      </c>
      <c r="B263" t="s">
        <v>98</v>
      </c>
      <c r="C263" t="s">
        <v>12</v>
      </c>
      <c r="D263">
        <v>15</v>
      </c>
      <c r="E263">
        <v>0</v>
      </c>
      <c r="F263">
        <v>3</v>
      </c>
      <c r="G263">
        <v>12</v>
      </c>
      <c r="H263">
        <v>0</v>
      </c>
      <c r="I263">
        <v>0</v>
      </c>
    </row>
    <row r="264" spans="1:9" x14ac:dyDescent="0.3">
      <c r="A264" t="s">
        <v>80</v>
      </c>
      <c r="B264" t="s">
        <v>98</v>
      </c>
      <c r="C264" t="s">
        <v>13</v>
      </c>
      <c r="D264">
        <v>152</v>
      </c>
      <c r="E264">
        <v>1</v>
      </c>
      <c r="F264">
        <v>20</v>
      </c>
      <c r="G264">
        <v>123</v>
      </c>
      <c r="H264">
        <v>2</v>
      </c>
      <c r="I264">
        <v>6</v>
      </c>
    </row>
    <row r="265" spans="1:9" x14ac:dyDescent="0.3">
      <c r="A265" t="s">
        <v>80</v>
      </c>
      <c r="B265" t="s">
        <v>99</v>
      </c>
      <c r="C265" t="s">
        <v>9</v>
      </c>
      <c r="D265">
        <v>118</v>
      </c>
      <c r="E265">
        <v>3</v>
      </c>
      <c r="F265">
        <v>12</v>
      </c>
      <c r="G265">
        <v>95</v>
      </c>
      <c r="H265">
        <v>7</v>
      </c>
      <c r="I265">
        <v>1</v>
      </c>
    </row>
    <row r="266" spans="1:9" x14ac:dyDescent="0.3">
      <c r="A266" t="s">
        <v>80</v>
      </c>
      <c r="B266" t="s">
        <v>99</v>
      </c>
      <c r="C266" t="s">
        <v>12</v>
      </c>
      <c r="D266">
        <v>15</v>
      </c>
      <c r="E266">
        <v>1</v>
      </c>
      <c r="F266">
        <v>1</v>
      </c>
      <c r="G266">
        <v>12</v>
      </c>
      <c r="H266">
        <v>1</v>
      </c>
      <c r="I266">
        <v>0</v>
      </c>
    </row>
    <row r="267" spans="1:9" x14ac:dyDescent="0.3">
      <c r="A267" t="s">
        <v>80</v>
      </c>
      <c r="B267" t="s">
        <v>99</v>
      </c>
      <c r="C267" t="s">
        <v>13</v>
      </c>
      <c r="D267">
        <v>103</v>
      </c>
      <c r="E267">
        <v>2</v>
      </c>
      <c r="F267">
        <v>11</v>
      </c>
      <c r="G267">
        <v>83</v>
      </c>
      <c r="H267">
        <v>6</v>
      </c>
      <c r="I267">
        <v>1</v>
      </c>
    </row>
    <row r="268" spans="1:9" x14ac:dyDescent="0.3">
      <c r="A268" t="s">
        <v>80</v>
      </c>
      <c r="B268" t="s">
        <v>100</v>
      </c>
      <c r="C268" t="s">
        <v>9</v>
      </c>
      <c r="D268">
        <v>86</v>
      </c>
      <c r="E268">
        <v>1</v>
      </c>
      <c r="F268">
        <v>7</v>
      </c>
      <c r="G268">
        <v>76</v>
      </c>
      <c r="H268">
        <v>0</v>
      </c>
      <c r="I268">
        <v>2</v>
      </c>
    </row>
    <row r="269" spans="1:9" x14ac:dyDescent="0.3">
      <c r="A269" t="s">
        <v>80</v>
      </c>
      <c r="B269" t="s">
        <v>100</v>
      </c>
      <c r="C269" t="s">
        <v>12</v>
      </c>
      <c r="D269">
        <v>7</v>
      </c>
      <c r="E269">
        <v>0</v>
      </c>
      <c r="F269">
        <v>1</v>
      </c>
      <c r="G269">
        <v>5</v>
      </c>
      <c r="H269">
        <v>0</v>
      </c>
      <c r="I269">
        <v>1</v>
      </c>
    </row>
    <row r="270" spans="1:9" x14ac:dyDescent="0.3">
      <c r="A270" t="s">
        <v>80</v>
      </c>
      <c r="B270" t="s">
        <v>100</v>
      </c>
      <c r="C270" t="s">
        <v>13</v>
      </c>
      <c r="D270">
        <v>79</v>
      </c>
      <c r="E270">
        <v>1</v>
      </c>
      <c r="F270">
        <v>6</v>
      </c>
      <c r="G270">
        <v>71</v>
      </c>
      <c r="H270">
        <v>0</v>
      </c>
      <c r="I270">
        <v>1</v>
      </c>
    </row>
    <row r="271" spans="1:9" x14ac:dyDescent="0.3">
      <c r="A271" t="s">
        <v>80</v>
      </c>
      <c r="B271" t="s">
        <v>101</v>
      </c>
      <c r="C271" t="s">
        <v>9</v>
      </c>
      <c r="D271">
        <v>661</v>
      </c>
      <c r="E271">
        <v>0</v>
      </c>
      <c r="F271">
        <v>73</v>
      </c>
      <c r="G271">
        <v>516</v>
      </c>
      <c r="H271">
        <v>61</v>
      </c>
      <c r="I271">
        <v>11</v>
      </c>
    </row>
    <row r="272" spans="1:9" x14ac:dyDescent="0.3">
      <c r="A272" t="s">
        <v>80</v>
      </c>
      <c r="B272" t="s">
        <v>101</v>
      </c>
      <c r="C272" t="s">
        <v>12</v>
      </c>
      <c r="D272">
        <v>118</v>
      </c>
      <c r="E272">
        <v>0</v>
      </c>
      <c r="F272">
        <v>7</v>
      </c>
      <c r="G272">
        <v>104</v>
      </c>
      <c r="H272">
        <v>5</v>
      </c>
      <c r="I272">
        <v>2</v>
      </c>
    </row>
    <row r="273" spans="1:10" x14ac:dyDescent="0.3">
      <c r="A273" t="s">
        <v>80</v>
      </c>
      <c r="B273" t="s">
        <v>101</v>
      </c>
      <c r="C273" t="s">
        <v>13</v>
      </c>
      <c r="D273">
        <v>543</v>
      </c>
      <c r="E273">
        <v>0</v>
      </c>
      <c r="F273">
        <v>66</v>
      </c>
      <c r="G273">
        <v>412</v>
      </c>
      <c r="H273">
        <v>56</v>
      </c>
      <c r="I273">
        <v>9</v>
      </c>
    </row>
    <row r="274" spans="1:10" x14ac:dyDescent="0.3">
      <c r="A274" t="s">
        <v>80</v>
      </c>
      <c r="B274" t="s">
        <v>102</v>
      </c>
      <c r="C274" t="s">
        <v>9</v>
      </c>
      <c r="D274">
        <v>627</v>
      </c>
      <c r="E274">
        <v>5</v>
      </c>
      <c r="F274">
        <v>105</v>
      </c>
      <c r="G274">
        <v>485</v>
      </c>
      <c r="H274">
        <v>19</v>
      </c>
      <c r="I274">
        <v>13</v>
      </c>
    </row>
    <row r="275" spans="1:10" x14ac:dyDescent="0.3">
      <c r="A275" t="s">
        <v>80</v>
      </c>
      <c r="B275" t="s">
        <v>102</v>
      </c>
      <c r="C275" t="s">
        <v>12</v>
      </c>
      <c r="D275">
        <v>74</v>
      </c>
      <c r="E275">
        <v>1</v>
      </c>
      <c r="F275">
        <v>9</v>
      </c>
      <c r="G275">
        <v>61</v>
      </c>
      <c r="H275">
        <v>2</v>
      </c>
      <c r="I275">
        <v>1</v>
      </c>
    </row>
    <row r="276" spans="1:10" x14ac:dyDescent="0.3">
      <c r="A276" t="s">
        <v>80</v>
      </c>
      <c r="B276" t="s">
        <v>102</v>
      </c>
      <c r="C276" t="s">
        <v>13</v>
      </c>
      <c r="D276">
        <v>553</v>
      </c>
      <c r="E276">
        <v>4</v>
      </c>
      <c r="F276">
        <v>96</v>
      </c>
      <c r="G276">
        <v>424</v>
      </c>
      <c r="H276">
        <v>17</v>
      </c>
      <c r="I276">
        <v>12</v>
      </c>
    </row>
    <row r="277" spans="1:10" x14ac:dyDescent="0.3">
      <c r="A277" t="s">
        <v>80</v>
      </c>
      <c r="B277" t="s">
        <v>103</v>
      </c>
      <c r="C277" t="s">
        <v>9</v>
      </c>
      <c r="D277">
        <v>626</v>
      </c>
      <c r="E277">
        <v>3</v>
      </c>
      <c r="F277">
        <v>99</v>
      </c>
      <c r="G277">
        <v>505</v>
      </c>
      <c r="H277">
        <v>8</v>
      </c>
      <c r="I277">
        <v>11</v>
      </c>
    </row>
    <row r="278" spans="1:10" x14ac:dyDescent="0.3">
      <c r="A278" t="s">
        <v>80</v>
      </c>
      <c r="B278" t="s">
        <v>103</v>
      </c>
      <c r="C278" t="s">
        <v>12</v>
      </c>
      <c r="D278">
        <v>98</v>
      </c>
      <c r="E278">
        <v>0</v>
      </c>
      <c r="F278">
        <v>16</v>
      </c>
      <c r="G278">
        <v>79</v>
      </c>
      <c r="H278">
        <v>0</v>
      </c>
      <c r="I278">
        <v>3</v>
      </c>
    </row>
    <row r="279" spans="1:10" x14ac:dyDescent="0.3">
      <c r="A279" t="s">
        <v>80</v>
      </c>
      <c r="B279" t="s">
        <v>103</v>
      </c>
      <c r="C279" t="s">
        <v>13</v>
      </c>
      <c r="D279">
        <v>528</v>
      </c>
      <c r="E279">
        <v>3</v>
      </c>
      <c r="F279">
        <v>83</v>
      </c>
      <c r="G279">
        <v>426</v>
      </c>
      <c r="H279">
        <v>8</v>
      </c>
      <c r="I279">
        <v>8</v>
      </c>
    </row>
    <row r="280" spans="1:10" x14ac:dyDescent="0.3">
      <c r="A280" t="s">
        <v>104</v>
      </c>
      <c r="B280" t="s">
        <v>9</v>
      </c>
      <c r="C280" t="s">
        <v>9</v>
      </c>
      <c r="D280" s="1">
        <v>3997</v>
      </c>
      <c r="E280">
        <v>36</v>
      </c>
      <c r="F280">
        <v>554</v>
      </c>
      <c r="G280" s="1">
        <v>3109</v>
      </c>
      <c r="H280">
        <v>186</v>
      </c>
      <c r="I280">
        <v>112</v>
      </c>
    </row>
    <row r="281" spans="1:10" x14ac:dyDescent="0.3">
      <c r="A281" t="s">
        <v>104</v>
      </c>
      <c r="B281" t="s">
        <v>9</v>
      </c>
      <c r="C281" t="s">
        <v>12</v>
      </c>
      <c r="D281" s="1">
        <f>D284+D287+D290+D293+D296</f>
        <v>674</v>
      </c>
      <c r="E281" s="1">
        <f t="shared" ref="E281:I281" si="8">E284+E287+E290+E293+E296</f>
        <v>3</v>
      </c>
      <c r="F281" s="1">
        <f t="shared" si="8"/>
        <v>34</v>
      </c>
      <c r="G281" s="1">
        <f t="shared" si="8"/>
        <v>615</v>
      </c>
      <c r="H281" s="1">
        <f t="shared" si="8"/>
        <v>15</v>
      </c>
      <c r="I281" s="1">
        <f t="shared" si="8"/>
        <v>7</v>
      </c>
      <c r="J281" s="1"/>
    </row>
    <row r="282" spans="1:10" x14ac:dyDescent="0.3">
      <c r="A282" t="s">
        <v>104</v>
      </c>
      <c r="B282" t="s">
        <v>9</v>
      </c>
      <c r="C282" t="s">
        <v>13</v>
      </c>
      <c r="D282" s="1">
        <f>D285+D288+D291+D294+D297</f>
        <v>3323</v>
      </c>
      <c r="E282" s="1">
        <f t="shared" ref="E282:I282" si="9">E285+E288+E291+E294+E297</f>
        <v>33</v>
      </c>
      <c r="F282" s="1">
        <f t="shared" si="9"/>
        <v>520</v>
      </c>
      <c r="G282" s="1">
        <f t="shared" si="9"/>
        <v>2494</v>
      </c>
      <c r="H282" s="1">
        <f t="shared" si="9"/>
        <v>171</v>
      </c>
      <c r="I282" s="1">
        <f t="shared" si="9"/>
        <v>105</v>
      </c>
      <c r="J282" s="1"/>
    </row>
    <row r="283" spans="1:10" x14ac:dyDescent="0.3">
      <c r="A283" t="s">
        <v>104</v>
      </c>
      <c r="B283" t="s">
        <v>105</v>
      </c>
      <c r="C283" t="s">
        <v>9</v>
      </c>
      <c r="D283" s="1">
        <v>1917</v>
      </c>
      <c r="E283">
        <v>5</v>
      </c>
      <c r="F283">
        <v>257</v>
      </c>
      <c r="G283" s="1">
        <v>1442</v>
      </c>
      <c r="H283">
        <v>140</v>
      </c>
      <c r="I283">
        <v>73</v>
      </c>
    </row>
    <row r="284" spans="1:10" x14ac:dyDescent="0.3">
      <c r="A284" t="s">
        <v>104</v>
      </c>
      <c r="B284" t="s">
        <v>105</v>
      </c>
      <c r="C284" t="s">
        <v>12</v>
      </c>
      <c r="D284">
        <v>431</v>
      </c>
      <c r="E284">
        <v>1</v>
      </c>
      <c r="F284">
        <v>12</v>
      </c>
      <c r="G284">
        <v>398</v>
      </c>
      <c r="H284">
        <v>14</v>
      </c>
      <c r="I284">
        <v>6</v>
      </c>
    </row>
    <row r="285" spans="1:10" x14ac:dyDescent="0.3">
      <c r="A285" t="s">
        <v>104</v>
      </c>
      <c r="B285" t="s">
        <v>105</v>
      </c>
      <c r="C285" t="s">
        <v>13</v>
      </c>
      <c r="D285" s="1">
        <v>1486</v>
      </c>
      <c r="E285">
        <v>4</v>
      </c>
      <c r="F285">
        <v>245</v>
      </c>
      <c r="G285" s="1">
        <v>1044</v>
      </c>
      <c r="H285">
        <v>126</v>
      </c>
      <c r="I285">
        <v>67</v>
      </c>
    </row>
    <row r="286" spans="1:10" x14ac:dyDescent="0.3">
      <c r="A286" t="s">
        <v>104</v>
      </c>
      <c r="B286" t="s">
        <v>106</v>
      </c>
      <c r="C286" t="s">
        <v>9</v>
      </c>
      <c r="D286">
        <v>422</v>
      </c>
      <c r="E286">
        <v>6</v>
      </c>
      <c r="F286">
        <v>68</v>
      </c>
      <c r="G286">
        <v>334</v>
      </c>
      <c r="H286">
        <v>7</v>
      </c>
      <c r="I286">
        <v>7</v>
      </c>
    </row>
    <row r="287" spans="1:10" x14ac:dyDescent="0.3">
      <c r="A287" t="s">
        <v>104</v>
      </c>
      <c r="B287" t="s">
        <v>106</v>
      </c>
      <c r="C287" t="s">
        <v>12</v>
      </c>
      <c r="D287">
        <v>47</v>
      </c>
      <c r="E287">
        <v>0</v>
      </c>
      <c r="F287">
        <v>6</v>
      </c>
      <c r="G287">
        <v>41</v>
      </c>
      <c r="H287">
        <v>0</v>
      </c>
      <c r="I287">
        <v>0</v>
      </c>
    </row>
    <row r="288" spans="1:10" x14ac:dyDescent="0.3">
      <c r="A288" t="s">
        <v>104</v>
      </c>
      <c r="B288" t="s">
        <v>106</v>
      </c>
      <c r="C288" t="s">
        <v>13</v>
      </c>
      <c r="D288">
        <v>375</v>
      </c>
      <c r="E288">
        <v>6</v>
      </c>
      <c r="F288">
        <v>62</v>
      </c>
      <c r="G288">
        <v>293</v>
      </c>
      <c r="H288">
        <v>7</v>
      </c>
      <c r="I288">
        <v>7</v>
      </c>
    </row>
    <row r="289" spans="1:9" x14ac:dyDescent="0.3">
      <c r="A289" t="s">
        <v>104</v>
      </c>
      <c r="B289" t="s">
        <v>107</v>
      </c>
      <c r="C289" t="s">
        <v>9</v>
      </c>
      <c r="D289">
        <v>188</v>
      </c>
      <c r="E289">
        <v>1</v>
      </c>
      <c r="F289">
        <v>35</v>
      </c>
      <c r="G289">
        <v>148</v>
      </c>
      <c r="H289">
        <v>1</v>
      </c>
      <c r="I289">
        <v>3</v>
      </c>
    </row>
    <row r="290" spans="1:9" x14ac:dyDescent="0.3">
      <c r="A290" t="s">
        <v>104</v>
      </c>
      <c r="B290" t="s">
        <v>107</v>
      </c>
      <c r="C290" t="s">
        <v>12</v>
      </c>
      <c r="D290">
        <v>28</v>
      </c>
      <c r="E290">
        <v>0</v>
      </c>
      <c r="F290">
        <v>4</v>
      </c>
      <c r="G290">
        <v>23</v>
      </c>
      <c r="H290">
        <v>0</v>
      </c>
      <c r="I290">
        <v>1</v>
      </c>
    </row>
    <row r="291" spans="1:9" x14ac:dyDescent="0.3">
      <c r="A291" t="s">
        <v>104</v>
      </c>
      <c r="B291" t="s">
        <v>107</v>
      </c>
      <c r="C291" t="s">
        <v>13</v>
      </c>
      <c r="D291">
        <v>160</v>
      </c>
      <c r="E291">
        <v>1</v>
      </c>
      <c r="F291">
        <v>31</v>
      </c>
      <c r="G291">
        <v>125</v>
      </c>
      <c r="H291">
        <v>1</v>
      </c>
      <c r="I291">
        <v>2</v>
      </c>
    </row>
    <row r="292" spans="1:9" x14ac:dyDescent="0.3">
      <c r="A292" t="s">
        <v>104</v>
      </c>
      <c r="B292" t="s">
        <v>108</v>
      </c>
      <c r="C292" t="s">
        <v>9</v>
      </c>
      <c r="D292">
        <v>971</v>
      </c>
      <c r="E292">
        <v>12</v>
      </c>
      <c r="F292">
        <v>127</v>
      </c>
      <c r="G292">
        <v>787</v>
      </c>
      <c r="H292">
        <v>25</v>
      </c>
      <c r="I292">
        <v>20</v>
      </c>
    </row>
    <row r="293" spans="1:9" x14ac:dyDescent="0.3">
      <c r="A293" t="s">
        <v>104</v>
      </c>
      <c r="B293" t="s">
        <v>108</v>
      </c>
      <c r="C293" t="s">
        <v>12</v>
      </c>
      <c r="D293">
        <v>118</v>
      </c>
      <c r="E293">
        <v>2</v>
      </c>
      <c r="F293">
        <v>9</v>
      </c>
      <c r="G293">
        <v>106</v>
      </c>
      <c r="H293">
        <v>1</v>
      </c>
      <c r="I293">
        <v>0</v>
      </c>
    </row>
    <row r="294" spans="1:9" x14ac:dyDescent="0.3">
      <c r="A294" t="s">
        <v>104</v>
      </c>
      <c r="B294" t="s">
        <v>108</v>
      </c>
      <c r="C294" t="s">
        <v>13</v>
      </c>
      <c r="D294">
        <v>853</v>
      </c>
      <c r="E294">
        <v>10</v>
      </c>
      <c r="F294">
        <v>118</v>
      </c>
      <c r="G294">
        <v>681</v>
      </c>
      <c r="H294">
        <v>24</v>
      </c>
      <c r="I294">
        <v>20</v>
      </c>
    </row>
    <row r="295" spans="1:9" x14ac:dyDescent="0.3">
      <c r="A295" t="s">
        <v>104</v>
      </c>
      <c r="B295" t="s">
        <v>109</v>
      </c>
      <c r="C295" t="s">
        <v>9</v>
      </c>
      <c r="D295">
        <v>499</v>
      </c>
      <c r="E295">
        <v>12</v>
      </c>
      <c r="F295">
        <v>67</v>
      </c>
      <c r="G295">
        <v>398</v>
      </c>
      <c r="H295">
        <v>13</v>
      </c>
      <c r="I295">
        <v>9</v>
      </c>
    </row>
    <row r="296" spans="1:9" x14ac:dyDescent="0.3">
      <c r="A296" t="s">
        <v>104</v>
      </c>
      <c r="B296" t="s">
        <v>109</v>
      </c>
      <c r="C296" t="s">
        <v>12</v>
      </c>
      <c r="D296">
        <v>50</v>
      </c>
      <c r="E296">
        <v>0</v>
      </c>
      <c r="F296">
        <v>3</v>
      </c>
      <c r="G296">
        <v>47</v>
      </c>
      <c r="H296">
        <v>0</v>
      </c>
      <c r="I296">
        <v>0</v>
      </c>
    </row>
    <row r="297" spans="1:9" x14ac:dyDescent="0.3">
      <c r="A297" t="s">
        <v>104</v>
      </c>
      <c r="B297" t="s">
        <v>109</v>
      </c>
      <c r="C297" t="s">
        <v>13</v>
      </c>
      <c r="D297">
        <v>449</v>
      </c>
      <c r="E297">
        <v>12</v>
      </c>
      <c r="F297">
        <v>64</v>
      </c>
      <c r="G297">
        <v>351</v>
      </c>
      <c r="H297">
        <v>13</v>
      </c>
      <c r="I297">
        <v>9</v>
      </c>
    </row>
    <row r="298" spans="1:9" x14ac:dyDescent="0.3">
      <c r="A298" t="s">
        <v>110</v>
      </c>
      <c r="B298" t="s">
        <v>9</v>
      </c>
      <c r="C298" t="s">
        <v>9</v>
      </c>
      <c r="D298" s="1">
        <v>6241</v>
      </c>
      <c r="E298">
        <v>50</v>
      </c>
      <c r="F298">
        <v>778</v>
      </c>
      <c r="G298" s="1">
        <v>4913</v>
      </c>
      <c r="H298">
        <v>354</v>
      </c>
      <c r="I298">
        <v>146</v>
      </c>
    </row>
    <row r="299" spans="1:9" x14ac:dyDescent="0.3">
      <c r="A299" t="s">
        <v>110</v>
      </c>
      <c r="B299" t="s">
        <v>9</v>
      </c>
      <c r="C299" t="s">
        <v>12</v>
      </c>
      <c r="D299" s="1">
        <f>D302+D305+D308+D311+D314+D317+D320+D323+D326</f>
        <v>1087</v>
      </c>
      <c r="E299" s="1">
        <f t="shared" ref="E299:I299" si="10">E302+E305+E308+E311+E314+E317+E320+E323+E326</f>
        <v>1</v>
      </c>
      <c r="F299" s="1">
        <f t="shared" si="10"/>
        <v>95</v>
      </c>
      <c r="G299" s="1">
        <f t="shared" si="10"/>
        <v>941</v>
      </c>
      <c r="H299" s="1">
        <f t="shared" si="10"/>
        <v>34</v>
      </c>
      <c r="I299" s="1">
        <f t="shared" si="10"/>
        <v>16</v>
      </c>
    </row>
    <row r="300" spans="1:9" x14ac:dyDescent="0.3">
      <c r="A300" t="s">
        <v>110</v>
      </c>
      <c r="B300" t="s">
        <v>9</v>
      </c>
      <c r="C300" t="s">
        <v>13</v>
      </c>
      <c r="D300" s="1">
        <f>D303+D306+D309+D312+D315+D318+D321+D324+D327</f>
        <v>5154</v>
      </c>
      <c r="E300" s="1">
        <f t="shared" ref="E300:I300" si="11">E303+E306+E309+E312+E315+E318+E321+E324+E327</f>
        <v>49</v>
      </c>
      <c r="F300" s="1">
        <f t="shared" si="11"/>
        <v>683</v>
      </c>
      <c r="G300" s="1">
        <f t="shared" si="11"/>
        <v>3972</v>
      </c>
      <c r="H300" s="1">
        <f t="shared" si="11"/>
        <v>320</v>
      </c>
      <c r="I300" s="1">
        <f t="shared" si="11"/>
        <v>130</v>
      </c>
    </row>
    <row r="301" spans="1:9" x14ac:dyDescent="0.3">
      <c r="A301" t="s">
        <v>110</v>
      </c>
      <c r="B301" t="s">
        <v>111</v>
      </c>
      <c r="C301" t="s">
        <v>9</v>
      </c>
      <c r="D301">
        <v>68</v>
      </c>
      <c r="E301">
        <v>1</v>
      </c>
      <c r="F301">
        <v>4</v>
      </c>
      <c r="G301">
        <v>55</v>
      </c>
      <c r="H301">
        <v>3</v>
      </c>
      <c r="I301">
        <v>5</v>
      </c>
    </row>
    <row r="302" spans="1:9" x14ac:dyDescent="0.3">
      <c r="A302" t="s">
        <v>110</v>
      </c>
      <c r="B302" t="s">
        <v>111</v>
      </c>
      <c r="C302" t="s">
        <v>12</v>
      </c>
      <c r="D302">
        <v>3</v>
      </c>
      <c r="E302">
        <v>0</v>
      </c>
      <c r="F302">
        <v>0</v>
      </c>
      <c r="G302">
        <v>3</v>
      </c>
      <c r="H302">
        <v>0</v>
      </c>
      <c r="I302">
        <v>0</v>
      </c>
    </row>
    <row r="303" spans="1:9" x14ac:dyDescent="0.3">
      <c r="A303" t="s">
        <v>110</v>
      </c>
      <c r="B303" t="s">
        <v>111</v>
      </c>
      <c r="C303" t="s">
        <v>13</v>
      </c>
      <c r="D303">
        <v>65</v>
      </c>
      <c r="E303">
        <v>1</v>
      </c>
      <c r="F303">
        <v>4</v>
      </c>
      <c r="G303">
        <v>52</v>
      </c>
      <c r="H303">
        <v>3</v>
      </c>
      <c r="I303">
        <v>5</v>
      </c>
    </row>
    <row r="304" spans="1:9" x14ac:dyDescent="0.3">
      <c r="A304" t="s">
        <v>110</v>
      </c>
      <c r="B304" t="s">
        <v>106</v>
      </c>
      <c r="C304" t="s">
        <v>9</v>
      </c>
      <c r="D304">
        <v>317</v>
      </c>
      <c r="E304">
        <v>3</v>
      </c>
      <c r="F304">
        <v>32</v>
      </c>
      <c r="G304">
        <v>258</v>
      </c>
      <c r="H304">
        <v>13</v>
      </c>
      <c r="I304">
        <v>11</v>
      </c>
    </row>
    <row r="305" spans="1:9" x14ac:dyDescent="0.3">
      <c r="A305" t="s">
        <v>110</v>
      </c>
      <c r="B305" t="s">
        <v>106</v>
      </c>
      <c r="C305" t="s">
        <v>12</v>
      </c>
      <c r="D305">
        <v>47</v>
      </c>
      <c r="E305">
        <v>0</v>
      </c>
      <c r="F305">
        <v>7</v>
      </c>
      <c r="G305">
        <v>36</v>
      </c>
      <c r="H305">
        <v>1</v>
      </c>
      <c r="I305">
        <v>3</v>
      </c>
    </row>
    <row r="306" spans="1:9" x14ac:dyDescent="0.3">
      <c r="A306" t="s">
        <v>110</v>
      </c>
      <c r="B306" t="s">
        <v>106</v>
      </c>
      <c r="C306" t="s">
        <v>13</v>
      </c>
      <c r="D306">
        <v>270</v>
      </c>
      <c r="E306">
        <v>3</v>
      </c>
      <c r="F306">
        <v>25</v>
      </c>
      <c r="G306">
        <v>222</v>
      </c>
      <c r="H306">
        <v>12</v>
      </c>
      <c r="I306">
        <v>8</v>
      </c>
    </row>
    <row r="307" spans="1:9" x14ac:dyDescent="0.3">
      <c r="A307" t="s">
        <v>110</v>
      </c>
      <c r="B307" t="s">
        <v>112</v>
      </c>
      <c r="C307" t="s">
        <v>9</v>
      </c>
      <c r="D307" s="1">
        <v>1552</v>
      </c>
      <c r="E307">
        <v>19</v>
      </c>
      <c r="F307">
        <v>181</v>
      </c>
      <c r="G307" s="1">
        <v>1166</v>
      </c>
      <c r="H307">
        <v>137</v>
      </c>
      <c r="I307">
        <v>49</v>
      </c>
    </row>
    <row r="308" spans="1:9" x14ac:dyDescent="0.3">
      <c r="A308" t="s">
        <v>110</v>
      </c>
      <c r="B308" t="s">
        <v>112</v>
      </c>
      <c r="C308" t="s">
        <v>12</v>
      </c>
      <c r="D308">
        <v>318</v>
      </c>
      <c r="E308">
        <v>0</v>
      </c>
      <c r="F308">
        <v>30</v>
      </c>
      <c r="G308">
        <v>272</v>
      </c>
      <c r="H308">
        <v>11</v>
      </c>
      <c r="I308">
        <v>5</v>
      </c>
    </row>
    <row r="309" spans="1:9" x14ac:dyDescent="0.3">
      <c r="A309" t="s">
        <v>110</v>
      </c>
      <c r="B309" t="s">
        <v>112</v>
      </c>
      <c r="C309" t="s">
        <v>13</v>
      </c>
      <c r="D309" s="1">
        <v>1234</v>
      </c>
      <c r="E309">
        <v>19</v>
      </c>
      <c r="F309">
        <v>151</v>
      </c>
      <c r="G309">
        <v>894</v>
      </c>
      <c r="H309">
        <v>126</v>
      </c>
      <c r="I309">
        <v>44</v>
      </c>
    </row>
    <row r="310" spans="1:9" x14ac:dyDescent="0.3">
      <c r="A310" t="s">
        <v>110</v>
      </c>
      <c r="B310" t="s">
        <v>113</v>
      </c>
      <c r="C310" t="s">
        <v>9</v>
      </c>
      <c r="D310" s="1">
        <v>1159</v>
      </c>
      <c r="E310">
        <v>7</v>
      </c>
      <c r="F310">
        <v>141</v>
      </c>
      <c r="G310">
        <v>924</v>
      </c>
      <c r="H310">
        <v>59</v>
      </c>
      <c r="I310">
        <v>28</v>
      </c>
    </row>
    <row r="311" spans="1:9" x14ac:dyDescent="0.3">
      <c r="A311" t="s">
        <v>110</v>
      </c>
      <c r="B311" t="s">
        <v>113</v>
      </c>
      <c r="C311" t="s">
        <v>12</v>
      </c>
      <c r="D311">
        <v>245</v>
      </c>
      <c r="E311">
        <v>0</v>
      </c>
      <c r="F311">
        <v>15</v>
      </c>
      <c r="G311">
        <v>220</v>
      </c>
      <c r="H311">
        <v>7</v>
      </c>
      <c r="I311">
        <v>3</v>
      </c>
    </row>
    <row r="312" spans="1:9" x14ac:dyDescent="0.3">
      <c r="A312" t="s">
        <v>110</v>
      </c>
      <c r="B312" t="s">
        <v>113</v>
      </c>
      <c r="C312" t="s">
        <v>13</v>
      </c>
      <c r="D312">
        <v>914</v>
      </c>
      <c r="E312">
        <v>7</v>
      </c>
      <c r="F312">
        <v>126</v>
      </c>
      <c r="G312">
        <v>704</v>
      </c>
      <c r="H312">
        <v>52</v>
      </c>
      <c r="I312">
        <v>25</v>
      </c>
    </row>
    <row r="313" spans="1:9" x14ac:dyDescent="0.3">
      <c r="A313" t="s">
        <v>110</v>
      </c>
      <c r="B313" t="s">
        <v>107</v>
      </c>
      <c r="C313" t="s">
        <v>9</v>
      </c>
      <c r="D313">
        <v>817</v>
      </c>
      <c r="E313">
        <v>7</v>
      </c>
      <c r="F313">
        <v>108</v>
      </c>
      <c r="G313">
        <v>678</v>
      </c>
      <c r="H313">
        <v>17</v>
      </c>
      <c r="I313">
        <v>7</v>
      </c>
    </row>
    <row r="314" spans="1:9" x14ac:dyDescent="0.3">
      <c r="A314" t="s">
        <v>110</v>
      </c>
      <c r="B314" t="s">
        <v>107</v>
      </c>
      <c r="C314" t="s">
        <v>12</v>
      </c>
      <c r="D314">
        <v>105</v>
      </c>
      <c r="E314">
        <v>0</v>
      </c>
      <c r="F314">
        <v>12</v>
      </c>
      <c r="G314">
        <v>89</v>
      </c>
      <c r="H314">
        <v>2</v>
      </c>
      <c r="I314">
        <v>2</v>
      </c>
    </row>
    <row r="315" spans="1:9" x14ac:dyDescent="0.3">
      <c r="A315" t="s">
        <v>110</v>
      </c>
      <c r="B315" t="s">
        <v>107</v>
      </c>
      <c r="C315" t="s">
        <v>13</v>
      </c>
      <c r="D315">
        <v>712</v>
      </c>
      <c r="E315">
        <v>7</v>
      </c>
      <c r="F315">
        <v>96</v>
      </c>
      <c r="G315">
        <v>589</v>
      </c>
      <c r="H315">
        <v>15</v>
      </c>
      <c r="I315">
        <v>5</v>
      </c>
    </row>
    <row r="316" spans="1:9" x14ac:dyDescent="0.3">
      <c r="A316" t="s">
        <v>110</v>
      </c>
      <c r="B316" t="s">
        <v>108</v>
      </c>
      <c r="C316" t="s">
        <v>9</v>
      </c>
      <c r="D316">
        <v>937</v>
      </c>
      <c r="E316">
        <v>5</v>
      </c>
      <c r="F316">
        <v>138</v>
      </c>
      <c r="G316">
        <v>741</v>
      </c>
      <c r="H316">
        <v>38</v>
      </c>
      <c r="I316">
        <v>15</v>
      </c>
    </row>
    <row r="317" spans="1:9" x14ac:dyDescent="0.3">
      <c r="A317" t="s">
        <v>110</v>
      </c>
      <c r="B317" t="s">
        <v>108</v>
      </c>
      <c r="C317" t="s">
        <v>12</v>
      </c>
      <c r="D317">
        <v>101</v>
      </c>
      <c r="E317">
        <v>0</v>
      </c>
      <c r="F317">
        <v>9</v>
      </c>
      <c r="G317">
        <v>90</v>
      </c>
      <c r="H317">
        <v>2</v>
      </c>
      <c r="I317">
        <v>0</v>
      </c>
    </row>
    <row r="318" spans="1:9" x14ac:dyDescent="0.3">
      <c r="A318" t="s">
        <v>110</v>
      </c>
      <c r="B318" t="s">
        <v>108</v>
      </c>
      <c r="C318" t="s">
        <v>13</v>
      </c>
      <c r="D318">
        <v>836</v>
      </c>
      <c r="E318">
        <v>5</v>
      </c>
      <c r="F318">
        <v>129</v>
      </c>
      <c r="G318">
        <v>651</v>
      </c>
      <c r="H318">
        <v>36</v>
      </c>
      <c r="I318">
        <v>15</v>
      </c>
    </row>
    <row r="319" spans="1:9" x14ac:dyDescent="0.3">
      <c r="A319" t="s">
        <v>110</v>
      </c>
      <c r="B319" t="s">
        <v>109</v>
      </c>
      <c r="C319" t="s">
        <v>9</v>
      </c>
      <c r="D319">
        <v>669</v>
      </c>
      <c r="E319">
        <v>6</v>
      </c>
      <c r="F319">
        <v>75</v>
      </c>
      <c r="G319">
        <v>494</v>
      </c>
      <c r="H319">
        <v>70</v>
      </c>
      <c r="I319">
        <v>24</v>
      </c>
    </row>
    <row r="320" spans="1:9" x14ac:dyDescent="0.3">
      <c r="A320" t="s">
        <v>110</v>
      </c>
      <c r="B320" t="s">
        <v>109</v>
      </c>
      <c r="C320" t="s">
        <v>12</v>
      </c>
      <c r="D320">
        <v>130</v>
      </c>
      <c r="E320">
        <v>1</v>
      </c>
      <c r="F320">
        <v>7</v>
      </c>
      <c r="G320">
        <v>110</v>
      </c>
      <c r="H320">
        <v>10</v>
      </c>
      <c r="I320">
        <v>2</v>
      </c>
    </row>
    <row r="321" spans="1:9" x14ac:dyDescent="0.3">
      <c r="A321" t="s">
        <v>110</v>
      </c>
      <c r="B321" t="s">
        <v>109</v>
      </c>
      <c r="C321" t="s">
        <v>13</v>
      </c>
      <c r="D321">
        <v>539</v>
      </c>
      <c r="E321">
        <v>5</v>
      </c>
      <c r="F321">
        <v>68</v>
      </c>
      <c r="G321">
        <v>384</v>
      </c>
      <c r="H321">
        <v>60</v>
      </c>
      <c r="I321">
        <v>22</v>
      </c>
    </row>
    <row r="322" spans="1:9" x14ac:dyDescent="0.3">
      <c r="A322" t="s">
        <v>110</v>
      </c>
      <c r="B322" t="s">
        <v>114</v>
      </c>
      <c r="C322" t="s">
        <v>9</v>
      </c>
      <c r="D322">
        <v>530</v>
      </c>
      <c r="E322">
        <v>2</v>
      </c>
      <c r="F322">
        <v>82</v>
      </c>
      <c r="G322">
        <v>426</v>
      </c>
      <c r="H322">
        <v>14</v>
      </c>
      <c r="I322">
        <v>6</v>
      </c>
    </row>
    <row r="323" spans="1:9" x14ac:dyDescent="0.3">
      <c r="A323" t="s">
        <v>110</v>
      </c>
      <c r="B323" t="s">
        <v>114</v>
      </c>
      <c r="C323" t="s">
        <v>12</v>
      </c>
      <c r="D323">
        <v>104</v>
      </c>
      <c r="E323">
        <v>0</v>
      </c>
      <c r="F323">
        <v>12</v>
      </c>
      <c r="G323">
        <v>91</v>
      </c>
      <c r="H323">
        <v>0</v>
      </c>
      <c r="I323">
        <v>1</v>
      </c>
    </row>
    <row r="324" spans="1:9" x14ac:dyDescent="0.3">
      <c r="A324" t="s">
        <v>110</v>
      </c>
      <c r="B324" t="s">
        <v>114</v>
      </c>
      <c r="C324" t="s">
        <v>13</v>
      </c>
      <c r="D324">
        <v>426</v>
      </c>
      <c r="E324">
        <v>2</v>
      </c>
      <c r="F324">
        <v>70</v>
      </c>
      <c r="G324">
        <v>335</v>
      </c>
      <c r="H324">
        <v>14</v>
      </c>
      <c r="I324">
        <v>5</v>
      </c>
    </row>
    <row r="325" spans="1:9" x14ac:dyDescent="0.3">
      <c r="A325" t="s">
        <v>110</v>
      </c>
      <c r="B325" t="s">
        <v>115</v>
      </c>
      <c r="C325" t="s">
        <v>9</v>
      </c>
      <c r="D325">
        <v>192</v>
      </c>
      <c r="E325">
        <v>0</v>
      </c>
      <c r="F325">
        <v>17</v>
      </c>
      <c r="G325">
        <v>171</v>
      </c>
      <c r="H325">
        <v>3</v>
      </c>
      <c r="I325">
        <v>1</v>
      </c>
    </row>
    <row r="326" spans="1:9" x14ac:dyDescent="0.3">
      <c r="A326" t="s">
        <v>110</v>
      </c>
      <c r="B326" t="s">
        <v>115</v>
      </c>
      <c r="C326" t="s">
        <v>12</v>
      </c>
      <c r="D326">
        <v>34</v>
      </c>
      <c r="E326">
        <v>0</v>
      </c>
      <c r="F326">
        <v>3</v>
      </c>
      <c r="G326">
        <v>30</v>
      </c>
      <c r="H326">
        <v>1</v>
      </c>
      <c r="I326">
        <v>0</v>
      </c>
    </row>
    <row r="327" spans="1:9" x14ac:dyDescent="0.3">
      <c r="A327" t="s">
        <v>110</v>
      </c>
      <c r="B327" t="s">
        <v>115</v>
      </c>
      <c r="C327" t="s">
        <v>13</v>
      </c>
      <c r="D327">
        <v>158</v>
      </c>
      <c r="E327">
        <v>0</v>
      </c>
      <c r="F327">
        <v>14</v>
      </c>
      <c r="G327">
        <v>141</v>
      </c>
      <c r="H327">
        <v>2</v>
      </c>
      <c r="I327">
        <v>1</v>
      </c>
    </row>
    <row r="328" spans="1:9" x14ac:dyDescent="0.3">
      <c r="A328" t="s">
        <v>116</v>
      </c>
      <c r="B328" t="s">
        <v>9</v>
      </c>
      <c r="C328" t="s">
        <v>9</v>
      </c>
      <c r="D328" s="1">
        <v>3751</v>
      </c>
      <c r="E328">
        <v>43</v>
      </c>
      <c r="F328">
        <v>570</v>
      </c>
      <c r="G328" s="1">
        <v>2947</v>
      </c>
      <c r="H328">
        <v>115</v>
      </c>
      <c r="I328">
        <v>76</v>
      </c>
    </row>
    <row r="329" spans="1:9" x14ac:dyDescent="0.3">
      <c r="A329" t="s">
        <v>116</v>
      </c>
      <c r="B329" t="s">
        <v>9</v>
      </c>
      <c r="C329" t="s">
        <v>12</v>
      </c>
      <c r="D329" s="1">
        <f>D332+D335+D338+D341+D344</f>
        <v>543</v>
      </c>
      <c r="E329" s="1">
        <f t="shared" ref="E329:I329" si="12">E332+E335+E338+E341+E344</f>
        <v>1</v>
      </c>
      <c r="F329" s="1">
        <f t="shared" si="12"/>
        <v>53</v>
      </c>
      <c r="G329" s="1">
        <f t="shared" si="12"/>
        <v>478</v>
      </c>
      <c r="H329" s="1">
        <f t="shared" si="12"/>
        <v>9</v>
      </c>
      <c r="I329" s="1">
        <f t="shared" si="12"/>
        <v>2</v>
      </c>
    </row>
    <row r="330" spans="1:9" x14ac:dyDescent="0.3">
      <c r="A330" t="s">
        <v>116</v>
      </c>
      <c r="B330" t="s">
        <v>9</v>
      </c>
      <c r="C330" t="s">
        <v>13</v>
      </c>
      <c r="D330" s="1">
        <f>D333+D336+D339+D342+D345</f>
        <v>3208</v>
      </c>
      <c r="E330" s="1">
        <f t="shared" ref="E330:I330" si="13">E333+E336+E339+E342+E345</f>
        <v>42</v>
      </c>
      <c r="F330" s="1">
        <f t="shared" si="13"/>
        <v>517</v>
      </c>
      <c r="G330" s="1">
        <f t="shared" si="13"/>
        <v>2469</v>
      </c>
      <c r="H330" s="1">
        <f t="shared" si="13"/>
        <v>106</v>
      </c>
      <c r="I330" s="1">
        <f t="shared" si="13"/>
        <v>74</v>
      </c>
    </row>
    <row r="331" spans="1:9" x14ac:dyDescent="0.3">
      <c r="A331" t="s">
        <v>116</v>
      </c>
      <c r="B331" t="s">
        <v>117</v>
      </c>
      <c r="C331" t="s">
        <v>9</v>
      </c>
      <c r="D331">
        <v>574</v>
      </c>
      <c r="E331">
        <v>5</v>
      </c>
      <c r="F331">
        <v>80</v>
      </c>
      <c r="G331">
        <v>446</v>
      </c>
      <c r="H331">
        <v>20</v>
      </c>
      <c r="I331">
        <v>23</v>
      </c>
    </row>
    <row r="332" spans="1:9" x14ac:dyDescent="0.3">
      <c r="A332" t="s">
        <v>116</v>
      </c>
      <c r="B332" t="s">
        <v>117</v>
      </c>
      <c r="C332" t="s">
        <v>12</v>
      </c>
      <c r="D332">
        <v>54</v>
      </c>
      <c r="E332">
        <v>0</v>
      </c>
      <c r="F332">
        <v>8</v>
      </c>
      <c r="G332">
        <v>46</v>
      </c>
      <c r="H332">
        <v>0</v>
      </c>
      <c r="I332">
        <v>0</v>
      </c>
    </row>
    <row r="333" spans="1:9" x14ac:dyDescent="0.3">
      <c r="A333" t="s">
        <v>116</v>
      </c>
      <c r="B333" t="s">
        <v>117</v>
      </c>
      <c r="C333" t="s">
        <v>13</v>
      </c>
      <c r="D333">
        <v>520</v>
      </c>
      <c r="E333">
        <v>5</v>
      </c>
      <c r="F333">
        <v>72</v>
      </c>
      <c r="G333">
        <v>400</v>
      </c>
      <c r="H333">
        <v>20</v>
      </c>
      <c r="I333">
        <v>23</v>
      </c>
    </row>
    <row r="334" spans="1:9" x14ac:dyDescent="0.3">
      <c r="A334" t="s">
        <v>116</v>
      </c>
      <c r="B334" t="s">
        <v>107</v>
      </c>
      <c r="C334" t="s">
        <v>9</v>
      </c>
      <c r="D334">
        <v>744</v>
      </c>
      <c r="E334">
        <v>15</v>
      </c>
      <c r="F334">
        <v>103</v>
      </c>
      <c r="G334">
        <v>590</v>
      </c>
      <c r="H334">
        <v>24</v>
      </c>
      <c r="I334">
        <v>12</v>
      </c>
    </row>
    <row r="335" spans="1:9" x14ac:dyDescent="0.3">
      <c r="A335" t="s">
        <v>116</v>
      </c>
      <c r="B335" t="s">
        <v>107</v>
      </c>
      <c r="C335" t="s">
        <v>12</v>
      </c>
      <c r="D335">
        <v>90</v>
      </c>
      <c r="E335">
        <v>0</v>
      </c>
      <c r="F335">
        <v>8</v>
      </c>
      <c r="G335">
        <v>79</v>
      </c>
      <c r="H335">
        <v>3</v>
      </c>
      <c r="I335">
        <v>0</v>
      </c>
    </row>
    <row r="336" spans="1:9" x14ac:dyDescent="0.3">
      <c r="A336" t="s">
        <v>116</v>
      </c>
      <c r="B336" t="s">
        <v>107</v>
      </c>
      <c r="C336" t="s">
        <v>13</v>
      </c>
      <c r="D336">
        <v>654</v>
      </c>
      <c r="E336">
        <v>15</v>
      </c>
      <c r="F336">
        <v>95</v>
      </c>
      <c r="G336">
        <v>511</v>
      </c>
      <c r="H336">
        <v>21</v>
      </c>
      <c r="I336">
        <v>12</v>
      </c>
    </row>
    <row r="337" spans="1:9" x14ac:dyDescent="0.3">
      <c r="A337" t="s">
        <v>116</v>
      </c>
      <c r="B337" t="s">
        <v>109</v>
      </c>
      <c r="C337" t="s">
        <v>9</v>
      </c>
      <c r="D337">
        <v>971</v>
      </c>
      <c r="E337">
        <v>10</v>
      </c>
      <c r="F337">
        <v>142</v>
      </c>
      <c r="G337">
        <v>760</v>
      </c>
      <c r="H337">
        <v>35</v>
      </c>
      <c r="I337">
        <v>24</v>
      </c>
    </row>
    <row r="338" spans="1:9" x14ac:dyDescent="0.3">
      <c r="A338" t="s">
        <v>116</v>
      </c>
      <c r="B338" t="s">
        <v>109</v>
      </c>
      <c r="C338" t="s">
        <v>12</v>
      </c>
      <c r="D338">
        <v>159</v>
      </c>
      <c r="E338">
        <v>1</v>
      </c>
      <c r="F338">
        <v>10</v>
      </c>
      <c r="G338">
        <v>145</v>
      </c>
      <c r="H338">
        <v>2</v>
      </c>
      <c r="I338">
        <v>1</v>
      </c>
    </row>
    <row r="339" spans="1:9" x14ac:dyDescent="0.3">
      <c r="A339" t="s">
        <v>116</v>
      </c>
      <c r="B339" t="s">
        <v>109</v>
      </c>
      <c r="C339" t="s">
        <v>13</v>
      </c>
      <c r="D339">
        <v>812</v>
      </c>
      <c r="E339">
        <v>9</v>
      </c>
      <c r="F339">
        <v>132</v>
      </c>
      <c r="G339">
        <v>615</v>
      </c>
      <c r="H339">
        <v>33</v>
      </c>
      <c r="I339">
        <v>23</v>
      </c>
    </row>
    <row r="340" spans="1:9" x14ac:dyDescent="0.3">
      <c r="A340" t="s">
        <v>116</v>
      </c>
      <c r="B340" t="s">
        <v>118</v>
      </c>
      <c r="C340" t="s">
        <v>9</v>
      </c>
      <c r="D340">
        <v>846</v>
      </c>
      <c r="E340">
        <v>4</v>
      </c>
      <c r="F340">
        <v>155</v>
      </c>
      <c r="G340">
        <v>667</v>
      </c>
      <c r="H340">
        <v>12</v>
      </c>
      <c r="I340">
        <v>8</v>
      </c>
    </row>
    <row r="341" spans="1:9" x14ac:dyDescent="0.3">
      <c r="A341" t="s">
        <v>116</v>
      </c>
      <c r="B341" t="s">
        <v>118</v>
      </c>
      <c r="C341" t="s">
        <v>12</v>
      </c>
      <c r="D341">
        <v>160</v>
      </c>
      <c r="E341">
        <v>0</v>
      </c>
      <c r="F341">
        <v>17</v>
      </c>
      <c r="G341">
        <v>142</v>
      </c>
      <c r="H341">
        <v>0</v>
      </c>
      <c r="I341">
        <v>1</v>
      </c>
    </row>
    <row r="342" spans="1:9" x14ac:dyDescent="0.3">
      <c r="A342" t="s">
        <v>116</v>
      </c>
      <c r="B342" t="s">
        <v>118</v>
      </c>
      <c r="C342" t="s">
        <v>13</v>
      </c>
      <c r="D342">
        <v>686</v>
      </c>
      <c r="E342">
        <v>4</v>
      </c>
      <c r="F342">
        <v>138</v>
      </c>
      <c r="G342">
        <v>525</v>
      </c>
      <c r="H342">
        <v>12</v>
      </c>
      <c r="I342">
        <v>7</v>
      </c>
    </row>
    <row r="343" spans="1:9" x14ac:dyDescent="0.3">
      <c r="A343" t="s">
        <v>116</v>
      </c>
      <c r="B343" t="s">
        <v>115</v>
      </c>
      <c r="C343" t="s">
        <v>9</v>
      </c>
      <c r="D343">
        <v>616</v>
      </c>
      <c r="E343">
        <v>9</v>
      </c>
      <c r="F343">
        <v>90</v>
      </c>
      <c r="G343">
        <v>484</v>
      </c>
      <c r="H343">
        <v>24</v>
      </c>
      <c r="I343">
        <v>9</v>
      </c>
    </row>
    <row r="344" spans="1:9" x14ac:dyDescent="0.3">
      <c r="A344" t="s">
        <v>116</v>
      </c>
      <c r="B344" t="s">
        <v>115</v>
      </c>
      <c r="C344" t="s">
        <v>12</v>
      </c>
      <c r="D344">
        <v>80</v>
      </c>
      <c r="E344">
        <v>0</v>
      </c>
      <c r="F344">
        <v>10</v>
      </c>
      <c r="G344">
        <v>66</v>
      </c>
      <c r="H344">
        <v>4</v>
      </c>
      <c r="I344">
        <v>0</v>
      </c>
    </row>
    <row r="345" spans="1:9" x14ac:dyDescent="0.3">
      <c r="A345" t="s">
        <v>116</v>
      </c>
      <c r="B345" t="s">
        <v>115</v>
      </c>
      <c r="C345" t="s">
        <v>13</v>
      </c>
      <c r="D345">
        <v>536</v>
      </c>
      <c r="E345">
        <v>9</v>
      </c>
      <c r="F345">
        <v>80</v>
      </c>
      <c r="G345">
        <v>418</v>
      </c>
      <c r="H345">
        <v>20</v>
      </c>
      <c r="I345">
        <v>9</v>
      </c>
    </row>
    <row r="346" spans="1:9" x14ac:dyDescent="0.3">
      <c r="A346" t="s">
        <v>119</v>
      </c>
      <c r="B346" t="s">
        <v>9</v>
      </c>
      <c r="C346" t="s">
        <v>9</v>
      </c>
      <c r="D346" s="1">
        <v>8027</v>
      </c>
      <c r="E346">
        <v>49</v>
      </c>
      <c r="F346" s="1">
        <v>1295</v>
      </c>
      <c r="G346" s="1">
        <v>6338</v>
      </c>
      <c r="H346">
        <v>214</v>
      </c>
      <c r="I346">
        <v>131</v>
      </c>
    </row>
    <row r="347" spans="1:9" x14ac:dyDescent="0.3">
      <c r="A347" t="s">
        <v>119</v>
      </c>
      <c r="B347" t="s">
        <v>9</v>
      </c>
      <c r="C347" t="s">
        <v>12</v>
      </c>
      <c r="D347" s="1">
        <f>D350+D353+D356+D359+D362+D365+D368+D371+D374+D377+D380+D383+D386+D389+D392+D395</f>
        <v>1505</v>
      </c>
      <c r="E347" s="1">
        <f t="shared" ref="E347:I347" si="14">E350+E353+E356+E359+E362+E365+E368+E371+E374+E377+E380+E383+E386+E389+E392+E395</f>
        <v>3</v>
      </c>
      <c r="F347" s="1">
        <f t="shared" si="14"/>
        <v>175</v>
      </c>
      <c r="G347" s="1">
        <f t="shared" si="14"/>
        <v>1291</v>
      </c>
      <c r="H347" s="1">
        <f t="shared" si="14"/>
        <v>26</v>
      </c>
      <c r="I347" s="1">
        <f t="shared" si="14"/>
        <v>10</v>
      </c>
    </row>
    <row r="348" spans="1:9" x14ac:dyDescent="0.3">
      <c r="A348" t="s">
        <v>119</v>
      </c>
      <c r="B348" t="s">
        <v>9</v>
      </c>
      <c r="C348" t="s">
        <v>13</v>
      </c>
      <c r="D348" s="1">
        <f>D351+D354+D357+D360+D363+D366+D369+D372+D375+D378+D381+D384+D387+D390+D393+D396</f>
        <v>6522</v>
      </c>
      <c r="E348" s="1">
        <f t="shared" ref="E348:I348" si="15">E351+E354+E357+E360+E363+E366+E369+E372+E375+E378+E381+E384+E387+E390+E393+E396</f>
        <v>46</v>
      </c>
      <c r="F348" s="1">
        <f t="shared" si="15"/>
        <v>1120</v>
      </c>
      <c r="G348" s="1">
        <f t="shared" si="15"/>
        <v>5047</v>
      </c>
      <c r="H348" s="1">
        <f t="shared" si="15"/>
        <v>188</v>
      </c>
      <c r="I348" s="1">
        <f t="shared" si="15"/>
        <v>121</v>
      </c>
    </row>
    <row r="349" spans="1:9" x14ac:dyDescent="0.3">
      <c r="A349" t="s">
        <v>119</v>
      </c>
      <c r="B349" t="s">
        <v>120</v>
      </c>
      <c r="C349" t="s">
        <v>9</v>
      </c>
      <c r="D349">
        <v>464</v>
      </c>
      <c r="E349">
        <v>3</v>
      </c>
      <c r="F349">
        <v>75</v>
      </c>
      <c r="G349">
        <v>364</v>
      </c>
      <c r="H349">
        <v>12</v>
      </c>
      <c r="I349">
        <v>10</v>
      </c>
    </row>
    <row r="350" spans="1:9" x14ac:dyDescent="0.3">
      <c r="A350" t="s">
        <v>119</v>
      </c>
      <c r="B350" t="s">
        <v>120</v>
      </c>
      <c r="C350" t="s">
        <v>12</v>
      </c>
      <c r="D350">
        <v>101</v>
      </c>
      <c r="E350">
        <v>1</v>
      </c>
      <c r="F350">
        <v>6</v>
      </c>
      <c r="G350">
        <v>90</v>
      </c>
      <c r="H350">
        <v>3</v>
      </c>
      <c r="I350">
        <v>1</v>
      </c>
    </row>
    <row r="351" spans="1:9" x14ac:dyDescent="0.3">
      <c r="A351" t="s">
        <v>119</v>
      </c>
      <c r="B351" t="s">
        <v>120</v>
      </c>
      <c r="C351" t="s">
        <v>13</v>
      </c>
      <c r="D351">
        <v>363</v>
      </c>
      <c r="E351">
        <v>2</v>
      </c>
      <c r="F351">
        <v>69</v>
      </c>
      <c r="G351">
        <v>274</v>
      </c>
      <c r="H351">
        <v>9</v>
      </c>
      <c r="I351">
        <v>9</v>
      </c>
    </row>
    <row r="352" spans="1:9" x14ac:dyDescent="0.3">
      <c r="A352" t="s">
        <v>119</v>
      </c>
      <c r="B352" t="s">
        <v>121</v>
      </c>
      <c r="C352" t="s">
        <v>9</v>
      </c>
      <c r="D352">
        <v>439</v>
      </c>
      <c r="E352">
        <v>1</v>
      </c>
      <c r="F352">
        <v>72</v>
      </c>
      <c r="G352">
        <v>348</v>
      </c>
      <c r="H352">
        <v>12</v>
      </c>
      <c r="I352">
        <v>6</v>
      </c>
    </row>
    <row r="353" spans="1:9" x14ac:dyDescent="0.3">
      <c r="A353" t="s">
        <v>119</v>
      </c>
      <c r="B353" t="s">
        <v>121</v>
      </c>
      <c r="C353" t="s">
        <v>12</v>
      </c>
      <c r="D353">
        <v>81</v>
      </c>
      <c r="E353">
        <v>0</v>
      </c>
      <c r="F353">
        <v>11</v>
      </c>
      <c r="G353">
        <v>70</v>
      </c>
      <c r="H353">
        <v>0</v>
      </c>
      <c r="I353">
        <v>0</v>
      </c>
    </row>
    <row r="354" spans="1:9" x14ac:dyDescent="0.3">
      <c r="A354" t="s">
        <v>119</v>
      </c>
      <c r="B354" t="s">
        <v>121</v>
      </c>
      <c r="C354" t="s">
        <v>13</v>
      </c>
      <c r="D354">
        <v>358</v>
      </c>
      <c r="E354">
        <v>1</v>
      </c>
      <c r="F354">
        <v>61</v>
      </c>
      <c r="G354">
        <v>278</v>
      </c>
      <c r="H354">
        <v>12</v>
      </c>
      <c r="I354">
        <v>6</v>
      </c>
    </row>
    <row r="355" spans="1:9" x14ac:dyDescent="0.3">
      <c r="A355" t="s">
        <v>119</v>
      </c>
      <c r="B355" t="s">
        <v>122</v>
      </c>
      <c r="C355" t="s">
        <v>9</v>
      </c>
      <c r="D355">
        <v>566</v>
      </c>
      <c r="E355">
        <v>1</v>
      </c>
      <c r="F355">
        <v>73</v>
      </c>
      <c r="G355">
        <v>480</v>
      </c>
      <c r="H355">
        <v>11</v>
      </c>
      <c r="I355">
        <v>1</v>
      </c>
    </row>
    <row r="356" spans="1:9" x14ac:dyDescent="0.3">
      <c r="A356" t="s">
        <v>119</v>
      </c>
      <c r="B356" t="s">
        <v>122</v>
      </c>
      <c r="C356" t="s">
        <v>12</v>
      </c>
      <c r="D356">
        <v>100</v>
      </c>
      <c r="E356">
        <v>0</v>
      </c>
      <c r="F356">
        <v>7</v>
      </c>
      <c r="G356">
        <v>93</v>
      </c>
      <c r="H356">
        <v>0</v>
      </c>
      <c r="I356">
        <v>0</v>
      </c>
    </row>
    <row r="357" spans="1:9" x14ac:dyDescent="0.3">
      <c r="A357" t="s">
        <v>119</v>
      </c>
      <c r="B357" t="s">
        <v>122</v>
      </c>
      <c r="C357" t="s">
        <v>13</v>
      </c>
      <c r="D357">
        <v>466</v>
      </c>
      <c r="E357">
        <v>1</v>
      </c>
      <c r="F357">
        <v>66</v>
      </c>
      <c r="G357">
        <v>387</v>
      </c>
      <c r="H357">
        <v>11</v>
      </c>
      <c r="I357">
        <v>1</v>
      </c>
    </row>
    <row r="358" spans="1:9" x14ac:dyDescent="0.3">
      <c r="A358" t="s">
        <v>119</v>
      </c>
      <c r="B358" t="s">
        <v>106</v>
      </c>
      <c r="C358" t="s">
        <v>9</v>
      </c>
      <c r="D358">
        <v>501</v>
      </c>
      <c r="E358">
        <v>3</v>
      </c>
      <c r="F358">
        <v>97</v>
      </c>
      <c r="G358">
        <v>389</v>
      </c>
      <c r="H358">
        <v>9</v>
      </c>
      <c r="I358">
        <v>3</v>
      </c>
    </row>
    <row r="359" spans="1:9" x14ac:dyDescent="0.3">
      <c r="A359" t="s">
        <v>119</v>
      </c>
      <c r="B359" t="s">
        <v>106</v>
      </c>
      <c r="C359" t="s">
        <v>12</v>
      </c>
      <c r="D359">
        <v>104</v>
      </c>
      <c r="E359">
        <v>0</v>
      </c>
      <c r="F359">
        <v>22</v>
      </c>
      <c r="G359">
        <v>81</v>
      </c>
      <c r="H359">
        <v>1</v>
      </c>
      <c r="I359">
        <v>0</v>
      </c>
    </row>
    <row r="360" spans="1:9" x14ac:dyDescent="0.3">
      <c r="A360" t="s">
        <v>119</v>
      </c>
      <c r="B360" t="s">
        <v>106</v>
      </c>
      <c r="C360" t="s">
        <v>13</v>
      </c>
      <c r="D360">
        <v>397</v>
      </c>
      <c r="E360">
        <v>3</v>
      </c>
      <c r="F360">
        <v>75</v>
      </c>
      <c r="G360">
        <v>308</v>
      </c>
      <c r="H360">
        <v>8</v>
      </c>
      <c r="I360">
        <v>3</v>
      </c>
    </row>
    <row r="361" spans="1:9" x14ac:dyDescent="0.3">
      <c r="A361" t="s">
        <v>119</v>
      </c>
      <c r="B361" t="s">
        <v>107</v>
      </c>
      <c r="C361" t="s">
        <v>9</v>
      </c>
      <c r="D361">
        <v>282</v>
      </c>
      <c r="E361">
        <v>2</v>
      </c>
      <c r="F361">
        <v>73</v>
      </c>
      <c r="G361">
        <v>192</v>
      </c>
      <c r="H361">
        <v>5</v>
      </c>
      <c r="I361">
        <v>10</v>
      </c>
    </row>
    <row r="362" spans="1:9" x14ac:dyDescent="0.3">
      <c r="A362" t="s">
        <v>119</v>
      </c>
      <c r="B362" t="s">
        <v>107</v>
      </c>
      <c r="C362" t="s">
        <v>12</v>
      </c>
      <c r="D362">
        <v>28</v>
      </c>
      <c r="E362">
        <v>0</v>
      </c>
      <c r="F362">
        <v>5</v>
      </c>
      <c r="G362">
        <v>23</v>
      </c>
      <c r="H362">
        <v>0</v>
      </c>
      <c r="I362">
        <v>0</v>
      </c>
    </row>
    <row r="363" spans="1:9" x14ac:dyDescent="0.3">
      <c r="A363" t="s">
        <v>119</v>
      </c>
      <c r="B363" t="s">
        <v>107</v>
      </c>
      <c r="C363" t="s">
        <v>13</v>
      </c>
      <c r="D363">
        <v>254</v>
      </c>
      <c r="E363">
        <v>2</v>
      </c>
      <c r="F363">
        <v>68</v>
      </c>
      <c r="G363">
        <v>169</v>
      </c>
      <c r="H363">
        <v>5</v>
      </c>
      <c r="I363">
        <v>10</v>
      </c>
    </row>
    <row r="364" spans="1:9" x14ac:dyDescent="0.3">
      <c r="A364" t="s">
        <v>119</v>
      </c>
      <c r="B364" t="s">
        <v>123</v>
      </c>
      <c r="C364" t="s">
        <v>9</v>
      </c>
      <c r="D364">
        <v>391</v>
      </c>
      <c r="E364">
        <v>5</v>
      </c>
      <c r="F364">
        <v>75</v>
      </c>
      <c r="G364">
        <v>299</v>
      </c>
      <c r="H364">
        <v>8</v>
      </c>
      <c r="I364">
        <v>4</v>
      </c>
    </row>
    <row r="365" spans="1:9" x14ac:dyDescent="0.3">
      <c r="A365" t="s">
        <v>119</v>
      </c>
      <c r="B365" t="s">
        <v>123</v>
      </c>
      <c r="C365" t="s">
        <v>12</v>
      </c>
      <c r="D365">
        <v>48</v>
      </c>
      <c r="E365">
        <v>0</v>
      </c>
      <c r="F365">
        <v>5</v>
      </c>
      <c r="G365">
        <v>43</v>
      </c>
      <c r="H365">
        <v>0</v>
      </c>
      <c r="I365">
        <v>0</v>
      </c>
    </row>
    <row r="366" spans="1:9" x14ac:dyDescent="0.3">
      <c r="A366" t="s">
        <v>119</v>
      </c>
      <c r="B366" t="s">
        <v>123</v>
      </c>
      <c r="C366" t="s">
        <v>13</v>
      </c>
      <c r="D366">
        <v>343</v>
      </c>
      <c r="E366">
        <v>5</v>
      </c>
      <c r="F366">
        <v>70</v>
      </c>
      <c r="G366">
        <v>256</v>
      </c>
      <c r="H366">
        <v>8</v>
      </c>
      <c r="I366">
        <v>4</v>
      </c>
    </row>
    <row r="367" spans="1:9" x14ac:dyDescent="0.3">
      <c r="A367" t="s">
        <v>119</v>
      </c>
      <c r="B367" t="s">
        <v>124</v>
      </c>
      <c r="C367" t="s">
        <v>9</v>
      </c>
      <c r="D367">
        <v>756</v>
      </c>
      <c r="E367">
        <v>9</v>
      </c>
      <c r="F367">
        <v>105</v>
      </c>
      <c r="G367">
        <v>621</v>
      </c>
      <c r="H367">
        <v>8</v>
      </c>
      <c r="I367">
        <v>13</v>
      </c>
    </row>
    <row r="368" spans="1:9" x14ac:dyDescent="0.3">
      <c r="A368" t="s">
        <v>119</v>
      </c>
      <c r="B368" t="s">
        <v>124</v>
      </c>
      <c r="C368" t="s">
        <v>12</v>
      </c>
      <c r="D368">
        <v>113</v>
      </c>
      <c r="E368">
        <v>0</v>
      </c>
      <c r="F368">
        <v>16</v>
      </c>
      <c r="G368">
        <v>96</v>
      </c>
      <c r="H368">
        <v>0</v>
      </c>
      <c r="I368">
        <v>1</v>
      </c>
    </row>
    <row r="369" spans="1:9" x14ac:dyDescent="0.3">
      <c r="A369" t="s">
        <v>119</v>
      </c>
      <c r="B369" t="s">
        <v>124</v>
      </c>
      <c r="C369" t="s">
        <v>13</v>
      </c>
      <c r="D369">
        <v>643</v>
      </c>
      <c r="E369">
        <v>9</v>
      </c>
      <c r="F369">
        <v>89</v>
      </c>
      <c r="G369">
        <v>525</v>
      </c>
      <c r="H369">
        <v>8</v>
      </c>
      <c r="I369">
        <v>12</v>
      </c>
    </row>
    <row r="370" spans="1:9" x14ac:dyDescent="0.3">
      <c r="A370" t="s">
        <v>119</v>
      </c>
      <c r="B370" t="s">
        <v>108</v>
      </c>
      <c r="C370" t="s">
        <v>9</v>
      </c>
      <c r="D370">
        <v>534</v>
      </c>
      <c r="E370">
        <v>3</v>
      </c>
      <c r="F370">
        <v>70</v>
      </c>
      <c r="G370">
        <v>449</v>
      </c>
      <c r="H370">
        <v>9</v>
      </c>
      <c r="I370">
        <v>3</v>
      </c>
    </row>
    <row r="371" spans="1:9" x14ac:dyDescent="0.3">
      <c r="A371" t="s">
        <v>119</v>
      </c>
      <c r="B371" t="s">
        <v>108</v>
      </c>
      <c r="C371" t="s">
        <v>12</v>
      </c>
      <c r="D371">
        <v>58</v>
      </c>
      <c r="E371">
        <v>0</v>
      </c>
      <c r="F371">
        <v>5</v>
      </c>
      <c r="G371">
        <v>53</v>
      </c>
      <c r="H371">
        <v>0</v>
      </c>
      <c r="I371">
        <v>0</v>
      </c>
    </row>
    <row r="372" spans="1:9" x14ac:dyDescent="0.3">
      <c r="A372" t="s">
        <v>119</v>
      </c>
      <c r="B372" t="s">
        <v>108</v>
      </c>
      <c r="C372" t="s">
        <v>13</v>
      </c>
      <c r="D372">
        <v>476</v>
      </c>
      <c r="E372">
        <v>3</v>
      </c>
      <c r="F372">
        <v>65</v>
      </c>
      <c r="G372">
        <v>396</v>
      </c>
      <c r="H372">
        <v>9</v>
      </c>
      <c r="I372">
        <v>3</v>
      </c>
    </row>
    <row r="373" spans="1:9" x14ac:dyDescent="0.3">
      <c r="A373" t="s">
        <v>119</v>
      </c>
      <c r="B373" t="s">
        <v>125</v>
      </c>
      <c r="C373" t="s">
        <v>9</v>
      </c>
      <c r="D373">
        <v>815</v>
      </c>
      <c r="E373">
        <v>5</v>
      </c>
      <c r="F373">
        <v>104</v>
      </c>
      <c r="G373">
        <v>612</v>
      </c>
      <c r="H373">
        <v>63</v>
      </c>
      <c r="I373">
        <v>31</v>
      </c>
    </row>
    <row r="374" spans="1:9" x14ac:dyDescent="0.3">
      <c r="A374" t="s">
        <v>119</v>
      </c>
      <c r="B374" t="s">
        <v>125</v>
      </c>
      <c r="C374" t="s">
        <v>12</v>
      </c>
      <c r="D374">
        <v>189</v>
      </c>
      <c r="E374">
        <v>0</v>
      </c>
      <c r="F374">
        <v>7</v>
      </c>
      <c r="G374">
        <v>173</v>
      </c>
      <c r="H374">
        <v>8</v>
      </c>
      <c r="I374">
        <v>1</v>
      </c>
    </row>
    <row r="375" spans="1:9" x14ac:dyDescent="0.3">
      <c r="A375" t="s">
        <v>119</v>
      </c>
      <c r="B375" t="s">
        <v>125</v>
      </c>
      <c r="C375" t="s">
        <v>13</v>
      </c>
      <c r="D375">
        <v>626</v>
      </c>
      <c r="E375">
        <v>5</v>
      </c>
      <c r="F375">
        <v>97</v>
      </c>
      <c r="G375">
        <v>439</v>
      </c>
      <c r="H375">
        <v>55</v>
      </c>
      <c r="I375">
        <v>30</v>
      </c>
    </row>
    <row r="376" spans="1:9" x14ac:dyDescent="0.3">
      <c r="A376" t="s">
        <v>119</v>
      </c>
      <c r="B376" t="s">
        <v>126</v>
      </c>
      <c r="C376" t="s">
        <v>9</v>
      </c>
      <c r="D376">
        <v>918</v>
      </c>
      <c r="E376">
        <v>4</v>
      </c>
      <c r="F376">
        <v>134</v>
      </c>
      <c r="G376">
        <v>722</v>
      </c>
      <c r="H376">
        <v>43</v>
      </c>
      <c r="I376">
        <v>15</v>
      </c>
    </row>
    <row r="377" spans="1:9" x14ac:dyDescent="0.3">
      <c r="A377" t="s">
        <v>119</v>
      </c>
      <c r="B377" t="s">
        <v>126</v>
      </c>
      <c r="C377" t="s">
        <v>12</v>
      </c>
      <c r="D377">
        <v>139</v>
      </c>
      <c r="E377">
        <v>0</v>
      </c>
      <c r="F377">
        <v>18</v>
      </c>
      <c r="G377">
        <v>116</v>
      </c>
      <c r="H377">
        <v>5</v>
      </c>
      <c r="I377">
        <v>0</v>
      </c>
    </row>
    <row r="378" spans="1:9" x14ac:dyDescent="0.3">
      <c r="A378" t="s">
        <v>119</v>
      </c>
      <c r="B378" t="s">
        <v>126</v>
      </c>
      <c r="C378" t="s">
        <v>13</v>
      </c>
      <c r="D378">
        <v>779</v>
      </c>
      <c r="E378">
        <v>4</v>
      </c>
      <c r="F378">
        <v>116</v>
      </c>
      <c r="G378">
        <v>606</v>
      </c>
      <c r="H378">
        <v>38</v>
      </c>
      <c r="I378">
        <v>15</v>
      </c>
    </row>
    <row r="379" spans="1:9" x14ac:dyDescent="0.3">
      <c r="A379" t="s">
        <v>119</v>
      </c>
      <c r="B379" t="s">
        <v>109</v>
      </c>
      <c r="C379" t="s">
        <v>9</v>
      </c>
      <c r="D379">
        <v>256</v>
      </c>
      <c r="E379">
        <v>3</v>
      </c>
      <c r="F379">
        <v>48</v>
      </c>
      <c r="G379">
        <v>196</v>
      </c>
      <c r="H379">
        <v>5</v>
      </c>
      <c r="I379">
        <v>4</v>
      </c>
    </row>
    <row r="380" spans="1:9" x14ac:dyDescent="0.3">
      <c r="A380" t="s">
        <v>119</v>
      </c>
      <c r="B380" t="s">
        <v>109</v>
      </c>
      <c r="C380" t="s">
        <v>12</v>
      </c>
      <c r="D380">
        <v>37</v>
      </c>
      <c r="E380">
        <v>0</v>
      </c>
      <c r="F380">
        <v>5</v>
      </c>
      <c r="G380">
        <v>31</v>
      </c>
      <c r="H380">
        <v>1</v>
      </c>
      <c r="I380">
        <v>0</v>
      </c>
    </row>
    <row r="381" spans="1:9" x14ac:dyDescent="0.3">
      <c r="A381" t="s">
        <v>119</v>
      </c>
      <c r="B381" t="s">
        <v>109</v>
      </c>
      <c r="C381" t="s">
        <v>13</v>
      </c>
      <c r="D381">
        <v>219</v>
      </c>
      <c r="E381">
        <v>3</v>
      </c>
      <c r="F381">
        <v>43</v>
      </c>
      <c r="G381">
        <v>165</v>
      </c>
      <c r="H381">
        <v>4</v>
      </c>
      <c r="I381">
        <v>4</v>
      </c>
    </row>
    <row r="382" spans="1:9" x14ac:dyDescent="0.3">
      <c r="A382" t="s">
        <v>119</v>
      </c>
      <c r="B382" t="s">
        <v>127</v>
      </c>
      <c r="C382" t="s">
        <v>9</v>
      </c>
      <c r="D382">
        <v>427</v>
      </c>
      <c r="E382">
        <v>1</v>
      </c>
      <c r="F382">
        <v>79</v>
      </c>
      <c r="G382">
        <v>339</v>
      </c>
      <c r="H382">
        <v>3</v>
      </c>
      <c r="I382">
        <v>5</v>
      </c>
    </row>
    <row r="383" spans="1:9" x14ac:dyDescent="0.3">
      <c r="A383" t="s">
        <v>119</v>
      </c>
      <c r="B383" t="s">
        <v>127</v>
      </c>
      <c r="C383" t="s">
        <v>12</v>
      </c>
      <c r="D383">
        <v>122</v>
      </c>
      <c r="E383">
        <v>0</v>
      </c>
      <c r="F383">
        <v>21</v>
      </c>
      <c r="G383">
        <v>98</v>
      </c>
      <c r="H383">
        <v>2</v>
      </c>
      <c r="I383">
        <v>1</v>
      </c>
    </row>
    <row r="384" spans="1:9" x14ac:dyDescent="0.3">
      <c r="A384" t="s">
        <v>119</v>
      </c>
      <c r="B384" t="s">
        <v>127</v>
      </c>
      <c r="C384" t="s">
        <v>13</v>
      </c>
      <c r="D384">
        <v>305</v>
      </c>
      <c r="E384">
        <v>1</v>
      </c>
      <c r="F384">
        <v>58</v>
      </c>
      <c r="G384">
        <v>241</v>
      </c>
      <c r="H384">
        <v>1</v>
      </c>
      <c r="I384">
        <v>4</v>
      </c>
    </row>
    <row r="385" spans="1:9" x14ac:dyDescent="0.3">
      <c r="A385" t="s">
        <v>119</v>
      </c>
      <c r="B385" t="s">
        <v>128</v>
      </c>
      <c r="C385" t="s">
        <v>9</v>
      </c>
      <c r="D385">
        <v>363</v>
      </c>
      <c r="E385">
        <v>4</v>
      </c>
      <c r="F385">
        <v>62</v>
      </c>
      <c r="G385">
        <v>289</v>
      </c>
      <c r="H385">
        <v>5</v>
      </c>
      <c r="I385">
        <v>3</v>
      </c>
    </row>
    <row r="386" spans="1:9" x14ac:dyDescent="0.3">
      <c r="A386" t="s">
        <v>119</v>
      </c>
      <c r="B386" t="s">
        <v>128</v>
      </c>
      <c r="C386" t="s">
        <v>12</v>
      </c>
      <c r="D386">
        <v>54</v>
      </c>
      <c r="E386">
        <v>0</v>
      </c>
      <c r="F386">
        <v>7</v>
      </c>
      <c r="G386">
        <v>46</v>
      </c>
      <c r="H386">
        <v>1</v>
      </c>
      <c r="I386">
        <v>0</v>
      </c>
    </row>
    <row r="387" spans="1:9" x14ac:dyDescent="0.3">
      <c r="A387" t="s">
        <v>119</v>
      </c>
      <c r="B387" t="s">
        <v>128</v>
      </c>
      <c r="C387" t="s">
        <v>13</v>
      </c>
      <c r="D387">
        <v>309</v>
      </c>
      <c r="E387">
        <v>4</v>
      </c>
      <c r="F387">
        <v>55</v>
      </c>
      <c r="G387">
        <v>243</v>
      </c>
      <c r="H387">
        <v>4</v>
      </c>
      <c r="I387">
        <v>3</v>
      </c>
    </row>
    <row r="388" spans="1:9" x14ac:dyDescent="0.3">
      <c r="A388" t="s">
        <v>119</v>
      </c>
      <c r="B388" t="s">
        <v>129</v>
      </c>
      <c r="C388" t="s">
        <v>9</v>
      </c>
      <c r="D388">
        <v>274</v>
      </c>
      <c r="E388">
        <v>0</v>
      </c>
      <c r="F388">
        <v>52</v>
      </c>
      <c r="G388">
        <v>213</v>
      </c>
      <c r="H388">
        <v>4</v>
      </c>
      <c r="I388">
        <v>5</v>
      </c>
    </row>
    <row r="389" spans="1:9" x14ac:dyDescent="0.3">
      <c r="A389" t="s">
        <v>119</v>
      </c>
      <c r="B389" t="s">
        <v>129</v>
      </c>
      <c r="C389" t="s">
        <v>12</v>
      </c>
      <c r="D389">
        <v>33</v>
      </c>
      <c r="E389">
        <v>0</v>
      </c>
      <c r="F389">
        <v>4</v>
      </c>
      <c r="G389">
        <v>28</v>
      </c>
      <c r="H389">
        <v>1</v>
      </c>
      <c r="I389">
        <v>0</v>
      </c>
    </row>
    <row r="390" spans="1:9" x14ac:dyDescent="0.3">
      <c r="A390" t="s">
        <v>119</v>
      </c>
      <c r="B390" t="s">
        <v>129</v>
      </c>
      <c r="C390" t="s">
        <v>13</v>
      </c>
      <c r="D390">
        <v>241</v>
      </c>
      <c r="E390">
        <v>0</v>
      </c>
      <c r="F390">
        <v>48</v>
      </c>
      <c r="G390">
        <v>185</v>
      </c>
      <c r="H390">
        <v>3</v>
      </c>
      <c r="I390">
        <v>5</v>
      </c>
    </row>
    <row r="391" spans="1:9" x14ac:dyDescent="0.3">
      <c r="A391" t="s">
        <v>119</v>
      </c>
      <c r="B391" t="s">
        <v>115</v>
      </c>
      <c r="C391" t="s">
        <v>9</v>
      </c>
      <c r="D391">
        <v>145</v>
      </c>
      <c r="E391">
        <v>1</v>
      </c>
      <c r="F391">
        <v>26</v>
      </c>
      <c r="G391">
        <v>111</v>
      </c>
      <c r="H391">
        <v>3</v>
      </c>
      <c r="I391">
        <v>4</v>
      </c>
    </row>
    <row r="392" spans="1:9" x14ac:dyDescent="0.3">
      <c r="A392" t="s">
        <v>119</v>
      </c>
      <c r="B392" t="s">
        <v>115</v>
      </c>
      <c r="C392" t="s">
        <v>12</v>
      </c>
      <c r="D392">
        <v>22</v>
      </c>
      <c r="E392">
        <v>0</v>
      </c>
      <c r="F392">
        <v>0</v>
      </c>
      <c r="G392">
        <v>20</v>
      </c>
      <c r="H392">
        <v>2</v>
      </c>
      <c r="I392">
        <v>0</v>
      </c>
    </row>
    <row r="393" spans="1:9" x14ac:dyDescent="0.3">
      <c r="A393" t="s">
        <v>119</v>
      </c>
      <c r="B393" t="s">
        <v>115</v>
      </c>
      <c r="C393" t="s">
        <v>13</v>
      </c>
      <c r="D393">
        <v>123</v>
      </c>
      <c r="E393">
        <v>1</v>
      </c>
      <c r="F393">
        <v>26</v>
      </c>
      <c r="G393">
        <v>91</v>
      </c>
      <c r="H393">
        <v>1</v>
      </c>
      <c r="I393">
        <v>4</v>
      </c>
    </row>
    <row r="394" spans="1:9" x14ac:dyDescent="0.3">
      <c r="A394" t="s">
        <v>119</v>
      </c>
      <c r="B394" t="s">
        <v>130</v>
      </c>
      <c r="C394" t="s">
        <v>9</v>
      </c>
      <c r="D394">
        <v>896</v>
      </c>
      <c r="E394">
        <v>4</v>
      </c>
      <c r="F394">
        <v>150</v>
      </c>
      <c r="G394">
        <v>714</v>
      </c>
      <c r="H394">
        <v>14</v>
      </c>
      <c r="I394">
        <v>14</v>
      </c>
    </row>
    <row r="395" spans="1:9" x14ac:dyDescent="0.3">
      <c r="A395" t="s">
        <v>119</v>
      </c>
      <c r="B395" t="s">
        <v>130</v>
      </c>
      <c r="C395" t="s">
        <v>12</v>
      </c>
      <c r="D395">
        <v>276</v>
      </c>
      <c r="E395">
        <v>2</v>
      </c>
      <c r="F395">
        <v>36</v>
      </c>
      <c r="G395">
        <v>230</v>
      </c>
      <c r="H395">
        <v>2</v>
      </c>
      <c r="I395">
        <v>6</v>
      </c>
    </row>
    <row r="396" spans="1:9" x14ac:dyDescent="0.3">
      <c r="A396" t="s">
        <v>119</v>
      </c>
      <c r="B396" t="s">
        <v>130</v>
      </c>
      <c r="C396" t="s">
        <v>13</v>
      </c>
      <c r="D396">
        <v>620</v>
      </c>
      <c r="E396">
        <v>2</v>
      </c>
      <c r="F396">
        <v>114</v>
      </c>
      <c r="G396">
        <v>484</v>
      </c>
      <c r="H396">
        <v>12</v>
      </c>
      <c r="I396">
        <v>8</v>
      </c>
    </row>
    <row r="397" spans="1:9" x14ac:dyDescent="0.3">
      <c r="A397" t="s">
        <v>131</v>
      </c>
      <c r="B397" t="s">
        <v>9</v>
      </c>
      <c r="C397" t="s">
        <v>9</v>
      </c>
      <c r="D397" s="1">
        <v>29083</v>
      </c>
      <c r="E397">
        <v>194</v>
      </c>
      <c r="F397" s="1">
        <v>5822</v>
      </c>
      <c r="G397" s="1">
        <v>21932</v>
      </c>
      <c r="H397">
        <v>521</v>
      </c>
      <c r="I397">
        <v>614</v>
      </c>
    </row>
    <row r="398" spans="1:9" x14ac:dyDescent="0.3">
      <c r="A398" t="s">
        <v>131</v>
      </c>
      <c r="B398" t="s">
        <v>9</v>
      </c>
      <c r="C398" t="s">
        <v>12</v>
      </c>
      <c r="D398" s="1">
        <f>D401+D404+D407+D410+D413+D416+D419+D422+D425+D428+D431+D434+D437+D440+D443+D446+D449+D452+D455+D458+D461+D464+D467+D470+D473</f>
        <v>7813</v>
      </c>
      <c r="E398" s="1">
        <f t="shared" ref="E398:I398" si="16">E401+E404+E407+E410+E413+E416+E419+E422+E425+E428+E431+E434+E437+E440+E443+E446+E449+E452+E455+E458+E461+E464+E467+E470+E473</f>
        <v>26</v>
      </c>
      <c r="F398" s="1">
        <f t="shared" si="16"/>
        <v>1166</v>
      </c>
      <c r="G398" s="1">
        <f t="shared" si="16"/>
        <v>6396</v>
      </c>
      <c r="H398" s="1">
        <f t="shared" si="16"/>
        <v>142</v>
      </c>
      <c r="I398" s="1">
        <f t="shared" si="16"/>
        <v>83</v>
      </c>
    </row>
    <row r="399" spans="1:9" x14ac:dyDescent="0.3">
      <c r="A399" t="s">
        <v>131</v>
      </c>
      <c r="B399" t="s">
        <v>9</v>
      </c>
      <c r="C399" t="s">
        <v>13</v>
      </c>
      <c r="D399" s="1">
        <f>D402+D405+D408+D411+D414+D417+D420+D423+D426+D429+D432+D435+D438+D441+D444+D447+D450+D453+D456+D459+D462+D465+D468+D471+D474</f>
        <v>21270</v>
      </c>
      <c r="E399" s="1">
        <f t="shared" ref="E399:I399" si="17">E402+E405+E408+E411+E414+E417+E420+E423+E426+E429+E432+E435+E438+E441+E444+E447+E450+E453+E456+E459+E462+E465+E468+E471+E474</f>
        <v>168</v>
      </c>
      <c r="F399" s="1">
        <f t="shared" si="17"/>
        <v>4656</v>
      </c>
      <c r="G399" s="1">
        <f t="shared" si="17"/>
        <v>15536</v>
      </c>
      <c r="H399" s="1">
        <f t="shared" si="17"/>
        <v>379</v>
      </c>
      <c r="I399" s="1">
        <f t="shared" si="17"/>
        <v>531</v>
      </c>
    </row>
    <row r="400" spans="1:9" x14ac:dyDescent="0.3">
      <c r="A400" t="s">
        <v>131</v>
      </c>
      <c r="B400" t="s">
        <v>132</v>
      </c>
      <c r="C400" t="s">
        <v>9</v>
      </c>
      <c r="D400">
        <v>912</v>
      </c>
      <c r="E400">
        <v>7</v>
      </c>
      <c r="F400">
        <v>166</v>
      </c>
      <c r="G400">
        <v>717</v>
      </c>
      <c r="H400">
        <v>16</v>
      </c>
      <c r="I400">
        <v>6</v>
      </c>
    </row>
    <row r="401" spans="1:9" x14ac:dyDescent="0.3">
      <c r="A401" t="s">
        <v>131</v>
      </c>
      <c r="B401" t="s">
        <v>132</v>
      </c>
      <c r="C401" t="s">
        <v>12</v>
      </c>
      <c r="D401">
        <v>279</v>
      </c>
      <c r="E401">
        <v>3</v>
      </c>
      <c r="F401">
        <v>30</v>
      </c>
      <c r="G401">
        <v>244</v>
      </c>
      <c r="H401">
        <v>2</v>
      </c>
      <c r="I401">
        <v>0</v>
      </c>
    </row>
    <row r="402" spans="1:9" x14ac:dyDescent="0.3">
      <c r="A402" t="s">
        <v>131</v>
      </c>
      <c r="B402" t="s">
        <v>132</v>
      </c>
      <c r="C402" t="s">
        <v>13</v>
      </c>
      <c r="D402">
        <v>633</v>
      </c>
      <c r="E402">
        <v>4</v>
      </c>
      <c r="F402">
        <v>136</v>
      </c>
      <c r="G402">
        <v>473</v>
      </c>
      <c r="H402">
        <v>14</v>
      </c>
      <c r="I402">
        <v>6</v>
      </c>
    </row>
    <row r="403" spans="1:9" x14ac:dyDescent="0.3">
      <c r="A403" t="s">
        <v>131</v>
      </c>
      <c r="B403" t="s">
        <v>133</v>
      </c>
      <c r="C403" t="s">
        <v>9</v>
      </c>
      <c r="D403" s="1">
        <v>1183</v>
      </c>
      <c r="E403">
        <v>15</v>
      </c>
      <c r="F403">
        <v>195</v>
      </c>
      <c r="G403">
        <v>943</v>
      </c>
      <c r="H403">
        <v>11</v>
      </c>
      <c r="I403">
        <v>19</v>
      </c>
    </row>
    <row r="404" spans="1:9" x14ac:dyDescent="0.3">
      <c r="A404" t="s">
        <v>131</v>
      </c>
      <c r="B404" t="s">
        <v>133</v>
      </c>
      <c r="C404" t="s">
        <v>12</v>
      </c>
      <c r="D404">
        <v>228</v>
      </c>
      <c r="E404">
        <v>3</v>
      </c>
      <c r="F404">
        <v>25</v>
      </c>
      <c r="G404">
        <v>195</v>
      </c>
      <c r="H404">
        <v>5</v>
      </c>
      <c r="I404">
        <v>0</v>
      </c>
    </row>
    <row r="405" spans="1:9" x14ac:dyDescent="0.3">
      <c r="A405" t="s">
        <v>131</v>
      </c>
      <c r="B405" t="s">
        <v>133</v>
      </c>
      <c r="C405" t="s">
        <v>13</v>
      </c>
      <c r="D405">
        <v>955</v>
      </c>
      <c r="E405">
        <v>12</v>
      </c>
      <c r="F405">
        <v>170</v>
      </c>
      <c r="G405">
        <v>748</v>
      </c>
      <c r="H405">
        <v>6</v>
      </c>
      <c r="I405">
        <v>19</v>
      </c>
    </row>
    <row r="406" spans="1:9" x14ac:dyDescent="0.3">
      <c r="A406" t="s">
        <v>131</v>
      </c>
      <c r="B406" t="s">
        <v>134</v>
      </c>
      <c r="C406" t="s">
        <v>9</v>
      </c>
      <c r="D406">
        <v>884</v>
      </c>
      <c r="E406">
        <v>7</v>
      </c>
      <c r="F406">
        <v>162</v>
      </c>
      <c r="G406">
        <v>679</v>
      </c>
      <c r="H406">
        <v>10</v>
      </c>
      <c r="I406">
        <v>26</v>
      </c>
    </row>
    <row r="407" spans="1:9" x14ac:dyDescent="0.3">
      <c r="A407" t="s">
        <v>131</v>
      </c>
      <c r="B407" t="s">
        <v>134</v>
      </c>
      <c r="C407" t="s">
        <v>12</v>
      </c>
      <c r="D407">
        <v>140</v>
      </c>
      <c r="E407">
        <v>1</v>
      </c>
      <c r="F407">
        <v>25</v>
      </c>
      <c r="G407">
        <v>110</v>
      </c>
      <c r="H407">
        <v>1</v>
      </c>
      <c r="I407">
        <v>3</v>
      </c>
    </row>
    <row r="408" spans="1:9" x14ac:dyDescent="0.3">
      <c r="A408" t="s">
        <v>131</v>
      </c>
      <c r="B408" t="s">
        <v>134</v>
      </c>
      <c r="C408" t="s">
        <v>13</v>
      </c>
      <c r="D408">
        <v>744</v>
      </c>
      <c r="E408">
        <v>6</v>
      </c>
      <c r="F408">
        <v>137</v>
      </c>
      <c r="G408">
        <v>569</v>
      </c>
      <c r="H408">
        <v>9</v>
      </c>
      <c r="I408">
        <v>23</v>
      </c>
    </row>
    <row r="409" spans="1:9" x14ac:dyDescent="0.3">
      <c r="A409" t="s">
        <v>131</v>
      </c>
      <c r="B409" t="s">
        <v>120</v>
      </c>
      <c r="C409" t="s">
        <v>9</v>
      </c>
      <c r="D409" s="1">
        <v>1662</v>
      </c>
      <c r="E409">
        <v>3</v>
      </c>
      <c r="F409">
        <v>296</v>
      </c>
      <c r="G409" s="1">
        <v>1315</v>
      </c>
      <c r="H409">
        <v>25</v>
      </c>
      <c r="I409">
        <v>23</v>
      </c>
    </row>
    <row r="410" spans="1:9" x14ac:dyDescent="0.3">
      <c r="A410" t="s">
        <v>131</v>
      </c>
      <c r="B410" t="s">
        <v>120</v>
      </c>
      <c r="C410" t="s">
        <v>12</v>
      </c>
      <c r="D410">
        <v>344</v>
      </c>
      <c r="E410">
        <v>0</v>
      </c>
      <c r="F410">
        <v>42</v>
      </c>
      <c r="G410">
        <v>294</v>
      </c>
      <c r="H410">
        <v>5</v>
      </c>
      <c r="I410">
        <v>3</v>
      </c>
    </row>
    <row r="411" spans="1:9" x14ac:dyDescent="0.3">
      <c r="A411" t="s">
        <v>131</v>
      </c>
      <c r="B411" t="s">
        <v>120</v>
      </c>
      <c r="C411" t="s">
        <v>13</v>
      </c>
      <c r="D411" s="1">
        <v>1318</v>
      </c>
      <c r="E411">
        <v>3</v>
      </c>
      <c r="F411">
        <v>254</v>
      </c>
      <c r="G411" s="1">
        <v>1021</v>
      </c>
      <c r="H411">
        <v>20</v>
      </c>
      <c r="I411">
        <v>20</v>
      </c>
    </row>
    <row r="412" spans="1:9" x14ac:dyDescent="0.3">
      <c r="A412" t="s">
        <v>131</v>
      </c>
      <c r="B412" t="s">
        <v>135</v>
      </c>
      <c r="C412" t="s">
        <v>9</v>
      </c>
      <c r="D412" s="1">
        <v>1580</v>
      </c>
      <c r="E412">
        <v>4</v>
      </c>
      <c r="F412">
        <v>299</v>
      </c>
      <c r="G412" s="1">
        <v>1211</v>
      </c>
      <c r="H412">
        <v>29</v>
      </c>
      <c r="I412">
        <v>37</v>
      </c>
    </row>
    <row r="413" spans="1:9" x14ac:dyDescent="0.3">
      <c r="A413" t="s">
        <v>131</v>
      </c>
      <c r="B413" t="s">
        <v>135</v>
      </c>
      <c r="C413" t="s">
        <v>12</v>
      </c>
      <c r="D413">
        <v>391</v>
      </c>
      <c r="E413">
        <v>0</v>
      </c>
      <c r="F413">
        <v>68</v>
      </c>
      <c r="G413">
        <v>316</v>
      </c>
      <c r="H413">
        <v>4</v>
      </c>
      <c r="I413">
        <v>3</v>
      </c>
    </row>
    <row r="414" spans="1:9" x14ac:dyDescent="0.3">
      <c r="A414" t="s">
        <v>131</v>
      </c>
      <c r="B414" t="s">
        <v>135</v>
      </c>
      <c r="C414" t="s">
        <v>13</v>
      </c>
      <c r="D414" s="1">
        <v>1189</v>
      </c>
      <c r="E414">
        <v>4</v>
      </c>
      <c r="F414">
        <v>231</v>
      </c>
      <c r="G414">
        <v>895</v>
      </c>
      <c r="H414">
        <v>25</v>
      </c>
      <c r="I414">
        <v>34</v>
      </c>
    </row>
    <row r="415" spans="1:9" x14ac:dyDescent="0.3">
      <c r="A415" t="s">
        <v>131</v>
      </c>
      <c r="B415" t="s">
        <v>136</v>
      </c>
      <c r="C415" t="s">
        <v>9</v>
      </c>
      <c r="D415" s="1">
        <v>1067</v>
      </c>
      <c r="E415">
        <v>3</v>
      </c>
      <c r="F415">
        <v>243</v>
      </c>
      <c r="G415">
        <v>781</v>
      </c>
      <c r="H415">
        <v>16</v>
      </c>
      <c r="I415">
        <v>24</v>
      </c>
    </row>
    <row r="416" spans="1:9" x14ac:dyDescent="0.3">
      <c r="A416" t="s">
        <v>131</v>
      </c>
      <c r="B416" t="s">
        <v>136</v>
      </c>
      <c r="C416" t="s">
        <v>12</v>
      </c>
      <c r="D416">
        <v>272</v>
      </c>
      <c r="E416">
        <v>0</v>
      </c>
      <c r="F416">
        <v>45</v>
      </c>
      <c r="G416">
        <v>223</v>
      </c>
      <c r="H416">
        <v>2</v>
      </c>
      <c r="I416">
        <v>2</v>
      </c>
    </row>
    <row r="417" spans="1:9" x14ac:dyDescent="0.3">
      <c r="A417" t="s">
        <v>131</v>
      </c>
      <c r="B417" t="s">
        <v>136</v>
      </c>
      <c r="C417" t="s">
        <v>13</v>
      </c>
      <c r="D417">
        <v>795</v>
      </c>
      <c r="E417">
        <v>3</v>
      </c>
      <c r="F417">
        <v>198</v>
      </c>
      <c r="G417">
        <v>558</v>
      </c>
      <c r="H417">
        <v>14</v>
      </c>
      <c r="I417">
        <v>22</v>
      </c>
    </row>
    <row r="418" spans="1:9" x14ac:dyDescent="0.3">
      <c r="A418" t="s">
        <v>131</v>
      </c>
      <c r="B418" t="s">
        <v>137</v>
      </c>
      <c r="C418" t="s">
        <v>9</v>
      </c>
      <c r="D418" s="1">
        <v>2413</v>
      </c>
      <c r="E418">
        <v>15</v>
      </c>
      <c r="F418">
        <v>534</v>
      </c>
      <c r="G418" s="1">
        <v>1720</v>
      </c>
      <c r="H418">
        <v>49</v>
      </c>
      <c r="I418">
        <v>95</v>
      </c>
    </row>
    <row r="419" spans="1:9" x14ac:dyDescent="0.3">
      <c r="A419" t="s">
        <v>131</v>
      </c>
      <c r="B419" t="s">
        <v>137</v>
      </c>
      <c r="C419" t="s">
        <v>12</v>
      </c>
      <c r="D419">
        <v>862</v>
      </c>
      <c r="E419">
        <v>2</v>
      </c>
      <c r="F419">
        <v>133</v>
      </c>
      <c r="G419">
        <v>685</v>
      </c>
      <c r="H419">
        <v>25</v>
      </c>
      <c r="I419">
        <v>17</v>
      </c>
    </row>
    <row r="420" spans="1:9" x14ac:dyDescent="0.3">
      <c r="A420" t="s">
        <v>131</v>
      </c>
      <c r="B420" t="s">
        <v>137</v>
      </c>
      <c r="C420" t="s">
        <v>13</v>
      </c>
      <c r="D420" s="1">
        <v>1551</v>
      </c>
      <c r="E420">
        <v>13</v>
      </c>
      <c r="F420">
        <v>401</v>
      </c>
      <c r="G420" s="1">
        <v>1035</v>
      </c>
      <c r="H420">
        <v>24</v>
      </c>
      <c r="I420">
        <v>78</v>
      </c>
    </row>
    <row r="421" spans="1:9" x14ac:dyDescent="0.3">
      <c r="A421" t="s">
        <v>131</v>
      </c>
      <c r="B421" t="s">
        <v>138</v>
      </c>
      <c r="C421" t="s">
        <v>9</v>
      </c>
      <c r="D421" s="1">
        <v>1644</v>
      </c>
      <c r="E421">
        <v>13</v>
      </c>
      <c r="F421">
        <v>350</v>
      </c>
      <c r="G421" s="1">
        <v>1172</v>
      </c>
      <c r="H421">
        <v>68</v>
      </c>
      <c r="I421">
        <v>41</v>
      </c>
    </row>
    <row r="422" spans="1:9" x14ac:dyDescent="0.3">
      <c r="A422" t="s">
        <v>131</v>
      </c>
      <c r="B422" t="s">
        <v>138</v>
      </c>
      <c r="C422" t="s">
        <v>12</v>
      </c>
      <c r="D422">
        <v>511</v>
      </c>
      <c r="E422">
        <v>0</v>
      </c>
      <c r="F422">
        <v>72</v>
      </c>
      <c r="G422">
        <v>419</v>
      </c>
      <c r="H422">
        <v>12</v>
      </c>
      <c r="I422">
        <v>8</v>
      </c>
    </row>
    <row r="423" spans="1:9" x14ac:dyDescent="0.3">
      <c r="A423" t="s">
        <v>131</v>
      </c>
      <c r="B423" t="s">
        <v>138</v>
      </c>
      <c r="C423" t="s">
        <v>13</v>
      </c>
      <c r="D423" s="1">
        <v>1133</v>
      </c>
      <c r="E423">
        <v>13</v>
      </c>
      <c r="F423">
        <v>278</v>
      </c>
      <c r="G423">
        <v>753</v>
      </c>
      <c r="H423">
        <v>56</v>
      </c>
      <c r="I423">
        <v>33</v>
      </c>
    </row>
    <row r="424" spans="1:9" x14ac:dyDescent="0.3">
      <c r="A424" t="s">
        <v>131</v>
      </c>
      <c r="B424" t="s">
        <v>139</v>
      </c>
      <c r="C424" t="s">
        <v>9</v>
      </c>
      <c r="D424" s="1">
        <v>1014</v>
      </c>
      <c r="E424">
        <v>5</v>
      </c>
      <c r="F424">
        <v>219</v>
      </c>
      <c r="G424">
        <v>765</v>
      </c>
      <c r="H424">
        <v>14</v>
      </c>
      <c r="I424">
        <v>11</v>
      </c>
    </row>
    <row r="425" spans="1:9" x14ac:dyDescent="0.3">
      <c r="A425" t="s">
        <v>131</v>
      </c>
      <c r="B425" t="s">
        <v>139</v>
      </c>
      <c r="C425" t="s">
        <v>12</v>
      </c>
      <c r="D425">
        <v>206</v>
      </c>
      <c r="E425">
        <v>0</v>
      </c>
      <c r="F425">
        <v>28</v>
      </c>
      <c r="G425">
        <v>174</v>
      </c>
      <c r="H425">
        <v>3</v>
      </c>
      <c r="I425">
        <v>1</v>
      </c>
    </row>
    <row r="426" spans="1:9" x14ac:dyDescent="0.3">
      <c r="A426" t="s">
        <v>131</v>
      </c>
      <c r="B426" t="s">
        <v>139</v>
      </c>
      <c r="C426" t="s">
        <v>13</v>
      </c>
      <c r="D426">
        <v>808</v>
      </c>
      <c r="E426">
        <v>5</v>
      </c>
      <c r="F426">
        <v>191</v>
      </c>
      <c r="G426">
        <v>591</v>
      </c>
      <c r="H426">
        <v>11</v>
      </c>
      <c r="I426">
        <v>10</v>
      </c>
    </row>
    <row r="427" spans="1:9" x14ac:dyDescent="0.3">
      <c r="A427" t="s">
        <v>131</v>
      </c>
      <c r="B427" t="s">
        <v>140</v>
      </c>
      <c r="C427" t="s">
        <v>9</v>
      </c>
      <c r="D427">
        <v>766</v>
      </c>
      <c r="E427">
        <v>6</v>
      </c>
      <c r="F427">
        <v>122</v>
      </c>
      <c r="G427">
        <v>602</v>
      </c>
      <c r="H427">
        <v>18</v>
      </c>
      <c r="I427">
        <v>18</v>
      </c>
    </row>
    <row r="428" spans="1:9" x14ac:dyDescent="0.3">
      <c r="A428" t="s">
        <v>131</v>
      </c>
      <c r="B428" t="s">
        <v>140</v>
      </c>
      <c r="C428" t="s">
        <v>12</v>
      </c>
      <c r="D428">
        <v>146</v>
      </c>
      <c r="E428">
        <v>1</v>
      </c>
      <c r="F428">
        <v>22</v>
      </c>
      <c r="G428">
        <v>122</v>
      </c>
      <c r="H428">
        <v>1</v>
      </c>
      <c r="I428">
        <v>0</v>
      </c>
    </row>
    <row r="429" spans="1:9" x14ac:dyDescent="0.3">
      <c r="A429" t="s">
        <v>131</v>
      </c>
      <c r="B429" t="s">
        <v>140</v>
      </c>
      <c r="C429" t="s">
        <v>13</v>
      </c>
      <c r="D429">
        <v>620</v>
      </c>
      <c r="E429">
        <v>5</v>
      </c>
      <c r="F429">
        <v>100</v>
      </c>
      <c r="G429">
        <v>480</v>
      </c>
      <c r="H429">
        <v>17</v>
      </c>
      <c r="I429">
        <v>18</v>
      </c>
    </row>
    <row r="430" spans="1:9" x14ac:dyDescent="0.3">
      <c r="A430" t="s">
        <v>131</v>
      </c>
      <c r="B430" t="s">
        <v>141</v>
      </c>
      <c r="C430" t="s">
        <v>9</v>
      </c>
      <c r="D430" s="1">
        <v>1114</v>
      </c>
      <c r="E430">
        <v>15</v>
      </c>
      <c r="F430">
        <v>221</v>
      </c>
      <c r="G430">
        <v>824</v>
      </c>
      <c r="H430">
        <v>18</v>
      </c>
      <c r="I430">
        <v>36</v>
      </c>
    </row>
    <row r="431" spans="1:9" x14ac:dyDescent="0.3">
      <c r="A431" t="s">
        <v>131</v>
      </c>
      <c r="B431" t="s">
        <v>141</v>
      </c>
      <c r="C431" t="s">
        <v>12</v>
      </c>
      <c r="D431">
        <v>240</v>
      </c>
      <c r="E431">
        <v>1</v>
      </c>
      <c r="F431">
        <v>43</v>
      </c>
      <c r="G431">
        <v>190</v>
      </c>
      <c r="H431">
        <v>4</v>
      </c>
      <c r="I431">
        <v>2</v>
      </c>
    </row>
    <row r="432" spans="1:9" x14ac:dyDescent="0.3">
      <c r="A432" t="s">
        <v>131</v>
      </c>
      <c r="B432" t="s">
        <v>141</v>
      </c>
      <c r="C432" t="s">
        <v>13</v>
      </c>
      <c r="D432">
        <v>874</v>
      </c>
      <c r="E432">
        <v>14</v>
      </c>
      <c r="F432">
        <v>178</v>
      </c>
      <c r="G432">
        <v>634</v>
      </c>
      <c r="H432">
        <v>14</v>
      </c>
      <c r="I432">
        <v>34</v>
      </c>
    </row>
    <row r="433" spans="1:9" x14ac:dyDescent="0.3">
      <c r="A433" t="s">
        <v>131</v>
      </c>
      <c r="B433" t="s">
        <v>142</v>
      </c>
      <c r="C433" t="s">
        <v>9</v>
      </c>
      <c r="D433">
        <v>893</v>
      </c>
      <c r="E433">
        <v>5</v>
      </c>
      <c r="F433">
        <v>189</v>
      </c>
      <c r="G433">
        <v>671</v>
      </c>
      <c r="H433">
        <v>13</v>
      </c>
      <c r="I433">
        <v>15</v>
      </c>
    </row>
    <row r="434" spans="1:9" x14ac:dyDescent="0.3">
      <c r="A434" t="s">
        <v>131</v>
      </c>
      <c r="B434" t="s">
        <v>142</v>
      </c>
      <c r="C434" t="s">
        <v>12</v>
      </c>
      <c r="D434">
        <v>238</v>
      </c>
      <c r="E434">
        <v>1</v>
      </c>
      <c r="F434">
        <v>36</v>
      </c>
      <c r="G434">
        <v>191</v>
      </c>
      <c r="H434">
        <v>8</v>
      </c>
      <c r="I434">
        <v>2</v>
      </c>
    </row>
    <row r="435" spans="1:9" x14ac:dyDescent="0.3">
      <c r="A435" t="s">
        <v>131</v>
      </c>
      <c r="B435" t="s">
        <v>142</v>
      </c>
      <c r="C435" t="s">
        <v>13</v>
      </c>
      <c r="D435">
        <v>655</v>
      </c>
      <c r="E435">
        <v>4</v>
      </c>
      <c r="F435">
        <v>153</v>
      </c>
      <c r="G435">
        <v>480</v>
      </c>
      <c r="H435">
        <v>5</v>
      </c>
      <c r="I435">
        <v>13</v>
      </c>
    </row>
    <row r="436" spans="1:9" x14ac:dyDescent="0.3">
      <c r="A436" t="s">
        <v>131</v>
      </c>
      <c r="B436" t="s">
        <v>143</v>
      </c>
      <c r="C436" t="s">
        <v>9</v>
      </c>
      <c r="D436" s="1">
        <v>1052</v>
      </c>
      <c r="E436">
        <v>3</v>
      </c>
      <c r="F436">
        <v>209</v>
      </c>
      <c r="G436">
        <v>820</v>
      </c>
      <c r="H436">
        <v>12</v>
      </c>
      <c r="I436">
        <v>8</v>
      </c>
    </row>
    <row r="437" spans="1:9" x14ac:dyDescent="0.3">
      <c r="A437" t="s">
        <v>131</v>
      </c>
      <c r="B437" t="s">
        <v>143</v>
      </c>
      <c r="C437" t="s">
        <v>12</v>
      </c>
      <c r="D437">
        <v>296</v>
      </c>
      <c r="E437">
        <v>1</v>
      </c>
      <c r="F437">
        <v>38</v>
      </c>
      <c r="G437">
        <v>252</v>
      </c>
      <c r="H437">
        <v>4</v>
      </c>
      <c r="I437">
        <v>1</v>
      </c>
    </row>
    <row r="438" spans="1:9" x14ac:dyDescent="0.3">
      <c r="A438" t="s">
        <v>131</v>
      </c>
      <c r="B438" t="s">
        <v>143</v>
      </c>
      <c r="C438" t="s">
        <v>13</v>
      </c>
      <c r="D438">
        <v>756</v>
      </c>
      <c r="E438">
        <v>2</v>
      </c>
      <c r="F438">
        <v>171</v>
      </c>
      <c r="G438">
        <v>568</v>
      </c>
      <c r="H438">
        <v>8</v>
      </c>
      <c r="I438">
        <v>7</v>
      </c>
    </row>
    <row r="439" spans="1:9" x14ac:dyDescent="0.3">
      <c r="A439" t="s">
        <v>131</v>
      </c>
      <c r="B439" t="s">
        <v>144</v>
      </c>
      <c r="C439" t="s">
        <v>9</v>
      </c>
      <c r="D439">
        <v>943</v>
      </c>
      <c r="E439">
        <v>4</v>
      </c>
      <c r="F439">
        <v>206</v>
      </c>
      <c r="G439">
        <v>713</v>
      </c>
      <c r="H439">
        <v>11</v>
      </c>
      <c r="I439">
        <v>9</v>
      </c>
    </row>
    <row r="440" spans="1:9" x14ac:dyDescent="0.3">
      <c r="A440" t="s">
        <v>131</v>
      </c>
      <c r="B440" t="s">
        <v>144</v>
      </c>
      <c r="C440" t="s">
        <v>12</v>
      </c>
      <c r="D440">
        <v>257</v>
      </c>
      <c r="E440">
        <v>0</v>
      </c>
      <c r="F440">
        <v>37</v>
      </c>
      <c r="G440">
        <v>211</v>
      </c>
      <c r="H440">
        <v>5</v>
      </c>
      <c r="I440">
        <v>4</v>
      </c>
    </row>
    <row r="441" spans="1:9" x14ac:dyDescent="0.3">
      <c r="A441" t="s">
        <v>131</v>
      </c>
      <c r="B441" t="s">
        <v>144</v>
      </c>
      <c r="C441" t="s">
        <v>13</v>
      </c>
      <c r="D441">
        <v>686</v>
      </c>
      <c r="E441">
        <v>4</v>
      </c>
      <c r="F441">
        <v>169</v>
      </c>
      <c r="G441">
        <v>502</v>
      </c>
      <c r="H441">
        <v>6</v>
      </c>
      <c r="I441">
        <v>5</v>
      </c>
    </row>
    <row r="442" spans="1:9" x14ac:dyDescent="0.3">
      <c r="A442" t="s">
        <v>131</v>
      </c>
      <c r="B442" t="s">
        <v>145</v>
      </c>
      <c r="C442" t="s">
        <v>9</v>
      </c>
      <c r="D442">
        <v>798</v>
      </c>
      <c r="E442">
        <v>4</v>
      </c>
      <c r="F442">
        <v>150</v>
      </c>
      <c r="G442">
        <v>631</v>
      </c>
      <c r="H442">
        <v>7</v>
      </c>
      <c r="I442">
        <v>6</v>
      </c>
    </row>
    <row r="443" spans="1:9" x14ac:dyDescent="0.3">
      <c r="A443" t="s">
        <v>131</v>
      </c>
      <c r="B443" t="s">
        <v>145</v>
      </c>
      <c r="C443" t="s">
        <v>12</v>
      </c>
      <c r="D443">
        <v>311</v>
      </c>
      <c r="E443">
        <v>1</v>
      </c>
      <c r="F443">
        <v>49</v>
      </c>
      <c r="G443">
        <v>259</v>
      </c>
      <c r="H443">
        <v>2</v>
      </c>
      <c r="I443">
        <v>0</v>
      </c>
    </row>
    <row r="444" spans="1:9" x14ac:dyDescent="0.3">
      <c r="A444" t="s">
        <v>131</v>
      </c>
      <c r="B444" t="s">
        <v>145</v>
      </c>
      <c r="C444" t="s">
        <v>13</v>
      </c>
      <c r="D444">
        <v>487</v>
      </c>
      <c r="E444">
        <v>3</v>
      </c>
      <c r="F444">
        <v>101</v>
      </c>
      <c r="G444">
        <v>372</v>
      </c>
      <c r="H444">
        <v>5</v>
      </c>
      <c r="I444">
        <v>6</v>
      </c>
    </row>
    <row r="445" spans="1:9" x14ac:dyDescent="0.3">
      <c r="A445" t="s">
        <v>131</v>
      </c>
      <c r="B445" t="s">
        <v>146</v>
      </c>
      <c r="C445" t="s">
        <v>9</v>
      </c>
      <c r="D445">
        <v>817</v>
      </c>
      <c r="E445">
        <v>6</v>
      </c>
      <c r="F445">
        <v>173</v>
      </c>
      <c r="G445">
        <v>601</v>
      </c>
      <c r="H445">
        <v>19</v>
      </c>
      <c r="I445">
        <v>18</v>
      </c>
    </row>
    <row r="446" spans="1:9" x14ac:dyDescent="0.3">
      <c r="A446" t="s">
        <v>131</v>
      </c>
      <c r="B446" t="s">
        <v>146</v>
      </c>
      <c r="C446" t="s">
        <v>12</v>
      </c>
      <c r="D446">
        <v>227</v>
      </c>
      <c r="E446">
        <v>1</v>
      </c>
      <c r="F446">
        <v>36</v>
      </c>
      <c r="G446">
        <v>180</v>
      </c>
      <c r="H446">
        <v>9</v>
      </c>
      <c r="I446">
        <v>1</v>
      </c>
    </row>
    <row r="447" spans="1:9" x14ac:dyDescent="0.3">
      <c r="A447" t="s">
        <v>131</v>
      </c>
      <c r="B447" t="s">
        <v>146</v>
      </c>
      <c r="C447" t="s">
        <v>13</v>
      </c>
      <c r="D447">
        <v>590</v>
      </c>
      <c r="E447">
        <v>5</v>
      </c>
      <c r="F447">
        <v>137</v>
      </c>
      <c r="G447">
        <v>421</v>
      </c>
      <c r="H447">
        <v>10</v>
      </c>
      <c r="I447">
        <v>17</v>
      </c>
    </row>
    <row r="448" spans="1:9" x14ac:dyDescent="0.3">
      <c r="A448" t="s">
        <v>131</v>
      </c>
      <c r="B448" t="s">
        <v>147</v>
      </c>
      <c r="C448" t="s">
        <v>9</v>
      </c>
      <c r="D448" s="1">
        <v>1096</v>
      </c>
      <c r="E448">
        <v>10</v>
      </c>
      <c r="F448">
        <v>200</v>
      </c>
      <c r="G448">
        <v>832</v>
      </c>
      <c r="H448">
        <v>31</v>
      </c>
      <c r="I448">
        <v>23</v>
      </c>
    </row>
    <row r="449" spans="1:9" x14ac:dyDescent="0.3">
      <c r="A449" t="s">
        <v>131</v>
      </c>
      <c r="B449" t="s">
        <v>147</v>
      </c>
      <c r="C449" t="s">
        <v>12</v>
      </c>
      <c r="D449">
        <v>251</v>
      </c>
      <c r="E449">
        <v>1</v>
      </c>
      <c r="F449">
        <v>30</v>
      </c>
      <c r="G449">
        <v>215</v>
      </c>
      <c r="H449">
        <v>3</v>
      </c>
      <c r="I449">
        <v>2</v>
      </c>
    </row>
    <row r="450" spans="1:9" x14ac:dyDescent="0.3">
      <c r="A450" t="s">
        <v>131</v>
      </c>
      <c r="B450" t="s">
        <v>147</v>
      </c>
      <c r="C450" t="s">
        <v>13</v>
      </c>
      <c r="D450">
        <v>845</v>
      </c>
      <c r="E450">
        <v>9</v>
      </c>
      <c r="F450">
        <v>170</v>
      </c>
      <c r="G450">
        <v>617</v>
      </c>
      <c r="H450">
        <v>28</v>
      </c>
      <c r="I450">
        <v>21</v>
      </c>
    </row>
    <row r="451" spans="1:9" x14ac:dyDescent="0.3">
      <c r="A451" t="s">
        <v>131</v>
      </c>
      <c r="B451" t="s">
        <v>148</v>
      </c>
      <c r="C451" t="s">
        <v>9</v>
      </c>
      <c r="D451" s="1">
        <v>1331</v>
      </c>
      <c r="E451">
        <v>7</v>
      </c>
      <c r="F451">
        <v>236</v>
      </c>
      <c r="G451" s="1">
        <v>1060</v>
      </c>
      <c r="H451">
        <v>18</v>
      </c>
      <c r="I451">
        <v>10</v>
      </c>
    </row>
    <row r="452" spans="1:9" x14ac:dyDescent="0.3">
      <c r="A452" t="s">
        <v>131</v>
      </c>
      <c r="B452" t="s">
        <v>148</v>
      </c>
      <c r="C452" t="s">
        <v>12</v>
      </c>
      <c r="D452">
        <v>331</v>
      </c>
      <c r="E452">
        <v>1</v>
      </c>
      <c r="F452">
        <v>39</v>
      </c>
      <c r="G452">
        <v>290</v>
      </c>
      <c r="H452">
        <v>1</v>
      </c>
      <c r="I452">
        <v>0</v>
      </c>
    </row>
    <row r="453" spans="1:9" x14ac:dyDescent="0.3">
      <c r="A453" t="s">
        <v>131</v>
      </c>
      <c r="B453" t="s">
        <v>148</v>
      </c>
      <c r="C453" t="s">
        <v>13</v>
      </c>
      <c r="D453" s="1">
        <v>1000</v>
      </c>
      <c r="E453">
        <v>6</v>
      </c>
      <c r="F453">
        <v>197</v>
      </c>
      <c r="G453">
        <v>770</v>
      </c>
      <c r="H453">
        <v>17</v>
      </c>
      <c r="I453">
        <v>10</v>
      </c>
    </row>
    <row r="454" spans="1:9" x14ac:dyDescent="0.3">
      <c r="A454" t="s">
        <v>131</v>
      </c>
      <c r="B454" t="s">
        <v>149</v>
      </c>
      <c r="C454" t="s">
        <v>9</v>
      </c>
      <c r="D454" s="1">
        <v>1063</v>
      </c>
      <c r="E454">
        <v>11</v>
      </c>
      <c r="F454">
        <v>223</v>
      </c>
      <c r="G454">
        <v>787</v>
      </c>
      <c r="H454">
        <v>18</v>
      </c>
      <c r="I454">
        <v>24</v>
      </c>
    </row>
    <row r="455" spans="1:9" x14ac:dyDescent="0.3">
      <c r="A455" t="s">
        <v>131</v>
      </c>
      <c r="B455" t="s">
        <v>149</v>
      </c>
      <c r="C455" t="s">
        <v>12</v>
      </c>
      <c r="D455">
        <v>236</v>
      </c>
      <c r="E455">
        <v>1</v>
      </c>
      <c r="F455">
        <v>36</v>
      </c>
      <c r="G455">
        <v>188</v>
      </c>
      <c r="H455">
        <v>6</v>
      </c>
      <c r="I455">
        <v>5</v>
      </c>
    </row>
    <row r="456" spans="1:9" x14ac:dyDescent="0.3">
      <c r="A456" t="s">
        <v>131</v>
      </c>
      <c r="B456" t="s">
        <v>149</v>
      </c>
      <c r="C456" t="s">
        <v>13</v>
      </c>
      <c r="D456">
        <v>827</v>
      </c>
      <c r="E456">
        <v>10</v>
      </c>
      <c r="F456">
        <v>187</v>
      </c>
      <c r="G456">
        <v>599</v>
      </c>
      <c r="H456">
        <v>12</v>
      </c>
      <c r="I456">
        <v>19</v>
      </c>
    </row>
    <row r="457" spans="1:9" x14ac:dyDescent="0.3">
      <c r="A457" t="s">
        <v>131</v>
      </c>
      <c r="B457" t="s">
        <v>150</v>
      </c>
      <c r="C457" t="s">
        <v>9</v>
      </c>
      <c r="D457" s="1">
        <v>2051</v>
      </c>
      <c r="E457">
        <v>17</v>
      </c>
      <c r="F457">
        <v>454</v>
      </c>
      <c r="G457" s="1">
        <v>1474</v>
      </c>
      <c r="H457">
        <v>38</v>
      </c>
      <c r="I457">
        <v>68</v>
      </c>
    </row>
    <row r="458" spans="1:9" x14ac:dyDescent="0.3">
      <c r="A458" t="s">
        <v>131</v>
      </c>
      <c r="B458" t="s">
        <v>150</v>
      </c>
      <c r="C458" t="s">
        <v>12</v>
      </c>
      <c r="D458">
        <v>681</v>
      </c>
      <c r="E458">
        <v>2</v>
      </c>
      <c r="F458">
        <v>102</v>
      </c>
      <c r="G458">
        <v>543</v>
      </c>
      <c r="H458">
        <v>20</v>
      </c>
      <c r="I458">
        <v>14</v>
      </c>
    </row>
    <row r="459" spans="1:9" x14ac:dyDescent="0.3">
      <c r="A459" t="s">
        <v>131</v>
      </c>
      <c r="B459" t="s">
        <v>150</v>
      </c>
      <c r="C459" t="s">
        <v>13</v>
      </c>
      <c r="D459" s="1">
        <v>1370</v>
      </c>
      <c r="E459">
        <v>15</v>
      </c>
      <c r="F459">
        <v>352</v>
      </c>
      <c r="G459">
        <v>931</v>
      </c>
      <c r="H459">
        <v>18</v>
      </c>
      <c r="I459">
        <v>54</v>
      </c>
    </row>
    <row r="460" spans="1:9" x14ac:dyDescent="0.3">
      <c r="A460" t="s">
        <v>131</v>
      </c>
      <c r="B460" t="s">
        <v>151</v>
      </c>
      <c r="C460" t="s">
        <v>9</v>
      </c>
      <c r="D460" s="1">
        <v>1038</v>
      </c>
      <c r="E460">
        <v>9</v>
      </c>
      <c r="F460">
        <v>224</v>
      </c>
      <c r="G460">
        <v>764</v>
      </c>
      <c r="H460">
        <v>24</v>
      </c>
      <c r="I460">
        <v>17</v>
      </c>
    </row>
    <row r="461" spans="1:9" x14ac:dyDescent="0.3">
      <c r="A461" t="s">
        <v>131</v>
      </c>
      <c r="B461" t="s">
        <v>151</v>
      </c>
      <c r="C461" t="s">
        <v>12</v>
      </c>
      <c r="D461">
        <v>452</v>
      </c>
      <c r="E461">
        <v>2</v>
      </c>
      <c r="F461">
        <v>74</v>
      </c>
      <c r="G461">
        <v>361</v>
      </c>
      <c r="H461">
        <v>8</v>
      </c>
      <c r="I461">
        <v>7</v>
      </c>
    </row>
    <row r="462" spans="1:9" x14ac:dyDescent="0.3">
      <c r="A462" t="s">
        <v>131</v>
      </c>
      <c r="B462" t="s">
        <v>151</v>
      </c>
      <c r="C462" t="s">
        <v>13</v>
      </c>
      <c r="D462">
        <v>586</v>
      </c>
      <c r="E462">
        <v>7</v>
      </c>
      <c r="F462">
        <v>150</v>
      </c>
      <c r="G462">
        <v>403</v>
      </c>
      <c r="H462">
        <v>16</v>
      </c>
      <c r="I462">
        <v>10</v>
      </c>
    </row>
    <row r="463" spans="1:9" x14ac:dyDescent="0.3">
      <c r="A463" t="s">
        <v>131</v>
      </c>
      <c r="B463" t="s">
        <v>152</v>
      </c>
      <c r="C463" t="s">
        <v>9</v>
      </c>
      <c r="D463" s="1">
        <v>1341</v>
      </c>
      <c r="E463">
        <v>7</v>
      </c>
      <c r="F463">
        <v>271</v>
      </c>
      <c r="G463" s="1">
        <v>1033</v>
      </c>
      <c r="H463">
        <v>10</v>
      </c>
      <c r="I463">
        <v>20</v>
      </c>
    </row>
    <row r="464" spans="1:9" x14ac:dyDescent="0.3">
      <c r="A464" t="s">
        <v>131</v>
      </c>
      <c r="B464" t="s">
        <v>152</v>
      </c>
      <c r="C464" t="s">
        <v>12</v>
      </c>
      <c r="D464">
        <v>321</v>
      </c>
      <c r="E464">
        <v>3</v>
      </c>
      <c r="F464">
        <v>53</v>
      </c>
      <c r="G464">
        <v>262</v>
      </c>
      <c r="H464">
        <v>1</v>
      </c>
      <c r="I464">
        <v>2</v>
      </c>
    </row>
    <row r="465" spans="1:9" x14ac:dyDescent="0.3">
      <c r="A465" t="s">
        <v>131</v>
      </c>
      <c r="B465" t="s">
        <v>152</v>
      </c>
      <c r="C465" t="s">
        <v>13</v>
      </c>
      <c r="D465" s="1">
        <v>1020</v>
      </c>
      <c r="E465">
        <v>4</v>
      </c>
      <c r="F465">
        <v>218</v>
      </c>
      <c r="G465">
        <v>771</v>
      </c>
      <c r="H465">
        <v>9</v>
      </c>
      <c r="I465">
        <v>18</v>
      </c>
    </row>
    <row r="466" spans="1:9" x14ac:dyDescent="0.3">
      <c r="A466" t="s">
        <v>131</v>
      </c>
      <c r="B466" t="s">
        <v>153</v>
      </c>
      <c r="C466" t="s">
        <v>9</v>
      </c>
      <c r="D466">
        <v>610</v>
      </c>
      <c r="E466">
        <v>4</v>
      </c>
      <c r="F466">
        <v>126</v>
      </c>
      <c r="G466">
        <v>449</v>
      </c>
      <c r="H466">
        <v>13</v>
      </c>
      <c r="I466">
        <v>18</v>
      </c>
    </row>
    <row r="467" spans="1:9" x14ac:dyDescent="0.3">
      <c r="A467" t="s">
        <v>131</v>
      </c>
      <c r="B467" t="s">
        <v>153</v>
      </c>
      <c r="C467" t="s">
        <v>12</v>
      </c>
      <c r="D467">
        <v>224</v>
      </c>
      <c r="E467">
        <v>1</v>
      </c>
      <c r="F467">
        <v>44</v>
      </c>
      <c r="G467">
        <v>174</v>
      </c>
      <c r="H467">
        <v>4</v>
      </c>
      <c r="I467">
        <v>1</v>
      </c>
    </row>
    <row r="468" spans="1:9" x14ac:dyDescent="0.3">
      <c r="A468" t="s">
        <v>131</v>
      </c>
      <c r="B468" t="s">
        <v>153</v>
      </c>
      <c r="C468" t="s">
        <v>13</v>
      </c>
      <c r="D468">
        <v>386</v>
      </c>
      <c r="E468">
        <v>3</v>
      </c>
      <c r="F468">
        <v>82</v>
      </c>
      <c r="G468">
        <v>275</v>
      </c>
      <c r="H468">
        <v>9</v>
      </c>
      <c r="I468">
        <v>17</v>
      </c>
    </row>
    <row r="469" spans="1:9" x14ac:dyDescent="0.3">
      <c r="A469" t="s">
        <v>131</v>
      </c>
      <c r="B469" t="s">
        <v>115</v>
      </c>
      <c r="C469" t="s">
        <v>9</v>
      </c>
      <c r="D469">
        <v>597</v>
      </c>
      <c r="E469">
        <v>3</v>
      </c>
      <c r="F469">
        <v>133</v>
      </c>
      <c r="G469">
        <v>432</v>
      </c>
      <c r="H469">
        <v>13</v>
      </c>
      <c r="I469">
        <v>16</v>
      </c>
    </row>
    <row r="470" spans="1:9" x14ac:dyDescent="0.3">
      <c r="A470" t="s">
        <v>131</v>
      </c>
      <c r="B470" t="s">
        <v>115</v>
      </c>
      <c r="C470" t="s">
        <v>12</v>
      </c>
      <c r="D470">
        <v>174</v>
      </c>
      <c r="E470">
        <v>0</v>
      </c>
      <c r="F470">
        <v>28</v>
      </c>
      <c r="G470">
        <v>141</v>
      </c>
      <c r="H470">
        <v>2</v>
      </c>
      <c r="I470">
        <v>3</v>
      </c>
    </row>
    <row r="471" spans="1:9" x14ac:dyDescent="0.3">
      <c r="A471" t="s">
        <v>131</v>
      </c>
      <c r="B471" t="s">
        <v>115</v>
      </c>
      <c r="C471" t="s">
        <v>13</v>
      </c>
      <c r="D471">
        <v>423</v>
      </c>
      <c r="E471">
        <v>3</v>
      </c>
      <c r="F471">
        <v>105</v>
      </c>
      <c r="G471">
        <v>291</v>
      </c>
      <c r="H471">
        <v>11</v>
      </c>
      <c r="I471">
        <v>13</v>
      </c>
    </row>
    <row r="472" spans="1:9" x14ac:dyDescent="0.3">
      <c r="A472" t="s">
        <v>131</v>
      </c>
      <c r="B472" t="s">
        <v>154</v>
      </c>
      <c r="C472" t="s">
        <v>9</v>
      </c>
      <c r="D472" s="1">
        <v>1214</v>
      </c>
      <c r="E472">
        <v>11</v>
      </c>
      <c r="F472">
        <v>221</v>
      </c>
      <c r="G472">
        <v>936</v>
      </c>
      <c r="H472">
        <v>20</v>
      </c>
      <c r="I472">
        <v>26</v>
      </c>
    </row>
    <row r="473" spans="1:9" x14ac:dyDescent="0.3">
      <c r="A473" t="s">
        <v>131</v>
      </c>
      <c r="B473" t="s">
        <v>154</v>
      </c>
      <c r="C473" t="s">
        <v>12</v>
      </c>
      <c r="D473">
        <v>195</v>
      </c>
      <c r="E473">
        <v>0</v>
      </c>
      <c r="F473">
        <v>31</v>
      </c>
      <c r="G473">
        <v>157</v>
      </c>
      <c r="H473">
        <v>5</v>
      </c>
      <c r="I473">
        <v>2</v>
      </c>
    </row>
    <row r="474" spans="1:9" x14ac:dyDescent="0.3">
      <c r="A474" t="s">
        <v>131</v>
      </c>
      <c r="B474" t="s">
        <v>154</v>
      </c>
      <c r="C474" t="s">
        <v>13</v>
      </c>
      <c r="D474" s="1">
        <v>1019</v>
      </c>
      <c r="E474">
        <v>11</v>
      </c>
      <c r="F474">
        <v>190</v>
      </c>
      <c r="G474">
        <v>779</v>
      </c>
      <c r="H474">
        <v>15</v>
      </c>
      <c r="I474">
        <v>24</v>
      </c>
    </row>
    <row r="475" spans="1:9" x14ac:dyDescent="0.3">
      <c r="A475" t="s">
        <v>155</v>
      </c>
      <c r="B475" t="s">
        <v>9</v>
      </c>
      <c r="C475" t="s">
        <v>9</v>
      </c>
      <c r="D475">
        <v>941</v>
      </c>
      <c r="E475">
        <v>3</v>
      </c>
      <c r="F475">
        <v>156</v>
      </c>
      <c r="G475">
        <v>753</v>
      </c>
      <c r="H475">
        <v>17</v>
      </c>
      <c r="I475">
        <v>12</v>
      </c>
    </row>
    <row r="476" spans="1:9" x14ac:dyDescent="0.3">
      <c r="A476" t="s">
        <v>155</v>
      </c>
      <c r="B476" t="s">
        <v>9</v>
      </c>
      <c r="C476" t="s">
        <v>12</v>
      </c>
      <c r="D476">
        <v>174</v>
      </c>
      <c r="E476">
        <v>0</v>
      </c>
      <c r="F476">
        <v>18</v>
      </c>
      <c r="G476">
        <v>155</v>
      </c>
      <c r="H476">
        <v>1</v>
      </c>
      <c r="I476">
        <v>0</v>
      </c>
    </row>
    <row r="477" spans="1:9" x14ac:dyDescent="0.3">
      <c r="A477" t="s">
        <v>155</v>
      </c>
      <c r="B477" t="s">
        <v>9</v>
      </c>
      <c r="C477" t="s">
        <v>13</v>
      </c>
      <c r="D477">
        <v>767</v>
      </c>
      <c r="E477">
        <v>3</v>
      </c>
      <c r="F477">
        <v>138</v>
      </c>
      <c r="G477">
        <v>598</v>
      </c>
      <c r="H477">
        <v>16</v>
      </c>
      <c r="I477">
        <v>12</v>
      </c>
    </row>
    <row r="478" spans="1:9" x14ac:dyDescent="0.3">
      <c r="A478" t="s">
        <v>156</v>
      </c>
      <c r="B478" t="s">
        <v>9</v>
      </c>
      <c r="C478" t="s">
        <v>9</v>
      </c>
      <c r="D478" s="1">
        <v>3653</v>
      </c>
      <c r="E478">
        <v>13</v>
      </c>
      <c r="F478">
        <v>581</v>
      </c>
      <c r="G478" s="1">
        <v>2836</v>
      </c>
      <c r="H478">
        <v>124</v>
      </c>
      <c r="I478">
        <v>99</v>
      </c>
    </row>
    <row r="479" spans="1:9" x14ac:dyDescent="0.3">
      <c r="A479" t="s">
        <v>156</v>
      </c>
      <c r="B479" t="s">
        <v>9</v>
      </c>
      <c r="C479" t="s">
        <v>12</v>
      </c>
      <c r="D479" s="1">
        <f>D482+D485+D488+D491+D494</f>
        <v>578</v>
      </c>
      <c r="E479" s="1">
        <f t="shared" ref="E479:I479" si="18">E482+E485+E488+E491+E494</f>
        <v>0</v>
      </c>
      <c r="F479" s="1">
        <f t="shared" si="18"/>
        <v>58</v>
      </c>
      <c r="G479" s="1">
        <f t="shared" si="18"/>
        <v>494</v>
      </c>
      <c r="H479" s="1">
        <f t="shared" si="18"/>
        <v>18</v>
      </c>
      <c r="I479" s="1">
        <f t="shared" si="18"/>
        <v>8</v>
      </c>
    </row>
    <row r="480" spans="1:9" x14ac:dyDescent="0.3">
      <c r="A480" t="s">
        <v>156</v>
      </c>
      <c r="B480" t="s">
        <v>9</v>
      </c>
      <c r="C480" t="s">
        <v>13</v>
      </c>
      <c r="D480" s="1">
        <f>D483+D486+D489+D492+D495</f>
        <v>3075</v>
      </c>
      <c r="E480" s="1">
        <f t="shared" ref="E480:I480" si="19">E483+E486+E489+E492+E495</f>
        <v>13</v>
      </c>
      <c r="F480" s="1">
        <f t="shared" si="19"/>
        <v>523</v>
      </c>
      <c r="G480" s="1">
        <f t="shared" si="19"/>
        <v>2342</v>
      </c>
      <c r="H480" s="1">
        <f t="shared" si="19"/>
        <v>106</v>
      </c>
      <c r="I480" s="1">
        <f t="shared" si="19"/>
        <v>91</v>
      </c>
    </row>
    <row r="481" spans="1:9" x14ac:dyDescent="0.3">
      <c r="A481" t="s">
        <v>156</v>
      </c>
      <c r="B481" t="s">
        <v>106</v>
      </c>
      <c r="C481" t="s">
        <v>9</v>
      </c>
      <c r="D481">
        <v>869</v>
      </c>
      <c r="E481">
        <v>2</v>
      </c>
      <c r="F481">
        <v>162</v>
      </c>
      <c r="G481">
        <v>655</v>
      </c>
      <c r="H481">
        <v>26</v>
      </c>
      <c r="I481">
        <v>24</v>
      </c>
    </row>
    <row r="482" spans="1:9" x14ac:dyDescent="0.3">
      <c r="A482" t="s">
        <v>156</v>
      </c>
      <c r="B482" t="s">
        <v>106</v>
      </c>
      <c r="C482" t="s">
        <v>12</v>
      </c>
      <c r="D482">
        <v>121</v>
      </c>
      <c r="E482">
        <v>0</v>
      </c>
      <c r="F482">
        <v>21</v>
      </c>
      <c r="G482">
        <v>95</v>
      </c>
      <c r="H482">
        <v>4</v>
      </c>
      <c r="I482">
        <v>1</v>
      </c>
    </row>
    <row r="483" spans="1:9" x14ac:dyDescent="0.3">
      <c r="A483" t="s">
        <v>156</v>
      </c>
      <c r="B483" t="s">
        <v>106</v>
      </c>
      <c r="C483" t="s">
        <v>13</v>
      </c>
      <c r="D483">
        <v>748</v>
      </c>
      <c r="E483">
        <v>2</v>
      </c>
      <c r="F483">
        <v>141</v>
      </c>
      <c r="G483">
        <v>560</v>
      </c>
      <c r="H483">
        <v>22</v>
      </c>
      <c r="I483">
        <v>23</v>
      </c>
    </row>
    <row r="484" spans="1:9" x14ac:dyDescent="0.3">
      <c r="A484" t="s">
        <v>156</v>
      </c>
      <c r="B484" t="s">
        <v>107</v>
      </c>
      <c r="C484" t="s">
        <v>9</v>
      </c>
      <c r="D484">
        <v>618</v>
      </c>
      <c r="E484">
        <v>3</v>
      </c>
      <c r="F484">
        <v>86</v>
      </c>
      <c r="G484">
        <v>482</v>
      </c>
      <c r="H484">
        <v>26</v>
      </c>
      <c r="I484">
        <v>21</v>
      </c>
    </row>
    <row r="485" spans="1:9" x14ac:dyDescent="0.3">
      <c r="A485" t="s">
        <v>156</v>
      </c>
      <c r="B485" t="s">
        <v>107</v>
      </c>
      <c r="C485" t="s">
        <v>12</v>
      </c>
      <c r="D485">
        <v>102</v>
      </c>
      <c r="E485">
        <v>0</v>
      </c>
      <c r="F485">
        <v>5</v>
      </c>
      <c r="G485">
        <v>92</v>
      </c>
      <c r="H485">
        <v>3</v>
      </c>
      <c r="I485">
        <v>2</v>
      </c>
    </row>
    <row r="486" spans="1:9" x14ac:dyDescent="0.3">
      <c r="A486" t="s">
        <v>156</v>
      </c>
      <c r="B486" t="s">
        <v>107</v>
      </c>
      <c r="C486" t="s">
        <v>13</v>
      </c>
      <c r="D486">
        <v>516</v>
      </c>
      <c r="E486">
        <v>3</v>
      </c>
      <c r="F486">
        <v>81</v>
      </c>
      <c r="G486">
        <v>390</v>
      </c>
      <c r="H486">
        <v>23</v>
      </c>
      <c r="I486">
        <v>19</v>
      </c>
    </row>
    <row r="487" spans="1:9" x14ac:dyDescent="0.3">
      <c r="A487" t="s">
        <v>156</v>
      </c>
      <c r="B487" t="s">
        <v>108</v>
      </c>
      <c r="C487" t="s">
        <v>9</v>
      </c>
      <c r="D487">
        <v>686</v>
      </c>
      <c r="E487">
        <v>3</v>
      </c>
      <c r="F487">
        <v>89</v>
      </c>
      <c r="G487">
        <v>567</v>
      </c>
      <c r="H487">
        <v>15</v>
      </c>
      <c r="I487">
        <v>12</v>
      </c>
    </row>
    <row r="488" spans="1:9" x14ac:dyDescent="0.3">
      <c r="A488" t="s">
        <v>156</v>
      </c>
      <c r="B488" t="s">
        <v>108</v>
      </c>
      <c r="C488" t="s">
        <v>12</v>
      </c>
      <c r="D488">
        <v>108</v>
      </c>
      <c r="E488">
        <v>0</v>
      </c>
      <c r="F488">
        <v>9</v>
      </c>
      <c r="G488">
        <v>95</v>
      </c>
      <c r="H488">
        <v>2</v>
      </c>
      <c r="I488">
        <v>2</v>
      </c>
    </row>
    <row r="489" spans="1:9" x14ac:dyDescent="0.3">
      <c r="A489" t="s">
        <v>156</v>
      </c>
      <c r="B489" t="s">
        <v>108</v>
      </c>
      <c r="C489" t="s">
        <v>13</v>
      </c>
      <c r="D489">
        <v>578</v>
      </c>
      <c r="E489">
        <v>3</v>
      </c>
      <c r="F489">
        <v>80</v>
      </c>
      <c r="G489">
        <v>472</v>
      </c>
      <c r="H489">
        <v>13</v>
      </c>
      <c r="I489">
        <v>10</v>
      </c>
    </row>
    <row r="490" spans="1:9" x14ac:dyDescent="0.3">
      <c r="A490" t="s">
        <v>156</v>
      </c>
      <c r="B490" t="s">
        <v>157</v>
      </c>
      <c r="C490" t="s">
        <v>9</v>
      </c>
      <c r="D490">
        <v>898</v>
      </c>
      <c r="E490">
        <v>3</v>
      </c>
      <c r="F490">
        <v>143</v>
      </c>
      <c r="G490">
        <v>689</v>
      </c>
      <c r="H490">
        <v>37</v>
      </c>
      <c r="I490">
        <v>26</v>
      </c>
    </row>
    <row r="491" spans="1:9" x14ac:dyDescent="0.3">
      <c r="A491" t="s">
        <v>156</v>
      </c>
      <c r="B491" t="s">
        <v>157</v>
      </c>
      <c r="C491" t="s">
        <v>12</v>
      </c>
      <c r="D491">
        <v>164</v>
      </c>
      <c r="E491">
        <v>0</v>
      </c>
      <c r="F491">
        <v>16</v>
      </c>
      <c r="G491">
        <v>138</v>
      </c>
      <c r="H491">
        <v>7</v>
      </c>
      <c r="I491">
        <v>3</v>
      </c>
    </row>
    <row r="492" spans="1:9" x14ac:dyDescent="0.3">
      <c r="A492" t="s">
        <v>156</v>
      </c>
      <c r="B492" t="s">
        <v>157</v>
      </c>
      <c r="C492" t="s">
        <v>13</v>
      </c>
      <c r="D492">
        <v>734</v>
      </c>
      <c r="E492">
        <v>3</v>
      </c>
      <c r="F492">
        <v>127</v>
      </c>
      <c r="G492">
        <v>551</v>
      </c>
      <c r="H492">
        <v>30</v>
      </c>
      <c r="I492">
        <v>23</v>
      </c>
    </row>
    <row r="493" spans="1:9" x14ac:dyDescent="0.3">
      <c r="A493" t="s">
        <v>156</v>
      </c>
      <c r="B493" t="s">
        <v>115</v>
      </c>
      <c r="C493" t="s">
        <v>9</v>
      </c>
      <c r="D493">
        <v>582</v>
      </c>
      <c r="E493">
        <v>2</v>
      </c>
      <c r="F493">
        <v>101</v>
      </c>
      <c r="G493">
        <v>443</v>
      </c>
      <c r="H493">
        <v>20</v>
      </c>
      <c r="I493">
        <v>16</v>
      </c>
    </row>
    <row r="494" spans="1:9" x14ac:dyDescent="0.3">
      <c r="A494" t="s">
        <v>156</v>
      </c>
      <c r="B494" t="s">
        <v>115</v>
      </c>
      <c r="C494" t="s">
        <v>12</v>
      </c>
      <c r="D494">
        <v>83</v>
      </c>
      <c r="E494">
        <v>0</v>
      </c>
      <c r="F494">
        <v>7</v>
      </c>
      <c r="G494">
        <v>74</v>
      </c>
      <c r="H494">
        <v>2</v>
      </c>
      <c r="I494">
        <v>0</v>
      </c>
    </row>
    <row r="495" spans="1:9" x14ac:dyDescent="0.3">
      <c r="A495" t="s">
        <v>156</v>
      </c>
      <c r="B495" t="s">
        <v>115</v>
      </c>
      <c r="C495" t="s">
        <v>13</v>
      </c>
      <c r="D495">
        <v>499</v>
      </c>
      <c r="E495">
        <v>2</v>
      </c>
      <c r="F495">
        <v>94</v>
      </c>
      <c r="G495">
        <v>369</v>
      </c>
      <c r="H495">
        <v>18</v>
      </c>
      <c r="I495">
        <v>16</v>
      </c>
    </row>
    <row r="496" spans="1:9" x14ac:dyDescent="0.3">
      <c r="A496" t="s">
        <v>158</v>
      </c>
      <c r="B496" t="s">
        <v>9</v>
      </c>
      <c r="C496" t="s">
        <v>9</v>
      </c>
      <c r="D496" s="1">
        <v>14351</v>
      </c>
      <c r="E496">
        <v>53</v>
      </c>
      <c r="F496" s="1">
        <v>2540</v>
      </c>
      <c r="G496" s="1">
        <v>11026</v>
      </c>
      <c r="H496">
        <v>416</v>
      </c>
      <c r="I496">
        <v>316</v>
      </c>
    </row>
    <row r="497" spans="1:9" x14ac:dyDescent="0.3">
      <c r="A497" t="s">
        <v>158</v>
      </c>
      <c r="B497" t="s">
        <v>9</v>
      </c>
      <c r="C497" t="s">
        <v>12</v>
      </c>
      <c r="D497" s="1">
        <f>D500+D503+D506+D509+D512+D515+D518+D521+D524+D527</f>
        <v>3277</v>
      </c>
      <c r="E497" s="1">
        <f t="shared" ref="E497:I497" si="20">E500+E503+E506+E509+E512+E515+E518+E521+E524+E527</f>
        <v>5</v>
      </c>
      <c r="F497" s="1">
        <f t="shared" si="20"/>
        <v>352</v>
      </c>
      <c r="G497" s="1">
        <f t="shared" si="20"/>
        <v>2793</v>
      </c>
      <c r="H497" s="1">
        <f t="shared" si="20"/>
        <v>88</v>
      </c>
      <c r="I497" s="1">
        <f t="shared" si="20"/>
        <v>39</v>
      </c>
    </row>
    <row r="498" spans="1:9" x14ac:dyDescent="0.3">
      <c r="A498" t="s">
        <v>158</v>
      </c>
      <c r="B498" t="s">
        <v>9</v>
      </c>
      <c r="C498" t="s">
        <v>13</v>
      </c>
      <c r="D498" s="1">
        <f>D501+D504+D507+D510+D513+D516+D519+D522+D525+D528</f>
        <v>11074</v>
      </c>
      <c r="E498" s="1">
        <f t="shared" ref="E498:I498" si="21">E501+E504+E507+E510+E513+E516+E519+E522+E525+E528</f>
        <v>48</v>
      </c>
      <c r="F498" s="1">
        <f t="shared" si="21"/>
        <v>2188</v>
      </c>
      <c r="G498" s="1">
        <f t="shared" si="21"/>
        <v>8233</v>
      </c>
      <c r="H498" s="1">
        <f t="shared" si="21"/>
        <v>328</v>
      </c>
      <c r="I498" s="1">
        <f t="shared" si="21"/>
        <v>277</v>
      </c>
    </row>
    <row r="499" spans="1:9" x14ac:dyDescent="0.3">
      <c r="A499" t="s">
        <v>158</v>
      </c>
      <c r="B499" t="s">
        <v>159</v>
      </c>
      <c r="C499" t="s">
        <v>9</v>
      </c>
      <c r="D499">
        <v>196</v>
      </c>
      <c r="E499">
        <v>0</v>
      </c>
      <c r="F499">
        <v>28</v>
      </c>
      <c r="G499">
        <v>163</v>
      </c>
      <c r="H499">
        <v>2</v>
      </c>
      <c r="I499">
        <v>3</v>
      </c>
    </row>
    <row r="500" spans="1:9" x14ac:dyDescent="0.3">
      <c r="A500" t="s">
        <v>158</v>
      </c>
      <c r="B500" t="s">
        <v>159</v>
      </c>
      <c r="C500" t="s">
        <v>12</v>
      </c>
      <c r="D500">
        <v>21</v>
      </c>
      <c r="E500">
        <v>0</v>
      </c>
      <c r="F500">
        <v>4</v>
      </c>
      <c r="G500">
        <v>16</v>
      </c>
      <c r="H500">
        <v>0</v>
      </c>
      <c r="I500">
        <v>1</v>
      </c>
    </row>
    <row r="501" spans="1:9" x14ac:dyDescent="0.3">
      <c r="A501" t="s">
        <v>158</v>
      </c>
      <c r="B501" t="s">
        <v>159</v>
      </c>
      <c r="C501" t="s">
        <v>13</v>
      </c>
      <c r="D501">
        <v>175</v>
      </c>
      <c r="E501">
        <v>0</v>
      </c>
      <c r="F501">
        <v>24</v>
      </c>
      <c r="G501">
        <v>147</v>
      </c>
      <c r="H501">
        <v>2</v>
      </c>
      <c r="I501">
        <v>2</v>
      </c>
    </row>
    <row r="502" spans="1:9" x14ac:dyDescent="0.3">
      <c r="A502" t="s">
        <v>158</v>
      </c>
      <c r="B502" t="s">
        <v>160</v>
      </c>
      <c r="C502" t="s">
        <v>9</v>
      </c>
      <c r="D502">
        <v>969</v>
      </c>
      <c r="E502">
        <v>9</v>
      </c>
      <c r="F502">
        <v>174</v>
      </c>
      <c r="G502">
        <v>739</v>
      </c>
      <c r="H502">
        <v>20</v>
      </c>
      <c r="I502">
        <v>27</v>
      </c>
    </row>
    <row r="503" spans="1:9" x14ac:dyDescent="0.3">
      <c r="A503" t="s">
        <v>158</v>
      </c>
      <c r="B503" t="s">
        <v>160</v>
      </c>
      <c r="C503" t="s">
        <v>12</v>
      </c>
      <c r="D503">
        <v>150</v>
      </c>
      <c r="E503">
        <v>0</v>
      </c>
      <c r="F503">
        <v>14</v>
      </c>
      <c r="G503">
        <v>128</v>
      </c>
      <c r="H503">
        <v>4</v>
      </c>
      <c r="I503">
        <v>4</v>
      </c>
    </row>
    <row r="504" spans="1:9" x14ac:dyDescent="0.3">
      <c r="A504" t="s">
        <v>158</v>
      </c>
      <c r="B504" t="s">
        <v>160</v>
      </c>
      <c r="C504" t="s">
        <v>13</v>
      </c>
      <c r="D504">
        <v>819</v>
      </c>
      <c r="E504">
        <v>9</v>
      </c>
      <c r="F504">
        <v>160</v>
      </c>
      <c r="G504">
        <v>611</v>
      </c>
      <c r="H504">
        <v>16</v>
      </c>
      <c r="I504">
        <v>23</v>
      </c>
    </row>
    <row r="505" spans="1:9" x14ac:dyDescent="0.3">
      <c r="A505" t="s">
        <v>158</v>
      </c>
      <c r="B505" t="s">
        <v>161</v>
      </c>
      <c r="C505" t="s">
        <v>9</v>
      </c>
      <c r="D505" s="1">
        <v>2191</v>
      </c>
      <c r="E505">
        <v>10</v>
      </c>
      <c r="F505">
        <v>397</v>
      </c>
      <c r="G505" s="1">
        <v>1667</v>
      </c>
      <c r="H505">
        <v>78</v>
      </c>
      <c r="I505">
        <v>39</v>
      </c>
    </row>
    <row r="506" spans="1:9" x14ac:dyDescent="0.3">
      <c r="A506" t="s">
        <v>158</v>
      </c>
      <c r="B506" t="s">
        <v>161</v>
      </c>
      <c r="C506" t="s">
        <v>12</v>
      </c>
      <c r="D506">
        <v>485</v>
      </c>
      <c r="E506">
        <v>1</v>
      </c>
      <c r="F506">
        <v>60</v>
      </c>
      <c r="G506">
        <v>401</v>
      </c>
      <c r="H506">
        <v>17</v>
      </c>
      <c r="I506">
        <v>6</v>
      </c>
    </row>
    <row r="507" spans="1:9" x14ac:dyDescent="0.3">
      <c r="A507" t="s">
        <v>158</v>
      </c>
      <c r="B507" t="s">
        <v>161</v>
      </c>
      <c r="C507" t="s">
        <v>13</v>
      </c>
      <c r="D507" s="1">
        <v>1706</v>
      </c>
      <c r="E507">
        <v>9</v>
      </c>
      <c r="F507">
        <v>337</v>
      </c>
      <c r="G507" s="1">
        <v>1266</v>
      </c>
      <c r="H507">
        <v>61</v>
      </c>
      <c r="I507">
        <v>33</v>
      </c>
    </row>
    <row r="508" spans="1:9" x14ac:dyDescent="0.3">
      <c r="A508" t="s">
        <v>158</v>
      </c>
      <c r="B508" t="s">
        <v>107</v>
      </c>
      <c r="C508" t="s">
        <v>9</v>
      </c>
      <c r="D508">
        <v>220</v>
      </c>
      <c r="E508">
        <v>0</v>
      </c>
      <c r="F508">
        <v>45</v>
      </c>
      <c r="G508">
        <v>170</v>
      </c>
      <c r="H508">
        <v>2</v>
      </c>
      <c r="I508">
        <v>3</v>
      </c>
    </row>
    <row r="509" spans="1:9" x14ac:dyDescent="0.3">
      <c r="A509" t="s">
        <v>158</v>
      </c>
      <c r="B509" t="s">
        <v>107</v>
      </c>
      <c r="C509" t="s">
        <v>12</v>
      </c>
      <c r="D509">
        <v>38</v>
      </c>
      <c r="E509">
        <v>0</v>
      </c>
      <c r="F509">
        <v>3</v>
      </c>
      <c r="G509">
        <v>35</v>
      </c>
      <c r="H509">
        <v>0</v>
      </c>
      <c r="I509">
        <v>0</v>
      </c>
    </row>
    <row r="510" spans="1:9" x14ac:dyDescent="0.3">
      <c r="A510" t="s">
        <v>158</v>
      </c>
      <c r="B510" t="s">
        <v>107</v>
      </c>
      <c r="C510" t="s">
        <v>13</v>
      </c>
      <c r="D510">
        <v>182</v>
      </c>
      <c r="E510">
        <v>0</v>
      </c>
      <c r="F510">
        <v>42</v>
      </c>
      <c r="G510">
        <v>135</v>
      </c>
      <c r="H510">
        <v>2</v>
      </c>
      <c r="I510">
        <v>3</v>
      </c>
    </row>
    <row r="511" spans="1:9" x14ac:dyDescent="0.3">
      <c r="A511" t="s">
        <v>158</v>
      </c>
      <c r="B511" t="s">
        <v>162</v>
      </c>
      <c r="C511" t="s">
        <v>9</v>
      </c>
      <c r="D511" s="1">
        <v>2125</v>
      </c>
      <c r="E511">
        <v>13</v>
      </c>
      <c r="F511">
        <v>343</v>
      </c>
      <c r="G511" s="1">
        <v>1643</v>
      </c>
      <c r="H511">
        <v>80</v>
      </c>
      <c r="I511">
        <v>46</v>
      </c>
    </row>
    <row r="512" spans="1:9" x14ac:dyDescent="0.3">
      <c r="A512" t="s">
        <v>158</v>
      </c>
      <c r="B512" t="s">
        <v>162</v>
      </c>
      <c r="C512" t="s">
        <v>12</v>
      </c>
      <c r="D512">
        <v>448</v>
      </c>
      <c r="E512">
        <v>2</v>
      </c>
      <c r="F512">
        <v>38</v>
      </c>
      <c r="G512">
        <v>389</v>
      </c>
      <c r="H512">
        <v>14</v>
      </c>
      <c r="I512">
        <v>5</v>
      </c>
    </row>
    <row r="513" spans="1:9" x14ac:dyDescent="0.3">
      <c r="A513" t="s">
        <v>158</v>
      </c>
      <c r="B513" t="s">
        <v>162</v>
      </c>
      <c r="C513" t="s">
        <v>13</v>
      </c>
      <c r="D513" s="1">
        <v>1677</v>
      </c>
      <c r="E513">
        <v>11</v>
      </c>
      <c r="F513">
        <v>305</v>
      </c>
      <c r="G513" s="1">
        <v>1254</v>
      </c>
      <c r="H513">
        <v>66</v>
      </c>
      <c r="I513">
        <v>41</v>
      </c>
    </row>
    <row r="514" spans="1:9" x14ac:dyDescent="0.3">
      <c r="A514" t="s">
        <v>158</v>
      </c>
      <c r="B514" t="s">
        <v>163</v>
      </c>
      <c r="C514" t="s">
        <v>9</v>
      </c>
      <c r="D514" s="1">
        <v>2903</v>
      </c>
      <c r="E514">
        <v>10</v>
      </c>
      <c r="F514">
        <v>575</v>
      </c>
      <c r="G514" s="1">
        <v>2161</v>
      </c>
      <c r="H514">
        <v>79</v>
      </c>
      <c r="I514">
        <v>78</v>
      </c>
    </row>
    <row r="515" spans="1:9" x14ac:dyDescent="0.3">
      <c r="A515" t="s">
        <v>158</v>
      </c>
      <c r="B515" t="s">
        <v>163</v>
      </c>
      <c r="C515" t="s">
        <v>12</v>
      </c>
      <c r="D515">
        <v>884</v>
      </c>
      <c r="E515">
        <v>1</v>
      </c>
      <c r="F515">
        <v>104</v>
      </c>
      <c r="G515">
        <v>749</v>
      </c>
      <c r="H515">
        <v>21</v>
      </c>
      <c r="I515">
        <v>9</v>
      </c>
    </row>
    <row r="516" spans="1:9" x14ac:dyDescent="0.3">
      <c r="A516" t="s">
        <v>158</v>
      </c>
      <c r="B516" t="s">
        <v>163</v>
      </c>
      <c r="C516" t="s">
        <v>13</v>
      </c>
      <c r="D516" s="1">
        <v>2019</v>
      </c>
      <c r="E516">
        <v>9</v>
      </c>
      <c r="F516">
        <v>471</v>
      </c>
      <c r="G516" s="1">
        <v>1412</v>
      </c>
      <c r="H516">
        <v>58</v>
      </c>
      <c r="I516">
        <v>69</v>
      </c>
    </row>
    <row r="517" spans="1:9" x14ac:dyDescent="0.3">
      <c r="A517" t="s">
        <v>158</v>
      </c>
      <c r="B517" t="s">
        <v>109</v>
      </c>
      <c r="C517" t="s">
        <v>9</v>
      </c>
      <c r="D517" s="1">
        <v>2969</v>
      </c>
      <c r="E517">
        <v>6</v>
      </c>
      <c r="F517">
        <v>462</v>
      </c>
      <c r="G517" s="1">
        <v>2361</v>
      </c>
      <c r="H517">
        <v>81</v>
      </c>
      <c r="I517">
        <v>59</v>
      </c>
    </row>
    <row r="518" spans="1:9" x14ac:dyDescent="0.3">
      <c r="A518" t="s">
        <v>158</v>
      </c>
      <c r="B518" t="s">
        <v>109</v>
      </c>
      <c r="C518" t="s">
        <v>12</v>
      </c>
      <c r="D518">
        <v>627</v>
      </c>
      <c r="E518">
        <v>0</v>
      </c>
      <c r="F518">
        <v>62</v>
      </c>
      <c r="G518">
        <v>540</v>
      </c>
      <c r="H518">
        <v>16</v>
      </c>
      <c r="I518">
        <v>9</v>
      </c>
    </row>
    <row r="519" spans="1:9" x14ac:dyDescent="0.3">
      <c r="A519" t="s">
        <v>158</v>
      </c>
      <c r="B519" t="s">
        <v>109</v>
      </c>
      <c r="C519" t="s">
        <v>13</v>
      </c>
      <c r="D519" s="1">
        <v>2342</v>
      </c>
      <c r="E519">
        <v>6</v>
      </c>
      <c r="F519">
        <v>400</v>
      </c>
      <c r="G519" s="1">
        <v>1821</v>
      </c>
      <c r="H519">
        <v>65</v>
      </c>
      <c r="I519">
        <v>50</v>
      </c>
    </row>
    <row r="520" spans="1:9" x14ac:dyDescent="0.3">
      <c r="A520" t="s">
        <v>158</v>
      </c>
      <c r="B520" t="s">
        <v>164</v>
      </c>
      <c r="C520" t="s">
        <v>9</v>
      </c>
      <c r="D520" s="1">
        <v>1581</v>
      </c>
      <c r="E520">
        <v>1</v>
      </c>
      <c r="F520">
        <v>316</v>
      </c>
      <c r="G520" s="1">
        <v>1174</v>
      </c>
      <c r="H520">
        <v>54</v>
      </c>
      <c r="I520">
        <v>36</v>
      </c>
    </row>
    <row r="521" spans="1:9" x14ac:dyDescent="0.3">
      <c r="A521" t="s">
        <v>158</v>
      </c>
      <c r="B521" t="s">
        <v>164</v>
      </c>
      <c r="C521" t="s">
        <v>12</v>
      </c>
      <c r="D521">
        <v>418</v>
      </c>
      <c r="E521">
        <v>0</v>
      </c>
      <c r="F521">
        <v>54</v>
      </c>
      <c r="G521">
        <v>348</v>
      </c>
      <c r="H521">
        <v>12</v>
      </c>
      <c r="I521">
        <v>4</v>
      </c>
    </row>
    <row r="522" spans="1:9" x14ac:dyDescent="0.3">
      <c r="A522" t="s">
        <v>158</v>
      </c>
      <c r="B522" t="s">
        <v>164</v>
      </c>
      <c r="C522" t="s">
        <v>13</v>
      </c>
      <c r="D522" s="1">
        <v>1163</v>
      </c>
      <c r="E522">
        <v>1</v>
      </c>
      <c r="F522">
        <v>262</v>
      </c>
      <c r="G522">
        <v>826</v>
      </c>
      <c r="H522">
        <v>42</v>
      </c>
      <c r="I522">
        <v>32</v>
      </c>
    </row>
    <row r="523" spans="1:9" x14ac:dyDescent="0.3">
      <c r="A523" t="s">
        <v>158</v>
      </c>
      <c r="B523" t="s">
        <v>165</v>
      </c>
      <c r="C523" t="s">
        <v>9</v>
      </c>
      <c r="D523">
        <v>36</v>
      </c>
      <c r="E523">
        <v>1</v>
      </c>
      <c r="F523">
        <v>1</v>
      </c>
      <c r="G523">
        <v>32</v>
      </c>
      <c r="H523">
        <v>1</v>
      </c>
      <c r="I523">
        <v>1</v>
      </c>
    </row>
    <row r="524" spans="1:9" x14ac:dyDescent="0.3">
      <c r="A524" t="s">
        <v>158</v>
      </c>
      <c r="B524" t="s">
        <v>165</v>
      </c>
      <c r="C524" t="s">
        <v>12</v>
      </c>
      <c r="D524">
        <v>2</v>
      </c>
      <c r="E524">
        <v>0</v>
      </c>
      <c r="F524">
        <v>0</v>
      </c>
      <c r="G524">
        <v>2</v>
      </c>
      <c r="H524">
        <v>0</v>
      </c>
      <c r="I524">
        <v>0</v>
      </c>
    </row>
    <row r="525" spans="1:9" x14ac:dyDescent="0.3">
      <c r="A525" t="s">
        <v>158</v>
      </c>
      <c r="B525" t="s">
        <v>165</v>
      </c>
      <c r="C525" t="s">
        <v>13</v>
      </c>
      <c r="D525">
        <v>34</v>
      </c>
      <c r="E525">
        <v>1</v>
      </c>
      <c r="F525">
        <v>1</v>
      </c>
      <c r="G525">
        <v>30</v>
      </c>
      <c r="H525">
        <v>1</v>
      </c>
      <c r="I525">
        <v>1</v>
      </c>
    </row>
    <row r="526" spans="1:9" x14ac:dyDescent="0.3">
      <c r="A526" t="s">
        <v>158</v>
      </c>
      <c r="B526" t="s">
        <v>115</v>
      </c>
      <c r="C526" t="s">
        <v>9</v>
      </c>
      <c r="D526" s="1">
        <v>1161</v>
      </c>
      <c r="E526">
        <v>3</v>
      </c>
      <c r="F526">
        <v>199</v>
      </c>
      <c r="G526">
        <v>916</v>
      </c>
      <c r="H526">
        <v>19</v>
      </c>
      <c r="I526">
        <v>24</v>
      </c>
    </row>
    <row r="527" spans="1:9" x14ac:dyDescent="0.3">
      <c r="A527" t="s">
        <v>158</v>
      </c>
      <c r="B527" t="s">
        <v>115</v>
      </c>
      <c r="C527" t="s">
        <v>12</v>
      </c>
      <c r="D527">
        <v>204</v>
      </c>
      <c r="E527">
        <v>1</v>
      </c>
      <c r="F527">
        <v>13</v>
      </c>
      <c r="G527">
        <v>185</v>
      </c>
      <c r="H527">
        <v>4</v>
      </c>
      <c r="I527">
        <v>1</v>
      </c>
    </row>
    <row r="528" spans="1:9" x14ac:dyDescent="0.3">
      <c r="A528" t="s">
        <v>158</v>
      </c>
      <c r="B528" t="s">
        <v>115</v>
      </c>
      <c r="C528" t="s">
        <v>13</v>
      </c>
      <c r="D528">
        <v>957</v>
      </c>
      <c r="E528">
        <v>2</v>
      </c>
      <c r="F528">
        <v>186</v>
      </c>
      <c r="G528">
        <v>731</v>
      </c>
      <c r="H528">
        <v>15</v>
      </c>
      <c r="I528">
        <v>23</v>
      </c>
    </row>
    <row r="529" spans="1:9" x14ac:dyDescent="0.3">
      <c r="A529" t="s">
        <v>166</v>
      </c>
      <c r="B529" t="s">
        <v>9</v>
      </c>
      <c r="C529" t="s">
        <v>9</v>
      </c>
      <c r="D529" s="1">
        <v>7116</v>
      </c>
      <c r="E529">
        <v>55</v>
      </c>
      <c r="F529" s="1">
        <v>1084</v>
      </c>
      <c r="G529" s="1">
        <v>5553</v>
      </c>
      <c r="H529">
        <v>236</v>
      </c>
      <c r="I529">
        <v>188</v>
      </c>
    </row>
    <row r="530" spans="1:9" x14ac:dyDescent="0.3">
      <c r="A530" t="s">
        <v>166</v>
      </c>
      <c r="B530" t="s">
        <v>9</v>
      </c>
      <c r="C530" t="s">
        <v>12</v>
      </c>
      <c r="D530" s="1">
        <f>D533+D536+D539+D542+D545+D548+D551+D554+D557+D560+D563+D566+D569+D572+D575+D578+D581+D584+D587+D590+D593+D596</f>
        <v>692</v>
      </c>
      <c r="E530" s="1">
        <f t="shared" ref="E530:I530" si="22">E533+E536+E539+E542+E545+E548+E551+E554+E557+E560+E563+E566+E569+E572+E575+E578+E581+E584+E587+E590+E593+E596</f>
        <v>0</v>
      </c>
      <c r="F530" s="1">
        <f t="shared" si="22"/>
        <v>59</v>
      </c>
      <c r="G530" s="1">
        <f t="shared" si="22"/>
        <v>613</v>
      </c>
      <c r="H530" s="1">
        <f t="shared" si="22"/>
        <v>14</v>
      </c>
      <c r="I530" s="1">
        <f t="shared" si="22"/>
        <v>6</v>
      </c>
    </row>
    <row r="531" spans="1:9" x14ac:dyDescent="0.3">
      <c r="A531" t="s">
        <v>166</v>
      </c>
      <c r="B531" t="s">
        <v>9</v>
      </c>
      <c r="C531" t="s">
        <v>13</v>
      </c>
      <c r="D531" s="1">
        <f>D534+D537+D540+D543+D546+D549+D552+D555+D558+D561+D564+D567+D570+D573+D576+D579+D582+D585+D588+D591+D594+D597</f>
        <v>6424</v>
      </c>
      <c r="E531" s="1">
        <f t="shared" ref="E531:I531" si="23">E534+E537+E540+E543+E546+E549+E552+E555+E558+E561+E564+E567+E570+E573+E576+E579+E582+E585+E588+E591+E594+E597</f>
        <v>55</v>
      </c>
      <c r="F531" s="1">
        <f t="shared" si="23"/>
        <v>1025</v>
      </c>
      <c r="G531" s="1">
        <f t="shared" si="23"/>
        <v>4940</v>
      </c>
      <c r="H531" s="1">
        <f t="shared" si="23"/>
        <v>222</v>
      </c>
      <c r="I531" s="1">
        <f t="shared" si="23"/>
        <v>182</v>
      </c>
    </row>
    <row r="532" spans="1:9" x14ac:dyDescent="0.3">
      <c r="A532" t="s">
        <v>166</v>
      </c>
      <c r="B532" t="s">
        <v>167</v>
      </c>
      <c r="C532" t="s">
        <v>9</v>
      </c>
      <c r="D532">
        <v>150</v>
      </c>
      <c r="E532">
        <v>0</v>
      </c>
      <c r="F532">
        <v>25</v>
      </c>
      <c r="G532">
        <v>118</v>
      </c>
      <c r="H532">
        <v>3</v>
      </c>
      <c r="I532">
        <v>4</v>
      </c>
    </row>
    <row r="533" spans="1:9" x14ac:dyDescent="0.3">
      <c r="A533" t="s">
        <v>166</v>
      </c>
      <c r="B533" t="s">
        <v>167</v>
      </c>
      <c r="C533" t="s">
        <v>12</v>
      </c>
      <c r="D533">
        <v>7</v>
      </c>
      <c r="E533">
        <v>0</v>
      </c>
      <c r="F533" s="1">
        <v>0</v>
      </c>
      <c r="G533">
        <v>7</v>
      </c>
      <c r="H533">
        <v>0</v>
      </c>
      <c r="I533">
        <v>0</v>
      </c>
    </row>
    <row r="534" spans="1:9" x14ac:dyDescent="0.3">
      <c r="A534" t="s">
        <v>166</v>
      </c>
      <c r="B534" t="s">
        <v>167</v>
      </c>
      <c r="C534" t="s">
        <v>13</v>
      </c>
      <c r="D534">
        <v>143</v>
      </c>
      <c r="E534">
        <v>0</v>
      </c>
      <c r="F534">
        <v>25</v>
      </c>
      <c r="G534">
        <v>111</v>
      </c>
      <c r="H534">
        <v>3</v>
      </c>
      <c r="I534">
        <v>4</v>
      </c>
    </row>
    <row r="535" spans="1:9" x14ac:dyDescent="0.3">
      <c r="A535" t="s">
        <v>166</v>
      </c>
      <c r="B535" t="s">
        <v>168</v>
      </c>
      <c r="C535" t="s">
        <v>9</v>
      </c>
      <c r="D535">
        <v>227</v>
      </c>
      <c r="E535">
        <v>1</v>
      </c>
      <c r="F535">
        <v>13</v>
      </c>
      <c r="G535">
        <v>201</v>
      </c>
      <c r="H535">
        <v>4</v>
      </c>
      <c r="I535">
        <v>8</v>
      </c>
    </row>
    <row r="536" spans="1:9" x14ac:dyDescent="0.3">
      <c r="A536" t="s">
        <v>166</v>
      </c>
      <c r="B536" t="s">
        <v>168</v>
      </c>
      <c r="C536" t="s">
        <v>12</v>
      </c>
      <c r="D536">
        <v>16</v>
      </c>
      <c r="E536">
        <v>0</v>
      </c>
      <c r="F536">
        <v>0</v>
      </c>
      <c r="G536">
        <v>16</v>
      </c>
      <c r="H536">
        <v>0</v>
      </c>
      <c r="I536">
        <v>0</v>
      </c>
    </row>
    <row r="537" spans="1:9" x14ac:dyDescent="0.3">
      <c r="A537" t="s">
        <v>166</v>
      </c>
      <c r="B537" t="s">
        <v>168</v>
      </c>
      <c r="C537" t="s">
        <v>13</v>
      </c>
      <c r="D537">
        <v>211</v>
      </c>
      <c r="E537">
        <v>1</v>
      </c>
      <c r="F537">
        <v>13</v>
      </c>
      <c r="G537">
        <v>185</v>
      </c>
      <c r="H537">
        <v>4</v>
      </c>
      <c r="I537">
        <v>8</v>
      </c>
    </row>
    <row r="538" spans="1:9" x14ac:dyDescent="0.3">
      <c r="A538" t="s">
        <v>166</v>
      </c>
      <c r="B538" t="s">
        <v>169</v>
      </c>
      <c r="C538" t="s">
        <v>9</v>
      </c>
      <c r="D538">
        <v>90</v>
      </c>
      <c r="E538">
        <v>2</v>
      </c>
      <c r="F538">
        <v>25</v>
      </c>
      <c r="G538">
        <v>61</v>
      </c>
      <c r="H538">
        <v>1</v>
      </c>
      <c r="I538">
        <v>1</v>
      </c>
    </row>
    <row r="539" spans="1:9" x14ac:dyDescent="0.3">
      <c r="A539" t="s">
        <v>166</v>
      </c>
      <c r="B539" t="s">
        <v>169</v>
      </c>
      <c r="C539" t="s">
        <v>12</v>
      </c>
      <c r="D539">
        <v>3</v>
      </c>
      <c r="E539">
        <v>0</v>
      </c>
      <c r="F539">
        <v>0</v>
      </c>
      <c r="G539">
        <v>3</v>
      </c>
      <c r="H539">
        <v>0</v>
      </c>
      <c r="I539">
        <v>0</v>
      </c>
    </row>
    <row r="540" spans="1:9" x14ac:dyDescent="0.3">
      <c r="A540" t="s">
        <v>166</v>
      </c>
      <c r="B540" t="s">
        <v>169</v>
      </c>
      <c r="C540" t="s">
        <v>13</v>
      </c>
      <c r="D540">
        <v>87</v>
      </c>
      <c r="E540">
        <v>2</v>
      </c>
      <c r="F540">
        <v>25</v>
      </c>
      <c r="G540">
        <v>58</v>
      </c>
      <c r="H540">
        <v>1</v>
      </c>
      <c r="I540">
        <v>1</v>
      </c>
    </row>
    <row r="541" spans="1:9" x14ac:dyDescent="0.3">
      <c r="A541" t="s">
        <v>166</v>
      </c>
      <c r="B541" t="s">
        <v>170</v>
      </c>
      <c r="C541" t="s">
        <v>9</v>
      </c>
      <c r="D541">
        <v>604</v>
      </c>
      <c r="E541">
        <v>3</v>
      </c>
      <c r="F541">
        <v>104</v>
      </c>
      <c r="G541">
        <v>472</v>
      </c>
      <c r="H541">
        <v>17</v>
      </c>
      <c r="I541">
        <v>8</v>
      </c>
    </row>
    <row r="542" spans="1:9" x14ac:dyDescent="0.3">
      <c r="A542" t="s">
        <v>166</v>
      </c>
      <c r="B542" t="s">
        <v>170</v>
      </c>
      <c r="C542" t="s">
        <v>12</v>
      </c>
      <c r="D542">
        <v>64</v>
      </c>
      <c r="E542">
        <v>0</v>
      </c>
      <c r="F542">
        <v>9</v>
      </c>
      <c r="G542">
        <v>54</v>
      </c>
      <c r="H542">
        <v>1</v>
      </c>
      <c r="I542">
        <v>0</v>
      </c>
    </row>
    <row r="543" spans="1:9" x14ac:dyDescent="0.3">
      <c r="A543" t="s">
        <v>166</v>
      </c>
      <c r="B543" t="s">
        <v>170</v>
      </c>
      <c r="C543" t="s">
        <v>13</v>
      </c>
      <c r="D543">
        <v>540</v>
      </c>
      <c r="E543">
        <v>3</v>
      </c>
      <c r="F543">
        <v>95</v>
      </c>
      <c r="G543">
        <v>418</v>
      </c>
      <c r="H543">
        <v>16</v>
      </c>
      <c r="I543">
        <v>8</v>
      </c>
    </row>
    <row r="544" spans="1:9" x14ac:dyDescent="0.3">
      <c r="A544" t="s">
        <v>166</v>
      </c>
      <c r="B544" t="s">
        <v>171</v>
      </c>
      <c r="C544" t="s">
        <v>9</v>
      </c>
      <c r="D544">
        <v>78</v>
      </c>
      <c r="E544">
        <v>1</v>
      </c>
      <c r="F544">
        <v>20</v>
      </c>
      <c r="G544">
        <v>52</v>
      </c>
      <c r="H544">
        <v>3</v>
      </c>
      <c r="I544">
        <v>2</v>
      </c>
    </row>
    <row r="545" spans="1:9" x14ac:dyDescent="0.3">
      <c r="A545" t="s">
        <v>166</v>
      </c>
      <c r="B545" t="s">
        <v>171</v>
      </c>
      <c r="C545" t="s">
        <v>12</v>
      </c>
      <c r="D545">
        <v>6</v>
      </c>
      <c r="E545">
        <v>0</v>
      </c>
      <c r="F545">
        <v>0</v>
      </c>
      <c r="G545">
        <v>6</v>
      </c>
      <c r="H545">
        <v>0</v>
      </c>
      <c r="I545">
        <v>0</v>
      </c>
    </row>
    <row r="546" spans="1:9" x14ac:dyDescent="0.3">
      <c r="A546" t="s">
        <v>166</v>
      </c>
      <c r="B546" t="s">
        <v>171</v>
      </c>
      <c r="C546" t="s">
        <v>13</v>
      </c>
      <c r="D546">
        <v>72</v>
      </c>
      <c r="E546">
        <v>1</v>
      </c>
      <c r="F546">
        <v>20</v>
      </c>
      <c r="G546">
        <v>46</v>
      </c>
      <c r="H546">
        <v>3</v>
      </c>
      <c r="I546">
        <v>2</v>
      </c>
    </row>
    <row r="547" spans="1:9" x14ac:dyDescent="0.3">
      <c r="A547" t="s">
        <v>166</v>
      </c>
      <c r="B547" t="s">
        <v>172</v>
      </c>
      <c r="C547" t="s">
        <v>9</v>
      </c>
      <c r="D547">
        <v>555</v>
      </c>
      <c r="E547">
        <v>3</v>
      </c>
      <c r="F547">
        <v>85</v>
      </c>
      <c r="G547">
        <v>433</v>
      </c>
      <c r="H547">
        <v>23</v>
      </c>
      <c r="I547">
        <v>11</v>
      </c>
    </row>
    <row r="548" spans="1:9" x14ac:dyDescent="0.3">
      <c r="A548" t="s">
        <v>166</v>
      </c>
      <c r="B548" t="s">
        <v>172</v>
      </c>
      <c r="C548" t="s">
        <v>12</v>
      </c>
      <c r="D548">
        <v>73</v>
      </c>
      <c r="E548">
        <v>0</v>
      </c>
      <c r="F548">
        <v>6</v>
      </c>
      <c r="G548">
        <v>66</v>
      </c>
      <c r="H548">
        <v>1</v>
      </c>
      <c r="I548">
        <v>0</v>
      </c>
    </row>
    <row r="549" spans="1:9" x14ac:dyDescent="0.3">
      <c r="A549" t="s">
        <v>166</v>
      </c>
      <c r="B549" t="s">
        <v>172</v>
      </c>
      <c r="C549" t="s">
        <v>13</v>
      </c>
      <c r="D549">
        <v>482</v>
      </c>
      <c r="E549">
        <v>3</v>
      </c>
      <c r="F549">
        <v>79</v>
      </c>
      <c r="G549">
        <v>367</v>
      </c>
      <c r="H549">
        <v>22</v>
      </c>
      <c r="I549">
        <v>11</v>
      </c>
    </row>
    <row r="550" spans="1:9" x14ac:dyDescent="0.3">
      <c r="A550" t="s">
        <v>166</v>
      </c>
      <c r="B550" t="s">
        <v>173</v>
      </c>
      <c r="C550" t="s">
        <v>9</v>
      </c>
      <c r="D550">
        <v>140</v>
      </c>
      <c r="E550">
        <v>2</v>
      </c>
      <c r="F550">
        <v>12</v>
      </c>
      <c r="G550">
        <v>120</v>
      </c>
      <c r="H550">
        <v>4</v>
      </c>
      <c r="I550">
        <v>2</v>
      </c>
    </row>
    <row r="551" spans="1:9" x14ac:dyDescent="0.3">
      <c r="A551" t="s">
        <v>166</v>
      </c>
      <c r="B551" t="s">
        <v>173</v>
      </c>
      <c r="C551" t="s">
        <v>12</v>
      </c>
      <c r="D551">
        <v>16</v>
      </c>
      <c r="E551">
        <v>0</v>
      </c>
      <c r="F551">
        <v>0</v>
      </c>
      <c r="G551">
        <v>15</v>
      </c>
      <c r="H551">
        <v>1</v>
      </c>
      <c r="I551">
        <v>0</v>
      </c>
    </row>
    <row r="552" spans="1:9" x14ac:dyDescent="0.3">
      <c r="A552" t="s">
        <v>166</v>
      </c>
      <c r="B552" t="s">
        <v>173</v>
      </c>
      <c r="C552" t="s">
        <v>13</v>
      </c>
      <c r="D552">
        <v>124</v>
      </c>
      <c r="E552">
        <v>2</v>
      </c>
      <c r="F552">
        <v>12</v>
      </c>
      <c r="G552">
        <v>105</v>
      </c>
      <c r="H552">
        <v>3</v>
      </c>
      <c r="I552">
        <v>2</v>
      </c>
    </row>
    <row r="553" spans="1:9" x14ac:dyDescent="0.3">
      <c r="A553" t="s">
        <v>166</v>
      </c>
      <c r="B553" t="s">
        <v>174</v>
      </c>
      <c r="C553" t="s">
        <v>9</v>
      </c>
      <c r="D553">
        <v>696</v>
      </c>
      <c r="E553">
        <v>4</v>
      </c>
      <c r="F553">
        <v>119</v>
      </c>
      <c r="G553">
        <v>507</v>
      </c>
      <c r="H553">
        <v>40</v>
      </c>
      <c r="I553">
        <v>26</v>
      </c>
    </row>
    <row r="554" spans="1:9" x14ac:dyDescent="0.3">
      <c r="A554" t="s">
        <v>166</v>
      </c>
      <c r="B554" t="s">
        <v>174</v>
      </c>
      <c r="C554" t="s">
        <v>12</v>
      </c>
      <c r="D554">
        <v>75</v>
      </c>
      <c r="E554">
        <v>0</v>
      </c>
      <c r="F554">
        <v>7</v>
      </c>
      <c r="G554">
        <v>65</v>
      </c>
      <c r="H554">
        <v>3</v>
      </c>
      <c r="I554">
        <v>0</v>
      </c>
    </row>
    <row r="555" spans="1:9" x14ac:dyDescent="0.3">
      <c r="A555" t="s">
        <v>166</v>
      </c>
      <c r="B555" t="s">
        <v>174</v>
      </c>
      <c r="C555" t="s">
        <v>13</v>
      </c>
      <c r="D555">
        <v>621</v>
      </c>
      <c r="E555">
        <v>4</v>
      </c>
      <c r="F555">
        <v>112</v>
      </c>
      <c r="G555">
        <v>442</v>
      </c>
      <c r="H555">
        <v>37</v>
      </c>
      <c r="I555">
        <v>26</v>
      </c>
    </row>
    <row r="556" spans="1:9" x14ac:dyDescent="0.3">
      <c r="A556" t="s">
        <v>166</v>
      </c>
      <c r="B556" t="s">
        <v>175</v>
      </c>
      <c r="C556" t="s">
        <v>9</v>
      </c>
      <c r="D556">
        <v>312</v>
      </c>
      <c r="E556">
        <v>1</v>
      </c>
      <c r="F556">
        <v>44</v>
      </c>
      <c r="G556">
        <v>247</v>
      </c>
      <c r="H556">
        <v>7</v>
      </c>
      <c r="I556">
        <v>13</v>
      </c>
    </row>
    <row r="557" spans="1:9" x14ac:dyDescent="0.3">
      <c r="A557" t="s">
        <v>166</v>
      </c>
      <c r="B557" t="s">
        <v>175</v>
      </c>
      <c r="C557" t="s">
        <v>12</v>
      </c>
      <c r="D557">
        <v>19</v>
      </c>
      <c r="E557">
        <v>0</v>
      </c>
      <c r="F557">
        <v>0</v>
      </c>
      <c r="G557">
        <v>18</v>
      </c>
      <c r="H557">
        <v>0</v>
      </c>
      <c r="I557">
        <v>1</v>
      </c>
    </row>
    <row r="558" spans="1:9" x14ac:dyDescent="0.3">
      <c r="A558" t="s">
        <v>166</v>
      </c>
      <c r="B558" t="s">
        <v>175</v>
      </c>
      <c r="C558" t="s">
        <v>13</v>
      </c>
      <c r="D558">
        <v>293</v>
      </c>
      <c r="E558">
        <v>1</v>
      </c>
      <c r="F558">
        <v>44</v>
      </c>
      <c r="G558">
        <v>229</v>
      </c>
      <c r="H558">
        <v>7</v>
      </c>
      <c r="I558">
        <v>12</v>
      </c>
    </row>
    <row r="559" spans="1:9" x14ac:dyDescent="0.3">
      <c r="A559" t="s">
        <v>166</v>
      </c>
      <c r="B559" t="s">
        <v>176</v>
      </c>
      <c r="C559" t="s">
        <v>9</v>
      </c>
      <c r="D559">
        <v>155</v>
      </c>
      <c r="E559">
        <v>4</v>
      </c>
      <c r="F559">
        <v>15</v>
      </c>
      <c r="G559">
        <v>129</v>
      </c>
      <c r="H559">
        <v>1</v>
      </c>
      <c r="I559">
        <v>6</v>
      </c>
    </row>
    <row r="560" spans="1:9" x14ac:dyDescent="0.3">
      <c r="A560" t="s">
        <v>166</v>
      </c>
      <c r="B560" t="s">
        <v>176</v>
      </c>
      <c r="C560" t="s">
        <v>12</v>
      </c>
      <c r="D560">
        <v>8</v>
      </c>
      <c r="E560">
        <v>0</v>
      </c>
      <c r="F560">
        <v>2</v>
      </c>
      <c r="G560">
        <v>5</v>
      </c>
      <c r="H560">
        <v>0</v>
      </c>
      <c r="I560">
        <v>1</v>
      </c>
    </row>
    <row r="561" spans="1:9" x14ac:dyDescent="0.3">
      <c r="A561" t="s">
        <v>166</v>
      </c>
      <c r="B561" t="s">
        <v>176</v>
      </c>
      <c r="C561" t="s">
        <v>13</v>
      </c>
      <c r="D561">
        <v>147</v>
      </c>
      <c r="E561">
        <v>4</v>
      </c>
      <c r="F561">
        <v>13</v>
      </c>
      <c r="G561">
        <v>124</v>
      </c>
      <c r="H561">
        <v>1</v>
      </c>
      <c r="I561">
        <v>5</v>
      </c>
    </row>
    <row r="562" spans="1:9" x14ac:dyDescent="0.3">
      <c r="A562" t="s">
        <v>166</v>
      </c>
      <c r="B562" t="s">
        <v>177</v>
      </c>
      <c r="C562" t="s">
        <v>9</v>
      </c>
      <c r="D562">
        <v>719</v>
      </c>
      <c r="E562">
        <v>7</v>
      </c>
      <c r="F562">
        <v>122</v>
      </c>
      <c r="G562">
        <v>551</v>
      </c>
      <c r="H562">
        <v>22</v>
      </c>
      <c r="I562">
        <v>17</v>
      </c>
    </row>
    <row r="563" spans="1:9" x14ac:dyDescent="0.3">
      <c r="A563" t="s">
        <v>166</v>
      </c>
      <c r="B563" t="s">
        <v>177</v>
      </c>
      <c r="C563" t="s">
        <v>12</v>
      </c>
      <c r="D563">
        <v>86</v>
      </c>
      <c r="E563">
        <v>0</v>
      </c>
      <c r="F563">
        <v>12</v>
      </c>
      <c r="G563">
        <v>72</v>
      </c>
      <c r="H563">
        <v>2</v>
      </c>
      <c r="I563">
        <v>0</v>
      </c>
    </row>
    <row r="564" spans="1:9" x14ac:dyDescent="0.3">
      <c r="A564" t="s">
        <v>166</v>
      </c>
      <c r="B564" t="s">
        <v>177</v>
      </c>
      <c r="C564" t="s">
        <v>13</v>
      </c>
      <c r="D564">
        <v>633</v>
      </c>
      <c r="E564">
        <v>7</v>
      </c>
      <c r="F564">
        <v>110</v>
      </c>
      <c r="G564">
        <v>479</v>
      </c>
      <c r="H564">
        <v>20</v>
      </c>
      <c r="I564">
        <v>17</v>
      </c>
    </row>
    <row r="565" spans="1:9" x14ac:dyDescent="0.3">
      <c r="A565" t="s">
        <v>166</v>
      </c>
      <c r="B565" t="s">
        <v>178</v>
      </c>
      <c r="C565" t="s">
        <v>9</v>
      </c>
      <c r="D565">
        <v>155</v>
      </c>
      <c r="E565">
        <v>2</v>
      </c>
      <c r="F565">
        <v>10</v>
      </c>
      <c r="G565">
        <v>133</v>
      </c>
      <c r="H565">
        <v>3</v>
      </c>
      <c r="I565">
        <v>7</v>
      </c>
    </row>
    <row r="566" spans="1:9" x14ac:dyDescent="0.3">
      <c r="A566" t="s">
        <v>166</v>
      </c>
      <c r="B566" t="s">
        <v>178</v>
      </c>
      <c r="C566" t="s">
        <v>12</v>
      </c>
      <c r="D566">
        <v>4</v>
      </c>
      <c r="E566">
        <v>0</v>
      </c>
      <c r="F566">
        <v>0</v>
      </c>
      <c r="G566">
        <v>4</v>
      </c>
      <c r="H566">
        <v>0</v>
      </c>
      <c r="I566">
        <v>0</v>
      </c>
    </row>
    <row r="567" spans="1:9" x14ac:dyDescent="0.3">
      <c r="A567" t="s">
        <v>166</v>
      </c>
      <c r="B567" t="s">
        <v>178</v>
      </c>
      <c r="C567" t="s">
        <v>13</v>
      </c>
      <c r="D567">
        <v>151</v>
      </c>
      <c r="E567">
        <v>2</v>
      </c>
      <c r="F567">
        <v>10</v>
      </c>
      <c r="G567">
        <v>129</v>
      </c>
      <c r="H567">
        <v>3</v>
      </c>
      <c r="I567">
        <v>7</v>
      </c>
    </row>
    <row r="568" spans="1:9" x14ac:dyDescent="0.3">
      <c r="A568" t="s">
        <v>166</v>
      </c>
      <c r="B568" t="s">
        <v>179</v>
      </c>
      <c r="C568" t="s">
        <v>9</v>
      </c>
      <c r="D568">
        <v>926</v>
      </c>
      <c r="E568">
        <v>5</v>
      </c>
      <c r="F568">
        <v>207</v>
      </c>
      <c r="G568">
        <v>658</v>
      </c>
      <c r="H568">
        <v>29</v>
      </c>
      <c r="I568">
        <v>27</v>
      </c>
    </row>
    <row r="569" spans="1:9" x14ac:dyDescent="0.3">
      <c r="A569" t="s">
        <v>166</v>
      </c>
      <c r="B569" t="s">
        <v>179</v>
      </c>
      <c r="C569" t="s">
        <v>12</v>
      </c>
      <c r="D569">
        <v>81</v>
      </c>
      <c r="E569">
        <v>0</v>
      </c>
      <c r="F569">
        <v>8</v>
      </c>
      <c r="G569">
        <v>69</v>
      </c>
      <c r="H569">
        <v>4</v>
      </c>
      <c r="I569">
        <v>0</v>
      </c>
    </row>
    <row r="570" spans="1:9" x14ac:dyDescent="0.3">
      <c r="A570" t="s">
        <v>166</v>
      </c>
      <c r="B570" t="s">
        <v>179</v>
      </c>
      <c r="C570" t="s">
        <v>13</v>
      </c>
      <c r="D570">
        <v>845</v>
      </c>
      <c r="E570">
        <v>5</v>
      </c>
      <c r="F570">
        <v>199</v>
      </c>
      <c r="G570">
        <v>589</v>
      </c>
      <c r="H570">
        <v>25</v>
      </c>
      <c r="I570">
        <v>27</v>
      </c>
    </row>
    <row r="571" spans="1:9" x14ac:dyDescent="0.3">
      <c r="A571" t="s">
        <v>166</v>
      </c>
      <c r="B571" t="s">
        <v>180</v>
      </c>
      <c r="C571" t="s">
        <v>9</v>
      </c>
      <c r="D571">
        <v>225</v>
      </c>
      <c r="E571">
        <v>1</v>
      </c>
      <c r="F571">
        <v>33</v>
      </c>
      <c r="G571">
        <v>182</v>
      </c>
      <c r="H571">
        <v>8</v>
      </c>
      <c r="I571">
        <v>1</v>
      </c>
    </row>
    <row r="572" spans="1:9" x14ac:dyDescent="0.3">
      <c r="A572" t="s">
        <v>166</v>
      </c>
      <c r="B572" t="s">
        <v>180</v>
      </c>
      <c r="C572" t="s">
        <v>12</v>
      </c>
      <c r="D572">
        <v>22</v>
      </c>
      <c r="E572">
        <v>0</v>
      </c>
      <c r="F572">
        <v>2</v>
      </c>
      <c r="G572">
        <v>20</v>
      </c>
      <c r="H572">
        <v>0</v>
      </c>
      <c r="I572">
        <v>0</v>
      </c>
    </row>
    <row r="573" spans="1:9" x14ac:dyDescent="0.3">
      <c r="A573" t="s">
        <v>166</v>
      </c>
      <c r="B573" t="s">
        <v>180</v>
      </c>
      <c r="C573" t="s">
        <v>13</v>
      </c>
      <c r="D573">
        <v>203</v>
      </c>
      <c r="E573">
        <v>1</v>
      </c>
      <c r="F573">
        <v>31</v>
      </c>
      <c r="G573">
        <v>162</v>
      </c>
      <c r="H573">
        <v>8</v>
      </c>
      <c r="I573">
        <v>1</v>
      </c>
    </row>
    <row r="574" spans="1:9" x14ac:dyDescent="0.3">
      <c r="A574" t="s">
        <v>166</v>
      </c>
      <c r="B574" t="s">
        <v>181</v>
      </c>
      <c r="C574" t="s">
        <v>9</v>
      </c>
      <c r="D574">
        <v>571</v>
      </c>
      <c r="E574">
        <v>1</v>
      </c>
      <c r="F574">
        <v>65</v>
      </c>
      <c r="G574">
        <v>438</v>
      </c>
      <c r="H574">
        <v>38</v>
      </c>
      <c r="I574">
        <v>29</v>
      </c>
    </row>
    <row r="575" spans="1:9" x14ac:dyDescent="0.3">
      <c r="A575" t="s">
        <v>166</v>
      </c>
      <c r="B575" t="s">
        <v>181</v>
      </c>
      <c r="C575" t="s">
        <v>12</v>
      </c>
      <c r="D575">
        <v>134</v>
      </c>
      <c r="E575">
        <v>0</v>
      </c>
      <c r="F575">
        <v>9</v>
      </c>
      <c r="G575">
        <v>119</v>
      </c>
      <c r="H575">
        <v>2</v>
      </c>
      <c r="I575">
        <v>4</v>
      </c>
    </row>
    <row r="576" spans="1:9" x14ac:dyDescent="0.3">
      <c r="A576" t="s">
        <v>166</v>
      </c>
      <c r="B576" t="s">
        <v>181</v>
      </c>
      <c r="C576" t="s">
        <v>13</v>
      </c>
      <c r="D576">
        <v>437</v>
      </c>
      <c r="E576">
        <v>1</v>
      </c>
      <c r="F576">
        <v>56</v>
      </c>
      <c r="G576">
        <v>319</v>
      </c>
      <c r="H576">
        <v>36</v>
      </c>
      <c r="I576">
        <v>25</v>
      </c>
    </row>
    <row r="577" spans="1:9" x14ac:dyDescent="0.3">
      <c r="A577" t="s">
        <v>166</v>
      </c>
      <c r="B577" t="s">
        <v>182</v>
      </c>
      <c r="C577" t="s">
        <v>9</v>
      </c>
      <c r="D577">
        <v>222</v>
      </c>
      <c r="E577">
        <v>1</v>
      </c>
      <c r="F577">
        <v>15</v>
      </c>
      <c r="G577">
        <v>200</v>
      </c>
      <c r="H577">
        <v>3</v>
      </c>
      <c r="I577">
        <v>3</v>
      </c>
    </row>
    <row r="578" spans="1:9" x14ac:dyDescent="0.3">
      <c r="A578" t="s">
        <v>166</v>
      </c>
      <c r="B578" t="s">
        <v>182</v>
      </c>
      <c r="C578" t="s">
        <v>12</v>
      </c>
      <c r="D578">
        <v>6</v>
      </c>
      <c r="E578">
        <v>0</v>
      </c>
      <c r="F578">
        <v>0</v>
      </c>
      <c r="G578">
        <v>6</v>
      </c>
      <c r="H578">
        <v>0</v>
      </c>
      <c r="I578">
        <v>0</v>
      </c>
    </row>
    <row r="579" spans="1:9" x14ac:dyDescent="0.3">
      <c r="A579" t="s">
        <v>166</v>
      </c>
      <c r="B579" t="s">
        <v>182</v>
      </c>
      <c r="C579" t="s">
        <v>13</v>
      </c>
      <c r="D579">
        <v>216</v>
      </c>
      <c r="E579">
        <v>1</v>
      </c>
      <c r="F579">
        <v>15</v>
      </c>
      <c r="G579">
        <v>194</v>
      </c>
      <c r="H579">
        <v>3</v>
      </c>
      <c r="I579">
        <v>3</v>
      </c>
    </row>
    <row r="580" spans="1:9" x14ac:dyDescent="0.3">
      <c r="A580" t="s">
        <v>166</v>
      </c>
      <c r="B580" t="s">
        <v>183</v>
      </c>
      <c r="C580" t="s">
        <v>9</v>
      </c>
      <c r="D580">
        <v>209</v>
      </c>
      <c r="E580">
        <v>2</v>
      </c>
      <c r="F580">
        <v>20</v>
      </c>
      <c r="G580">
        <v>180</v>
      </c>
      <c r="H580">
        <v>4</v>
      </c>
      <c r="I580">
        <v>3</v>
      </c>
    </row>
    <row r="581" spans="1:9" x14ac:dyDescent="0.3">
      <c r="A581" t="s">
        <v>166</v>
      </c>
      <c r="B581" t="s">
        <v>183</v>
      </c>
      <c r="C581" t="s">
        <v>12</v>
      </c>
      <c r="D581">
        <v>17</v>
      </c>
      <c r="E581">
        <v>0</v>
      </c>
      <c r="F581">
        <v>1</v>
      </c>
      <c r="G581">
        <v>16</v>
      </c>
      <c r="H581">
        <v>0</v>
      </c>
      <c r="I581">
        <v>0</v>
      </c>
    </row>
    <row r="582" spans="1:9" x14ac:dyDescent="0.3">
      <c r="A582" t="s">
        <v>166</v>
      </c>
      <c r="B582" t="s">
        <v>183</v>
      </c>
      <c r="C582" t="s">
        <v>13</v>
      </c>
      <c r="D582">
        <v>192</v>
      </c>
      <c r="E582">
        <v>2</v>
      </c>
      <c r="F582">
        <v>19</v>
      </c>
      <c r="G582">
        <v>164</v>
      </c>
      <c r="H582">
        <v>4</v>
      </c>
      <c r="I582">
        <v>3</v>
      </c>
    </row>
    <row r="583" spans="1:9" x14ac:dyDescent="0.3">
      <c r="A583" t="s">
        <v>166</v>
      </c>
      <c r="B583" t="s">
        <v>184</v>
      </c>
      <c r="C583" t="s">
        <v>9</v>
      </c>
      <c r="D583">
        <v>173</v>
      </c>
      <c r="E583">
        <v>3</v>
      </c>
      <c r="F583">
        <v>25</v>
      </c>
      <c r="G583">
        <v>137</v>
      </c>
      <c r="H583">
        <v>5</v>
      </c>
      <c r="I583">
        <v>3</v>
      </c>
    </row>
    <row r="584" spans="1:9" x14ac:dyDescent="0.3">
      <c r="A584" t="s">
        <v>166</v>
      </c>
      <c r="B584" t="s">
        <v>184</v>
      </c>
      <c r="C584" t="s">
        <v>12</v>
      </c>
      <c r="D584">
        <v>8</v>
      </c>
      <c r="E584">
        <v>0</v>
      </c>
      <c r="F584">
        <v>0</v>
      </c>
      <c r="G584">
        <v>8</v>
      </c>
      <c r="H584">
        <v>0</v>
      </c>
      <c r="I584">
        <v>0</v>
      </c>
    </row>
    <row r="585" spans="1:9" x14ac:dyDescent="0.3">
      <c r="A585" t="s">
        <v>166</v>
      </c>
      <c r="B585" t="s">
        <v>184</v>
      </c>
      <c r="C585" t="s">
        <v>13</v>
      </c>
      <c r="D585">
        <v>165</v>
      </c>
      <c r="E585">
        <v>3</v>
      </c>
      <c r="F585">
        <v>25</v>
      </c>
      <c r="G585">
        <v>129</v>
      </c>
      <c r="H585">
        <v>5</v>
      </c>
      <c r="I585">
        <v>3</v>
      </c>
    </row>
    <row r="586" spans="1:9" x14ac:dyDescent="0.3">
      <c r="A586" t="s">
        <v>166</v>
      </c>
      <c r="B586" t="s">
        <v>185</v>
      </c>
      <c r="C586" t="s">
        <v>9</v>
      </c>
      <c r="D586">
        <v>174</v>
      </c>
      <c r="E586">
        <v>1</v>
      </c>
      <c r="F586">
        <v>20</v>
      </c>
      <c r="G586">
        <v>149</v>
      </c>
      <c r="H586">
        <v>3</v>
      </c>
      <c r="I586">
        <v>1</v>
      </c>
    </row>
    <row r="587" spans="1:9" x14ac:dyDescent="0.3">
      <c r="A587" t="s">
        <v>166</v>
      </c>
      <c r="B587" t="s">
        <v>185</v>
      </c>
      <c r="C587" t="s">
        <v>12</v>
      </c>
      <c r="D587">
        <v>10</v>
      </c>
      <c r="E587">
        <v>0</v>
      </c>
      <c r="F587">
        <v>1</v>
      </c>
      <c r="G587">
        <v>9</v>
      </c>
      <c r="H587">
        <v>0</v>
      </c>
      <c r="I587">
        <v>0</v>
      </c>
    </row>
    <row r="588" spans="1:9" x14ac:dyDescent="0.3">
      <c r="A588" t="s">
        <v>166</v>
      </c>
      <c r="B588" t="s">
        <v>185</v>
      </c>
      <c r="C588" t="s">
        <v>13</v>
      </c>
      <c r="D588">
        <v>164</v>
      </c>
      <c r="E588">
        <v>1</v>
      </c>
      <c r="F588">
        <v>19</v>
      </c>
      <c r="G588">
        <v>140</v>
      </c>
      <c r="H588">
        <v>3</v>
      </c>
      <c r="I588">
        <v>1</v>
      </c>
    </row>
    <row r="589" spans="1:9" x14ac:dyDescent="0.3">
      <c r="A589" t="s">
        <v>166</v>
      </c>
      <c r="B589" t="s">
        <v>186</v>
      </c>
      <c r="C589" t="s">
        <v>9</v>
      </c>
      <c r="D589">
        <v>130</v>
      </c>
      <c r="E589">
        <v>1</v>
      </c>
      <c r="F589">
        <v>15</v>
      </c>
      <c r="G589">
        <v>107</v>
      </c>
      <c r="H589">
        <v>3</v>
      </c>
      <c r="I589">
        <v>4</v>
      </c>
    </row>
    <row r="590" spans="1:9" x14ac:dyDescent="0.3">
      <c r="A590" t="s">
        <v>166</v>
      </c>
      <c r="B590" t="s">
        <v>186</v>
      </c>
      <c r="C590" t="s">
        <v>12</v>
      </c>
      <c r="D590">
        <v>4</v>
      </c>
      <c r="E590">
        <v>0</v>
      </c>
      <c r="F590">
        <v>0</v>
      </c>
      <c r="G590">
        <v>4</v>
      </c>
      <c r="H590">
        <v>0</v>
      </c>
      <c r="I590">
        <v>0</v>
      </c>
    </row>
    <row r="591" spans="1:9" x14ac:dyDescent="0.3">
      <c r="A591" t="s">
        <v>166</v>
      </c>
      <c r="B591" t="s">
        <v>186</v>
      </c>
      <c r="C591" t="s">
        <v>13</v>
      </c>
      <c r="D591">
        <v>126</v>
      </c>
      <c r="E591">
        <v>1</v>
      </c>
      <c r="F591">
        <v>15</v>
      </c>
      <c r="G591">
        <v>103</v>
      </c>
      <c r="H591">
        <v>3</v>
      </c>
      <c r="I591">
        <v>4</v>
      </c>
    </row>
    <row r="592" spans="1:9" x14ac:dyDescent="0.3">
      <c r="A592" t="s">
        <v>166</v>
      </c>
      <c r="B592" t="s">
        <v>187</v>
      </c>
      <c r="C592" t="s">
        <v>9</v>
      </c>
      <c r="D592">
        <v>334</v>
      </c>
      <c r="E592">
        <v>8</v>
      </c>
      <c r="F592">
        <v>29</v>
      </c>
      <c r="G592">
        <v>279</v>
      </c>
      <c r="H592">
        <v>9</v>
      </c>
      <c r="I592">
        <v>9</v>
      </c>
    </row>
    <row r="593" spans="1:9" x14ac:dyDescent="0.3">
      <c r="A593" t="s">
        <v>166</v>
      </c>
      <c r="B593" t="s">
        <v>187</v>
      </c>
      <c r="C593" t="s">
        <v>12</v>
      </c>
      <c r="D593">
        <v>11</v>
      </c>
      <c r="E593">
        <v>0</v>
      </c>
      <c r="F593">
        <v>0</v>
      </c>
      <c r="G593">
        <v>11</v>
      </c>
      <c r="H593">
        <v>0</v>
      </c>
      <c r="I593">
        <v>0</v>
      </c>
    </row>
    <row r="594" spans="1:9" x14ac:dyDescent="0.3">
      <c r="A594" t="s">
        <v>166</v>
      </c>
      <c r="B594" t="s">
        <v>187</v>
      </c>
      <c r="C594" t="s">
        <v>13</v>
      </c>
      <c r="D594">
        <v>323</v>
      </c>
      <c r="E594">
        <v>8</v>
      </c>
      <c r="F594">
        <v>29</v>
      </c>
      <c r="G594">
        <v>268</v>
      </c>
      <c r="H594">
        <v>9</v>
      </c>
      <c r="I594">
        <v>9</v>
      </c>
    </row>
    <row r="595" spans="1:9" x14ac:dyDescent="0.3">
      <c r="A595" t="s">
        <v>166</v>
      </c>
      <c r="B595" t="s">
        <v>188</v>
      </c>
      <c r="C595" t="s">
        <v>9</v>
      </c>
      <c r="D595">
        <v>271</v>
      </c>
      <c r="E595">
        <v>2</v>
      </c>
      <c r="F595">
        <v>61</v>
      </c>
      <c r="G595">
        <v>199</v>
      </c>
      <c r="H595">
        <v>6</v>
      </c>
      <c r="I595">
        <v>3</v>
      </c>
    </row>
    <row r="596" spans="1:9" x14ac:dyDescent="0.3">
      <c r="A596" t="s">
        <v>166</v>
      </c>
      <c r="B596" t="s">
        <v>188</v>
      </c>
      <c r="C596" t="s">
        <v>12</v>
      </c>
      <c r="D596">
        <v>22</v>
      </c>
      <c r="E596">
        <v>0</v>
      </c>
      <c r="F596">
        <v>2</v>
      </c>
      <c r="G596">
        <v>20</v>
      </c>
      <c r="H596">
        <v>0</v>
      </c>
      <c r="I596">
        <v>0</v>
      </c>
    </row>
    <row r="597" spans="1:9" x14ac:dyDescent="0.3">
      <c r="A597" t="s">
        <v>166</v>
      </c>
      <c r="B597" t="s">
        <v>188</v>
      </c>
      <c r="C597" t="s">
        <v>13</v>
      </c>
      <c r="D597">
        <v>249</v>
      </c>
      <c r="E597">
        <v>2</v>
      </c>
      <c r="F597">
        <v>59</v>
      </c>
      <c r="G597">
        <v>179</v>
      </c>
      <c r="H597">
        <v>6</v>
      </c>
      <c r="I597">
        <v>3</v>
      </c>
    </row>
    <row r="598" spans="1:9" x14ac:dyDescent="0.3">
      <c r="A598" t="s">
        <v>189</v>
      </c>
      <c r="B598" t="s">
        <v>9</v>
      </c>
      <c r="C598" t="s">
        <v>9</v>
      </c>
      <c r="D598" s="1">
        <v>3255</v>
      </c>
      <c r="E598">
        <v>10</v>
      </c>
      <c r="F598">
        <v>526</v>
      </c>
      <c r="G598" s="1">
        <v>2578</v>
      </c>
      <c r="H598">
        <v>69</v>
      </c>
      <c r="I598">
        <v>72</v>
      </c>
    </row>
    <row r="599" spans="1:9" x14ac:dyDescent="0.3">
      <c r="A599" t="s">
        <v>189</v>
      </c>
      <c r="B599" t="s">
        <v>9</v>
      </c>
      <c r="C599" t="s">
        <v>12</v>
      </c>
      <c r="D599" s="1">
        <f>D602+D605</f>
        <v>544</v>
      </c>
      <c r="E599" s="1">
        <f t="shared" ref="E599:I599" si="24">E602+E605</f>
        <v>0</v>
      </c>
      <c r="F599" s="1">
        <f t="shared" si="24"/>
        <v>59</v>
      </c>
      <c r="G599" s="1">
        <f t="shared" si="24"/>
        <v>475</v>
      </c>
      <c r="H599" s="1">
        <f t="shared" si="24"/>
        <v>8</v>
      </c>
      <c r="I599" s="1">
        <f t="shared" si="24"/>
        <v>2</v>
      </c>
    </row>
    <row r="600" spans="1:9" x14ac:dyDescent="0.3">
      <c r="A600" t="s">
        <v>189</v>
      </c>
      <c r="B600" t="s">
        <v>9</v>
      </c>
      <c r="C600" t="s">
        <v>13</v>
      </c>
      <c r="D600" s="1">
        <f>D603+D606</f>
        <v>2711</v>
      </c>
      <c r="E600" s="1">
        <f t="shared" ref="E600:I600" si="25">E603+E606</f>
        <v>10</v>
      </c>
      <c r="F600" s="1">
        <f t="shared" si="25"/>
        <v>467</v>
      </c>
      <c r="G600" s="1">
        <f t="shared" si="25"/>
        <v>2103</v>
      </c>
      <c r="H600" s="1">
        <f t="shared" si="25"/>
        <v>61</v>
      </c>
      <c r="I600" s="1">
        <f t="shared" si="25"/>
        <v>70</v>
      </c>
    </row>
    <row r="601" spans="1:9" x14ac:dyDescent="0.3">
      <c r="A601" t="s">
        <v>189</v>
      </c>
      <c r="B601" t="s">
        <v>190</v>
      </c>
      <c r="C601" t="s">
        <v>9</v>
      </c>
      <c r="D601">
        <v>958</v>
      </c>
      <c r="E601">
        <v>1</v>
      </c>
      <c r="F601">
        <v>115</v>
      </c>
      <c r="G601">
        <v>795</v>
      </c>
      <c r="H601">
        <v>22</v>
      </c>
      <c r="I601">
        <v>25</v>
      </c>
    </row>
    <row r="602" spans="1:9" x14ac:dyDescent="0.3">
      <c r="A602" t="s">
        <v>189</v>
      </c>
      <c r="B602" t="s">
        <v>190</v>
      </c>
      <c r="C602" t="s">
        <v>12</v>
      </c>
      <c r="D602">
        <v>180</v>
      </c>
      <c r="E602">
        <v>0</v>
      </c>
      <c r="F602">
        <v>15</v>
      </c>
      <c r="G602">
        <v>162</v>
      </c>
      <c r="H602">
        <v>3</v>
      </c>
      <c r="I602">
        <v>0</v>
      </c>
    </row>
    <row r="603" spans="1:9" x14ac:dyDescent="0.3">
      <c r="A603" t="s">
        <v>189</v>
      </c>
      <c r="B603" t="s">
        <v>190</v>
      </c>
      <c r="C603" t="s">
        <v>13</v>
      </c>
      <c r="D603">
        <v>778</v>
      </c>
      <c r="E603">
        <v>1</v>
      </c>
      <c r="F603">
        <v>100</v>
      </c>
      <c r="G603">
        <v>633</v>
      </c>
      <c r="H603">
        <v>19</v>
      </c>
      <c r="I603">
        <v>25</v>
      </c>
    </row>
    <row r="604" spans="1:9" x14ac:dyDescent="0.3">
      <c r="A604" t="s">
        <v>189</v>
      </c>
      <c r="B604" t="s">
        <v>191</v>
      </c>
      <c r="C604" t="s">
        <v>9</v>
      </c>
      <c r="D604" s="1">
        <v>2297</v>
      </c>
      <c r="E604">
        <v>9</v>
      </c>
      <c r="F604">
        <v>411</v>
      </c>
      <c r="G604" s="1">
        <v>1783</v>
      </c>
      <c r="H604">
        <v>47</v>
      </c>
      <c r="I604">
        <v>47</v>
      </c>
    </row>
    <row r="605" spans="1:9" x14ac:dyDescent="0.3">
      <c r="A605" t="s">
        <v>189</v>
      </c>
      <c r="B605" t="s">
        <v>191</v>
      </c>
      <c r="C605" t="s">
        <v>12</v>
      </c>
      <c r="D605">
        <v>364</v>
      </c>
      <c r="E605">
        <v>0</v>
      </c>
      <c r="F605">
        <v>44</v>
      </c>
      <c r="G605">
        <v>313</v>
      </c>
      <c r="H605">
        <v>5</v>
      </c>
      <c r="I605">
        <v>2</v>
      </c>
    </row>
    <row r="606" spans="1:9" x14ac:dyDescent="0.3">
      <c r="A606" t="s">
        <v>189</v>
      </c>
      <c r="B606" t="s">
        <v>191</v>
      </c>
      <c r="C606" t="s">
        <v>13</v>
      </c>
      <c r="D606" s="1">
        <v>1933</v>
      </c>
      <c r="E606">
        <v>9</v>
      </c>
      <c r="F606">
        <v>367</v>
      </c>
      <c r="G606" s="1">
        <v>1470</v>
      </c>
      <c r="H606">
        <v>42</v>
      </c>
      <c r="I606">
        <v>45</v>
      </c>
    </row>
    <row r="607" spans="1:9" x14ac:dyDescent="0.3">
      <c r="A607" t="s">
        <v>192</v>
      </c>
      <c r="B607" t="s">
        <v>9</v>
      </c>
      <c r="C607" t="s">
        <v>9</v>
      </c>
      <c r="D607" s="1">
        <v>10269</v>
      </c>
      <c r="E607">
        <v>44</v>
      </c>
      <c r="F607" s="1">
        <v>1694</v>
      </c>
      <c r="G607" s="1">
        <v>7913</v>
      </c>
      <c r="H607">
        <v>319</v>
      </c>
      <c r="I607">
        <v>299</v>
      </c>
    </row>
    <row r="608" spans="1:9" x14ac:dyDescent="0.3">
      <c r="A608" t="s">
        <v>192</v>
      </c>
      <c r="B608" t="s">
        <v>9</v>
      </c>
      <c r="C608" t="s">
        <v>12</v>
      </c>
      <c r="D608" s="1">
        <f>D611+D614+D617+D620+D623+D626+D629+D632+D635+D638+D641+D644+D647+D650+D653+D656</f>
        <v>1476</v>
      </c>
      <c r="E608" s="1">
        <f t="shared" ref="E608:I608" si="26">E611+E614+E617+E620+E623+E626+E629+E632+E635+E638+E641+E644+E647+E650+E653+E656</f>
        <v>2</v>
      </c>
      <c r="F608" s="1">
        <f t="shared" si="26"/>
        <v>163</v>
      </c>
      <c r="G608" s="1">
        <f t="shared" si="26"/>
        <v>1254</v>
      </c>
      <c r="H608" s="1">
        <f t="shared" si="26"/>
        <v>33</v>
      </c>
      <c r="I608" s="1">
        <f t="shared" si="26"/>
        <v>24</v>
      </c>
    </row>
    <row r="609" spans="1:9" x14ac:dyDescent="0.3">
      <c r="A609" t="s">
        <v>192</v>
      </c>
      <c r="B609" t="s">
        <v>9</v>
      </c>
      <c r="C609" t="s">
        <v>13</v>
      </c>
      <c r="D609" s="1">
        <f>D612+D615+D618+D621+D624+D627+D630+D633+D636+D639+D642+D645+D648+D651+D654+D657</f>
        <v>8793</v>
      </c>
      <c r="E609" s="1">
        <f t="shared" ref="E609:I609" si="27">E612+E615+E618+E621+E624+E627+E630+E633+E636+E639+E642+E645+E648+E651+E654+E657</f>
        <v>42</v>
      </c>
      <c r="F609" s="1">
        <f t="shared" si="27"/>
        <v>1531</v>
      </c>
      <c r="G609" s="1">
        <f t="shared" si="27"/>
        <v>6659</v>
      </c>
      <c r="H609" s="1">
        <f t="shared" si="27"/>
        <v>286</v>
      </c>
      <c r="I609" s="1">
        <f t="shared" si="27"/>
        <v>275</v>
      </c>
    </row>
    <row r="610" spans="1:9" x14ac:dyDescent="0.3">
      <c r="A610" t="s">
        <v>192</v>
      </c>
      <c r="B610" t="s">
        <v>193</v>
      </c>
      <c r="C610" t="s">
        <v>9</v>
      </c>
      <c r="D610">
        <v>90</v>
      </c>
      <c r="E610">
        <v>0</v>
      </c>
      <c r="F610">
        <v>19</v>
      </c>
      <c r="G610">
        <v>70</v>
      </c>
      <c r="H610">
        <v>0</v>
      </c>
      <c r="I610">
        <v>1</v>
      </c>
    </row>
    <row r="611" spans="1:9" x14ac:dyDescent="0.3">
      <c r="A611" t="s">
        <v>192</v>
      </c>
      <c r="B611" t="s">
        <v>193</v>
      </c>
      <c r="C611" t="s">
        <v>12</v>
      </c>
      <c r="D611">
        <v>13</v>
      </c>
      <c r="E611">
        <v>0</v>
      </c>
      <c r="F611">
        <v>2</v>
      </c>
      <c r="G611">
        <v>11</v>
      </c>
      <c r="H611">
        <v>0</v>
      </c>
      <c r="I611">
        <v>0</v>
      </c>
    </row>
    <row r="612" spans="1:9" x14ac:dyDescent="0.3">
      <c r="A612" t="s">
        <v>192</v>
      </c>
      <c r="B612" t="s">
        <v>193</v>
      </c>
      <c r="C612" t="s">
        <v>13</v>
      </c>
      <c r="D612">
        <v>77</v>
      </c>
      <c r="E612">
        <v>0</v>
      </c>
      <c r="F612">
        <v>17</v>
      </c>
      <c r="G612">
        <v>59</v>
      </c>
      <c r="H612">
        <v>0</v>
      </c>
      <c r="I612">
        <v>1</v>
      </c>
    </row>
    <row r="613" spans="1:9" x14ac:dyDescent="0.3">
      <c r="A613" t="s">
        <v>192</v>
      </c>
      <c r="B613" t="s">
        <v>194</v>
      </c>
      <c r="C613" t="s">
        <v>9</v>
      </c>
      <c r="D613">
        <v>409</v>
      </c>
      <c r="E613">
        <v>5</v>
      </c>
      <c r="F613">
        <v>54</v>
      </c>
      <c r="G613">
        <v>326</v>
      </c>
      <c r="H613">
        <v>13</v>
      </c>
      <c r="I613">
        <v>11</v>
      </c>
    </row>
    <row r="614" spans="1:9" x14ac:dyDescent="0.3">
      <c r="A614" t="s">
        <v>192</v>
      </c>
      <c r="B614" t="s">
        <v>194</v>
      </c>
      <c r="C614" t="s">
        <v>12</v>
      </c>
      <c r="D614">
        <v>52</v>
      </c>
      <c r="E614">
        <v>0</v>
      </c>
      <c r="F614">
        <v>5</v>
      </c>
      <c r="G614">
        <v>45</v>
      </c>
      <c r="H614">
        <v>2</v>
      </c>
      <c r="I614">
        <v>0</v>
      </c>
    </row>
    <row r="615" spans="1:9" x14ac:dyDescent="0.3">
      <c r="A615" t="s">
        <v>192</v>
      </c>
      <c r="B615" t="s">
        <v>194</v>
      </c>
      <c r="C615" t="s">
        <v>13</v>
      </c>
      <c r="D615">
        <v>357</v>
      </c>
      <c r="E615">
        <v>5</v>
      </c>
      <c r="F615">
        <v>49</v>
      </c>
      <c r="G615">
        <v>281</v>
      </c>
      <c r="H615">
        <v>11</v>
      </c>
      <c r="I615">
        <v>11</v>
      </c>
    </row>
    <row r="616" spans="1:9" x14ac:dyDescent="0.3">
      <c r="A616" t="s">
        <v>192</v>
      </c>
      <c r="B616" t="s">
        <v>195</v>
      </c>
      <c r="C616" t="s">
        <v>9</v>
      </c>
      <c r="D616">
        <v>265</v>
      </c>
      <c r="E616">
        <v>1</v>
      </c>
      <c r="F616">
        <v>34</v>
      </c>
      <c r="G616">
        <v>214</v>
      </c>
      <c r="H616">
        <v>7</v>
      </c>
      <c r="I616">
        <v>9</v>
      </c>
    </row>
    <row r="617" spans="1:9" x14ac:dyDescent="0.3">
      <c r="A617" t="s">
        <v>192</v>
      </c>
      <c r="B617" t="s">
        <v>195</v>
      </c>
      <c r="C617" t="s">
        <v>12</v>
      </c>
      <c r="D617">
        <v>27</v>
      </c>
      <c r="E617">
        <v>0</v>
      </c>
      <c r="F617">
        <v>0</v>
      </c>
      <c r="G617">
        <v>27</v>
      </c>
      <c r="H617">
        <v>0</v>
      </c>
      <c r="I617">
        <v>0</v>
      </c>
    </row>
    <row r="618" spans="1:9" x14ac:dyDescent="0.3">
      <c r="A618" t="s">
        <v>192</v>
      </c>
      <c r="B618" t="s">
        <v>195</v>
      </c>
      <c r="C618" t="s">
        <v>13</v>
      </c>
      <c r="D618">
        <v>238</v>
      </c>
      <c r="E618">
        <v>1</v>
      </c>
      <c r="F618">
        <v>34</v>
      </c>
      <c r="G618">
        <v>187</v>
      </c>
      <c r="H618">
        <v>7</v>
      </c>
      <c r="I618">
        <v>9</v>
      </c>
    </row>
    <row r="619" spans="1:9" x14ac:dyDescent="0.3">
      <c r="A619" t="s">
        <v>192</v>
      </c>
      <c r="B619" t="s">
        <v>196</v>
      </c>
      <c r="C619" t="s">
        <v>9</v>
      </c>
      <c r="D619">
        <v>538</v>
      </c>
      <c r="E619">
        <v>3</v>
      </c>
      <c r="F619">
        <v>54</v>
      </c>
      <c r="G619">
        <v>433</v>
      </c>
      <c r="H619">
        <v>26</v>
      </c>
      <c r="I619">
        <v>22</v>
      </c>
    </row>
    <row r="620" spans="1:9" x14ac:dyDescent="0.3">
      <c r="A620" t="s">
        <v>192</v>
      </c>
      <c r="B620" t="s">
        <v>196</v>
      </c>
      <c r="C620" t="s">
        <v>12</v>
      </c>
      <c r="D620">
        <v>66</v>
      </c>
      <c r="E620">
        <v>0</v>
      </c>
      <c r="F620">
        <v>3</v>
      </c>
      <c r="G620">
        <v>61</v>
      </c>
      <c r="H620">
        <v>2</v>
      </c>
      <c r="I620">
        <v>0</v>
      </c>
    </row>
    <row r="621" spans="1:9" x14ac:dyDescent="0.3">
      <c r="A621" t="s">
        <v>192</v>
      </c>
      <c r="B621" t="s">
        <v>196</v>
      </c>
      <c r="C621" t="s">
        <v>13</v>
      </c>
      <c r="D621">
        <v>472</v>
      </c>
      <c r="E621">
        <v>3</v>
      </c>
      <c r="F621">
        <v>51</v>
      </c>
      <c r="G621">
        <v>372</v>
      </c>
      <c r="H621">
        <v>24</v>
      </c>
      <c r="I621">
        <v>22</v>
      </c>
    </row>
    <row r="622" spans="1:9" x14ac:dyDescent="0.3">
      <c r="A622" t="s">
        <v>192</v>
      </c>
      <c r="B622" t="s">
        <v>197</v>
      </c>
      <c r="C622" t="s">
        <v>9</v>
      </c>
      <c r="D622" s="1">
        <v>1093</v>
      </c>
      <c r="E622">
        <v>3</v>
      </c>
      <c r="F622">
        <v>208</v>
      </c>
      <c r="G622">
        <v>824</v>
      </c>
      <c r="H622">
        <v>28</v>
      </c>
      <c r="I622">
        <v>30</v>
      </c>
    </row>
    <row r="623" spans="1:9" x14ac:dyDescent="0.3">
      <c r="A623" t="s">
        <v>192</v>
      </c>
      <c r="B623" t="s">
        <v>197</v>
      </c>
      <c r="C623" t="s">
        <v>12</v>
      </c>
      <c r="D623">
        <v>117</v>
      </c>
      <c r="E623">
        <v>0</v>
      </c>
      <c r="F623">
        <v>19</v>
      </c>
      <c r="G623">
        <v>95</v>
      </c>
      <c r="H623">
        <v>0</v>
      </c>
      <c r="I623">
        <v>3</v>
      </c>
    </row>
    <row r="624" spans="1:9" x14ac:dyDescent="0.3">
      <c r="A624" t="s">
        <v>192</v>
      </c>
      <c r="B624" t="s">
        <v>197</v>
      </c>
      <c r="C624" t="s">
        <v>13</v>
      </c>
      <c r="D624">
        <v>976</v>
      </c>
      <c r="E624">
        <v>3</v>
      </c>
      <c r="F624">
        <v>189</v>
      </c>
      <c r="G624">
        <v>729</v>
      </c>
      <c r="H624">
        <v>28</v>
      </c>
      <c r="I624">
        <v>27</v>
      </c>
    </row>
    <row r="625" spans="1:9" x14ac:dyDescent="0.3">
      <c r="A625" t="s">
        <v>192</v>
      </c>
      <c r="B625" t="s">
        <v>198</v>
      </c>
      <c r="C625" t="s">
        <v>9</v>
      </c>
      <c r="D625">
        <v>340</v>
      </c>
      <c r="E625">
        <v>2</v>
      </c>
      <c r="F625">
        <v>41</v>
      </c>
      <c r="G625">
        <v>274</v>
      </c>
      <c r="H625">
        <v>8</v>
      </c>
      <c r="I625">
        <v>15</v>
      </c>
    </row>
    <row r="626" spans="1:9" x14ac:dyDescent="0.3">
      <c r="A626" t="s">
        <v>192</v>
      </c>
      <c r="B626" t="s">
        <v>198</v>
      </c>
      <c r="C626" t="s">
        <v>12</v>
      </c>
      <c r="D626">
        <v>42</v>
      </c>
      <c r="E626">
        <v>0</v>
      </c>
      <c r="F626">
        <v>2</v>
      </c>
      <c r="G626">
        <v>40</v>
      </c>
      <c r="H626">
        <v>0</v>
      </c>
      <c r="I626">
        <v>0</v>
      </c>
    </row>
    <row r="627" spans="1:9" x14ac:dyDescent="0.3">
      <c r="A627" t="s">
        <v>192</v>
      </c>
      <c r="B627" t="s">
        <v>198</v>
      </c>
      <c r="C627" t="s">
        <v>13</v>
      </c>
      <c r="D627">
        <v>298</v>
      </c>
      <c r="E627">
        <v>2</v>
      </c>
      <c r="F627">
        <v>39</v>
      </c>
      <c r="G627">
        <v>234</v>
      </c>
      <c r="H627">
        <v>8</v>
      </c>
      <c r="I627">
        <v>15</v>
      </c>
    </row>
    <row r="628" spans="1:9" x14ac:dyDescent="0.3">
      <c r="A628" t="s">
        <v>192</v>
      </c>
      <c r="B628" t="s">
        <v>199</v>
      </c>
      <c r="C628" t="s">
        <v>9</v>
      </c>
      <c r="D628">
        <v>266</v>
      </c>
      <c r="E628">
        <v>4</v>
      </c>
      <c r="F628">
        <v>32</v>
      </c>
      <c r="G628">
        <v>217</v>
      </c>
      <c r="H628">
        <v>6</v>
      </c>
      <c r="I628">
        <v>7</v>
      </c>
    </row>
    <row r="629" spans="1:9" x14ac:dyDescent="0.3">
      <c r="A629" t="s">
        <v>192</v>
      </c>
      <c r="B629" t="s">
        <v>199</v>
      </c>
      <c r="C629" t="s">
        <v>12</v>
      </c>
      <c r="D629">
        <v>14</v>
      </c>
      <c r="E629">
        <v>0</v>
      </c>
      <c r="F629">
        <v>1</v>
      </c>
      <c r="G629">
        <v>12</v>
      </c>
      <c r="H629">
        <v>0</v>
      </c>
      <c r="I629">
        <v>1</v>
      </c>
    </row>
    <row r="630" spans="1:9" x14ac:dyDescent="0.3">
      <c r="A630" t="s">
        <v>192</v>
      </c>
      <c r="B630" t="s">
        <v>199</v>
      </c>
      <c r="C630" t="s">
        <v>13</v>
      </c>
      <c r="D630">
        <v>252</v>
      </c>
      <c r="E630">
        <v>4</v>
      </c>
      <c r="F630">
        <v>31</v>
      </c>
      <c r="G630">
        <v>205</v>
      </c>
      <c r="H630">
        <v>6</v>
      </c>
      <c r="I630">
        <v>6</v>
      </c>
    </row>
    <row r="631" spans="1:9" x14ac:dyDescent="0.3">
      <c r="A631" t="s">
        <v>192</v>
      </c>
      <c r="B631" t="s">
        <v>200</v>
      </c>
      <c r="C631" t="s">
        <v>9</v>
      </c>
      <c r="D631">
        <v>821</v>
      </c>
      <c r="E631">
        <v>2</v>
      </c>
      <c r="F631">
        <v>170</v>
      </c>
      <c r="G631">
        <v>602</v>
      </c>
      <c r="H631">
        <v>27</v>
      </c>
      <c r="I631">
        <v>20</v>
      </c>
    </row>
    <row r="632" spans="1:9" x14ac:dyDescent="0.3">
      <c r="A632" t="s">
        <v>192</v>
      </c>
      <c r="B632" t="s">
        <v>200</v>
      </c>
      <c r="C632" t="s">
        <v>12</v>
      </c>
      <c r="D632">
        <v>111</v>
      </c>
      <c r="E632">
        <v>0</v>
      </c>
      <c r="F632">
        <v>16</v>
      </c>
      <c r="G632">
        <v>87</v>
      </c>
      <c r="H632">
        <v>4</v>
      </c>
      <c r="I632">
        <v>4</v>
      </c>
    </row>
    <row r="633" spans="1:9" x14ac:dyDescent="0.3">
      <c r="A633" t="s">
        <v>192</v>
      </c>
      <c r="B633" t="s">
        <v>200</v>
      </c>
      <c r="C633" t="s">
        <v>13</v>
      </c>
      <c r="D633">
        <v>710</v>
      </c>
      <c r="E633">
        <v>2</v>
      </c>
      <c r="F633">
        <v>154</v>
      </c>
      <c r="G633">
        <v>515</v>
      </c>
      <c r="H633">
        <v>23</v>
      </c>
      <c r="I633">
        <v>16</v>
      </c>
    </row>
    <row r="634" spans="1:9" x14ac:dyDescent="0.3">
      <c r="A634" t="s">
        <v>192</v>
      </c>
      <c r="B634" t="s">
        <v>201</v>
      </c>
      <c r="C634" t="s">
        <v>9</v>
      </c>
      <c r="D634">
        <v>189</v>
      </c>
      <c r="E634">
        <v>2</v>
      </c>
      <c r="F634">
        <v>23</v>
      </c>
      <c r="G634">
        <v>151</v>
      </c>
      <c r="H634">
        <v>5</v>
      </c>
      <c r="I634">
        <v>8</v>
      </c>
    </row>
    <row r="635" spans="1:9" x14ac:dyDescent="0.3">
      <c r="A635" t="s">
        <v>192</v>
      </c>
      <c r="B635" t="s">
        <v>201</v>
      </c>
      <c r="C635" t="s">
        <v>12</v>
      </c>
      <c r="D635">
        <v>5</v>
      </c>
      <c r="E635">
        <v>0</v>
      </c>
      <c r="F635">
        <v>0</v>
      </c>
      <c r="G635">
        <v>4</v>
      </c>
      <c r="H635">
        <v>0</v>
      </c>
      <c r="I635">
        <v>1</v>
      </c>
    </row>
    <row r="636" spans="1:9" x14ac:dyDescent="0.3">
      <c r="A636" t="s">
        <v>192</v>
      </c>
      <c r="B636" t="s">
        <v>201</v>
      </c>
      <c r="C636" t="s">
        <v>13</v>
      </c>
      <c r="D636">
        <v>184</v>
      </c>
      <c r="E636">
        <v>2</v>
      </c>
      <c r="F636">
        <v>23</v>
      </c>
      <c r="G636">
        <v>147</v>
      </c>
      <c r="H636">
        <v>5</v>
      </c>
      <c r="I636">
        <v>7</v>
      </c>
    </row>
    <row r="637" spans="1:9" x14ac:dyDescent="0.3">
      <c r="A637" t="s">
        <v>192</v>
      </c>
      <c r="B637" t="s">
        <v>202</v>
      </c>
      <c r="C637" t="s">
        <v>9</v>
      </c>
      <c r="D637" s="1">
        <v>2102</v>
      </c>
      <c r="E637">
        <v>4</v>
      </c>
      <c r="F637">
        <v>343</v>
      </c>
      <c r="G637" s="1">
        <v>1628</v>
      </c>
      <c r="H637">
        <v>67</v>
      </c>
      <c r="I637">
        <v>60</v>
      </c>
    </row>
    <row r="638" spans="1:9" x14ac:dyDescent="0.3">
      <c r="A638" t="s">
        <v>192</v>
      </c>
      <c r="B638" t="s">
        <v>202</v>
      </c>
      <c r="C638" t="s">
        <v>12</v>
      </c>
      <c r="D638">
        <v>392</v>
      </c>
      <c r="E638">
        <v>0</v>
      </c>
      <c r="F638">
        <v>54</v>
      </c>
      <c r="G638">
        <v>327</v>
      </c>
      <c r="H638">
        <v>7</v>
      </c>
      <c r="I638">
        <v>4</v>
      </c>
    </row>
    <row r="639" spans="1:9" x14ac:dyDescent="0.3">
      <c r="A639" t="s">
        <v>192</v>
      </c>
      <c r="B639" t="s">
        <v>202</v>
      </c>
      <c r="C639" t="s">
        <v>13</v>
      </c>
      <c r="D639" s="1">
        <v>1710</v>
      </c>
      <c r="E639">
        <v>4</v>
      </c>
      <c r="F639">
        <v>289</v>
      </c>
      <c r="G639" s="1">
        <v>1301</v>
      </c>
      <c r="H639">
        <v>60</v>
      </c>
      <c r="I639">
        <v>56</v>
      </c>
    </row>
    <row r="640" spans="1:9" x14ac:dyDescent="0.3">
      <c r="A640" t="s">
        <v>192</v>
      </c>
      <c r="B640" t="s">
        <v>203</v>
      </c>
      <c r="C640" t="s">
        <v>9</v>
      </c>
      <c r="D640">
        <v>350</v>
      </c>
      <c r="E640">
        <v>2</v>
      </c>
      <c r="F640">
        <v>43</v>
      </c>
      <c r="G640">
        <v>285</v>
      </c>
      <c r="H640">
        <v>8</v>
      </c>
      <c r="I640">
        <v>12</v>
      </c>
    </row>
    <row r="641" spans="1:9" x14ac:dyDescent="0.3">
      <c r="A641" t="s">
        <v>192</v>
      </c>
      <c r="B641" t="s">
        <v>203</v>
      </c>
      <c r="C641" t="s">
        <v>12</v>
      </c>
      <c r="D641">
        <v>39</v>
      </c>
      <c r="E641">
        <v>0</v>
      </c>
      <c r="F641">
        <v>1</v>
      </c>
      <c r="G641">
        <v>34</v>
      </c>
      <c r="H641">
        <v>2</v>
      </c>
      <c r="I641">
        <v>2</v>
      </c>
    </row>
    <row r="642" spans="1:9" x14ac:dyDescent="0.3">
      <c r="A642" t="s">
        <v>192</v>
      </c>
      <c r="B642" t="s">
        <v>203</v>
      </c>
      <c r="C642" t="s">
        <v>13</v>
      </c>
      <c r="D642">
        <v>311</v>
      </c>
      <c r="E642">
        <v>2</v>
      </c>
      <c r="F642">
        <v>42</v>
      </c>
      <c r="G642">
        <v>251</v>
      </c>
      <c r="H642">
        <v>6</v>
      </c>
      <c r="I642">
        <v>10</v>
      </c>
    </row>
    <row r="643" spans="1:9" x14ac:dyDescent="0.3">
      <c r="A643" t="s">
        <v>192</v>
      </c>
      <c r="B643" t="s">
        <v>204</v>
      </c>
      <c r="C643" t="s">
        <v>9</v>
      </c>
      <c r="D643" s="1">
        <v>1243</v>
      </c>
      <c r="E643">
        <v>4</v>
      </c>
      <c r="F643">
        <v>226</v>
      </c>
      <c r="G643">
        <v>923</v>
      </c>
      <c r="H643">
        <v>56</v>
      </c>
      <c r="I643">
        <v>34</v>
      </c>
    </row>
    <row r="644" spans="1:9" x14ac:dyDescent="0.3">
      <c r="A644" t="s">
        <v>192</v>
      </c>
      <c r="B644" t="s">
        <v>204</v>
      </c>
      <c r="C644" t="s">
        <v>12</v>
      </c>
      <c r="D644">
        <v>221</v>
      </c>
      <c r="E644">
        <v>2</v>
      </c>
      <c r="F644">
        <v>17</v>
      </c>
      <c r="G644">
        <v>194</v>
      </c>
      <c r="H644">
        <v>5</v>
      </c>
      <c r="I644">
        <v>3</v>
      </c>
    </row>
    <row r="645" spans="1:9" x14ac:dyDescent="0.3">
      <c r="A645" t="s">
        <v>192</v>
      </c>
      <c r="B645" t="s">
        <v>204</v>
      </c>
      <c r="C645" t="s">
        <v>13</v>
      </c>
      <c r="D645" s="1">
        <v>1022</v>
      </c>
      <c r="E645">
        <v>2</v>
      </c>
      <c r="F645">
        <v>209</v>
      </c>
      <c r="G645">
        <v>729</v>
      </c>
      <c r="H645">
        <v>51</v>
      </c>
      <c r="I645">
        <v>31</v>
      </c>
    </row>
    <row r="646" spans="1:9" x14ac:dyDescent="0.3">
      <c r="A646" t="s">
        <v>192</v>
      </c>
      <c r="B646" t="s">
        <v>205</v>
      </c>
      <c r="C646" t="s">
        <v>9</v>
      </c>
      <c r="D646" s="1">
        <v>1760</v>
      </c>
      <c r="E646">
        <v>5</v>
      </c>
      <c r="F646">
        <v>336</v>
      </c>
      <c r="G646" s="1">
        <v>1317</v>
      </c>
      <c r="H646">
        <v>50</v>
      </c>
      <c r="I646">
        <v>52</v>
      </c>
    </row>
    <row r="647" spans="1:9" x14ac:dyDescent="0.3">
      <c r="A647" t="s">
        <v>192</v>
      </c>
      <c r="B647" t="s">
        <v>205</v>
      </c>
      <c r="C647" t="s">
        <v>12</v>
      </c>
      <c r="D647">
        <v>301</v>
      </c>
      <c r="E647">
        <v>0</v>
      </c>
      <c r="F647">
        <v>33</v>
      </c>
      <c r="G647">
        <v>253</v>
      </c>
      <c r="H647">
        <v>10</v>
      </c>
      <c r="I647">
        <v>5</v>
      </c>
    </row>
    <row r="648" spans="1:9" x14ac:dyDescent="0.3">
      <c r="A648" t="s">
        <v>192</v>
      </c>
      <c r="B648" t="s">
        <v>205</v>
      </c>
      <c r="C648" t="s">
        <v>13</v>
      </c>
      <c r="D648" s="1">
        <v>1459</v>
      </c>
      <c r="E648">
        <v>5</v>
      </c>
      <c r="F648">
        <v>303</v>
      </c>
      <c r="G648" s="1">
        <v>1064</v>
      </c>
      <c r="H648">
        <v>40</v>
      </c>
      <c r="I648">
        <v>47</v>
      </c>
    </row>
    <row r="649" spans="1:9" x14ac:dyDescent="0.3">
      <c r="A649" t="s">
        <v>192</v>
      </c>
      <c r="B649" t="s">
        <v>206</v>
      </c>
      <c r="C649" t="s">
        <v>9</v>
      </c>
      <c r="D649">
        <v>136</v>
      </c>
      <c r="E649">
        <v>1</v>
      </c>
      <c r="F649">
        <v>11</v>
      </c>
      <c r="G649">
        <v>117</v>
      </c>
      <c r="H649">
        <v>4</v>
      </c>
      <c r="I649">
        <v>3</v>
      </c>
    </row>
    <row r="650" spans="1:9" x14ac:dyDescent="0.3">
      <c r="A650" t="s">
        <v>192</v>
      </c>
      <c r="B650" t="s">
        <v>206</v>
      </c>
      <c r="C650" t="s">
        <v>12</v>
      </c>
      <c r="D650">
        <v>6</v>
      </c>
      <c r="E650">
        <v>0</v>
      </c>
      <c r="F650">
        <v>1</v>
      </c>
      <c r="G650">
        <v>5</v>
      </c>
      <c r="H650">
        <v>0</v>
      </c>
      <c r="I650">
        <v>0</v>
      </c>
    </row>
    <row r="651" spans="1:9" x14ac:dyDescent="0.3">
      <c r="A651" t="s">
        <v>192</v>
      </c>
      <c r="B651" t="s">
        <v>206</v>
      </c>
      <c r="C651" t="s">
        <v>13</v>
      </c>
      <c r="D651">
        <v>130</v>
      </c>
      <c r="E651">
        <v>1</v>
      </c>
      <c r="F651">
        <v>10</v>
      </c>
      <c r="G651">
        <v>112</v>
      </c>
      <c r="H651">
        <v>4</v>
      </c>
      <c r="I651">
        <v>3</v>
      </c>
    </row>
    <row r="652" spans="1:9" x14ac:dyDescent="0.3">
      <c r="A652" t="s">
        <v>192</v>
      </c>
      <c r="B652" t="s">
        <v>207</v>
      </c>
      <c r="C652" t="s">
        <v>9</v>
      </c>
      <c r="D652">
        <v>223</v>
      </c>
      <c r="E652">
        <v>1</v>
      </c>
      <c r="F652">
        <v>31</v>
      </c>
      <c r="G652">
        <v>181</v>
      </c>
      <c r="H652">
        <v>6</v>
      </c>
      <c r="I652">
        <v>4</v>
      </c>
    </row>
    <row r="653" spans="1:9" x14ac:dyDescent="0.3">
      <c r="A653" t="s">
        <v>192</v>
      </c>
      <c r="B653" t="s">
        <v>207</v>
      </c>
      <c r="C653" t="s">
        <v>12</v>
      </c>
      <c r="D653">
        <v>12</v>
      </c>
      <c r="E653">
        <v>0</v>
      </c>
      <c r="F653">
        <v>2</v>
      </c>
      <c r="G653">
        <v>9</v>
      </c>
      <c r="H653">
        <v>1</v>
      </c>
      <c r="I653">
        <v>0</v>
      </c>
    </row>
    <row r="654" spans="1:9" x14ac:dyDescent="0.3">
      <c r="A654" t="s">
        <v>192</v>
      </c>
      <c r="B654" t="s">
        <v>207</v>
      </c>
      <c r="C654" t="s">
        <v>13</v>
      </c>
      <c r="D654">
        <v>211</v>
      </c>
      <c r="E654">
        <v>1</v>
      </c>
      <c r="F654">
        <v>29</v>
      </c>
      <c r="G654">
        <v>172</v>
      </c>
      <c r="H654">
        <v>5</v>
      </c>
      <c r="I654">
        <v>4</v>
      </c>
    </row>
    <row r="655" spans="1:9" x14ac:dyDescent="0.3">
      <c r="A655" t="s">
        <v>192</v>
      </c>
      <c r="B655" t="s">
        <v>208</v>
      </c>
      <c r="C655" t="s">
        <v>9</v>
      </c>
      <c r="D655">
        <v>444</v>
      </c>
      <c r="E655">
        <v>5</v>
      </c>
      <c r="F655">
        <v>69</v>
      </c>
      <c r="G655">
        <v>351</v>
      </c>
      <c r="H655">
        <v>8</v>
      </c>
      <c r="I655">
        <v>11</v>
      </c>
    </row>
    <row r="656" spans="1:9" x14ac:dyDescent="0.3">
      <c r="A656" t="s">
        <v>192</v>
      </c>
      <c r="B656" t="s">
        <v>208</v>
      </c>
      <c r="C656" t="s">
        <v>12</v>
      </c>
      <c r="D656">
        <v>58</v>
      </c>
      <c r="E656">
        <v>0</v>
      </c>
      <c r="F656">
        <v>7</v>
      </c>
      <c r="G656">
        <v>50</v>
      </c>
      <c r="H656">
        <v>0</v>
      </c>
      <c r="I656">
        <v>1</v>
      </c>
    </row>
    <row r="657" spans="1:9" x14ac:dyDescent="0.3">
      <c r="A657" t="s">
        <v>192</v>
      </c>
      <c r="B657" t="s">
        <v>208</v>
      </c>
      <c r="C657" t="s">
        <v>13</v>
      </c>
      <c r="D657">
        <v>386</v>
      </c>
      <c r="E657">
        <v>5</v>
      </c>
      <c r="F657">
        <v>62</v>
      </c>
      <c r="G657">
        <v>301</v>
      </c>
      <c r="H657">
        <v>8</v>
      </c>
      <c r="I657">
        <v>10</v>
      </c>
    </row>
    <row r="658" spans="1:9" x14ac:dyDescent="0.3">
      <c r="A658" t="s">
        <v>209</v>
      </c>
      <c r="B658" t="s">
        <v>9</v>
      </c>
      <c r="C658" t="s">
        <v>9</v>
      </c>
      <c r="D658" s="1">
        <v>6300</v>
      </c>
      <c r="E658">
        <v>29</v>
      </c>
      <c r="F658">
        <v>919</v>
      </c>
      <c r="G658" s="1">
        <v>4993</v>
      </c>
      <c r="H658">
        <v>176</v>
      </c>
      <c r="I658">
        <v>183</v>
      </c>
    </row>
    <row r="659" spans="1:9" x14ac:dyDescent="0.3">
      <c r="A659" t="s">
        <v>209</v>
      </c>
      <c r="B659" t="s">
        <v>9</v>
      </c>
      <c r="C659" t="s">
        <v>12</v>
      </c>
      <c r="D659" s="1">
        <f>D662+D665+D668+D671+D674+D677+D680+D683+D686+D689+D692+D695+D698+D701</f>
        <v>931</v>
      </c>
      <c r="E659" s="1">
        <f t="shared" ref="E659:I659" si="28">E662+E665+E668+E671+E674+E677+E680+E683+E686+E689+E692+E695+E698+E701</f>
        <v>0</v>
      </c>
      <c r="F659" s="1">
        <f t="shared" si="28"/>
        <v>86</v>
      </c>
      <c r="G659" s="1">
        <f t="shared" si="28"/>
        <v>803</v>
      </c>
      <c r="H659" s="1">
        <f t="shared" si="28"/>
        <v>25</v>
      </c>
      <c r="I659" s="1">
        <f t="shared" si="28"/>
        <v>17</v>
      </c>
    </row>
    <row r="660" spans="1:9" x14ac:dyDescent="0.3">
      <c r="A660" t="s">
        <v>209</v>
      </c>
      <c r="B660" t="s">
        <v>9</v>
      </c>
      <c r="C660" t="s">
        <v>13</v>
      </c>
      <c r="D660" s="1">
        <f>D663+D666+D669+D672+D675+D678+D681+D684+D687+D690+D693+D696+D699+D702</f>
        <v>5369</v>
      </c>
      <c r="E660" s="1">
        <f t="shared" ref="E660:I660" si="29">E663+E666+E669+E672+E675+E678+E681+E684+E687+E690+E693+E696+E699+E702</f>
        <v>29</v>
      </c>
      <c r="F660" s="1">
        <f t="shared" si="29"/>
        <v>833</v>
      </c>
      <c r="G660" s="1">
        <f t="shared" si="29"/>
        <v>4190</v>
      </c>
      <c r="H660" s="1">
        <f t="shared" si="29"/>
        <v>151</v>
      </c>
      <c r="I660" s="1">
        <f t="shared" si="29"/>
        <v>166</v>
      </c>
    </row>
    <row r="661" spans="1:9" x14ac:dyDescent="0.3">
      <c r="A661" t="s">
        <v>209</v>
      </c>
      <c r="B661" t="s">
        <v>210</v>
      </c>
      <c r="C661" t="s">
        <v>9</v>
      </c>
      <c r="D661">
        <v>167</v>
      </c>
      <c r="E661">
        <v>2</v>
      </c>
      <c r="F661">
        <v>24</v>
      </c>
      <c r="G661">
        <v>137</v>
      </c>
      <c r="H661">
        <v>1</v>
      </c>
      <c r="I661">
        <v>3</v>
      </c>
    </row>
    <row r="662" spans="1:9" x14ac:dyDescent="0.3">
      <c r="A662" t="s">
        <v>209</v>
      </c>
      <c r="B662" t="s">
        <v>210</v>
      </c>
      <c r="C662" t="s">
        <v>12</v>
      </c>
      <c r="D662">
        <v>18</v>
      </c>
      <c r="E662">
        <v>0</v>
      </c>
      <c r="F662">
        <v>3</v>
      </c>
      <c r="G662">
        <v>15</v>
      </c>
      <c r="H662">
        <v>0</v>
      </c>
      <c r="I662">
        <v>0</v>
      </c>
    </row>
    <row r="663" spans="1:9" x14ac:dyDescent="0.3">
      <c r="A663" t="s">
        <v>209</v>
      </c>
      <c r="B663" t="s">
        <v>210</v>
      </c>
      <c r="C663" t="s">
        <v>13</v>
      </c>
      <c r="D663">
        <v>149</v>
      </c>
      <c r="E663">
        <v>2</v>
      </c>
      <c r="F663">
        <v>21</v>
      </c>
      <c r="G663">
        <v>122</v>
      </c>
      <c r="H663">
        <v>1</v>
      </c>
      <c r="I663">
        <v>3</v>
      </c>
    </row>
    <row r="664" spans="1:9" x14ac:dyDescent="0.3">
      <c r="A664" t="s">
        <v>209</v>
      </c>
      <c r="B664" t="s">
        <v>211</v>
      </c>
      <c r="C664" t="s">
        <v>9</v>
      </c>
      <c r="D664">
        <v>102</v>
      </c>
      <c r="E664">
        <v>0</v>
      </c>
      <c r="F664">
        <v>15</v>
      </c>
      <c r="G664">
        <v>85</v>
      </c>
      <c r="H664">
        <v>1</v>
      </c>
      <c r="I664">
        <v>1</v>
      </c>
    </row>
    <row r="665" spans="1:9" x14ac:dyDescent="0.3">
      <c r="A665" t="s">
        <v>209</v>
      </c>
      <c r="B665" t="s">
        <v>211</v>
      </c>
      <c r="C665" t="s">
        <v>12</v>
      </c>
      <c r="D665">
        <v>13</v>
      </c>
      <c r="E665">
        <v>0</v>
      </c>
      <c r="F665">
        <v>0</v>
      </c>
      <c r="G665">
        <v>13</v>
      </c>
      <c r="H665">
        <v>0</v>
      </c>
      <c r="I665">
        <v>0</v>
      </c>
    </row>
    <row r="666" spans="1:9" x14ac:dyDescent="0.3">
      <c r="A666" t="s">
        <v>209</v>
      </c>
      <c r="B666" t="s">
        <v>211</v>
      </c>
      <c r="C666" t="s">
        <v>13</v>
      </c>
      <c r="D666">
        <v>89</v>
      </c>
      <c r="E666">
        <v>0</v>
      </c>
      <c r="F666">
        <v>15</v>
      </c>
      <c r="G666">
        <v>72</v>
      </c>
      <c r="H666">
        <v>1</v>
      </c>
      <c r="I666">
        <v>1</v>
      </c>
    </row>
    <row r="667" spans="1:9" x14ac:dyDescent="0.3">
      <c r="A667" t="s">
        <v>209</v>
      </c>
      <c r="B667" t="s">
        <v>212</v>
      </c>
      <c r="C667" t="s">
        <v>9</v>
      </c>
      <c r="D667">
        <v>142</v>
      </c>
      <c r="E667">
        <v>0</v>
      </c>
      <c r="F667">
        <v>21</v>
      </c>
      <c r="G667">
        <v>110</v>
      </c>
      <c r="H667">
        <v>6</v>
      </c>
      <c r="I667">
        <v>5</v>
      </c>
    </row>
    <row r="668" spans="1:9" x14ac:dyDescent="0.3">
      <c r="A668" t="s">
        <v>209</v>
      </c>
      <c r="B668" t="s">
        <v>212</v>
      </c>
      <c r="C668" t="s">
        <v>12</v>
      </c>
      <c r="D668">
        <v>12</v>
      </c>
      <c r="E668">
        <v>0</v>
      </c>
      <c r="F668">
        <v>1</v>
      </c>
      <c r="G668">
        <v>11</v>
      </c>
      <c r="H668">
        <v>0</v>
      </c>
      <c r="I668">
        <v>0</v>
      </c>
    </row>
    <row r="669" spans="1:9" x14ac:dyDescent="0.3">
      <c r="A669" t="s">
        <v>209</v>
      </c>
      <c r="B669" t="s">
        <v>212</v>
      </c>
      <c r="C669" t="s">
        <v>13</v>
      </c>
      <c r="D669">
        <v>130</v>
      </c>
      <c r="E669">
        <v>0</v>
      </c>
      <c r="F669">
        <v>20</v>
      </c>
      <c r="G669">
        <v>99</v>
      </c>
      <c r="H669">
        <v>6</v>
      </c>
      <c r="I669">
        <v>5</v>
      </c>
    </row>
    <row r="670" spans="1:9" x14ac:dyDescent="0.3">
      <c r="A670" t="s">
        <v>209</v>
      </c>
      <c r="B670" t="s">
        <v>213</v>
      </c>
      <c r="C670" t="s">
        <v>9</v>
      </c>
      <c r="D670">
        <v>169</v>
      </c>
      <c r="E670">
        <v>6</v>
      </c>
      <c r="F670">
        <v>20</v>
      </c>
      <c r="G670">
        <v>131</v>
      </c>
      <c r="H670">
        <v>5</v>
      </c>
      <c r="I670">
        <v>7</v>
      </c>
    </row>
    <row r="671" spans="1:9" x14ac:dyDescent="0.3">
      <c r="A671" t="s">
        <v>209</v>
      </c>
      <c r="B671" t="s">
        <v>213</v>
      </c>
      <c r="C671" t="s">
        <v>12</v>
      </c>
      <c r="D671">
        <v>11</v>
      </c>
      <c r="E671">
        <v>0</v>
      </c>
      <c r="F671">
        <v>0</v>
      </c>
      <c r="G671">
        <v>11</v>
      </c>
      <c r="H671">
        <v>0</v>
      </c>
      <c r="I671">
        <v>0</v>
      </c>
    </row>
    <row r="672" spans="1:9" x14ac:dyDescent="0.3">
      <c r="A672" t="s">
        <v>209</v>
      </c>
      <c r="B672" t="s">
        <v>213</v>
      </c>
      <c r="C672" t="s">
        <v>13</v>
      </c>
      <c r="D672">
        <v>158</v>
      </c>
      <c r="E672">
        <v>6</v>
      </c>
      <c r="F672">
        <v>20</v>
      </c>
      <c r="G672">
        <v>120</v>
      </c>
      <c r="H672">
        <v>5</v>
      </c>
      <c r="I672">
        <v>7</v>
      </c>
    </row>
    <row r="673" spans="1:9" x14ac:dyDescent="0.3">
      <c r="A673" t="s">
        <v>209</v>
      </c>
      <c r="B673" t="s">
        <v>214</v>
      </c>
      <c r="C673" t="s">
        <v>9</v>
      </c>
      <c r="D673">
        <v>188</v>
      </c>
      <c r="E673">
        <v>2</v>
      </c>
      <c r="F673">
        <v>25</v>
      </c>
      <c r="G673">
        <v>150</v>
      </c>
      <c r="H673">
        <v>2</v>
      </c>
      <c r="I673">
        <v>9</v>
      </c>
    </row>
    <row r="674" spans="1:9" x14ac:dyDescent="0.3">
      <c r="A674" t="s">
        <v>209</v>
      </c>
      <c r="B674" t="s">
        <v>214</v>
      </c>
      <c r="C674" t="s">
        <v>12</v>
      </c>
      <c r="D674">
        <v>29</v>
      </c>
      <c r="E674">
        <v>0</v>
      </c>
      <c r="F674">
        <v>4</v>
      </c>
      <c r="G674">
        <v>24</v>
      </c>
      <c r="H674">
        <v>0</v>
      </c>
      <c r="I674">
        <v>1</v>
      </c>
    </row>
    <row r="675" spans="1:9" x14ac:dyDescent="0.3">
      <c r="A675" t="s">
        <v>209</v>
      </c>
      <c r="B675" t="s">
        <v>214</v>
      </c>
      <c r="C675" t="s">
        <v>13</v>
      </c>
      <c r="D675">
        <v>159</v>
      </c>
      <c r="E675">
        <v>2</v>
      </c>
      <c r="F675">
        <v>21</v>
      </c>
      <c r="G675">
        <v>126</v>
      </c>
      <c r="H675">
        <v>2</v>
      </c>
      <c r="I675">
        <v>8</v>
      </c>
    </row>
    <row r="676" spans="1:9" x14ac:dyDescent="0.3">
      <c r="A676" t="s">
        <v>209</v>
      </c>
      <c r="B676" t="s">
        <v>215</v>
      </c>
      <c r="C676" t="s">
        <v>9</v>
      </c>
      <c r="D676">
        <v>783</v>
      </c>
      <c r="E676">
        <v>1</v>
      </c>
      <c r="F676">
        <v>102</v>
      </c>
      <c r="G676">
        <v>631</v>
      </c>
      <c r="H676">
        <v>19</v>
      </c>
      <c r="I676">
        <v>30</v>
      </c>
    </row>
    <row r="677" spans="1:9" x14ac:dyDescent="0.3">
      <c r="A677" t="s">
        <v>209</v>
      </c>
      <c r="B677" t="s">
        <v>215</v>
      </c>
      <c r="C677" t="s">
        <v>12</v>
      </c>
      <c r="D677">
        <v>126</v>
      </c>
      <c r="E677">
        <v>0</v>
      </c>
      <c r="F677">
        <v>15</v>
      </c>
      <c r="G677">
        <v>105</v>
      </c>
      <c r="H677">
        <v>5</v>
      </c>
      <c r="I677">
        <v>1</v>
      </c>
    </row>
    <row r="678" spans="1:9" x14ac:dyDescent="0.3">
      <c r="A678" t="s">
        <v>209</v>
      </c>
      <c r="B678" t="s">
        <v>215</v>
      </c>
      <c r="C678" t="s">
        <v>13</v>
      </c>
      <c r="D678">
        <v>657</v>
      </c>
      <c r="E678">
        <v>1</v>
      </c>
      <c r="F678">
        <v>87</v>
      </c>
      <c r="G678">
        <v>526</v>
      </c>
      <c r="H678">
        <v>14</v>
      </c>
      <c r="I678">
        <v>29</v>
      </c>
    </row>
    <row r="679" spans="1:9" x14ac:dyDescent="0.3">
      <c r="A679" t="s">
        <v>209</v>
      </c>
      <c r="B679" t="s">
        <v>216</v>
      </c>
      <c r="C679" t="s">
        <v>9</v>
      </c>
      <c r="D679">
        <v>402</v>
      </c>
      <c r="E679">
        <v>1</v>
      </c>
      <c r="F679">
        <v>56</v>
      </c>
      <c r="G679">
        <v>328</v>
      </c>
      <c r="H679">
        <v>5</v>
      </c>
      <c r="I679">
        <v>12</v>
      </c>
    </row>
    <row r="680" spans="1:9" x14ac:dyDescent="0.3">
      <c r="A680" t="s">
        <v>209</v>
      </c>
      <c r="B680" t="s">
        <v>216</v>
      </c>
      <c r="C680" t="s">
        <v>12</v>
      </c>
      <c r="D680">
        <v>46</v>
      </c>
      <c r="E680">
        <v>0</v>
      </c>
      <c r="F680">
        <v>5</v>
      </c>
      <c r="G680">
        <v>40</v>
      </c>
      <c r="H680">
        <v>0</v>
      </c>
      <c r="I680">
        <v>1</v>
      </c>
    </row>
    <row r="681" spans="1:9" x14ac:dyDescent="0.3">
      <c r="A681" t="s">
        <v>209</v>
      </c>
      <c r="B681" t="s">
        <v>216</v>
      </c>
      <c r="C681" t="s">
        <v>13</v>
      </c>
      <c r="D681">
        <v>356</v>
      </c>
      <c r="E681">
        <v>1</v>
      </c>
      <c r="F681">
        <v>51</v>
      </c>
      <c r="G681">
        <v>288</v>
      </c>
      <c r="H681">
        <v>5</v>
      </c>
      <c r="I681">
        <v>11</v>
      </c>
    </row>
    <row r="682" spans="1:9" x14ac:dyDescent="0.3">
      <c r="A682" t="s">
        <v>209</v>
      </c>
      <c r="B682" t="s">
        <v>217</v>
      </c>
      <c r="C682" t="s">
        <v>9</v>
      </c>
      <c r="D682">
        <v>229</v>
      </c>
      <c r="E682">
        <v>0</v>
      </c>
      <c r="F682">
        <v>50</v>
      </c>
      <c r="G682">
        <v>170</v>
      </c>
      <c r="H682">
        <v>7</v>
      </c>
      <c r="I682">
        <v>2</v>
      </c>
    </row>
    <row r="683" spans="1:9" x14ac:dyDescent="0.3">
      <c r="A683" t="s">
        <v>209</v>
      </c>
      <c r="B683" t="s">
        <v>217</v>
      </c>
      <c r="C683" t="s">
        <v>12</v>
      </c>
      <c r="D683">
        <v>41</v>
      </c>
      <c r="E683">
        <v>0</v>
      </c>
      <c r="F683">
        <v>2</v>
      </c>
      <c r="G683">
        <v>38</v>
      </c>
      <c r="H683">
        <v>1</v>
      </c>
      <c r="I683">
        <v>0</v>
      </c>
    </row>
    <row r="684" spans="1:9" x14ac:dyDescent="0.3">
      <c r="A684" t="s">
        <v>209</v>
      </c>
      <c r="B684" t="s">
        <v>217</v>
      </c>
      <c r="C684" t="s">
        <v>13</v>
      </c>
      <c r="D684">
        <v>188</v>
      </c>
      <c r="E684">
        <v>0</v>
      </c>
      <c r="F684">
        <v>48</v>
      </c>
      <c r="G684">
        <v>132</v>
      </c>
      <c r="H684">
        <v>6</v>
      </c>
      <c r="I684">
        <v>2</v>
      </c>
    </row>
    <row r="685" spans="1:9" x14ac:dyDescent="0.3">
      <c r="A685" t="s">
        <v>209</v>
      </c>
      <c r="B685" t="s">
        <v>218</v>
      </c>
      <c r="C685" t="s">
        <v>9</v>
      </c>
      <c r="D685">
        <v>648</v>
      </c>
      <c r="E685">
        <v>1</v>
      </c>
      <c r="F685">
        <v>86</v>
      </c>
      <c r="G685">
        <v>509</v>
      </c>
      <c r="H685">
        <v>27</v>
      </c>
      <c r="I685">
        <v>25</v>
      </c>
    </row>
    <row r="686" spans="1:9" x14ac:dyDescent="0.3">
      <c r="A686" t="s">
        <v>209</v>
      </c>
      <c r="B686" t="s">
        <v>218</v>
      </c>
      <c r="C686" t="s">
        <v>12</v>
      </c>
      <c r="D686">
        <v>129</v>
      </c>
      <c r="E686">
        <v>0</v>
      </c>
      <c r="F686">
        <v>11</v>
      </c>
      <c r="G686">
        <v>109</v>
      </c>
      <c r="H686">
        <v>4</v>
      </c>
      <c r="I686">
        <v>5</v>
      </c>
    </row>
    <row r="687" spans="1:9" x14ac:dyDescent="0.3">
      <c r="A687" t="s">
        <v>209</v>
      </c>
      <c r="B687" t="s">
        <v>218</v>
      </c>
      <c r="C687" t="s">
        <v>13</v>
      </c>
      <c r="D687">
        <v>519</v>
      </c>
      <c r="E687">
        <v>1</v>
      </c>
      <c r="F687">
        <v>75</v>
      </c>
      <c r="G687">
        <v>400</v>
      </c>
      <c r="H687">
        <v>23</v>
      </c>
      <c r="I687">
        <v>20</v>
      </c>
    </row>
    <row r="688" spans="1:9" x14ac:dyDescent="0.3">
      <c r="A688" t="s">
        <v>209</v>
      </c>
      <c r="B688" t="s">
        <v>219</v>
      </c>
      <c r="C688" t="s">
        <v>9</v>
      </c>
      <c r="D688">
        <v>530</v>
      </c>
      <c r="E688">
        <v>2</v>
      </c>
      <c r="F688">
        <v>92</v>
      </c>
      <c r="G688">
        <v>421</v>
      </c>
      <c r="H688">
        <v>4</v>
      </c>
      <c r="I688">
        <v>11</v>
      </c>
    </row>
    <row r="689" spans="1:9" x14ac:dyDescent="0.3">
      <c r="A689" t="s">
        <v>209</v>
      </c>
      <c r="B689" t="s">
        <v>219</v>
      </c>
      <c r="C689" t="s">
        <v>12</v>
      </c>
      <c r="D689">
        <v>72</v>
      </c>
      <c r="E689">
        <v>0</v>
      </c>
      <c r="F689">
        <v>4</v>
      </c>
      <c r="G689">
        <v>67</v>
      </c>
      <c r="H689">
        <v>0</v>
      </c>
      <c r="I689">
        <v>1</v>
      </c>
    </row>
    <row r="690" spans="1:9" x14ac:dyDescent="0.3">
      <c r="A690" t="s">
        <v>209</v>
      </c>
      <c r="B690" t="s">
        <v>219</v>
      </c>
      <c r="C690" t="s">
        <v>13</v>
      </c>
      <c r="D690">
        <v>458</v>
      </c>
      <c r="E690">
        <v>2</v>
      </c>
      <c r="F690">
        <v>88</v>
      </c>
      <c r="G690">
        <v>354</v>
      </c>
      <c r="H690">
        <v>4</v>
      </c>
      <c r="I690">
        <v>10</v>
      </c>
    </row>
    <row r="691" spans="1:9" x14ac:dyDescent="0.3">
      <c r="A691" t="s">
        <v>209</v>
      </c>
      <c r="B691" t="s">
        <v>220</v>
      </c>
      <c r="C691" t="s">
        <v>9</v>
      </c>
      <c r="D691">
        <v>512</v>
      </c>
      <c r="E691">
        <v>2</v>
      </c>
      <c r="F691">
        <v>81</v>
      </c>
      <c r="G691">
        <v>403</v>
      </c>
      <c r="H691">
        <v>11</v>
      </c>
      <c r="I691">
        <v>15</v>
      </c>
    </row>
    <row r="692" spans="1:9" x14ac:dyDescent="0.3">
      <c r="A692" t="s">
        <v>209</v>
      </c>
      <c r="B692" t="s">
        <v>220</v>
      </c>
      <c r="C692" t="s">
        <v>12</v>
      </c>
      <c r="D692">
        <v>77</v>
      </c>
      <c r="E692">
        <v>0</v>
      </c>
      <c r="F692">
        <v>10</v>
      </c>
      <c r="G692">
        <v>65</v>
      </c>
      <c r="H692">
        <v>1</v>
      </c>
      <c r="I692">
        <v>1</v>
      </c>
    </row>
    <row r="693" spans="1:9" x14ac:dyDescent="0.3">
      <c r="A693" t="s">
        <v>209</v>
      </c>
      <c r="B693" t="s">
        <v>220</v>
      </c>
      <c r="C693" t="s">
        <v>13</v>
      </c>
      <c r="D693">
        <v>435</v>
      </c>
      <c r="E693">
        <v>2</v>
      </c>
      <c r="F693">
        <v>71</v>
      </c>
      <c r="G693">
        <v>338</v>
      </c>
      <c r="H693">
        <v>10</v>
      </c>
      <c r="I693">
        <v>14</v>
      </c>
    </row>
    <row r="694" spans="1:9" x14ac:dyDescent="0.3">
      <c r="A694" t="s">
        <v>209</v>
      </c>
      <c r="B694" t="s">
        <v>221</v>
      </c>
      <c r="C694" t="s">
        <v>9</v>
      </c>
      <c r="D694">
        <v>681</v>
      </c>
      <c r="E694">
        <v>0</v>
      </c>
      <c r="F694">
        <v>115</v>
      </c>
      <c r="G694">
        <v>526</v>
      </c>
      <c r="H694">
        <v>21</v>
      </c>
      <c r="I694">
        <v>19</v>
      </c>
    </row>
    <row r="695" spans="1:9" x14ac:dyDescent="0.3">
      <c r="A695" t="s">
        <v>209</v>
      </c>
      <c r="B695" t="s">
        <v>221</v>
      </c>
      <c r="C695" t="s">
        <v>12</v>
      </c>
      <c r="D695">
        <v>90</v>
      </c>
      <c r="E695">
        <v>0</v>
      </c>
      <c r="F695">
        <v>11</v>
      </c>
      <c r="G695">
        <v>75</v>
      </c>
      <c r="H695">
        <v>3</v>
      </c>
      <c r="I695">
        <v>1</v>
      </c>
    </row>
    <row r="696" spans="1:9" x14ac:dyDescent="0.3">
      <c r="A696" t="s">
        <v>209</v>
      </c>
      <c r="B696" t="s">
        <v>221</v>
      </c>
      <c r="C696" t="s">
        <v>13</v>
      </c>
      <c r="D696">
        <v>591</v>
      </c>
      <c r="E696">
        <v>0</v>
      </c>
      <c r="F696">
        <v>104</v>
      </c>
      <c r="G696">
        <v>451</v>
      </c>
      <c r="H696">
        <v>18</v>
      </c>
      <c r="I696">
        <v>18</v>
      </c>
    </row>
    <row r="697" spans="1:9" x14ac:dyDescent="0.3">
      <c r="A697" t="s">
        <v>209</v>
      </c>
      <c r="B697" t="s">
        <v>222</v>
      </c>
      <c r="C697" t="s">
        <v>9</v>
      </c>
      <c r="D697">
        <v>950</v>
      </c>
      <c r="E697">
        <v>8</v>
      </c>
      <c r="F697">
        <v>132</v>
      </c>
      <c r="G697">
        <v>750</v>
      </c>
      <c r="H697">
        <v>36</v>
      </c>
      <c r="I697">
        <v>24</v>
      </c>
    </row>
    <row r="698" spans="1:9" x14ac:dyDescent="0.3">
      <c r="A698" t="s">
        <v>209</v>
      </c>
      <c r="B698" t="s">
        <v>222</v>
      </c>
      <c r="C698" t="s">
        <v>12</v>
      </c>
      <c r="D698">
        <v>141</v>
      </c>
      <c r="E698">
        <v>0</v>
      </c>
      <c r="F698">
        <v>12</v>
      </c>
      <c r="G698">
        <v>118</v>
      </c>
      <c r="H698">
        <v>8</v>
      </c>
      <c r="I698">
        <v>3</v>
      </c>
    </row>
    <row r="699" spans="1:9" x14ac:dyDescent="0.3">
      <c r="A699" t="s">
        <v>209</v>
      </c>
      <c r="B699" t="s">
        <v>222</v>
      </c>
      <c r="C699" t="s">
        <v>13</v>
      </c>
      <c r="D699">
        <v>809</v>
      </c>
      <c r="E699">
        <v>8</v>
      </c>
      <c r="F699">
        <v>120</v>
      </c>
      <c r="G699">
        <v>632</v>
      </c>
      <c r="H699">
        <v>28</v>
      </c>
      <c r="I699">
        <v>21</v>
      </c>
    </row>
    <row r="700" spans="1:9" x14ac:dyDescent="0.3">
      <c r="A700" t="s">
        <v>209</v>
      </c>
      <c r="B700" t="s">
        <v>223</v>
      </c>
      <c r="C700" t="s">
        <v>9</v>
      </c>
      <c r="D700">
        <v>797</v>
      </c>
      <c r="E700">
        <v>4</v>
      </c>
      <c r="F700">
        <v>100</v>
      </c>
      <c r="G700">
        <v>642</v>
      </c>
      <c r="H700">
        <v>31</v>
      </c>
      <c r="I700">
        <v>20</v>
      </c>
    </row>
    <row r="701" spans="1:9" x14ac:dyDescent="0.3">
      <c r="A701" t="s">
        <v>209</v>
      </c>
      <c r="B701" t="s">
        <v>223</v>
      </c>
      <c r="C701" t="s">
        <v>12</v>
      </c>
      <c r="D701">
        <v>126</v>
      </c>
      <c r="E701">
        <v>0</v>
      </c>
      <c r="F701">
        <v>8</v>
      </c>
      <c r="G701">
        <v>112</v>
      </c>
      <c r="H701">
        <v>3</v>
      </c>
      <c r="I701">
        <v>3</v>
      </c>
    </row>
    <row r="702" spans="1:9" x14ac:dyDescent="0.3">
      <c r="A702" t="s">
        <v>209</v>
      </c>
      <c r="B702" t="s">
        <v>223</v>
      </c>
      <c r="C702" t="s">
        <v>13</v>
      </c>
      <c r="D702">
        <v>671</v>
      </c>
      <c r="E702">
        <v>4</v>
      </c>
      <c r="F702">
        <v>92</v>
      </c>
      <c r="G702">
        <v>530</v>
      </c>
      <c r="H702">
        <v>28</v>
      </c>
      <c r="I702">
        <v>17</v>
      </c>
    </row>
    <row r="703" spans="1:9" x14ac:dyDescent="0.3">
      <c r="A703" t="s">
        <v>224</v>
      </c>
      <c r="B703" t="s">
        <v>9</v>
      </c>
      <c r="C703" t="s">
        <v>9</v>
      </c>
      <c r="D703" s="1">
        <v>4318</v>
      </c>
      <c r="E703">
        <v>15</v>
      </c>
      <c r="F703">
        <v>761</v>
      </c>
      <c r="G703" s="1">
        <v>3402</v>
      </c>
      <c r="H703">
        <v>63</v>
      </c>
      <c r="I703">
        <v>77</v>
      </c>
    </row>
    <row r="704" spans="1:9" x14ac:dyDescent="0.3">
      <c r="A704" t="s">
        <v>224</v>
      </c>
      <c r="B704" t="s">
        <v>9</v>
      </c>
      <c r="C704" t="s">
        <v>12</v>
      </c>
      <c r="D704" s="1">
        <f>D707+D710+D713+D716+D719+D722+D725+D728+D731+D734+D737+D740+D743+D746+D749+D752+D755+D758</f>
        <v>509</v>
      </c>
      <c r="E704" s="1">
        <f t="shared" ref="E704:I704" si="30">E707+E710+E713+E716+E719+E722+E725+E728+E731+E734+E737+E740+E743+E746+E749+E752+E755+E758</f>
        <v>0</v>
      </c>
      <c r="F704" s="1">
        <f t="shared" si="30"/>
        <v>55</v>
      </c>
      <c r="G704" s="1">
        <f t="shared" si="30"/>
        <v>442</v>
      </c>
      <c r="H704" s="1">
        <f t="shared" si="30"/>
        <v>7</v>
      </c>
      <c r="I704" s="1">
        <f t="shared" si="30"/>
        <v>5</v>
      </c>
    </row>
    <row r="705" spans="1:9" x14ac:dyDescent="0.3">
      <c r="A705" t="s">
        <v>224</v>
      </c>
      <c r="B705" t="s">
        <v>9</v>
      </c>
      <c r="C705" t="s">
        <v>13</v>
      </c>
      <c r="D705" s="1">
        <f>D708+D711+D714+D717+D720+D723+D726+D729+D732+D735+D738+D741+D744+D747+D750+D753+D756+D759</f>
        <v>3809</v>
      </c>
      <c r="E705" s="1">
        <f t="shared" ref="E705:I705" si="31">E708+E711+E714+E717+E720+E723+E726+E729+E732+E735+E738+E741+E744+E747+E750+E753+E756+E759</f>
        <v>15</v>
      </c>
      <c r="F705" s="1">
        <f t="shared" si="31"/>
        <v>706</v>
      </c>
      <c r="G705" s="1">
        <f t="shared" si="31"/>
        <v>2960</v>
      </c>
      <c r="H705" s="1">
        <f t="shared" si="31"/>
        <v>56</v>
      </c>
      <c r="I705" s="1">
        <f t="shared" si="31"/>
        <v>72</v>
      </c>
    </row>
    <row r="706" spans="1:9" x14ac:dyDescent="0.3">
      <c r="A706" t="s">
        <v>224</v>
      </c>
      <c r="B706" t="s">
        <v>225</v>
      </c>
      <c r="C706" t="s">
        <v>9</v>
      </c>
      <c r="D706">
        <v>514</v>
      </c>
      <c r="E706">
        <v>1</v>
      </c>
      <c r="F706">
        <v>90</v>
      </c>
      <c r="G706">
        <v>412</v>
      </c>
      <c r="H706">
        <v>7</v>
      </c>
      <c r="I706">
        <v>4</v>
      </c>
    </row>
    <row r="707" spans="1:9" x14ac:dyDescent="0.3">
      <c r="A707" t="s">
        <v>224</v>
      </c>
      <c r="B707" t="s">
        <v>225</v>
      </c>
      <c r="C707" t="s">
        <v>12</v>
      </c>
      <c r="D707">
        <v>60</v>
      </c>
      <c r="E707">
        <v>0</v>
      </c>
      <c r="F707">
        <v>7</v>
      </c>
      <c r="G707">
        <v>52</v>
      </c>
      <c r="H707">
        <v>1</v>
      </c>
      <c r="I707">
        <v>0</v>
      </c>
    </row>
    <row r="708" spans="1:9" x14ac:dyDescent="0.3">
      <c r="A708" t="s">
        <v>224</v>
      </c>
      <c r="B708" t="s">
        <v>225</v>
      </c>
      <c r="C708" t="s">
        <v>13</v>
      </c>
      <c r="D708">
        <v>454</v>
      </c>
      <c r="E708">
        <v>1</v>
      </c>
      <c r="F708">
        <v>83</v>
      </c>
      <c r="G708">
        <v>360</v>
      </c>
      <c r="H708">
        <v>6</v>
      </c>
      <c r="I708">
        <v>4</v>
      </c>
    </row>
    <row r="709" spans="1:9" x14ac:dyDescent="0.3">
      <c r="A709" t="s">
        <v>224</v>
      </c>
      <c r="B709" t="s">
        <v>60</v>
      </c>
      <c r="C709" t="s">
        <v>9</v>
      </c>
      <c r="D709">
        <v>74</v>
      </c>
      <c r="E709">
        <v>0</v>
      </c>
      <c r="F709">
        <v>12</v>
      </c>
      <c r="G709">
        <v>59</v>
      </c>
      <c r="H709">
        <v>0</v>
      </c>
      <c r="I709">
        <v>3</v>
      </c>
    </row>
    <row r="710" spans="1:9" x14ac:dyDescent="0.3">
      <c r="A710" t="s">
        <v>224</v>
      </c>
      <c r="B710" t="s">
        <v>60</v>
      </c>
      <c r="C710" t="s">
        <v>12</v>
      </c>
      <c r="D710">
        <v>16</v>
      </c>
      <c r="E710">
        <v>0</v>
      </c>
      <c r="F710">
        <v>1</v>
      </c>
      <c r="G710">
        <v>15</v>
      </c>
      <c r="H710">
        <v>0</v>
      </c>
      <c r="I710">
        <v>0</v>
      </c>
    </row>
    <row r="711" spans="1:9" x14ac:dyDescent="0.3">
      <c r="A711" t="s">
        <v>224</v>
      </c>
      <c r="B711" t="s">
        <v>60</v>
      </c>
      <c r="C711" t="s">
        <v>13</v>
      </c>
      <c r="D711">
        <v>58</v>
      </c>
      <c r="E711">
        <v>0</v>
      </c>
      <c r="F711">
        <v>11</v>
      </c>
      <c r="G711">
        <v>44</v>
      </c>
      <c r="H711">
        <v>0</v>
      </c>
      <c r="I711">
        <v>3</v>
      </c>
    </row>
    <row r="712" spans="1:9" x14ac:dyDescent="0.3">
      <c r="A712" t="s">
        <v>224</v>
      </c>
      <c r="B712" t="s">
        <v>226</v>
      </c>
      <c r="C712" t="s">
        <v>9</v>
      </c>
      <c r="D712">
        <v>232</v>
      </c>
      <c r="E712">
        <v>0</v>
      </c>
      <c r="F712">
        <v>31</v>
      </c>
      <c r="G712">
        <v>186</v>
      </c>
      <c r="H712">
        <v>6</v>
      </c>
      <c r="I712">
        <v>9</v>
      </c>
    </row>
    <row r="713" spans="1:9" x14ac:dyDescent="0.3">
      <c r="A713" t="s">
        <v>224</v>
      </c>
      <c r="B713" t="s">
        <v>226</v>
      </c>
      <c r="C713" t="s">
        <v>12</v>
      </c>
      <c r="D713">
        <v>19</v>
      </c>
      <c r="E713">
        <v>0</v>
      </c>
      <c r="F713">
        <v>1</v>
      </c>
      <c r="G713">
        <v>16</v>
      </c>
      <c r="H713">
        <v>1</v>
      </c>
      <c r="I713">
        <v>1</v>
      </c>
    </row>
    <row r="714" spans="1:9" x14ac:dyDescent="0.3">
      <c r="A714" t="s">
        <v>224</v>
      </c>
      <c r="B714" t="s">
        <v>226</v>
      </c>
      <c r="C714" t="s">
        <v>13</v>
      </c>
      <c r="D714">
        <v>213</v>
      </c>
      <c r="E714">
        <v>0</v>
      </c>
      <c r="F714">
        <v>30</v>
      </c>
      <c r="G714">
        <v>170</v>
      </c>
      <c r="H714">
        <v>5</v>
      </c>
      <c r="I714">
        <v>8</v>
      </c>
    </row>
    <row r="715" spans="1:9" x14ac:dyDescent="0.3">
      <c r="A715" t="s">
        <v>224</v>
      </c>
      <c r="B715" t="s">
        <v>227</v>
      </c>
      <c r="C715" t="s">
        <v>9</v>
      </c>
      <c r="D715">
        <v>172</v>
      </c>
      <c r="E715">
        <v>0</v>
      </c>
      <c r="F715">
        <v>32</v>
      </c>
      <c r="G715">
        <v>131</v>
      </c>
      <c r="H715">
        <v>5</v>
      </c>
      <c r="I715">
        <v>4</v>
      </c>
    </row>
    <row r="716" spans="1:9" x14ac:dyDescent="0.3">
      <c r="A716" t="s">
        <v>224</v>
      </c>
      <c r="B716" t="s">
        <v>227</v>
      </c>
      <c r="C716" t="s">
        <v>12</v>
      </c>
      <c r="D716">
        <v>15</v>
      </c>
      <c r="E716">
        <v>0</v>
      </c>
      <c r="F716">
        <v>2</v>
      </c>
      <c r="G716">
        <v>13</v>
      </c>
      <c r="H716">
        <v>0</v>
      </c>
      <c r="I716">
        <v>0</v>
      </c>
    </row>
    <row r="717" spans="1:9" x14ac:dyDescent="0.3">
      <c r="A717" t="s">
        <v>224</v>
      </c>
      <c r="B717" t="s">
        <v>227</v>
      </c>
      <c r="C717" t="s">
        <v>13</v>
      </c>
      <c r="D717">
        <v>157</v>
      </c>
      <c r="E717">
        <v>0</v>
      </c>
      <c r="F717">
        <v>30</v>
      </c>
      <c r="G717">
        <v>118</v>
      </c>
      <c r="H717">
        <v>5</v>
      </c>
      <c r="I717">
        <v>4</v>
      </c>
    </row>
    <row r="718" spans="1:9" x14ac:dyDescent="0.3">
      <c r="A718" t="s">
        <v>224</v>
      </c>
      <c r="B718" t="s">
        <v>228</v>
      </c>
      <c r="C718" t="s">
        <v>9</v>
      </c>
      <c r="D718">
        <v>246</v>
      </c>
      <c r="E718">
        <v>0</v>
      </c>
      <c r="F718">
        <v>43</v>
      </c>
      <c r="G718">
        <v>195</v>
      </c>
      <c r="H718">
        <v>5</v>
      </c>
      <c r="I718">
        <v>3</v>
      </c>
    </row>
    <row r="719" spans="1:9" x14ac:dyDescent="0.3">
      <c r="A719" t="s">
        <v>224</v>
      </c>
      <c r="B719" t="s">
        <v>228</v>
      </c>
      <c r="C719" t="s">
        <v>12</v>
      </c>
      <c r="D719">
        <v>44</v>
      </c>
      <c r="E719">
        <v>0</v>
      </c>
      <c r="F719">
        <v>3</v>
      </c>
      <c r="G719">
        <v>40</v>
      </c>
      <c r="H719">
        <v>0</v>
      </c>
      <c r="I719">
        <v>1</v>
      </c>
    </row>
    <row r="720" spans="1:9" x14ac:dyDescent="0.3">
      <c r="A720" t="s">
        <v>224</v>
      </c>
      <c r="B720" t="s">
        <v>228</v>
      </c>
      <c r="C720" t="s">
        <v>13</v>
      </c>
      <c r="D720">
        <v>202</v>
      </c>
      <c r="E720">
        <v>0</v>
      </c>
      <c r="F720">
        <v>40</v>
      </c>
      <c r="G720">
        <v>155</v>
      </c>
      <c r="H720">
        <v>5</v>
      </c>
      <c r="I720">
        <v>2</v>
      </c>
    </row>
    <row r="721" spans="1:9" x14ac:dyDescent="0.3">
      <c r="A721" t="s">
        <v>224</v>
      </c>
      <c r="B721" t="s">
        <v>229</v>
      </c>
      <c r="C721" t="s">
        <v>9</v>
      </c>
      <c r="D721">
        <v>92</v>
      </c>
      <c r="E721">
        <v>0</v>
      </c>
      <c r="F721">
        <v>27</v>
      </c>
      <c r="G721">
        <v>64</v>
      </c>
      <c r="H721">
        <v>0</v>
      </c>
      <c r="I721">
        <v>1</v>
      </c>
    </row>
    <row r="722" spans="1:9" x14ac:dyDescent="0.3">
      <c r="A722" t="s">
        <v>224</v>
      </c>
      <c r="B722" t="s">
        <v>229</v>
      </c>
      <c r="C722" t="s">
        <v>12</v>
      </c>
      <c r="D722">
        <v>2</v>
      </c>
      <c r="E722">
        <v>0</v>
      </c>
      <c r="F722">
        <v>0</v>
      </c>
      <c r="G722">
        <v>2</v>
      </c>
      <c r="H722">
        <v>0</v>
      </c>
      <c r="I722">
        <v>0</v>
      </c>
    </row>
    <row r="723" spans="1:9" x14ac:dyDescent="0.3">
      <c r="A723" t="s">
        <v>224</v>
      </c>
      <c r="B723" t="s">
        <v>229</v>
      </c>
      <c r="C723" t="s">
        <v>13</v>
      </c>
      <c r="D723">
        <v>90</v>
      </c>
      <c r="E723">
        <v>0</v>
      </c>
      <c r="F723">
        <v>27</v>
      </c>
      <c r="G723">
        <v>62</v>
      </c>
      <c r="H723">
        <v>0</v>
      </c>
      <c r="I723">
        <v>1</v>
      </c>
    </row>
    <row r="724" spans="1:9" x14ac:dyDescent="0.3">
      <c r="A724" t="s">
        <v>224</v>
      </c>
      <c r="B724" t="s">
        <v>230</v>
      </c>
      <c r="C724" t="s">
        <v>9</v>
      </c>
      <c r="D724">
        <v>89</v>
      </c>
      <c r="E724">
        <v>0</v>
      </c>
      <c r="F724">
        <v>22</v>
      </c>
      <c r="G724">
        <v>65</v>
      </c>
      <c r="H724">
        <v>1</v>
      </c>
      <c r="I724">
        <v>1</v>
      </c>
    </row>
    <row r="725" spans="1:9" x14ac:dyDescent="0.3">
      <c r="A725" t="s">
        <v>224</v>
      </c>
      <c r="B725" t="s">
        <v>230</v>
      </c>
      <c r="C725" t="s">
        <v>12</v>
      </c>
      <c r="D725">
        <v>8</v>
      </c>
      <c r="E725">
        <v>0</v>
      </c>
      <c r="F725">
        <v>1</v>
      </c>
      <c r="G725">
        <v>6</v>
      </c>
      <c r="H725">
        <v>1</v>
      </c>
      <c r="I725">
        <v>0</v>
      </c>
    </row>
    <row r="726" spans="1:9" x14ac:dyDescent="0.3">
      <c r="A726" t="s">
        <v>224</v>
      </c>
      <c r="B726" t="s">
        <v>230</v>
      </c>
      <c r="C726" t="s">
        <v>13</v>
      </c>
      <c r="D726">
        <v>81</v>
      </c>
      <c r="E726">
        <v>0</v>
      </c>
      <c r="F726">
        <v>21</v>
      </c>
      <c r="G726">
        <v>59</v>
      </c>
      <c r="H726">
        <v>0</v>
      </c>
      <c r="I726">
        <v>1</v>
      </c>
    </row>
    <row r="727" spans="1:9" x14ac:dyDescent="0.3">
      <c r="A727" t="s">
        <v>224</v>
      </c>
      <c r="B727" t="s">
        <v>231</v>
      </c>
      <c r="C727" t="s">
        <v>9</v>
      </c>
      <c r="D727">
        <v>108</v>
      </c>
      <c r="E727">
        <v>0</v>
      </c>
      <c r="F727">
        <v>18</v>
      </c>
      <c r="G727">
        <v>88</v>
      </c>
      <c r="H727">
        <v>1</v>
      </c>
      <c r="I727">
        <v>1</v>
      </c>
    </row>
    <row r="728" spans="1:9" x14ac:dyDescent="0.3">
      <c r="A728" t="s">
        <v>224</v>
      </c>
      <c r="B728" t="s">
        <v>231</v>
      </c>
      <c r="C728" t="s">
        <v>12</v>
      </c>
      <c r="D728">
        <v>8</v>
      </c>
      <c r="E728">
        <v>0</v>
      </c>
      <c r="F728">
        <v>1</v>
      </c>
      <c r="G728">
        <v>7</v>
      </c>
      <c r="H728">
        <v>0</v>
      </c>
      <c r="I728">
        <v>0</v>
      </c>
    </row>
    <row r="729" spans="1:9" x14ac:dyDescent="0.3">
      <c r="A729" t="s">
        <v>224</v>
      </c>
      <c r="B729" t="s">
        <v>231</v>
      </c>
      <c r="C729" t="s">
        <v>13</v>
      </c>
      <c r="D729">
        <v>100</v>
      </c>
      <c r="E729">
        <v>0</v>
      </c>
      <c r="F729">
        <v>17</v>
      </c>
      <c r="G729">
        <v>81</v>
      </c>
      <c r="H729">
        <v>1</v>
      </c>
      <c r="I729">
        <v>1</v>
      </c>
    </row>
    <row r="730" spans="1:9" x14ac:dyDescent="0.3">
      <c r="A730" t="s">
        <v>224</v>
      </c>
      <c r="B730" t="s">
        <v>232</v>
      </c>
      <c r="C730" t="s">
        <v>9</v>
      </c>
      <c r="D730">
        <v>987</v>
      </c>
      <c r="E730">
        <v>5</v>
      </c>
      <c r="F730">
        <v>150</v>
      </c>
      <c r="G730">
        <v>796</v>
      </c>
      <c r="H730">
        <v>24</v>
      </c>
      <c r="I730">
        <v>12</v>
      </c>
    </row>
    <row r="731" spans="1:9" x14ac:dyDescent="0.3">
      <c r="A731" t="s">
        <v>224</v>
      </c>
      <c r="B731" t="s">
        <v>232</v>
      </c>
      <c r="C731" t="s">
        <v>12</v>
      </c>
      <c r="D731">
        <v>161</v>
      </c>
      <c r="E731">
        <v>0</v>
      </c>
      <c r="F731">
        <v>12</v>
      </c>
      <c r="G731">
        <v>144</v>
      </c>
      <c r="H731">
        <v>3</v>
      </c>
      <c r="I731">
        <v>2</v>
      </c>
    </row>
    <row r="732" spans="1:9" x14ac:dyDescent="0.3">
      <c r="A732" t="s">
        <v>224</v>
      </c>
      <c r="B732" t="s">
        <v>232</v>
      </c>
      <c r="C732" t="s">
        <v>13</v>
      </c>
      <c r="D732">
        <v>826</v>
      </c>
      <c r="E732">
        <v>5</v>
      </c>
      <c r="F732">
        <v>138</v>
      </c>
      <c r="G732">
        <v>652</v>
      </c>
      <c r="H732">
        <v>21</v>
      </c>
      <c r="I732">
        <v>10</v>
      </c>
    </row>
    <row r="733" spans="1:9" x14ac:dyDescent="0.3">
      <c r="A733" t="s">
        <v>224</v>
      </c>
      <c r="B733" t="s">
        <v>233</v>
      </c>
      <c r="C733" t="s">
        <v>9</v>
      </c>
      <c r="D733">
        <v>73</v>
      </c>
      <c r="E733">
        <v>0</v>
      </c>
      <c r="F733">
        <v>13</v>
      </c>
      <c r="G733">
        <v>59</v>
      </c>
      <c r="H733">
        <v>0</v>
      </c>
      <c r="I733">
        <v>1</v>
      </c>
    </row>
    <row r="734" spans="1:9" x14ac:dyDescent="0.3">
      <c r="A734" t="s">
        <v>224</v>
      </c>
      <c r="B734" t="s">
        <v>233</v>
      </c>
      <c r="C734" t="s">
        <v>12</v>
      </c>
      <c r="D734">
        <v>3</v>
      </c>
      <c r="E734">
        <v>0</v>
      </c>
      <c r="F734">
        <v>0</v>
      </c>
      <c r="G734">
        <v>3</v>
      </c>
      <c r="H734">
        <v>0</v>
      </c>
      <c r="I734">
        <v>0</v>
      </c>
    </row>
    <row r="735" spans="1:9" x14ac:dyDescent="0.3">
      <c r="A735" t="s">
        <v>224</v>
      </c>
      <c r="B735" t="s">
        <v>233</v>
      </c>
      <c r="C735" t="s">
        <v>13</v>
      </c>
      <c r="D735">
        <v>70</v>
      </c>
      <c r="E735">
        <v>0</v>
      </c>
      <c r="F735">
        <v>13</v>
      </c>
      <c r="G735">
        <v>56</v>
      </c>
      <c r="H735">
        <v>0</v>
      </c>
      <c r="I735">
        <v>1</v>
      </c>
    </row>
    <row r="736" spans="1:9" x14ac:dyDescent="0.3">
      <c r="A736" t="s">
        <v>224</v>
      </c>
      <c r="B736" t="s">
        <v>234</v>
      </c>
      <c r="C736" t="s">
        <v>9</v>
      </c>
      <c r="D736">
        <v>135</v>
      </c>
      <c r="E736">
        <v>2</v>
      </c>
      <c r="F736">
        <v>30</v>
      </c>
      <c r="G736">
        <v>98</v>
      </c>
      <c r="H736">
        <v>1</v>
      </c>
      <c r="I736">
        <v>4</v>
      </c>
    </row>
    <row r="737" spans="1:9" x14ac:dyDescent="0.3">
      <c r="A737" t="s">
        <v>224</v>
      </c>
      <c r="B737" t="s">
        <v>234</v>
      </c>
      <c r="C737" t="s">
        <v>12</v>
      </c>
      <c r="D737">
        <v>8</v>
      </c>
      <c r="E737">
        <v>0</v>
      </c>
      <c r="F737">
        <v>1</v>
      </c>
      <c r="G737">
        <v>7</v>
      </c>
      <c r="H737">
        <v>0</v>
      </c>
      <c r="I737">
        <v>0</v>
      </c>
    </row>
    <row r="738" spans="1:9" x14ac:dyDescent="0.3">
      <c r="A738" t="s">
        <v>224</v>
      </c>
      <c r="B738" t="s">
        <v>234</v>
      </c>
      <c r="C738" t="s">
        <v>13</v>
      </c>
      <c r="D738">
        <v>127</v>
      </c>
      <c r="E738">
        <v>2</v>
      </c>
      <c r="F738">
        <v>29</v>
      </c>
      <c r="G738">
        <v>91</v>
      </c>
      <c r="H738">
        <v>1</v>
      </c>
      <c r="I738">
        <v>4</v>
      </c>
    </row>
    <row r="739" spans="1:9" x14ac:dyDescent="0.3">
      <c r="A739" t="s">
        <v>224</v>
      </c>
      <c r="B739" t="s">
        <v>235</v>
      </c>
      <c r="C739" t="s">
        <v>9</v>
      </c>
      <c r="D739">
        <v>130</v>
      </c>
      <c r="E739">
        <v>3</v>
      </c>
      <c r="F739">
        <v>25</v>
      </c>
      <c r="G739">
        <v>100</v>
      </c>
      <c r="H739">
        <v>0</v>
      </c>
      <c r="I739">
        <v>2</v>
      </c>
    </row>
    <row r="740" spans="1:9" x14ac:dyDescent="0.3">
      <c r="A740" t="s">
        <v>224</v>
      </c>
      <c r="B740" t="s">
        <v>235</v>
      </c>
      <c r="C740" t="s">
        <v>12</v>
      </c>
      <c r="D740">
        <v>6</v>
      </c>
      <c r="E740">
        <v>0</v>
      </c>
      <c r="F740">
        <v>1</v>
      </c>
      <c r="G740">
        <v>5</v>
      </c>
      <c r="H740">
        <v>0</v>
      </c>
      <c r="I740">
        <v>0</v>
      </c>
    </row>
    <row r="741" spans="1:9" x14ac:dyDescent="0.3">
      <c r="A741" t="s">
        <v>224</v>
      </c>
      <c r="B741" t="s">
        <v>235</v>
      </c>
      <c r="C741" t="s">
        <v>13</v>
      </c>
      <c r="D741">
        <v>124</v>
      </c>
      <c r="E741">
        <v>3</v>
      </c>
      <c r="F741">
        <v>24</v>
      </c>
      <c r="G741">
        <v>95</v>
      </c>
      <c r="H741">
        <v>0</v>
      </c>
      <c r="I741">
        <v>2</v>
      </c>
    </row>
    <row r="742" spans="1:9" x14ac:dyDescent="0.3">
      <c r="A742" t="s">
        <v>224</v>
      </c>
      <c r="B742" t="s">
        <v>236</v>
      </c>
      <c r="C742" t="s">
        <v>9</v>
      </c>
      <c r="D742">
        <v>746</v>
      </c>
      <c r="E742">
        <v>3</v>
      </c>
      <c r="F742">
        <v>135</v>
      </c>
      <c r="G742">
        <v>587</v>
      </c>
      <c r="H742">
        <v>5</v>
      </c>
      <c r="I742">
        <v>16</v>
      </c>
    </row>
    <row r="743" spans="1:9" x14ac:dyDescent="0.3">
      <c r="A743" t="s">
        <v>224</v>
      </c>
      <c r="B743" t="s">
        <v>236</v>
      </c>
      <c r="C743" t="s">
        <v>12</v>
      </c>
      <c r="D743">
        <v>99</v>
      </c>
      <c r="E743">
        <v>0</v>
      </c>
      <c r="F743">
        <v>17</v>
      </c>
      <c r="G743">
        <v>81</v>
      </c>
      <c r="H743">
        <v>0</v>
      </c>
      <c r="I743">
        <v>1</v>
      </c>
    </row>
    <row r="744" spans="1:9" x14ac:dyDescent="0.3">
      <c r="A744" t="s">
        <v>224</v>
      </c>
      <c r="B744" t="s">
        <v>236</v>
      </c>
      <c r="C744" t="s">
        <v>13</v>
      </c>
      <c r="D744">
        <v>647</v>
      </c>
      <c r="E744">
        <v>3</v>
      </c>
      <c r="F744">
        <v>118</v>
      </c>
      <c r="G744">
        <v>506</v>
      </c>
      <c r="H744">
        <v>5</v>
      </c>
      <c r="I744">
        <v>15</v>
      </c>
    </row>
    <row r="745" spans="1:9" x14ac:dyDescent="0.3">
      <c r="A745" t="s">
        <v>224</v>
      </c>
      <c r="B745" t="s">
        <v>237</v>
      </c>
      <c r="C745" t="s">
        <v>9</v>
      </c>
      <c r="D745">
        <v>116</v>
      </c>
      <c r="E745">
        <v>0</v>
      </c>
      <c r="F745">
        <v>22</v>
      </c>
      <c r="G745">
        <v>92</v>
      </c>
      <c r="H745">
        <v>0</v>
      </c>
      <c r="I745">
        <v>2</v>
      </c>
    </row>
    <row r="746" spans="1:9" x14ac:dyDescent="0.3">
      <c r="A746" t="s">
        <v>224</v>
      </c>
      <c r="B746" t="s">
        <v>237</v>
      </c>
      <c r="C746" t="s">
        <v>12</v>
      </c>
      <c r="D746">
        <v>11</v>
      </c>
      <c r="E746">
        <v>0</v>
      </c>
      <c r="F746">
        <v>4</v>
      </c>
      <c r="G746">
        <v>7</v>
      </c>
      <c r="H746">
        <v>0</v>
      </c>
      <c r="I746">
        <v>0</v>
      </c>
    </row>
    <row r="747" spans="1:9" x14ac:dyDescent="0.3">
      <c r="A747" t="s">
        <v>224</v>
      </c>
      <c r="B747" t="s">
        <v>237</v>
      </c>
      <c r="C747" t="s">
        <v>13</v>
      </c>
      <c r="D747">
        <v>105</v>
      </c>
      <c r="E747">
        <v>0</v>
      </c>
      <c r="F747">
        <v>18</v>
      </c>
      <c r="G747">
        <v>85</v>
      </c>
      <c r="H747">
        <v>0</v>
      </c>
      <c r="I747">
        <v>2</v>
      </c>
    </row>
    <row r="748" spans="1:9" x14ac:dyDescent="0.3">
      <c r="A748" t="s">
        <v>224</v>
      </c>
      <c r="B748" t="s">
        <v>238</v>
      </c>
      <c r="C748" t="s">
        <v>9</v>
      </c>
      <c r="D748">
        <v>132</v>
      </c>
      <c r="E748">
        <v>0</v>
      </c>
      <c r="F748">
        <v>32</v>
      </c>
      <c r="G748">
        <v>95</v>
      </c>
      <c r="H748">
        <v>2</v>
      </c>
      <c r="I748">
        <v>3</v>
      </c>
    </row>
    <row r="749" spans="1:9" x14ac:dyDescent="0.3">
      <c r="A749" t="s">
        <v>224</v>
      </c>
      <c r="B749" t="s">
        <v>238</v>
      </c>
      <c r="C749" t="s">
        <v>12</v>
      </c>
      <c r="D749">
        <v>10</v>
      </c>
      <c r="E749">
        <v>0</v>
      </c>
      <c r="F749">
        <v>1</v>
      </c>
      <c r="G749">
        <v>8</v>
      </c>
      <c r="H749">
        <v>1</v>
      </c>
      <c r="I749">
        <v>0</v>
      </c>
    </row>
    <row r="750" spans="1:9" x14ac:dyDescent="0.3">
      <c r="A750" t="s">
        <v>224</v>
      </c>
      <c r="B750" t="s">
        <v>238</v>
      </c>
      <c r="C750" t="s">
        <v>13</v>
      </c>
      <c r="D750">
        <v>122</v>
      </c>
      <c r="E750">
        <v>0</v>
      </c>
      <c r="F750">
        <v>31</v>
      </c>
      <c r="G750">
        <v>87</v>
      </c>
      <c r="H750">
        <v>1</v>
      </c>
      <c r="I750">
        <v>3</v>
      </c>
    </row>
    <row r="751" spans="1:9" x14ac:dyDescent="0.3">
      <c r="A751" t="s">
        <v>224</v>
      </c>
      <c r="B751" t="s">
        <v>239</v>
      </c>
      <c r="C751" t="s">
        <v>9</v>
      </c>
      <c r="D751">
        <v>216</v>
      </c>
      <c r="E751">
        <v>1</v>
      </c>
      <c r="F751">
        <v>32</v>
      </c>
      <c r="G751">
        <v>176</v>
      </c>
      <c r="H751">
        <v>3</v>
      </c>
      <c r="I751">
        <v>4</v>
      </c>
    </row>
    <row r="752" spans="1:9" x14ac:dyDescent="0.3">
      <c r="A752" t="s">
        <v>224</v>
      </c>
      <c r="B752" t="s">
        <v>239</v>
      </c>
      <c r="C752" t="s">
        <v>12</v>
      </c>
      <c r="D752">
        <v>16</v>
      </c>
      <c r="E752">
        <v>0</v>
      </c>
      <c r="F752">
        <v>1</v>
      </c>
      <c r="G752">
        <v>15</v>
      </c>
      <c r="H752">
        <v>0</v>
      </c>
      <c r="I752">
        <v>0</v>
      </c>
    </row>
    <row r="753" spans="1:9" x14ac:dyDescent="0.3">
      <c r="A753" t="s">
        <v>224</v>
      </c>
      <c r="B753" t="s">
        <v>239</v>
      </c>
      <c r="C753" t="s">
        <v>13</v>
      </c>
      <c r="D753">
        <v>200</v>
      </c>
      <c r="E753">
        <v>1</v>
      </c>
      <c r="F753">
        <v>31</v>
      </c>
      <c r="G753">
        <v>161</v>
      </c>
      <c r="H753">
        <v>3</v>
      </c>
      <c r="I753">
        <v>4</v>
      </c>
    </row>
    <row r="754" spans="1:9" x14ac:dyDescent="0.3">
      <c r="A754" t="s">
        <v>224</v>
      </c>
      <c r="B754" t="s">
        <v>240</v>
      </c>
      <c r="C754" t="s">
        <v>9</v>
      </c>
      <c r="D754">
        <v>68</v>
      </c>
      <c r="E754">
        <v>0</v>
      </c>
      <c r="F754">
        <v>16</v>
      </c>
      <c r="G754">
        <v>50</v>
      </c>
      <c r="H754">
        <v>0</v>
      </c>
      <c r="I754">
        <v>2</v>
      </c>
    </row>
    <row r="755" spans="1:9" x14ac:dyDescent="0.3">
      <c r="A755" t="s">
        <v>224</v>
      </c>
      <c r="B755" t="s">
        <v>240</v>
      </c>
      <c r="C755" t="s">
        <v>12</v>
      </c>
      <c r="D755">
        <v>1</v>
      </c>
      <c r="E755">
        <v>0</v>
      </c>
      <c r="F755">
        <v>0</v>
      </c>
      <c r="G755">
        <v>1</v>
      </c>
      <c r="H755">
        <v>0</v>
      </c>
      <c r="I755">
        <v>0</v>
      </c>
    </row>
    <row r="756" spans="1:9" x14ac:dyDescent="0.3">
      <c r="A756" t="s">
        <v>224</v>
      </c>
      <c r="B756" t="s">
        <v>240</v>
      </c>
      <c r="C756" t="s">
        <v>13</v>
      </c>
      <c r="D756">
        <v>67</v>
      </c>
      <c r="E756">
        <v>0</v>
      </c>
      <c r="F756">
        <v>16</v>
      </c>
      <c r="G756">
        <v>49</v>
      </c>
      <c r="H756">
        <v>0</v>
      </c>
      <c r="I756">
        <v>2</v>
      </c>
    </row>
    <row r="757" spans="1:9" x14ac:dyDescent="0.3">
      <c r="A757" t="s">
        <v>224</v>
      </c>
      <c r="B757" t="s">
        <v>241</v>
      </c>
      <c r="C757" t="s">
        <v>9</v>
      </c>
      <c r="D757">
        <v>188</v>
      </c>
      <c r="E757">
        <v>0</v>
      </c>
      <c r="F757">
        <v>31</v>
      </c>
      <c r="G757">
        <v>149</v>
      </c>
      <c r="H757">
        <v>3</v>
      </c>
      <c r="I757">
        <v>5</v>
      </c>
    </row>
    <row r="758" spans="1:9" x14ac:dyDescent="0.3">
      <c r="A758" t="s">
        <v>224</v>
      </c>
      <c r="B758" t="s">
        <v>241</v>
      </c>
      <c r="C758" t="s">
        <v>12</v>
      </c>
      <c r="D758">
        <v>22</v>
      </c>
      <c r="E758">
        <v>0</v>
      </c>
      <c r="F758">
        <v>2</v>
      </c>
      <c r="G758">
        <v>20</v>
      </c>
      <c r="H758">
        <v>0</v>
      </c>
      <c r="I758">
        <v>0</v>
      </c>
    </row>
    <row r="759" spans="1:9" x14ac:dyDescent="0.3">
      <c r="A759" t="s">
        <v>224</v>
      </c>
      <c r="B759" t="s">
        <v>241</v>
      </c>
      <c r="C759" t="s">
        <v>13</v>
      </c>
      <c r="D759">
        <v>166</v>
      </c>
      <c r="E759">
        <v>0</v>
      </c>
      <c r="F759">
        <v>29</v>
      </c>
      <c r="G759">
        <v>129</v>
      </c>
      <c r="H759">
        <v>3</v>
      </c>
      <c r="I759">
        <v>5</v>
      </c>
    </row>
    <row r="760" spans="1:9" x14ac:dyDescent="0.3">
      <c r="A760" t="s">
        <v>242</v>
      </c>
      <c r="B760" t="s">
        <v>9</v>
      </c>
      <c r="C760" t="s">
        <v>9</v>
      </c>
      <c r="D760" s="1">
        <v>6386</v>
      </c>
      <c r="E760">
        <v>35</v>
      </c>
      <c r="F760" s="1">
        <v>1046</v>
      </c>
      <c r="G760" s="1">
        <v>4915</v>
      </c>
      <c r="H760">
        <v>208</v>
      </c>
      <c r="I760">
        <v>182</v>
      </c>
    </row>
    <row r="761" spans="1:9" x14ac:dyDescent="0.3">
      <c r="A761" t="s">
        <v>242</v>
      </c>
      <c r="B761" t="s">
        <v>9</v>
      </c>
      <c r="C761" t="s">
        <v>12</v>
      </c>
      <c r="D761" s="1">
        <f>D764+D767+D770+D773+D776+D779+D782+D785+D788+D791+D794+D797+D800+D803+D806</f>
        <v>738</v>
      </c>
      <c r="E761" s="1">
        <f t="shared" ref="E761:I761" si="32">E764+E767+E770+E773+E776+E779+E782+E785+E788+E791+E794+E797+E800+E803+E806</f>
        <v>0</v>
      </c>
      <c r="F761" s="1">
        <f t="shared" si="32"/>
        <v>49</v>
      </c>
      <c r="G761" s="1">
        <f t="shared" si="32"/>
        <v>661</v>
      </c>
      <c r="H761" s="1">
        <f t="shared" si="32"/>
        <v>18</v>
      </c>
      <c r="I761" s="1">
        <f t="shared" si="32"/>
        <v>10</v>
      </c>
    </row>
    <row r="762" spans="1:9" x14ac:dyDescent="0.3">
      <c r="A762" t="s">
        <v>242</v>
      </c>
      <c r="B762" t="s">
        <v>9</v>
      </c>
      <c r="C762" t="s">
        <v>13</v>
      </c>
      <c r="D762" s="1">
        <f>D765+D768+D771+D774+D777+D780+D783+D786+D789+D792+D795+D798+D801+D804+D807</f>
        <v>5648</v>
      </c>
      <c r="E762" s="1">
        <f t="shared" ref="E762:I762" si="33">E765+E768+E771+E774+E777+E780+E783+E786+E789+E792+E795+E798+E801+E804+E807</f>
        <v>35</v>
      </c>
      <c r="F762" s="1">
        <f t="shared" si="33"/>
        <v>997</v>
      </c>
      <c r="G762" s="1">
        <f t="shared" si="33"/>
        <v>4254</v>
      </c>
      <c r="H762" s="1">
        <f t="shared" si="33"/>
        <v>190</v>
      </c>
      <c r="I762" s="1">
        <f t="shared" si="33"/>
        <v>172</v>
      </c>
    </row>
    <row r="763" spans="1:9" x14ac:dyDescent="0.3">
      <c r="A763" t="s">
        <v>242</v>
      </c>
      <c r="B763" t="s">
        <v>243</v>
      </c>
      <c r="C763" t="s">
        <v>9</v>
      </c>
      <c r="D763">
        <v>223</v>
      </c>
      <c r="E763">
        <v>5</v>
      </c>
      <c r="F763">
        <v>45</v>
      </c>
      <c r="G763">
        <v>169</v>
      </c>
      <c r="H763">
        <v>2</v>
      </c>
      <c r="I763">
        <v>2</v>
      </c>
    </row>
    <row r="764" spans="1:9" x14ac:dyDescent="0.3">
      <c r="A764" t="s">
        <v>242</v>
      </c>
      <c r="B764" t="s">
        <v>243</v>
      </c>
      <c r="C764" t="s">
        <v>12</v>
      </c>
      <c r="D764">
        <v>7</v>
      </c>
      <c r="E764">
        <v>0</v>
      </c>
      <c r="F764">
        <v>1</v>
      </c>
      <c r="G764">
        <v>6</v>
      </c>
      <c r="H764">
        <v>0</v>
      </c>
      <c r="I764">
        <v>0</v>
      </c>
    </row>
    <row r="765" spans="1:9" x14ac:dyDescent="0.3">
      <c r="A765" t="s">
        <v>242</v>
      </c>
      <c r="B765" t="s">
        <v>243</v>
      </c>
      <c r="C765" t="s">
        <v>13</v>
      </c>
      <c r="D765">
        <v>216</v>
      </c>
      <c r="E765">
        <v>5</v>
      </c>
      <c r="F765">
        <v>44</v>
      </c>
      <c r="G765">
        <v>163</v>
      </c>
      <c r="H765">
        <v>2</v>
      </c>
      <c r="I765">
        <v>2</v>
      </c>
    </row>
    <row r="766" spans="1:9" x14ac:dyDescent="0.3">
      <c r="A766" t="s">
        <v>242</v>
      </c>
      <c r="B766" t="s">
        <v>244</v>
      </c>
      <c r="C766" t="s">
        <v>9</v>
      </c>
      <c r="D766" s="1">
        <v>1132</v>
      </c>
      <c r="E766">
        <v>5</v>
      </c>
      <c r="F766">
        <v>193</v>
      </c>
      <c r="G766">
        <v>862</v>
      </c>
      <c r="H766">
        <v>33</v>
      </c>
      <c r="I766">
        <v>39</v>
      </c>
    </row>
    <row r="767" spans="1:9" x14ac:dyDescent="0.3">
      <c r="A767" t="s">
        <v>242</v>
      </c>
      <c r="B767" t="s">
        <v>244</v>
      </c>
      <c r="C767" t="s">
        <v>12</v>
      </c>
      <c r="D767">
        <v>144</v>
      </c>
      <c r="E767">
        <v>0</v>
      </c>
      <c r="F767">
        <v>11</v>
      </c>
      <c r="G767">
        <v>128</v>
      </c>
      <c r="H767">
        <v>1</v>
      </c>
      <c r="I767">
        <v>4</v>
      </c>
    </row>
    <row r="768" spans="1:9" x14ac:dyDescent="0.3">
      <c r="A768" t="s">
        <v>242</v>
      </c>
      <c r="B768" t="s">
        <v>244</v>
      </c>
      <c r="C768" t="s">
        <v>13</v>
      </c>
      <c r="D768">
        <v>988</v>
      </c>
      <c r="E768">
        <v>5</v>
      </c>
      <c r="F768">
        <v>182</v>
      </c>
      <c r="G768">
        <v>734</v>
      </c>
      <c r="H768">
        <v>32</v>
      </c>
      <c r="I768">
        <v>35</v>
      </c>
    </row>
    <row r="769" spans="1:9" x14ac:dyDescent="0.3">
      <c r="A769" t="s">
        <v>242</v>
      </c>
      <c r="B769" t="s">
        <v>245</v>
      </c>
      <c r="C769" t="s">
        <v>9</v>
      </c>
      <c r="D769">
        <v>390</v>
      </c>
      <c r="E769">
        <v>4</v>
      </c>
      <c r="F769">
        <v>44</v>
      </c>
      <c r="G769">
        <v>314</v>
      </c>
      <c r="H769">
        <v>10</v>
      </c>
      <c r="I769">
        <v>18</v>
      </c>
    </row>
    <row r="770" spans="1:9" x14ac:dyDescent="0.3">
      <c r="A770" t="s">
        <v>242</v>
      </c>
      <c r="B770" t="s">
        <v>245</v>
      </c>
      <c r="C770" t="s">
        <v>12</v>
      </c>
      <c r="D770">
        <v>54</v>
      </c>
      <c r="E770">
        <v>0</v>
      </c>
      <c r="F770">
        <v>3</v>
      </c>
      <c r="G770">
        <v>47</v>
      </c>
      <c r="H770">
        <v>1</v>
      </c>
      <c r="I770">
        <v>3</v>
      </c>
    </row>
    <row r="771" spans="1:9" x14ac:dyDescent="0.3">
      <c r="A771" t="s">
        <v>242</v>
      </c>
      <c r="B771" t="s">
        <v>245</v>
      </c>
      <c r="C771" t="s">
        <v>13</v>
      </c>
      <c r="D771">
        <v>336</v>
      </c>
      <c r="E771">
        <v>4</v>
      </c>
      <c r="F771">
        <v>41</v>
      </c>
      <c r="G771">
        <v>267</v>
      </c>
      <c r="H771">
        <v>9</v>
      </c>
      <c r="I771">
        <v>15</v>
      </c>
    </row>
    <row r="772" spans="1:9" x14ac:dyDescent="0.3">
      <c r="A772" t="s">
        <v>242</v>
      </c>
      <c r="B772" t="s">
        <v>246</v>
      </c>
      <c r="C772" t="s">
        <v>9</v>
      </c>
      <c r="D772">
        <v>364</v>
      </c>
      <c r="E772">
        <v>3</v>
      </c>
      <c r="F772">
        <v>67</v>
      </c>
      <c r="G772">
        <v>274</v>
      </c>
      <c r="H772">
        <v>10</v>
      </c>
      <c r="I772">
        <v>10</v>
      </c>
    </row>
    <row r="773" spans="1:9" x14ac:dyDescent="0.3">
      <c r="A773" t="s">
        <v>242</v>
      </c>
      <c r="B773" t="s">
        <v>246</v>
      </c>
      <c r="C773" t="s">
        <v>12</v>
      </c>
      <c r="D773">
        <v>34</v>
      </c>
      <c r="E773">
        <v>0</v>
      </c>
      <c r="F773">
        <v>2</v>
      </c>
      <c r="G773">
        <v>31</v>
      </c>
      <c r="H773">
        <v>1</v>
      </c>
      <c r="I773">
        <v>0</v>
      </c>
    </row>
    <row r="774" spans="1:9" x14ac:dyDescent="0.3">
      <c r="A774" t="s">
        <v>242</v>
      </c>
      <c r="B774" t="s">
        <v>246</v>
      </c>
      <c r="C774" t="s">
        <v>13</v>
      </c>
      <c r="D774">
        <v>330</v>
      </c>
      <c r="E774">
        <v>3</v>
      </c>
      <c r="F774">
        <v>65</v>
      </c>
      <c r="G774">
        <v>243</v>
      </c>
      <c r="H774">
        <v>9</v>
      </c>
      <c r="I774">
        <v>10</v>
      </c>
    </row>
    <row r="775" spans="1:9" x14ac:dyDescent="0.3">
      <c r="A775" t="s">
        <v>242</v>
      </c>
      <c r="B775" t="s">
        <v>247</v>
      </c>
      <c r="C775" t="s">
        <v>9</v>
      </c>
      <c r="D775">
        <v>99</v>
      </c>
      <c r="E775">
        <v>2</v>
      </c>
      <c r="F775">
        <v>20</v>
      </c>
      <c r="G775">
        <v>73</v>
      </c>
      <c r="H775">
        <v>3</v>
      </c>
      <c r="I775">
        <v>1</v>
      </c>
    </row>
    <row r="776" spans="1:9" x14ac:dyDescent="0.3">
      <c r="A776" t="s">
        <v>242</v>
      </c>
      <c r="B776" t="s">
        <v>247</v>
      </c>
      <c r="C776" t="s">
        <v>12</v>
      </c>
      <c r="D776">
        <v>7</v>
      </c>
      <c r="E776">
        <v>0</v>
      </c>
      <c r="F776">
        <v>2</v>
      </c>
      <c r="G776">
        <v>4</v>
      </c>
      <c r="H776">
        <v>1</v>
      </c>
      <c r="I776">
        <v>0</v>
      </c>
    </row>
    <row r="777" spans="1:9" x14ac:dyDescent="0.3">
      <c r="A777" t="s">
        <v>242</v>
      </c>
      <c r="B777" t="s">
        <v>247</v>
      </c>
      <c r="C777" t="s">
        <v>13</v>
      </c>
      <c r="D777">
        <v>92</v>
      </c>
      <c r="E777">
        <v>2</v>
      </c>
      <c r="F777">
        <v>18</v>
      </c>
      <c r="G777">
        <v>69</v>
      </c>
      <c r="H777">
        <v>2</v>
      </c>
      <c r="I777">
        <v>1</v>
      </c>
    </row>
    <row r="778" spans="1:9" x14ac:dyDescent="0.3">
      <c r="A778" t="s">
        <v>242</v>
      </c>
      <c r="B778" t="s">
        <v>248</v>
      </c>
      <c r="C778" t="s">
        <v>9</v>
      </c>
      <c r="D778">
        <v>211</v>
      </c>
      <c r="E778">
        <v>0</v>
      </c>
      <c r="F778">
        <v>37</v>
      </c>
      <c r="G778">
        <v>167</v>
      </c>
      <c r="H778">
        <v>2</v>
      </c>
      <c r="I778">
        <v>5</v>
      </c>
    </row>
    <row r="779" spans="1:9" x14ac:dyDescent="0.3">
      <c r="A779" t="s">
        <v>242</v>
      </c>
      <c r="B779" t="s">
        <v>248</v>
      </c>
      <c r="C779" t="s">
        <v>12</v>
      </c>
      <c r="D779">
        <v>17</v>
      </c>
      <c r="E779">
        <v>0</v>
      </c>
      <c r="F779">
        <v>0</v>
      </c>
      <c r="G779">
        <v>15</v>
      </c>
      <c r="H779">
        <v>2</v>
      </c>
      <c r="I779">
        <v>0</v>
      </c>
    </row>
    <row r="780" spans="1:9" x14ac:dyDescent="0.3">
      <c r="A780" t="s">
        <v>242</v>
      </c>
      <c r="B780" t="s">
        <v>248</v>
      </c>
      <c r="C780" t="s">
        <v>13</v>
      </c>
      <c r="D780">
        <v>194</v>
      </c>
      <c r="E780">
        <v>0</v>
      </c>
      <c r="F780">
        <v>37</v>
      </c>
      <c r="G780">
        <v>152</v>
      </c>
      <c r="H780">
        <v>0</v>
      </c>
      <c r="I780">
        <v>5</v>
      </c>
    </row>
    <row r="781" spans="1:9" x14ac:dyDescent="0.3">
      <c r="A781" t="s">
        <v>242</v>
      </c>
      <c r="B781" t="s">
        <v>249</v>
      </c>
      <c r="C781" t="s">
        <v>9</v>
      </c>
      <c r="D781">
        <v>127</v>
      </c>
      <c r="E781">
        <v>3</v>
      </c>
      <c r="F781">
        <v>33</v>
      </c>
      <c r="G781">
        <v>83</v>
      </c>
      <c r="H781">
        <v>6</v>
      </c>
      <c r="I781">
        <v>2</v>
      </c>
    </row>
    <row r="782" spans="1:9" x14ac:dyDescent="0.3">
      <c r="A782" t="s">
        <v>242</v>
      </c>
      <c r="B782" t="s">
        <v>249</v>
      </c>
      <c r="C782" t="s">
        <v>12</v>
      </c>
      <c r="D782">
        <v>8</v>
      </c>
      <c r="E782">
        <v>0</v>
      </c>
      <c r="F782">
        <v>0</v>
      </c>
      <c r="G782">
        <v>8</v>
      </c>
      <c r="H782">
        <v>0</v>
      </c>
      <c r="I782">
        <v>0</v>
      </c>
    </row>
    <row r="783" spans="1:9" x14ac:dyDescent="0.3">
      <c r="A783" t="s">
        <v>242</v>
      </c>
      <c r="B783" t="s">
        <v>249</v>
      </c>
      <c r="C783" t="s">
        <v>13</v>
      </c>
      <c r="D783">
        <v>119</v>
      </c>
      <c r="E783">
        <v>3</v>
      </c>
      <c r="F783">
        <v>33</v>
      </c>
      <c r="G783">
        <v>75</v>
      </c>
      <c r="H783">
        <v>6</v>
      </c>
      <c r="I783">
        <v>2</v>
      </c>
    </row>
    <row r="784" spans="1:9" x14ac:dyDescent="0.3">
      <c r="A784" t="s">
        <v>242</v>
      </c>
      <c r="B784" t="s">
        <v>250</v>
      </c>
      <c r="C784" t="s">
        <v>9</v>
      </c>
      <c r="D784">
        <v>440</v>
      </c>
      <c r="E784">
        <v>1</v>
      </c>
      <c r="F784">
        <v>63</v>
      </c>
      <c r="G784">
        <v>353</v>
      </c>
      <c r="H784">
        <v>17</v>
      </c>
      <c r="I784">
        <v>6</v>
      </c>
    </row>
    <row r="785" spans="1:9" x14ac:dyDescent="0.3">
      <c r="A785" t="s">
        <v>242</v>
      </c>
      <c r="B785" t="s">
        <v>250</v>
      </c>
      <c r="C785" t="s">
        <v>12</v>
      </c>
      <c r="D785">
        <v>46</v>
      </c>
      <c r="E785">
        <v>0</v>
      </c>
      <c r="F785">
        <v>2</v>
      </c>
      <c r="G785">
        <v>41</v>
      </c>
      <c r="H785">
        <v>2</v>
      </c>
      <c r="I785">
        <v>1</v>
      </c>
    </row>
    <row r="786" spans="1:9" x14ac:dyDescent="0.3">
      <c r="A786" t="s">
        <v>242</v>
      </c>
      <c r="B786" t="s">
        <v>250</v>
      </c>
      <c r="C786" t="s">
        <v>13</v>
      </c>
      <c r="D786">
        <v>394</v>
      </c>
      <c r="E786">
        <v>1</v>
      </c>
      <c r="F786">
        <v>61</v>
      </c>
      <c r="G786">
        <v>312</v>
      </c>
      <c r="H786">
        <v>15</v>
      </c>
      <c r="I786">
        <v>5</v>
      </c>
    </row>
    <row r="787" spans="1:9" x14ac:dyDescent="0.3">
      <c r="A787" t="s">
        <v>242</v>
      </c>
      <c r="B787" t="s">
        <v>251</v>
      </c>
      <c r="C787" t="s">
        <v>9</v>
      </c>
      <c r="D787" s="1">
        <v>1066</v>
      </c>
      <c r="E787">
        <v>2</v>
      </c>
      <c r="F787">
        <v>166</v>
      </c>
      <c r="G787">
        <v>807</v>
      </c>
      <c r="H787">
        <v>54</v>
      </c>
      <c r="I787">
        <v>37</v>
      </c>
    </row>
    <row r="788" spans="1:9" x14ac:dyDescent="0.3">
      <c r="A788" t="s">
        <v>242</v>
      </c>
      <c r="B788" t="s">
        <v>251</v>
      </c>
      <c r="C788" t="s">
        <v>12</v>
      </c>
      <c r="D788">
        <v>149</v>
      </c>
      <c r="E788">
        <v>0</v>
      </c>
      <c r="F788">
        <v>7</v>
      </c>
      <c r="G788">
        <v>137</v>
      </c>
      <c r="H788">
        <v>4</v>
      </c>
      <c r="I788">
        <v>1</v>
      </c>
    </row>
    <row r="789" spans="1:9" x14ac:dyDescent="0.3">
      <c r="A789" t="s">
        <v>242</v>
      </c>
      <c r="B789" t="s">
        <v>251</v>
      </c>
      <c r="C789" t="s">
        <v>13</v>
      </c>
      <c r="D789">
        <v>917</v>
      </c>
      <c r="E789">
        <v>2</v>
      </c>
      <c r="F789">
        <v>159</v>
      </c>
      <c r="G789">
        <v>670</v>
      </c>
      <c r="H789">
        <v>50</v>
      </c>
      <c r="I789">
        <v>36</v>
      </c>
    </row>
    <row r="790" spans="1:9" x14ac:dyDescent="0.3">
      <c r="A790" t="s">
        <v>242</v>
      </c>
      <c r="B790" t="s">
        <v>252</v>
      </c>
      <c r="C790" t="s">
        <v>9</v>
      </c>
      <c r="D790">
        <v>100</v>
      </c>
      <c r="E790">
        <v>1</v>
      </c>
      <c r="F790">
        <v>8</v>
      </c>
      <c r="G790">
        <v>89</v>
      </c>
      <c r="H790">
        <v>1</v>
      </c>
      <c r="I790">
        <v>1</v>
      </c>
    </row>
    <row r="791" spans="1:9" x14ac:dyDescent="0.3">
      <c r="A791" t="s">
        <v>242</v>
      </c>
      <c r="B791" t="s">
        <v>252</v>
      </c>
      <c r="C791" t="s">
        <v>12</v>
      </c>
      <c r="D791">
        <v>8</v>
      </c>
      <c r="E791">
        <v>0</v>
      </c>
      <c r="F791">
        <v>0</v>
      </c>
      <c r="G791">
        <v>8</v>
      </c>
      <c r="H791">
        <v>0</v>
      </c>
      <c r="I791">
        <v>0</v>
      </c>
    </row>
    <row r="792" spans="1:9" x14ac:dyDescent="0.3">
      <c r="A792" t="s">
        <v>242</v>
      </c>
      <c r="B792" t="s">
        <v>252</v>
      </c>
      <c r="C792" t="s">
        <v>13</v>
      </c>
      <c r="D792">
        <v>92</v>
      </c>
      <c r="E792">
        <v>1</v>
      </c>
      <c r="F792">
        <v>8</v>
      </c>
      <c r="G792">
        <v>81</v>
      </c>
      <c r="H792">
        <v>1</v>
      </c>
      <c r="I792">
        <v>1</v>
      </c>
    </row>
    <row r="793" spans="1:9" x14ac:dyDescent="0.3">
      <c r="A793" t="s">
        <v>242</v>
      </c>
      <c r="B793" t="s">
        <v>253</v>
      </c>
      <c r="C793" t="s">
        <v>9</v>
      </c>
      <c r="D793">
        <v>106</v>
      </c>
      <c r="E793">
        <v>1</v>
      </c>
      <c r="F793">
        <v>18</v>
      </c>
      <c r="G793">
        <v>83</v>
      </c>
      <c r="H793">
        <v>1</v>
      </c>
      <c r="I793">
        <v>3</v>
      </c>
    </row>
    <row r="794" spans="1:9" x14ac:dyDescent="0.3">
      <c r="A794" t="s">
        <v>242</v>
      </c>
      <c r="B794" t="s">
        <v>253</v>
      </c>
      <c r="C794" t="s">
        <v>12</v>
      </c>
      <c r="D794">
        <v>4</v>
      </c>
      <c r="E794">
        <v>0</v>
      </c>
      <c r="F794">
        <v>1</v>
      </c>
      <c r="G794">
        <v>3</v>
      </c>
      <c r="H794">
        <v>0</v>
      </c>
      <c r="I794">
        <v>0</v>
      </c>
    </row>
    <row r="795" spans="1:9" x14ac:dyDescent="0.3">
      <c r="A795" t="s">
        <v>242</v>
      </c>
      <c r="B795" t="s">
        <v>253</v>
      </c>
      <c r="C795" t="s">
        <v>13</v>
      </c>
      <c r="D795">
        <v>102</v>
      </c>
      <c r="E795">
        <v>1</v>
      </c>
      <c r="F795">
        <v>17</v>
      </c>
      <c r="G795">
        <v>80</v>
      </c>
      <c r="H795">
        <v>1</v>
      </c>
      <c r="I795">
        <v>3</v>
      </c>
    </row>
    <row r="796" spans="1:9" x14ac:dyDescent="0.3">
      <c r="A796" t="s">
        <v>242</v>
      </c>
      <c r="B796" t="s">
        <v>254</v>
      </c>
      <c r="C796" t="s">
        <v>9</v>
      </c>
      <c r="D796">
        <v>808</v>
      </c>
      <c r="E796">
        <v>3</v>
      </c>
      <c r="F796">
        <v>143</v>
      </c>
      <c r="G796">
        <v>615</v>
      </c>
      <c r="H796">
        <v>22</v>
      </c>
      <c r="I796">
        <v>25</v>
      </c>
    </row>
    <row r="797" spans="1:9" x14ac:dyDescent="0.3">
      <c r="A797" t="s">
        <v>242</v>
      </c>
      <c r="B797" t="s">
        <v>254</v>
      </c>
      <c r="C797" t="s">
        <v>12</v>
      </c>
      <c r="D797">
        <v>101</v>
      </c>
      <c r="E797">
        <v>0</v>
      </c>
      <c r="F797">
        <v>12</v>
      </c>
      <c r="G797">
        <v>88</v>
      </c>
      <c r="H797">
        <v>1</v>
      </c>
      <c r="I797">
        <v>0</v>
      </c>
    </row>
    <row r="798" spans="1:9" x14ac:dyDescent="0.3">
      <c r="A798" t="s">
        <v>242</v>
      </c>
      <c r="B798" t="s">
        <v>254</v>
      </c>
      <c r="C798" t="s">
        <v>13</v>
      </c>
      <c r="D798">
        <v>707</v>
      </c>
      <c r="E798">
        <v>3</v>
      </c>
      <c r="F798">
        <v>131</v>
      </c>
      <c r="G798">
        <v>527</v>
      </c>
      <c r="H798">
        <v>21</v>
      </c>
      <c r="I798">
        <v>25</v>
      </c>
    </row>
    <row r="799" spans="1:9" x14ac:dyDescent="0.3">
      <c r="A799" t="s">
        <v>242</v>
      </c>
      <c r="B799" t="s">
        <v>255</v>
      </c>
      <c r="C799" t="s">
        <v>9</v>
      </c>
      <c r="D799">
        <v>703</v>
      </c>
      <c r="E799">
        <v>3</v>
      </c>
      <c r="F799">
        <v>112</v>
      </c>
      <c r="G799">
        <v>551</v>
      </c>
      <c r="H799">
        <v>21</v>
      </c>
      <c r="I799">
        <v>16</v>
      </c>
    </row>
    <row r="800" spans="1:9" x14ac:dyDescent="0.3">
      <c r="A800" t="s">
        <v>242</v>
      </c>
      <c r="B800" t="s">
        <v>255</v>
      </c>
      <c r="C800" t="s">
        <v>12</v>
      </c>
      <c r="D800">
        <v>78</v>
      </c>
      <c r="E800">
        <v>0</v>
      </c>
      <c r="F800">
        <v>7</v>
      </c>
      <c r="G800">
        <v>70</v>
      </c>
      <c r="H800">
        <v>1</v>
      </c>
      <c r="I800">
        <v>0</v>
      </c>
    </row>
    <row r="801" spans="1:9" x14ac:dyDescent="0.3">
      <c r="A801" t="s">
        <v>242</v>
      </c>
      <c r="B801" t="s">
        <v>255</v>
      </c>
      <c r="C801" t="s">
        <v>13</v>
      </c>
      <c r="D801">
        <v>625</v>
      </c>
      <c r="E801">
        <v>3</v>
      </c>
      <c r="F801">
        <v>105</v>
      </c>
      <c r="G801">
        <v>481</v>
      </c>
      <c r="H801">
        <v>20</v>
      </c>
      <c r="I801">
        <v>16</v>
      </c>
    </row>
    <row r="802" spans="1:9" x14ac:dyDescent="0.3">
      <c r="A802" t="s">
        <v>242</v>
      </c>
      <c r="B802" t="s">
        <v>256</v>
      </c>
      <c r="C802" t="s">
        <v>9</v>
      </c>
      <c r="D802">
        <v>494</v>
      </c>
      <c r="E802">
        <v>1</v>
      </c>
      <c r="F802">
        <v>74</v>
      </c>
      <c r="G802">
        <v>380</v>
      </c>
      <c r="H802">
        <v>24</v>
      </c>
      <c r="I802">
        <v>15</v>
      </c>
    </row>
    <row r="803" spans="1:9" x14ac:dyDescent="0.3">
      <c r="A803" t="s">
        <v>242</v>
      </c>
      <c r="B803" t="s">
        <v>256</v>
      </c>
      <c r="C803" t="s">
        <v>12</v>
      </c>
      <c r="D803">
        <v>76</v>
      </c>
      <c r="E803">
        <v>0</v>
      </c>
      <c r="F803">
        <v>1</v>
      </c>
      <c r="G803">
        <v>70</v>
      </c>
      <c r="H803">
        <v>4</v>
      </c>
      <c r="I803">
        <v>1</v>
      </c>
    </row>
    <row r="804" spans="1:9" x14ac:dyDescent="0.3">
      <c r="A804" t="s">
        <v>242</v>
      </c>
      <c r="B804" t="s">
        <v>256</v>
      </c>
      <c r="C804" t="s">
        <v>13</v>
      </c>
      <c r="D804">
        <v>418</v>
      </c>
      <c r="E804">
        <v>1</v>
      </c>
      <c r="F804">
        <v>73</v>
      </c>
      <c r="G804">
        <v>310</v>
      </c>
      <c r="H804">
        <v>20</v>
      </c>
      <c r="I804">
        <v>14</v>
      </c>
    </row>
    <row r="805" spans="1:9" x14ac:dyDescent="0.3">
      <c r="A805" t="s">
        <v>242</v>
      </c>
      <c r="B805" t="s">
        <v>257</v>
      </c>
      <c r="C805" t="s">
        <v>9</v>
      </c>
      <c r="D805">
        <v>123</v>
      </c>
      <c r="E805">
        <v>1</v>
      </c>
      <c r="F805">
        <v>23</v>
      </c>
      <c r="G805">
        <v>95</v>
      </c>
      <c r="H805">
        <v>2</v>
      </c>
      <c r="I805">
        <v>2</v>
      </c>
    </row>
    <row r="806" spans="1:9" x14ac:dyDescent="0.3">
      <c r="A806" t="s">
        <v>242</v>
      </c>
      <c r="B806" t="s">
        <v>257</v>
      </c>
      <c r="C806" t="s">
        <v>12</v>
      </c>
      <c r="D806">
        <v>5</v>
      </c>
      <c r="E806">
        <v>0</v>
      </c>
      <c r="F806">
        <v>0</v>
      </c>
      <c r="G806">
        <v>5</v>
      </c>
      <c r="H806">
        <v>0</v>
      </c>
      <c r="I806">
        <v>0</v>
      </c>
    </row>
    <row r="807" spans="1:9" x14ac:dyDescent="0.3">
      <c r="A807" t="s">
        <v>242</v>
      </c>
      <c r="B807" t="s">
        <v>257</v>
      </c>
      <c r="C807" t="s">
        <v>13</v>
      </c>
      <c r="D807">
        <v>118</v>
      </c>
      <c r="E807">
        <v>1</v>
      </c>
      <c r="F807">
        <v>23</v>
      </c>
      <c r="G807">
        <v>90</v>
      </c>
      <c r="H807">
        <v>2</v>
      </c>
      <c r="I807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2026-03-06T06:09:35Z</dcterms:created>
  <dcterms:modified xsi:type="dcterms:W3CDTF">2026-03-06T06:09:35Z</dcterms:modified>
</cp:coreProperties>
</file>