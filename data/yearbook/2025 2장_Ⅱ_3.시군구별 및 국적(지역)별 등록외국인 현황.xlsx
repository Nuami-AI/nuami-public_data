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8_{8973DCA7-B33B-49C5-B17C-6D855CDAD1AC}" xr6:coauthVersionLast="47" xr6:coauthVersionMax="47" xr10:uidLastSave="{00000000-0000-0000-0000-000000000000}"/>
  <bookViews>
    <workbookView xWindow="3690" yWindow="120" windowWidth="23355" windowHeight="15150"/>
  </bookViews>
  <sheets>
    <sheet name="2025" sheetId="1" r:id="rId1"/>
  </sheets>
  <definedNames>
    <definedName name="_xlnm._FilterDatabase" localSheetId="0" hidden="1">'2025'!$A$1:$GS$808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62" i="1" l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K762" i="1"/>
  <c r="AL762" i="1"/>
  <c r="AM762" i="1"/>
  <c r="AN762" i="1"/>
  <c r="AO762" i="1"/>
  <c r="AP762" i="1"/>
  <c r="AQ762" i="1"/>
  <c r="AR762" i="1"/>
  <c r="AS762" i="1"/>
  <c r="AT762" i="1"/>
  <c r="AU762" i="1"/>
  <c r="AV762" i="1"/>
  <c r="AW762" i="1"/>
  <c r="AX762" i="1"/>
  <c r="AY762" i="1"/>
  <c r="AZ762" i="1"/>
  <c r="BA762" i="1"/>
  <c r="BB762" i="1"/>
  <c r="BC762" i="1"/>
  <c r="BD762" i="1"/>
  <c r="BE762" i="1"/>
  <c r="BF762" i="1"/>
  <c r="BG762" i="1"/>
  <c r="BH762" i="1"/>
  <c r="BI762" i="1"/>
  <c r="BJ762" i="1"/>
  <c r="BK762" i="1"/>
  <c r="BL762" i="1"/>
  <c r="BM762" i="1"/>
  <c r="BN762" i="1"/>
  <c r="BO762" i="1"/>
  <c r="BP762" i="1"/>
  <c r="BQ762" i="1"/>
  <c r="BR762" i="1"/>
  <c r="BS762" i="1"/>
  <c r="BT762" i="1"/>
  <c r="BU762" i="1"/>
  <c r="BV762" i="1"/>
  <c r="BW762" i="1"/>
  <c r="BX762" i="1"/>
  <c r="BY762" i="1"/>
  <c r="BZ762" i="1"/>
  <c r="CA762" i="1"/>
  <c r="CB762" i="1"/>
  <c r="CC762" i="1"/>
  <c r="CD762" i="1"/>
  <c r="CE762" i="1"/>
  <c r="CF762" i="1"/>
  <c r="CG762" i="1"/>
  <c r="CH762" i="1"/>
  <c r="CI762" i="1"/>
  <c r="CJ762" i="1"/>
  <c r="CK762" i="1"/>
  <c r="CL762" i="1"/>
  <c r="CM762" i="1"/>
  <c r="CN762" i="1"/>
  <c r="CO762" i="1"/>
  <c r="CP762" i="1"/>
  <c r="CQ762" i="1"/>
  <c r="CR762" i="1"/>
  <c r="CS762" i="1"/>
  <c r="CT762" i="1"/>
  <c r="CU762" i="1"/>
  <c r="CV762" i="1"/>
  <c r="CW762" i="1"/>
  <c r="CX762" i="1"/>
  <c r="CY762" i="1"/>
  <c r="CZ762" i="1"/>
  <c r="DA762" i="1"/>
  <c r="DB762" i="1"/>
  <c r="DC762" i="1"/>
  <c r="DD762" i="1"/>
  <c r="DE762" i="1"/>
  <c r="DF762" i="1"/>
  <c r="DG762" i="1"/>
  <c r="DH762" i="1"/>
  <c r="DI762" i="1"/>
  <c r="DJ762" i="1"/>
  <c r="DK762" i="1"/>
  <c r="DL762" i="1"/>
  <c r="DM762" i="1"/>
  <c r="DN762" i="1"/>
  <c r="DO762" i="1"/>
  <c r="DP762" i="1"/>
  <c r="DQ762" i="1"/>
  <c r="DR762" i="1"/>
  <c r="DS762" i="1"/>
  <c r="DT762" i="1"/>
  <c r="DU762" i="1"/>
  <c r="DV762" i="1"/>
  <c r="DW762" i="1"/>
  <c r="DX762" i="1"/>
  <c r="DY762" i="1"/>
  <c r="DZ762" i="1"/>
  <c r="EA762" i="1"/>
  <c r="EB762" i="1"/>
  <c r="EC762" i="1"/>
  <c r="ED762" i="1"/>
  <c r="EE762" i="1"/>
  <c r="EF762" i="1"/>
  <c r="EG762" i="1"/>
  <c r="EH762" i="1"/>
  <c r="EI762" i="1"/>
  <c r="EJ762" i="1"/>
  <c r="EK762" i="1"/>
  <c r="EL762" i="1"/>
  <c r="EM762" i="1"/>
  <c r="EN762" i="1"/>
  <c r="EO762" i="1"/>
  <c r="EP762" i="1"/>
  <c r="EQ762" i="1"/>
  <c r="ER762" i="1"/>
  <c r="ES762" i="1"/>
  <c r="ET762" i="1"/>
  <c r="EU762" i="1"/>
  <c r="EV762" i="1"/>
  <c r="EW762" i="1"/>
  <c r="EX762" i="1"/>
  <c r="EY762" i="1"/>
  <c r="EZ762" i="1"/>
  <c r="FA762" i="1"/>
  <c r="FB762" i="1"/>
  <c r="FC762" i="1"/>
  <c r="FD762" i="1"/>
  <c r="FE762" i="1"/>
  <c r="FF762" i="1"/>
  <c r="FG762" i="1"/>
  <c r="FH762" i="1"/>
  <c r="FI762" i="1"/>
  <c r="FJ762" i="1"/>
  <c r="FK762" i="1"/>
  <c r="FL762" i="1"/>
  <c r="FM762" i="1"/>
  <c r="FN762" i="1"/>
  <c r="FO762" i="1"/>
  <c r="FP762" i="1"/>
  <c r="FQ762" i="1"/>
  <c r="FR762" i="1"/>
  <c r="FS762" i="1"/>
  <c r="FT762" i="1"/>
  <c r="FU762" i="1"/>
  <c r="FV762" i="1"/>
  <c r="FW762" i="1"/>
  <c r="FX762" i="1"/>
  <c r="FY762" i="1"/>
  <c r="FZ762" i="1"/>
  <c r="GA762" i="1"/>
  <c r="GB762" i="1"/>
  <c r="GC762" i="1"/>
  <c r="GD762" i="1"/>
  <c r="GE762" i="1"/>
  <c r="GF762" i="1"/>
  <c r="GG762" i="1"/>
  <c r="GH762" i="1"/>
  <c r="GI762" i="1"/>
  <c r="GJ762" i="1"/>
  <c r="GK762" i="1"/>
  <c r="GL762" i="1"/>
  <c r="GM762" i="1"/>
  <c r="GN762" i="1"/>
  <c r="GO762" i="1"/>
  <c r="GP762" i="1"/>
  <c r="GQ762" i="1"/>
  <c r="GR762" i="1"/>
  <c r="GS762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K763" i="1"/>
  <c r="AL763" i="1"/>
  <c r="AM763" i="1"/>
  <c r="AN763" i="1"/>
  <c r="AO763" i="1"/>
  <c r="AP763" i="1"/>
  <c r="AQ763" i="1"/>
  <c r="AR763" i="1"/>
  <c r="AS763" i="1"/>
  <c r="AT763" i="1"/>
  <c r="AU763" i="1"/>
  <c r="AV763" i="1"/>
  <c r="AW763" i="1"/>
  <c r="AX763" i="1"/>
  <c r="AY763" i="1"/>
  <c r="AZ763" i="1"/>
  <c r="BA763" i="1"/>
  <c r="BB763" i="1"/>
  <c r="BC763" i="1"/>
  <c r="BD763" i="1"/>
  <c r="BE763" i="1"/>
  <c r="BF763" i="1"/>
  <c r="BG763" i="1"/>
  <c r="BH763" i="1"/>
  <c r="BI763" i="1"/>
  <c r="BJ763" i="1"/>
  <c r="BK763" i="1"/>
  <c r="BL763" i="1"/>
  <c r="BM763" i="1"/>
  <c r="BN763" i="1"/>
  <c r="BO763" i="1"/>
  <c r="BP763" i="1"/>
  <c r="BQ763" i="1"/>
  <c r="BR763" i="1"/>
  <c r="BS763" i="1"/>
  <c r="BT763" i="1"/>
  <c r="BU763" i="1"/>
  <c r="BV763" i="1"/>
  <c r="BW763" i="1"/>
  <c r="BX763" i="1"/>
  <c r="BY763" i="1"/>
  <c r="BZ763" i="1"/>
  <c r="CA763" i="1"/>
  <c r="CB763" i="1"/>
  <c r="CC763" i="1"/>
  <c r="CD763" i="1"/>
  <c r="CE763" i="1"/>
  <c r="CF763" i="1"/>
  <c r="CG763" i="1"/>
  <c r="CH763" i="1"/>
  <c r="CI763" i="1"/>
  <c r="CJ763" i="1"/>
  <c r="CK763" i="1"/>
  <c r="CL763" i="1"/>
  <c r="CM763" i="1"/>
  <c r="CN763" i="1"/>
  <c r="CO763" i="1"/>
  <c r="CP763" i="1"/>
  <c r="CQ763" i="1"/>
  <c r="CR763" i="1"/>
  <c r="CS763" i="1"/>
  <c r="CT763" i="1"/>
  <c r="CU763" i="1"/>
  <c r="CV763" i="1"/>
  <c r="CW763" i="1"/>
  <c r="CX763" i="1"/>
  <c r="CY763" i="1"/>
  <c r="CZ763" i="1"/>
  <c r="DA763" i="1"/>
  <c r="DB763" i="1"/>
  <c r="DC763" i="1"/>
  <c r="DD763" i="1"/>
  <c r="DE763" i="1"/>
  <c r="DF763" i="1"/>
  <c r="DG763" i="1"/>
  <c r="DH763" i="1"/>
  <c r="DI763" i="1"/>
  <c r="DJ763" i="1"/>
  <c r="DK763" i="1"/>
  <c r="DL763" i="1"/>
  <c r="DM763" i="1"/>
  <c r="DN763" i="1"/>
  <c r="DO763" i="1"/>
  <c r="DP763" i="1"/>
  <c r="DQ763" i="1"/>
  <c r="DR763" i="1"/>
  <c r="DS763" i="1"/>
  <c r="DT763" i="1"/>
  <c r="DU763" i="1"/>
  <c r="DV763" i="1"/>
  <c r="DW763" i="1"/>
  <c r="DX763" i="1"/>
  <c r="DY763" i="1"/>
  <c r="DZ763" i="1"/>
  <c r="EA763" i="1"/>
  <c r="EB763" i="1"/>
  <c r="EC763" i="1"/>
  <c r="ED763" i="1"/>
  <c r="EE763" i="1"/>
  <c r="EF763" i="1"/>
  <c r="EG763" i="1"/>
  <c r="EH763" i="1"/>
  <c r="EI763" i="1"/>
  <c r="EJ763" i="1"/>
  <c r="EK763" i="1"/>
  <c r="EL763" i="1"/>
  <c r="EM763" i="1"/>
  <c r="EN763" i="1"/>
  <c r="EO763" i="1"/>
  <c r="EP763" i="1"/>
  <c r="EQ763" i="1"/>
  <c r="ER763" i="1"/>
  <c r="ES763" i="1"/>
  <c r="ET763" i="1"/>
  <c r="EU763" i="1"/>
  <c r="EV763" i="1"/>
  <c r="EW763" i="1"/>
  <c r="EX763" i="1"/>
  <c r="EY763" i="1"/>
  <c r="EZ763" i="1"/>
  <c r="FA763" i="1"/>
  <c r="FB763" i="1"/>
  <c r="FC763" i="1"/>
  <c r="FD763" i="1"/>
  <c r="FE763" i="1"/>
  <c r="FF763" i="1"/>
  <c r="FG763" i="1"/>
  <c r="FH763" i="1"/>
  <c r="FI763" i="1"/>
  <c r="FJ763" i="1"/>
  <c r="FK763" i="1"/>
  <c r="FL763" i="1"/>
  <c r="FM763" i="1"/>
  <c r="FN763" i="1"/>
  <c r="FO763" i="1"/>
  <c r="FP763" i="1"/>
  <c r="FQ763" i="1"/>
  <c r="FR763" i="1"/>
  <c r="FS763" i="1"/>
  <c r="FT763" i="1"/>
  <c r="FU763" i="1"/>
  <c r="FV763" i="1"/>
  <c r="FW763" i="1"/>
  <c r="FX763" i="1"/>
  <c r="FY763" i="1"/>
  <c r="FZ763" i="1"/>
  <c r="GA763" i="1"/>
  <c r="GB763" i="1"/>
  <c r="GC763" i="1"/>
  <c r="GD763" i="1"/>
  <c r="GE763" i="1"/>
  <c r="GF763" i="1"/>
  <c r="GG763" i="1"/>
  <c r="GH763" i="1"/>
  <c r="GI763" i="1"/>
  <c r="GJ763" i="1"/>
  <c r="GK763" i="1"/>
  <c r="GL763" i="1"/>
  <c r="GM763" i="1"/>
  <c r="GN763" i="1"/>
  <c r="GO763" i="1"/>
  <c r="GP763" i="1"/>
  <c r="GQ763" i="1"/>
  <c r="GR763" i="1"/>
  <c r="GS763" i="1"/>
  <c r="D763" i="1"/>
  <c r="D762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AQ705" i="1"/>
  <c r="AR705" i="1"/>
  <c r="AS705" i="1"/>
  <c r="AT705" i="1"/>
  <c r="AU705" i="1"/>
  <c r="AV705" i="1"/>
  <c r="AW705" i="1"/>
  <c r="AX705" i="1"/>
  <c r="AY705" i="1"/>
  <c r="AZ705" i="1"/>
  <c r="BA705" i="1"/>
  <c r="BB705" i="1"/>
  <c r="BC705" i="1"/>
  <c r="BD705" i="1"/>
  <c r="BE705" i="1"/>
  <c r="BF705" i="1"/>
  <c r="BG705" i="1"/>
  <c r="BH705" i="1"/>
  <c r="BI705" i="1"/>
  <c r="BJ705" i="1"/>
  <c r="BK705" i="1"/>
  <c r="BL705" i="1"/>
  <c r="BM705" i="1"/>
  <c r="BN705" i="1"/>
  <c r="BO705" i="1"/>
  <c r="BP705" i="1"/>
  <c r="BQ705" i="1"/>
  <c r="BR705" i="1"/>
  <c r="BS705" i="1"/>
  <c r="BT705" i="1"/>
  <c r="BU705" i="1"/>
  <c r="BV705" i="1"/>
  <c r="BW705" i="1"/>
  <c r="BX705" i="1"/>
  <c r="BY705" i="1"/>
  <c r="BZ705" i="1"/>
  <c r="CA705" i="1"/>
  <c r="CB705" i="1"/>
  <c r="CC705" i="1"/>
  <c r="CD705" i="1"/>
  <c r="CE705" i="1"/>
  <c r="CF705" i="1"/>
  <c r="CG705" i="1"/>
  <c r="CH705" i="1"/>
  <c r="CI705" i="1"/>
  <c r="CJ705" i="1"/>
  <c r="CK705" i="1"/>
  <c r="CL705" i="1"/>
  <c r="CM705" i="1"/>
  <c r="CN705" i="1"/>
  <c r="CO705" i="1"/>
  <c r="CP705" i="1"/>
  <c r="CQ705" i="1"/>
  <c r="CR705" i="1"/>
  <c r="CS705" i="1"/>
  <c r="CT705" i="1"/>
  <c r="CU705" i="1"/>
  <c r="CV705" i="1"/>
  <c r="CW705" i="1"/>
  <c r="CX705" i="1"/>
  <c r="CY705" i="1"/>
  <c r="CZ705" i="1"/>
  <c r="DA705" i="1"/>
  <c r="DB705" i="1"/>
  <c r="DC705" i="1"/>
  <c r="DD705" i="1"/>
  <c r="DE705" i="1"/>
  <c r="DF705" i="1"/>
  <c r="DG705" i="1"/>
  <c r="DH705" i="1"/>
  <c r="DI705" i="1"/>
  <c r="DJ705" i="1"/>
  <c r="DK705" i="1"/>
  <c r="DL705" i="1"/>
  <c r="DM705" i="1"/>
  <c r="DN705" i="1"/>
  <c r="DO705" i="1"/>
  <c r="DP705" i="1"/>
  <c r="DQ705" i="1"/>
  <c r="DR705" i="1"/>
  <c r="DS705" i="1"/>
  <c r="DT705" i="1"/>
  <c r="DU705" i="1"/>
  <c r="DV705" i="1"/>
  <c r="DW705" i="1"/>
  <c r="DX705" i="1"/>
  <c r="DY705" i="1"/>
  <c r="DZ705" i="1"/>
  <c r="EA705" i="1"/>
  <c r="EB705" i="1"/>
  <c r="EC705" i="1"/>
  <c r="ED705" i="1"/>
  <c r="EE705" i="1"/>
  <c r="EF705" i="1"/>
  <c r="EG705" i="1"/>
  <c r="EH705" i="1"/>
  <c r="EI705" i="1"/>
  <c r="EJ705" i="1"/>
  <c r="EK705" i="1"/>
  <c r="EL705" i="1"/>
  <c r="EM705" i="1"/>
  <c r="EN705" i="1"/>
  <c r="EO705" i="1"/>
  <c r="EP705" i="1"/>
  <c r="EQ705" i="1"/>
  <c r="ER705" i="1"/>
  <c r="ES705" i="1"/>
  <c r="ET705" i="1"/>
  <c r="EU705" i="1"/>
  <c r="EV705" i="1"/>
  <c r="EW705" i="1"/>
  <c r="EX705" i="1"/>
  <c r="EY705" i="1"/>
  <c r="EZ705" i="1"/>
  <c r="FA705" i="1"/>
  <c r="FB705" i="1"/>
  <c r="FC705" i="1"/>
  <c r="FD705" i="1"/>
  <c r="FE705" i="1"/>
  <c r="FF705" i="1"/>
  <c r="FG705" i="1"/>
  <c r="FH705" i="1"/>
  <c r="FI705" i="1"/>
  <c r="FJ705" i="1"/>
  <c r="FK705" i="1"/>
  <c r="FL705" i="1"/>
  <c r="FM705" i="1"/>
  <c r="FN705" i="1"/>
  <c r="FO705" i="1"/>
  <c r="FP705" i="1"/>
  <c r="FQ705" i="1"/>
  <c r="FR705" i="1"/>
  <c r="FS705" i="1"/>
  <c r="FT705" i="1"/>
  <c r="FU705" i="1"/>
  <c r="FV705" i="1"/>
  <c r="FW705" i="1"/>
  <c r="FX705" i="1"/>
  <c r="FY705" i="1"/>
  <c r="FZ705" i="1"/>
  <c r="GA705" i="1"/>
  <c r="GB705" i="1"/>
  <c r="GC705" i="1"/>
  <c r="GD705" i="1"/>
  <c r="GE705" i="1"/>
  <c r="GF705" i="1"/>
  <c r="GG705" i="1"/>
  <c r="GH705" i="1"/>
  <c r="GI705" i="1"/>
  <c r="GJ705" i="1"/>
  <c r="GK705" i="1"/>
  <c r="GL705" i="1"/>
  <c r="GM705" i="1"/>
  <c r="GN705" i="1"/>
  <c r="GO705" i="1"/>
  <c r="GP705" i="1"/>
  <c r="GQ705" i="1"/>
  <c r="GR705" i="1"/>
  <c r="GS705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AQ706" i="1"/>
  <c r="AR706" i="1"/>
  <c r="AS706" i="1"/>
  <c r="AT706" i="1"/>
  <c r="AU706" i="1"/>
  <c r="AV706" i="1"/>
  <c r="AW706" i="1"/>
  <c r="AX706" i="1"/>
  <c r="AY706" i="1"/>
  <c r="AZ706" i="1"/>
  <c r="BA706" i="1"/>
  <c r="BB706" i="1"/>
  <c r="BC706" i="1"/>
  <c r="BD706" i="1"/>
  <c r="BE706" i="1"/>
  <c r="BF706" i="1"/>
  <c r="BG706" i="1"/>
  <c r="BH706" i="1"/>
  <c r="BI706" i="1"/>
  <c r="BJ706" i="1"/>
  <c r="BK706" i="1"/>
  <c r="BL706" i="1"/>
  <c r="BM706" i="1"/>
  <c r="BN706" i="1"/>
  <c r="BO706" i="1"/>
  <c r="BP706" i="1"/>
  <c r="BQ706" i="1"/>
  <c r="BR706" i="1"/>
  <c r="BS706" i="1"/>
  <c r="BT706" i="1"/>
  <c r="BU706" i="1"/>
  <c r="BV706" i="1"/>
  <c r="BW706" i="1"/>
  <c r="BX706" i="1"/>
  <c r="BY706" i="1"/>
  <c r="BZ706" i="1"/>
  <c r="CA706" i="1"/>
  <c r="CB706" i="1"/>
  <c r="CC706" i="1"/>
  <c r="CD706" i="1"/>
  <c r="CE706" i="1"/>
  <c r="CF706" i="1"/>
  <c r="CG706" i="1"/>
  <c r="CH706" i="1"/>
  <c r="CI706" i="1"/>
  <c r="CJ706" i="1"/>
  <c r="CK706" i="1"/>
  <c r="CL706" i="1"/>
  <c r="CM706" i="1"/>
  <c r="CN706" i="1"/>
  <c r="CO706" i="1"/>
  <c r="CP706" i="1"/>
  <c r="CQ706" i="1"/>
  <c r="CR706" i="1"/>
  <c r="CS706" i="1"/>
  <c r="CT706" i="1"/>
  <c r="CU706" i="1"/>
  <c r="CV706" i="1"/>
  <c r="CW706" i="1"/>
  <c r="CX706" i="1"/>
  <c r="CY706" i="1"/>
  <c r="CZ706" i="1"/>
  <c r="DA706" i="1"/>
  <c r="DB706" i="1"/>
  <c r="DC706" i="1"/>
  <c r="DD706" i="1"/>
  <c r="DE706" i="1"/>
  <c r="DF706" i="1"/>
  <c r="DG706" i="1"/>
  <c r="DH706" i="1"/>
  <c r="DI706" i="1"/>
  <c r="DJ706" i="1"/>
  <c r="DK706" i="1"/>
  <c r="DL706" i="1"/>
  <c r="DM706" i="1"/>
  <c r="DN706" i="1"/>
  <c r="DO706" i="1"/>
  <c r="DP706" i="1"/>
  <c r="DQ706" i="1"/>
  <c r="DR706" i="1"/>
  <c r="DS706" i="1"/>
  <c r="DT706" i="1"/>
  <c r="DU706" i="1"/>
  <c r="DV706" i="1"/>
  <c r="DW706" i="1"/>
  <c r="DX706" i="1"/>
  <c r="DY706" i="1"/>
  <c r="DZ706" i="1"/>
  <c r="EA706" i="1"/>
  <c r="EB706" i="1"/>
  <c r="EC706" i="1"/>
  <c r="ED706" i="1"/>
  <c r="EE706" i="1"/>
  <c r="EF706" i="1"/>
  <c r="EG706" i="1"/>
  <c r="EH706" i="1"/>
  <c r="EI706" i="1"/>
  <c r="EJ706" i="1"/>
  <c r="EK706" i="1"/>
  <c r="EL706" i="1"/>
  <c r="EM706" i="1"/>
  <c r="EN706" i="1"/>
  <c r="EO706" i="1"/>
  <c r="EP706" i="1"/>
  <c r="EQ706" i="1"/>
  <c r="ER706" i="1"/>
  <c r="ES706" i="1"/>
  <c r="ET706" i="1"/>
  <c r="EU706" i="1"/>
  <c r="EV706" i="1"/>
  <c r="EW706" i="1"/>
  <c r="EX706" i="1"/>
  <c r="EY706" i="1"/>
  <c r="EZ706" i="1"/>
  <c r="FA706" i="1"/>
  <c r="FB706" i="1"/>
  <c r="FC706" i="1"/>
  <c r="FD706" i="1"/>
  <c r="FE706" i="1"/>
  <c r="FF706" i="1"/>
  <c r="FG706" i="1"/>
  <c r="FH706" i="1"/>
  <c r="FI706" i="1"/>
  <c r="FJ706" i="1"/>
  <c r="FK706" i="1"/>
  <c r="FL706" i="1"/>
  <c r="FM706" i="1"/>
  <c r="FN706" i="1"/>
  <c r="FO706" i="1"/>
  <c r="FP706" i="1"/>
  <c r="FQ706" i="1"/>
  <c r="FR706" i="1"/>
  <c r="FS706" i="1"/>
  <c r="FT706" i="1"/>
  <c r="FU706" i="1"/>
  <c r="FV706" i="1"/>
  <c r="FW706" i="1"/>
  <c r="FX706" i="1"/>
  <c r="FY706" i="1"/>
  <c r="FZ706" i="1"/>
  <c r="GA706" i="1"/>
  <c r="GB706" i="1"/>
  <c r="GC706" i="1"/>
  <c r="GD706" i="1"/>
  <c r="GE706" i="1"/>
  <c r="GF706" i="1"/>
  <c r="GG706" i="1"/>
  <c r="GH706" i="1"/>
  <c r="GI706" i="1"/>
  <c r="GJ706" i="1"/>
  <c r="GK706" i="1"/>
  <c r="GL706" i="1"/>
  <c r="GM706" i="1"/>
  <c r="GN706" i="1"/>
  <c r="GO706" i="1"/>
  <c r="GP706" i="1"/>
  <c r="GQ706" i="1"/>
  <c r="GR706" i="1"/>
  <c r="GS706" i="1"/>
  <c r="D706" i="1"/>
  <c r="D705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AS660" i="1"/>
  <c r="AT660" i="1"/>
  <c r="AU660" i="1"/>
  <c r="AV660" i="1"/>
  <c r="AW660" i="1"/>
  <c r="AX660" i="1"/>
  <c r="AY660" i="1"/>
  <c r="AZ660" i="1"/>
  <c r="BA660" i="1"/>
  <c r="BB660" i="1"/>
  <c r="BC660" i="1"/>
  <c r="BD660" i="1"/>
  <c r="BE660" i="1"/>
  <c r="BF660" i="1"/>
  <c r="BG660" i="1"/>
  <c r="BH660" i="1"/>
  <c r="BI660" i="1"/>
  <c r="BJ660" i="1"/>
  <c r="BK660" i="1"/>
  <c r="BL660" i="1"/>
  <c r="BM660" i="1"/>
  <c r="BN660" i="1"/>
  <c r="BO660" i="1"/>
  <c r="BP660" i="1"/>
  <c r="BQ660" i="1"/>
  <c r="BR660" i="1"/>
  <c r="BS660" i="1"/>
  <c r="BT660" i="1"/>
  <c r="BU660" i="1"/>
  <c r="BV660" i="1"/>
  <c r="BW660" i="1"/>
  <c r="BX660" i="1"/>
  <c r="BY660" i="1"/>
  <c r="BZ660" i="1"/>
  <c r="CA660" i="1"/>
  <c r="CB660" i="1"/>
  <c r="CC660" i="1"/>
  <c r="CD660" i="1"/>
  <c r="CE660" i="1"/>
  <c r="CF660" i="1"/>
  <c r="CG660" i="1"/>
  <c r="CH660" i="1"/>
  <c r="CI660" i="1"/>
  <c r="CJ660" i="1"/>
  <c r="CK660" i="1"/>
  <c r="CL660" i="1"/>
  <c r="CM660" i="1"/>
  <c r="CN660" i="1"/>
  <c r="CO660" i="1"/>
  <c r="CP660" i="1"/>
  <c r="CQ660" i="1"/>
  <c r="CR660" i="1"/>
  <c r="CS660" i="1"/>
  <c r="CT660" i="1"/>
  <c r="CU660" i="1"/>
  <c r="CV660" i="1"/>
  <c r="CW660" i="1"/>
  <c r="CX660" i="1"/>
  <c r="CY660" i="1"/>
  <c r="CZ660" i="1"/>
  <c r="DA660" i="1"/>
  <c r="DB660" i="1"/>
  <c r="DC660" i="1"/>
  <c r="DD660" i="1"/>
  <c r="DE660" i="1"/>
  <c r="DF660" i="1"/>
  <c r="DG660" i="1"/>
  <c r="DH660" i="1"/>
  <c r="DI660" i="1"/>
  <c r="DJ660" i="1"/>
  <c r="DK660" i="1"/>
  <c r="DL660" i="1"/>
  <c r="DM660" i="1"/>
  <c r="DN660" i="1"/>
  <c r="DO660" i="1"/>
  <c r="DP660" i="1"/>
  <c r="DQ660" i="1"/>
  <c r="DR660" i="1"/>
  <c r="DS660" i="1"/>
  <c r="DT660" i="1"/>
  <c r="DU660" i="1"/>
  <c r="DV660" i="1"/>
  <c r="DW660" i="1"/>
  <c r="DX660" i="1"/>
  <c r="DY660" i="1"/>
  <c r="DZ660" i="1"/>
  <c r="EA660" i="1"/>
  <c r="EB660" i="1"/>
  <c r="EC660" i="1"/>
  <c r="ED660" i="1"/>
  <c r="EE660" i="1"/>
  <c r="EF660" i="1"/>
  <c r="EG660" i="1"/>
  <c r="EH660" i="1"/>
  <c r="EI660" i="1"/>
  <c r="EJ660" i="1"/>
  <c r="EK660" i="1"/>
  <c r="EL660" i="1"/>
  <c r="EM660" i="1"/>
  <c r="EN660" i="1"/>
  <c r="EO660" i="1"/>
  <c r="EP660" i="1"/>
  <c r="EQ660" i="1"/>
  <c r="ER660" i="1"/>
  <c r="ES660" i="1"/>
  <c r="ET660" i="1"/>
  <c r="EU660" i="1"/>
  <c r="EV660" i="1"/>
  <c r="EW660" i="1"/>
  <c r="EX660" i="1"/>
  <c r="EY660" i="1"/>
  <c r="EZ660" i="1"/>
  <c r="FA660" i="1"/>
  <c r="FB660" i="1"/>
  <c r="FC660" i="1"/>
  <c r="FD660" i="1"/>
  <c r="FE660" i="1"/>
  <c r="FF660" i="1"/>
  <c r="FG660" i="1"/>
  <c r="FH660" i="1"/>
  <c r="FI660" i="1"/>
  <c r="FJ660" i="1"/>
  <c r="FK660" i="1"/>
  <c r="FL660" i="1"/>
  <c r="FM660" i="1"/>
  <c r="FN660" i="1"/>
  <c r="FO660" i="1"/>
  <c r="FP660" i="1"/>
  <c r="FQ660" i="1"/>
  <c r="FR660" i="1"/>
  <c r="FS660" i="1"/>
  <c r="FT660" i="1"/>
  <c r="FU660" i="1"/>
  <c r="FV660" i="1"/>
  <c r="FW660" i="1"/>
  <c r="FX660" i="1"/>
  <c r="FY660" i="1"/>
  <c r="FZ660" i="1"/>
  <c r="GA660" i="1"/>
  <c r="GB660" i="1"/>
  <c r="GC660" i="1"/>
  <c r="GD660" i="1"/>
  <c r="GE660" i="1"/>
  <c r="GF660" i="1"/>
  <c r="GG660" i="1"/>
  <c r="GH660" i="1"/>
  <c r="GI660" i="1"/>
  <c r="GJ660" i="1"/>
  <c r="GK660" i="1"/>
  <c r="GL660" i="1"/>
  <c r="GM660" i="1"/>
  <c r="GN660" i="1"/>
  <c r="GO660" i="1"/>
  <c r="GP660" i="1"/>
  <c r="GQ660" i="1"/>
  <c r="GR660" i="1"/>
  <c r="GS660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AS661" i="1"/>
  <c r="AT661" i="1"/>
  <c r="AU661" i="1"/>
  <c r="AV661" i="1"/>
  <c r="AW661" i="1"/>
  <c r="AX661" i="1"/>
  <c r="AY661" i="1"/>
  <c r="AZ661" i="1"/>
  <c r="BA661" i="1"/>
  <c r="BB661" i="1"/>
  <c r="BC661" i="1"/>
  <c r="BD661" i="1"/>
  <c r="BE661" i="1"/>
  <c r="BF661" i="1"/>
  <c r="BG661" i="1"/>
  <c r="BH661" i="1"/>
  <c r="BI661" i="1"/>
  <c r="BJ661" i="1"/>
  <c r="BK661" i="1"/>
  <c r="BL661" i="1"/>
  <c r="BM661" i="1"/>
  <c r="BN661" i="1"/>
  <c r="BO661" i="1"/>
  <c r="BP661" i="1"/>
  <c r="BQ661" i="1"/>
  <c r="BR661" i="1"/>
  <c r="BS661" i="1"/>
  <c r="BT661" i="1"/>
  <c r="BU661" i="1"/>
  <c r="BV661" i="1"/>
  <c r="BW661" i="1"/>
  <c r="BX661" i="1"/>
  <c r="BY661" i="1"/>
  <c r="BZ661" i="1"/>
  <c r="CA661" i="1"/>
  <c r="CB661" i="1"/>
  <c r="CC661" i="1"/>
  <c r="CD661" i="1"/>
  <c r="CE661" i="1"/>
  <c r="CF661" i="1"/>
  <c r="CG661" i="1"/>
  <c r="CH661" i="1"/>
  <c r="CI661" i="1"/>
  <c r="CJ661" i="1"/>
  <c r="CK661" i="1"/>
  <c r="CL661" i="1"/>
  <c r="CM661" i="1"/>
  <c r="CN661" i="1"/>
  <c r="CO661" i="1"/>
  <c r="CP661" i="1"/>
  <c r="CQ661" i="1"/>
  <c r="CR661" i="1"/>
  <c r="CS661" i="1"/>
  <c r="CT661" i="1"/>
  <c r="CU661" i="1"/>
  <c r="CV661" i="1"/>
  <c r="CW661" i="1"/>
  <c r="CX661" i="1"/>
  <c r="CY661" i="1"/>
  <c r="CZ661" i="1"/>
  <c r="DA661" i="1"/>
  <c r="DB661" i="1"/>
  <c r="DC661" i="1"/>
  <c r="DD661" i="1"/>
  <c r="DE661" i="1"/>
  <c r="DF661" i="1"/>
  <c r="DG661" i="1"/>
  <c r="DH661" i="1"/>
  <c r="DI661" i="1"/>
  <c r="DJ661" i="1"/>
  <c r="DK661" i="1"/>
  <c r="DL661" i="1"/>
  <c r="DM661" i="1"/>
  <c r="DN661" i="1"/>
  <c r="DO661" i="1"/>
  <c r="DP661" i="1"/>
  <c r="DQ661" i="1"/>
  <c r="DR661" i="1"/>
  <c r="DS661" i="1"/>
  <c r="DT661" i="1"/>
  <c r="DU661" i="1"/>
  <c r="DV661" i="1"/>
  <c r="DW661" i="1"/>
  <c r="DX661" i="1"/>
  <c r="DY661" i="1"/>
  <c r="DZ661" i="1"/>
  <c r="EA661" i="1"/>
  <c r="EB661" i="1"/>
  <c r="EC661" i="1"/>
  <c r="ED661" i="1"/>
  <c r="EE661" i="1"/>
  <c r="EF661" i="1"/>
  <c r="EG661" i="1"/>
  <c r="EH661" i="1"/>
  <c r="EI661" i="1"/>
  <c r="EJ661" i="1"/>
  <c r="EK661" i="1"/>
  <c r="EL661" i="1"/>
  <c r="EM661" i="1"/>
  <c r="EN661" i="1"/>
  <c r="EO661" i="1"/>
  <c r="EP661" i="1"/>
  <c r="EQ661" i="1"/>
  <c r="ER661" i="1"/>
  <c r="ES661" i="1"/>
  <c r="ET661" i="1"/>
  <c r="EU661" i="1"/>
  <c r="EV661" i="1"/>
  <c r="EW661" i="1"/>
  <c r="EX661" i="1"/>
  <c r="EY661" i="1"/>
  <c r="EZ661" i="1"/>
  <c r="FA661" i="1"/>
  <c r="FB661" i="1"/>
  <c r="FC661" i="1"/>
  <c r="FD661" i="1"/>
  <c r="FE661" i="1"/>
  <c r="FF661" i="1"/>
  <c r="FG661" i="1"/>
  <c r="FH661" i="1"/>
  <c r="FI661" i="1"/>
  <c r="FJ661" i="1"/>
  <c r="FK661" i="1"/>
  <c r="FL661" i="1"/>
  <c r="FM661" i="1"/>
  <c r="FN661" i="1"/>
  <c r="FO661" i="1"/>
  <c r="FP661" i="1"/>
  <c r="FQ661" i="1"/>
  <c r="FR661" i="1"/>
  <c r="FS661" i="1"/>
  <c r="FT661" i="1"/>
  <c r="FU661" i="1"/>
  <c r="FV661" i="1"/>
  <c r="FW661" i="1"/>
  <c r="FX661" i="1"/>
  <c r="FY661" i="1"/>
  <c r="FZ661" i="1"/>
  <c r="GA661" i="1"/>
  <c r="GB661" i="1"/>
  <c r="GC661" i="1"/>
  <c r="GD661" i="1"/>
  <c r="GE661" i="1"/>
  <c r="GF661" i="1"/>
  <c r="GG661" i="1"/>
  <c r="GH661" i="1"/>
  <c r="GI661" i="1"/>
  <c r="GJ661" i="1"/>
  <c r="GK661" i="1"/>
  <c r="GL661" i="1"/>
  <c r="GM661" i="1"/>
  <c r="GN661" i="1"/>
  <c r="GO661" i="1"/>
  <c r="GP661" i="1"/>
  <c r="GQ661" i="1"/>
  <c r="GR661" i="1"/>
  <c r="GS661" i="1"/>
  <c r="D661" i="1"/>
  <c r="D660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AS609" i="1"/>
  <c r="AT609" i="1"/>
  <c r="AU609" i="1"/>
  <c r="AV609" i="1"/>
  <c r="AW609" i="1"/>
  <c r="AX609" i="1"/>
  <c r="AY609" i="1"/>
  <c r="AZ609" i="1"/>
  <c r="BA609" i="1"/>
  <c r="BB609" i="1"/>
  <c r="BC609" i="1"/>
  <c r="BD609" i="1"/>
  <c r="BE609" i="1"/>
  <c r="BF609" i="1"/>
  <c r="BG609" i="1"/>
  <c r="BH609" i="1"/>
  <c r="BI609" i="1"/>
  <c r="BJ609" i="1"/>
  <c r="BK609" i="1"/>
  <c r="BL609" i="1"/>
  <c r="BM609" i="1"/>
  <c r="BN609" i="1"/>
  <c r="BO609" i="1"/>
  <c r="BP609" i="1"/>
  <c r="BQ609" i="1"/>
  <c r="BR609" i="1"/>
  <c r="BS609" i="1"/>
  <c r="BT609" i="1"/>
  <c r="BU609" i="1"/>
  <c r="BV609" i="1"/>
  <c r="BW609" i="1"/>
  <c r="BX609" i="1"/>
  <c r="BY609" i="1"/>
  <c r="BZ609" i="1"/>
  <c r="CA609" i="1"/>
  <c r="CB609" i="1"/>
  <c r="CC609" i="1"/>
  <c r="CD609" i="1"/>
  <c r="CE609" i="1"/>
  <c r="CF609" i="1"/>
  <c r="CG609" i="1"/>
  <c r="CH609" i="1"/>
  <c r="CI609" i="1"/>
  <c r="CJ609" i="1"/>
  <c r="CK609" i="1"/>
  <c r="CL609" i="1"/>
  <c r="CM609" i="1"/>
  <c r="CN609" i="1"/>
  <c r="CO609" i="1"/>
  <c r="CP609" i="1"/>
  <c r="CQ609" i="1"/>
  <c r="CR609" i="1"/>
  <c r="CS609" i="1"/>
  <c r="CT609" i="1"/>
  <c r="CU609" i="1"/>
  <c r="CV609" i="1"/>
  <c r="CW609" i="1"/>
  <c r="CX609" i="1"/>
  <c r="CY609" i="1"/>
  <c r="CZ609" i="1"/>
  <c r="DA609" i="1"/>
  <c r="DB609" i="1"/>
  <c r="DC609" i="1"/>
  <c r="DD609" i="1"/>
  <c r="DE609" i="1"/>
  <c r="DF609" i="1"/>
  <c r="DG609" i="1"/>
  <c r="DH609" i="1"/>
  <c r="DI609" i="1"/>
  <c r="DJ609" i="1"/>
  <c r="DK609" i="1"/>
  <c r="DL609" i="1"/>
  <c r="DM609" i="1"/>
  <c r="DN609" i="1"/>
  <c r="DO609" i="1"/>
  <c r="DP609" i="1"/>
  <c r="DQ609" i="1"/>
  <c r="DR609" i="1"/>
  <c r="DS609" i="1"/>
  <c r="DT609" i="1"/>
  <c r="DU609" i="1"/>
  <c r="DV609" i="1"/>
  <c r="DW609" i="1"/>
  <c r="DX609" i="1"/>
  <c r="DY609" i="1"/>
  <c r="DZ609" i="1"/>
  <c r="EA609" i="1"/>
  <c r="EB609" i="1"/>
  <c r="EC609" i="1"/>
  <c r="ED609" i="1"/>
  <c r="EE609" i="1"/>
  <c r="EF609" i="1"/>
  <c r="EG609" i="1"/>
  <c r="EH609" i="1"/>
  <c r="EI609" i="1"/>
  <c r="EJ609" i="1"/>
  <c r="EK609" i="1"/>
  <c r="EL609" i="1"/>
  <c r="EM609" i="1"/>
  <c r="EN609" i="1"/>
  <c r="EO609" i="1"/>
  <c r="EP609" i="1"/>
  <c r="EQ609" i="1"/>
  <c r="ER609" i="1"/>
  <c r="ES609" i="1"/>
  <c r="ET609" i="1"/>
  <c r="EU609" i="1"/>
  <c r="EV609" i="1"/>
  <c r="EW609" i="1"/>
  <c r="EX609" i="1"/>
  <c r="EY609" i="1"/>
  <c r="EZ609" i="1"/>
  <c r="FA609" i="1"/>
  <c r="FB609" i="1"/>
  <c r="FC609" i="1"/>
  <c r="FD609" i="1"/>
  <c r="FE609" i="1"/>
  <c r="FF609" i="1"/>
  <c r="FG609" i="1"/>
  <c r="FH609" i="1"/>
  <c r="FI609" i="1"/>
  <c r="FJ609" i="1"/>
  <c r="FK609" i="1"/>
  <c r="FL609" i="1"/>
  <c r="FM609" i="1"/>
  <c r="FN609" i="1"/>
  <c r="FO609" i="1"/>
  <c r="FP609" i="1"/>
  <c r="FQ609" i="1"/>
  <c r="FR609" i="1"/>
  <c r="FS609" i="1"/>
  <c r="FT609" i="1"/>
  <c r="FU609" i="1"/>
  <c r="FV609" i="1"/>
  <c r="FW609" i="1"/>
  <c r="FX609" i="1"/>
  <c r="FY609" i="1"/>
  <c r="FZ609" i="1"/>
  <c r="GA609" i="1"/>
  <c r="GB609" i="1"/>
  <c r="GC609" i="1"/>
  <c r="GD609" i="1"/>
  <c r="GE609" i="1"/>
  <c r="GF609" i="1"/>
  <c r="GG609" i="1"/>
  <c r="GH609" i="1"/>
  <c r="GI609" i="1"/>
  <c r="GJ609" i="1"/>
  <c r="GK609" i="1"/>
  <c r="GL609" i="1"/>
  <c r="GM609" i="1"/>
  <c r="GN609" i="1"/>
  <c r="GO609" i="1"/>
  <c r="GP609" i="1"/>
  <c r="GQ609" i="1"/>
  <c r="GR609" i="1"/>
  <c r="GS609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AS610" i="1"/>
  <c r="AT610" i="1"/>
  <c r="AU610" i="1"/>
  <c r="AV610" i="1"/>
  <c r="AW610" i="1"/>
  <c r="AX610" i="1"/>
  <c r="AY610" i="1"/>
  <c r="AZ610" i="1"/>
  <c r="BA610" i="1"/>
  <c r="BB610" i="1"/>
  <c r="BC610" i="1"/>
  <c r="BD610" i="1"/>
  <c r="BE610" i="1"/>
  <c r="BF610" i="1"/>
  <c r="BG610" i="1"/>
  <c r="BH610" i="1"/>
  <c r="BI610" i="1"/>
  <c r="BJ610" i="1"/>
  <c r="BK610" i="1"/>
  <c r="BL610" i="1"/>
  <c r="BM610" i="1"/>
  <c r="BN610" i="1"/>
  <c r="BO610" i="1"/>
  <c r="BP610" i="1"/>
  <c r="BQ610" i="1"/>
  <c r="BR610" i="1"/>
  <c r="BS610" i="1"/>
  <c r="BT610" i="1"/>
  <c r="BU610" i="1"/>
  <c r="BV610" i="1"/>
  <c r="BW610" i="1"/>
  <c r="BX610" i="1"/>
  <c r="BY610" i="1"/>
  <c r="BZ610" i="1"/>
  <c r="CA610" i="1"/>
  <c r="CB610" i="1"/>
  <c r="CC610" i="1"/>
  <c r="CD610" i="1"/>
  <c r="CE610" i="1"/>
  <c r="CF610" i="1"/>
  <c r="CG610" i="1"/>
  <c r="CH610" i="1"/>
  <c r="CI610" i="1"/>
  <c r="CJ610" i="1"/>
  <c r="CK610" i="1"/>
  <c r="CL610" i="1"/>
  <c r="CM610" i="1"/>
  <c r="CN610" i="1"/>
  <c r="CO610" i="1"/>
  <c r="CP610" i="1"/>
  <c r="CQ610" i="1"/>
  <c r="CR610" i="1"/>
  <c r="CS610" i="1"/>
  <c r="CT610" i="1"/>
  <c r="CU610" i="1"/>
  <c r="CV610" i="1"/>
  <c r="CW610" i="1"/>
  <c r="CX610" i="1"/>
  <c r="CY610" i="1"/>
  <c r="CZ610" i="1"/>
  <c r="DA610" i="1"/>
  <c r="DB610" i="1"/>
  <c r="DC610" i="1"/>
  <c r="DD610" i="1"/>
  <c r="DE610" i="1"/>
  <c r="DF610" i="1"/>
  <c r="DG610" i="1"/>
  <c r="DH610" i="1"/>
  <c r="DI610" i="1"/>
  <c r="DJ610" i="1"/>
  <c r="DK610" i="1"/>
  <c r="DL610" i="1"/>
  <c r="DM610" i="1"/>
  <c r="DN610" i="1"/>
  <c r="DO610" i="1"/>
  <c r="DP610" i="1"/>
  <c r="DQ610" i="1"/>
  <c r="DR610" i="1"/>
  <c r="DS610" i="1"/>
  <c r="DT610" i="1"/>
  <c r="DU610" i="1"/>
  <c r="DV610" i="1"/>
  <c r="DW610" i="1"/>
  <c r="DX610" i="1"/>
  <c r="DY610" i="1"/>
  <c r="DZ610" i="1"/>
  <c r="EA610" i="1"/>
  <c r="EB610" i="1"/>
  <c r="EC610" i="1"/>
  <c r="ED610" i="1"/>
  <c r="EE610" i="1"/>
  <c r="EF610" i="1"/>
  <c r="EG610" i="1"/>
  <c r="EH610" i="1"/>
  <c r="EI610" i="1"/>
  <c r="EJ610" i="1"/>
  <c r="EK610" i="1"/>
  <c r="EL610" i="1"/>
  <c r="EM610" i="1"/>
  <c r="EN610" i="1"/>
  <c r="EO610" i="1"/>
  <c r="EP610" i="1"/>
  <c r="EQ610" i="1"/>
  <c r="ER610" i="1"/>
  <c r="ES610" i="1"/>
  <c r="ET610" i="1"/>
  <c r="EU610" i="1"/>
  <c r="EV610" i="1"/>
  <c r="EW610" i="1"/>
  <c r="EX610" i="1"/>
  <c r="EY610" i="1"/>
  <c r="EZ610" i="1"/>
  <c r="FA610" i="1"/>
  <c r="FB610" i="1"/>
  <c r="FC610" i="1"/>
  <c r="FD610" i="1"/>
  <c r="FE610" i="1"/>
  <c r="FF610" i="1"/>
  <c r="FG610" i="1"/>
  <c r="FH610" i="1"/>
  <c r="FI610" i="1"/>
  <c r="FJ610" i="1"/>
  <c r="FK610" i="1"/>
  <c r="FL610" i="1"/>
  <c r="FM610" i="1"/>
  <c r="FN610" i="1"/>
  <c r="FO610" i="1"/>
  <c r="FP610" i="1"/>
  <c r="FQ610" i="1"/>
  <c r="FR610" i="1"/>
  <c r="FS610" i="1"/>
  <c r="FT610" i="1"/>
  <c r="FU610" i="1"/>
  <c r="FV610" i="1"/>
  <c r="FW610" i="1"/>
  <c r="FX610" i="1"/>
  <c r="FY610" i="1"/>
  <c r="FZ610" i="1"/>
  <c r="GA610" i="1"/>
  <c r="GB610" i="1"/>
  <c r="GC610" i="1"/>
  <c r="GD610" i="1"/>
  <c r="GE610" i="1"/>
  <c r="GF610" i="1"/>
  <c r="GG610" i="1"/>
  <c r="GH610" i="1"/>
  <c r="GI610" i="1"/>
  <c r="GJ610" i="1"/>
  <c r="GK610" i="1"/>
  <c r="GL610" i="1"/>
  <c r="GM610" i="1"/>
  <c r="GN610" i="1"/>
  <c r="GO610" i="1"/>
  <c r="GP610" i="1"/>
  <c r="GQ610" i="1"/>
  <c r="GR610" i="1"/>
  <c r="GS610" i="1"/>
  <c r="D610" i="1"/>
  <c r="D609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AS600" i="1"/>
  <c r="AT600" i="1"/>
  <c r="AU600" i="1"/>
  <c r="AV600" i="1"/>
  <c r="AW600" i="1"/>
  <c r="AX600" i="1"/>
  <c r="AY600" i="1"/>
  <c r="AZ600" i="1"/>
  <c r="BA600" i="1"/>
  <c r="BB600" i="1"/>
  <c r="BC600" i="1"/>
  <c r="BD600" i="1"/>
  <c r="BE600" i="1"/>
  <c r="BF600" i="1"/>
  <c r="BG600" i="1"/>
  <c r="BH600" i="1"/>
  <c r="BI600" i="1"/>
  <c r="BJ600" i="1"/>
  <c r="BK600" i="1"/>
  <c r="BL600" i="1"/>
  <c r="BM600" i="1"/>
  <c r="BN600" i="1"/>
  <c r="BO600" i="1"/>
  <c r="BP600" i="1"/>
  <c r="BQ600" i="1"/>
  <c r="BR600" i="1"/>
  <c r="BS600" i="1"/>
  <c r="BT600" i="1"/>
  <c r="BU600" i="1"/>
  <c r="BV600" i="1"/>
  <c r="BW600" i="1"/>
  <c r="BX600" i="1"/>
  <c r="BY600" i="1"/>
  <c r="BZ600" i="1"/>
  <c r="CA600" i="1"/>
  <c r="CB600" i="1"/>
  <c r="CC600" i="1"/>
  <c r="CD600" i="1"/>
  <c r="CE600" i="1"/>
  <c r="CF600" i="1"/>
  <c r="CG600" i="1"/>
  <c r="CH600" i="1"/>
  <c r="CI600" i="1"/>
  <c r="CJ600" i="1"/>
  <c r="CK600" i="1"/>
  <c r="CL600" i="1"/>
  <c r="CM600" i="1"/>
  <c r="CN600" i="1"/>
  <c r="CO600" i="1"/>
  <c r="CP600" i="1"/>
  <c r="CQ600" i="1"/>
  <c r="CR600" i="1"/>
  <c r="CS600" i="1"/>
  <c r="CT600" i="1"/>
  <c r="CU600" i="1"/>
  <c r="CV600" i="1"/>
  <c r="CW600" i="1"/>
  <c r="CX600" i="1"/>
  <c r="CY600" i="1"/>
  <c r="CZ600" i="1"/>
  <c r="DA600" i="1"/>
  <c r="DB600" i="1"/>
  <c r="DC600" i="1"/>
  <c r="DD600" i="1"/>
  <c r="DE600" i="1"/>
  <c r="DF600" i="1"/>
  <c r="DG600" i="1"/>
  <c r="DH600" i="1"/>
  <c r="DI600" i="1"/>
  <c r="DJ600" i="1"/>
  <c r="DK600" i="1"/>
  <c r="DL600" i="1"/>
  <c r="DM600" i="1"/>
  <c r="DN600" i="1"/>
  <c r="DO600" i="1"/>
  <c r="DP600" i="1"/>
  <c r="DQ600" i="1"/>
  <c r="DR600" i="1"/>
  <c r="DS600" i="1"/>
  <c r="DT600" i="1"/>
  <c r="DU600" i="1"/>
  <c r="DV600" i="1"/>
  <c r="DW600" i="1"/>
  <c r="DX600" i="1"/>
  <c r="DY600" i="1"/>
  <c r="DZ600" i="1"/>
  <c r="EA600" i="1"/>
  <c r="EB600" i="1"/>
  <c r="EC600" i="1"/>
  <c r="ED600" i="1"/>
  <c r="EE600" i="1"/>
  <c r="EF600" i="1"/>
  <c r="EG600" i="1"/>
  <c r="EH600" i="1"/>
  <c r="EI600" i="1"/>
  <c r="EJ600" i="1"/>
  <c r="EK600" i="1"/>
  <c r="EL600" i="1"/>
  <c r="EM600" i="1"/>
  <c r="EN600" i="1"/>
  <c r="EO600" i="1"/>
  <c r="EP600" i="1"/>
  <c r="EQ600" i="1"/>
  <c r="ER600" i="1"/>
  <c r="ES600" i="1"/>
  <c r="ET600" i="1"/>
  <c r="EU600" i="1"/>
  <c r="EV600" i="1"/>
  <c r="EW600" i="1"/>
  <c r="EX600" i="1"/>
  <c r="EY600" i="1"/>
  <c r="EZ600" i="1"/>
  <c r="FA600" i="1"/>
  <c r="FB600" i="1"/>
  <c r="FC600" i="1"/>
  <c r="FD600" i="1"/>
  <c r="FE600" i="1"/>
  <c r="FF600" i="1"/>
  <c r="FG600" i="1"/>
  <c r="FH600" i="1"/>
  <c r="FI600" i="1"/>
  <c r="FJ600" i="1"/>
  <c r="FK600" i="1"/>
  <c r="FL600" i="1"/>
  <c r="FM600" i="1"/>
  <c r="FN600" i="1"/>
  <c r="FO600" i="1"/>
  <c r="FP600" i="1"/>
  <c r="FQ600" i="1"/>
  <c r="FR600" i="1"/>
  <c r="FS600" i="1"/>
  <c r="FT600" i="1"/>
  <c r="FU600" i="1"/>
  <c r="FV600" i="1"/>
  <c r="FW600" i="1"/>
  <c r="FX600" i="1"/>
  <c r="FY600" i="1"/>
  <c r="FZ600" i="1"/>
  <c r="GA600" i="1"/>
  <c r="GB600" i="1"/>
  <c r="GC600" i="1"/>
  <c r="GD600" i="1"/>
  <c r="GE600" i="1"/>
  <c r="GF600" i="1"/>
  <c r="GG600" i="1"/>
  <c r="GH600" i="1"/>
  <c r="GI600" i="1"/>
  <c r="GJ600" i="1"/>
  <c r="GK600" i="1"/>
  <c r="GL600" i="1"/>
  <c r="GM600" i="1"/>
  <c r="GN600" i="1"/>
  <c r="GO600" i="1"/>
  <c r="GP600" i="1"/>
  <c r="GQ600" i="1"/>
  <c r="GR600" i="1"/>
  <c r="GS600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AS601" i="1"/>
  <c r="AT601" i="1"/>
  <c r="AU601" i="1"/>
  <c r="AV601" i="1"/>
  <c r="AW601" i="1"/>
  <c r="AX601" i="1"/>
  <c r="AY601" i="1"/>
  <c r="AZ601" i="1"/>
  <c r="BA601" i="1"/>
  <c r="BB601" i="1"/>
  <c r="BC601" i="1"/>
  <c r="BD601" i="1"/>
  <c r="BE601" i="1"/>
  <c r="BF601" i="1"/>
  <c r="BG601" i="1"/>
  <c r="BH601" i="1"/>
  <c r="BI601" i="1"/>
  <c r="BJ601" i="1"/>
  <c r="BK601" i="1"/>
  <c r="BL601" i="1"/>
  <c r="BM601" i="1"/>
  <c r="BN601" i="1"/>
  <c r="BO601" i="1"/>
  <c r="BP601" i="1"/>
  <c r="BQ601" i="1"/>
  <c r="BR601" i="1"/>
  <c r="BS601" i="1"/>
  <c r="BT601" i="1"/>
  <c r="BU601" i="1"/>
  <c r="BV601" i="1"/>
  <c r="BW601" i="1"/>
  <c r="BX601" i="1"/>
  <c r="BY601" i="1"/>
  <c r="BZ601" i="1"/>
  <c r="CA601" i="1"/>
  <c r="CB601" i="1"/>
  <c r="CC601" i="1"/>
  <c r="CD601" i="1"/>
  <c r="CE601" i="1"/>
  <c r="CF601" i="1"/>
  <c r="CG601" i="1"/>
  <c r="CH601" i="1"/>
  <c r="CI601" i="1"/>
  <c r="CJ601" i="1"/>
  <c r="CK601" i="1"/>
  <c r="CL601" i="1"/>
  <c r="CM601" i="1"/>
  <c r="CN601" i="1"/>
  <c r="CO601" i="1"/>
  <c r="CP601" i="1"/>
  <c r="CQ601" i="1"/>
  <c r="CR601" i="1"/>
  <c r="CS601" i="1"/>
  <c r="CT601" i="1"/>
  <c r="CU601" i="1"/>
  <c r="CV601" i="1"/>
  <c r="CW601" i="1"/>
  <c r="CX601" i="1"/>
  <c r="CY601" i="1"/>
  <c r="CZ601" i="1"/>
  <c r="DA601" i="1"/>
  <c r="DB601" i="1"/>
  <c r="DC601" i="1"/>
  <c r="DD601" i="1"/>
  <c r="DE601" i="1"/>
  <c r="DF601" i="1"/>
  <c r="DG601" i="1"/>
  <c r="DH601" i="1"/>
  <c r="DI601" i="1"/>
  <c r="DJ601" i="1"/>
  <c r="DK601" i="1"/>
  <c r="DL601" i="1"/>
  <c r="DM601" i="1"/>
  <c r="DN601" i="1"/>
  <c r="DO601" i="1"/>
  <c r="DP601" i="1"/>
  <c r="DQ601" i="1"/>
  <c r="DR601" i="1"/>
  <c r="DS601" i="1"/>
  <c r="DT601" i="1"/>
  <c r="DU601" i="1"/>
  <c r="DV601" i="1"/>
  <c r="DW601" i="1"/>
  <c r="DX601" i="1"/>
  <c r="DY601" i="1"/>
  <c r="DZ601" i="1"/>
  <c r="EA601" i="1"/>
  <c r="EB601" i="1"/>
  <c r="EC601" i="1"/>
  <c r="ED601" i="1"/>
  <c r="EE601" i="1"/>
  <c r="EF601" i="1"/>
  <c r="EG601" i="1"/>
  <c r="EH601" i="1"/>
  <c r="EI601" i="1"/>
  <c r="EJ601" i="1"/>
  <c r="EK601" i="1"/>
  <c r="EL601" i="1"/>
  <c r="EM601" i="1"/>
  <c r="EN601" i="1"/>
  <c r="EO601" i="1"/>
  <c r="EP601" i="1"/>
  <c r="EQ601" i="1"/>
  <c r="ER601" i="1"/>
  <c r="ES601" i="1"/>
  <c r="ET601" i="1"/>
  <c r="EU601" i="1"/>
  <c r="EV601" i="1"/>
  <c r="EW601" i="1"/>
  <c r="EX601" i="1"/>
  <c r="EY601" i="1"/>
  <c r="EZ601" i="1"/>
  <c r="FA601" i="1"/>
  <c r="FB601" i="1"/>
  <c r="FC601" i="1"/>
  <c r="FD601" i="1"/>
  <c r="FE601" i="1"/>
  <c r="FF601" i="1"/>
  <c r="FG601" i="1"/>
  <c r="FH601" i="1"/>
  <c r="FI601" i="1"/>
  <c r="FJ601" i="1"/>
  <c r="FK601" i="1"/>
  <c r="FL601" i="1"/>
  <c r="FM601" i="1"/>
  <c r="FN601" i="1"/>
  <c r="FO601" i="1"/>
  <c r="FP601" i="1"/>
  <c r="FQ601" i="1"/>
  <c r="FR601" i="1"/>
  <c r="FS601" i="1"/>
  <c r="FT601" i="1"/>
  <c r="FU601" i="1"/>
  <c r="FV601" i="1"/>
  <c r="FW601" i="1"/>
  <c r="FX601" i="1"/>
  <c r="FY601" i="1"/>
  <c r="FZ601" i="1"/>
  <c r="GA601" i="1"/>
  <c r="GB601" i="1"/>
  <c r="GC601" i="1"/>
  <c r="GD601" i="1"/>
  <c r="GE601" i="1"/>
  <c r="GF601" i="1"/>
  <c r="GG601" i="1"/>
  <c r="GH601" i="1"/>
  <c r="GI601" i="1"/>
  <c r="GJ601" i="1"/>
  <c r="GK601" i="1"/>
  <c r="GL601" i="1"/>
  <c r="GM601" i="1"/>
  <c r="GN601" i="1"/>
  <c r="GO601" i="1"/>
  <c r="GP601" i="1"/>
  <c r="GQ601" i="1"/>
  <c r="GR601" i="1"/>
  <c r="GS601" i="1"/>
  <c r="D601" i="1"/>
  <c r="D600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F531" i="1"/>
  <c r="BG531" i="1"/>
  <c r="BH531" i="1"/>
  <c r="BI531" i="1"/>
  <c r="BJ531" i="1"/>
  <c r="BK531" i="1"/>
  <c r="BL531" i="1"/>
  <c r="BM531" i="1"/>
  <c r="BN531" i="1"/>
  <c r="BO531" i="1"/>
  <c r="BP531" i="1"/>
  <c r="BQ531" i="1"/>
  <c r="BR531" i="1"/>
  <c r="BS531" i="1"/>
  <c r="BT531" i="1"/>
  <c r="BU531" i="1"/>
  <c r="BV531" i="1"/>
  <c r="BW531" i="1"/>
  <c r="BX531" i="1"/>
  <c r="BY531" i="1"/>
  <c r="BZ531" i="1"/>
  <c r="CA531" i="1"/>
  <c r="CB531" i="1"/>
  <c r="CC531" i="1"/>
  <c r="CD531" i="1"/>
  <c r="CE531" i="1"/>
  <c r="CF531" i="1"/>
  <c r="CG531" i="1"/>
  <c r="CH531" i="1"/>
  <c r="CI531" i="1"/>
  <c r="CJ531" i="1"/>
  <c r="CK531" i="1"/>
  <c r="CL531" i="1"/>
  <c r="CM531" i="1"/>
  <c r="CN531" i="1"/>
  <c r="CO531" i="1"/>
  <c r="CP531" i="1"/>
  <c r="CQ531" i="1"/>
  <c r="CR531" i="1"/>
  <c r="CS531" i="1"/>
  <c r="CT531" i="1"/>
  <c r="CU531" i="1"/>
  <c r="CV531" i="1"/>
  <c r="CW531" i="1"/>
  <c r="CX531" i="1"/>
  <c r="CY531" i="1"/>
  <c r="CZ531" i="1"/>
  <c r="DA531" i="1"/>
  <c r="DB531" i="1"/>
  <c r="DC531" i="1"/>
  <c r="DD531" i="1"/>
  <c r="DE531" i="1"/>
  <c r="DF531" i="1"/>
  <c r="DG531" i="1"/>
  <c r="DH531" i="1"/>
  <c r="DI531" i="1"/>
  <c r="DJ531" i="1"/>
  <c r="DK531" i="1"/>
  <c r="DL531" i="1"/>
  <c r="DM531" i="1"/>
  <c r="DN531" i="1"/>
  <c r="DO531" i="1"/>
  <c r="DP531" i="1"/>
  <c r="DQ531" i="1"/>
  <c r="DR531" i="1"/>
  <c r="DS531" i="1"/>
  <c r="DT531" i="1"/>
  <c r="DU531" i="1"/>
  <c r="DV531" i="1"/>
  <c r="DW531" i="1"/>
  <c r="DX531" i="1"/>
  <c r="DY531" i="1"/>
  <c r="DZ531" i="1"/>
  <c r="EA531" i="1"/>
  <c r="EB531" i="1"/>
  <c r="EC531" i="1"/>
  <c r="ED531" i="1"/>
  <c r="EE531" i="1"/>
  <c r="EF531" i="1"/>
  <c r="EG531" i="1"/>
  <c r="EH531" i="1"/>
  <c r="EI531" i="1"/>
  <c r="EJ531" i="1"/>
  <c r="EK531" i="1"/>
  <c r="EL531" i="1"/>
  <c r="EM531" i="1"/>
  <c r="EN531" i="1"/>
  <c r="EO531" i="1"/>
  <c r="EP531" i="1"/>
  <c r="EQ531" i="1"/>
  <c r="ER531" i="1"/>
  <c r="ES531" i="1"/>
  <c r="ET531" i="1"/>
  <c r="EU531" i="1"/>
  <c r="EV531" i="1"/>
  <c r="EW531" i="1"/>
  <c r="EX531" i="1"/>
  <c r="EY531" i="1"/>
  <c r="EZ531" i="1"/>
  <c r="FA531" i="1"/>
  <c r="FB531" i="1"/>
  <c r="FC531" i="1"/>
  <c r="FD531" i="1"/>
  <c r="FE531" i="1"/>
  <c r="FF531" i="1"/>
  <c r="FG531" i="1"/>
  <c r="FH531" i="1"/>
  <c r="FI531" i="1"/>
  <c r="FJ531" i="1"/>
  <c r="FK531" i="1"/>
  <c r="FL531" i="1"/>
  <c r="FM531" i="1"/>
  <c r="FN531" i="1"/>
  <c r="FO531" i="1"/>
  <c r="FP531" i="1"/>
  <c r="FQ531" i="1"/>
  <c r="FR531" i="1"/>
  <c r="FS531" i="1"/>
  <c r="FT531" i="1"/>
  <c r="FU531" i="1"/>
  <c r="FV531" i="1"/>
  <c r="FW531" i="1"/>
  <c r="FX531" i="1"/>
  <c r="FY531" i="1"/>
  <c r="FZ531" i="1"/>
  <c r="GA531" i="1"/>
  <c r="GB531" i="1"/>
  <c r="GC531" i="1"/>
  <c r="GD531" i="1"/>
  <c r="GE531" i="1"/>
  <c r="GF531" i="1"/>
  <c r="GG531" i="1"/>
  <c r="GH531" i="1"/>
  <c r="GI531" i="1"/>
  <c r="GJ531" i="1"/>
  <c r="GK531" i="1"/>
  <c r="GL531" i="1"/>
  <c r="GM531" i="1"/>
  <c r="GN531" i="1"/>
  <c r="GO531" i="1"/>
  <c r="GP531" i="1"/>
  <c r="GQ531" i="1"/>
  <c r="GR531" i="1"/>
  <c r="GS531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F532" i="1"/>
  <c r="BG532" i="1"/>
  <c r="BH532" i="1"/>
  <c r="BI532" i="1"/>
  <c r="BJ532" i="1"/>
  <c r="BK532" i="1"/>
  <c r="BL532" i="1"/>
  <c r="BM532" i="1"/>
  <c r="BN532" i="1"/>
  <c r="BO532" i="1"/>
  <c r="BP532" i="1"/>
  <c r="BQ532" i="1"/>
  <c r="BR532" i="1"/>
  <c r="BS532" i="1"/>
  <c r="BT532" i="1"/>
  <c r="BU532" i="1"/>
  <c r="BV532" i="1"/>
  <c r="BW532" i="1"/>
  <c r="BX532" i="1"/>
  <c r="BY532" i="1"/>
  <c r="BZ532" i="1"/>
  <c r="CA532" i="1"/>
  <c r="CB532" i="1"/>
  <c r="CC532" i="1"/>
  <c r="CD532" i="1"/>
  <c r="CE532" i="1"/>
  <c r="CF532" i="1"/>
  <c r="CG532" i="1"/>
  <c r="CH532" i="1"/>
  <c r="CI532" i="1"/>
  <c r="CJ532" i="1"/>
  <c r="CK532" i="1"/>
  <c r="CL532" i="1"/>
  <c r="CM532" i="1"/>
  <c r="CN532" i="1"/>
  <c r="CO532" i="1"/>
  <c r="CP532" i="1"/>
  <c r="CQ532" i="1"/>
  <c r="CR532" i="1"/>
  <c r="CS532" i="1"/>
  <c r="CT532" i="1"/>
  <c r="CU532" i="1"/>
  <c r="CV532" i="1"/>
  <c r="CW532" i="1"/>
  <c r="CX532" i="1"/>
  <c r="CY532" i="1"/>
  <c r="CZ532" i="1"/>
  <c r="DA532" i="1"/>
  <c r="DB532" i="1"/>
  <c r="DC532" i="1"/>
  <c r="DD532" i="1"/>
  <c r="DE532" i="1"/>
  <c r="DF532" i="1"/>
  <c r="DG532" i="1"/>
  <c r="DH532" i="1"/>
  <c r="DI532" i="1"/>
  <c r="DJ532" i="1"/>
  <c r="DK532" i="1"/>
  <c r="DL532" i="1"/>
  <c r="DM532" i="1"/>
  <c r="DN532" i="1"/>
  <c r="DO532" i="1"/>
  <c r="DP532" i="1"/>
  <c r="DQ532" i="1"/>
  <c r="DR532" i="1"/>
  <c r="DS532" i="1"/>
  <c r="DT532" i="1"/>
  <c r="DU532" i="1"/>
  <c r="DV532" i="1"/>
  <c r="DW532" i="1"/>
  <c r="DX532" i="1"/>
  <c r="DY532" i="1"/>
  <c r="DZ532" i="1"/>
  <c r="EA532" i="1"/>
  <c r="EB532" i="1"/>
  <c r="EC532" i="1"/>
  <c r="ED532" i="1"/>
  <c r="EE532" i="1"/>
  <c r="EF532" i="1"/>
  <c r="EG532" i="1"/>
  <c r="EH532" i="1"/>
  <c r="EI532" i="1"/>
  <c r="EJ532" i="1"/>
  <c r="EK532" i="1"/>
  <c r="EL532" i="1"/>
  <c r="EM532" i="1"/>
  <c r="EN532" i="1"/>
  <c r="EO532" i="1"/>
  <c r="EP532" i="1"/>
  <c r="EQ532" i="1"/>
  <c r="ER532" i="1"/>
  <c r="ES532" i="1"/>
  <c r="ET532" i="1"/>
  <c r="EU532" i="1"/>
  <c r="EV532" i="1"/>
  <c r="EW532" i="1"/>
  <c r="EX532" i="1"/>
  <c r="EY532" i="1"/>
  <c r="EZ532" i="1"/>
  <c r="FA532" i="1"/>
  <c r="FB532" i="1"/>
  <c r="FC532" i="1"/>
  <c r="FD532" i="1"/>
  <c r="FE532" i="1"/>
  <c r="FF532" i="1"/>
  <c r="FG532" i="1"/>
  <c r="FH532" i="1"/>
  <c r="FI532" i="1"/>
  <c r="FJ532" i="1"/>
  <c r="FK532" i="1"/>
  <c r="FL532" i="1"/>
  <c r="FM532" i="1"/>
  <c r="FN532" i="1"/>
  <c r="FO532" i="1"/>
  <c r="FP532" i="1"/>
  <c r="FQ532" i="1"/>
  <c r="FR532" i="1"/>
  <c r="FS532" i="1"/>
  <c r="FT532" i="1"/>
  <c r="FU532" i="1"/>
  <c r="FV532" i="1"/>
  <c r="FW532" i="1"/>
  <c r="FX532" i="1"/>
  <c r="FY532" i="1"/>
  <c r="FZ532" i="1"/>
  <c r="GA532" i="1"/>
  <c r="GB532" i="1"/>
  <c r="GC532" i="1"/>
  <c r="GD532" i="1"/>
  <c r="GE532" i="1"/>
  <c r="GF532" i="1"/>
  <c r="GG532" i="1"/>
  <c r="GH532" i="1"/>
  <c r="GI532" i="1"/>
  <c r="GJ532" i="1"/>
  <c r="GK532" i="1"/>
  <c r="GL532" i="1"/>
  <c r="GM532" i="1"/>
  <c r="GN532" i="1"/>
  <c r="GO532" i="1"/>
  <c r="GP532" i="1"/>
  <c r="GQ532" i="1"/>
  <c r="GR532" i="1"/>
  <c r="GS532" i="1"/>
  <c r="D532" i="1"/>
  <c r="D531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S498" i="1"/>
  <c r="CT498" i="1"/>
  <c r="CU498" i="1"/>
  <c r="CV498" i="1"/>
  <c r="CW498" i="1"/>
  <c r="CX498" i="1"/>
  <c r="CY498" i="1"/>
  <c r="CZ498" i="1"/>
  <c r="DA498" i="1"/>
  <c r="DB498" i="1"/>
  <c r="DC498" i="1"/>
  <c r="DD498" i="1"/>
  <c r="DE498" i="1"/>
  <c r="DF498" i="1"/>
  <c r="DG498" i="1"/>
  <c r="DH498" i="1"/>
  <c r="DI498" i="1"/>
  <c r="DJ498" i="1"/>
  <c r="DK498" i="1"/>
  <c r="DL498" i="1"/>
  <c r="DM498" i="1"/>
  <c r="DN498" i="1"/>
  <c r="DO498" i="1"/>
  <c r="DP498" i="1"/>
  <c r="DQ498" i="1"/>
  <c r="DR498" i="1"/>
  <c r="DS498" i="1"/>
  <c r="DT498" i="1"/>
  <c r="DU498" i="1"/>
  <c r="DV498" i="1"/>
  <c r="DW498" i="1"/>
  <c r="DX498" i="1"/>
  <c r="DY498" i="1"/>
  <c r="DZ498" i="1"/>
  <c r="EA498" i="1"/>
  <c r="EB498" i="1"/>
  <c r="EC498" i="1"/>
  <c r="ED498" i="1"/>
  <c r="EE498" i="1"/>
  <c r="EF498" i="1"/>
  <c r="EG498" i="1"/>
  <c r="EH498" i="1"/>
  <c r="EI498" i="1"/>
  <c r="EJ498" i="1"/>
  <c r="EK498" i="1"/>
  <c r="EL498" i="1"/>
  <c r="EM498" i="1"/>
  <c r="EN498" i="1"/>
  <c r="EO498" i="1"/>
  <c r="EP498" i="1"/>
  <c r="EQ498" i="1"/>
  <c r="ER498" i="1"/>
  <c r="ES498" i="1"/>
  <c r="ET498" i="1"/>
  <c r="EU498" i="1"/>
  <c r="EV498" i="1"/>
  <c r="EW498" i="1"/>
  <c r="EX498" i="1"/>
  <c r="EY498" i="1"/>
  <c r="EZ498" i="1"/>
  <c r="FA498" i="1"/>
  <c r="FB498" i="1"/>
  <c r="FC498" i="1"/>
  <c r="FD498" i="1"/>
  <c r="FE498" i="1"/>
  <c r="FF498" i="1"/>
  <c r="FG498" i="1"/>
  <c r="FH498" i="1"/>
  <c r="FI498" i="1"/>
  <c r="FJ498" i="1"/>
  <c r="FK498" i="1"/>
  <c r="FL498" i="1"/>
  <c r="FM498" i="1"/>
  <c r="FN498" i="1"/>
  <c r="FO498" i="1"/>
  <c r="FP498" i="1"/>
  <c r="FQ498" i="1"/>
  <c r="FR498" i="1"/>
  <c r="FS498" i="1"/>
  <c r="FT498" i="1"/>
  <c r="FU498" i="1"/>
  <c r="FV498" i="1"/>
  <c r="FW498" i="1"/>
  <c r="FX498" i="1"/>
  <c r="FY498" i="1"/>
  <c r="FZ498" i="1"/>
  <c r="GA498" i="1"/>
  <c r="GB498" i="1"/>
  <c r="GC498" i="1"/>
  <c r="GD498" i="1"/>
  <c r="GE498" i="1"/>
  <c r="GF498" i="1"/>
  <c r="GG498" i="1"/>
  <c r="GH498" i="1"/>
  <c r="GI498" i="1"/>
  <c r="GJ498" i="1"/>
  <c r="GK498" i="1"/>
  <c r="GL498" i="1"/>
  <c r="GM498" i="1"/>
  <c r="GN498" i="1"/>
  <c r="GO498" i="1"/>
  <c r="GP498" i="1"/>
  <c r="GQ498" i="1"/>
  <c r="GR498" i="1"/>
  <c r="GS498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BK499" i="1"/>
  <c r="BL499" i="1"/>
  <c r="BM499" i="1"/>
  <c r="BN499" i="1"/>
  <c r="BO499" i="1"/>
  <c r="BP499" i="1"/>
  <c r="BQ499" i="1"/>
  <c r="BR499" i="1"/>
  <c r="BS499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CU499" i="1"/>
  <c r="CV499" i="1"/>
  <c r="CW499" i="1"/>
  <c r="CX499" i="1"/>
  <c r="CY499" i="1"/>
  <c r="CZ499" i="1"/>
  <c r="DA499" i="1"/>
  <c r="DB499" i="1"/>
  <c r="DC499" i="1"/>
  <c r="DD499" i="1"/>
  <c r="DE499" i="1"/>
  <c r="DF499" i="1"/>
  <c r="DG499" i="1"/>
  <c r="DH499" i="1"/>
  <c r="DI499" i="1"/>
  <c r="DJ499" i="1"/>
  <c r="DK499" i="1"/>
  <c r="DL499" i="1"/>
  <c r="DM499" i="1"/>
  <c r="DN499" i="1"/>
  <c r="DO499" i="1"/>
  <c r="DP499" i="1"/>
  <c r="DQ499" i="1"/>
  <c r="DR499" i="1"/>
  <c r="DS499" i="1"/>
  <c r="DT499" i="1"/>
  <c r="DU499" i="1"/>
  <c r="DV499" i="1"/>
  <c r="DW499" i="1"/>
  <c r="DX499" i="1"/>
  <c r="DY499" i="1"/>
  <c r="DZ499" i="1"/>
  <c r="EA499" i="1"/>
  <c r="EB499" i="1"/>
  <c r="EC499" i="1"/>
  <c r="ED499" i="1"/>
  <c r="EE499" i="1"/>
  <c r="EF499" i="1"/>
  <c r="EG499" i="1"/>
  <c r="EH499" i="1"/>
  <c r="EI499" i="1"/>
  <c r="EJ499" i="1"/>
  <c r="EK499" i="1"/>
  <c r="EL499" i="1"/>
  <c r="EM499" i="1"/>
  <c r="EN499" i="1"/>
  <c r="EO499" i="1"/>
  <c r="EP499" i="1"/>
  <c r="EQ499" i="1"/>
  <c r="ER499" i="1"/>
  <c r="ES499" i="1"/>
  <c r="ET499" i="1"/>
  <c r="EU499" i="1"/>
  <c r="EV499" i="1"/>
  <c r="EW499" i="1"/>
  <c r="EX499" i="1"/>
  <c r="EY499" i="1"/>
  <c r="EZ499" i="1"/>
  <c r="FA499" i="1"/>
  <c r="FB499" i="1"/>
  <c r="FC499" i="1"/>
  <c r="FD499" i="1"/>
  <c r="FE499" i="1"/>
  <c r="FF499" i="1"/>
  <c r="FG499" i="1"/>
  <c r="FH499" i="1"/>
  <c r="FI499" i="1"/>
  <c r="FJ499" i="1"/>
  <c r="FK499" i="1"/>
  <c r="FL499" i="1"/>
  <c r="FM499" i="1"/>
  <c r="FN499" i="1"/>
  <c r="FO499" i="1"/>
  <c r="FP499" i="1"/>
  <c r="FQ499" i="1"/>
  <c r="FR499" i="1"/>
  <c r="FS499" i="1"/>
  <c r="FT499" i="1"/>
  <c r="FU499" i="1"/>
  <c r="FV499" i="1"/>
  <c r="FW499" i="1"/>
  <c r="FX499" i="1"/>
  <c r="FY499" i="1"/>
  <c r="FZ499" i="1"/>
  <c r="GA499" i="1"/>
  <c r="GB499" i="1"/>
  <c r="GC499" i="1"/>
  <c r="GD499" i="1"/>
  <c r="GE499" i="1"/>
  <c r="GF499" i="1"/>
  <c r="GG499" i="1"/>
  <c r="GH499" i="1"/>
  <c r="GI499" i="1"/>
  <c r="GJ499" i="1"/>
  <c r="GK499" i="1"/>
  <c r="GL499" i="1"/>
  <c r="GM499" i="1"/>
  <c r="GN499" i="1"/>
  <c r="GO499" i="1"/>
  <c r="GP499" i="1"/>
  <c r="GQ499" i="1"/>
  <c r="GR499" i="1"/>
  <c r="GS499" i="1"/>
  <c r="D499" i="1"/>
  <c r="D498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BK480" i="1"/>
  <c r="BL480" i="1"/>
  <c r="BM480" i="1"/>
  <c r="BN480" i="1"/>
  <c r="BO480" i="1"/>
  <c r="BP480" i="1"/>
  <c r="BQ480" i="1"/>
  <c r="BR480" i="1"/>
  <c r="BS480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CU480" i="1"/>
  <c r="CV480" i="1"/>
  <c r="CW480" i="1"/>
  <c r="CX480" i="1"/>
  <c r="CY480" i="1"/>
  <c r="CZ480" i="1"/>
  <c r="DA480" i="1"/>
  <c r="DB480" i="1"/>
  <c r="DC480" i="1"/>
  <c r="DD480" i="1"/>
  <c r="DE480" i="1"/>
  <c r="DF480" i="1"/>
  <c r="DG480" i="1"/>
  <c r="DH480" i="1"/>
  <c r="DI480" i="1"/>
  <c r="DJ480" i="1"/>
  <c r="DK480" i="1"/>
  <c r="DL480" i="1"/>
  <c r="DM480" i="1"/>
  <c r="DN480" i="1"/>
  <c r="DO480" i="1"/>
  <c r="DP480" i="1"/>
  <c r="DQ480" i="1"/>
  <c r="DR480" i="1"/>
  <c r="DS480" i="1"/>
  <c r="DT480" i="1"/>
  <c r="DU480" i="1"/>
  <c r="DV480" i="1"/>
  <c r="DW480" i="1"/>
  <c r="DX480" i="1"/>
  <c r="DY480" i="1"/>
  <c r="DZ480" i="1"/>
  <c r="EA480" i="1"/>
  <c r="EB480" i="1"/>
  <c r="EC480" i="1"/>
  <c r="ED480" i="1"/>
  <c r="EE480" i="1"/>
  <c r="EF480" i="1"/>
  <c r="EG480" i="1"/>
  <c r="EH480" i="1"/>
  <c r="EI480" i="1"/>
  <c r="EJ480" i="1"/>
  <c r="EK480" i="1"/>
  <c r="EL480" i="1"/>
  <c r="EM480" i="1"/>
  <c r="EN480" i="1"/>
  <c r="EO480" i="1"/>
  <c r="EP480" i="1"/>
  <c r="EQ480" i="1"/>
  <c r="ER480" i="1"/>
  <c r="ES480" i="1"/>
  <c r="ET480" i="1"/>
  <c r="EU480" i="1"/>
  <c r="EV480" i="1"/>
  <c r="EW480" i="1"/>
  <c r="EX480" i="1"/>
  <c r="EY480" i="1"/>
  <c r="EZ480" i="1"/>
  <c r="FA480" i="1"/>
  <c r="FB480" i="1"/>
  <c r="FC480" i="1"/>
  <c r="FD480" i="1"/>
  <c r="FE480" i="1"/>
  <c r="FF480" i="1"/>
  <c r="FG480" i="1"/>
  <c r="FH480" i="1"/>
  <c r="FI480" i="1"/>
  <c r="FJ480" i="1"/>
  <c r="FK480" i="1"/>
  <c r="FL480" i="1"/>
  <c r="FM480" i="1"/>
  <c r="FN480" i="1"/>
  <c r="FO480" i="1"/>
  <c r="FP480" i="1"/>
  <c r="FQ480" i="1"/>
  <c r="FR480" i="1"/>
  <c r="FS480" i="1"/>
  <c r="FT480" i="1"/>
  <c r="FU480" i="1"/>
  <c r="FV480" i="1"/>
  <c r="FW480" i="1"/>
  <c r="FX480" i="1"/>
  <c r="FY480" i="1"/>
  <c r="FZ480" i="1"/>
  <c r="GA480" i="1"/>
  <c r="GB480" i="1"/>
  <c r="GC480" i="1"/>
  <c r="GD480" i="1"/>
  <c r="GE480" i="1"/>
  <c r="GF480" i="1"/>
  <c r="GG480" i="1"/>
  <c r="GH480" i="1"/>
  <c r="GI480" i="1"/>
  <c r="GJ480" i="1"/>
  <c r="GK480" i="1"/>
  <c r="GL480" i="1"/>
  <c r="GM480" i="1"/>
  <c r="GN480" i="1"/>
  <c r="GO480" i="1"/>
  <c r="GP480" i="1"/>
  <c r="GQ480" i="1"/>
  <c r="GR480" i="1"/>
  <c r="GS480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BK481" i="1"/>
  <c r="BL481" i="1"/>
  <c r="BM481" i="1"/>
  <c r="BN481" i="1"/>
  <c r="BO481" i="1"/>
  <c r="BP481" i="1"/>
  <c r="BQ481" i="1"/>
  <c r="BR481" i="1"/>
  <c r="BS481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CW481" i="1"/>
  <c r="CX481" i="1"/>
  <c r="CY481" i="1"/>
  <c r="CZ481" i="1"/>
  <c r="DA481" i="1"/>
  <c r="DB481" i="1"/>
  <c r="DC481" i="1"/>
  <c r="DD481" i="1"/>
  <c r="DE481" i="1"/>
  <c r="DF481" i="1"/>
  <c r="DG481" i="1"/>
  <c r="DH481" i="1"/>
  <c r="DI481" i="1"/>
  <c r="DJ481" i="1"/>
  <c r="DK481" i="1"/>
  <c r="DL481" i="1"/>
  <c r="DM481" i="1"/>
  <c r="DN481" i="1"/>
  <c r="DO481" i="1"/>
  <c r="DP481" i="1"/>
  <c r="DQ481" i="1"/>
  <c r="DR481" i="1"/>
  <c r="DS481" i="1"/>
  <c r="DT481" i="1"/>
  <c r="DU481" i="1"/>
  <c r="DV481" i="1"/>
  <c r="DW481" i="1"/>
  <c r="DX481" i="1"/>
  <c r="DY481" i="1"/>
  <c r="DZ481" i="1"/>
  <c r="EA481" i="1"/>
  <c r="EB481" i="1"/>
  <c r="EC481" i="1"/>
  <c r="ED481" i="1"/>
  <c r="EE481" i="1"/>
  <c r="EF481" i="1"/>
  <c r="EG481" i="1"/>
  <c r="EH481" i="1"/>
  <c r="EI481" i="1"/>
  <c r="EJ481" i="1"/>
  <c r="EK481" i="1"/>
  <c r="EL481" i="1"/>
  <c r="EM481" i="1"/>
  <c r="EN481" i="1"/>
  <c r="EO481" i="1"/>
  <c r="EP481" i="1"/>
  <c r="EQ481" i="1"/>
  <c r="ER481" i="1"/>
  <c r="ES481" i="1"/>
  <c r="ET481" i="1"/>
  <c r="EU481" i="1"/>
  <c r="EV481" i="1"/>
  <c r="EW481" i="1"/>
  <c r="EX481" i="1"/>
  <c r="EY481" i="1"/>
  <c r="EZ481" i="1"/>
  <c r="FA481" i="1"/>
  <c r="FB481" i="1"/>
  <c r="FC481" i="1"/>
  <c r="FD481" i="1"/>
  <c r="FE481" i="1"/>
  <c r="FF481" i="1"/>
  <c r="FG481" i="1"/>
  <c r="FH481" i="1"/>
  <c r="FI481" i="1"/>
  <c r="FJ481" i="1"/>
  <c r="FK481" i="1"/>
  <c r="FL481" i="1"/>
  <c r="FM481" i="1"/>
  <c r="FN481" i="1"/>
  <c r="FO481" i="1"/>
  <c r="FP481" i="1"/>
  <c r="FQ481" i="1"/>
  <c r="FR481" i="1"/>
  <c r="FS481" i="1"/>
  <c r="FT481" i="1"/>
  <c r="FU481" i="1"/>
  <c r="FV481" i="1"/>
  <c r="FW481" i="1"/>
  <c r="FX481" i="1"/>
  <c r="FY481" i="1"/>
  <c r="FZ481" i="1"/>
  <c r="GA481" i="1"/>
  <c r="GB481" i="1"/>
  <c r="GC481" i="1"/>
  <c r="GD481" i="1"/>
  <c r="GE481" i="1"/>
  <c r="GF481" i="1"/>
  <c r="GG481" i="1"/>
  <c r="GH481" i="1"/>
  <c r="GI481" i="1"/>
  <c r="GJ481" i="1"/>
  <c r="GK481" i="1"/>
  <c r="GL481" i="1"/>
  <c r="GM481" i="1"/>
  <c r="GN481" i="1"/>
  <c r="GO481" i="1"/>
  <c r="GP481" i="1"/>
  <c r="GQ481" i="1"/>
  <c r="GR481" i="1"/>
  <c r="GS481" i="1"/>
  <c r="D481" i="1"/>
  <c r="D480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BJ399" i="1"/>
  <c r="BK399" i="1"/>
  <c r="BL399" i="1"/>
  <c r="BM399" i="1"/>
  <c r="BN399" i="1"/>
  <c r="BO399" i="1"/>
  <c r="BP399" i="1"/>
  <c r="BQ399" i="1"/>
  <c r="BR399" i="1"/>
  <c r="BS399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CW399" i="1"/>
  <c r="CX399" i="1"/>
  <c r="CY399" i="1"/>
  <c r="CZ399" i="1"/>
  <c r="DA399" i="1"/>
  <c r="DB399" i="1"/>
  <c r="DC399" i="1"/>
  <c r="DD399" i="1"/>
  <c r="DE399" i="1"/>
  <c r="DF399" i="1"/>
  <c r="DG399" i="1"/>
  <c r="DH399" i="1"/>
  <c r="DI399" i="1"/>
  <c r="DJ399" i="1"/>
  <c r="DK399" i="1"/>
  <c r="DL399" i="1"/>
  <c r="DM399" i="1"/>
  <c r="DN399" i="1"/>
  <c r="DO399" i="1"/>
  <c r="DP399" i="1"/>
  <c r="DQ399" i="1"/>
  <c r="DR399" i="1"/>
  <c r="DS399" i="1"/>
  <c r="DT399" i="1"/>
  <c r="DU399" i="1"/>
  <c r="DV399" i="1"/>
  <c r="DW399" i="1"/>
  <c r="DX399" i="1"/>
  <c r="DY399" i="1"/>
  <c r="DZ399" i="1"/>
  <c r="EA399" i="1"/>
  <c r="EB399" i="1"/>
  <c r="EC399" i="1"/>
  <c r="ED399" i="1"/>
  <c r="EE399" i="1"/>
  <c r="EF399" i="1"/>
  <c r="EG399" i="1"/>
  <c r="EH399" i="1"/>
  <c r="EI399" i="1"/>
  <c r="EJ399" i="1"/>
  <c r="EK399" i="1"/>
  <c r="EL399" i="1"/>
  <c r="EM399" i="1"/>
  <c r="EN399" i="1"/>
  <c r="EO399" i="1"/>
  <c r="EP399" i="1"/>
  <c r="EQ399" i="1"/>
  <c r="ER399" i="1"/>
  <c r="ES399" i="1"/>
  <c r="ET399" i="1"/>
  <c r="EU399" i="1"/>
  <c r="EV399" i="1"/>
  <c r="EW399" i="1"/>
  <c r="EX399" i="1"/>
  <c r="EY399" i="1"/>
  <c r="EZ399" i="1"/>
  <c r="FA399" i="1"/>
  <c r="FB399" i="1"/>
  <c r="FC399" i="1"/>
  <c r="FD399" i="1"/>
  <c r="FE399" i="1"/>
  <c r="FF399" i="1"/>
  <c r="FG399" i="1"/>
  <c r="FH399" i="1"/>
  <c r="FI399" i="1"/>
  <c r="FJ399" i="1"/>
  <c r="FK399" i="1"/>
  <c r="FL399" i="1"/>
  <c r="FM399" i="1"/>
  <c r="FN399" i="1"/>
  <c r="FO399" i="1"/>
  <c r="FP399" i="1"/>
  <c r="FQ399" i="1"/>
  <c r="FR399" i="1"/>
  <c r="FS399" i="1"/>
  <c r="FT399" i="1"/>
  <c r="FU399" i="1"/>
  <c r="FV399" i="1"/>
  <c r="FW399" i="1"/>
  <c r="FX399" i="1"/>
  <c r="FY399" i="1"/>
  <c r="FZ399" i="1"/>
  <c r="GA399" i="1"/>
  <c r="GB399" i="1"/>
  <c r="GC399" i="1"/>
  <c r="GD399" i="1"/>
  <c r="GE399" i="1"/>
  <c r="GF399" i="1"/>
  <c r="GG399" i="1"/>
  <c r="GH399" i="1"/>
  <c r="GI399" i="1"/>
  <c r="GJ399" i="1"/>
  <c r="GK399" i="1"/>
  <c r="GL399" i="1"/>
  <c r="GM399" i="1"/>
  <c r="GN399" i="1"/>
  <c r="GO399" i="1"/>
  <c r="GP399" i="1"/>
  <c r="GQ399" i="1"/>
  <c r="GR399" i="1"/>
  <c r="GS399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BJ400" i="1"/>
  <c r="BK400" i="1"/>
  <c r="BL400" i="1"/>
  <c r="BM400" i="1"/>
  <c r="BN400" i="1"/>
  <c r="BO400" i="1"/>
  <c r="BP400" i="1"/>
  <c r="BQ400" i="1"/>
  <c r="BR400" i="1"/>
  <c r="BS400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CU400" i="1"/>
  <c r="CV400" i="1"/>
  <c r="CW400" i="1"/>
  <c r="CX400" i="1"/>
  <c r="CY400" i="1"/>
  <c r="CZ400" i="1"/>
  <c r="DA400" i="1"/>
  <c r="DB400" i="1"/>
  <c r="DC400" i="1"/>
  <c r="DD400" i="1"/>
  <c r="DE400" i="1"/>
  <c r="DF400" i="1"/>
  <c r="DG400" i="1"/>
  <c r="DH400" i="1"/>
  <c r="DI400" i="1"/>
  <c r="DJ400" i="1"/>
  <c r="DK400" i="1"/>
  <c r="DL400" i="1"/>
  <c r="DM400" i="1"/>
  <c r="DN400" i="1"/>
  <c r="DO400" i="1"/>
  <c r="DP400" i="1"/>
  <c r="DQ400" i="1"/>
  <c r="DR400" i="1"/>
  <c r="DS400" i="1"/>
  <c r="DT400" i="1"/>
  <c r="DU400" i="1"/>
  <c r="DV400" i="1"/>
  <c r="DW400" i="1"/>
  <c r="DX400" i="1"/>
  <c r="DY400" i="1"/>
  <c r="DZ400" i="1"/>
  <c r="EA400" i="1"/>
  <c r="EB400" i="1"/>
  <c r="EC400" i="1"/>
  <c r="ED400" i="1"/>
  <c r="EE400" i="1"/>
  <c r="EF400" i="1"/>
  <c r="EG400" i="1"/>
  <c r="EH400" i="1"/>
  <c r="EI400" i="1"/>
  <c r="EJ400" i="1"/>
  <c r="EK400" i="1"/>
  <c r="EL400" i="1"/>
  <c r="EM400" i="1"/>
  <c r="EN400" i="1"/>
  <c r="EO400" i="1"/>
  <c r="EP400" i="1"/>
  <c r="EQ400" i="1"/>
  <c r="ER400" i="1"/>
  <c r="ES400" i="1"/>
  <c r="ET400" i="1"/>
  <c r="EU400" i="1"/>
  <c r="EV400" i="1"/>
  <c r="EW400" i="1"/>
  <c r="EX400" i="1"/>
  <c r="EY400" i="1"/>
  <c r="EZ400" i="1"/>
  <c r="FA400" i="1"/>
  <c r="FB400" i="1"/>
  <c r="FC400" i="1"/>
  <c r="FD400" i="1"/>
  <c r="FE400" i="1"/>
  <c r="FF400" i="1"/>
  <c r="FG400" i="1"/>
  <c r="FH400" i="1"/>
  <c r="FI400" i="1"/>
  <c r="FJ400" i="1"/>
  <c r="FK400" i="1"/>
  <c r="FL400" i="1"/>
  <c r="FM400" i="1"/>
  <c r="FN400" i="1"/>
  <c r="FO400" i="1"/>
  <c r="FP400" i="1"/>
  <c r="FQ400" i="1"/>
  <c r="FR400" i="1"/>
  <c r="FS400" i="1"/>
  <c r="FT400" i="1"/>
  <c r="FU400" i="1"/>
  <c r="FV400" i="1"/>
  <c r="FW400" i="1"/>
  <c r="FX400" i="1"/>
  <c r="FY400" i="1"/>
  <c r="FZ400" i="1"/>
  <c r="GA400" i="1"/>
  <c r="GB400" i="1"/>
  <c r="GC400" i="1"/>
  <c r="GD400" i="1"/>
  <c r="GE400" i="1"/>
  <c r="GF400" i="1"/>
  <c r="GG400" i="1"/>
  <c r="GH400" i="1"/>
  <c r="GI400" i="1"/>
  <c r="GJ400" i="1"/>
  <c r="GK400" i="1"/>
  <c r="GL400" i="1"/>
  <c r="GM400" i="1"/>
  <c r="GN400" i="1"/>
  <c r="GO400" i="1"/>
  <c r="GP400" i="1"/>
  <c r="GQ400" i="1"/>
  <c r="GR400" i="1"/>
  <c r="GS400" i="1"/>
  <c r="D400" i="1"/>
  <c r="D399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CU348" i="1"/>
  <c r="CV348" i="1"/>
  <c r="CW348" i="1"/>
  <c r="CX348" i="1"/>
  <c r="CY348" i="1"/>
  <c r="CZ348" i="1"/>
  <c r="DA348" i="1"/>
  <c r="DB348" i="1"/>
  <c r="DC348" i="1"/>
  <c r="DD348" i="1"/>
  <c r="DE348" i="1"/>
  <c r="DF348" i="1"/>
  <c r="DG348" i="1"/>
  <c r="DH348" i="1"/>
  <c r="DI348" i="1"/>
  <c r="DJ348" i="1"/>
  <c r="DK348" i="1"/>
  <c r="DL348" i="1"/>
  <c r="DM348" i="1"/>
  <c r="DN348" i="1"/>
  <c r="DO348" i="1"/>
  <c r="DP348" i="1"/>
  <c r="DQ348" i="1"/>
  <c r="DR348" i="1"/>
  <c r="DS348" i="1"/>
  <c r="DT348" i="1"/>
  <c r="DU348" i="1"/>
  <c r="DV348" i="1"/>
  <c r="DW348" i="1"/>
  <c r="DX348" i="1"/>
  <c r="DY348" i="1"/>
  <c r="DZ348" i="1"/>
  <c r="EA348" i="1"/>
  <c r="EB348" i="1"/>
  <c r="EC348" i="1"/>
  <c r="ED348" i="1"/>
  <c r="EE348" i="1"/>
  <c r="EF348" i="1"/>
  <c r="EG348" i="1"/>
  <c r="EH348" i="1"/>
  <c r="EI348" i="1"/>
  <c r="EJ348" i="1"/>
  <c r="EK348" i="1"/>
  <c r="EL348" i="1"/>
  <c r="EM348" i="1"/>
  <c r="EN348" i="1"/>
  <c r="EO348" i="1"/>
  <c r="EP348" i="1"/>
  <c r="EQ348" i="1"/>
  <c r="ER348" i="1"/>
  <c r="ES348" i="1"/>
  <c r="ET348" i="1"/>
  <c r="EU348" i="1"/>
  <c r="EV348" i="1"/>
  <c r="EW348" i="1"/>
  <c r="EX348" i="1"/>
  <c r="EY348" i="1"/>
  <c r="EZ348" i="1"/>
  <c r="FA348" i="1"/>
  <c r="FB348" i="1"/>
  <c r="FC348" i="1"/>
  <c r="FD348" i="1"/>
  <c r="FE348" i="1"/>
  <c r="FF348" i="1"/>
  <c r="FG348" i="1"/>
  <c r="FH348" i="1"/>
  <c r="FI348" i="1"/>
  <c r="FJ348" i="1"/>
  <c r="FK348" i="1"/>
  <c r="FL348" i="1"/>
  <c r="FM348" i="1"/>
  <c r="FN348" i="1"/>
  <c r="FO348" i="1"/>
  <c r="FP348" i="1"/>
  <c r="FQ348" i="1"/>
  <c r="FR348" i="1"/>
  <c r="FS348" i="1"/>
  <c r="FT348" i="1"/>
  <c r="FU348" i="1"/>
  <c r="FV348" i="1"/>
  <c r="FW348" i="1"/>
  <c r="FX348" i="1"/>
  <c r="FY348" i="1"/>
  <c r="FZ348" i="1"/>
  <c r="GA348" i="1"/>
  <c r="GB348" i="1"/>
  <c r="GC348" i="1"/>
  <c r="GD348" i="1"/>
  <c r="GE348" i="1"/>
  <c r="GF348" i="1"/>
  <c r="GG348" i="1"/>
  <c r="GH348" i="1"/>
  <c r="GI348" i="1"/>
  <c r="GJ348" i="1"/>
  <c r="GK348" i="1"/>
  <c r="GL348" i="1"/>
  <c r="GM348" i="1"/>
  <c r="GN348" i="1"/>
  <c r="GO348" i="1"/>
  <c r="GP348" i="1"/>
  <c r="GQ348" i="1"/>
  <c r="GR348" i="1"/>
  <c r="GS348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CW349" i="1"/>
  <c r="CX349" i="1"/>
  <c r="CY349" i="1"/>
  <c r="CZ349" i="1"/>
  <c r="DA349" i="1"/>
  <c r="DB349" i="1"/>
  <c r="DC349" i="1"/>
  <c r="DD349" i="1"/>
  <c r="DE349" i="1"/>
  <c r="DF349" i="1"/>
  <c r="DG349" i="1"/>
  <c r="DH349" i="1"/>
  <c r="DI349" i="1"/>
  <c r="DJ349" i="1"/>
  <c r="DK349" i="1"/>
  <c r="DL349" i="1"/>
  <c r="DM349" i="1"/>
  <c r="DN349" i="1"/>
  <c r="DO349" i="1"/>
  <c r="DP349" i="1"/>
  <c r="DQ349" i="1"/>
  <c r="DR349" i="1"/>
  <c r="DS349" i="1"/>
  <c r="DT349" i="1"/>
  <c r="DU349" i="1"/>
  <c r="DV349" i="1"/>
  <c r="DW349" i="1"/>
  <c r="DX349" i="1"/>
  <c r="DY349" i="1"/>
  <c r="DZ349" i="1"/>
  <c r="EA349" i="1"/>
  <c r="EB349" i="1"/>
  <c r="EC349" i="1"/>
  <c r="ED349" i="1"/>
  <c r="EE349" i="1"/>
  <c r="EF349" i="1"/>
  <c r="EG349" i="1"/>
  <c r="EH349" i="1"/>
  <c r="EI349" i="1"/>
  <c r="EJ349" i="1"/>
  <c r="EK349" i="1"/>
  <c r="EL349" i="1"/>
  <c r="EM349" i="1"/>
  <c r="EN349" i="1"/>
  <c r="EO349" i="1"/>
  <c r="EP349" i="1"/>
  <c r="EQ349" i="1"/>
  <c r="ER349" i="1"/>
  <c r="ES349" i="1"/>
  <c r="ET349" i="1"/>
  <c r="EU349" i="1"/>
  <c r="EV349" i="1"/>
  <c r="EW349" i="1"/>
  <c r="EX349" i="1"/>
  <c r="EY349" i="1"/>
  <c r="EZ349" i="1"/>
  <c r="FA349" i="1"/>
  <c r="FB349" i="1"/>
  <c r="FC349" i="1"/>
  <c r="FD349" i="1"/>
  <c r="FE349" i="1"/>
  <c r="FF349" i="1"/>
  <c r="FG349" i="1"/>
  <c r="FH349" i="1"/>
  <c r="FI349" i="1"/>
  <c r="FJ349" i="1"/>
  <c r="FK349" i="1"/>
  <c r="FL349" i="1"/>
  <c r="FM349" i="1"/>
  <c r="FN349" i="1"/>
  <c r="FO349" i="1"/>
  <c r="FP349" i="1"/>
  <c r="FQ349" i="1"/>
  <c r="FR349" i="1"/>
  <c r="FS349" i="1"/>
  <c r="FT349" i="1"/>
  <c r="FU349" i="1"/>
  <c r="FV349" i="1"/>
  <c r="FW349" i="1"/>
  <c r="FX349" i="1"/>
  <c r="FY349" i="1"/>
  <c r="FZ349" i="1"/>
  <c r="GA349" i="1"/>
  <c r="GB349" i="1"/>
  <c r="GC349" i="1"/>
  <c r="GD349" i="1"/>
  <c r="GE349" i="1"/>
  <c r="GF349" i="1"/>
  <c r="GG349" i="1"/>
  <c r="GH349" i="1"/>
  <c r="GI349" i="1"/>
  <c r="GJ349" i="1"/>
  <c r="GK349" i="1"/>
  <c r="GL349" i="1"/>
  <c r="GM349" i="1"/>
  <c r="GN349" i="1"/>
  <c r="GO349" i="1"/>
  <c r="GP349" i="1"/>
  <c r="GQ349" i="1"/>
  <c r="GR349" i="1"/>
  <c r="GS349" i="1"/>
  <c r="D349" i="1"/>
  <c r="D348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CW330" i="1"/>
  <c r="CX330" i="1"/>
  <c r="CY330" i="1"/>
  <c r="CZ330" i="1"/>
  <c r="DA330" i="1"/>
  <c r="DB330" i="1"/>
  <c r="DC330" i="1"/>
  <c r="DD330" i="1"/>
  <c r="DE330" i="1"/>
  <c r="DF330" i="1"/>
  <c r="DG330" i="1"/>
  <c r="DH330" i="1"/>
  <c r="DI330" i="1"/>
  <c r="DJ330" i="1"/>
  <c r="DK330" i="1"/>
  <c r="DL330" i="1"/>
  <c r="DM330" i="1"/>
  <c r="DN330" i="1"/>
  <c r="DO330" i="1"/>
  <c r="DP330" i="1"/>
  <c r="DQ330" i="1"/>
  <c r="DR330" i="1"/>
  <c r="DS330" i="1"/>
  <c r="DT330" i="1"/>
  <c r="DU330" i="1"/>
  <c r="DV330" i="1"/>
  <c r="DW330" i="1"/>
  <c r="DX330" i="1"/>
  <c r="DY330" i="1"/>
  <c r="DZ330" i="1"/>
  <c r="EA330" i="1"/>
  <c r="EB330" i="1"/>
  <c r="EC330" i="1"/>
  <c r="ED330" i="1"/>
  <c r="EE330" i="1"/>
  <c r="EF330" i="1"/>
  <c r="EG330" i="1"/>
  <c r="EH330" i="1"/>
  <c r="EI330" i="1"/>
  <c r="EJ330" i="1"/>
  <c r="EK330" i="1"/>
  <c r="EL330" i="1"/>
  <c r="EM330" i="1"/>
  <c r="EN330" i="1"/>
  <c r="EO330" i="1"/>
  <c r="EP330" i="1"/>
  <c r="EQ330" i="1"/>
  <c r="ER330" i="1"/>
  <c r="ES330" i="1"/>
  <c r="ET330" i="1"/>
  <c r="EU330" i="1"/>
  <c r="EV330" i="1"/>
  <c r="EW330" i="1"/>
  <c r="EX330" i="1"/>
  <c r="EY330" i="1"/>
  <c r="EZ330" i="1"/>
  <c r="FA330" i="1"/>
  <c r="FB330" i="1"/>
  <c r="FC330" i="1"/>
  <c r="FD330" i="1"/>
  <c r="FE330" i="1"/>
  <c r="FF330" i="1"/>
  <c r="FG330" i="1"/>
  <c r="FH330" i="1"/>
  <c r="FI330" i="1"/>
  <c r="FJ330" i="1"/>
  <c r="FK330" i="1"/>
  <c r="FL330" i="1"/>
  <c r="FM330" i="1"/>
  <c r="FN330" i="1"/>
  <c r="FO330" i="1"/>
  <c r="FP330" i="1"/>
  <c r="FQ330" i="1"/>
  <c r="FR330" i="1"/>
  <c r="FS330" i="1"/>
  <c r="FT330" i="1"/>
  <c r="FU330" i="1"/>
  <c r="FV330" i="1"/>
  <c r="FW330" i="1"/>
  <c r="FX330" i="1"/>
  <c r="FY330" i="1"/>
  <c r="FZ330" i="1"/>
  <c r="GA330" i="1"/>
  <c r="GB330" i="1"/>
  <c r="GC330" i="1"/>
  <c r="GD330" i="1"/>
  <c r="GE330" i="1"/>
  <c r="GF330" i="1"/>
  <c r="GG330" i="1"/>
  <c r="GH330" i="1"/>
  <c r="GI330" i="1"/>
  <c r="GJ330" i="1"/>
  <c r="GK330" i="1"/>
  <c r="GL330" i="1"/>
  <c r="GM330" i="1"/>
  <c r="GN330" i="1"/>
  <c r="GO330" i="1"/>
  <c r="GP330" i="1"/>
  <c r="GQ330" i="1"/>
  <c r="GR330" i="1"/>
  <c r="GS330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CU331" i="1"/>
  <c r="CV331" i="1"/>
  <c r="CW331" i="1"/>
  <c r="CX331" i="1"/>
  <c r="CY331" i="1"/>
  <c r="CZ331" i="1"/>
  <c r="DA331" i="1"/>
  <c r="DB331" i="1"/>
  <c r="DC331" i="1"/>
  <c r="DD331" i="1"/>
  <c r="DE331" i="1"/>
  <c r="DF331" i="1"/>
  <c r="DG331" i="1"/>
  <c r="DH331" i="1"/>
  <c r="DI331" i="1"/>
  <c r="DJ331" i="1"/>
  <c r="DK331" i="1"/>
  <c r="DL331" i="1"/>
  <c r="DM331" i="1"/>
  <c r="DN331" i="1"/>
  <c r="DO331" i="1"/>
  <c r="DP331" i="1"/>
  <c r="DQ331" i="1"/>
  <c r="DR331" i="1"/>
  <c r="DS331" i="1"/>
  <c r="DT331" i="1"/>
  <c r="DU331" i="1"/>
  <c r="DV331" i="1"/>
  <c r="DW331" i="1"/>
  <c r="DX331" i="1"/>
  <c r="DY331" i="1"/>
  <c r="DZ331" i="1"/>
  <c r="EA331" i="1"/>
  <c r="EB331" i="1"/>
  <c r="EC331" i="1"/>
  <c r="ED331" i="1"/>
  <c r="EE331" i="1"/>
  <c r="EF331" i="1"/>
  <c r="EG331" i="1"/>
  <c r="EH331" i="1"/>
  <c r="EI331" i="1"/>
  <c r="EJ331" i="1"/>
  <c r="EK331" i="1"/>
  <c r="EL331" i="1"/>
  <c r="EM331" i="1"/>
  <c r="EN331" i="1"/>
  <c r="EO331" i="1"/>
  <c r="EP331" i="1"/>
  <c r="EQ331" i="1"/>
  <c r="ER331" i="1"/>
  <c r="ES331" i="1"/>
  <c r="ET331" i="1"/>
  <c r="EU331" i="1"/>
  <c r="EV331" i="1"/>
  <c r="EW331" i="1"/>
  <c r="EX331" i="1"/>
  <c r="EY331" i="1"/>
  <c r="EZ331" i="1"/>
  <c r="FA331" i="1"/>
  <c r="FB331" i="1"/>
  <c r="FC331" i="1"/>
  <c r="FD331" i="1"/>
  <c r="FE331" i="1"/>
  <c r="FF331" i="1"/>
  <c r="FG331" i="1"/>
  <c r="FH331" i="1"/>
  <c r="FI331" i="1"/>
  <c r="FJ331" i="1"/>
  <c r="FK331" i="1"/>
  <c r="FL331" i="1"/>
  <c r="FM331" i="1"/>
  <c r="FN331" i="1"/>
  <c r="FO331" i="1"/>
  <c r="FP331" i="1"/>
  <c r="FQ331" i="1"/>
  <c r="FR331" i="1"/>
  <c r="FS331" i="1"/>
  <c r="FT331" i="1"/>
  <c r="FU331" i="1"/>
  <c r="FV331" i="1"/>
  <c r="FW331" i="1"/>
  <c r="FX331" i="1"/>
  <c r="FY331" i="1"/>
  <c r="FZ331" i="1"/>
  <c r="GA331" i="1"/>
  <c r="GB331" i="1"/>
  <c r="GC331" i="1"/>
  <c r="GD331" i="1"/>
  <c r="GE331" i="1"/>
  <c r="GF331" i="1"/>
  <c r="GG331" i="1"/>
  <c r="GH331" i="1"/>
  <c r="GI331" i="1"/>
  <c r="GJ331" i="1"/>
  <c r="GK331" i="1"/>
  <c r="GL331" i="1"/>
  <c r="GM331" i="1"/>
  <c r="GN331" i="1"/>
  <c r="GO331" i="1"/>
  <c r="GP331" i="1"/>
  <c r="GQ331" i="1"/>
  <c r="GR331" i="1"/>
  <c r="GS331" i="1"/>
  <c r="D331" i="1"/>
  <c r="D33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CW300" i="1"/>
  <c r="CX300" i="1"/>
  <c r="CY300" i="1"/>
  <c r="CZ300" i="1"/>
  <c r="DA300" i="1"/>
  <c r="DB300" i="1"/>
  <c r="DC300" i="1"/>
  <c r="DD300" i="1"/>
  <c r="DE300" i="1"/>
  <c r="DF300" i="1"/>
  <c r="DG300" i="1"/>
  <c r="DH300" i="1"/>
  <c r="DI300" i="1"/>
  <c r="DJ300" i="1"/>
  <c r="DK300" i="1"/>
  <c r="DL300" i="1"/>
  <c r="DM300" i="1"/>
  <c r="DN300" i="1"/>
  <c r="DO300" i="1"/>
  <c r="DP300" i="1"/>
  <c r="DQ300" i="1"/>
  <c r="DR300" i="1"/>
  <c r="DS300" i="1"/>
  <c r="DT300" i="1"/>
  <c r="DU300" i="1"/>
  <c r="DV300" i="1"/>
  <c r="DW300" i="1"/>
  <c r="DX300" i="1"/>
  <c r="DY300" i="1"/>
  <c r="DZ300" i="1"/>
  <c r="EA300" i="1"/>
  <c r="EB300" i="1"/>
  <c r="EC300" i="1"/>
  <c r="ED300" i="1"/>
  <c r="EE300" i="1"/>
  <c r="EF300" i="1"/>
  <c r="EG300" i="1"/>
  <c r="EH300" i="1"/>
  <c r="EI300" i="1"/>
  <c r="EJ300" i="1"/>
  <c r="EK300" i="1"/>
  <c r="EL300" i="1"/>
  <c r="EM300" i="1"/>
  <c r="EN300" i="1"/>
  <c r="EO300" i="1"/>
  <c r="EP300" i="1"/>
  <c r="EQ300" i="1"/>
  <c r="ER300" i="1"/>
  <c r="ES300" i="1"/>
  <c r="ET300" i="1"/>
  <c r="EU300" i="1"/>
  <c r="EV300" i="1"/>
  <c r="EW300" i="1"/>
  <c r="EX300" i="1"/>
  <c r="EY300" i="1"/>
  <c r="EZ300" i="1"/>
  <c r="FA300" i="1"/>
  <c r="FB300" i="1"/>
  <c r="FC300" i="1"/>
  <c r="FD300" i="1"/>
  <c r="FE300" i="1"/>
  <c r="FF300" i="1"/>
  <c r="FG300" i="1"/>
  <c r="FH300" i="1"/>
  <c r="FI300" i="1"/>
  <c r="FJ300" i="1"/>
  <c r="FK300" i="1"/>
  <c r="FL300" i="1"/>
  <c r="FM300" i="1"/>
  <c r="FN300" i="1"/>
  <c r="FO300" i="1"/>
  <c r="FP300" i="1"/>
  <c r="FQ300" i="1"/>
  <c r="FR300" i="1"/>
  <c r="FS300" i="1"/>
  <c r="FT300" i="1"/>
  <c r="FU300" i="1"/>
  <c r="FV300" i="1"/>
  <c r="FW300" i="1"/>
  <c r="FX300" i="1"/>
  <c r="FY300" i="1"/>
  <c r="FZ300" i="1"/>
  <c r="GA300" i="1"/>
  <c r="GB300" i="1"/>
  <c r="GC300" i="1"/>
  <c r="GD300" i="1"/>
  <c r="GE300" i="1"/>
  <c r="GF300" i="1"/>
  <c r="GG300" i="1"/>
  <c r="GH300" i="1"/>
  <c r="GI300" i="1"/>
  <c r="GJ300" i="1"/>
  <c r="GK300" i="1"/>
  <c r="GL300" i="1"/>
  <c r="GM300" i="1"/>
  <c r="GN300" i="1"/>
  <c r="GO300" i="1"/>
  <c r="GP300" i="1"/>
  <c r="GQ300" i="1"/>
  <c r="GR300" i="1"/>
  <c r="GS300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CW301" i="1"/>
  <c r="CX301" i="1"/>
  <c r="CY301" i="1"/>
  <c r="CZ301" i="1"/>
  <c r="DA301" i="1"/>
  <c r="DB301" i="1"/>
  <c r="DC301" i="1"/>
  <c r="DD301" i="1"/>
  <c r="DE301" i="1"/>
  <c r="DF301" i="1"/>
  <c r="DG301" i="1"/>
  <c r="DH301" i="1"/>
  <c r="DI301" i="1"/>
  <c r="DJ301" i="1"/>
  <c r="DK301" i="1"/>
  <c r="DL301" i="1"/>
  <c r="DM301" i="1"/>
  <c r="DN301" i="1"/>
  <c r="DO301" i="1"/>
  <c r="DP301" i="1"/>
  <c r="DQ301" i="1"/>
  <c r="DR301" i="1"/>
  <c r="DS301" i="1"/>
  <c r="DT301" i="1"/>
  <c r="DU301" i="1"/>
  <c r="DV301" i="1"/>
  <c r="DW301" i="1"/>
  <c r="DX301" i="1"/>
  <c r="DY301" i="1"/>
  <c r="DZ301" i="1"/>
  <c r="EA301" i="1"/>
  <c r="EB301" i="1"/>
  <c r="EC301" i="1"/>
  <c r="ED301" i="1"/>
  <c r="EE301" i="1"/>
  <c r="EF301" i="1"/>
  <c r="EG301" i="1"/>
  <c r="EH301" i="1"/>
  <c r="EI301" i="1"/>
  <c r="EJ301" i="1"/>
  <c r="EK301" i="1"/>
  <c r="EL301" i="1"/>
  <c r="EM301" i="1"/>
  <c r="EN301" i="1"/>
  <c r="EO301" i="1"/>
  <c r="EP301" i="1"/>
  <c r="EQ301" i="1"/>
  <c r="ER301" i="1"/>
  <c r="ES301" i="1"/>
  <c r="ET301" i="1"/>
  <c r="EU301" i="1"/>
  <c r="EV301" i="1"/>
  <c r="EW301" i="1"/>
  <c r="EX301" i="1"/>
  <c r="EY301" i="1"/>
  <c r="EZ301" i="1"/>
  <c r="FA301" i="1"/>
  <c r="FB301" i="1"/>
  <c r="FC301" i="1"/>
  <c r="FD301" i="1"/>
  <c r="FE301" i="1"/>
  <c r="FF301" i="1"/>
  <c r="FG301" i="1"/>
  <c r="FH301" i="1"/>
  <c r="FI301" i="1"/>
  <c r="FJ301" i="1"/>
  <c r="FK301" i="1"/>
  <c r="FL301" i="1"/>
  <c r="FM301" i="1"/>
  <c r="FN301" i="1"/>
  <c r="FO301" i="1"/>
  <c r="FP301" i="1"/>
  <c r="FQ301" i="1"/>
  <c r="FR301" i="1"/>
  <c r="FS301" i="1"/>
  <c r="FT301" i="1"/>
  <c r="FU301" i="1"/>
  <c r="FV301" i="1"/>
  <c r="FW301" i="1"/>
  <c r="FX301" i="1"/>
  <c r="FY301" i="1"/>
  <c r="FZ301" i="1"/>
  <c r="GA301" i="1"/>
  <c r="GB301" i="1"/>
  <c r="GC301" i="1"/>
  <c r="GD301" i="1"/>
  <c r="GE301" i="1"/>
  <c r="GF301" i="1"/>
  <c r="GG301" i="1"/>
  <c r="GH301" i="1"/>
  <c r="GI301" i="1"/>
  <c r="GJ301" i="1"/>
  <c r="GK301" i="1"/>
  <c r="GL301" i="1"/>
  <c r="GM301" i="1"/>
  <c r="GN301" i="1"/>
  <c r="GO301" i="1"/>
  <c r="GP301" i="1"/>
  <c r="GQ301" i="1"/>
  <c r="GR301" i="1"/>
  <c r="GS301" i="1"/>
  <c r="D301" i="1"/>
  <c r="D300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DI282" i="1"/>
  <c r="DJ282" i="1"/>
  <c r="DK282" i="1"/>
  <c r="DL282" i="1"/>
  <c r="DM282" i="1"/>
  <c r="DN282" i="1"/>
  <c r="DO282" i="1"/>
  <c r="DP282" i="1"/>
  <c r="DQ282" i="1"/>
  <c r="DR282" i="1"/>
  <c r="DS282" i="1"/>
  <c r="DT282" i="1"/>
  <c r="DU282" i="1"/>
  <c r="DV282" i="1"/>
  <c r="DW282" i="1"/>
  <c r="DX282" i="1"/>
  <c r="DY282" i="1"/>
  <c r="DZ282" i="1"/>
  <c r="EA282" i="1"/>
  <c r="EB282" i="1"/>
  <c r="EC282" i="1"/>
  <c r="ED282" i="1"/>
  <c r="EE282" i="1"/>
  <c r="EF282" i="1"/>
  <c r="EG282" i="1"/>
  <c r="EH282" i="1"/>
  <c r="EI282" i="1"/>
  <c r="EJ282" i="1"/>
  <c r="EK282" i="1"/>
  <c r="EL282" i="1"/>
  <c r="EM282" i="1"/>
  <c r="EN282" i="1"/>
  <c r="EO282" i="1"/>
  <c r="EP282" i="1"/>
  <c r="EQ282" i="1"/>
  <c r="ER282" i="1"/>
  <c r="ES282" i="1"/>
  <c r="ET282" i="1"/>
  <c r="EU282" i="1"/>
  <c r="EV282" i="1"/>
  <c r="EW282" i="1"/>
  <c r="EX282" i="1"/>
  <c r="EY282" i="1"/>
  <c r="EZ282" i="1"/>
  <c r="FA282" i="1"/>
  <c r="FB282" i="1"/>
  <c r="FC282" i="1"/>
  <c r="FD282" i="1"/>
  <c r="FE282" i="1"/>
  <c r="FF282" i="1"/>
  <c r="FG282" i="1"/>
  <c r="FH282" i="1"/>
  <c r="FI282" i="1"/>
  <c r="FJ282" i="1"/>
  <c r="FK282" i="1"/>
  <c r="FL282" i="1"/>
  <c r="FM282" i="1"/>
  <c r="FN282" i="1"/>
  <c r="FO282" i="1"/>
  <c r="FP282" i="1"/>
  <c r="FQ282" i="1"/>
  <c r="FR282" i="1"/>
  <c r="FS282" i="1"/>
  <c r="FT282" i="1"/>
  <c r="FU282" i="1"/>
  <c r="FV282" i="1"/>
  <c r="FW282" i="1"/>
  <c r="FX282" i="1"/>
  <c r="FY282" i="1"/>
  <c r="FZ282" i="1"/>
  <c r="GA282" i="1"/>
  <c r="GB282" i="1"/>
  <c r="GC282" i="1"/>
  <c r="GD282" i="1"/>
  <c r="GE282" i="1"/>
  <c r="GF282" i="1"/>
  <c r="GG282" i="1"/>
  <c r="GH282" i="1"/>
  <c r="GI282" i="1"/>
  <c r="GJ282" i="1"/>
  <c r="GK282" i="1"/>
  <c r="GL282" i="1"/>
  <c r="GM282" i="1"/>
  <c r="GN282" i="1"/>
  <c r="GO282" i="1"/>
  <c r="GP282" i="1"/>
  <c r="GQ282" i="1"/>
  <c r="GR282" i="1"/>
  <c r="GS282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Y283" i="1"/>
  <c r="CZ283" i="1"/>
  <c r="DA283" i="1"/>
  <c r="DB283" i="1"/>
  <c r="DC283" i="1"/>
  <c r="DD283" i="1"/>
  <c r="DE283" i="1"/>
  <c r="DF283" i="1"/>
  <c r="DG283" i="1"/>
  <c r="DH283" i="1"/>
  <c r="DI283" i="1"/>
  <c r="DJ283" i="1"/>
  <c r="DK283" i="1"/>
  <c r="DL283" i="1"/>
  <c r="DM283" i="1"/>
  <c r="DN283" i="1"/>
  <c r="DO283" i="1"/>
  <c r="DP283" i="1"/>
  <c r="DQ283" i="1"/>
  <c r="DR283" i="1"/>
  <c r="DS283" i="1"/>
  <c r="DT283" i="1"/>
  <c r="DU283" i="1"/>
  <c r="DV283" i="1"/>
  <c r="DW283" i="1"/>
  <c r="DX283" i="1"/>
  <c r="DY283" i="1"/>
  <c r="DZ283" i="1"/>
  <c r="EA283" i="1"/>
  <c r="EB283" i="1"/>
  <c r="EC283" i="1"/>
  <c r="ED283" i="1"/>
  <c r="EE283" i="1"/>
  <c r="EF283" i="1"/>
  <c r="EG283" i="1"/>
  <c r="EH283" i="1"/>
  <c r="EI283" i="1"/>
  <c r="EJ283" i="1"/>
  <c r="EK283" i="1"/>
  <c r="EL283" i="1"/>
  <c r="EM283" i="1"/>
  <c r="EN283" i="1"/>
  <c r="EO283" i="1"/>
  <c r="EP283" i="1"/>
  <c r="EQ283" i="1"/>
  <c r="ER283" i="1"/>
  <c r="ES283" i="1"/>
  <c r="ET283" i="1"/>
  <c r="EU283" i="1"/>
  <c r="EV283" i="1"/>
  <c r="EW283" i="1"/>
  <c r="EX283" i="1"/>
  <c r="EY283" i="1"/>
  <c r="EZ283" i="1"/>
  <c r="FA283" i="1"/>
  <c r="FB283" i="1"/>
  <c r="FC283" i="1"/>
  <c r="FD283" i="1"/>
  <c r="FE283" i="1"/>
  <c r="FF283" i="1"/>
  <c r="FG283" i="1"/>
  <c r="FH283" i="1"/>
  <c r="FI283" i="1"/>
  <c r="FJ283" i="1"/>
  <c r="FK283" i="1"/>
  <c r="FL283" i="1"/>
  <c r="FM283" i="1"/>
  <c r="FN283" i="1"/>
  <c r="FO283" i="1"/>
  <c r="FP283" i="1"/>
  <c r="FQ283" i="1"/>
  <c r="FR283" i="1"/>
  <c r="FS283" i="1"/>
  <c r="FT283" i="1"/>
  <c r="FU283" i="1"/>
  <c r="FV283" i="1"/>
  <c r="FW283" i="1"/>
  <c r="FX283" i="1"/>
  <c r="FY283" i="1"/>
  <c r="FZ283" i="1"/>
  <c r="GA283" i="1"/>
  <c r="GB283" i="1"/>
  <c r="GC283" i="1"/>
  <c r="GD283" i="1"/>
  <c r="GE283" i="1"/>
  <c r="GF283" i="1"/>
  <c r="GG283" i="1"/>
  <c r="GH283" i="1"/>
  <c r="GI283" i="1"/>
  <c r="GJ283" i="1"/>
  <c r="GK283" i="1"/>
  <c r="GL283" i="1"/>
  <c r="GM283" i="1"/>
  <c r="GN283" i="1"/>
  <c r="GO283" i="1"/>
  <c r="GP283" i="1"/>
  <c r="GQ283" i="1"/>
  <c r="GR283" i="1"/>
  <c r="GS283" i="1"/>
  <c r="D283" i="1"/>
  <c r="D282" i="1"/>
  <c r="FX210" i="1"/>
  <c r="FY210" i="1"/>
  <c r="FZ210" i="1"/>
  <c r="GA210" i="1"/>
  <c r="GB210" i="1"/>
  <c r="GC210" i="1"/>
  <c r="GD210" i="1"/>
  <c r="GE210" i="1"/>
  <c r="GF210" i="1"/>
  <c r="GG210" i="1"/>
  <c r="GH210" i="1"/>
  <c r="GI210" i="1"/>
  <c r="GJ210" i="1"/>
  <c r="GK210" i="1"/>
  <c r="GL210" i="1"/>
  <c r="GM210" i="1"/>
  <c r="GN210" i="1"/>
  <c r="GO210" i="1"/>
  <c r="GP210" i="1"/>
  <c r="GQ210" i="1"/>
  <c r="GR210" i="1"/>
  <c r="GS210" i="1"/>
  <c r="FX211" i="1"/>
  <c r="FY211" i="1"/>
  <c r="FZ211" i="1"/>
  <c r="GA211" i="1"/>
  <c r="GB211" i="1"/>
  <c r="GC211" i="1"/>
  <c r="GD211" i="1"/>
  <c r="GE211" i="1"/>
  <c r="GF211" i="1"/>
  <c r="GG211" i="1"/>
  <c r="GH211" i="1"/>
  <c r="GI211" i="1"/>
  <c r="GJ211" i="1"/>
  <c r="GK211" i="1"/>
  <c r="GL211" i="1"/>
  <c r="GM211" i="1"/>
  <c r="GN211" i="1"/>
  <c r="GO211" i="1"/>
  <c r="GP211" i="1"/>
  <c r="GQ211" i="1"/>
  <c r="GR211" i="1"/>
  <c r="GS211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EW210" i="1"/>
  <c r="EX210" i="1"/>
  <c r="EY210" i="1"/>
  <c r="EZ210" i="1"/>
  <c r="FA210" i="1"/>
  <c r="FB210" i="1"/>
  <c r="FC210" i="1"/>
  <c r="FD210" i="1"/>
  <c r="FE210" i="1"/>
  <c r="FF210" i="1"/>
  <c r="FG210" i="1"/>
  <c r="FH210" i="1"/>
  <c r="FI210" i="1"/>
  <c r="FJ210" i="1"/>
  <c r="FK210" i="1"/>
  <c r="FL210" i="1"/>
  <c r="FM210" i="1"/>
  <c r="FN210" i="1"/>
  <c r="FO210" i="1"/>
  <c r="FP210" i="1"/>
  <c r="FQ210" i="1"/>
  <c r="FR210" i="1"/>
  <c r="FS210" i="1"/>
  <c r="FT210" i="1"/>
  <c r="FU210" i="1"/>
  <c r="FV210" i="1"/>
  <c r="FW210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EW211" i="1"/>
  <c r="EX211" i="1"/>
  <c r="EY211" i="1"/>
  <c r="EZ211" i="1"/>
  <c r="FA211" i="1"/>
  <c r="FB211" i="1"/>
  <c r="FC211" i="1"/>
  <c r="FD211" i="1"/>
  <c r="FE211" i="1"/>
  <c r="FF211" i="1"/>
  <c r="FG211" i="1"/>
  <c r="FH211" i="1"/>
  <c r="FI211" i="1"/>
  <c r="FJ211" i="1"/>
  <c r="FK211" i="1"/>
  <c r="FL211" i="1"/>
  <c r="FM211" i="1"/>
  <c r="FN211" i="1"/>
  <c r="FO211" i="1"/>
  <c r="FP211" i="1"/>
  <c r="FQ211" i="1"/>
  <c r="FR211" i="1"/>
  <c r="FS211" i="1"/>
  <c r="FT211" i="1"/>
  <c r="FU211" i="1"/>
  <c r="FV211" i="1"/>
  <c r="FW211" i="1"/>
  <c r="D211" i="1"/>
  <c r="D210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EZ141" i="1"/>
  <c r="FA141" i="1"/>
  <c r="FB141" i="1"/>
  <c r="FC141" i="1"/>
  <c r="FD141" i="1"/>
  <c r="FE141" i="1"/>
  <c r="FF141" i="1"/>
  <c r="FG141" i="1"/>
  <c r="FH141" i="1"/>
  <c r="FI141" i="1"/>
  <c r="FJ141" i="1"/>
  <c r="FK141" i="1"/>
  <c r="FL141" i="1"/>
  <c r="FM141" i="1"/>
  <c r="FN141" i="1"/>
  <c r="FO141" i="1"/>
  <c r="FP141" i="1"/>
  <c r="FQ141" i="1"/>
  <c r="FR141" i="1"/>
  <c r="FS141" i="1"/>
  <c r="FT141" i="1"/>
  <c r="FU141" i="1"/>
  <c r="FV141" i="1"/>
  <c r="FW141" i="1"/>
  <c r="FX141" i="1"/>
  <c r="FY141" i="1"/>
  <c r="FZ141" i="1"/>
  <c r="GA141" i="1"/>
  <c r="GB141" i="1"/>
  <c r="GC141" i="1"/>
  <c r="GD141" i="1"/>
  <c r="GE141" i="1"/>
  <c r="GF141" i="1"/>
  <c r="GG141" i="1"/>
  <c r="GH141" i="1"/>
  <c r="GI141" i="1"/>
  <c r="GJ141" i="1"/>
  <c r="GK141" i="1"/>
  <c r="GL141" i="1"/>
  <c r="GM141" i="1"/>
  <c r="GN141" i="1"/>
  <c r="GO141" i="1"/>
  <c r="GP141" i="1"/>
  <c r="GQ141" i="1"/>
  <c r="GR141" i="1"/>
  <c r="GS141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EW142" i="1"/>
  <c r="EX142" i="1"/>
  <c r="EY142" i="1"/>
  <c r="EZ142" i="1"/>
  <c r="FA142" i="1"/>
  <c r="FB142" i="1"/>
  <c r="FC142" i="1"/>
  <c r="FD142" i="1"/>
  <c r="FE142" i="1"/>
  <c r="FF142" i="1"/>
  <c r="FG142" i="1"/>
  <c r="FH142" i="1"/>
  <c r="FI142" i="1"/>
  <c r="FJ142" i="1"/>
  <c r="FK142" i="1"/>
  <c r="FL142" i="1"/>
  <c r="FM142" i="1"/>
  <c r="FN142" i="1"/>
  <c r="FO142" i="1"/>
  <c r="FP142" i="1"/>
  <c r="FQ142" i="1"/>
  <c r="FR142" i="1"/>
  <c r="FS142" i="1"/>
  <c r="FT142" i="1"/>
  <c r="FU142" i="1"/>
  <c r="FV142" i="1"/>
  <c r="FW142" i="1"/>
  <c r="FX142" i="1"/>
  <c r="FY142" i="1"/>
  <c r="FZ142" i="1"/>
  <c r="GA142" i="1"/>
  <c r="GB142" i="1"/>
  <c r="GC142" i="1"/>
  <c r="GD142" i="1"/>
  <c r="GE142" i="1"/>
  <c r="GF142" i="1"/>
  <c r="GG142" i="1"/>
  <c r="GH142" i="1"/>
  <c r="GI142" i="1"/>
  <c r="GJ142" i="1"/>
  <c r="GK142" i="1"/>
  <c r="GL142" i="1"/>
  <c r="GM142" i="1"/>
  <c r="GN142" i="1"/>
  <c r="GO142" i="1"/>
  <c r="GP142" i="1"/>
  <c r="GQ142" i="1"/>
  <c r="GR142" i="1"/>
  <c r="GS142" i="1"/>
  <c r="D142" i="1"/>
  <c r="D141" i="1"/>
  <c r="E6" i="1"/>
  <c r="E3" i="1" s="1"/>
  <c r="F6" i="1"/>
  <c r="F3" i="1" s="1"/>
  <c r="G6" i="1"/>
  <c r="H6" i="1"/>
  <c r="I6" i="1"/>
  <c r="I3" i="1" s="1"/>
  <c r="J6" i="1"/>
  <c r="J3" i="1" s="1"/>
  <c r="K6" i="1"/>
  <c r="K3" i="1" s="1"/>
  <c r="L6" i="1"/>
  <c r="L3" i="1" s="1"/>
  <c r="M6" i="1"/>
  <c r="M3" i="1" s="1"/>
  <c r="N6" i="1"/>
  <c r="N3" i="1" s="1"/>
  <c r="O6" i="1"/>
  <c r="O3" i="1" s="1"/>
  <c r="P6" i="1"/>
  <c r="P3" i="1" s="1"/>
  <c r="Q6" i="1"/>
  <c r="R6" i="1"/>
  <c r="S6" i="1"/>
  <c r="T6" i="1"/>
  <c r="U6" i="1"/>
  <c r="U3" i="1" s="1"/>
  <c r="V6" i="1"/>
  <c r="V3" i="1" s="1"/>
  <c r="W6" i="1"/>
  <c r="W3" i="1" s="1"/>
  <c r="X6" i="1"/>
  <c r="X3" i="1" s="1"/>
  <c r="Y6" i="1"/>
  <c r="Y3" i="1" s="1"/>
  <c r="Z6" i="1"/>
  <c r="Z3" i="1" s="1"/>
  <c r="AA6" i="1"/>
  <c r="AA3" i="1" s="1"/>
  <c r="AB6" i="1"/>
  <c r="AB3" i="1" s="1"/>
  <c r="AC6" i="1"/>
  <c r="AD6" i="1"/>
  <c r="AE6" i="1"/>
  <c r="AF6" i="1"/>
  <c r="AG6" i="1"/>
  <c r="AG3" i="1" s="1"/>
  <c r="AH6" i="1"/>
  <c r="AH3" i="1" s="1"/>
  <c r="AI6" i="1"/>
  <c r="AI3" i="1" s="1"/>
  <c r="AJ6" i="1"/>
  <c r="AJ3" i="1" s="1"/>
  <c r="AK6" i="1"/>
  <c r="AK3" i="1" s="1"/>
  <c r="AL6" i="1"/>
  <c r="AL3" i="1" s="1"/>
  <c r="AM6" i="1"/>
  <c r="AM3" i="1" s="1"/>
  <c r="AN6" i="1"/>
  <c r="AN3" i="1" s="1"/>
  <c r="AO6" i="1"/>
  <c r="AP6" i="1"/>
  <c r="AQ6" i="1"/>
  <c r="AR6" i="1"/>
  <c r="AS6" i="1"/>
  <c r="AS3" i="1" s="1"/>
  <c r="AT6" i="1"/>
  <c r="AT3" i="1" s="1"/>
  <c r="AU6" i="1"/>
  <c r="AU3" i="1" s="1"/>
  <c r="AV6" i="1"/>
  <c r="AV3" i="1" s="1"/>
  <c r="AW6" i="1"/>
  <c r="AW3" i="1" s="1"/>
  <c r="AX6" i="1"/>
  <c r="AX3" i="1" s="1"/>
  <c r="AY6" i="1"/>
  <c r="AY3" i="1" s="1"/>
  <c r="AZ6" i="1"/>
  <c r="AZ3" i="1" s="1"/>
  <c r="BA6" i="1"/>
  <c r="BB6" i="1"/>
  <c r="BC6" i="1"/>
  <c r="BD6" i="1"/>
  <c r="BE6" i="1"/>
  <c r="BE3" i="1" s="1"/>
  <c r="BF6" i="1"/>
  <c r="BF3" i="1" s="1"/>
  <c r="BG6" i="1"/>
  <c r="BG3" i="1" s="1"/>
  <c r="BH6" i="1"/>
  <c r="BH3" i="1" s="1"/>
  <c r="BI6" i="1"/>
  <c r="BI3" i="1" s="1"/>
  <c r="BJ6" i="1"/>
  <c r="BJ3" i="1" s="1"/>
  <c r="BK6" i="1"/>
  <c r="BK3" i="1" s="1"/>
  <c r="BL6" i="1"/>
  <c r="BL3" i="1" s="1"/>
  <c r="BM6" i="1"/>
  <c r="BN6" i="1"/>
  <c r="BO6" i="1"/>
  <c r="BP6" i="1"/>
  <c r="BQ6" i="1"/>
  <c r="BQ3" i="1" s="1"/>
  <c r="BR6" i="1"/>
  <c r="BR3" i="1" s="1"/>
  <c r="BS6" i="1"/>
  <c r="BS3" i="1" s="1"/>
  <c r="BT6" i="1"/>
  <c r="BT3" i="1" s="1"/>
  <c r="BU6" i="1"/>
  <c r="BU3" i="1" s="1"/>
  <c r="BV6" i="1"/>
  <c r="BV3" i="1" s="1"/>
  <c r="BW6" i="1"/>
  <c r="BW3" i="1" s="1"/>
  <c r="BX6" i="1"/>
  <c r="BX3" i="1" s="1"/>
  <c r="BY6" i="1"/>
  <c r="BZ6" i="1"/>
  <c r="CA6" i="1"/>
  <c r="CB6" i="1"/>
  <c r="CC6" i="1"/>
  <c r="CC3" i="1" s="1"/>
  <c r="CD6" i="1"/>
  <c r="CD3" i="1" s="1"/>
  <c r="CE6" i="1"/>
  <c r="CE3" i="1" s="1"/>
  <c r="CF6" i="1"/>
  <c r="CF3" i="1" s="1"/>
  <c r="CG6" i="1"/>
  <c r="CG3" i="1" s="1"/>
  <c r="CH6" i="1"/>
  <c r="CH3" i="1" s="1"/>
  <c r="CI6" i="1"/>
  <c r="CI3" i="1" s="1"/>
  <c r="CJ6" i="1"/>
  <c r="CJ3" i="1" s="1"/>
  <c r="CK6" i="1"/>
  <c r="CL6" i="1"/>
  <c r="CM6" i="1"/>
  <c r="CN6" i="1"/>
  <c r="CO6" i="1"/>
  <c r="CO3" i="1" s="1"/>
  <c r="CP6" i="1"/>
  <c r="CP3" i="1" s="1"/>
  <c r="CQ6" i="1"/>
  <c r="CQ3" i="1" s="1"/>
  <c r="CR6" i="1"/>
  <c r="CR3" i="1" s="1"/>
  <c r="CS6" i="1"/>
  <c r="CS3" i="1" s="1"/>
  <c r="CT6" i="1"/>
  <c r="CT3" i="1" s="1"/>
  <c r="CU6" i="1"/>
  <c r="CU3" i="1" s="1"/>
  <c r="CV6" i="1"/>
  <c r="CV3" i="1" s="1"/>
  <c r="CW6" i="1"/>
  <c r="CX6" i="1"/>
  <c r="CY6" i="1"/>
  <c r="CZ6" i="1"/>
  <c r="DA6" i="1"/>
  <c r="DA3" i="1" s="1"/>
  <c r="DB6" i="1"/>
  <c r="DB3" i="1" s="1"/>
  <c r="DC6" i="1"/>
  <c r="DC3" i="1" s="1"/>
  <c r="DD6" i="1"/>
  <c r="DD3" i="1" s="1"/>
  <c r="DE6" i="1"/>
  <c r="DE3" i="1" s="1"/>
  <c r="DF6" i="1"/>
  <c r="DF3" i="1" s="1"/>
  <c r="DG6" i="1"/>
  <c r="DG3" i="1" s="1"/>
  <c r="DH6" i="1"/>
  <c r="DH3" i="1" s="1"/>
  <c r="DI6" i="1"/>
  <c r="DJ6" i="1"/>
  <c r="DK6" i="1"/>
  <c r="DL6" i="1"/>
  <c r="DM6" i="1"/>
  <c r="DM3" i="1" s="1"/>
  <c r="DN6" i="1"/>
  <c r="DN3" i="1" s="1"/>
  <c r="DO6" i="1"/>
  <c r="DO3" i="1" s="1"/>
  <c r="DP6" i="1"/>
  <c r="DP3" i="1" s="1"/>
  <c r="DQ6" i="1"/>
  <c r="DQ3" i="1" s="1"/>
  <c r="DR6" i="1"/>
  <c r="DR3" i="1" s="1"/>
  <c r="DS6" i="1"/>
  <c r="DS3" i="1" s="1"/>
  <c r="DT6" i="1"/>
  <c r="DT3" i="1" s="1"/>
  <c r="DU6" i="1"/>
  <c r="DV6" i="1"/>
  <c r="DW6" i="1"/>
  <c r="DX6" i="1"/>
  <c r="DY6" i="1"/>
  <c r="DY3" i="1" s="1"/>
  <c r="DZ6" i="1"/>
  <c r="DZ3" i="1" s="1"/>
  <c r="EA6" i="1"/>
  <c r="EA3" i="1" s="1"/>
  <c r="EB6" i="1"/>
  <c r="EB3" i="1" s="1"/>
  <c r="EC6" i="1"/>
  <c r="EC3" i="1" s="1"/>
  <c r="ED6" i="1"/>
  <c r="ED3" i="1" s="1"/>
  <c r="EE6" i="1"/>
  <c r="EE3" i="1" s="1"/>
  <c r="EF6" i="1"/>
  <c r="EF3" i="1" s="1"/>
  <c r="EG6" i="1"/>
  <c r="EH6" i="1"/>
  <c r="EI6" i="1"/>
  <c r="EJ6" i="1"/>
  <c r="EK6" i="1"/>
  <c r="EK3" i="1" s="1"/>
  <c r="EL6" i="1"/>
  <c r="EL3" i="1" s="1"/>
  <c r="EM6" i="1"/>
  <c r="EM3" i="1" s="1"/>
  <c r="EN6" i="1"/>
  <c r="EN3" i="1" s="1"/>
  <c r="EO6" i="1"/>
  <c r="EO3" i="1" s="1"/>
  <c r="EP6" i="1"/>
  <c r="EP3" i="1" s="1"/>
  <c r="EQ6" i="1"/>
  <c r="EQ3" i="1" s="1"/>
  <c r="ER6" i="1"/>
  <c r="ER3" i="1" s="1"/>
  <c r="ES6" i="1"/>
  <c r="ET6" i="1"/>
  <c r="EU6" i="1"/>
  <c r="EV6" i="1"/>
  <c r="EW6" i="1"/>
  <c r="EW3" i="1" s="1"/>
  <c r="EX6" i="1"/>
  <c r="EX3" i="1" s="1"/>
  <c r="EY6" i="1"/>
  <c r="EY3" i="1" s="1"/>
  <c r="EZ6" i="1"/>
  <c r="EZ3" i="1" s="1"/>
  <c r="FA6" i="1"/>
  <c r="FA3" i="1" s="1"/>
  <c r="FB6" i="1"/>
  <c r="FB3" i="1" s="1"/>
  <c r="FC6" i="1"/>
  <c r="FC3" i="1" s="1"/>
  <c r="FD6" i="1"/>
  <c r="FD3" i="1" s="1"/>
  <c r="FE6" i="1"/>
  <c r="FF6" i="1"/>
  <c r="FG6" i="1"/>
  <c r="FH6" i="1"/>
  <c r="FI6" i="1"/>
  <c r="FI3" i="1" s="1"/>
  <c r="FJ6" i="1"/>
  <c r="FJ3" i="1" s="1"/>
  <c r="FK6" i="1"/>
  <c r="FK3" i="1" s="1"/>
  <c r="FL6" i="1"/>
  <c r="FL3" i="1" s="1"/>
  <c r="FM6" i="1"/>
  <c r="FM3" i="1" s="1"/>
  <c r="FN6" i="1"/>
  <c r="FN3" i="1" s="1"/>
  <c r="FO6" i="1"/>
  <c r="FO3" i="1" s="1"/>
  <c r="FP6" i="1"/>
  <c r="FP3" i="1" s="1"/>
  <c r="FQ6" i="1"/>
  <c r="FR6" i="1"/>
  <c r="FS6" i="1"/>
  <c r="FT6" i="1"/>
  <c r="FU6" i="1"/>
  <c r="FU3" i="1" s="1"/>
  <c r="FV6" i="1"/>
  <c r="FV3" i="1" s="1"/>
  <c r="FW6" i="1"/>
  <c r="FW3" i="1" s="1"/>
  <c r="FX6" i="1"/>
  <c r="FX3" i="1" s="1"/>
  <c r="FY6" i="1"/>
  <c r="FY3" i="1" s="1"/>
  <c r="FZ6" i="1"/>
  <c r="FZ3" i="1" s="1"/>
  <c r="GA6" i="1"/>
  <c r="GA3" i="1" s="1"/>
  <c r="GB6" i="1"/>
  <c r="GB3" i="1" s="1"/>
  <c r="GC6" i="1"/>
  <c r="GC3" i="1" s="1"/>
  <c r="GD6" i="1"/>
  <c r="GD3" i="1" s="1"/>
  <c r="GE6" i="1"/>
  <c r="GF6" i="1"/>
  <c r="GG6" i="1"/>
  <c r="GH6" i="1"/>
  <c r="GI6" i="1"/>
  <c r="GJ6" i="1"/>
  <c r="GJ3" i="1" s="1"/>
  <c r="GK6" i="1"/>
  <c r="GK3" i="1" s="1"/>
  <c r="GL6" i="1"/>
  <c r="GL3" i="1" s="1"/>
  <c r="GM6" i="1"/>
  <c r="GM3" i="1" s="1"/>
  <c r="GN6" i="1"/>
  <c r="GN3" i="1" s="1"/>
  <c r="GO6" i="1"/>
  <c r="GO3" i="1" s="1"/>
  <c r="GP6" i="1"/>
  <c r="GP3" i="1" s="1"/>
  <c r="GQ6" i="1"/>
  <c r="GR6" i="1"/>
  <c r="GS6" i="1"/>
  <c r="GS3" i="1" s="1"/>
  <c r="E7" i="1"/>
  <c r="E4" i="1" s="1"/>
  <c r="F7" i="1"/>
  <c r="F4" i="1" s="1"/>
  <c r="G7" i="1"/>
  <c r="G4" i="1" s="1"/>
  <c r="H7" i="1"/>
  <c r="H4" i="1" s="1"/>
  <c r="I7" i="1"/>
  <c r="I4" i="1" s="1"/>
  <c r="J7" i="1"/>
  <c r="J4" i="1" s="1"/>
  <c r="K7" i="1"/>
  <c r="K4" i="1" s="1"/>
  <c r="L7" i="1"/>
  <c r="M7" i="1"/>
  <c r="M4" i="1" s="1"/>
  <c r="N7" i="1"/>
  <c r="N4" i="1" s="1"/>
  <c r="O7" i="1"/>
  <c r="O4" i="1" s="1"/>
  <c r="P7" i="1"/>
  <c r="P4" i="1" s="1"/>
  <c r="Q7" i="1"/>
  <c r="Q4" i="1" s="1"/>
  <c r="R7" i="1"/>
  <c r="R4" i="1" s="1"/>
  <c r="S7" i="1"/>
  <c r="S4" i="1" s="1"/>
  <c r="T7" i="1"/>
  <c r="T4" i="1" s="1"/>
  <c r="U7" i="1"/>
  <c r="U4" i="1" s="1"/>
  <c r="V7" i="1"/>
  <c r="V4" i="1" s="1"/>
  <c r="W7" i="1"/>
  <c r="W4" i="1" s="1"/>
  <c r="X7" i="1"/>
  <c r="Y7" i="1"/>
  <c r="Z7" i="1"/>
  <c r="Z4" i="1" s="1"/>
  <c r="AA7" i="1"/>
  <c r="AA4" i="1" s="1"/>
  <c r="AB7" i="1"/>
  <c r="AB4" i="1" s="1"/>
  <c r="AC7" i="1"/>
  <c r="AC4" i="1" s="1"/>
  <c r="AD7" i="1"/>
  <c r="AD4" i="1" s="1"/>
  <c r="AE7" i="1"/>
  <c r="AE4" i="1" s="1"/>
  <c r="AF7" i="1"/>
  <c r="AF4" i="1" s="1"/>
  <c r="AG7" i="1"/>
  <c r="AG4" i="1" s="1"/>
  <c r="AH7" i="1"/>
  <c r="AH4" i="1" s="1"/>
  <c r="AI7" i="1"/>
  <c r="AI4" i="1" s="1"/>
  <c r="AJ7" i="1"/>
  <c r="AK7" i="1"/>
  <c r="AL7" i="1"/>
  <c r="AL4" i="1" s="1"/>
  <c r="AM7" i="1"/>
  <c r="AM4" i="1" s="1"/>
  <c r="AN7" i="1"/>
  <c r="AN4" i="1" s="1"/>
  <c r="AO7" i="1"/>
  <c r="AO4" i="1" s="1"/>
  <c r="AP7" i="1"/>
  <c r="AP4" i="1" s="1"/>
  <c r="AQ7" i="1"/>
  <c r="AQ4" i="1" s="1"/>
  <c r="AR7" i="1"/>
  <c r="AR4" i="1" s="1"/>
  <c r="AS7" i="1"/>
  <c r="AS4" i="1" s="1"/>
  <c r="AT7" i="1"/>
  <c r="AT4" i="1" s="1"/>
  <c r="AU7" i="1"/>
  <c r="AU4" i="1" s="1"/>
  <c r="AV7" i="1"/>
  <c r="AW7" i="1"/>
  <c r="AX7" i="1"/>
  <c r="AX4" i="1" s="1"/>
  <c r="AY7" i="1"/>
  <c r="AY4" i="1" s="1"/>
  <c r="AZ7" i="1"/>
  <c r="AZ4" i="1" s="1"/>
  <c r="BA7" i="1"/>
  <c r="BA4" i="1" s="1"/>
  <c r="BB7" i="1"/>
  <c r="BB4" i="1" s="1"/>
  <c r="BC7" i="1"/>
  <c r="BC4" i="1" s="1"/>
  <c r="BD7" i="1"/>
  <c r="BD4" i="1" s="1"/>
  <c r="BE7" i="1"/>
  <c r="BE4" i="1" s="1"/>
  <c r="BF7" i="1"/>
  <c r="BF4" i="1" s="1"/>
  <c r="BG7" i="1"/>
  <c r="BG4" i="1" s="1"/>
  <c r="BH7" i="1"/>
  <c r="BI7" i="1"/>
  <c r="BJ7" i="1"/>
  <c r="BJ4" i="1" s="1"/>
  <c r="BK7" i="1"/>
  <c r="BK4" i="1" s="1"/>
  <c r="BL7" i="1"/>
  <c r="BL4" i="1" s="1"/>
  <c r="BM7" i="1"/>
  <c r="BM4" i="1" s="1"/>
  <c r="BN7" i="1"/>
  <c r="BN4" i="1" s="1"/>
  <c r="BO7" i="1"/>
  <c r="BO4" i="1" s="1"/>
  <c r="BP7" i="1"/>
  <c r="BP4" i="1" s="1"/>
  <c r="BQ7" i="1"/>
  <c r="BQ4" i="1" s="1"/>
  <c r="BR7" i="1"/>
  <c r="BR4" i="1" s="1"/>
  <c r="BS7" i="1"/>
  <c r="BS4" i="1" s="1"/>
  <c r="BT7" i="1"/>
  <c r="BU7" i="1"/>
  <c r="BV7" i="1"/>
  <c r="BV4" i="1" s="1"/>
  <c r="BW7" i="1"/>
  <c r="BW4" i="1" s="1"/>
  <c r="BX7" i="1"/>
  <c r="BX4" i="1" s="1"/>
  <c r="BY7" i="1"/>
  <c r="BY4" i="1" s="1"/>
  <c r="BZ7" i="1"/>
  <c r="BZ4" i="1" s="1"/>
  <c r="CA7" i="1"/>
  <c r="CA4" i="1" s="1"/>
  <c r="CB7" i="1"/>
  <c r="CB4" i="1" s="1"/>
  <c r="CC7" i="1"/>
  <c r="CC4" i="1" s="1"/>
  <c r="CD7" i="1"/>
  <c r="CD4" i="1" s="1"/>
  <c r="CE7" i="1"/>
  <c r="CE4" i="1" s="1"/>
  <c r="CF7" i="1"/>
  <c r="CG7" i="1"/>
  <c r="CH7" i="1"/>
  <c r="CH4" i="1" s="1"/>
  <c r="CI7" i="1"/>
  <c r="CI4" i="1" s="1"/>
  <c r="CJ7" i="1"/>
  <c r="CJ4" i="1" s="1"/>
  <c r="CK7" i="1"/>
  <c r="CK4" i="1" s="1"/>
  <c r="CL7" i="1"/>
  <c r="CL4" i="1" s="1"/>
  <c r="CM7" i="1"/>
  <c r="CM4" i="1" s="1"/>
  <c r="CN7" i="1"/>
  <c r="CN4" i="1" s="1"/>
  <c r="CO7" i="1"/>
  <c r="CO4" i="1" s="1"/>
  <c r="CP7" i="1"/>
  <c r="CP4" i="1" s="1"/>
  <c r="CQ7" i="1"/>
  <c r="CQ4" i="1" s="1"/>
  <c r="CR7" i="1"/>
  <c r="CS7" i="1"/>
  <c r="CT7" i="1"/>
  <c r="CT4" i="1" s="1"/>
  <c r="CU7" i="1"/>
  <c r="CU4" i="1" s="1"/>
  <c r="CV7" i="1"/>
  <c r="CV4" i="1" s="1"/>
  <c r="CW7" i="1"/>
  <c r="CW4" i="1" s="1"/>
  <c r="CX7" i="1"/>
  <c r="CX4" i="1" s="1"/>
  <c r="CY7" i="1"/>
  <c r="CY4" i="1" s="1"/>
  <c r="CZ7" i="1"/>
  <c r="CZ4" i="1" s="1"/>
  <c r="DA7" i="1"/>
  <c r="DA4" i="1" s="1"/>
  <c r="DB7" i="1"/>
  <c r="DB4" i="1" s="1"/>
  <c r="DC7" i="1"/>
  <c r="DC4" i="1" s="1"/>
  <c r="DD7" i="1"/>
  <c r="DE7" i="1"/>
  <c r="DF7" i="1"/>
  <c r="DF4" i="1" s="1"/>
  <c r="DG7" i="1"/>
  <c r="DG4" i="1" s="1"/>
  <c r="DH7" i="1"/>
  <c r="DH4" i="1" s="1"/>
  <c r="DI7" i="1"/>
  <c r="DI4" i="1" s="1"/>
  <c r="DJ7" i="1"/>
  <c r="DJ4" i="1" s="1"/>
  <c r="DK7" i="1"/>
  <c r="DK4" i="1" s="1"/>
  <c r="DL7" i="1"/>
  <c r="DL4" i="1" s="1"/>
  <c r="DM7" i="1"/>
  <c r="DM4" i="1" s="1"/>
  <c r="DN7" i="1"/>
  <c r="DN4" i="1" s="1"/>
  <c r="DO7" i="1"/>
  <c r="DO4" i="1" s="1"/>
  <c r="DP7" i="1"/>
  <c r="DQ7" i="1"/>
  <c r="DR7" i="1"/>
  <c r="DR4" i="1" s="1"/>
  <c r="DS7" i="1"/>
  <c r="DS4" i="1" s="1"/>
  <c r="DT7" i="1"/>
  <c r="DT4" i="1" s="1"/>
  <c r="DU7" i="1"/>
  <c r="DU4" i="1" s="1"/>
  <c r="DV7" i="1"/>
  <c r="DV4" i="1" s="1"/>
  <c r="DW7" i="1"/>
  <c r="DW4" i="1" s="1"/>
  <c r="DX7" i="1"/>
  <c r="DX4" i="1" s="1"/>
  <c r="DY7" i="1"/>
  <c r="DY4" i="1" s="1"/>
  <c r="DZ7" i="1"/>
  <c r="DZ4" i="1" s="1"/>
  <c r="EA7" i="1"/>
  <c r="EA4" i="1" s="1"/>
  <c r="EB7" i="1"/>
  <c r="EC7" i="1"/>
  <c r="ED7" i="1"/>
  <c r="ED4" i="1" s="1"/>
  <c r="EE7" i="1"/>
  <c r="EE4" i="1" s="1"/>
  <c r="EF7" i="1"/>
  <c r="EF4" i="1" s="1"/>
  <c r="EG7" i="1"/>
  <c r="EG4" i="1" s="1"/>
  <c r="EH7" i="1"/>
  <c r="EH4" i="1" s="1"/>
  <c r="EI7" i="1"/>
  <c r="EI4" i="1" s="1"/>
  <c r="EJ7" i="1"/>
  <c r="EJ4" i="1" s="1"/>
  <c r="EK7" i="1"/>
  <c r="EK4" i="1" s="1"/>
  <c r="EL7" i="1"/>
  <c r="EL4" i="1" s="1"/>
  <c r="EM7" i="1"/>
  <c r="EM4" i="1" s="1"/>
  <c r="EN7" i="1"/>
  <c r="EO7" i="1"/>
  <c r="EP7" i="1"/>
  <c r="EP4" i="1" s="1"/>
  <c r="EQ7" i="1"/>
  <c r="EQ4" i="1" s="1"/>
  <c r="ER7" i="1"/>
  <c r="ER4" i="1" s="1"/>
  <c r="ES7" i="1"/>
  <c r="ES4" i="1" s="1"/>
  <c r="ET7" i="1"/>
  <c r="ET4" i="1" s="1"/>
  <c r="EU7" i="1"/>
  <c r="EU4" i="1" s="1"/>
  <c r="EV7" i="1"/>
  <c r="EV4" i="1" s="1"/>
  <c r="EW7" i="1"/>
  <c r="EW4" i="1" s="1"/>
  <c r="EX7" i="1"/>
  <c r="EX4" i="1" s="1"/>
  <c r="EY7" i="1"/>
  <c r="EY4" i="1" s="1"/>
  <c r="EZ7" i="1"/>
  <c r="FA7" i="1"/>
  <c r="FB7" i="1"/>
  <c r="FB4" i="1" s="1"/>
  <c r="FC7" i="1"/>
  <c r="FC4" i="1" s="1"/>
  <c r="FD7" i="1"/>
  <c r="FD4" i="1" s="1"/>
  <c r="FE7" i="1"/>
  <c r="FE4" i="1" s="1"/>
  <c r="FF7" i="1"/>
  <c r="FF4" i="1" s="1"/>
  <c r="FG7" i="1"/>
  <c r="FG4" i="1" s="1"/>
  <c r="FH7" i="1"/>
  <c r="FH4" i="1" s="1"/>
  <c r="FI7" i="1"/>
  <c r="FI4" i="1" s="1"/>
  <c r="FJ7" i="1"/>
  <c r="FJ4" i="1" s="1"/>
  <c r="FK7" i="1"/>
  <c r="FK4" i="1" s="1"/>
  <c r="FL7" i="1"/>
  <c r="FM7" i="1"/>
  <c r="FN7" i="1"/>
  <c r="FN4" i="1" s="1"/>
  <c r="FO7" i="1"/>
  <c r="FO4" i="1" s="1"/>
  <c r="FP7" i="1"/>
  <c r="FP4" i="1" s="1"/>
  <c r="FQ7" i="1"/>
  <c r="FQ4" i="1" s="1"/>
  <c r="FR7" i="1"/>
  <c r="FR4" i="1" s="1"/>
  <c r="FS7" i="1"/>
  <c r="FS4" i="1" s="1"/>
  <c r="FT7" i="1"/>
  <c r="FT4" i="1" s="1"/>
  <c r="FU7" i="1"/>
  <c r="FU4" i="1" s="1"/>
  <c r="FV7" i="1"/>
  <c r="FV4" i="1" s="1"/>
  <c r="FW7" i="1"/>
  <c r="FW4" i="1" s="1"/>
  <c r="FX7" i="1"/>
  <c r="FY7" i="1"/>
  <c r="FZ7" i="1"/>
  <c r="FZ4" i="1" s="1"/>
  <c r="GA7" i="1"/>
  <c r="GA4" i="1" s="1"/>
  <c r="GB7" i="1"/>
  <c r="GB4" i="1" s="1"/>
  <c r="GC7" i="1"/>
  <c r="GC4" i="1" s="1"/>
  <c r="GD7" i="1"/>
  <c r="GD4" i="1" s="1"/>
  <c r="GE7" i="1"/>
  <c r="GE4" i="1" s="1"/>
  <c r="GF7" i="1"/>
  <c r="GF4" i="1" s="1"/>
  <c r="GG7" i="1"/>
  <c r="GG4" i="1" s="1"/>
  <c r="GH7" i="1"/>
  <c r="GH4" i="1" s="1"/>
  <c r="GI7" i="1"/>
  <c r="GI4" i="1" s="1"/>
  <c r="GJ7" i="1"/>
  <c r="GK7" i="1"/>
  <c r="GL7" i="1"/>
  <c r="GL4" i="1" s="1"/>
  <c r="GM7" i="1"/>
  <c r="GM4" i="1" s="1"/>
  <c r="GN7" i="1"/>
  <c r="GN4" i="1" s="1"/>
  <c r="GO7" i="1"/>
  <c r="GO4" i="1" s="1"/>
  <c r="GP7" i="1"/>
  <c r="GP4" i="1" s="1"/>
  <c r="GQ7" i="1"/>
  <c r="GQ4" i="1" s="1"/>
  <c r="GR7" i="1"/>
  <c r="GR4" i="1" s="1"/>
  <c r="GS7" i="1"/>
  <c r="GS4" i="1" s="1"/>
  <c r="D7" i="1"/>
  <c r="D4" i="1" s="1"/>
  <c r="D6" i="1"/>
  <c r="D3" i="1" s="1"/>
  <c r="GI3" i="1" l="1"/>
  <c r="GH3" i="1"/>
  <c r="GG3" i="1"/>
  <c r="GR3" i="1"/>
  <c r="GF3" i="1"/>
  <c r="FT3" i="1"/>
  <c r="FH3" i="1"/>
  <c r="EV3" i="1"/>
  <c r="EJ3" i="1"/>
  <c r="DX3" i="1"/>
  <c r="DL3" i="1"/>
  <c r="CZ3" i="1"/>
  <c r="CN3" i="1"/>
  <c r="CB3" i="1"/>
  <c r="BP3" i="1"/>
  <c r="BD3" i="1"/>
  <c r="AR3" i="1"/>
  <c r="AF3" i="1"/>
  <c r="T3" i="1"/>
  <c r="H3" i="1"/>
  <c r="GQ3" i="1"/>
  <c r="GE3" i="1"/>
  <c r="FS3" i="1"/>
  <c r="FG3" i="1"/>
  <c r="EU3" i="1"/>
  <c r="EI3" i="1"/>
  <c r="DW3" i="1"/>
  <c r="DK3" i="1"/>
  <c r="CY3" i="1"/>
  <c r="CM3" i="1"/>
  <c r="CA3" i="1"/>
  <c r="BO3" i="1"/>
  <c r="BC3" i="1"/>
  <c r="AQ3" i="1"/>
  <c r="AE3" i="1"/>
  <c r="S3" i="1"/>
  <c r="G3" i="1"/>
  <c r="GK4" i="1"/>
  <c r="FY4" i="1"/>
  <c r="FM4" i="1"/>
  <c r="FA4" i="1"/>
  <c r="EO4" i="1"/>
  <c r="EC4" i="1"/>
  <c r="DQ4" i="1"/>
  <c r="DE4" i="1"/>
  <c r="CS4" i="1"/>
  <c r="CG4" i="1"/>
  <c r="BU4" i="1"/>
  <c r="BI4" i="1"/>
  <c r="AW4" i="1"/>
  <c r="AK4" i="1"/>
  <c r="Y4" i="1"/>
  <c r="FR3" i="1"/>
  <c r="FF3" i="1"/>
  <c r="ET3" i="1"/>
  <c r="EH3" i="1"/>
  <c r="DV3" i="1"/>
  <c r="DJ3" i="1"/>
  <c r="CX3" i="1"/>
  <c r="CL3" i="1"/>
  <c r="BZ3" i="1"/>
  <c r="BN3" i="1"/>
  <c r="BB3" i="1"/>
  <c r="AP3" i="1"/>
  <c r="AD3" i="1"/>
  <c r="R3" i="1"/>
  <c r="GJ4" i="1"/>
  <c r="FX4" i="1"/>
  <c r="FL4" i="1"/>
  <c r="EZ4" i="1"/>
  <c r="EN4" i="1"/>
  <c r="EB4" i="1"/>
  <c r="DP4" i="1"/>
  <c r="DD4" i="1"/>
  <c r="CR4" i="1"/>
  <c r="CF4" i="1"/>
  <c r="BT4" i="1"/>
  <c r="BH4" i="1"/>
  <c r="AV4" i="1"/>
  <c r="AJ4" i="1"/>
  <c r="X4" i="1"/>
  <c r="L4" i="1"/>
  <c r="FQ3" i="1"/>
  <c r="FE3" i="1"/>
  <c r="ES3" i="1"/>
  <c r="EG3" i="1"/>
  <c r="DU3" i="1"/>
  <c r="DI3" i="1"/>
  <c r="CW3" i="1"/>
  <c r="CK3" i="1"/>
  <c r="BY3" i="1"/>
  <c r="BM3" i="1"/>
  <c r="BA3" i="1"/>
  <c r="AO3" i="1"/>
  <c r="AC3" i="1"/>
  <c r="Q3" i="1"/>
</calcChain>
</file>

<file path=xl/sharedStrings.xml><?xml version="1.0" encoding="utf-8"?>
<sst xmlns="http://schemas.openxmlformats.org/spreadsheetml/2006/main" count="2622" uniqueCount="450">
  <si>
    <t>시도</t>
  </si>
  <si>
    <t>시군구</t>
  </si>
  <si>
    <t>성별</t>
  </si>
  <si>
    <t>총합계</t>
  </si>
  <si>
    <t>베트남</t>
  </si>
  <si>
    <t>한국계중국인</t>
  </si>
  <si>
    <t>중국</t>
  </si>
  <si>
    <t>네팔</t>
  </si>
  <si>
    <t>우즈베키스탄</t>
  </si>
  <si>
    <t>캄보디아</t>
  </si>
  <si>
    <t>인도네시아</t>
  </si>
  <si>
    <t>미얀마</t>
  </si>
  <si>
    <t>필리핀</t>
  </si>
  <si>
    <t>타이</t>
  </si>
  <si>
    <t>몽골</t>
  </si>
  <si>
    <t>미국</t>
  </si>
  <si>
    <t>스리랑카</t>
  </si>
  <si>
    <t>방글라데시</t>
  </si>
  <si>
    <t>일본</t>
  </si>
  <si>
    <t>러시아(연방)</t>
  </si>
  <si>
    <t>카자흐스탄</t>
  </si>
  <si>
    <t>파키스탄</t>
  </si>
  <si>
    <t>타이완</t>
  </si>
  <si>
    <t>인도</t>
  </si>
  <si>
    <t>라오스</t>
  </si>
  <si>
    <t>키르기즈</t>
  </si>
  <si>
    <t>프랑스</t>
  </si>
  <si>
    <t>말레이시아</t>
  </si>
  <si>
    <t>영국</t>
  </si>
  <si>
    <t>남아프리카공화국</t>
  </si>
  <si>
    <t>티모르민주공화국</t>
  </si>
  <si>
    <t>캐나다</t>
  </si>
  <si>
    <t>튀르키예</t>
  </si>
  <si>
    <t>독일</t>
  </si>
  <si>
    <t>이집트</t>
  </si>
  <si>
    <t>한국계러시아인</t>
  </si>
  <si>
    <t>나이지리아</t>
  </si>
  <si>
    <t>우크라이나</t>
  </si>
  <si>
    <t>홍콩</t>
  </si>
  <si>
    <t>오스트레일리아</t>
  </si>
  <si>
    <t>타지키스탄</t>
  </si>
  <si>
    <t>시리아</t>
  </si>
  <si>
    <t>모로코</t>
  </si>
  <si>
    <t>에티오피아</t>
  </si>
  <si>
    <t>브라질</t>
  </si>
  <si>
    <t>이탈리아</t>
  </si>
  <si>
    <t>이란</t>
  </si>
  <si>
    <t>가나</t>
  </si>
  <si>
    <t>스페인</t>
  </si>
  <si>
    <t>예멘공화국</t>
  </si>
  <si>
    <t>멕시코</t>
  </si>
  <si>
    <t>아프가니스탄</t>
  </si>
  <si>
    <t>싱가포르</t>
  </si>
  <si>
    <t>사우디아라비아</t>
  </si>
  <si>
    <t>네덜란드</t>
  </si>
  <si>
    <t>리비아</t>
  </si>
  <si>
    <t>카메룬</t>
  </si>
  <si>
    <t>르완다</t>
  </si>
  <si>
    <t>뉴질랜드</t>
  </si>
  <si>
    <t>폴란드</t>
  </si>
  <si>
    <t>튀니지</t>
  </si>
  <si>
    <t>투르크메니스탄</t>
  </si>
  <si>
    <t>부룬디</t>
  </si>
  <si>
    <t>케냐</t>
  </si>
  <si>
    <t>탄자니아</t>
  </si>
  <si>
    <t>콜롬비아</t>
  </si>
  <si>
    <t>요르단</t>
  </si>
  <si>
    <t>우간다</t>
  </si>
  <si>
    <t>알제리</t>
  </si>
  <si>
    <t>스웨덴</t>
  </si>
  <si>
    <t>아일랜드</t>
  </si>
  <si>
    <t>이라크</t>
  </si>
  <si>
    <t>아제르바이잔</t>
  </si>
  <si>
    <t>페루</t>
  </si>
  <si>
    <t>벨기에</t>
  </si>
  <si>
    <t>라이베리아</t>
  </si>
  <si>
    <t>콩고민주공화국</t>
  </si>
  <si>
    <t>덴마크</t>
  </si>
  <si>
    <t>스위스</t>
  </si>
  <si>
    <t>수단</t>
  </si>
  <si>
    <t>루마니아</t>
  </si>
  <si>
    <t>벨라루스</t>
  </si>
  <si>
    <t>에콰도르</t>
  </si>
  <si>
    <t>노르웨이</t>
  </si>
  <si>
    <t>칠레</t>
  </si>
  <si>
    <t>세네갈</t>
  </si>
  <si>
    <t>헝가리</t>
  </si>
  <si>
    <t>핀란드</t>
  </si>
  <si>
    <t>오스트리아</t>
  </si>
  <si>
    <t>이스라엘</t>
  </si>
  <si>
    <t>기니</t>
  </si>
  <si>
    <t>아랍에미리트연합</t>
  </si>
  <si>
    <t>말리</t>
  </si>
  <si>
    <t>포르투갈</t>
  </si>
  <si>
    <t>그리스</t>
  </si>
  <si>
    <t>코트디부아르</t>
  </si>
  <si>
    <t>아르헨티나</t>
  </si>
  <si>
    <t>체코</t>
  </si>
  <si>
    <t>리투아니아</t>
  </si>
  <si>
    <t>베네수엘라</t>
  </si>
  <si>
    <t>불가리아</t>
  </si>
  <si>
    <t>아이티</t>
  </si>
  <si>
    <t>마카오</t>
  </si>
  <si>
    <t>조지아</t>
  </si>
  <si>
    <t>짐바브웨</t>
  </si>
  <si>
    <t>팔레스타인</t>
  </si>
  <si>
    <t>감비아</t>
  </si>
  <si>
    <t>가봉</t>
  </si>
  <si>
    <t>시에라리온</t>
  </si>
  <si>
    <t>앙골라</t>
  </si>
  <si>
    <t>슬로바크</t>
  </si>
  <si>
    <t>잠비아</t>
  </si>
  <si>
    <t>아르메니아</t>
  </si>
  <si>
    <t>크로아티아</t>
  </si>
  <si>
    <t>브루나이</t>
  </si>
  <si>
    <t>도미니카공화국</t>
  </si>
  <si>
    <t>파라과이</t>
  </si>
  <si>
    <t>라트비아</t>
  </si>
  <si>
    <t>코스타리카</t>
  </si>
  <si>
    <t>파나마</t>
  </si>
  <si>
    <t>과테말라</t>
  </si>
  <si>
    <t>영국외지민</t>
  </si>
  <si>
    <t>세르비아</t>
  </si>
  <si>
    <t>볼리비아</t>
  </si>
  <si>
    <t>말라위</t>
  </si>
  <si>
    <t>엘살바도르</t>
  </si>
  <si>
    <t>카타르</t>
  </si>
  <si>
    <t>부르키나파소</t>
  </si>
  <si>
    <t>몰도바</t>
  </si>
  <si>
    <t>온두라스</t>
  </si>
  <si>
    <t>마다가스카르</t>
  </si>
  <si>
    <t>레바논</t>
  </si>
  <si>
    <t>룩셈부르크</t>
  </si>
  <si>
    <t>오만</t>
  </si>
  <si>
    <t>에스토니아</t>
  </si>
  <si>
    <t>모잠비크</t>
  </si>
  <si>
    <t>슬로베니아</t>
  </si>
  <si>
    <t>쿠바</t>
  </si>
  <si>
    <t>토고</t>
  </si>
  <si>
    <t>우루과이</t>
  </si>
  <si>
    <t>니카라과</t>
  </si>
  <si>
    <t>쿠웨이트</t>
  </si>
  <si>
    <t>콩고</t>
  </si>
  <si>
    <t>부탄</t>
  </si>
  <si>
    <t>알바니아</t>
  </si>
  <si>
    <t>남수단공화국</t>
  </si>
  <si>
    <t>트리니다드토바고</t>
  </si>
  <si>
    <t>자메이카</t>
  </si>
  <si>
    <t>피지</t>
  </si>
  <si>
    <t>보츠와나</t>
  </si>
  <si>
    <t>베냉</t>
  </si>
  <si>
    <t>소말리아</t>
  </si>
  <si>
    <t>바레인</t>
  </si>
  <si>
    <t>모리타니</t>
  </si>
  <si>
    <t>바누아투</t>
  </si>
  <si>
    <t>도미니카연방</t>
  </si>
  <si>
    <t>가이아나</t>
  </si>
  <si>
    <t>키프로스</t>
  </si>
  <si>
    <t>중앙아프리카공화국</t>
  </si>
  <si>
    <t>레소토</t>
  </si>
  <si>
    <t>보스니아-헤르체고비나</t>
  </si>
  <si>
    <t>니제르</t>
  </si>
  <si>
    <t>파푸아뉴기니</t>
  </si>
  <si>
    <t>적도기니</t>
  </si>
  <si>
    <t>에스와티니</t>
  </si>
  <si>
    <t>솔로몬군도</t>
  </si>
  <si>
    <t>세인트크리스토퍼네비스</t>
  </si>
  <si>
    <t>바하마</t>
  </si>
  <si>
    <t>북마케도니아</t>
  </si>
  <si>
    <t>모리셔스</t>
  </si>
  <si>
    <t>몬테네그로</t>
  </si>
  <si>
    <t>기니비사우</t>
  </si>
  <si>
    <t>아이슬란드</t>
  </si>
  <si>
    <t>마샬군도</t>
  </si>
  <si>
    <t>에리트레아</t>
  </si>
  <si>
    <t>몰타</t>
  </si>
  <si>
    <t>코소보</t>
  </si>
  <si>
    <t>그레나다</t>
  </si>
  <si>
    <t>키리바시</t>
  </si>
  <si>
    <t>차드</t>
  </si>
  <si>
    <t>통가</t>
  </si>
  <si>
    <t>세인트루시아</t>
  </si>
  <si>
    <t>바베이도스</t>
  </si>
  <si>
    <t>미이크로네시아</t>
  </si>
  <si>
    <t>팔라우</t>
  </si>
  <si>
    <t>코모로</t>
  </si>
  <si>
    <t>지부티</t>
  </si>
  <si>
    <t>영국해외영토시민</t>
  </si>
  <si>
    <t>앤티카바부다</t>
  </si>
  <si>
    <t>안도라</t>
  </si>
  <si>
    <t>벨리즈</t>
  </si>
  <si>
    <t>몰디브</t>
  </si>
  <si>
    <t>나미비아</t>
  </si>
  <si>
    <t>영국외지시민</t>
  </si>
  <si>
    <t>리히텐슈타인</t>
  </si>
  <si>
    <t>교황청</t>
  </si>
  <si>
    <t>홍콩거주난민</t>
  </si>
  <si>
    <t>세인트빈센트그레나딘</t>
  </si>
  <si>
    <t>모나코</t>
  </si>
  <si>
    <t>나우루</t>
  </si>
  <si>
    <t>총계</t>
  </si>
  <si>
    <t>경기도</t>
  </si>
  <si>
    <t>가평군</t>
  </si>
  <si>
    <t>남성</t>
  </si>
  <si>
    <t>여성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</si>
  <si>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</si>
  <si>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</si>
  <si>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</si>
  <si>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</si>
  <si>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</si>
  <si>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</si>
  <si>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</si>
  <si>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</si>
  <si>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</si>
  <si>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</si>
  <si>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</si>
  <si>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</si>
  <si>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</si>
  <si>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</si>
  <si>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</si>
  <si>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</si>
  <si>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</si>
  <si>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</si>
  <si>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</si>
  <si>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</si>
  <si>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</si>
  <si>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</si>
  <si>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</si>
  <si>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</si>
  <si>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</si>
  <si>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</si>
  <si>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</si>
  <si>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</si>
  <si>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</si>
  <si>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</si>
  <si>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</si>
  <si>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</si>
  <si>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</si>
  <si>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</si>
  <si>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</si>
  <si>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</si>
  <si>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</si>
  <si>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</si>
  <si>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</si>
  <si>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</si>
  <si>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</si>
  <si>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</si>
  <si>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</si>
  <si>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경상남도</t>
  </si>
  <si>
    <t>거제시</t>
  </si>
  <si>
    <t>거창군</t>
  </si>
  <si>
    <t>고성군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</si>
  <si>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</si>
  <si>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</si>
  <si>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</si>
  <si>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</si>
  <si>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</si>
  <si>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</si>
  <si>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</si>
  <si>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</si>
  <si>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</si>
  <si>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</si>
  <si>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</si>
  <si>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</si>
  <si>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</si>
  <si>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</si>
  <si>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</si>
  <si>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</si>
  <si>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</si>
  <si>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</si>
  <si>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</si>
  <si>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</si>
  <si>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</si>
  <si>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</si>
  <si>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</si>
  <si>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</si>
  <si>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</si>
  <si>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</si>
  <si>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</si>
  <si>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</si>
  <si>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</si>
  <si>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</si>
  <si>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</si>
  <si>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</si>
  <si>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</si>
  <si>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</si>
  <si>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</si>
  <si>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</si>
  <si>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</si>
  <si>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</si>
  <si>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</si>
  <si>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</si>
  <si>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</si>
  <si>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</si>
  <si>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</si>
  <si>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</si>
  <si>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</si>
  <si>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</si>
  <si>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</si>
  <si>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</si>
  <si>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</si>
  <si>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</si>
  <si>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</si>
  <si>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</si>
  <si>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</si>
  <si>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</si>
  <si>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</si>
  <si>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</si>
  <si>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</si>
  <si>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</si>
  <si>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</si>
  <si>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</si>
  <si>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</si>
  <si>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</si>
  <si>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</si>
  <si>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</si>
  <si>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</si>
  <si>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</si>
  <si>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</si>
  <si>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</si>
  <si>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</si>
  <si>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</si>
  <si>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</si>
  <si>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</si>
  <si>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</si>
  <si>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</si>
  <si>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</si>
  <si>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</si>
  <si>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</si>
  <si>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</si>
  <si>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</si>
  <si>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</si>
  <si>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</si>
  <si>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</si>
  <si>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</si>
  <si>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</si>
  <si>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</si>
  <si>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</si>
  <si>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</si>
  <si>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</si>
  <si>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</si>
  <si>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</si>
  <si>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</si>
  <si>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</si>
  <si>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</si>
  <si>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</si>
  <si>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</si>
  <si>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</si>
  <si>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</si>
  <si>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</si>
  <si>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</si>
  <si>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</si>
  <si>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</si>
  <si>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</si>
  <si>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</si>
  <si>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</si>
  <si>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</si>
  <si>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</si>
  <si>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</si>
  <si>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</si>
  <si>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</si>
  <si>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</si>
  <si>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</si>
  <si>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</si>
  <si>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</si>
  <si>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</si>
  <si>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</si>
  <si>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</si>
  <si>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</si>
  <si>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</si>
  <si>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</si>
  <si>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</si>
  <si>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</si>
  <si>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</si>
  <si>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</si>
  <si>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</si>
  <si>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</si>
  <si>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</si>
  <si>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</si>
  <si>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</si>
  <si>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</si>
  <si>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</si>
  <si>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</si>
  <si>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</si>
  <si>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</si>
  <si>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</si>
  <si>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</si>
  <si>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</si>
  <si>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</si>
  <si>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</si>
  <si>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</si>
  <si>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</si>
  <si>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</si>
  <si>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</si>
  <si>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</si>
  <si>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</si>
  <si>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</si>
  <si>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</si>
  <si>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</si>
  <si>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</si>
  <si>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</si>
  <si>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</si>
  <si>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</si>
  <si>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</si>
  <si>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</si>
  <si>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</si>
  <si>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</si>
  <si>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</si>
  <si>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</si>
  <si>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</si>
  <si>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</si>
  <si>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</si>
  <si>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</si>
  <si>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</si>
  <si>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</si>
  <si>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강원특별자치도</t>
  </si>
  <si>
    <t>강릉시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</si>
  <si>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</si>
  <si>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</si>
  <si>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</si>
  <si>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</si>
  <si>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</si>
  <si>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</si>
  <si>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</si>
  <si>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</si>
  <si>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</si>
  <si>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</si>
  <si>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</si>
  <si>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</si>
  <si>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</si>
  <si>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</si>
  <si>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</si>
  <si>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</si>
  <si>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</si>
  <si>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</si>
  <si>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</si>
  <si>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</si>
  <si>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</si>
  <si>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</si>
  <si>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</si>
  <si>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</si>
  <si>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</si>
  <si>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</si>
  <si>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</si>
  <si>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</si>
  <si>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</si>
  <si>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</si>
  <si>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</si>
  <si>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</si>
  <si>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기타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</si>
</sst>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S808"/>
  <sheetViews>
    <sheetView tabSelected="1" workbookViewId="0"/>
  </sheetViews>
  <sheetFormatPr defaultRowHeight="16.5" x14ac:dyDescent="0.3"/>
  <cols>
    <col min="4" max="201" width="11.625" customWidth="1"/>
  </cols>
  <sheetData>
    <row r="1" spans="1:20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449</v>
      </c>
    </row>
    <row r="2" spans="1:201" x14ac:dyDescent="0.3">
      <c r="A2" t="s">
        <v>3</v>
      </c>
      <c r="B2" t="s">
        <v>200</v>
      </c>
      <c r="C2" t="s">
        <v>200</v>
      </c>
      <c r="D2" s="1">
        <v>1604920</v>
      </c>
      <c r="E2" s="1">
        <v>293907</v>
      </c>
      <c r="F2" s="1">
        <v>251037</v>
      </c>
      <c r="G2" s="1">
        <v>226628</v>
      </c>
      <c r="H2" s="1">
        <v>89521</v>
      </c>
      <c r="I2" s="1">
        <v>69317</v>
      </c>
      <c r="J2" s="1">
        <v>65220</v>
      </c>
      <c r="K2" s="1">
        <v>62021</v>
      </c>
      <c r="L2" s="1">
        <v>58016</v>
      </c>
      <c r="M2" s="1">
        <v>54866</v>
      </c>
      <c r="N2" s="1">
        <v>45892</v>
      </c>
      <c r="O2" s="1">
        <v>42049</v>
      </c>
      <c r="P2" s="1">
        <v>37027</v>
      </c>
      <c r="Q2" s="1">
        <v>36951</v>
      </c>
      <c r="R2" s="1">
        <v>32407</v>
      </c>
      <c r="S2" s="1">
        <v>29350</v>
      </c>
      <c r="T2" s="1">
        <v>22138</v>
      </c>
      <c r="U2" s="1">
        <v>20009</v>
      </c>
      <c r="V2" s="1">
        <v>17395</v>
      </c>
      <c r="W2" s="1">
        <v>17187</v>
      </c>
      <c r="X2" s="1">
        <v>15837</v>
      </c>
      <c r="Y2" s="1">
        <v>11543</v>
      </c>
      <c r="Z2" s="1">
        <v>9170</v>
      </c>
      <c r="AA2" s="1">
        <v>5552</v>
      </c>
      <c r="AB2" s="1">
        <v>5406</v>
      </c>
      <c r="AC2" s="1">
        <v>5169</v>
      </c>
      <c r="AD2" s="1">
        <v>4979</v>
      </c>
      <c r="AE2" s="1">
        <v>4679</v>
      </c>
      <c r="AF2" s="1">
        <v>4602</v>
      </c>
      <c r="AG2" s="1">
        <v>3477</v>
      </c>
      <c r="AH2" s="1">
        <v>3168</v>
      </c>
      <c r="AI2" s="1">
        <v>3003</v>
      </c>
      <c r="AJ2" s="1">
        <v>2712</v>
      </c>
      <c r="AK2" s="1">
        <v>2649</v>
      </c>
      <c r="AL2" s="1">
        <v>2583</v>
      </c>
      <c r="AM2" s="1">
        <v>2284</v>
      </c>
      <c r="AN2" s="1">
        <v>2128</v>
      </c>
      <c r="AO2" s="1">
        <v>2040</v>
      </c>
      <c r="AP2" s="1">
        <v>1926</v>
      </c>
      <c r="AQ2" s="1">
        <v>1711</v>
      </c>
      <c r="AR2" s="1">
        <v>1591</v>
      </c>
      <c r="AS2" s="1">
        <v>1551</v>
      </c>
      <c r="AT2" s="1">
        <v>1483</v>
      </c>
      <c r="AU2" s="1">
        <v>1439</v>
      </c>
      <c r="AV2" s="1">
        <v>1371</v>
      </c>
      <c r="AW2" s="1">
        <v>1339</v>
      </c>
      <c r="AX2" s="1">
        <v>1234</v>
      </c>
      <c r="AY2" s="1">
        <v>1119</v>
      </c>
      <c r="AZ2">
        <v>920</v>
      </c>
      <c r="BA2">
        <v>918</v>
      </c>
      <c r="BB2">
        <v>872</v>
      </c>
      <c r="BC2">
        <v>864</v>
      </c>
      <c r="BD2">
        <v>832</v>
      </c>
      <c r="BE2">
        <v>765</v>
      </c>
      <c r="BF2">
        <v>762</v>
      </c>
      <c r="BG2">
        <v>749</v>
      </c>
      <c r="BH2">
        <v>741</v>
      </c>
      <c r="BI2">
        <v>734</v>
      </c>
      <c r="BJ2">
        <v>695</v>
      </c>
      <c r="BK2">
        <v>695</v>
      </c>
      <c r="BL2">
        <v>693</v>
      </c>
      <c r="BM2">
        <v>676</v>
      </c>
      <c r="BN2">
        <v>646</v>
      </c>
      <c r="BO2">
        <v>610</v>
      </c>
      <c r="BP2">
        <v>600</v>
      </c>
      <c r="BQ2">
        <v>574</v>
      </c>
      <c r="BR2">
        <v>569</v>
      </c>
      <c r="BS2">
        <v>568</v>
      </c>
      <c r="BT2">
        <v>565</v>
      </c>
      <c r="BU2">
        <v>535</v>
      </c>
      <c r="BV2">
        <v>510</v>
      </c>
      <c r="BW2">
        <v>492</v>
      </c>
      <c r="BX2">
        <v>487</v>
      </c>
      <c r="BY2">
        <v>421</v>
      </c>
      <c r="BZ2">
        <v>394</v>
      </c>
      <c r="CA2">
        <v>385</v>
      </c>
      <c r="CB2">
        <v>358</v>
      </c>
      <c r="CC2">
        <v>332</v>
      </c>
      <c r="CD2">
        <v>330</v>
      </c>
      <c r="CE2">
        <v>325</v>
      </c>
      <c r="CF2">
        <v>323</v>
      </c>
      <c r="CG2">
        <v>321</v>
      </c>
      <c r="CH2">
        <v>294</v>
      </c>
      <c r="CI2">
        <v>289</v>
      </c>
      <c r="CJ2">
        <v>285</v>
      </c>
      <c r="CK2">
        <v>256</v>
      </c>
      <c r="CL2">
        <v>250</v>
      </c>
      <c r="CM2">
        <v>246</v>
      </c>
      <c r="CN2">
        <v>236</v>
      </c>
      <c r="CO2">
        <v>236</v>
      </c>
      <c r="CP2">
        <v>235</v>
      </c>
      <c r="CQ2">
        <v>231</v>
      </c>
      <c r="CR2">
        <v>229</v>
      </c>
      <c r="CS2">
        <v>224</v>
      </c>
      <c r="CT2">
        <v>213</v>
      </c>
      <c r="CU2">
        <v>183</v>
      </c>
      <c r="CV2">
        <v>170</v>
      </c>
      <c r="CW2">
        <v>167</v>
      </c>
      <c r="CX2">
        <v>151</v>
      </c>
      <c r="CY2">
        <v>137</v>
      </c>
      <c r="CZ2">
        <v>132</v>
      </c>
      <c r="DA2">
        <v>124</v>
      </c>
      <c r="DB2">
        <v>115</v>
      </c>
      <c r="DC2">
        <v>115</v>
      </c>
      <c r="DD2">
        <v>114</v>
      </c>
      <c r="DE2">
        <v>113</v>
      </c>
      <c r="DF2">
        <v>101</v>
      </c>
      <c r="DG2">
        <v>100</v>
      </c>
      <c r="DH2">
        <v>93</v>
      </c>
      <c r="DI2">
        <v>93</v>
      </c>
      <c r="DJ2">
        <v>91</v>
      </c>
      <c r="DK2">
        <v>91</v>
      </c>
      <c r="DL2">
        <v>88</v>
      </c>
      <c r="DM2">
        <v>87</v>
      </c>
      <c r="DN2">
        <v>87</v>
      </c>
      <c r="DO2">
        <v>86</v>
      </c>
      <c r="DP2">
        <v>83</v>
      </c>
      <c r="DQ2">
        <v>81</v>
      </c>
      <c r="DR2">
        <v>80</v>
      </c>
      <c r="DS2">
        <v>77</v>
      </c>
      <c r="DT2">
        <v>72</v>
      </c>
      <c r="DU2">
        <v>69</v>
      </c>
      <c r="DV2">
        <v>68</v>
      </c>
      <c r="DW2">
        <v>67</v>
      </c>
      <c r="DX2">
        <v>66</v>
      </c>
      <c r="DY2">
        <v>66</v>
      </c>
      <c r="DZ2">
        <v>65</v>
      </c>
      <c r="EA2">
        <v>61</v>
      </c>
      <c r="EB2">
        <v>60</v>
      </c>
      <c r="EC2">
        <v>58</v>
      </c>
      <c r="ED2">
        <v>55</v>
      </c>
      <c r="EE2">
        <v>55</v>
      </c>
      <c r="EF2">
        <v>54</v>
      </c>
      <c r="EG2">
        <v>52</v>
      </c>
      <c r="EH2">
        <v>51</v>
      </c>
      <c r="EI2">
        <v>46</v>
      </c>
      <c r="EJ2">
        <v>43</v>
      </c>
      <c r="EK2">
        <v>42</v>
      </c>
      <c r="EL2">
        <v>40</v>
      </c>
      <c r="EM2">
        <v>40</v>
      </c>
      <c r="EN2">
        <v>38</v>
      </c>
      <c r="EO2">
        <v>37</v>
      </c>
      <c r="EP2">
        <v>36</v>
      </c>
      <c r="EQ2">
        <v>31</v>
      </c>
      <c r="ER2">
        <v>31</v>
      </c>
      <c r="ES2">
        <v>28</v>
      </c>
      <c r="ET2">
        <v>23</v>
      </c>
      <c r="EU2">
        <v>23</v>
      </c>
      <c r="EV2">
        <v>22</v>
      </c>
      <c r="EW2">
        <v>22</v>
      </c>
      <c r="EX2">
        <v>22</v>
      </c>
      <c r="EY2">
        <v>20</v>
      </c>
      <c r="EZ2">
        <v>19</v>
      </c>
      <c r="FA2">
        <v>18</v>
      </c>
      <c r="FB2">
        <v>16</v>
      </c>
      <c r="FC2">
        <v>15</v>
      </c>
      <c r="FD2">
        <v>15</v>
      </c>
      <c r="FE2">
        <v>14</v>
      </c>
      <c r="FF2">
        <v>14</v>
      </c>
      <c r="FG2">
        <v>13</v>
      </c>
      <c r="FH2">
        <v>12</v>
      </c>
      <c r="FI2">
        <v>12</v>
      </c>
      <c r="FJ2">
        <v>12</v>
      </c>
      <c r="FK2">
        <v>12</v>
      </c>
      <c r="FL2">
        <v>12</v>
      </c>
      <c r="FM2">
        <v>11</v>
      </c>
      <c r="FN2">
        <v>11</v>
      </c>
      <c r="FO2">
        <v>10</v>
      </c>
      <c r="FP2">
        <v>10</v>
      </c>
      <c r="FQ2">
        <v>9</v>
      </c>
      <c r="FR2">
        <v>9</v>
      </c>
      <c r="FS2">
        <v>8</v>
      </c>
      <c r="FT2">
        <v>8</v>
      </c>
      <c r="FU2">
        <v>6</v>
      </c>
      <c r="FV2">
        <v>6</v>
      </c>
      <c r="FW2">
        <v>5</v>
      </c>
      <c r="FX2">
        <v>5</v>
      </c>
      <c r="FY2">
        <v>4</v>
      </c>
      <c r="FZ2">
        <v>4</v>
      </c>
      <c r="GA2">
        <v>4</v>
      </c>
      <c r="GB2">
        <v>4</v>
      </c>
      <c r="GC2">
        <v>3</v>
      </c>
      <c r="GD2">
        <v>3</v>
      </c>
      <c r="GE2">
        <v>3</v>
      </c>
      <c r="GF2">
        <v>3</v>
      </c>
      <c r="GG2">
        <v>3</v>
      </c>
      <c r="GH2">
        <v>3</v>
      </c>
      <c r="GI2">
        <v>3</v>
      </c>
      <c r="GJ2">
        <v>3</v>
      </c>
      <c r="GK2">
        <v>3</v>
      </c>
      <c r="GL2">
        <v>2</v>
      </c>
      <c r="GM2">
        <v>2</v>
      </c>
      <c r="GN2">
        <v>2</v>
      </c>
      <c r="GO2">
        <v>1</v>
      </c>
      <c r="GP2">
        <v>1</v>
      </c>
      <c r="GQ2">
        <v>1</v>
      </c>
      <c r="GR2">
        <v>1</v>
      </c>
      <c r="GS2">
        <v>195</v>
      </c>
    </row>
    <row r="3" spans="1:201" x14ac:dyDescent="0.3">
      <c r="A3" t="s">
        <v>3</v>
      </c>
      <c r="B3" t="s">
        <v>200</v>
      </c>
      <c r="C3" t="s">
        <v>203</v>
      </c>
      <c r="D3" s="1">
        <f>D6+D141+D210+D282+D300+D330+D348+D399+D477+D480+D498+D531+D600+D609+D660+D705+D762</f>
        <v>934620</v>
      </c>
      <c r="E3" s="1">
        <f t="shared" ref="E3:BP3" si="0">E6+E141+E210+E282+E300+E330+E348+E399+E477+E480+E498+E531+E600+E609+E660+E705+E762</f>
        <v>154256</v>
      </c>
      <c r="F3" s="1">
        <f t="shared" si="0"/>
        <v>141975</v>
      </c>
      <c r="G3" s="1">
        <f t="shared" si="0"/>
        <v>87615</v>
      </c>
      <c r="H3" s="1">
        <f t="shared" si="0"/>
        <v>70906</v>
      </c>
      <c r="I3" s="1">
        <f t="shared" si="0"/>
        <v>50203</v>
      </c>
      <c r="J3" s="1">
        <f t="shared" si="0"/>
        <v>45191</v>
      </c>
      <c r="K3" s="1">
        <f t="shared" si="0"/>
        <v>55252</v>
      </c>
      <c r="L3" s="1">
        <f t="shared" si="0"/>
        <v>47852</v>
      </c>
      <c r="M3" s="1">
        <f t="shared" si="0"/>
        <v>32081</v>
      </c>
      <c r="N3" s="1">
        <f t="shared" si="0"/>
        <v>27067</v>
      </c>
      <c r="O3" s="1">
        <f t="shared" si="0"/>
        <v>18814</v>
      </c>
      <c r="P3" s="1">
        <f t="shared" si="0"/>
        <v>20049</v>
      </c>
      <c r="Q3" s="1">
        <f t="shared" si="0"/>
        <v>32353</v>
      </c>
      <c r="R3" s="1">
        <f t="shared" si="0"/>
        <v>26580</v>
      </c>
      <c r="S3" s="1">
        <f t="shared" si="0"/>
        <v>5484</v>
      </c>
      <c r="T3" s="1">
        <f t="shared" si="0"/>
        <v>10315</v>
      </c>
      <c r="U3" s="1">
        <f t="shared" si="0"/>
        <v>9860</v>
      </c>
      <c r="V3" s="1">
        <f t="shared" si="0"/>
        <v>13939</v>
      </c>
      <c r="W3" s="1">
        <f t="shared" si="0"/>
        <v>7666</v>
      </c>
      <c r="X3" s="1">
        <f t="shared" si="0"/>
        <v>10880</v>
      </c>
      <c r="Y3" s="1">
        <f t="shared" si="0"/>
        <v>6917</v>
      </c>
      <c r="Z3" s="1">
        <f t="shared" si="0"/>
        <v>5658</v>
      </c>
      <c r="AA3" s="1">
        <f t="shared" si="0"/>
        <v>2758</v>
      </c>
      <c r="AB3" s="1">
        <f t="shared" si="0"/>
        <v>2778</v>
      </c>
      <c r="AC3" s="1">
        <f t="shared" si="0"/>
        <v>2982</v>
      </c>
      <c r="AD3" s="1">
        <f t="shared" si="0"/>
        <v>1492</v>
      </c>
      <c r="AE3" s="1">
        <f t="shared" si="0"/>
        <v>4534</v>
      </c>
      <c r="AF3" s="1">
        <f t="shared" si="0"/>
        <v>2858</v>
      </c>
      <c r="AG3" s="1">
        <f t="shared" si="0"/>
        <v>1956</v>
      </c>
      <c r="AH3" s="1">
        <f t="shared" si="0"/>
        <v>1575</v>
      </c>
      <c r="AI3" s="1">
        <f t="shared" si="0"/>
        <v>2209</v>
      </c>
      <c r="AJ3" s="1">
        <f t="shared" si="0"/>
        <v>1437</v>
      </c>
      <c r="AK3" s="1">
        <f t="shared" si="0"/>
        <v>1947</v>
      </c>
      <c r="AL3" s="1">
        <f t="shared" si="0"/>
        <v>874</v>
      </c>
      <c r="AM3" s="1">
        <f t="shared" si="0"/>
        <v>479</v>
      </c>
      <c r="AN3" s="1">
        <f t="shared" si="0"/>
        <v>1264</v>
      </c>
      <c r="AO3" s="1">
        <f t="shared" si="0"/>
        <v>1505</v>
      </c>
      <c r="AP3" s="1">
        <f t="shared" si="0"/>
        <v>1288</v>
      </c>
      <c r="AQ3" s="1">
        <f t="shared" si="0"/>
        <v>662</v>
      </c>
      <c r="AR3" s="1">
        <f t="shared" si="0"/>
        <v>986</v>
      </c>
      <c r="AS3" s="1">
        <f t="shared" si="0"/>
        <v>699</v>
      </c>
      <c r="AT3" s="1">
        <f t="shared" si="0"/>
        <v>604</v>
      </c>
      <c r="AU3" s="1">
        <f t="shared" si="0"/>
        <v>610</v>
      </c>
      <c r="AV3" s="1">
        <f t="shared" si="0"/>
        <v>1094</v>
      </c>
      <c r="AW3" s="1">
        <f t="shared" si="0"/>
        <v>595</v>
      </c>
      <c r="AX3" s="1">
        <f t="shared" si="0"/>
        <v>930</v>
      </c>
      <c r="AY3" s="1">
        <f t="shared" si="0"/>
        <v>389</v>
      </c>
      <c r="AZ3" s="1">
        <f t="shared" si="0"/>
        <v>556</v>
      </c>
      <c r="BA3" s="1">
        <f t="shared" si="0"/>
        <v>344</v>
      </c>
      <c r="BB3" s="1">
        <f t="shared" si="0"/>
        <v>461</v>
      </c>
      <c r="BC3" s="1">
        <f t="shared" si="0"/>
        <v>463</v>
      </c>
      <c r="BD3" s="1">
        <f t="shared" si="0"/>
        <v>592</v>
      </c>
      <c r="BE3" s="1">
        <f t="shared" si="0"/>
        <v>470</v>
      </c>
      <c r="BF3" s="1">
        <f t="shared" si="0"/>
        <v>517</v>
      </c>
      <c r="BG3" s="1">
        <f t="shared" si="0"/>
        <v>476</v>
      </c>
      <c r="BH3" s="1">
        <f t="shared" si="0"/>
        <v>239</v>
      </c>
      <c r="BI3" s="1">
        <f t="shared" si="0"/>
        <v>464</v>
      </c>
      <c r="BJ3" s="1">
        <f t="shared" si="0"/>
        <v>426</v>
      </c>
      <c r="BK3" s="1">
        <f t="shared" si="0"/>
        <v>543</v>
      </c>
      <c r="BL3" s="1">
        <f t="shared" si="0"/>
        <v>390</v>
      </c>
      <c r="BM3" s="1">
        <f t="shared" si="0"/>
        <v>483</v>
      </c>
      <c r="BN3" s="1">
        <f t="shared" si="0"/>
        <v>233</v>
      </c>
      <c r="BO3" s="1">
        <f t="shared" si="0"/>
        <v>372</v>
      </c>
      <c r="BP3" s="1">
        <f t="shared" si="0"/>
        <v>378</v>
      </c>
      <c r="BQ3" s="1">
        <f t="shared" ref="BQ3:EB3" si="1">BQ6+BQ141+BQ210+BQ282+BQ300+BQ330+BQ348+BQ399+BQ477+BQ480+BQ498+BQ531+BQ600+BQ609+BQ660+BQ705+BQ762</f>
        <v>344</v>
      </c>
      <c r="BR3" s="1">
        <f t="shared" si="1"/>
        <v>272</v>
      </c>
      <c r="BS3" s="1">
        <f t="shared" si="1"/>
        <v>370</v>
      </c>
      <c r="BT3" s="1">
        <f t="shared" si="1"/>
        <v>389</v>
      </c>
      <c r="BU3" s="1">
        <f t="shared" si="1"/>
        <v>253</v>
      </c>
      <c r="BV3" s="1">
        <f t="shared" si="1"/>
        <v>165</v>
      </c>
      <c r="BW3" s="1">
        <f t="shared" si="1"/>
        <v>231</v>
      </c>
      <c r="BX3" s="1">
        <f t="shared" si="1"/>
        <v>325</v>
      </c>
      <c r="BY3" s="1">
        <f t="shared" si="1"/>
        <v>262</v>
      </c>
      <c r="BZ3" s="1">
        <f t="shared" si="1"/>
        <v>234</v>
      </c>
      <c r="CA3" s="1">
        <f t="shared" si="1"/>
        <v>206</v>
      </c>
      <c r="CB3" s="1">
        <f t="shared" si="1"/>
        <v>246</v>
      </c>
      <c r="CC3" s="1">
        <f t="shared" si="1"/>
        <v>115</v>
      </c>
      <c r="CD3" s="1">
        <f t="shared" si="1"/>
        <v>60</v>
      </c>
      <c r="CE3" s="1">
        <f t="shared" si="1"/>
        <v>161</v>
      </c>
      <c r="CF3" s="1">
        <f t="shared" si="1"/>
        <v>149</v>
      </c>
      <c r="CG3" s="1">
        <f t="shared" si="1"/>
        <v>84</v>
      </c>
      <c r="CH3" s="1">
        <f t="shared" si="1"/>
        <v>223</v>
      </c>
      <c r="CI3" s="1">
        <f t="shared" si="1"/>
        <v>80</v>
      </c>
      <c r="CJ3" s="1">
        <f t="shared" si="1"/>
        <v>138</v>
      </c>
      <c r="CK3" s="1">
        <f t="shared" si="1"/>
        <v>121</v>
      </c>
      <c r="CL3" s="1">
        <f t="shared" si="1"/>
        <v>97</v>
      </c>
      <c r="CM3" s="1">
        <f t="shared" si="1"/>
        <v>184</v>
      </c>
      <c r="CN3" s="1">
        <f t="shared" si="1"/>
        <v>130</v>
      </c>
      <c r="CO3" s="1">
        <f t="shared" si="1"/>
        <v>197</v>
      </c>
      <c r="CP3" s="1">
        <f t="shared" si="1"/>
        <v>113</v>
      </c>
      <c r="CQ3" s="1">
        <f t="shared" si="1"/>
        <v>144</v>
      </c>
      <c r="CR3" s="1">
        <f t="shared" si="1"/>
        <v>145</v>
      </c>
      <c r="CS3" s="1">
        <f t="shared" si="1"/>
        <v>91</v>
      </c>
      <c r="CT3" s="1">
        <f t="shared" si="1"/>
        <v>88</v>
      </c>
      <c r="CU3" s="1">
        <f t="shared" si="1"/>
        <v>80</v>
      </c>
      <c r="CV3" s="1">
        <f t="shared" si="1"/>
        <v>52</v>
      </c>
      <c r="CW3" s="1">
        <f t="shared" si="1"/>
        <v>58</v>
      </c>
      <c r="CX3" s="1">
        <f t="shared" si="1"/>
        <v>111</v>
      </c>
      <c r="CY3" s="1">
        <f t="shared" si="1"/>
        <v>38</v>
      </c>
      <c r="CZ3" s="1">
        <f t="shared" si="1"/>
        <v>23</v>
      </c>
      <c r="DA3" s="1">
        <f t="shared" si="1"/>
        <v>66</v>
      </c>
      <c r="DB3" s="1">
        <f t="shared" si="1"/>
        <v>71</v>
      </c>
      <c r="DC3" s="1">
        <f t="shared" si="1"/>
        <v>104</v>
      </c>
      <c r="DD3" s="1">
        <f t="shared" si="1"/>
        <v>60</v>
      </c>
      <c r="DE3" s="1">
        <f t="shared" si="1"/>
        <v>74</v>
      </c>
      <c r="DF3" s="1">
        <f t="shared" si="1"/>
        <v>64</v>
      </c>
      <c r="DG3" s="1">
        <f t="shared" si="1"/>
        <v>39</v>
      </c>
      <c r="DH3" s="1">
        <f t="shared" si="1"/>
        <v>46</v>
      </c>
      <c r="DI3" s="1">
        <f t="shared" si="1"/>
        <v>25</v>
      </c>
      <c r="DJ3" s="1">
        <f t="shared" si="1"/>
        <v>53</v>
      </c>
      <c r="DK3" s="1">
        <f t="shared" si="1"/>
        <v>18</v>
      </c>
      <c r="DL3" s="1">
        <f t="shared" si="1"/>
        <v>37</v>
      </c>
      <c r="DM3" s="1">
        <f t="shared" si="1"/>
        <v>22</v>
      </c>
      <c r="DN3" s="1">
        <f t="shared" si="1"/>
        <v>25</v>
      </c>
      <c r="DO3" s="1">
        <f t="shared" si="1"/>
        <v>30</v>
      </c>
      <c r="DP3" s="1">
        <f t="shared" si="1"/>
        <v>30</v>
      </c>
      <c r="DQ3" s="1">
        <f t="shared" si="1"/>
        <v>39</v>
      </c>
      <c r="DR3" s="1">
        <f t="shared" si="1"/>
        <v>21</v>
      </c>
      <c r="DS3" s="1">
        <f t="shared" si="1"/>
        <v>31</v>
      </c>
      <c r="DT3" s="1">
        <f t="shared" si="1"/>
        <v>27</v>
      </c>
      <c r="DU3" s="1">
        <f t="shared" si="1"/>
        <v>40</v>
      </c>
      <c r="DV3" s="1">
        <f t="shared" si="1"/>
        <v>19</v>
      </c>
      <c r="DW3" s="1">
        <f t="shared" si="1"/>
        <v>31</v>
      </c>
      <c r="DX3" s="1">
        <f t="shared" si="1"/>
        <v>50</v>
      </c>
      <c r="DY3" s="1">
        <f t="shared" si="1"/>
        <v>18</v>
      </c>
      <c r="DZ3" s="1">
        <f t="shared" si="1"/>
        <v>24</v>
      </c>
      <c r="EA3" s="1">
        <f t="shared" si="1"/>
        <v>21</v>
      </c>
      <c r="EB3" s="1">
        <f t="shared" si="1"/>
        <v>29</v>
      </c>
      <c r="EC3" s="1">
        <f t="shared" ref="EC3:GN3" si="2">EC6+EC141+EC210+EC282+EC300+EC330+EC348+EC399+EC477+EC480+EC498+EC531+EC600+EC609+EC660+EC705+EC762</f>
        <v>32</v>
      </c>
      <c r="ED3" s="1">
        <f t="shared" si="2"/>
        <v>28</v>
      </c>
      <c r="EE3" s="1">
        <f t="shared" si="2"/>
        <v>14</v>
      </c>
      <c r="EF3" s="1">
        <f t="shared" si="2"/>
        <v>36</v>
      </c>
      <c r="EG3" s="1">
        <f t="shared" si="2"/>
        <v>25</v>
      </c>
      <c r="EH3" s="1">
        <f t="shared" si="2"/>
        <v>23</v>
      </c>
      <c r="EI3" s="1">
        <f t="shared" si="2"/>
        <v>36</v>
      </c>
      <c r="EJ3" s="1">
        <f t="shared" si="2"/>
        <v>8</v>
      </c>
      <c r="EK3" s="1">
        <f t="shared" si="2"/>
        <v>15</v>
      </c>
      <c r="EL3" s="1">
        <f t="shared" si="2"/>
        <v>22</v>
      </c>
      <c r="EM3" s="1">
        <f t="shared" si="2"/>
        <v>34</v>
      </c>
      <c r="EN3" s="1">
        <f t="shared" si="2"/>
        <v>13</v>
      </c>
      <c r="EO3" s="1">
        <f t="shared" si="2"/>
        <v>15</v>
      </c>
      <c r="EP3" s="1">
        <f t="shared" si="2"/>
        <v>26</v>
      </c>
      <c r="EQ3" s="1">
        <f t="shared" si="2"/>
        <v>11</v>
      </c>
      <c r="ER3" s="1">
        <f t="shared" si="2"/>
        <v>13</v>
      </c>
      <c r="ES3" s="1">
        <f t="shared" si="2"/>
        <v>10</v>
      </c>
      <c r="ET3" s="1">
        <f t="shared" si="2"/>
        <v>3</v>
      </c>
      <c r="EU3" s="1">
        <f t="shared" si="2"/>
        <v>17</v>
      </c>
      <c r="EV3" s="1">
        <f t="shared" si="2"/>
        <v>20</v>
      </c>
      <c r="EW3" s="1">
        <f t="shared" si="2"/>
        <v>7</v>
      </c>
      <c r="EX3" s="1">
        <f t="shared" si="2"/>
        <v>14</v>
      </c>
      <c r="EY3" s="1">
        <f t="shared" si="2"/>
        <v>18</v>
      </c>
      <c r="EZ3" s="1">
        <f t="shared" si="2"/>
        <v>12</v>
      </c>
      <c r="FA3" s="1">
        <f t="shared" si="2"/>
        <v>8</v>
      </c>
      <c r="FB3" s="1">
        <f t="shared" si="2"/>
        <v>6</v>
      </c>
      <c r="FC3" s="1">
        <f t="shared" si="2"/>
        <v>10</v>
      </c>
      <c r="FD3" s="1">
        <f t="shared" si="2"/>
        <v>10</v>
      </c>
      <c r="FE3" s="1">
        <f t="shared" si="2"/>
        <v>5</v>
      </c>
      <c r="FF3" s="1">
        <f t="shared" si="2"/>
        <v>8</v>
      </c>
      <c r="FG3" s="1">
        <f t="shared" si="2"/>
        <v>7</v>
      </c>
      <c r="FH3" s="1">
        <f t="shared" si="2"/>
        <v>8</v>
      </c>
      <c r="FI3" s="1">
        <f t="shared" si="2"/>
        <v>4</v>
      </c>
      <c r="FJ3" s="1">
        <f t="shared" si="2"/>
        <v>3</v>
      </c>
      <c r="FK3" s="1">
        <f t="shared" si="2"/>
        <v>9</v>
      </c>
      <c r="FL3" s="1">
        <f t="shared" si="2"/>
        <v>3</v>
      </c>
      <c r="FM3" s="1">
        <f t="shared" si="2"/>
        <v>8</v>
      </c>
      <c r="FN3" s="1">
        <f t="shared" si="2"/>
        <v>1</v>
      </c>
      <c r="FO3" s="1">
        <f t="shared" si="2"/>
        <v>3</v>
      </c>
      <c r="FP3" s="1">
        <f t="shared" si="2"/>
        <v>7</v>
      </c>
      <c r="FQ3" s="1">
        <f t="shared" si="2"/>
        <v>4</v>
      </c>
      <c r="FR3" s="1">
        <f t="shared" si="2"/>
        <v>7</v>
      </c>
      <c r="FS3" s="1">
        <f t="shared" si="2"/>
        <v>4</v>
      </c>
      <c r="FT3" s="1">
        <f t="shared" si="2"/>
        <v>5</v>
      </c>
      <c r="FU3" s="1">
        <f t="shared" si="2"/>
        <v>3</v>
      </c>
      <c r="FV3" s="1">
        <f t="shared" si="2"/>
        <v>4</v>
      </c>
      <c r="FW3" s="1">
        <f t="shared" si="2"/>
        <v>1</v>
      </c>
      <c r="FX3" s="1">
        <f t="shared" si="2"/>
        <v>4</v>
      </c>
      <c r="FY3" s="1">
        <f t="shared" si="2"/>
        <v>1</v>
      </c>
      <c r="FZ3" s="1">
        <f t="shared" si="2"/>
        <v>2</v>
      </c>
      <c r="GA3" s="1">
        <f t="shared" si="2"/>
        <v>0</v>
      </c>
      <c r="GB3" s="1">
        <f t="shared" si="2"/>
        <v>2</v>
      </c>
      <c r="GC3" s="1">
        <f t="shared" si="2"/>
        <v>2</v>
      </c>
      <c r="GD3" s="1">
        <f t="shared" si="2"/>
        <v>2</v>
      </c>
      <c r="GE3" s="1">
        <f t="shared" si="2"/>
        <v>1</v>
      </c>
      <c r="GF3" s="1">
        <f t="shared" si="2"/>
        <v>1</v>
      </c>
      <c r="GG3" s="1">
        <f t="shared" si="2"/>
        <v>2</v>
      </c>
      <c r="GH3" s="1">
        <f t="shared" si="2"/>
        <v>2</v>
      </c>
      <c r="GI3" s="1">
        <f t="shared" si="2"/>
        <v>2</v>
      </c>
      <c r="GJ3" s="1">
        <f t="shared" si="2"/>
        <v>3</v>
      </c>
      <c r="GK3" s="1">
        <f t="shared" si="2"/>
        <v>0</v>
      </c>
      <c r="GL3" s="1">
        <f t="shared" si="2"/>
        <v>2</v>
      </c>
      <c r="GM3" s="1">
        <f t="shared" si="2"/>
        <v>0</v>
      </c>
      <c r="GN3" s="1">
        <f t="shared" si="2"/>
        <v>2</v>
      </c>
      <c r="GO3" s="1">
        <f t="shared" ref="GO3:GS3" si="3">GO6+GO141+GO210+GO282+GO300+GO330+GO348+GO399+GO477+GO480+GO498+GO531+GO600+GO609+GO660+GO705+GO762</f>
        <v>0</v>
      </c>
      <c r="GP3" s="1">
        <f t="shared" si="3"/>
        <v>1</v>
      </c>
      <c r="GQ3" s="1">
        <f t="shared" si="3"/>
        <v>1</v>
      </c>
      <c r="GR3" s="1">
        <f t="shared" si="3"/>
        <v>1</v>
      </c>
      <c r="GS3" s="1">
        <f t="shared" si="3"/>
        <v>91</v>
      </c>
    </row>
    <row r="4" spans="1:201" x14ac:dyDescent="0.3">
      <c r="A4" t="s">
        <v>3</v>
      </c>
      <c r="B4" t="s">
        <v>200</v>
      </c>
      <c r="C4" t="s">
        <v>204</v>
      </c>
      <c r="D4" s="1">
        <f>D7+D142+D211+D283+D301+D331+D349+D400+D478+D481+D499+D532+D601+D610+D661+D706+D763</f>
        <v>670300</v>
      </c>
      <c r="E4" s="1">
        <f t="shared" ref="E4:BP4" si="4">E7+E142+E211+E283+E301+E331+E349+E400+E478+E481+E499+E532+E601+E610+E661+E706+E763</f>
        <v>139651</v>
      </c>
      <c r="F4" s="1">
        <f t="shared" si="4"/>
        <v>109062</v>
      </c>
      <c r="G4" s="1">
        <f t="shared" si="4"/>
        <v>139013</v>
      </c>
      <c r="H4" s="1">
        <f t="shared" si="4"/>
        <v>18615</v>
      </c>
      <c r="I4" s="1">
        <f t="shared" si="4"/>
        <v>19114</v>
      </c>
      <c r="J4" s="1">
        <f t="shared" si="4"/>
        <v>20029</v>
      </c>
      <c r="K4" s="1">
        <f t="shared" si="4"/>
        <v>6769</v>
      </c>
      <c r="L4" s="1">
        <f t="shared" si="4"/>
        <v>10164</v>
      </c>
      <c r="M4" s="1">
        <f t="shared" si="4"/>
        <v>22785</v>
      </c>
      <c r="N4" s="1">
        <f t="shared" si="4"/>
        <v>18825</v>
      </c>
      <c r="O4" s="1">
        <f t="shared" si="4"/>
        <v>23235</v>
      </c>
      <c r="P4" s="1">
        <f t="shared" si="4"/>
        <v>16978</v>
      </c>
      <c r="Q4" s="1">
        <f t="shared" si="4"/>
        <v>4598</v>
      </c>
      <c r="R4" s="1">
        <f t="shared" si="4"/>
        <v>5827</v>
      </c>
      <c r="S4" s="1">
        <f t="shared" si="4"/>
        <v>23866</v>
      </c>
      <c r="T4" s="1">
        <f t="shared" si="4"/>
        <v>11823</v>
      </c>
      <c r="U4" s="1">
        <f t="shared" si="4"/>
        <v>10149</v>
      </c>
      <c r="V4" s="1">
        <f t="shared" si="4"/>
        <v>3456</v>
      </c>
      <c r="W4" s="1">
        <f t="shared" si="4"/>
        <v>9521</v>
      </c>
      <c r="X4" s="1">
        <f t="shared" si="4"/>
        <v>4957</v>
      </c>
      <c r="Y4" s="1">
        <f t="shared" si="4"/>
        <v>4626</v>
      </c>
      <c r="Z4" s="1">
        <f t="shared" si="4"/>
        <v>3512</v>
      </c>
      <c r="AA4" s="1">
        <f t="shared" si="4"/>
        <v>2794</v>
      </c>
      <c r="AB4" s="1">
        <f t="shared" si="4"/>
        <v>2628</v>
      </c>
      <c r="AC4" s="1">
        <f t="shared" si="4"/>
        <v>2187</v>
      </c>
      <c r="AD4" s="1">
        <f t="shared" si="4"/>
        <v>3487</v>
      </c>
      <c r="AE4" s="1">
        <f t="shared" si="4"/>
        <v>145</v>
      </c>
      <c r="AF4" s="1">
        <f t="shared" si="4"/>
        <v>1744</v>
      </c>
      <c r="AG4" s="1">
        <f t="shared" si="4"/>
        <v>1521</v>
      </c>
      <c r="AH4" s="1">
        <f t="shared" si="4"/>
        <v>1593</v>
      </c>
      <c r="AI4" s="1">
        <f t="shared" si="4"/>
        <v>794</v>
      </c>
      <c r="AJ4" s="1">
        <f t="shared" si="4"/>
        <v>1275</v>
      </c>
      <c r="AK4" s="1">
        <f t="shared" si="4"/>
        <v>702</v>
      </c>
      <c r="AL4" s="1">
        <f t="shared" si="4"/>
        <v>1709</v>
      </c>
      <c r="AM4" s="1">
        <f t="shared" si="4"/>
        <v>1805</v>
      </c>
      <c r="AN4" s="1">
        <f t="shared" si="4"/>
        <v>864</v>
      </c>
      <c r="AO4" s="1">
        <f t="shared" si="4"/>
        <v>535</v>
      </c>
      <c r="AP4" s="1">
        <f t="shared" si="4"/>
        <v>638</v>
      </c>
      <c r="AQ4" s="1">
        <f t="shared" si="4"/>
        <v>1049</v>
      </c>
      <c r="AR4" s="1">
        <f t="shared" si="4"/>
        <v>605</v>
      </c>
      <c r="AS4" s="1">
        <f t="shared" si="4"/>
        <v>852</v>
      </c>
      <c r="AT4" s="1">
        <f t="shared" si="4"/>
        <v>879</v>
      </c>
      <c r="AU4" s="1">
        <f t="shared" si="4"/>
        <v>829</v>
      </c>
      <c r="AV4" s="1">
        <f t="shared" si="4"/>
        <v>277</v>
      </c>
      <c r="AW4" s="1">
        <f t="shared" si="4"/>
        <v>744</v>
      </c>
      <c r="AX4" s="1">
        <f t="shared" si="4"/>
        <v>304</v>
      </c>
      <c r="AY4" s="1">
        <f t="shared" si="4"/>
        <v>730</v>
      </c>
      <c r="AZ4" s="1">
        <f t="shared" si="4"/>
        <v>364</v>
      </c>
      <c r="BA4" s="1">
        <f t="shared" si="4"/>
        <v>574</v>
      </c>
      <c r="BB4" s="1">
        <f t="shared" si="4"/>
        <v>411</v>
      </c>
      <c r="BC4" s="1">
        <f t="shared" si="4"/>
        <v>401</v>
      </c>
      <c r="BD4" s="1">
        <f t="shared" si="4"/>
        <v>240</v>
      </c>
      <c r="BE4" s="1">
        <f t="shared" si="4"/>
        <v>295</v>
      </c>
      <c r="BF4" s="1">
        <f t="shared" si="4"/>
        <v>245</v>
      </c>
      <c r="BG4" s="1">
        <f t="shared" si="4"/>
        <v>273</v>
      </c>
      <c r="BH4" s="1">
        <f t="shared" si="4"/>
        <v>502</v>
      </c>
      <c r="BI4" s="1">
        <f t="shared" si="4"/>
        <v>270</v>
      </c>
      <c r="BJ4" s="1">
        <f t="shared" si="4"/>
        <v>269</v>
      </c>
      <c r="BK4" s="1">
        <f t="shared" si="4"/>
        <v>152</v>
      </c>
      <c r="BL4" s="1">
        <f t="shared" si="4"/>
        <v>303</v>
      </c>
      <c r="BM4" s="1">
        <f t="shared" si="4"/>
        <v>193</v>
      </c>
      <c r="BN4" s="1">
        <f t="shared" si="4"/>
        <v>413</v>
      </c>
      <c r="BO4" s="1">
        <f t="shared" si="4"/>
        <v>238</v>
      </c>
      <c r="BP4" s="1">
        <f t="shared" si="4"/>
        <v>222</v>
      </c>
      <c r="BQ4" s="1">
        <f t="shared" ref="BQ4:EB4" si="5">BQ7+BQ142+BQ211+BQ283+BQ301+BQ331+BQ349+BQ400+BQ478+BQ481+BQ499+BQ532+BQ601+BQ610+BQ661+BQ706+BQ763</f>
        <v>230</v>
      </c>
      <c r="BR4" s="1">
        <f t="shared" si="5"/>
        <v>297</v>
      </c>
      <c r="BS4" s="1">
        <f t="shared" si="5"/>
        <v>198</v>
      </c>
      <c r="BT4" s="1">
        <f t="shared" si="5"/>
        <v>176</v>
      </c>
      <c r="BU4" s="1">
        <f t="shared" si="5"/>
        <v>282</v>
      </c>
      <c r="BV4" s="1">
        <f t="shared" si="5"/>
        <v>345</v>
      </c>
      <c r="BW4" s="1">
        <f t="shared" si="5"/>
        <v>261</v>
      </c>
      <c r="BX4" s="1">
        <f t="shared" si="5"/>
        <v>162</v>
      </c>
      <c r="BY4" s="1">
        <f t="shared" si="5"/>
        <v>159</v>
      </c>
      <c r="BZ4" s="1">
        <f t="shared" si="5"/>
        <v>160</v>
      </c>
      <c r="CA4" s="1">
        <f t="shared" si="5"/>
        <v>179</v>
      </c>
      <c r="CB4" s="1">
        <f t="shared" si="5"/>
        <v>112</v>
      </c>
      <c r="CC4" s="1">
        <f t="shared" si="5"/>
        <v>217</v>
      </c>
      <c r="CD4" s="1">
        <f t="shared" si="5"/>
        <v>270</v>
      </c>
      <c r="CE4" s="1">
        <f t="shared" si="5"/>
        <v>164</v>
      </c>
      <c r="CF4" s="1">
        <f t="shared" si="5"/>
        <v>174</v>
      </c>
      <c r="CG4" s="1">
        <f t="shared" si="5"/>
        <v>237</v>
      </c>
      <c r="CH4" s="1">
        <f t="shared" si="5"/>
        <v>71</v>
      </c>
      <c r="CI4" s="1">
        <f t="shared" si="5"/>
        <v>209</v>
      </c>
      <c r="CJ4" s="1">
        <f t="shared" si="5"/>
        <v>147</v>
      </c>
      <c r="CK4" s="1">
        <f t="shared" si="5"/>
        <v>135</v>
      </c>
      <c r="CL4" s="1">
        <f t="shared" si="5"/>
        <v>153</v>
      </c>
      <c r="CM4" s="1">
        <f t="shared" si="5"/>
        <v>62</v>
      </c>
      <c r="CN4" s="1">
        <f t="shared" si="5"/>
        <v>106</v>
      </c>
      <c r="CO4" s="1">
        <f t="shared" si="5"/>
        <v>39</v>
      </c>
      <c r="CP4" s="1">
        <f t="shared" si="5"/>
        <v>122</v>
      </c>
      <c r="CQ4" s="1">
        <f t="shared" si="5"/>
        <v>87</v>
      </c>
      <c r="CR4" s="1">
        <f t="shared" si="5"/>
        <v>84</v>
      </c>
      <c r="CS4" s="1">
        <f t="shared" si="5"/>
        <v>133</v>
      </c>
      <c r="CT4" s="1">
        <f t="shared" si="5"/>
        <v>125</v>
      </c>
      <c r="CU4" s="1">
        <f t="shared" si="5"/>
        <v>103</v>
      </c>
      <c r="CV4" s="1">
        <f t="shared" si="5"/>
        <v>118</v>
      </c>
      <c r="CW4" s="1">
        <f t="shared" si="5"/>
        <v>109</v>
      </c>
      <c r="CX4" s="1">
        <f t="shared" si="5"/>
        <v>40</v>
      </c>
      <c r="CY4" s="1">
        <f t="shared" si="5"/>
        <v>99</v>
      </c>
      <c r="CZ4" s="1">
        <f t="shared" si="5"/>
        <v>109</v>
      </c>
      <c r="DA4" s="1">
        <f t="shared" si="5"/>
        <v>58</v>
      </c>
      <c r="DB4" s="1">
        <f t="shared" si="5"/>
        <v>44</v>
      </c>
      <c r="DC4" s="1">
        <f t="shared" si="5"/>
        <v>11</v>
      </c>
      <c r="DD4" s="1">
        <f t="shared" si="5"/>
        <v>54</v>
      </c>
      <c r="DE4" s="1">
        <f t="shared" si="5"/>
        <v>39</v>
      </c>
      <c r="DF4" s="1">
        <f t="shared" si="5"/>
        <v>37</v>
      </c>
      <c r="DG4" s="1">
        <f t="shared" si="5"/>
        <v>61</v>
      </c>
      <c r="DH4" s="1">
        <f t="shared" si="5"/>
        <v>47</v>
      </c>
      <c r="DI4" s="1">
        <f t="shared" si="5"/>
        <v>68</v>
      </c>
      <c r="DJ4" s="1">
        <f t="shared" si="5"/>
        <v>38</v>
      </c>
      <c r="DK4" s="1">
        <f t="shared" si="5"/>
        <v>73</v>
      </c>
      <c r="DL4" s="1">
        <f t="shared" si="5"/>
        <v>51</v>
      </c>
      <c r="DM4" s="1">
        <f t="shared" si="5"/>
        <v>65</v>
      </c>
      <c r="DN4" s="1">
        <f t="shared" si="5"/>
        <v>62</v>
      </c>
      <c r="DO4" s="1">
        <f t="shared" si="5"/>
        <v>56</v>
      </c>
      <c r="DP4" s="1">
        <f t="shared" si="5"/>
        <v>53</v>
      </c>
      <c r="DQ4" s="1">
        <f t="shared" si="5"/>
        <v>42</v>
      </c>
      <c r="DR4" s="1">
        <f t="shared" si="5"/>
        <v>59</v>
      </c>
      <c r="DS4" s="1">
        <f t="shared" si="5"/>
        <v>46</v>
      </c>
      <c r="DT4" s="1">
        <f t="shared" si="5"/>
        <v>45</v>
      </c>
      <c r="DU4" s="1">
        <f t="shared" si="5"/>
        <v>29</v>
      </c>
      <c r="DV4" s="1">
        <f t="shared" si="5"/>
        <v>49</v>
      </c>
      <c r="DW4" s="1">
        <f t="shared" si="5"/>
        <v>36</v>
      </c>
      <c r="DX4" s="1">
        <f t="shared" si="5"/>
        <v>16</v>
      </c>
      <c r="DY4" s="1">
        <f t="shared" si="5"/>
        <v>48</v>
      </c>
      <c r="DZ4" s="1">
        <f t="shared" si="5"/>
        <v>41</v>
      </c>
      <c r="EA4" s="1">
        <f t="shared" si="5"/>
        <v>40</v>
      </c>
      <c r="EB4" s="1">
        <f t="shared" si="5"/>
        <v>31</v>
      </c>
      <c r="EC4" s="1">
        <f t="shared" ref="EC4:GN4" si="6">EC7+EC142+EC211+EC283+EC301+EC331+EC349+EC400+EC478+EC481+EC499+EC532+EC601+EC610+EC661+EC706+EC763</f>
        <v>26</v>
      </c>
      <c r="ED4" s="1">
        <f t="shared" si="6"/>
        <v>27</v>
      </c>
      <c r="EE4" s="1">
        <f t="shared" si="6"/>
        <v>41</v>
      </c>
      <c r="EF4" s="1">
        <f t="shared" si="6"/>
        <v>18</v>
      </c>
      <c r="EG4" s="1">
        <f t="shared" si="6"/>
        <v>27</v>
      </c>
      <c r="EH4" s="1">
        <f t="shared" si="6"/>
        <v>28</v>
      </c>
      <c r="EI4" s="1">
        <f t="shared" si="6"/>
        <v>10</v>
      </c>
      <c r="EJ4" s="1">
        <f t="shared" si="6"/>
        <v>35</v>
      </c>
      <c r="EK4" s="1">
        <f t="shared" si="6"/>
        <v>27</v>
      </c>
      <c r="EL4" s="1">
        <f t="shared" si="6"/>
        <v>18</v>
      </c>
      <c r="EM4" s="1">
        <f t="shared" si="6"/>
        <v>6</v>
      </c>
      <c r="EN4" s="1">
        <f t="shared" si="6"/>
        <v>25</v>
      </c>
      <c r="EO4" s="1">
        <f t="shared" si="6"/>
        <v>22</v>
      </c>
      <c r="EP4" s="1">
        <f t="shared" si="6"/>
        <v>10</v>
      </c>
      <c r="EQ4" s="1">
        <f t="shared" si="6"/>
        <v>20</v>
      </c>
      <c r="ER4" s="1">
        <f t="shared" si="6"/>
        <v>18</v>
      </c>
      <c r="ES4" s="1">
        <f t="shared" si="6"/>
        <v>18</v>
      </c>
      <c r="ET4" s="1">
        <f t="shared" si="6"/>
        <v>20</v>
      </c>
      <c r="EU4" s="1">
        <f t="shared" si="6"/>
        <v>6</v>
      </c>
      <c r="EV4" s="1">
        <f t="shared" si="6"/>
        <v>2</v>
      </c>
      <c r="EW4" s="1">
        <f t="shared" si="6"/>
        <v>15</v>
      </c>
      <c r="EX4" s="1">
        <f t="shared" si="6"/>
        <v>8</v>
      </c>
      <c r="EY4" s="1">
        <f t="shared" si="6"/>
        <v>2</v>
      </c>
      <c r="EZ4" s="1">
        <f t="shared" si="6"/>
        <v>7</v>
      </c>
      <c r="FA4" s="1">
        <f t="shared" si="6"/>
        <v>10</v>
      </c>
      <c r="FB4" s="1">
        <f t="shared" si="6"/>
        <v>10</v>
      </c>
      <c r="FC4" s="1">
        <f t="shared" si="6"/>
        <v>5</v>
      </c>
      <c r="FD4" s="1">
        <f t="shared" si="6"/>
        <v>5</v>
      </c>
      <c r="FE4" s="1">
        <f t="shared" si="6"/>
        <v>9</v>
      </c>
      <c r="FF4" s="1">
        <f t="shared" si="6"/>
        <v>6</v>
      </c>
      <c r="FG4" s="1">
        <f t="shared" si="6"/>
        <v>6</v>
      </c>
      <c r="FH4" s="1">
        <f t="shared" si="6"/>
        <v>4</v>
      </c>
      <c r="FI4" s="1">
        <f t="shared" si="6"/>
        <v>8</v>
      </c>
      <c r="FJ4" s="1">
        <f t="shared" si="6"/>
        <v>9</v>
      </c>
      <c r="FK4" s="1">
        <f t="shared" si="6"/>
        <v>3</v>
      </c>
      <c r="FL4" s="1">
        <f t="shared" si="6"/>
        <v>9</v>
      </c>
      <c r="FM4" s="1">
        <f t="shared" si="6"/>
        <v>3</v>
      </c>
      <c r="FN4" s="1">
        <f t="shared" si="6"/>
        <v>10</v>
      </c>
      <c r="FO4" s="1">
        <f t="shared" si="6"/>
        <v>7</v>
      </c>
      <c r="FP4" s="1">
        <f t="shared" si="6"/>
        <v>3</v>
      </c>
      <c r="FQ4" s="1">
        <f t="shared" si="6"/>
        <v>5</v>
      </c>
      <c r="FR4" s="1">
        <f t="shared" si="6"/>
        <v>2</v>
      </c>
      <c r="FS4" s="1">
        <f t="shared" si="6"/>
        <v>4</v>
      </c>
      <c r="FT4" s="1">
        <f t="shared" si="6"/>
        <v>3</v>
      </c>
      <c r="FU4" s="1">
        <f t="shared" si="6"/>
        <v>3</v>
      </c>
      <c r="FV4" s="1">
        <f t="shared" si="6"/>
        <v>2</v>
      </c>
      <c r="FW4" s="1">
        <f t="shared" si="6"/>
        <v>4</v>
      </c>
      <c r="FX4" s="1">
        <f t="shared" si="6"/>
        <v>1</v>
      </c>
      <c r="FY4" s="1">
        <f t="shared" si="6"/>
        <v>3</v>
      </c>
      <c r="FZ4" s="1">
        <f t="shared" si="6"/>
        <v>2</v>
      </c>
      <c r="GA4" s="1">
        <f t="shared" si="6"/>
        <v>4</v>
      </c>
      <c r="GB4" s="1">
        <f t="shared" si="6"/>
        <v>2</v>
      </c>
      <c r="GC4" s="1">
        <f t="shared" si="6"/>
        <v>1</v>
      </c>
      <c r="GD4" s="1">
        <f t="shared" si="6"/>
        <v>1</v>
      </c>
      <c r="GE4" s="1">
        <f t="shared" si="6"/>
        <v>2</v>
      </c>
      <c r="GF4" s="1">
        <f t="shared" si="6"/>
        <v>2</v>
      </c>
      <c r="GG4" s="1">
        <f t="shared" si="6"/>
        <v>1</v>
      </c>
      <c r="GH4" s="1">
        <f t="shared" si="6"/>
        <v>1</v>
      </c>
      <c r="GI4" s="1">
        <f t="shared" si="6"/>
        <v>1</v>
      </c>
      <c r="GJ4" s="1">
        <f t="shared" si="6"/>
        <v>0</v>
      </c>
      <c r="GK4" s="1">
        <f t="shared" si="6"/>
        <v>3</v>
      </c>
      <c r="GL4" s="1">
        <f t="shared" si="6"/>
        <v>0</v>
      </c>
      <c r="GM4" s="1">
        <f t="shared" si="6"/>
        <v>2</v>
      </c>
      <c r="GN4" s="1">
        <f t="shared" si="6"/>
        <v>0</v>
      </c>
      <c r="GO4" s="1">
        <f t="shared" ref="GO4:GS4" si="7">GO7+GO142+GO211+GO283+GO301+GO331+GO349+GO400+GO478+GO481+GO499+GO532+GO601+GO610+GO661+GO706+GO763</f>
        <v>1</v>
      </c>
      <c r="GP4" s="1">
        <f t="shared" si="7"/>
        <v>0</v>
      </c>
      <c r="GQ4" s="1">
        <f t="shared" si="7"/>
        <v>0</v>
      </c>
      <c r="GR4" s="1">
        <f t="shared" si="7"/>
        <v>0</v>
      </c>
      <c r="GS4" s="1">
        <f t="shared" si="7"/>
        <v>104</v>
      </c>
    </row>
    <row r="5" spans="1:201" x14ac:dyDescent="0.3">
      <c r="A5" t="s">
        <v>201</v>
      </c>
      <c r="B5" t="s">
        <v>200</v>
      </c>
      <c r="C5" t="s">
        <v>200</v>
      </c>
      <c r="D5" s="1">
        <v>492819</v>
      </c>
      <c r="E5" s="1">
        <v>56269</v>
      </c>
      <c r="F5" s="1">
        <v>121879</v>
      </c>
      <c r="G5" s="1">
        <v>67086</v>
      </c>
      <c r="H5" s="1">
        <v>27729</v>
      </c>
      <c r="I5" s="1">
        <v>17362</v>
      </c>
      <c r="J5" s="1">
        <v>22343</v>
      </c>
      <c r="K5" s="1">
        <v>11115</v>
      </c>
      <c r="L5" s="1">
        <v>22958</v>
      </c>
      <c r="M5" s="1">
        <v>19299</v>
      </c>
      <c r="N5" s="1">
        <v>18367</v>
      </c>
      <c r="O5" s="1">
        <v>11960</v>
      </c>
      <c r="P5" s="1">
        <v>13731</v>
      </c>
      <c r="Q5" s="1">
        <v>8436</v>
      </c>
      <c r="R5" s="1">
        <v>15194</v>
      </c>
      <c r="S5" s="1">
        <v>7131</v>
      </c>
      <c r="T5" s="1">
        <v>5474</v>
      </c>
      <c r="U5" s="1">
        <v>5517</v>
      </c>
      <c r="V5" s="1">
        <v>5438</v>
      </c>
      <c r="W5" s="1">
        <v>2586</v>
      </c>
      <c r="X5" s="1">
        <v>5337</v>
      </c>
      <c r="Y5" s="1">
        <v>2680</v>
      </c>
      <c r="Z5" s="1">
        <v>2883</v>
      </c>
      <c r="AA5">
        <v>604</v>
      </c>
      <c r="AB5" s="1">
        <v>1020</v>
      </c>
      <c r="AC5" s="1">
        <v>1022</v>
      </c>
      <c r="AD5" s="1">
        <v>1301</v>
      </c>
      <c r="AE5">
        <v>845</v>
      </c>
      <c r="AF5" s="1">
        <v>1108</v>
      </c>
      <c r="AG5">
        <v>777</v>
      </c>
      <c r="AH5">
        <v>452</v>
      </c>
      <c r="AI5">
        <v>683</v>
      </c>
      <c r="AJ5">
        <v>803</v>
      </c>
      <c r="AK5" s="1">
        <v>1292</v>
      </c>
      <c r="AL5">
        <v>750</v>
      </c>
      <c r="AM5">
        <v>448</v>
      </c>
      <c r="AN5">
        <v>451</v>
      </c>
      <c r="AO5">
        <v>508</v>
      </c>
      <c r="AP5">
        <v>540</v>
      </c>
      <c r="AQ5">
        <v>480</v>
      </c>
      <c r="AR5">
        <v>283</v>
      </c>
      <c r="AS5">
        <v>364</v>
      </c>
      <c r="AT5">
        <v>177</v>
      </c>
      <c r="AU5">
        <v>317</v>
      </c>
      <c r="AV5">
        <v>575</v>
      </c>
      <c r="AW5">
        <v>190</v>
      </c>
      <c r="AX5">
        <v>165</v>
      </c>
      <c r="AY5">
        <v>216</v>
      </c>
      <c r="AZ5">
        <v>270</v>
      </c>
      <c r="BA5">
        <v>147</v>
      </c>
      <c r="BB5">
        <v>91</v>
      </c>
      <c r="BC5">
        <v>138</v>
      </c>
      <c r="BD5">
        <v>40</v>
      </c>
      <c r="BE5">
        <v>516</v>
      </c>
      <c r="BF5">
        <v>246</v>
      </c>
      <c r="BG5">
        <v>189</v>
      </c>
      <c r="BH5">
        <v>134</v>
      </c>
      <c r="BI5">
        <v>112</v>
      </c>
      <c r="BJ5">
        <v>107</v>
      </c>
      <c r="BK5">
        <v>484</v>
      </c>
      <c r="BL5">
        <v>209</v>
      </c>
      <c r="BM5">
        <v>230</v>
      </c>
      <c r="BN5">
        <v>141</v>
      </c>
      <c r="BO5">
        <v>67</v>
      </c>
      <c r="BP5">
        <v>181</v>
      </c>
      <c r="BQ5">
        <v>220</v>
      </c>
      <c r="BR5">
        <v>95</v>
      </c>
      <c r="BS5">
        <v>110</v>
      </c>
      <c r="BT5">
        <v>158</v>
      </c>
      <c r="BU5">
        <v>62</v>
      </c>
      <c r="BV5">
        <v>95</v>
      </c>
      <c r="BW5">
        <v>75</v>
      </c>
      <c r="BX5">
        <v>323</v>
      </c>
      <c r="BY5">
        <v>221</v>
      </c>
      <c r="BZ5">
        <v>30</v>
      </c>
      <c r="CA5">
        <v>53</v>
      </c>
      <c r="CB5">
        <v>108</v>
      </c>
      <c r="CC5">
        <v>48</v>
      </c>
      <c r="CD5">
        <v>84</v>
      </c>
      <c r="CE5">
        <v>50</v>
      </c>
      <c r="CF5">
        <v>16</v>
      </c>
      <c r="CG5">
        <v>53</v>
      </c>
      <c r="CH5">
        <v>85</v>
      </c>
      <c r="CI5">
        <v>43</v>
      </c>
      <c r="CJ5">
        <v>39</v>
      </c>
      <c r="CK5">
        <v>31</v>
      </c>
      <c r="CL5">
        <v>45</v>
      </c>
      <c r="CM5">
        <v>99</v>
      </c>
      <c r="CN5">
        <v>2</v>
      </c>
      <c r="CO5">
        <v>73</v>
      </c>
      <c r="CP5">
        <v>44</v>
      </c>
      <c r="CQ5">
        <v>22</v>
      </c>
      <c r="CR5">
        <v>78</v>
      </c>
      <c r="CS5">
        <v>51</v>
      </c>
      <c r="CT5">
        <v>25</v>
      </c>
      <c r="CU5">
        <v>17</v>
      </c>
      <c r="CV5">
        <v>37</v>
      </c>
      <c r="CW5">
        <v>28</v>
      </c>
      <c r="CX5">
        <v>64</v>
      </c>
      <c r="CY5">
        <v>18</v>
      </c>
      <c r="CZ5">
        <v>21</v>
      </c>
      <c r="DA5">
        <v>35</v>
      </c>
      <c r="DB5">
        <v>9</v>
      </c>
      <c r="DC5">
        <v>25</v>
      </c>
      <c r="DD5">
        <v>19</v>
      </c>
      <c r="DE5">
        <v>38</v>
      </c>
      <c r="DF5">
        <v>37</v>
      </c>
      <c r="DG5">
        <v>15</v>
      </c>
      <c r="DH5">
        <v>10</v>
      </c>
      <c r="DI5">
        <v>20</v>
      </c>
      <c r="DJ5">
        <v>14</v>
      </c>
      <c r="DK5">
        <v>8</v>
      </c>
      <c r="DL5">
        <v>15</v>
      </c>
      <c r="DM5">
        <v>18</v>
      </c>
      <c r="DN5">
        <v>11</v>
      </c>
      <c r="DO5">
        <v>17</v>
      </c>
      <c r="DP5">
        <v>13</v>
      </c>
      <c r="DQ5">
        <v>17</v>
      </c>
      <c r="DR5">
        <v>19</v>
      </c>
      <c r="DS5">
        <v>11</v>
      </c>
      <c r="DT5">
        <v>16</v>
      </c>
      <c r="DU5">
        <v>10</v>
      </c>
      <c r="DV5">
        <v>11</v>
      </c>
      <c r="DW5">
        <v>2</v>
      </c>
      <c r="DX5">
        <v>12</v>
      </c>
      <c r="DY5">
        <v>29</v>
      </c>
      <c r="DZ5">
        <v>18</v>
      </c>
      <c r="EA5">
        <v>16</v>
      </c>
      <c r="EB5">
        <v>9</v>
      </c>
      <c r="EC5">
        <v>3</v>
      </c>
      <c r="ED5">
        <v>0</v>
      </c>
      <c r="EE5">
        <v>7</v>
      </c>
      <c r="EF5">
        <v>20</v>
      </c>
      <c r="EG5">
        <v>5</v>
      </c>
      <c r="EH5">
        <v>11</v>
      </c>
      <c r="EI5">
        <v>26</v>
      </c>
      <c r="EJ5">
        <v>7</v>
      </c>
      <c r="EK5">
        <v>14</v>
      </c>
      <c r="EL5">
        <v>1</v>
      </c>
      <c r="EM5">
        <v>14</v>
      </c>
      <c r="EN5">
        <v>7</v>
      </c>
      <c r="EO5">
        <v>6</v>
      </c>
      <c r="EP5">
        <v>3</v>
      </c>
      <c r="EQ5">
        <v>2</v>
      </c>
      <c r="ER5">
        <v>5</v>
      </c>
      <c r="ES5">
        <v>5</v>
      </c>
      <c r="ET5">
        <v>5</v>
      </c>
      <c r="EU5">
        <v>3</v>
      </c>
      <c r="EV5">
        <v>5</v>
      </c>
      <c r="EW5">
        <v>4</v>
      </c>
      <c r="EX5">
        <v>1</v>
      </c>
      <c r="EY5">
        <v>3</v>
      </c>
      <c r="EZ5">
        <v>0</v>
      </c>
      <c r="FA5">
        <v>4</v>
      </c>
      <c r="FB5">
        <v>2</v>
      </c>
      <c r="FC5">
        <v>0</v>
      </c>
      <c r="FD5">
        <v>3</v>
      </c>
      <c r="FE5">
        <v>4</v>
      </c>
      <c r="FF5">
        <v>6</v>
      </c>
      <c r="FG5">
        <v>1</v>
      </c>
      <c r="FH5">
        <v>2</v>
      </c>
      <c r="FI5">
        <v>8</v>
      </c>
      <c r="FJ5">
        <v>1</v>
      </c>
      <c r="FK5">
        <v>2</v>
      </c>
      <c r="FL5">
        <v>1</v>
      </c>
      <c r="FM5">
        <v>1</v>
      </c>
      <c r="FN5">
        <v>3</v>
      </c>
      <c r="FO5">
        <v>2</v>
      </c>
      <c r="FP5">
        <v>6</v>
      </c>
      <c r="FQ5">
        <v>0</v>
      </c>
      <c r="FR5">
        <v>2</v>
      </c>
      <c r="FS5">
        <v>3</v>
      </c>
      <c r="FT5">
        <v>0</v>
      </c>
      <c r="FU5">
        <v>3</v>
      </c>
      <c r="FV5">
        <v>1</v>
      </c>
      <c r="FW5">
        <v>1</v>
      </c>
      <c r="FX5">
        <v>0</v>
      </c>
      <c r="FY5">
        <v>1</v>
      </c>
      <c r="FZ5">
        <v>0</v>
      </c>
      <c r="GA5">
        <v>2</v>
      </c>
      <c r="GB5">
        <v>1</v>
      </c>
      <c r="GC5">
        <v>2</v>
      </c>
      <c r="GD5">
        <v>1</v>
      </c>
      <c r="GE5">
        <v>0</v>
      </c>
      <c r="GF5">
        <v>0</v>
      </c>
      <c r="GG5">
        <v>1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0</v>
      </c>
      <c r="GO5">
        <v>1</v>
      </c>
      <c r="GP5">
        <v>0</v>
      </c>
      <c r="GQ5">
        <v>0</v>
      </c>
      <c r="GR5">
        <v>1</v>
      </c>
      <c r="GS5">
        <v>51</v>
      </c>
    </row>
    <row r="6" spans="1:201" x14ac:dyDescent="0.3">
      <c r="A6" t="s">
        <v>201</v>
      </c>
      <c r="B6" t="s">
        <v>200</v>
      </c>
      <c r="C6" t="s">
        <v>203</v>
      </c>
      <c r="D6" s="1">
        <f>D9+D12+D15+D18+D21+D24+D27+D30+D33+D36+D39+D42+D45+D48+D51+D54+D57+D60+D63+D66+D69+D72+D75+D78+D81+D84+D87+D90+D93+D96+D99+D102+D105+D108+D111+D114+D117+D120+D123+D126+D129+D132+D135+D138</f>
        <v>296304</v>
      </c>
      <c r="E6" s="1">
        <f t="shared" ref="E6:BP6" si="8">E9+E12+E15+E18+E21+E24+E27+E30+E33+E36+E39+E42+E45+E48+E51+E54+E57+E60+E63+E66+E69+E72+E75+E78+E81+E84+E87+E90+E93+E96+E99+E102+E105+E108+E111+E114+E117+E120+E123+E126+E129+E132+E135+E138</f>
        <v>28216</v>
      </c>
      <c r="F6" s="1">
        <f t="shared" si="8"/>
        <v>68983</v>
      </c>
      <c r="G6" s="1">
        <f t="shared" si="8"/>
        <v>26279</v>
      </c>
      <c r="H6" s="1">
        <f t="shared" si="8"/>
        <v>22834</v>
      </c>
      <c r="I6" s="1">
        <f t="shared" si="8"/>
        <v>11847</v>
      </c>
      <c r="J6" s="1">
        <f t="shared" si="8"/>
        <v>16796</v>
      </c>
      <c r="K6" s="1">
        <f t="shared" si="8"/>
        <v>9627</v>
      </c>
      <c r="L6" s="1">
        <f t="shared" si="8"/>
        <v>20219</v>
      </c>
      <c r="M6" s="1">
        <f t="shared" si="8"/>
        <v>12566</v>
      </c>
      <c r="N6" s="1">
        <f t="shared" si="8"/>
        <v>11798</v>
      </c>
      <c r="O6" s="1">
        <f t="shared" si="8"/>
        <v>5705</v>
      </c>
      <c r="P6" s="1">
        <f t="shared" si="8"/>
        <v>7836</v>
      </c>
      <c r="Q6" s="1">
        <f t="shared" si="8"/>
        <v>7425</v>
      </c>
      <c r="R6" s="1">
        <f t="shared" si="8"/>
        <v>12632</v>
      </c>
      <c r="S6" s="1">
        <f t="shared" si="8"/>
        <v>1347</v>
      </c>
      <c r="T6" s="1">
        <f t="shared" si="8"/>
        <v>2565</v>
      </c>
      <c r="U6" s="1">
        <f t="shared" si="8"/>
        <v>2765</v>
      </c>
      <c r="V6" s="1">
        <f t="shared" si="8"/>
        <v>4488</v>
      </c>
      <c r="W6" s="1">
        <f t="shared" si="8"/>
        <v>1127</v>
      </c>
      <c r="X6" s="1">
        <f t="shared" si="8"/>
        <v>4197</v>
      </c>
      <c r="Y6" s="1">
        <f t="shared" si="8"/>
        <v>2085</v>
      </c>
      <c r="Z6" s="1">
        <f t="shared" si="8"/>
        <v>2006</v>
      </c>
      <c r="AA6" s="1">
        <f t="shared" si="8"/>
        <v>329</v>
      </c>
      <c r="AB6" s="1">
        <f t="shared" si="8"/>
        <v>578</v>
      </c>
      <c r="AC6" s="1">
        <f t="shared" si="8"/>
        <v>600</v>
      </c>
      <c r="AD6" s="1">
        <f t="shared" si="8"/>
        <v>425</v>
      </c>
      <c r="AE6" s="1">
        <f t="shared" si="8"/>
        <v>803</v>
      </c>
      <c r="AF6" s="1">
        <f t="shared" si="8"/>
        <v>684</v>
      </c>
      <c r="AG6" s="1">
        <f t="shared" si="8"/>
        <v>413</v>
      </c>
      <c r="AH6" s="1">
        <f t="shared" si="8"/>
        <v>251</v>
      </c>
      <c r="AI6" s="1">
        <f t="shared" si="8"/>
        <v>538</v>
      </c>
      <c r="AJ6" s="1">
        <f t="shared" si="8"/>
        <v>414</v>
      </c>
      <c r="AK6" s="1">
        <f t="shared" si="8"/>
        <v>1036</v>
      </c>
      <c r="AL6" s="1">
        <f t="shared" si="8"/>
        <v>264</v>
      </c>
      <c r="AM6" s="1">
        <f t="shared" si="8"/>
        <v>82</v>
      </c>
      <c r="AN6" s="1">
        <f t="shared" si="8"/>
        <v>275</v>
      </c>
      <c r="AO6" s="1">
        <f t="shared" si="8"/>
        <v>436</v>
      </c>
      <c r="AP6" s="1">
        <f t="shared" si="8"/>
        <v>379</v>
      </c>
      <c r="AQ6" s="1">
        <f t="shared" si="8"/>
        <v>195</v>
      </c>
      <c r="AR6" s="1">
        <f t="shared" si="8"/>
        <v>179</v>
      </c>
      <c r="AS6" s="1">
        <f t="shared" si="8"/>
        <v>161</v>
      </c>
      <c r="AT6" s="1">
        <f t="shared" si="8"/>
        <v>79</v>
      </c>
      <c r="AU6" s="1">
        <f t="shared" si="8"/>
        <v>148</v>
      </c>
      <c r="AV6" s="1">
        <f t="shared" si="8"/>
        <v>478</v>
      </c>
      <c r="AW6" s="1">
        <f t="shared" si="8"/>
        <v>93</v>
      </c>
      <c r="AX6" s="1">
        <f t="shared" si="8"/>
        <v>120</v>
      </c>
      <c r="AY6" s="1">
        <f t="shared" si="8"/>
        <v>76</v>
      </c>
      <c r="AZ6" s="1">
        <f t="shared" si="8"/>
        <v>167</v>
      </c>
      <c r="BA6" s="1">
        <f t="shared" si="8"/>
        <v>53</v>
      </c>
      <c r="BB6" s="1">
        <f t="shared" si="8"/>
        <v>43</v>
      </c>
      <c r="BC6" s="1">
        <f t="shared" si="8"/>
        <v>80</v>
      </c>
      <c r="BD6" s="1">
        <f t="shared" si="8"/>
        <v>34</v>
      </c>
      <c r="BE6" s="1">
        <f t="shared" si="8"/>
        <v>313</v>
      </c>
      <c r="BF6" s="1">
        <f t="shared" si="8"/>
        <v>188</v>
      </c>
      <c r="BG6" s="1">
        <f t="shared" si="8"/>
        <v>118</v>
      </c>
      <c r="BH6" s="1">
        <f t="shared" si="8"/>
        <v>40</v>
      </c>
      <c r="BI6" s="1">
        <f t="shared" si="8"/>
        <v>53</v>
      </c>
      <c r="BJ6" s="1">
        <f t="shared" si="8"/>
        <v>65</v>
      </c>
      <c r="BK6" s="1">
        <f t="shared" si="8"/>
        <v>390</v>
      </c>
      <c r="BL6" s="1">
        <f t="shared" si="8"/>
        <v>113</v>
      </c>
      <c r="BM6" s="1">
        <f t="shared" si="8"/>
        <v>176</v>
      </c>
      <c r="BN6" s="1">
        <f t="shared" si="8"/>
        <v>47</v>
      </c>
      <c r="BO6" s="1">
        <f t="shared" si="8"/>
        <v>49</v>
      </c>
      <c r="BP6" s="1">
        <f t="shared" si="8"/>
        <v>111</v>
      </c>
      <c r="BQ6" s="1">
        <f t="shared" ref="BQ6:EB6" si="9">BQ9+BQ12+BQ15+BQ18+BQ21+BQ24+BQ27+BQ30+BQ33+BQ36+BQ39+BQ42+BQ45+BQ48+BQ51+BQ54+BQ57+BQ60+BQ63+BQ66+BQ69+BQ72+BQ75+BQ78+BQ81+BQ84+BQ87+BQ90+BQ93+BQ96+BQ99+BQ102+BQ105+BQ108+BQ111+BQ114+BQ117+BQ120+BQ123+BQ126+BQ129+BQ132+BQ135+BQ138</f>
        <v>158</v>
      </c>
      <c r="BR6" s="1">
        <f t="shared" si="9"/>
        <v>54</v>
      </c>
      <c r="BS6" s="1">
        <f t="shared" si="9"/>
        <v>70</v>
      </c>
      <c r="BT6" s="1">
        <f t="shared" si="9"/>
        <v>125</v>
      </c>
      <c r="BU6" s="1">
        <f t="shared" si="9"/>
        <v>23</v>
      </c>
      <c r="BV6" s="1">
        <f t="shared" si="9"/>
        <v>32</v>
      </c>
      <c r="BW6" s="1">
        <f t="shared" si="9"/>
        <v>29</v>
      </c>
      <c r="BX6" s="1">
        <f t="shared" si="9"/>
        <v>206</v>
      </c>
      <c r="BY6" s="1">
        <f t="shared" si="9"/>
        <v>127</v>
      </c>
      <c r="BZ6" s="1">
        <f t="shared" si="9"/>
        <v>20</v>
      </c>
      <c r="CA6" s="1">
        <f t="shared" si="9"/>
        <v>32</v>
      </c>
      <c r="CB6" s="1">
        <f t="shared" si="9"/>
        <v>88</v>
      </c>
      <c r="CC6" s="1">
        <f t="shared" si="9"/>
        <v>8</v>
      </c>
      <c r="CD6" s="1">
        <f t="shared" si="9"/>
        <v>17</v>
      </c>
      <c r="CE6" s="1">
        <f t="shared" si="9"/>
        <v>26</v>
      </c>
      <c r="CF6" s="1">
        <f t="shared" si="9"/>
        <v>9</v>
      </c>
      <c r="CG6" s="1">
        <f t="shared" si="9"/>
        <v>15</v>
      </c>
      <c r="CH6" s="1">
        <f t="shared" si="9"/>
        <v>72</v>
      </c>
      <c r="CI6" s="1">
        <f t="shared" si="9"/>
        <v>12</v>
      </c>
      <c r="CJ6" s="1">
        <f t="shared" si="9"/>
        <v>19</v>
      </c>
      <c r="CK6" s="1">
        <f t="shared" si="9"/>
        <v>25</v>
      </c>
      <c r="CL6" s="1">
        <f t="shared" si="9"/>
        <v>22</v>
      </c>
      <c r="CM6" s="1">
        <f t="shared" si="9"/>
        <v>73</v>
      </c>
      <c r="CN6" s="1">
        <f t="shared" si="9"/>
        <v>1</v>
      </c>
      <c r="CO6" s="1">
        <f t="shared" si="9"/>
        <v>66</v>
      </c>
      <c r="CP6" s="1">
        <f t="shared" si="9"/>
        <v>17</v>
      </c>
      <c r="CQ6" s="1">
        <f t="shared" si="9"/>
        <v>10</v>
      </c>
      <c r="CR6" s="1">
        <f t="shared" si="9"/>
        <v>45</v>
      </c>
      <c r="CS6" s="1">
        <f t="shared" si="9"/>
        <v>20</v>
      </c>
      <c r="CT6" s="1">
        <f t="shared" si="9"/>
        <v>10</v>
      </c>
      <c r="CU6" s="1">
        <f t="shared" si="9"/>
        <v>4</v>
      </c>
      <c r="CV6" s="1">
        <f t="shared" si="9"/>
        <v>9</v>
      </c>
      <c r="CW6" s="1">
        <f t="shared" si="9"/>
        <v>7</v>
      </c>
      <c r="CX6" s="1">
        <f t="shared" si="9"/>
        <v>42</v>
      </c>
      <c r="CY6" s="1">
        <f t="shared" si="9"/>
        <v>4</v>
      </c>
      <c r="CZ6" s="1">
        <f t="shared" si="9"/>
        <v>4</v>
      </c>
      <c r="DA6" s="1">
        <f t="shared" si="9"/>
        <v>18</v>
      </c>
      <c r="DB6" s="1">
        <f t="shared" si="9"/>
        <v>6</v>
      </c>
      <c r="DC6" s="1">
        <f t="shared" si="9"/>
        <v>21</v>
      </c>
      <c r="DD6" s="1">
        <f t="shared" si="9"/>
        <v>8</v>
      </c>
      <c r="DE6" s="1">
        <f t="shared" si="9"/>
        <v>29</v>
      </c>
      <c r="DF6" s="1">
        <f t="shared" si="9"/>
        <v>27</v>
      </c>
      <c r="DG6" s="1">
        <f t="shared" si="9"/>
        <v>5</v>
      </c>
      <c r="DH6" s="1">
        <f t="shared" si="9"/>
        <v>6</v>
      </c>
      <c r="DI6" s="1">
        <f t="shared" si="9"/>
        <v>9</v>
      </c>
      <c r="DJ6" s="1">
        <f t="shared" si="9"/>
        <v>9</v>
      </c>
      <c r="DK6" s="1">
        <f t="shared" si="9"/>
        <v>2</v>
      </c>
      <c r="DL6" s="1">
        <f t="shared" si="9"/>
        <v>4</v>
      </c>
      <c r="DM6" s="1">
        <f t="shared" si="9"/>
        <v>6</v>
      </c>
      <c r="DN6" s="1">
        <f t="shared" si="9"/>
        <v>3</v>
      </c>
      <c r="DO6" s="1">
        <f t="shared" si="9"/>
        <v>6</v>
      </c>
      <c r="DP6" s="1">
        <f t="shared" si="9"/>
        <v>6</v>
      </c>
      <c r="DQ6" s="1">
        <f t="shared" si="9"/>
        <v>7</v>
      </c>
      <c r="DR6" s="1">
        <f t="shared" si="9"/>
        <v>2</v>
      </c>
      <c r="DS6" s="1">
        <f t="shared" si="9"/>
        <v>4</v>
      </c>
      <c r="DT6" s="1">
        <f t="shared" si="9"/>
        <v>5</v>
      </c>
      <c r="DU6" s="1">
        <f t="shared" si="9"/>
        <v>7</v>
      </c>
      <c r="DV6" s="1">
        <f t="shared" si="9"/>
        <v>2</v>
      </c>
      <c r="DW6" s="1">
        <f t="shared" si="9"/>
        <v>1</v>
      </c>
      <c r="DX6" s="1">
        <f t="shared" si="9"/>
        <v>8</v>
      </c>
      <c r="DY6" s="1">
        <f t="shared" si="9"/>
        <v>9</v>
      </c>
      <c r="DZ6" s="1">
        <f t="shared" si="9"/>
        <v>4</v>
      </c>
      <c r="EA6" s="1">
        <f t="shared" si="9"/>
        <v>7</v>
      </c>
      <c r="EB6" s="1">
        <f t="shared" si="9"/>
        <v>4</v>
      </c>
      <c r="EC6" s="1">
        <f t="shared" ref="EC6:GN6" si="10">EC9+EC12+EC15+EC18+EC21+EC24+EC27+EC30+EC33+EC36+EC39+EC42+EC45+EC48+EC51+EC54+EC57+EC60+EC63+EC66+EC69+EC72+EC75+EC78+EC81+EC84+EC87+EC90+EC93+EC96+EC99+EC102+EC105+EC108+EC111+EC114+EC117+EC120+EC123+EC126+EC129+EC132+EC135+EC138</f>
        <v>1</v>
      </c>
      <c r="ED6" s="1">
        <f t="shared" si="10"/>
        <v>0</v>
      </c>
      <c r="EE6" s="1">
        <f t="shared" si="10"/>
        <v>1</v>
      </c>
      <c r="EF6" s="1">
        <f t="shared" si="10"/>
        <v>16</v>
      </c>
      <c r="EG6" s="1">
        <f t="shared" si="10"/>
        <v>3</v>
      </c>
      <c r="EH6" s="1">
        <f t="shared" si="10"/>
        <v>6</v>
      </c>
      <c r="EI6" s="1">
        <f t="shared" si="10"/>
        <v>23</v>
      </c>
      <c r="EJ6" s="1">
        <f t="shared" si="10"/>
        <v>3</v>
      </c>
      <c r="EK6" s="1">
        <f t="shared" si="10"/>
        <v>6</v>
      </c>
      <c r="EL6" s="1">
        <f t="shared" si="10"/>
        <v>0</v>
      </c>
      <c r="EM6" s="1">
        <f t="shared" si="10"/>
        <v>10</v>
      </c>
      <c r="EN6" s="1">
        <f t="shared" si="10"/>
        <v>3</v>
      </c>
      <c r="EO6" s="1">
        <f t="shared" si="10"/>
        <v>3</v>
      </c>
      <c r="EP6" s="1">
        <f t="shared" si="10"/>
        <v>2</v>
      </c>
      <c r="EQ6" s="1">
        <f t="shared" si="10"/>
        <v>0</v>
      </c>
      <c r="ER6" s="1">
        <f t="shared" si="10"/>
        <v>2</v>
      </c>
      <c r="ES6" s="1">
        <f t="shared" si="10"/>
        <v>3</v>
      </c>
      <c r="ET6" s="1">
        <f t="shared" si="10"/>
        <v>1</v>
      </c>
      <c r="EU6" s="1">
        <f t="shared" si="10"/>
        <v>3</v>
      </c>
      <c r="EV6" s="1">
        <f t="shared" si="10"/>
        <v>5</v>
      </c>
      <c r="EW6" s="1">
        <f t="shared" si="10"/>
        <v>2</v>
      </c>
      <c r="EX6" s="1">
        <f t="shared" si="10"/>
        <v>1</v>
      </c>
      <c r="EY6" s="1">
        <f t="shared" si="10"/>
        <v>3</v>
      </c>
      <c r="EZ6" s="1">
        <f t="shared" si="10"/>
        <v>0</v>
      </c>
      <c r="FA6" s="1">
        <f t="shared" si="10"/>
        <v>2</v>
      </c>
      <c r="FB6" s="1">
        <f t="shared" si="10"/>
        <v>1</v>
      </c>
      <c r="FC6" s="1">
        <f t="shared" si="10"/>
        <v>0</v>
      </c>
      <c r="FD6" s="1">
        <f t="shared" si="10"/>
        <v>2</v>
      </c>
      <c r="FE6" s="1">
        <f t="shared" si="10"/>
        <v>2</v>
      </c>
      <c r="FF6" s="1">
        <f t="shared" si="10"/>
        <v>3</v>
      </c>
      <c r="FG6" s="1">
        <f t="shared" si="10"/>
        <v>0</v>
      </c>
      <c r="FH6" s="1">
        <f t="shared" si="10"/>
        <v>2</v>
      </c>
      <c r="FI6" s="1">
        <f t="shared" si="10"/>
        <v>2</v>
      </c>
      <c r="FJ6" s="1">
        <f t="shared" si="10"/>
        <v>0</v>
      </c>
      <c r="FK6" s="1">
        <f t="shared" si="10"/>
        <v>2</v>
      </c>
      <c r="FL6" s="1">
        <f t="shared" si="10"/>
        <v>0</v>
      </c>
      <c r="FM6" s="1">
        <f t="shared" si="10"/>
        <v>1</v>
      </c>
      <c r="FN6" s="1">
        <f t="shared" si="10"/>
        <v>0</v>
      </c>
      <c r="FO6" s="1">
        <f t="shared" si="10"/>
        <v>0</v>
      </c>
      <c r="FP6" s="1">
        <f t="shared" si="10"/>
        <v>6</v>
      </c>
      <c r="FQ6" s="1">
        <f t="shared" si="10"/>
        <v>0</v>
      </c>
      <c r="FR6" s="1">
        <f t="shared" si="10"/>
        <v>2</v>
      </c>
      <c r="FS6" s="1">
        <f t="shared" si="10"/>
        <v>1</v>
      </c>
      <c r="FT6" s="1">
        <f t="shared" si="10"/>
        <v>0</v>
      </c>
      <c r="FU6" s="1">
        <f t="shared" si="10"/>
        <v>3</v>
      </c>
      <c r="FV6" s="1">
        <f t="shared" si="10"/>
        <v>1</v>
      </c>
      <c r="FW6" s="1">
        <f t="shared" si="10"/>
        <v>0</v>
      </c>
      <c r="FX6" s="1">
        <f t="shared" si="10"/>
        <v>0</v>
      </c>
      <c r="FY6" s="1">
        <f t="shared" si="10"/>
        <v>1</v>
      </c>
      <c r="FZ6" s="1">
        <f t="shared" si="10"/>
        <v>0</v>
      </c>
      <c r="GA6" s="1">
        <f t="shared" si="10"/>
        <v>0</v>
      </c>
      <c r="GB6" s="1">
        <f t="shared" si="10"/>
        <v>0</v>
      </c>
      <c r="GC6" s="1">
        <f t="shared" si="10"/>
        <v>2</v>
      </c>
      <c r="GD6" s="1">
        <f t="shared" si="10"/>
        <v>1</v>
      </c>
      <c r="GE6" s="1">
        <f t="shared" si="10"/>
        <v>0</v>
      </c>
      <c r="GF6" s="1">
        <f t="shared" si="10"/>
        <v>0</v>
      </c>
      <c r="GG6" s="1">
        <f t="shared" si="10"/>
        <v>1</v>
      </c>
      <c r="GH6" s="1">
        <f t="shared" si="10"/>
        <v>0</v>
      </c>
      <c r="GI6" s="1">
        <f t="shared" si="10"/>
        <v>0</v>
      </c>
      <c r="GJ6" s="1">
        <f t="shared" si="10"/>
        <v>1</v>
      </c>
      <c r="GK6" s="1">
        <f t="shared" si="10"/>
        <v>0</v>
      </c>
      <c r="GL6" s="1">
        <f t="shared" si="10"/>
        <v>0</v>
      </c>
      <c r="GM6" s="1">
        <f t="shared" si="10"/>
        <v>0</v>
      </c>
      <c r="GN6" s="1">
        <f t="shared" si="10"/>
        <v>0</v>
      </c>
      <c r="GO6" s="1">
        <f t="shared" ref="GO6:GS6" si="11">GO9+GO12+GO15+GO18+GO21+GO24+GO27+GO30+GO33+GO36+GO39+GO42+GO45+GO48+GO51+GO54+GO57+GO60+GO63+GO66+GO69+GO72+GO75+GO78+GO81+GO84+GO87+GO90+GO93+GO96+GO99+GO102+GO105+GO108+GO111+GO114+GO117+GO120+GO123+GO126+GO129+GO132+GO135+GO138</f>
        <v>0</v>
      </c>
      <c r="GP6" s="1">
        <f t="shared" si="11"/>
        <v>0</v>
      </c>
      <c r="GQ6" s="1">
        <f t="shared" si="11"/>
        <v>0</v>
      </c>
      <c r="GR6" s="1">
        <f t="shared" si="11"/>
        <v>1</v>
      </c>
      <c r="GS6" s="1">
        <f t="shared" si="11"/>
        <v>25</v>
      </c>
    </row>
    <row r="7" spans="1:201" x14ac:dyDescent="0.3">
      <c r="A7" t="s">
        <v>201</v>
      </c>
      <c r="B7" t="s">
        <v>200</v>
      </c>
      <c r="C7" t="s">
        <v>204</v>
      </c>
      <c r="D7" s="1">
        <f>D10+D13+D16+D19+D22+D25+D28+D31+D34+D37+D40+D43+D46+D49+D52+D55+D58+D61+D64+D67+D70+D73+D76+D79+D82+D85+D88+D91+D94+D97+D100+D103+D106+D109+D112+D115+D118+D121+D124+D127+D130+D133+D136+D139</f>
        <v>196515</v>
      </c>
      <c r="E7" s="1">
        <f t="shared" ref="E7:BP7" si="12">E10+E13+E16+E19+E22+E25+E28+E31+E34+E37+E40+E43+E46+E49+E52+E55+E58+E61+E64+E67+E70+E73+E76+E79+E82+E85+E88+E91+E94+E97+E100+E103+E106+E109+E112+E115+E118+E121+E124+E127+E130+E133+E136+E139</f>
        <v>28053</v>
      </c>
      <c r="F7" s="1">
        <f t="shared" si="12"/>
        <v>52896</v>
      </c>
      <c r="G7" s="1">
        <f t="shared" si="12"/>
        <v>40807</v>
      </c>
      <c r="H7" s="1">
        <f t="shared" si="12"/>
        <v>4895</v>
      </c>
      <c r="I7" s="1">
        <f t="shared" si="12"/>
        <v>5515</v>
      </c>
      <c r="J7" s="1">
        <f t="shared" si="12"/>
        <v>5547</v>
      </c>
      <c r="K7" s="1">
        <f t="shared" si="12"/>
        <v>1488</v>
      </c>
      <c r="L7" s="1">
        <f t="shared" si="12"/>
        <v>2739</v>
      </c>
      <c r="M7" s="1">
        <f t="shared" si="12"/>
        <v>6733</v>
      </c>
      <c r="N7" s="1">
        <f t="shared" si="12"/>
        <v>6569</v>
      </c>
      <c r="O7" s="1">
        <f t="shared" si="12"/>
        <v>6255</v>
      </c>
      <c r="P7" s="1">
        <f t="shared" si="12"/>
        <v>5895</v>
      </c>
      <c r="Q7" s="1">
        <f t="shared" si="12"/>
        <v>1011</v>
      </c>
      <c r="R7" s="1">
        <f t="shared" si="12"/>
        <v>2562</v>
      </c>
      <c r="S7" s="1">
        <f t="shared" si="12"/>
        <v>5784</v>
      </c>
      <c r="T7" s="1">
        <f t="shared" si="12"/>
        <v>2909</v>
      </c>
      <c r="U7" s="1">
        <f t="shared" si="12"/>
        <v>2752</v>
      </c>
      <c r="V7" s="1">
        <f t="shared" si="12"/>
        <v>950</v>
      </c>
      <c r="W7" s="1">
        <f t="shared" si="12"/>
        <v>1459</v>
      </c>
      <c r="X7" s="1">
        <f t="shared" si="12"/>
        <v>1140</v>
      </c>
      <c r="Y7" s="1">
        <f t="shared" si="12"/>
        <v>595</v>
      </c>
      <c r="Z7" s="1">
        <f t="shared" si="12"/>
        <v>877</v>
      </c>
      <c r="AA7" s="1">
        <f t="shared" si="12"/>
        <v>275</v>
      </c>
      <c r="AB7" s="1">
        <f t="shared" si="12"/>
        <v>442</v>
      </c>
      <c r="AC7" s="1">
        <f t="shared" si="12"/>
        <v>422</v>
      </c>
      <c r="AD7" s="1">
        <f t="shared" si="12"/>
        <v>876</v>
      </c>
      <c r="AE7" s="1">
        <f t="shared" si="12"/>
        <v>42</v>
      </c>
      <c r="AF7" s="1">
        <f t="shared" si="12"/>
        <v>424</v>
      </c>
      <c r="AG7" s="1">
        <f t="shared" si="12"/>
        <v>364</v>
      </c>
      <c r="AH7" s="1">
        <f t="shared" si="12"/>
        <v>201</v>
      </c>
      <c r="AI7" s="1">
        <f t="shared" si="12"/>
        <v>145</v>
      </c>
      <c r="AJ7" s="1">
        <f t="shared" si="12"/>
        <v>389</v>
      </c>
      <c r="AK7" s="1">
        <f t="shared" si="12"/>
        <v>256</v>
      </c>
      <c r="AL7" s="1">
        <f t="shared" si="12"/>
        <v>486</v>
      </c>
      <c r="AM7" s="1">
        <f t="shared" si="12"/>
        <v>366</v>
      </c>
      <c r="AN7" s="1">
        <f t="shared" si="12"/>
        <v>176</v>
      </c>
      <c r="AO7" s="1">
        <f t="shared" si="12"/>
        <v>72</v>
      </c>
      <c r="AP7" s="1">
        <f t="shared" si="12"/>
        <v>161</v>
      </c>
      <c r="AQ7" s="1">
        <f t="shared" si="12"/>
        <v>285</v>
      </c>
      <c r="AR7" s="1">
        <f t="shared" si="12"/>
        <v>104</v>
      </c>
      <c r="AS7" s="1">
        <f t="shared" si="12"/>
        <v>203</v>
      </c>
      <c r="AT7" s="1">
        <f t="shared" si="12"/>
        <v>98</v>
      </c>
      <c r="AU7" s="1">
        <f t="shared" si="12"/>
        <v>169</v>
      </c>
      <c r="AV7" s="1">
        <f t="shared" si="12"/>
        <v>97</v>
      </c>
      <c r="AW7" s="1">
        <f t="shared" si="12"/>
        <v>97</v>
      </c>
      <c r="AX7" s="1">
        <f t="shared" si="12"/>
        <v>45</v>
      </c>
      <c r="AY7" s="1">
        <f t="shared" si="12"/>
        <v>140</v>
      </c>
      <c r="AZ7" s="1">
        <f t="shared" si="12"/>
        <v>103</v>
      </c>
      <c r="BA7" s="1">
        <f t="shared" si="12"/>
        <v>94</v>
      </c>
      <c r="BB7" s="1">
        <f t="shared" si="12"/>
        <v>48</v>
      </c>
      <c r="BC7" s="1">
        <f t="shared" si="12"/>
        <v>58</v>
      </c>
      <c r="BD7" s="1">
        <f t="shared" si="12"/>
        <v>6</v>
      </c>
      <c r="BE7" s="1">
        <f t="shared" si="12"/>
        <v>203</v>
      </c>
      <c r="BF7" s="1">
        <f t="shared" si="12"/>
        <v>58</v>
      </c>
      <c r="BG7" s="1">
        <f t="shared" si="12"/>
        <v>71</v>
      </c>
      <c r="BH7" s="1">
        <f t="shared" si="12"/>
        <v>94</v>
      </c>
      <c r="BI7" s="1">
        <f t="shared" si="12"/>
        <v>59</v>
      </c>
      <c r="BJ7" s="1">
        <f t="shared" si="12"/>
        <v>42</v>
      </c>
      <c r="BK7" s="1">
        <f t="shared" si="12"/>
        <v>94</v>
      </c>
      <c r="BL7" s="1">
        <f t="shared" si="12"/>
        <v>96</v>
      </c>
      <c r="BM7" s="1">
        <f t="shared" si="12"/>
        <v>54</v>
      </c>
      <c r="BN7" s="1">
        <f t="shared" si="12"/>
        <v>94</v>
      </c>
      <c r="BO7" s="1">
        <f t="shared" si="12"/>
        <v>18</v>
      </c>
      <c r="BP7" s="1">
        <f t="shared" si="12"/>
        <v>70</v>
      </c>
      <c r="BQ7" s="1">
        <f t="shared" ref="BQ7:EB7" si="13">BQ10+BQ13+BQ16+BQ19+BQ22+BQ25+BQ28+BQ31+BQ34+BQ37+BQ40+BQ43+BQ46+BQ49+BQ52+BQ55+BQ58+BQ61+BQ64+BQ67+BQ70+BQ73+BQ76+BQ79+BQ82+BQ85+BQ88+BQ91+BQ94+BQ97+BQ100+BQ103+BQ106+BQ109+BQ112+BQ115+BQ118+BQ121+BQ124+BQ127+BQ130+BQ133+BQ136+BQ139</f>
        <v>62</v>
      </c>
      <c r="BR7" s="1">
        <f t="shared" si="13"/>
        <v>41</v>
      </c>
      <c r="BS7" s="1">
        <f t="shared" si="13"/>
        <v>40</v>
      </c>
      <c r="BT7" s="1">
        <f t="shared" si="13"/>
        <v>33</v>
      </c>
      <c r="BU7" s="1">
        <f t="shared" si="13"/>
        <v>39</v>
      </c>
      <c r="BV7" s="1">
        <f t="shared" si="13"/>
        <v>63</v>
      </c>
      <c r="BW7" s="1">
        <f t="shared" si="13"/>
        <v>46</v>
      </c>
      <c r="BX7" s="1">
        <f t="shared" si="13"/>
        <v>117</v>
      </c>
      <c r="BY7" s="1">
        <f t="shared" si="13"/>
        <v>94</v>
      </c>
      <c r="BZ7" s="1">
        <f t="shared" si="13"/>
        <v>10</v>
      </c>
      <c r="CA7" s="1">
        <f t="shared" si="13"/>
        <v>21</v>
      </c>
      <c r="CB7" s="1">
        <f t="shared" si="13"/>
        <v>20</v>
      </c>
      <c r="CC7" s="1">
        <f t="shared" si="13"/>
        <v>40</v>
      </c>
      <c r="CD7" s="1">
        <f t="shared" si="13"/>
        <v>67</v>
      </c>
      <c r="CE7" s="1">
        <f t="shared" si="13"/>
        <v>24</v>
      </c>
      <c r="CF7" s="1">
        <f t="shared" si="13"/>
        <v>7</v>
      </c>
      <c r="CG7" s="1">
        <f t="shared" si="13"/>
        <v>38</v>
      </c>
      <c r="CH7" s="1">
        <f t="shared" si="13"/>
        <v>13</v>
      </c>
      <c r="CI7" s="1">
        <f t="shared" si="13"/>
        <v>31</v>
      </c>
      <c r="CJ7" s="1">
        <f t="shared" si="13"/>
        <v>20</v>
      </c>
      <c r="CK7" s="1">
        <f t="shared" si="13"/>
        <v>6</v>
      </c>
      <c r="CL7" s="1">
        <f t="shared" si="13"/>
        <v>23</v>
      </c>
      <c r="CM7" s="1">
        <f t="shared" si="13"/>
        <v>26</v>
      </c>
      <c r="CN7" s="1">
        <f t="shared" si="13"/>
        <v>1</v>
      </c>
      <c r="CO7" s="1">
        <f t="shared" si="13"/>
        <v>7</v>
      </c>
      <c r="CP7" s="1">
        <f t="shared" si="13"/>
        <v>27</v>
      </c>
      <c r="CQ7" s="1">
        <f t="shared" si="13"/>
        <v>12</v>
      </c>
      <c r="CR7" s="1">
        <f t="shared" si="13"/>
        <v>33</v>
      </c>
      <c r="CS7" s="1">
        <f t="shared" si="13"/>
        <v>31</v>
      </c>
      <c r="CT7" s="1">
        <f t="shared" si="13"/>
        <v>15</v>
      </c>
      <c r="CU7" s="1">
        <f t="shared" si="13"/>
        <v>13</v>
      </c>
      <c r="CV7" s="1">
        <f t="shared" si="13"/>
        <v>28</v>
      </c>
      <c r="CW7" s="1">
        <f t="shared" si="13"/>
        <v>21</v>
      </c>
      <c r="CX7" s="1">
        <f t="shared" si="13"/>
        <v>22</v>
      </c>
      <c r="CY7" s="1">
        <f t="shared" si="13"/>
        <v>14</v>
      </c>
      <c r="CZ7" s="1">
        <f t="shared" si="13"/>
        <v>17</v>
      </c>
      <c r="DA7" s="1">
        <f t="shared" si="13"/>
        <v>17</v>
      </c>
      <c r="DB7" s="1">
        <f t="shared" si="13"/>
        <v>3</v>
      </c>
      <c r="DC7" s="1">
        <f t="shared" si="13"/>
        <v>4</v>
      </c>
      <c r="DD7" s="1">
        <f t="shared" si="13"/>
        <v>11</v>
      </c>
      <c r="DE7" s="1">
        <f t="shared" si="13"/>
        <v>9</v>
      </c>
      <c r="DF7" s="1">
        <f t="shared" si="13"/>
        <v>10</v>
      </c>
      <c r="DG7" s="1">
        <f t="shared" si="13"/>
        <v>10</v>
      </c>
      <c r="DH7" s="1">
        <f t="shared" si="13"/>
        <v>4</v>
      </c>
      <c r="DI7" s="1">
        <f t="shared" si="13"/>
        <v>11</v>
      </c>
      <c r="DJ7" s="1">
        <f t="shared" si="13"/>
        <v>5</v>
      </c>
      <c r="DK7" s="1">
        <f t="shared" si="13"/>
        <v>6</v>
      </c>
      <c r="DL7" s="1">
        <f t="shared" si="13"/>
        <v>11</v>
      </c>
      <c r="DM7" s="1">
        <f t="shared" si="13"/>
        <v>12</v>
      </c>
      <c r="DN7" s="1">
        <f t="shared" si="13"/>
        <v>8</v>
      </c>
      <c r="DO7" s="1">
        <f t="shared" si="13"/>
        <v>11</v>
      </c>
      <c r="DP7" s="1">
        <f t="shared" si="13"/>
        <v>7</v>
      </c>
      <c r="DQ7" s="1">
        <f t="shared" si="13"/>
        <v>10</v>
      </c>
      <c r="DR7" s="1">
        <f t="shared" si="13"/>
        <v>17</v>
      </c>
      <c r="DS7" s="1">
        <f t="shared" si="13"/>
        <v>7</v>
      </c>
      <c r="DT7" s="1">
        <f t="shared" si="13"/>
        <v>11</v>
      </c>
      <c r="DU7" s="1">
        <f t="shared" si="13"/>
        <v>3</v>
      </c>
      <c r="DV7" s="1">
        <f t="shared" si="13"/>
        <v>9</v>
      </c>
      <c r="DW7" s="1">
        <f t="shared" si="13"/>
        <v>1</v>
      </c>
      <c r="DX7" s="1">
        <f t="shared" si="13"/>
        <v>4</v>
      </c>
      <c r="DY7" s="1">
        <f t="shared" si="13"/>
        <v>20</v>
      </c>
      <c r="DZ7" s="1">
        <f t="shared" si="13"/>
        <v>14</v>
      </c>
      <c r="EA7" s="1">
        <f t="shared" si="13"/>
        <v>9</v>
      </c>
      <c r="EB7" s="1">
        <f t="shared" si="13"/>
        <v>5</v>
      </c>
      <c r="EC7" s="1">
        <f t="shared" ref="EC7:GN7" si="14">EC10+EC13+EC16+EC19+EC22+EC25+EC28+EC31+EC34+EC37+EC40+EC43+EC46+EC49+EC52+EC55+EC58+EC61+EC64+EC67+EC70+EC73+EC76+EC79+EC82+EC85+EC88+EC91+EC94+EC97+EC100+EC103+EC106+EC109+EC112+EC115+EC118+EC121+EC124+EC127+EC130+EC133+EC136+EC139</f>
        <v>2</v>
      </c>
      <c r="ED7" s="1">
        <f t="shared" si="14"/>
        <v>0</v>
      </c>
      <c r="EE7" s="1">
        <f t="shared" si="14"/>
        <v>6</v>
      </c>
      <c r="EF7" s="1">
        <f t="shared" si="14"/>
        <v>4</v>
      </c>
      <c r="EG7" s="1">
        <f t="shared" si="14"/>
        <v>2</v>
      </c>
      <c r="EH7" s="1">
        <f t="shared" si="14"/>
        <v>5</v>
      </c>
      <c r="EI7" s="1">
        <f t="shared" si="14"/>
        <v>3</v>
      </c>
      <c r="EJ7" s="1">
        <f t="shared" si="14"/>
        <v>4</v>
      </c>
      <c r="EK7" s="1">
        <f t="shared" si="14"/>
        <v>8</v>
      </c>
      <c r="EL7" s="1">
        <f t="shared" si="14"/>
        <v>1</v>
      </c>
      <c r="EM7" s="1">
        <f t="shared" si="14"/>
        <v>4</v>
      </c>
      <c r="EN7" s="1">
        <f t="shared" si="14"/>
        <v>4</v>
      </c>
      <c r="EO7" s="1">
        <f t="shared" si="14"/>
        <v>3</v>
      </c>
      <c r="EP7" s="1">
        <f t="shared" si="14"/>
        <v>1</v>
      </c>
      <c r="EQ7" s="1">
        <f t="shared" si="14"/>
        <v>2</v>
      </c>
      <c r="ER7" s="1">
        <f t="shared" si="14"/>
        <v>3</v>
      </c>
      <c r="ES7" s="1">
        <f t="shared" si="14"/>
        <v>2</v>
      </c>
      <c r="ET7" s="1">
        <f t="shared" si="14"/>
        <v>4</v>
      </c>
      <c r="EU7" s="1">
        <f t="shared" si="14"/>
        <v>0</v>
      </c>
      <c r="EV7" s="1">
        <f t="shared" si="14"/>
        <v>0</v>
      </c>
      <c r="EW7" s="1">
        <f t="shared" si="14"/>
        <v>2</v>
      </c>
      <c r="EX7" s="1">
        <f t="shared" si="14"/>
        <v>0</v>
      </c>
      <c r="EY7" s="1">
        <f t="shared" si="14"/>
        <v>0</v>
      </c>
      <c r="EZ7" s="1">
        <f t="shared" si="14"/>
        <v>0</v>
      </c>
      <c r="FA7" s="1">
        <f t="shared" si="14"/>
        <v>2</v>
      </c>
      <c r="FB7" s="1">
        <f t="shared" si="14"/>
        <v>1</v>
      </c>
      <c r="FC7" s="1">
        <f t="shared" si="14"/>
        <v>0</v>
      </c>
      <c r="FD7" s="1">
        <f t="shared" si="14"/>
        <v>1</v>
      </c>
      <c r="FE7" s="1">
        <f t="shared" si="14"/>
        <v>2</v>
      </c>
      <c r="FF7" s="1">
        <f t="shared" si="14"/>
        <v>3</v>
      </c>
      <c r="FG7" s="1">
        <f t="shared" si="14"/>
        <v>1</v>
      </c>
      <c r="FH7" s="1">
        <f t="shared" si="14"/>
        <v>0</v>
      </c>
      <c r="FI7" s="1">
        <f t="shared" si="14"/>
        <v>6</v>
      </c>
      <c r="FJ7" s="1">
        <f t="shared" si="14"/>
        <v>1</v>
      </c>
      <c r="FK7" s="1">
        <f t="shared" si="14"/>
        <v>0</v>
      </c>
      <c r="FL7" s="1">
        <f t="shared" si="14"/>
        <v>1</v>
      </c>
      <c r="FM7" s="1">
        <f t="shared" si="14"/>
        <v>0</v>
      </c>
      <c r="FN7" s="1">
        <f t="shared" si="14"/>
        <v>3</v>
      </c>
      <c r="FO7" s="1">
        <f t="shared" si="14"/>
        <v>2</v>
      </c>
      <c r="FP7" s="1">
        <f t="shared" si="14"/>
        <v>0</v>
      </c>
      <c r="FQ7" s="1">
        <f t="shared" si="14"/>
        <v>0</v>
      </c>
      <c r="FR7" s="1">
        <f t="shared" si="14"/>
        <v>0</v>
      </c>
      <c r="FS7" s="1">
        <f t="shared" si="14"/>
        <v>2</v>
      </c>
      <c r="FT7" s="1">
        <f t="shared" si="14"/>
        <v>0</v>
      </c>
      <c r="FU7" s="1">
        <f t="shared" si="14"/>
        <v>0</v>
      </c>
      <c r="FV7" s="1">
        <f t="shared" si="14"/>
        <v>0</v>
      </c>
      <c r="FW7" s="1">
        <f t="shared" si="14"/>
        <v>1</v>
      </c>
      <c r="FX7" s="1">
        <f t="shared" si="14"/>
        <v>0</v>
      </c>
      <c r="FY7" s="1">
        <f t="shared" si="14"/>
        <v>0</v>
      </c>
      <c r="FZ7" s="1">
        <f t="shared" si="14"/>
        <v>0</v>
      </c>
      <c r="GA7" s="1">
        <f t="shared" si="14"/>
        <v>2</v>
      </c>
      <c r="GB7" s="1">
        <f t="shared" si="14"/>
        <v>1</v>
      </c>
      <c r="GC7" s="1">
        <f t="shared" si="14"/>
        <v>0</v>
      </c>
      <c r="GD7" s="1">
        <f t="shared" si="14"/>
        <v>0</v>
      </c>
      <c r="GE7" s="1">
        <f t="shared" si="14"/>
        <v>0</v>
      </c>
      <c r="GF7" s="1">
        <f t="shared" si="14"/>
        <v>0</v>
      </c>
      <c r="GG7" s="1">
        <f t="shared" si="14"/>
        <v>0</v>
      </c>
      <c r="GH7" s="1">
        <f t="shared" si="14"/>
        <v>0</v>
      </c>
      <c r="GI7" s="1">
        <f t="shared" si="14"/>
        <v>0</v>
      </c>
      <c r="GJ7" s="1">
        <f t="shared" si="14"/>
        <v>0</v>
      </c>
      <c r="GK7" s="1">
        <f t="shared" si="14"/>
        <v>0</v>
      </c>
      <c r="GL7" s="1">
        <f t="shared" si="14"/>
        <v>0</v>
      </c>
      <c r="GM7" s="1">
        <f t="shared" si="14"/>
        <v>0</v>
      </c>
      <c r="GN7" s="1">
        <f t="shared" si="14"/>
        <v>0</v>
      </c>
      <c r="GO7" s="1">
        <f t="shared" ref="GO7:GS7" si="15">GO10+GO13+GO16+GO19+GO22+GO25+GO28+GO31+GO34+GO37+GO40+GO43+GO46+GO49+GO52+GO55+GO58+GO61+GO64+GO67+GO70+GO73+GO76+GO79+GO82+GO85+GO88+GO91+GO94+GO97+GO100+GO103+GO106+GO109+GO112+GO115+GO118+GO121+GO124+GO127+GO130+GO133+GO136+GO139</f>
        <v>1</v>
      </c>
      <c r="GP7" s="1">
        <f t="shared" si="15"/>
        <v>0</v>
      </c>
      <c r="GQ7" s="1">
        <f t="shared" si="15"/>
        <v>0</v>
      </c>
      <c r="GR7" s="1">
        <f t="shared" si="15"/>
        <v>0</v>
      </c>
      <c r="GS7" s="1">
        <f t="shared" si="15"/>
        <v>26</v>
      </c>
    </row>
    <row r="8" spans="1:201" x14ac:dyDescent="0.3">
      <c r="A8" t="s">
        <v>201</v>
      </c>
      <c r="B8" t="s">
        <v>202</v>
      </c>
      <c r="C8" t="s">
        <v>200</v>
      </c>
      <c r="D8" s="1">
        <v>1370</v>
      </c>
      <c r="E8">
        <v>172</v>
      </c>
      <c r="F8">
        <v>131</v>
      </c>
      <c r="G8">
        <v>84</v>
      </c>
      <c r="H8">
        <v>112</v>
      </c>
      <c r="I8">
        <v>38</v>
      </c>
      <c r="J8">
        <v>36</v>
      </c>
      <c r="K8">
        <v>8</v>
      </c>
      <c r="L8">
        <v>70</v>
      </c>
      <c r="M8">
        <v>29</v>
      </c>
      <c r="N8">
        <v>48</v>
      </c>
      <c r="O8">
        <v>27</v>
      </c>
      <c r="P8">
        <v>49</v>
      </c>
      <c r="Q8">
        <v>15</v>
      </c>
      <c r="R8">
        <v>37</v>
      </c>
      <c r="S8">
        <v>370</v>
      </c>
      <c r="T8">
        <v>14</v>
      </c>
      <c r="U8">
        <v>6</v>
      </c>
      <c r="V8">
        <v>6</v>
      </c>
      <c r="W8">
        <v>13</v>
      </c>
      <c r="X8">
        <v>7</v>
      </c>
      <c r="Y8">
        <v>5</v>
      </c>
      <c r="Z8">
        <v>1</v>
      </c>
      <c r="AA8">
        <v>6</v>
      </c>
      <c r="AB8">
        <v>4</v>
      </c>
      <c r="AC8">
        <v>9</v>
      </c>
      <c r="AD8">
        <v>11</v>
      </c>
      <c r="AE8">
        <v>0</v>
      </c>
      <c r="AF8">
        <v>3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2</v>
      </c>
      <c r="AN8">
        <v>5</v>
      </c>
      <c r="AO8">
        <v>3</v>
      </c>
      <c r="AP8">
        <v>0</v>
      </c>
      <c r="AQ8">
        <v>0</v>
      </c>
      <c r="AR8">
        <v>0</v>
      </c>
      <c r="AS8">
        <v>10</v>
      </c>
      <c r="AT8">
        <v>3</v>
      </c>
      <c r="AU8">
        <v>1</v>
      </c>
      <c r="AV8">
        <v>4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1</v>
      </c>
      <c r="BT8">
        <v>0</v>
      </c>
      <c r="BU8">
        <v>0</v>
      </c>
      <c r="BV8">
        <v>1</v>
      </c>
      <c r="BW8">
        <v>1</v>
      </c>
      <c r="BX8">
        <v>0</v>
      </c>
      <c r="BY8">
        <v>1</v>
      </c>
      <c r="BZ8">
        <v>0</v>
      </c>
      <c r="CA8">
        <v>1</v>
      </c>
      <c r="CB8">
        <v>6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</v>
      </c>
      <c r="CT8">
        <v>3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2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3">
      <c r="A9" t="s">
        <v>201</v>
      </c>
      <c r="B9" t="s">
        <v>202</v>
      </c>
      <c r="C9" t="s">
        <v>203</v>
      </c>
      <c r="D9">
        <v>619</v>
      </c>
      <c r="E9">
        <v>49</v>
      </c>
      <c r="F9">
        <v>55</v>
      </c>
      <c r="G9">
        <v>24</v>
      </c>
      <c r="H9">
        <v>91</v>
      </c>
      <c r="I9">
        <v>23</v>
      </c>
      <c r="J9">
        <v>9</v>
      </c>
      <c r="K9">
        <v>6</v>
      </c>
      <c r="L9">
        <v>67</v>
      </c>
      <c r="M9">
        <v>7</v>
      </c>
      <c r="N9">
        <v>21</v>
      </c>
      <c r="O9">
        <v>11</v>
      </c>
      <c r="P9">
        <v>25</v>
      </c>
      <c r="Q9">
        <v>15</v>
      </c>
      <c r="R9">
        <v>29</v>
      </c>
      <c r="S9">
        <v>103</v>
      </c>
      <c r="T9">
        <v>7</v>
      </c>
      <c r="U9">
        <v>4</v>
      </c>
      <c r="V9">
        <v>6</v>
      </c>
      <c r="W9">
        <v>8</v>
      </c>
      <c r="X9">
        <v>5</v>
      </c>
      <c r="Y9">
        <v>4</v>
      </c>
      <c r="Z9">
        <v>1</v>
      </c>
      <c r="AA9">
        <v>4</v>
      </c>
      <c r="AB9">
        <v>3</v>
      </c>
      <c r="AC9">
        <v>7</v>
      </c>
      <c r="AD9">
        <v>2</v>
      </c>
      <c r="AE9">
        <v>0</v>
      </c>
      <c r="AF9">
        <v>1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3</v>
      </c>
      <c r="AO9">
        <v>2</v>
      </c>
      <c r="AP9">
        <v>0</v>
      </c>
      <c r="AQ9">
        <v>0</v>
      </c>
      <c r="AR9">
        <v>0</v>
      </c>
      <c r="AS9">
        <v>5</v>
      </c>
      <c r="AT9">
        <v>2</v>
      </c>
      <c r="AU9">
        <v>1</v>
      </c>
      <c r="AV9">
        <v>2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1</v>
      </c>
      <c r="CB9">
        <v>5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2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3">
      <c r="A10" t="s">
        <v>201</v>
      </c>
      <c r="B10" t="s">
        <v>202</v>
      </c>
      <c r="C10" t="s">
        <v>204</v>
      </c>
      <c r="D10">
        <v>751</v>
      </c>
      <c r="E10">
        <v>123</v>
      </c>
      <c r="F10">
        <v>76</v>
      </c>
      <c r="G10">
        <v>60</v>
      </c>
      <c r="H10">
        <v>21</v>
      </c>
      <c r="I10">
        <v>15</v>
      </c>
      <c r="J10">
        <v>27</v>
      </c>
      <c r="K10">
        <v>2</v>
      </c>
      <c r="L10">
        <v>3</v>
      </c>
      <c r="M10">
        <v>22</v>
      </c>
      <c r="N10">
        <v>27</v>
      </c>
      <c r="O10">
        <v>16</v>
      </c>
      <c r="P10">
        <v>24</v>
      </c>
      <c r="Q10" s="1">
        <v>0</v>
      </c>
      <c r="R10">
        <v>8</v>
      </c>
      <c r="S10">
        <v>267</v>
      </c>
      <c r="T10">
        <v>7</v>
      </c>
      <c r="U10">
        <v>2</v>
      </c>
      <c r="V10" s="1">
        <v>0</v>
      </c>
      <c r="W10">
        <v>5</v>
      </c>
      <c r="X10">
        <v>2</v>
      </c>
      <c r="Y10">
        <v>1</v>
      </c>
      <c r="Z10" s="1">
        <v>0</v>
      </c>
      <c r="AA10">
        <v>2</v>
      </c>
      <c r="AB10">
        <v>1</v>
      </c>
      <c r="AC10">
        <v>2</v>
      </c>
      <c r="AD10">
        <v>9</v>
      </c>
      <c r="AE10">
        <v>0</v>
      </c>
      <c r="AF10">
        <v>2</v>
      </c>
      <c r="AG10">
        <v>0</v>
      </c>
      <c r="AH10">
        <v>1</v>
      </c>
      <c r="AI10">
        <v>0</v>
      </c>
      <c r="AJ10">
        <v>0</v>
      </c>
      <c r="AK10" s="1">
        <v>0</v>
      </c>
      <c r="AL10">
        <v>0</v>
      </c>
      <c r="AM10">
        <v>1</v>
      </c>
      <c r="AN10">
        <v>2</v>
      </c>
      <c r="AO10">
        <v>1</v>
      </c>
      <c r="AP10">
        <v>0</v>
      </c>
      <c r="AQ10">
        <v>0</v>
      </c>
      <c r="AR10">
        <v>0</v>
      </c>
      <c r="AS10">
        <v>5</v>
      </c>
      <c r="AT10">
        <v>1</v>
      </c>
      <c r="AU10">
        <v>0</v>
      </c>
      <c r="AV10">
        <v>2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3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3">
      <c r="A11" t="s">
        <v>201</v>
      </c>
      <c r="B11" t="s">
        <v>205</v>
      </c>
      <c r="C11" t="s">
        <v>200</v>
      </c>
      <c r="D11" s="1">
        <v>5965</v>
      </c>
      <c r="E11">
        <v>610</v>
      </c>
      <c r="F11" s="1">
        <v>1054</v>
      </c>
      <c r="G11" s="1">
        <v>1214</v>
      </c>
      <c r="H11">
        <v>433</v>
      </c>
      <c r="I11">
        <v>182</v>
      </c>
      <c r="J11">
        <v>148</v>
      </c>
      <c r="K11">
        <v>53</v>
      </c>
      <c r="L11">
        <v>83</v>
      </c>
      <c r="M11">
        <v>152</v>
      </c>
      <c r="N11">
        <v>313</v>
      </c>
      <c r="O11">
        <v>176</v>
      </c>
      <c r="P11">
        <v>132</v>
      </c>
      <c r="Q11">
        <v>43</v>
      </c>
      <c r="R11">
        <v>57</v>
      </c>
      <c r="S11">
        <v>287</v>
      </c>
      <c r="T11">
        <v>55</v>
      </c>
      <c r="U11">
        <v>17</v>
      </c>
      <c r="V11">
        <v>48</v>
      </c>
      <c r="W11">
        <v>158</v>
      </c>
      <c r="X11">
        <v>42</v>
      </c>
      <c r="Y11">
        <v>30</v>
      </c>
      <c r="Z11">
        <v>15</v>
      </c>
      <c r="AA11">
        <v>41</v>
      </c>
      <c r="AB11">
        <v>9</v>
      </c>
      <c r="AC11">
        <v>39</v>
      </c>
      <c r="AD11">
        <v>15</v>
      </c>
      <c r="AE11">
        <v>2</v>
      </c>
      <c r="AF11">
        <v>39</v>
      </c>
      <c r="AG11">
        <v>17</v>
      </c>
      <c r="AH11">
        <v>13</v>
      </c>
      <c r="AI11">
        <v>124</v>
      </c>
      <c r="AJ11">
        <v>4</v>
      </c>
      <c r="AK11">
        <v>16</v>
      </c>
      <c r="AL11">
        <v>10</v>
      </c>
      <c r="AM11">
        <v>35</v>
      </c>
      <c r="AN11">
        <v>14</v>
      </c>
      <c r="AO11">
        <v>4</v>
      </c>
      <c r="AP11">
        <v>7</v>
      </c>
      <c r="AQ11">
        <v>6</v>
      </c>
      <c r="AR11">
        <v>10</v>
      </c>
      <c r="AS11">
        <v>6</v>
      </c>
      <c r="AT11">
        <v>11</v>
      </c>
      <c r="AU11">
        <v>5</v>
      </c>
      <c r="AV11">
        <v>39</v>
      </c>
      <c r="AW11">
        <v>11</v>
      </c>
      <c r="AX11">
        <v>8</v>
      </c>
      <c r="AY11">
        <v>2</v>
      </c>
      <c r="AZ11">
        <v>0</v>
      </c>
      <c r="BA11">
        <v>15</v>
      </c>
      <c r="BB11">
        <v>21</v>
      </c>
      <c r="BC11">
        <v>3</v>
      </c>
      <c r="BD11">
        <v>1</v>
      </c>
      <c r="BE11">
        <v>20</v>
      </c>
      <c r="BF11">
        <v>3</v>
      </c>
      <c r="BG11">
        <v>7</v>
      </c>
      <c r="BH11">
        <v>2</v>
      </c>
      <c r="BI11">
        <v>1</v>
      </c>
      <c r="BJ11">
        <v>4</v>
      </c>
      <c r="BK11">
        <v>0</v>
      </c>
      <c r="BL11">
        <v>5</v>
      </c>
      <c r="BM11">
        <v>1</v>
      </c>
      <c r="BN11">
        <v>6</v>
      </c>
      <c r="BO11">
        <v>1</v>
      </c>
      <c r="BP11">
        <v>2</v>
      </c>
      <c r="BQ11">
        <v>3</v>
      </c>
      <c r="BR11">
        <v>3</v>
      </c>
      <c r="BS11">
        <v>6</v>
      </c>
      <c r="BT11">
        <v>2</v>
      </c>
      <c r="BU11">
        <v>0</v>
      </c>
      <c r="BV11">
        <v>3</v>
      </c>
      <c r="BW11">
        <v>5</v>
      </c>
      <c r="BX11">
        <v>0</v>
      </c>
      <c r="BY11">
        <v>0</v>
      </c>
      <c r="BZ11">
        <v>0</v>
      </c>
      <c r="CA11">
        <v>2</v>
      </c>
      <c r="CB11">
        <v>0</v>
      </c>
      <c r="CC11">
        <v>1</v>
      </c>
      <c r="CD11">
        <v>3</v>
      </c>
      <c r="CE11">
        <v>2</v>
      </c>
      <c r="CF11">
        <v>1</v>
      </c>
      <c r="CG11">
        <v>2</v>
      </c>
      <c r="CH11">
        <v>4</v>
      </c>
      <c r="CI11">
        <v>0</v>
      </c>
      <c r="CJ11">
        <v>2</v>
      </c>
      <c r="CK11">
        <v>2</v>
      </c>
      <c r="CL11">
        <v>2</v>
      </c>
      <c r="CM11">
        <v>0</v>
      </c>
      <c r="CN11">
        <v>0</v>
      </c>
      <c r="CO11">
        <v>2</v>
      </c>
      <c r="CP11">
        <v>1</v>
      </c>
      <c r="CQ11">
        <v>0</v>
      </c>
      <c r="CR11">
        <v>1</v>
      </c>
      <c r="CS11">
        <v>1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1</v>
      </c>
      <c r="DD11">
        <v>2</v>
      </c>
      <c r="DE11">
        <v>1</v>
      </c>
      <c r="DF11">
        <v>1</v>
      </c>
      <c r="DG11">
        <v>1</v>
      </c>
      <c r="DH11">
        <v>0</v>
      </c>
      <c r="DI11">
        <v>1</v>
      </c>
      <c r="DJ11">
        <v>1</v>
      </c>
      <c r="DK11">
        <v>0</v>
      </c>
      <c r="DL11">
        <v>0</v>
      </c>
      <c r="DM11">
        <v>4</v>
      </c>
      <c r="DN11">
        <v>0</v>
      </c>
      <c r="DO11">
        <v>0</v>
      </c>
      <c r="DP11">
        <v>0</v>
      </c>
      <c r="DQ11">
        <v>1</v>
      </c>
      <c r="DR11">
        <v>1</v>
      </c>
      <c r="DS11">
        <v>0</v>
      </c>
      <c r="DT11">
        <v>2</v>
      </c>
      <c r="DU11">
        <v>2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1</v>
      </c>
      <c r="EF11">
        <v>1</v>
      </c>
      <c r="EG11">
        <v>0</v>
      </c>
      <c r="EH11">
        <v>1</v>
      </c>
      <c r="EI11">
        <v>1</v>
      </c>
      <c r="EJ11">
        <v>1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1</v>
      </c>
      <c r="EQ11">
        <v>0</v>
      </c>
      <c r="ER11">
        <v>0</v>
      </c>
      <c r="ES11">
        <v>0</v>
      </c>
      <c r="ET11">
        <v>2</v>
      </c>
      <c r="EU11">
        <v>1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1</v>
      </c>
      <c r="FX11">
        <v>0</v>
      </c>
      <c r="FY11">
        <v>1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x14ac:dyDescent="0.3">
      <c r="A12" t="s">
        <v>201</v>
      </c>
      <c r="B12" t="s">
        <v>205</v>
      </c>
      <c r="C12" t="s">
        <v>203</v>
      </c>
      <c r="D12" s="1">
        <v>2803</v>
      </c>
      <c r="E12">
        <v>209</v>
      </c>
      <c r="F12">
        <v>537</v>
      </c>
      <c r="G12">
        <v>463</v>
      </c>
      <c r="H12">
        <v>273</v>
      </c>
      <c r="I12">
        <v>122</v>
      </c>
      <c r="J12">
        <v>101</v>
      </c>
      <c r="K12">
        <v>25</v>
      </c>
      <c r="L12">
        <v>73</v>
      </c>
      <c r="M12">
        <v>45</v>
      </c>
      <c r="N12">
        <v>127</v>
      </c>
      <c r="O12">
        <v>66</v>
      </c>
      <c r="P12">
        <v>70</v>
      </c>
      <c r="Q12">
        <v>32</v>
      </c>
      <c r="R12">
        <v>45</v>
      </c>
      <c r="S12">
        <v>28</v>
      </c>
      <c r="T12">
        <v>12</v>
      </c>
      <c r="U12">
        <v>5</v>
      </c>
      <c r="V12">
        <v>38</v>
      </c>
      <c r="W12">
        <v>69</v>
      </c>
      <c r="X12">
        <v>24</v>
      </c>
      <c r="Y12">
        <v>21</v>
      </c>
      <c r="Z12">
        <v>7</v>
      </c>
      <c r="AA12">
        <v>26</v>
      </c>
      <c r="AB12">
        <v>5</v>
      </c>
      <c r="AC12">
        <v>29</v>
      </c>
      <c r="AD12">
        <v>7</v>
      </c>
      <c r="AE12">
        <v>2</v>
      </c>
      <c r="AF12">
        <v>24</v>
      </c>
      <c r="AG12">
        <v>0</v>
      </c>
      <c r="AH12">
        <v>6</v>
      </c>
      <c r="AI12">
        <v>114</v>
      </c>
      <c r="AJ12">
        <v>0</v>
      </c>
      <c r="AK12">
        <v>15</v>
      </c>
      <c r="AL12">
        <v>1</v>
      </c>
      <c r="AM12">
        <v>10</v>
      </c>
      <c r="AN12">
        <v>11</v>
      </c>
      <c r="AO12">
        <v>3</v>
      </c>
      <c r="AP12">
        <v>5</v>
      </c>
      <c r="AQ12">
        <v>2</v>
      </c>
      <c r="AR12">
        <v>9</v>
      </c>
      <c r="AS12">
        <v>0</v>
      </c>
      <c r="AT12">
        <v>3</v>
      </c>
      <c r="AU12">
        <v>2</v>
      </c>
      <c r="AV12">
        <v>32</v>
      </c>
      <c r="AW12">
        <v>5</v>
      </c>
      <c r="AX12">
        <v>7</v>
      </c>
      <c r="AY12">
        <v>1</v>
      </c>
      <c r="AZ12">
        <v>0</v>
      </c>
      <c r="BA12">
        <v>6</v>
      </c>
      <c r="BB12">
        <v>9</v>
      </c>
      <c r="BC12">
        <v>1</v>
      </c>
      <c r="BD12">
        <v>1</v>
      </c>
      <c r="BE12">
        <v>13</v>
      </c>
      <c r="BF12">
        <v>3</v>
      </c>
      <c r="BG12">
        <v>5</v>
      </c>
      <c r="BH12">
        <v>0</v>
      </c>
      <c r="BI12">
        <v>0</v>
      </c>
      <c r="BJ12">
        <v>3</v>
      </c>
      <c r="BK12">
        <v>0</v>
      </c>
      <c r="BL12">
        <v>4</v>
      </c>
      <c r="BM12">
        <v>0</v>
      </c>
      <c r="BN12">
        <v>2</v>
      </c>
      <c r="BO12">
        <v>0</v>
      </c>
      <c r="BP12">
        <v>1</v>
      </c>
      <c r="BQ12">
        <v>1</v>
      </c>
      <c r="BR12">
        <v>2</v>
      </c>
      <c r="BS12">
        <v>4</v>
      </c>
      <c r="BT12">
        <v>0</v>
      </c>
      <c r="BU12">
        <v>0</v>
      </c>
      <c r="BV12">
        <v>1</v>
      </c>
      <c r="BW12">
        <v>3</v>
      </c>
      <c r="BX12">
        <v>0</v>
      </c>
      <c r="BY12">
        <v>0</v>
      </c>
      <c r="BZ12">
        <v>0</v>
      </c>
      <c r="CA12">
        <v>2</v>
      </c>
      <c r="CB12">
        <v>0</v>
      </c>
      <c r="CC12">
        <v>0</v>
      </c>
      <c r="CD12">
        <v>1</v>
      </c>
      <c r="CE12">
        <v>1</v>
      </c>
      <c r="CF12">
        <v>1</v>
      </c>
      <c r="CG12">
        <v>1</v>
      </c>
      <c r="CH12">
        <v>3</v>
      </c>
      <c r="CI12">
        <v>0</v>
      </c>
      <c r="CJ12">
        <v>0</v>
      </c>
      <c r="CK12">
        <v>2</v>
      </c>
      <c r="CL12">
        <v>1</v>
      </c>
      <c r="CM12">
        <v>0</v>
      </c>
      <c r="CN12">
        <v>0</v>
      </c>
      <c r="CO12">
        <v>1</v>
      </c>
      <c r="CP12">
        <v>1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1</v>
      </c>
      <c r="DF12">
        <v>1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3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</v>
      </c>
      <c r="EG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x14ac:dyDescent="0.3">
      <c r="A13" t="s">
        <v>201</v>
      </c>
      <c r="B13" t="s">
        <v>205</v>
      </c>
      <c r="C13" t="s">
        <v>204</v>
      </c>
      <c r="D13" s="1">
        <v>3162</v>
      </c>
      <c r="E13">
        <v>401</v>
      </c>
      <c r="F13">
        <v>517</v>
      </c>
      <c r="G13">
        <v>751</v>
      </c>
      <c r="H13">
        <v>160</v>
      </c>
      <c r="I13">
        <v>60</v>
      </c>
      <c r="J13">
        <v>47</v>
      </c>
      <c r="K13">
        <v>28</v>
      </c>
      <c r="L13">
        <v>10</v>
      </c>
      <c r="M13">
        <v>107</v>
      </c>
      <c r="N13">
        <v>186</v>
      </c>
      <c r="O13">
        <v>110</v>
      </c>
      <c r="P13">
        <v>62</v>
      </c>
      <c r="Q13">
        <v>11</v>
      </c>
      <c r="R13">
        <v>12</v>
      </c>
      <c r="S13">
        <v>259</v>
      </c>
      <c r="T13">
        <v>43</v>
      </c>
      <c r="U13">
        <v>12</v>
      </c>
      <c r="V13">
        <v>10</v>
      </c>
      <c r="W13">
        <v>89</v>
      </c>
      <c r="X13">
        <v>18</v>
      </c>
      <c r="Y13">
        <v>9</v>
      </c>
      <c r="Z13">
        <v>8</v>
      </c>
      <c r="AA13">
        <v>15</v>
      </c>
      <c r="AB13">
        <v>4</v>
      </c>
      <c r="AC13">
        <v>10</v>
      </c>
      <c r="AD13">
        <v>8</v>
      </c>
      <c r="AE13">
        <v>0</v>
      </c>
      <c r="AF13">
        <v>15</v>
      </c>
      <c r="AG13">
        <v>17</v>
      </c>
      <c r="AH13">
        <v>7</v>
      </c>
      <c r="AI13">
        <v>10</v>
      </c>
      <c r="AJ13">
        <v>4</v>
      </c>
      <c r="AK13">
        <v>1</v>
      </c>
      <c r="AL13">
        <v>9</v>
      </c>
      <c r="AM13">
        <v>25</v>
      </c>
      <c r="AN13">
        <v>3</v>
      </c>
      <c r="AO13">
        <v>1</v>
      </c>
      <c r="AP13">
        <v>2</v>
      </c>
      <c r="AQ13">
        <v>4</v>
      </c>
      <c r="AR13">
        <v>1</v>
      </c>
      <c r="AS13">
        <v>6</v>
      </c>
      <c r="AT13">
        <v>8</v>
      </c>
      <c r="AU13">
        <v>3</v>
      </c>
      <c r="AV13">
        <v>7</v>
      </c>
      <c r="AW13">
        <v>6</v>
      </c>
      <c r="AX13">
        <v>1</v>
      </c>
      <c r="AY13">
        <v>1</v>
      </c>
      <c r="AZ13">
        <v>0</v>
      </c>
      <c r="BA13">
        <v>9</v>
      </c>
      <c r="BB13">
        <v>12</v>
      </c>
      <c r="BC13">
        <v>2</v>
      </c>
      <c r="BD13">
        <v>0</v>
      </c>
      <c r="BE13">
        <v>7</v>
      </c>
      <c r="BF13">
        <v>0</v>
      </c>
      <c r="BG13">
        <v>2</v>
      </c>
      <c r="BH13">
        <v>2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4</v>
      </c>
      <c r="BO13">
        <v>1</v>
      </c>
      <c r="BP13">
        <v>1</v>
      </c>
      <c r="BQ13">
        <v>2</v>
      </c>
      <c r="BR13">
        <v>1</v>
      </c>
      <c r="BS13">
        <v>2</v>
      </c>
      <c r="BT13">
        <v>2</v>
      </c>
      <c r="BU13">
        <v>0</v>
      </c>
      <c r="BV13">
        <v>2</v>
      </c>
      <c r="BW13">
        <v>2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2</v>
      </c>
      <c r="CE13">
        <v>1</v>
      </c>
      <c r="CF13">
        <v>0</v>
      </c>
      <c r="CG13">
        <v>1</v>
      </c>
      <c r="CH13">
        <v>1</v>
      </c>
      <c r="CI13">
        <v>0</v>
      </c>
      <c r="CJ13">
        <v>2</v>
      </c>
      <c r="CK13">
        <v>0</v>
      </c>
      <c r="CL13">
        <v>1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2</v>
      </c>
      <c r="DE13">
        <v>0</v>
      </c>
      <c r="DF13">
        <v>0</v>
      </c>
      <c r="DG13">
        <v>1</v>
      </c>
      <c r="DH13">
        <v>0</v>
      </c>
      <c r="DI13">
        <v>1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0</v>
      </c>
      <c r="DT13">
        <v>1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3">
      <c r="A14" t="s">
        <v>201</v>
      </c>
      <c r="B14" t="s">
        <v>206</v>
      </c>
      <c r="C14" t="s">
        <v>200</v>
      </c>
      <c r="D14" s="1">
        <v>4710</v>
      </c>
      <c r="E14">
        <v>472</v>
      </c>
      <c r="F14">
        <v>708</v>
      </c>
      <c r="G14">
        <v>548</v>
      </c>
      <c r="H14">
        <v>259</v>
      </c>
      <c r="I14">
        <v>92</v>
      </c>
      <c r="J14">
        <v>290</v>
      </c>
      <c r="K14">
        <v>57</v>
      </c>
      <c r="L14">
        <v>183</v>
      </c>
      <c r="M14">
        <v>291</v>
      </c>
      <c r="N14">
        <v>272</v>
      </c>
      <c r="O14">
        <v>247</v>
      </c>
      <c r="P14">
        <v>149</v>
      </c>
      <c r="Q14">
        <v>64</v>
      </c>
      <c r="R14">
        <v>117</v>
      </c>
      <c r="S14">
        <v>163</v>
      </c>
      <c r="T14">
        <v>56</v>
      </c>
      <c r="U14">
        <v>15</v>
      </c>
      <c r="V14">
        <v>63</v>
      </c>
      <c r="W14">
        <v>112</v>
      </c>
      <c r="X14">
        <v>73</v>
      </c>
      <c r="Y14">
        <v>42</v>
      </c>
      <c r="Z14">
        <v>10</v>
      </c>
      <c r="AA14">
        <v>26</v>
      </c>
      <c r="AB14">
        <v>6</v>
      </c>
      <c r="AC14">
        <v>45</v>
      </c>
      <c r="AD14">
        <v>32</v>
      </c>
      <c r="AE14">
        <v>9</v>
      </c>
      <c r="AF14">
        <v>37</v>
      </c>
      <c r="AG14">
        <v>12</v>
      </c>
      <c r="AH14">
        <v>12</v>
      </c>
      <c r="AI14">
        <v>17</v>
      </c>
      <c r="AJ14">
        <v>3</v>
      </c>
      <c r="AK14">
        <v>5</v>
      </c>
      <c r="AL14">
        <v>5</v>
      </c>
      <c r="AM14">
        <v>11</v>
      </c>
      <c r="AN14">
        <v>15</v>
      </c>
      <c r="AO14">
        <v>2</v>
      </c>
      <c r="AP14">
        <v>11</v>
      </c>
      <c r="AQ14">
        <v>10</v>
      </c>
      <c r="AR14">
        <v>15</v>
      </c>
      <c r="AS14">
        <v>7</v>
      </c>
      <c r="AT14">
        <v>8</v>
      </c>
      <c r="AU14">
        <v>13</v>
      </c>
      <c r="AV14">
        <v>10</v>
      </c>
      <c r="AW14">
        <v>9</v>
      </c>
      <c r="AX14">
        <v>15</v>
      </c>
      <c r="AY14">
        <v>1</v>
      </c>
      <c r="AZ14">
        <v>3</v>
      </c>
      <c r="BA14">
        <v>2</v>
      </c>
      <c r="BB14">
        <v>3</v>
      </c>
      <c r="BC14">
        <v>2</v>
      </c>
      <c r="BD14">
        <v>0</v>
      </c>
      <c r="BE14">
        <v>9</v>
      </c>
      <c r="BF14">
        <v>0</v>
      </c>
      <c r="BG14">
        <v>4</v>
      </c>
      <c r="BH14">
        <v>5</v>
      </c>
      <c r="BI14">
        <v>3</v>
      </c>
      <c r="BJ14">
        <v>0</v>
      </c>
      <c r="BK14">
        <v>0</v>
      </c>
      <c r="BL14">
        <v>0</v>
      </c>
      <c r="BM14">
        <v>2</v>
      </c>
      <c r="BN14">
        <v>3</v>
      </c>
      <c r="BO14">
        <v>0</v>
      </c>
      <c r="BP14">
        <v>1</v>
      </c>
      <c r="BQ14">
        <v>2</v>
      </c>
      <c r="BR14">
        <v>1</v>
      </c>
      <c r="BS14">
        <v>3</v>
      </c>
      <c r="BT14">
        <v>5</v>
      </c>
      <c r="BU14">
        <v>2</v>
      </c>
      <c r="BV14">
        <v>0</v>
      </c>
      <c r="BW14">
        <v>3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1</v>
      </c>
      <c r="CD14">
        <v>2</v>
      </c>
      <c r="CE14">
        <v>1</v>
      </c>
      <c r="CF14">
        <v>0</v>
      </c>
      <c r="CG14">
        <v>3</v>
      </c>
      <c r="CH14">
        <v>0</v>
      </c>
      <c r="CI14">
        <v>3</v>
      </c>
      <c r="CJ14">
        <v>0</v>
      </c>
      <c r="CK14">
        <v>0</v>
      </c>
      <c r="CL14">
        <v>6</v>
      </c>
      <c r="CM14">
        <v>0</v>
      </c>
      <c r="CN14">
        <v>0</v>
      </c>
      <c r="CO14">
        <v>0</v>
      </c>
      <c r="CP14">
        <v>1</v>
      </c>
      <c r="CQ14">
        <v>1</v>
      </c>
      <c r="CR14">
        <v>0</v>
      </c>
      <c r="CS14">
        <v>1</v>
      </c>
      <c r="CT14">
        <v>2</v>
      </c>
      <c r="CU14">
        <v>1</v>
      </c>
      <c r="CV14">
        <v>2</v>
      </c>
      <c r="CW14">
        <v>2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1</v>
      </c>
      <c r="DS14">
        <v>1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2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1</v>
      </c>
    </row>
    <row r="15" spans="1:201" x14ac:dyDescent="0.3">
      <c r="A15" t="s">
        <v>201</v>
      </c>
      <c r="B15" t="s">
        <v>206</v>
      </c>
      <c r="C15" t="s">
        <v>203</v>
      </c>
      <c r="D15" s="1">
        <v>2726</v>
      </c>
      <c r="E15">
        <v>252</v>
      </c>
      <c r="F15">
        <v>363</v>
      </c>
      <c r="G15">
        <v>205</v>
      </c>
      <c r="H15">
        <v>222</v>
      </c>
      <c r="I15">
        <v>63</v>
      </c>
      <c r="J15">
        <v>253</v>
      </c>
      <c r="K15">
        <v>33</v>
      </c>
      <c r="L15">
        <v>177</v>
      </c>
      <c r="M15">
        <v>164</v>
      </c>
      <c r="N15">
        <v>178</v>
      </c>
      <c r="O15">
        <v>109</v>
      </c>
      <c r="P15">
        <v>77</v>
      </c>
      <c r="Q15">
        <v>55</v>
      </c>
      <c r="R15">
        <v>94</v>
      </c>
      <c r="S15">
        <v>31</v>
      </c>
      <c r="T15">
        <v>11</v>
      </c>
      <c r="U15">
        <v>3</v>
      </c>
      <c r="V15">
        <v>48</v>
      </c>
      <c r="W15">
        <v>62</v>
      </c>
      <c r="X15">
        <v>46</v>
      </c>
      <c r="Y15">
        <v>37</v>
      </c>
      <c r="Z15">
        <v>6</v>
      </c>
      <c r="AA15">
        <v>12</v>
      </c>
      <c r="AB15">
        <v>2</v>
      </c>
      <c r="AC15">
        <v>24</v>
      </c>
      <c r="AD15">
        <v>10</v>
      </c>
      <c r="AE15">
        <v>9</v>
      </c>
      <c r="AF15">
        <v>22</v>
      </c>
      <c r="AG15">
        <v>7</v>
      </c>
      <c r="AH15">
        <v>7</v>
      </c>
      <c r="AI15">
        <v>13</v>
      </c>
      <c r="AJ15">
        <v>0</v>
      </c>
      <c r="AK15">
        <v>3</v>
      </c>
      <c r="AL15">
        <v>2</v>
      </c>
      <c r="AM15">
        <v>0</v>
      </c>
      <c r="AN15">
        <v>11</v>
      </c>
      <c r="AO15">
        <v>0</v>
      </c>
      <c r="AP15">
        <v>10</v>
      </c>
      <c r="AQ15">
        <v>9</v>
      </c>
      <c r="AR15">
        <v>10</v>
      </c>
      <c r="AS15">
        <v>3</v>
      </c>
      <c r="AT15">
        <v>2</v>
      </c>
      <c r="AU15">
        <v>7</v>
      </c>
      <c r="AV15">
        <v>9</v>
      </c>
      <c r="AW15">
        <v>7</v>
      </c>
      <c r="AX15">
        <v>15</v>
      </c>
      <c r="AY15">
        <v>0</v>
      </c>
      <c r="AZ15">
        <v>1</v>
      </c>
      <c r="BA15">
        <v>1</v>
      </c>
      <c r="BB15">
        <v>3</v>
      </c>
      <c r="BC15">
        <v>1</v>
      </c>
      <c r="BD15">
        <v>0</v>
      </c>
      <c r="BE15">
        <v>4</v>
      </c>
      <c r="BF15">
        <v>0</v>
      </c>
      <c r="BG15">
        <v>4</v>
      </c>
      <c r="BH15">
        <v>2</v>
      </c>
      <c r="BI15">
        <v>1</v>
      </c>
      <c r="BJ15">
        <v>0</v>
      </c>
      <c r="BK15">
        <v>0</v>
      </c>
      <c r="BL15">
        <v>0</v>
      </c>
      <c r="BM15">
        <v>2</v>
      </c>
      <c r="BN15">
        <v>2</v>
      </c>
      <c r="BO15">
        <v>0</v>
      </c>
      <c r="BP15">
        <v>0</v>
      </c>
      <c r="BQ15">
        <v>0</v>
      </c>
      <c r="BR15">
        <v>1</v>
      </c>
      <c r="BS15">
        <v>2</v>
      </c>
      <c r="BT15">
        <v>5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1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2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1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1</v>
      </c>
    </row>
    <row r="16" spans="1:201" x14ac:dyDescent="0.3">
      <c r="A16" t="s">
        <v>201</v>
      </c>
      <c r="B16" t="s">
        <v>206</v>
      </c>
      <c r="C16" t="s">
        <v>204</v>
      </c>
      <c r="D16" s="1">
        <v>1984</v>
      </c>
      <c r="E16">
        <v>220</v>
      </c>
      <c r="F16">
        <v>345</v>
      </c>
      <c r="G16">
        <v>343</v>
      </c>
      <c r="H16">
        <v>37</v>
      </c>
      <c r="I16">
        <v>29</v>
      </c>
      <c r="J16">
        <v>37</v>
      </c>
      <c r="K16">
        <v>24</v>
      </c>
      <c r="L16">
        <v>6</v>
      </c>
      <c r="M16">
        <v>127</v>
      </c>
      <c r="N16">
        <v>94</v>
      </c>
      <c r="O16">
        <v>138</v>
      </c>
      <c r="P16">
        <v>72</v>
      </c>
      <c r="Q16">
        <v>9</v>
      </c>
      <c r="R16">
        <v>23</v>
      </c>
      <c r="S16">
        <v>132</v>
      </c>
      <c r="T16">
        <v>45</v>
      </c>
      <c r="U16">
        <v>12</v>
      </c>
      <c r="V16">
        <v>15</v>
      </c>
      <c r="W16">
        <v>50</v>
      </c>
      <c r="X16">
        <v>27</v>
      </c>
      <c r="Y16">
        <v>5</v>
      </c>
      <c r="Z16">
        <v>4</v>
      </c>
      <c r="AA16">
        <v>14</v>
      </c>
      <c r="AB16">
        <v>4</v>
      </c>
      <c r="AC16">
        <v>21</v>
      </c>
      <c r="AD16">
        <v>22</v>
      </c>
      <c r="AE16">
        <v>0</v>
      </c>
      <c r="AF16">
        <v>15</v>
      </c>
      <c r="AG16">
        <v>5</v>
      </c>
      <c r="AH16">
        <v>5</v>
      </c>
      <c r="AI16">
        <v>4</v>
      </c>
      <c r="AJ16">
        <v>3</v>
      </c>
      <c r="AK16">
        <v>2</v>
      </c>
      <c r="AL16">
        <v>3</v>
      </c>
      <c r="AM16">
        <v>11</v>
      </c>
      <c r="AN16">
        <v>4</v>
      </c>
      <c r="AO16">
        <v>2</v>
      </c>
      <c r="AP16">
        <v>1</v>
      </c>
      <c r="AQ16">
        <v>1</v>
      </c>
      <c r="AR16">
        <v>5</v>
      </c>
      <c r="AS16">
        <v>4</v>
      </c>
      <c r="AT16">
        <v>6</v>
      </c>
      <c r="AU16">
        <v>6</v>
      </c>
      <c r="AV16">
        <v>1</v>
      </c>
      <c r="AW16">
        <v>2</v>
      </c>
      <c r="AX16">
        <v>0</v>
      </c>
      <c r="AY16">
        <v>1</v>
      </c>
      <c r="AZ16">
        <v>2</v>
      </c>
      <c r="BA16">
        <v>1</v>
      </c>
      <c r="BB16">
        <v>0</v>
      </c>
      <c r="BC16">
        <v>1</v>
      </c>
      <c r="BD16">
        <v>0</v>
      </c>
      <c r="BE16">
        <v>5</v>
      </c>
      <c r="BF16">
        <v>0</v>
      </c>
      <c r="BG16">
        <v>0</v>
      </c>
      <c r="BH16">
        <v>3</v>
      </c>
      <c r="BI16">
        <v>2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1</v>
      </c>
      <c r="BQ16">
        <v>2</v>
      </c>
      <c r="BR16">
        <v>0</v>
      </c>
      <c r="BS16">
        <v>1</v>
      </c>
      <c r="BT16">
        <v>0</v>
      </c>
      <c r="BU16">
        <v>1</v>
      </c>
      <c r="BV16">
        <v>0</v>
      </c>
      <c r="BW16">
        <v>3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2</v>
      </c>
      <c r="CE16">
        <v>0</v>
      </c>
      <c r="CF16">
        <v>0</v>
      </c>
      <c r="CG16">
        <v>3</v>
      </c>
      <c r="CH16">
        <v>0</v>
      </c>
      <c r="CI16">
        <v>2</v>
      </c>
      <c r="CJ16">
        <v>0</v>
      </c>
      <c r="CK16">
        <v>0</v>
      </c>
      <c r="CL16">
        <v>5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1</v>
      </c>
      <c r="CU16">
        <v>1</v>
      </c>
      <c r="CV16">
        <v>2</v>
      </c>
      <c r="CW16">
        <v>2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1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 x14ac:dyDescent="0.3">
      <c r="A17" t="s">
        <v>201</v>
      </c>
      <c r="B17" t="s">
        <v>207</v>
      </c>
      <c r="C17" t="s">
        <v>200</v>
      </c>
      <c r="D17" s="1">
        <v>3713</v>
      </c>
      <c r="E17">
        <v>209</v>
      </c>
      <c r="F17" s="1">
        <v>1021</v>
      </c>
      <c r="G17">
        <v>562</v>
      </c>
      <c r="H17">
        <v>53</v>
      </c>
      <c r="I17">
        <v>106</v>
      </c>
      <c r="J17">
        <v>118</v>
      </c>
      <c r="K17">
        <v>30</v>
      </c>
      <c r="L17">
        <v>73</v>
      </c>
      <c r="M17">
        <v>70</v>
      </c>
      <c r="N17">
        <v>122</v>
      </c>
      <c r="O17">
        <v>592</v>
      </c>
      <c r="P17">
        <v>95</v>
      </c>
      <c r="Q17">
        <v>5</v>
      </c>
      <c r="R17">
        <v>27</v>
      </c>
      <c r="S17">
        <v>133</v>
      </c>
      <c r="T17">
        <v>88</v>
      </c>
      <c r="U17">
        <v>5</v>
      </c>
      <c r="V17">
        <v>23</v>
      </c>
      <c r="W17">
        <v>64</v>
      </c>
      <c r="X17">
        <v>15</v>
      </c>
      <c r="Y17">
        <v>12</v>
      </c>
      <c r="Z17">
        <v>57</v>
      </c>
      <c r="AA17">
        <v>9</v>
      </c>
      <c r="AB17">
        <v>3</v>
      </c>
      <c r="AC17">
        <v>16</v>
      </c>
      <c r="AD17">
        <v>18</v>
      </c>
      <c r="AE17">
        <v>4</v>
      </c>
      <c r="AF17">
        <v>24</v>
      </c>
      <c r="AG17">
        <v>10</v>
      </c>
      <c r="AH17">
        <v>10</v>
      </c>
      <c r="AI17">
        <v>14</v>
      </c>
      <c r="AJ17">
        <v>1</v>
      </c>
      <c r="AK17">
        <v>3</v>
      </c>
      <c r="AL17">
        <v>3</v>
      </c>
      <c r="AM17">
        <v>11</v>
      </c>
      <c r="AN17">
        <v>6</v>
      </c>
      <c r="AO17">
        <v>0</v>
      </c>
      <c r="AP17">
        <v>12</v>
      </c>
      <c r="AQ17">
        <v>11</v>
      </c>
      <c r="AR17">
        <v>2</v>
      </c>
      <c r="AS17">
        <v>0</v>
      </c>
      <c r="AT17">
        <v>2</v>
      </c>
      <c r="AU17">
        <v>0</v>
      </c>
      <c r="AV17">
        <v>4</v>
      </c>
      <c r="AW17">
        <v>2</v>
      </c>
      <c r="AX17">
        <v>8</v>
      </c>
      <c r="AY17">
        <v>3</v>
      </c>
      <c r="AZ17">
        <v>3</v>
      </c>
      <c r="BA17">
        <v>1</v>
      </c>
      <c r="BB17">
        <v>0</v>
      </c>
      <c r="BC17">
        <v>2</v>
      </c>
      <c r="BD17">
        <v>9</v>
      </c>
      <c r="BE17">
        <v>0</v>
      </c>
      <c r="BF17">
        <v>0</v>
      </c>
      <c r="BG17">
        <v>5</v>
      </c>
      <c r="BH17">
        <v>3</v>
      </c>
      <c r="BI17">
        <v>2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1</v>
      </c>
      <c r="BS17">
        <v>2</v>
      </c>
      <c r="BT17">
        <v>8</v>
      </c>
      <c r="BU17">
        <v>2</v>
      </c>
      <c r="BV17">
        <v>3</v>
      </c>
      <c r="BW17">
        <v>1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2</v>
      </c>
      <c r="CD17">
        <v>2</v>
      </c>
      <c r="CE17">
        <v>0</v>
      </c>
      <c r="CF17">
        <v>0</v>
      </c>
      <c r="CG17">
        <v>2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1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 x14ac:dyDescent="0.3">
      <c r="A18" t="s">
        <v>201</v>
      </c>
      <c r="B18" t="s">
        <v>207</v>
      </c>
      <c r="C18" t="s">
        <v>203</v>
      </c>
      <c r="D18" s="1">
        <v>1850</v>
      </c>
      <c r="E18">
        <v>84</v>
      </c>
      <c r="F18">
        <v>513</v>
      </c>
      <c r="G18">
        <v>204</v>
      </c>
      <c r="H18">
        <v>43</v>
      </c>
      <c r="I18">
        <v>73</v>
      </c>
      <c r="J18">
        <v>71</v>
      </c>
      <c r="K18">
        <v>17</v>
      </c>
      <c r="L18">
        <v>70</v>
      </c>
      <c r="M18">
        <v>27</v>
      </c>
      <c r="N18">
        <v>53</v>
      </c>
      <c r="O18">
        <v>289</v>
      </c>
      <c r="P18">
        <v>54</v>
      </c>
      <c r="Q18">
        <v>4</v>
      </c>
      <c r="R18">
        <v>24</v>
      </c>
      <c r="S18">
        <v>22</v>
      </c>
      <c r="T18">
        <v>60</v>
      </c>
      <c r="U18">
        <v>3</v>
      </c>
      <c r="V18">
        <v>19</v>
      </c>
      <c r="W18">
        <v>32</v>
      </c>
      <c r="X18">
        <v>7</v>
      </c>
      <c r="Y18">
        <v>8</v>
      </c>
      <c r="Z18">
        <v>37</v>
      </c>
      <c r="AA18">
        <v>4</v>
      </c>
      <c r="AB18">
        <v>2</v>
      </c>
      <c r="AC18">
        <v>13</v>
      </c>
      <c r="AD18">
        <v>5</v>
      </c>
      <c r="AE18">
        <v>4</v>
      </c>
      <c r="AF18">
        <v>13</v>
      </c>
      <c r="AG18">
        <v>7</v>
      </c>
      <c r="AH18">
        <v>8</v>
      </c>
      <c r="AI18">
        <v>12</v>
      </c>
      <c r="AJ18">
        <v>0</v>
      </c>
      <c r="AK18">
        <v>2</v>
      </c>
      <c r="AL18">
        <v>1</v>
      </c>
      <c r="AM18">
        <v>1</v>
      </c>
      <c r="AN18">
        <v>4</v>
      </c>
      <c r="AO18">
        <v>0</v>
      </c>
      <c r="AP18">
        <v>9</v>
      </c>
      <c r="AQ18">
        <v>8</v>
      </c>
      <c r="AR18">
        <v>1</v>
      </c>
      <c r="AS18">
        <v>0</v>
      </c>
      <c r="AT18">
        <v>1</v>
      </c>
      <c r="AU18">
        <v>0</v>
      </c>
      <c r="AV18">
        <v>4</v>
      </c>
      <c r="AW18">
        <v>2</v>
      </c>
      <c r="AX18">
        <v>5</v>
      </c>
      <c r="AY18">
        <v>0</v>
      </c>
      <c r="AZ18">
        <v>1</v>
      </c>
      <c r="BA18">
        <v>1</v>
      </c>
      <c r="BB18">
        <v>0</v>
      </c>
      <c r="BC18">
        <v>2</v>
      </c>
      <c r="BD18">
        <v>6</v>
      </c>
      <c r="BE18">
        <v>0</v>
      </c>
      <c r="BF18">
        <v>0</v>
      </c>
      <c r="BG18">
        <v>4</v>
      </c>
      <c r="BH18">
        <v>1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8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 x14ac:dyDescent="0.3">
      <c r="A19" t="s">
        <v>201</v>
      </c>
      <c r="B19" t="s">
        <v>207</v>
      </c>
      <c r="C19" t="s">
        <v>204</v>
      </c>
      <c r="D19" s="1">
        <v>1863</v>
      </c>
      <c r="E19">
        <v>125</v>
      </c>
      <c r="F19">
        <v>508</v>
      </c>
      <c r="G19">
        <v>358</v>
      </c>
      <c r="H19">
        <v>10</v>
      </c>
      <c r="I19">
        <v>33</v>
      </c>
      <c r="J19">
        <v>47</v>
      </c>
      <c r="K19">
        <v>13</v>
      </c>
      <c r="L19">
        <v>3</v>
      </c>
      <c r="M19">
        <v>43</v>
      </c>
      <c r="N19">
        <v>69</v>
      </c>
      <c r="O19">
        <v>303</v>
      </c>
      <c r="P19">
        <v>41</v>
      </c>
      <c r="Q19">
        <v>1</v>
      </c>
      <c r="R19">
        <v>3</v>
      </c>
      <c r="S19">
        <v>111</v>
      </c>
      <c r="T19">
        <v>28</v>
      </c>
      <c r="U19">
        <v>2</v>
      </c>
      <c r="V19">
        <v>4</v>
      </c>
      <c r="W19">
        <v>32</v>
      </c>
      <c r="X19">
        <v>8</v>
      </c>
      <c r="Y19">
        <v>4</v>
      </c>
      <c r="Z19">
        <v>20</v>
      </c>
      <c r="AA19">
        <v>5</v>
      </c>
      <c r="AB19">
        <v>1</v>
      </c>
      <c r="AC19">
        <v>3</v>
      </c>
      <c r="AD19">
        <v>13</v>
      </c>
      <c r="AE19">
        <v>0</v>
      </c>
      <c r="AF19">
        <v>11</v>
      </c>
      <c r="AG19">
        <v>3</v>
      </c>
      <c r="AH19">
        <v>2</v>
      </c>
      <c r="AI19">
        <v>2</v>
      </c>
      <c r="AJ19">
        <v>1</v>
      </c>
      <c r="AK19">
        <v>1</v>
      </c>
      <c r="AL19">
        <v>2</v>
      </c>
      <c r="AM19">
        <v>10</v>
      </c>
      <c r="AN19">
        <v>2</v>
      </c>
      <c r="AO19">
        <v>0</v>
      </c>
      <c r="AP19">
        <v>3</v>
      </c>
      <c r="AQ19">
        <v>3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3</v>
      </c>
      <c r="AY19">
        <v>3</v>
      </c>
      <c r="AZ19">
        <v>2</v>
      </c>
      <c r="BA19">
        <v>0</v>
      </c>
      <c r="BB19">
        <v>0</v>
      </c>
      <c r="BC19">
        <v>0</v>
      </c>
      <c r="BD19">
        <v>3</v>
      </c>
      <c r="BE19">
        <v>0</v>
      </c>
      <c r="BF19">
        <v>0</v>
      </c>
      <c r="BG19">
        <v>1</v>
      </c>
      <c r="BH19">
        <v>2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0</v>
      </c>
      <c r="BU19">
        <v>1</v>
      </c>
      <c r="BV19">
        <v>2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2</v>
      </c>
      <c r="CE19">
        <v>0</v>
      </c>
      <c r="CF19">
        <v>0</v>
      </c>
      <c r="CG19">
        <v>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1</v>
      </c>
      <c r="CR19">
        <v>0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 x14ac:dyDescent="0.3">
      <c r="A20" t="s">
        <v>201</v>
      </c>
      <c r="B20" t="s">
        <v>208</v>
      </c>
      <c r="C20" t="s">
        <v>200</v>
      </c>
      <c r="D20">
        <v>235</v>
      </c>
      <c r="E20">
        <v>14</v>
      </c>
      <c r="F20">
        <v>14</v>
      </c>
      <c r="G20">
        <v>43</v>
      </c>
      <c r="H20">
        <v>11</v>
      </c>
      <c r="I20">
        <v>1</v>
      </c>
      <c r="J20">
        <v>4</v>
      </c>
      <c r="K20">
        <v>3</v>
      </c>
      <c r="L20">
        <v>9</v>
      </c>
      <c r="M20">
        <v>9</v>
      </c>
      <c r="N20">
        <v>1</v>
      </c>
      <c r="O20">
        <v>4</v>
      </c>
      <c r="P20">
        <v>15</v>
      </c>
      <c r="Q20">
        <v>0</v>
      </c>
      <c r="R20">
        <v>0</v>
      </c>
      <c r="S20">
        <v>32</v>
      </c>
      <c r="T20">
        <v>4</v>
      </c>
      <c r="U20">
        <v>1</v>
      </c>
      <c r="V20">
        <v>0</v>
      </c>
      <c r="W20">
        <v>11</v>
      </c>
      <c r="X20">
        <v>0</v>
      </c>
      <c r="Y20">
        <v>0</v>
      </c>
      <c r="Z20">
        <v>0</v>
      </c>
      <c r="AA20">
        <v>8</v>
      </c>
      <c r="AB20">
        <v>2</v>
      </c>
      <c r="AC20">
        <v>5</v>
      </c>
      <c r="AD20">
        <v>4</v>
      </c>
      <c r="AE20">
        <v>0</v>
      </c>
      <c r="AF20">
        <v>7</v>
      </c>
      <c r="AG20">
        <v>5</v>
      </c>
      <c r="AH20">
        <v>0</v>
      </c>
      <c r="AI20">
        <v>0</v>
      </c>
      <c r="AJ20">
        <v>0</v>
      </c>
      <c r="AK20">
        <v>0</v>
      </c>
      <c r="AL20">
        <v>3</v>
      </c>
      <c r="AM20">
        <v>3</v>
      </c>
      <c r="AN20">
        <v>4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2</v>
      </c>
      <c r="AZ20">
        <v>0</v>
      </c>
      <c r="BA20">
        <v>0</v>
      </c>
      <c r="BB20">
        <v>0</v>
      </c>
      <c r="BC20">
        <v>3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2</v>
      </c>
      <c r="BS20">
        <v>0</v>
      </c>
      <c r="BT20">
        <v>2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2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 x14ac:dyDescent="0.3">
      <c r="A21" t="s">
        <v>201</v>
      </c>
      <c r="B21" t="s">
        <v>208</v>
      </c>
      <c r="C21" t="s">
        <v>203</v>
      </c>
      <c r="D21">
        <v>91</v>
      </c>
      <c r="E21">
        <v>7</v>
      </c>
      <c r="F21">
        <v>6</v>
      </c>
      <c r="G21">
        <v>13</v>
      </c>
      <c r="H21">
        <v>11</v>
      </c>
      <c r="I21">
        <v>0</v>
      </c>
      <c r="J21">
        <v>1</v>
      </c>
      <c r="K21">
        <v>1</v>
      </c>
      <c r="L21">
        <v>7</v>
      </c>
      <c r="M21">
        <v>1</v>
      </c>
      <c r="N21">
        <v>0</v>
      </c>
      <c r="O21">
        <v>1</v>
      </c>
      <c r="P21">
        <v>11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3</v>
      </c>
      <c r="X21">
        <v>0</v>
      </c>
      <c r="Y21">
        <v>0</v>
      </c>
      <c r="Z21">
        <v>0</v>
      </c>
      <c r="AA21">
        <v>6</v>
      </c>
      <c r="AB21">
        <v>0</v>
      </c>
      <c r="AC21">
        <v>3</v>
      </c>
      <c r="AD21">
        <v>3</v>
      </c>
      <c r="AE21">
        <v>0</v>
      </c>
      <c r="AF21">
        <v>3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0</v>
      </c>
      <c r="BB21">
        <v>0</v>
      </c>
      <c r="BC21">
        <v>2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 x14ac:dyDescent="0.3">
      <c r="A22" t="s">
        <v>201</v>
      </c>
      <c r="B22" t="s">
        <v>208</v>
      </c>
      <c r="C22" t="s">
        <v>204</v>
      </c>
      <c r="D22">
        <v>144</v>
      </c>
      <c r="E22">
        <v>7</v>
      </c>
      <c r="F22">
        <v>8</v>
      </c>
      <c r="G22">
        <v>30</v>
      </c>
      <c r="H22">
        <v>0</v>
      </c>
      <c r="I22">
        <v>1</v>
      </c>
      <c r="J22">
        <v>3</v>
      </c>
      <c r="K22">
        <v>2</v>
      </c>
      <c r="L22">
        <v>2</v>
      </c>
      <c r="M22">
        <v>8</v>
      </c>
      <c r="N22">
        <v>1</v>
      </c>
      <c r="O22">
        <v>3</v>
      </c>
      <c r="P22">
        <v>4</v>
      </c>
      <c r="Q22">
        <v>0</v>
      </c>
      <c r="R22">
        <v>0</v>
      </c>
      <c r="S22">
        <v>31</v>
      </c>
      <c r="T22">
        <v>4</v>
      </c>
      <c r="U22">
        <v>1</v>
      </c>
      <c r="V22">
        <v>0</v>
      </c>
      <c r="W22">
        <v>8</v>
      </c>
      <c r="X22">
        <v>0</v>
      </c>
      <c r="Y22">
        <v>0</v>
      </c>
      <c r="Z22">
        <v>0</v>
      </c>
      <c r="AA22">
        <v>2</v>
      </c>
      <c r="AB22">
        <v>2</v>
      </c>
      <c r="AC22">
        <v>2</v>
      </c>
      <c r="AD22">
        <v>1</v>
      </c>
      <c r="AE22">
        <v>0</v>
      </c>
      <c r="AF22">
        <v>4</v>
      </c>
      <c r="AG22">
        <v>4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2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 x14ac:dyDescent="0.3">
      <c r="A23" t="s">
        <v>201</v>
      </c>
      <c r="B23" t="s">
        <v>209</v>
      </c>
      <c r="C23" t="s">
        <v>200</v>
      </c>
      <c r="D23" s="1">
        <v>3010</v>
      </c>
      <c r="E23">
        <v>258</v>
      </c>
      <c r="F23" s="1">
        <v>1352</v>
      </c>
      <c r="G23">
        <v>545</v>
      </c>
      <c r="H23">
        <v>46</v>
      </c>
      <c r="I23">
        <v>14</v>
      </c>
      <c r="J23">
        <v>64</v>
      </c>
      <c r="K23">
        <v>27</v>
      </c>
      <c r="L23">
        <v>91</v>
      </c>
      <c r="M23">
        <v>62</v>
      </c>
      <c r="N23">
        <v>79</v>
      </c>
      <c r="O23">
        <v>28</v>
      </c>
      <c r="P23">
        <v>57</v>
      </c>
      <c r="Q23">
        <v>10</v>
      </c>
      <c r="R23">
        <v>5</v>
      </c>
      <c r="S23">
        <v>140</v>
      </c>
      <c r="T23">
        <v>22</v>
      </c>
      <c r="U23">
        <v>7</v>
      </c>
      <c r="V23">
        <v>7</v>
      </c>
      <c r="W23">
        <v>38</v>
      </c>
      <c r="X23">
        <v>7</v>
      </c>
      <c r="Y23">
        <v>4</v>
      </c>
      <c r="Z23">
        <v>3</v>
      </c>
      <c r="AA23">
        <v>9</v>
      </c>
      <c r="AB23">
        <v>9</v>
      </c>
      <c r="AC23">
        <v>19</v>
      </c>
      <c r="AD23">
        <v>10</v>
      </c>
      <c r="AE23">
        <v>0</v>
      </c>
      <c r="AF23">
        <v>16</v>
      </c>
      <c r="AG23">
        <v>3</v>
      </c>
      <c r="AH23">
        <v>3</v>
      </c>
      <c r="AI23">
        <v>0</v>
      </c>
      <c r="AJ23">
        <v>1</v>
      </c>
      <c r="AK23">
        <v>0</v>
      </c>
      <c r="AL23">
        <v>1</v>
      </c>
      <c r="AM23">
        <v>10</v>
      </c>
      <c r="AN23">
        <v>7</v>
      </c>
      <c r="AO23">
        <v>1</v>
      </c>
      <c r="AP23">
        <v>0</v>
      </c>
      <c r="AQ23">
        <v>0</v>
      </c>
      <c r="AR23">
        <v>1</v>
      </c>
      <c r="AS23">
        <v>8</v>
      </c>
      <c r="AT23">
        <v>4</v>
      </c>
      <c r="AU23">
        <v>0</v>
      </c>
      <c r="AV23">
        <v>1</v>
      </c>
      <c r="AW23">
        <v>5</v>
      </c>
      <c r="AX23">
        <v>0</v>
      </c>
      <c r="AY23">
        <v>0</v>
      </c>
      <c r="AZ23">
        <v>0</v>
      </c>
      <c r="BA23">
        <v>2</v>
      </c>
      <c r="BB23">
        <v>0</v>
      </c>
      <c r="BC23">
        <v>3</v>
      </c>
      <c r="BD23">
        <v>0</v>
      </c>
      <c r="BE23">
        <v>0</v>
      </c>
      <c r="BF23">
        <v>0</v>
      </c>
      <c r="BG23">
        <v>2</v>
      </c>
      <c r="BH23">
        <v>2</v>
      </c>
      <c r="BI23">
        <v>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2</v>
      </c>
      <c r="BW23">
        <v>0</v>
      </c>
      <c r="BX23">
        <v>0</v>
      </c>
      <c r="BY23">
        <v>5</v>
      </c>
      <c r="BZ23">
        <v>1</v>
      </c>
      <c r="CA23">
        <v>1</v>
      </c>
      <c r="CB23">
        <v>0</v>
      </c>
      <c r="CC23">
        <v>0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2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</row>
    <row r="24" spans="1:201" x14ac:dyDescent="0.3">
      <c r="A24" t="s">
        <v>201</v>
      </c>
      <c r="B24" t="s">
        <v>209</v>
      </c>
      <c r="C24" t="s">
        <v>203</v>
      </c>
      <c r="D24" s="1">
        <v>1467</v>
      </c>
      <c r="E24">
        <v>81</v>
      </c>
      <c r="F24">
        <v>748</v>
      </c>
      <c r="G24">
        <v>196</v>
      </c>
      <c r="H24">
        <v>34</v>
      </c>
      <c r="I24">
        <v>4</v>
      </c>
      <c r="J24">
        <v>48</v>
      </c>
      <c r="K24">
        <v>10</v>
      </c>
      <c r="L24">
        <v>79</v>
      </c>
      <c r="M24">
        <v>20</v>
      </c>
      <c r="N24">
        <v>48</v>
      </c>
      <c r="O24">
        <v>10</v>
      </c>
      <c r="P24">
        <v>32</v>
      </c>
      <c r="Q24">
        <v>8</v>
      </c>
      <c r="R24">
        <v>5</v>
      </c>
      <c r="S24">
        <v>34</v>
      </c>
      <c r="T24">
        <v>6</v>
      </c>
      <c r="U24">
        <v>2</v>
      </c>
      <c r="V24">
        <v>7</v>
      </c>
      <c r="W24">
        <v>19</v>
      </c>
      <c r="X24">
        <v>5</v>
      </c>
      <c r="Y24">
        <v>1</v>
      </c>
      <c r="Z24">
        <v>2</v>
      </c>
      <c r="AA24">
        <v>6</v>
      </c>
      <c r="AB24">
        <v>5</v>
      </c>
      <c r="AC24">
        <v>9</v>
      </c>
      <c r="AD24">
        <v>5</v>
      </c>
      <c r="AE24">
        <v>0</v>
      </c>
      <c r="AF24">
        <v>9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0</v>
      </c>
      <c r="AM24">
        <v>2</v>
      </c>
      <c r="AN24">
        <v>5</v>
      </c>
      <c r="AO24">
        <v>0</v>
      </c>
      <c r="AP24">
        <v>0</v>
      </c>
      <c r="AQ24">
        <v>0</v>
      </c>
      <c r="AR24">
        <v>1</v>
      </c>
      <c r="AS24">
        <v>4</v>
      </c>
      <c r="AT24">
        <v>1</v>
      </c>
      <c r="AU24">
        <v>0</v>
      </c>
      <c r="AV24">
        <v>1</v>
      </c>
      <c r="AW24">
        <v>3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1</v>
      </c>
    </row>
    <row r="25" spans="1:201" x14ac:dyDescent="0.3">
      <c r="A25" t="s">
        <v>201</v>
      </c>
      <c r="B25" t="s">
        <v>209</v>
      </c>
      <c r="C25" t="s">
        <v>204</v>
      </c>
      <c r="D25" s="1">
        <v>1543</v>
      </c>
      <c r="E25">
        <v>177</v>
      </c>
      <c r="F25">
        <v>604</v>
      </c>
      <c r="G25">
        <v>349</v>
      </c>
      <c r="H25">
        <v>12</v>
      </c>
      <c r="I25">
        <v>10</v>
      </c>
      <c r="J25">
        <v>16</v>
      </c>
      <c r="K25">
        <v>17</v>
      </c>
      <c r="L25">
        <v>12</v>
      </c>
      <c r="M25">
        <v>42</v>
      </c>
      <c r="N25">
        <v>31</v>
      </c>
      <c r="O25">
        <v>18</v>
      </c>
      <c r="P25">
        <v>25</v>
      </c>
      <c r="Q25">
        <v>2</v>
      </c>
      <c r="R25">
        <v>0</v>
      </c>
      <c r="S25">
        <v>106</v>
      </c>
      <c r="T25">
        <v>16</v>
      </c>
      <c r="U25">
        <v>5</v>
      </c>
      <c r="V25">
        <v>0</v>
      </c>
      <c r="W25">
        <v>19</v>
      </c>
      <c r="X25">
        <v>2</v>
      </c>
      <c r="Y25">
        <v>3</v>
      </c>
      <c r="Z25">
        <v>1</v>
      </c>
      <c r="AA25">
        <v>3</v>
      </c>
      <c r="AB25">
        <v>4</v>
      </c>
      <c r="AC25">
        <v>10</v>
      </c>
      <c r="AD25">
        <v>5</v>
      </c>
      <c r="AE25">
        <v>0</v>
      </c>
      <c r="AF25">
        <v>7</v>
      </c>
      <c r="AG25">
        <v>3</v>
      </c>
      <c r="AH25">
        <v>1</v>
      </c>
      <c r="AI25">
        <v>0</v>
      </c>
      <c r="AJ25">
        <v>1</v>
      </c>
      <c r="AK25">
        <v>0</v>
      </c>
      <c r="AL25">
        <v>1</v>
      </c>
      <c r="AM25">
        <v>8</v>
      </c>
      <c r="AN25">
        <v>2</v>
      </c>
      <c r="AO25">
        <v>1</v>
      </c>
      <c r="AP25">
        <v>0</v>
      </c>
      <c r="AQ25">
        <v>0</v>
      </c>
      <c r="AR25">
        <v>0</v>
      </c>
      <c r="AS25">
        <v>4</v>
      </c>
      <c r="AT25">
        <v>3</v>
      </c>
      <c r="AU25">
        <v>0</v>
      </c>
      <c r="AV25">
        <v>0</v>
      </c>
      <c r="AW25">
        <v>2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2</v>
      </c>
      <c r="BI25">
        <v>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</v>
      </c>
      <c r="BW25">
        <v>0</v>
      </c>
      <c r="BX25">
        <v>0</v>
      </c>
      <c r="BY25">
        <v>3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 x14ac:dyDescent="0.3">
      <c r="A26" t="s">
        <v>201</v>
      </c>
      <c r="B26" t="s">
        <v>210</v>
      </c>
      <c r="C26" t="s">
        <v>200</v>
      </c>
      <c r="D26" s="1">
        <v>15502</v>
      </c>
      <c r="E26" s="1">
        <v>2031</v>
      </c>
      <c r="F26" s="1">
        <v>2029</v>
      </c>
      <c r="G26">
        <v>970</v>
      </c>
      <c r="H26" s="1">
        <v>1086</v>
      </c>
      <c r="I26">
        <v>662</v>
      </c>
      <c r="J26" s="1">
        <v>1718</v>
      </c>
      <c r="K26">
        <v>458</v>
      </c>
      <c r="L26" s="1">
        <v>1070</v>
      </c>
      <c r="M26" s="1">
        <v>1217</v>
      </c>
      <c r="N26">
        <v>723</v>
      </c>
      <c r="O26">
        <v>680</v>
      </c>
      <c r="P26">
        <v>83</v>
      </c>
      <c r="Q26">
        <v>440</v>
      </c>
      <c r="R26" s="1">
        <v>1049</v>
      </c>
      <c r="S26">
        <v>145</v>
      </c>
      <c r="T26">
        <v>125</v>
      </c>
      <c r="U26">
        <v>120</v>
      </c>
      <c r="V26">
        <v>320</v>
      </c>
      <c r="W26">
        <v>39</v>
      </c>
      <c r="X26">
        <v>29</v>
      </c>
      <c r="Y26">
        <v>84</v>
      </c>
      <c r="Z26">
        <v>90</v>
      </c>
      <c r="AA26">
        <v>10</v>
      </c>
      <c r="AB26">
        <v>14</v>
      </c>
      <c r="AC26">
        <v>17</v>
      </c>
      <c r="AD26">
        <v>8</v>
      </c>
      <c r="AE26">
        <v>23</v>
      </c>
      <c r="AF26">
        <v>22</v>
      </c>
      <c r="AG26">
        <v>10</v>
      </c>
      <c r="AH26">
        <v>10</v>
      </c>
      <c r="AI26">
        <v>6</v>
      </c>
      <c r="AJ26">
        <v>15</v>
      </c>
      <c r="AK26">
        <v>4</v>
      </c>
      <c r="AL26">
        <v>13</v>
      </c>
      <c r="AM26">
        <v>11</v>
      </c>
      <c r="AN26">
        <v>14</v>
      </c>
      <c r="AO26">
        <v>11</v>
      </c>
      <c r="AP26">
        <v>0</v>
      </c>
      <c r="AQ26">
        <v>13</v>
      </c>
      <c r="AR26">
        <v>4</v>
      </c>
      <c r="AS26">
        <v>3</v>
      </c>
      <c r="AT26">
        <v>3</v>
      </c>
      <c r="AU26">
        <v>10</v>
      </c>
      <c r="AV26">
        <v>8</v>
      </c>
      <c r="AW26">
        <v>3</v>
      </c>
      <c r="AX26">
        <v>10</v>
      </c>
      <c r="AY26">
        <v>3</v>
      </c>
      <c r="AZ26">
        <v>6</v>
      </c>
      <c r="BA26">
        <v>2</v>
      </c>
      <c r="BB26">
        <v>0</v>
      </c>
      <c r="BC26">
        <v>3</v>
      </c>
      <c r="BD26">
        <v>0</v>
      </c>
      <c r="BE26">
        <v>1</v>
      </c>
      <c r="BF26">
        <v>4</v>
      </c>
      <c r="BG26">
        <v>2</v>
      </c>
      <c r="BH26">
        <v>0</v>
      </c>
      <c r="BI26">
        <v>1</v>
      </c>
      <c r="BJ26">
        <v>1</v>
      </c>
      <c r="BK26">
        <v>2</v>
      </c>
      <c r="BL26">
        <v>0</v>
      </c>
      <c r="BM26">
        <v>0</v>
      </c>
      <c r="BN26">
        <v>2</v>
      </c>
      <c r="BO26">
        <v>0</v>
      </c>
      <c r="BP26">
        <v>7</v>
      </c>
      <c r="BQ26">
        <v>3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3</v>
      </c>
      <c r="BX26">
        <v>4</v>
      </c>
      <c r="BY26">
        <v>1</v>
      </c>
      <c r="BZ26">
        <v>1</v>
      </c>
      <c r="CA26">
        <v>3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2</v>
      </c>
      <c r="CH26">
        <v>2</v>
      </c>
      <c r="CI26">
        <v>3</v>
      </c>
      <c r="CJ26">
        <v>1</v>
      </c>
      <c r="CK26">
        <v>2</v>
      </c>
      <c r="CL26">
        <v>0</v>
      </c>
      <c r="CM26">
        <v>1</v>
      </c>
      <c r="CN26">
        <v>0</v>
      </c>
      <c r="CO26">
        <v>2</v>
      </c>
      <c r="CP26">
        <v>1</v>
      </c>
      <c r="CQ26">
        <v>0</v>
      </c>
      <c r="CR26">
        <v>1</v>
      </c>
      <c r="CS26">
        <v>1</v>
      </c>
      <c r="CT26">
        <v>1</v>
      </c>
      <c r="CU26">
        <v>0</v>
      </c>
      <c r="CV26">
        <v>1</v>
      </c>
      <c r="CW26">
        <v>1</v>
      </c>
      <c r="CX26">
        <v>2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2</v>
      </c>
      <c r="DR26">
        <v>0</v>
      </c>
      <c r="DS26">
        <v>1</v>
      </c>
      <c r="DT26">
        <v>0</v>
      </c>
      <c r="DU26">
        <v>2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2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3</v>
      </c>
    </row>
    <row r="27" spans="1:201" x14ac:dyDescent="0.3">
      <c r="A27" t="s">
        <v>201</v>
      </c>
      <c r="B27" t="s">
        <v>210</v>
      </c>
      <c r="C27" t="s">
        <v>203</v>
      </c>
      <c r="D27" s="1">
        <v>10601</v>
      </c>
      <c r="E27" s="1">
        <v>1100</v>
      </c>
      <c r="F27" s="1">
        <v>1092</v>
      </c>
      <c r="G27">
        <v>326</v>
      </c>
      <c r="H27">
        <v>886</v>
      </c>
      <c r="I27">
        <v>523</v>
      </c>
      <c r="J27" s="1">
        <v>1304</v>
      </c>
      <c r="K27">
        <v>415</v>
      </c>
      <c r="L27" s="1">
        <v>1033</v>
      </c>
      <c r="M27">
        <v>936</v>
      </c>
      <c r="N27">
        <v>497</v>
      </c>
      <c r="O27">
        <v>373</v>
      </c>
      <c r="P27">
        <v>44</v>
      </c>
      <c r="Q27">
        <v>393</v>
      </c>
      <c r="R27">
        <v>891</v>
      </c>
      <c r="S27">
        <v>11</v>
      </c>
      <c r="T27">
        <v>83</v>
      </c>
      <c r="U27">
        <v>48</v>
      </c>
      <c r="V27">
        <v>296</v>
      </c>
      <c r="W27">
        <v>16</v>
      </c>
      <c r="X27">
        <v>25</v>
      </c>
      <c r="Y27">
        <v>64</v>
      </c>
      <c r="Z27">
        <v>57</v>
      </c>
      <c r="AA27">
        <v>7</v>
      </c>
      <c r="AB27">
        <v>6</v>
      </c>
      <c r="AC27">
        <v>11</v>
      </c>
      <c r="AD27">
        <v>5</v>
      </c>
      <c r="AE27">
        <v>14</v>
      </c>
      <c r="AF27">
        <v>16</v>
      </c>
      <c r="AG27">
        <v>3</v>
      </c>
      <c r="AH27">
        <v>7</v>
      </c>
      <c r="AI27">
        <v>6</v>
      </c>
      <c r="AJ27">
        <v>7</v>
      </c>
      <c r="AK27">
        <v>4</v>
      </c>
      <c r="AL27">
        <v>4</v>
      </c>
      <c r="AM27">
        <v>2</v>
      </c>
      <c r="AN27">
        <v>7</v>
      </c>
      <c r="AO27">
        <v>9</v>
      </c>
      <c r="AP27">
        <v>0</v>
      </c>
      <c r="AQ27">
        <v>7</v>
      </c>
      <c r="AR27">
        <v>3</v>
      </c>
      <c r="AS27">
        <v>0</v>
      </c>
      <c r="AT27">
        <v>1</v>
      </c>
      <c r="AU27">
        <v>9</v>
      </c>
      <c r="AV27">
        <v>7</v>
      </c>
      <c r="AW27">
        <v>1</v>
      </c>
      <c r="AX27">
        <v>6</v>
      </c>
      <c r="AY27">
        <v>1</v>
      </c>
      <c r="AZ27">
        <v>2</v>
      </c>
      <c r="BA27">
        <v>1</v>
      </c>
      <c r="BB27">
        <v>0</v>
      </c>
      <c r="BC27">
        <v>2</v>
      </c>
      <c r="BD27">
        <v>0</v>
      </c>
      <c r="BE27">
        <v>1</v>
      </c>
      <c r="BF27">
        <v>3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0</v>
      </c>
      <c r="BM27">
        <v>0</v>
      </c>
      <c r="BN27">
        <v>0</v>
      </c>
      <c r="BO27">
        <v>0</v>
      </c>
      <c r="BP27">
        <v>3</v>
      </c>
      <c r="BQ27">
        <v>2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2</v>
      </c>
      <c r="BX27">
        <v>2</v>
      </c>
      <c r="BY27">
        <v>1</v>
      </c>
      <c r="BZ27">
        <v>1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2</v>
      </c>
      <c r="CI27">
        <v>2</v>
      </c>
      <c r="CJ27">
        <v>1</v>
      </c>
      <c r="CK27">
        <v>2</v>
      </c>
      <c r="CL27">
        <v>0</v>
      </c>
      <c r="CM27">
        <v>1</v>
      </c>
      <c r="CN27">
        <v>0</v>
      </c>
      <c r="CO27">
        <v>2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2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</row>
    <row r="28" spans="1:201" x14ac:dyDescent="0.3">
      <c r="A28" t="s">
        <v>201</v>
      </c>
      <c r="B28" t="s">
        <v>210</v>
      </c>
      <c r="C28" t="s">
        <v>204</v>
      </c>
      <c r="D28" s="1">
        <v>4901</v>
      </c>
      <c r="E28">
        <v>931</v>
      </c>
      <c r="F28">
        <v>937</v>
      </c>
      <c r="G28">
        <v>644</v>
      </c>
      <c r="H28">
        <v>200</v>
      </c>
      <c r="I28">
        <v>139</v>
      </c>
      <c r="J28">
        <v>414</v>
      </c>
      <c r="K28">
        <v>43</v>
      </c>
      <c r="L28">
        <v>37</v>
      </c>
      <c r="M28">
        <v>281</v>
      </c>
      <c r="N28">
        <v>226</v>
      </c>
      <c r="O28">
        <v>307</v>
      </c>
      <c r="P28">
        <v>39</v>
      </c>
      <c r="Q28">
        <v>47</v>
      </c>
      <c r="R28">
        <v>158</v>
      </c>
      <c r="S28">
        <v>134</v>
      </c>
      <c r="T28">
        <v>42</v>
      </c>
      <c r="U28">
        <v>72</v>
      </c>
      <c r="V28">
        <v>24</v>
      </c>
      <c r="W28">
        <v>23</v>
      </c>
      <c r="X28">
        <v>4</v>
      </c>
      <c r="Y28">
        <v>20</v>
      </c>
      <c r="Z28">
        <v>33</v>
      </c>
      <c r="AA28">
        <v>3</v>
      </c>
      <c r="AB28">
        <v>8</v>
      </c>
      <c r="AC28">
        <v>6</v>
      </c>
      <c r="AD28">
        <v>3</v>
      </c>
      <c r="AE28">
        <v>9</v>
      </c>
      <c r="AF28">
        <v>6</v>
      </c>
      <c r="AG28">
        <v>7</v>
      </c>
      <c r="AH28">
        <v>3</v>
      </c>
      <c r="AI28">
        <v>0</v>
      </c>
      <c r="AJ28">
        <v>8</v>
      </c>
      <c r="AK28">
        <v>0</v>
      </c>
      <c r="AL28">
        <v>9</v>
      </c>
      <c r="AM28">
        <v>9</v>
      </c>
      <c r="AN28">
        <v>7</v>
      </c>
      <c r="AO28">
        <v>2</v>
      </c>
      <c r="AP28">
        <v>0</v>
      </c>
      <c r="AQ28">
        <v>6</v>
      </c>
      <c r="AR28">
        <v>1</v>
      </c>
      <c r="AS28">
        <v>3</v>
      </c>
      <c r="AT28">
        <v>2</v>
      </c>
      <c r="AU28">
        <v>1</v>
      </c>
      <c r="AV28">
        <v>1</v>
      </c>
      <c r="AW28">
        <v>2</v>
      </c>
      <c r="AX28">
        <v>4</v>
      </c>
      <c r="AY28">
        <v>2</v>
      </c>
      <c r="AZ28">
        <v>4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2</v>
      </c>
      <c r="BH28">
        <v>0</v>
      </c>
      <c r="BI28">
        <v>1</v>
      </c>
      <c r="BJ28">
        <v>1</v>
      </c>
      <c r="BK28">
        <v>0</v>
      </c>
      <c r="BL28">
        <v>0</v>
      </c>
      <c r="BM28">
        <v>0</v>
      </c>
      <c r="BN28">
        <v>2</v>
      </c>
      <c r="BO28">
        <v>0</v>
      </c>
      <c r="BP28">
        <v>4</v>
      </c>
      <c r="BQ28">
        <v>1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1</v>
      </c>
      <c r="BX28">
        <v>2</v>
      </c>
      <c r="BY28">
        <v>0</v>
      </c>
      <c r="BZ28">
        <v>0</v>
      </c>
      <c r="CA28">
        <v>2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2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1</v>
      </c>
      <c r="CT28">
        <v>1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1</v>
      </c>
      <c r="DT28">
        <v>0</v>
      </c>
      <c r="DU28">
        <v>2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2</v>
      </c>
    </row>
    <row r="29" spans="1:201" x14ac:dyDescent="0.3">
      <c r="A29" t="s">
        <v>201</v>
      </c>
      <c r="B29" t="s">
        <v>211</v>
      </c>
      <c r="C29" t="s">
        <v>200</v>
      </c>
      <c r="D29" s="1">
        <v>1688</v>
      </c>
      <c r="E29">
        <v>174</v>
      </c>
      <c r="F29">
        <v>275</v>
      </c>
      <c r="G29">
        <v>208</v>
      </c>
      <c r="H29">
        <v>33</v>
      </c>
      <c r="I29">
        <v>24</v>
      </c>
      <c r="J29">
        <v>92</v>
      </c>
      <c r="K29">
        <v>13</v>
      </c>
      <c r="L29">
        <v>46</v>
      </c>
      <c r="M29">
        <v>47</v>
      </c>
      <c r="N29">
        <v>91</v>
      </c>
      <c r="O29">
        <v>261</v>
      </c>
      <c r="P29">
        <v>54</v>
      </c>
      <c r="Q29">
        <v>2</v>
      </c>
      <c r="R29">
        <v>5</v>
      </c>
      <c r="S29">
        <v>138</v>
      </c>
      <c r="T29">
        <v>20</v>
      </c>
      <c r="U29">
        <v>3</v>
      </c>
      <c r="V29">
        <v>7</v>
      </c>
      <c r="W29">
        <v>16</v>
      </c>
      <c r="X29">
        <v>15</v>
      </c>
      <c r="Y29">
        <v>5</v>
      </c>
      <c r="Z29">
        <v>4</v>
      </c>
      <c r="AA29">
        <v>11</v>
      </c>
      <c r="AB29">
        <v>1</v>
      </c>
      <c r="AC29">
        <v>8</v>
      </c>
      <c r="AD29">
        <v>12</v>
      </c>
      <c r="AE29">
        <v>13</v>
      </c>
      <c r="AF29">
        <v>8</v>
      </c>
      <c r="AG29">
        <v>13</v>
      </c>
      <c r="AH29">
        <v>10</v>
      </c>
      <c r="AI29">
        <v>0</v>
      </c>
      <c r="AJ29">
        <v>2</v>
      </c>
      <c r="AK29">
        <v>2</v>
      </c>
      <c r="AL29">
        <v>4</v>
      </c>
      <c r="AM29">
        <v>8</v>
      </c>
      <c r="AN29">
        <v>7</v>
      </c>
      <c r="AO29">
        <v>0</v>
      </c>
      <c r="AP29">
        <v>0</v>
      </c>
      <c r="AQ29">
        <v>4</v>
      </c>
      <c r="AR29">
        <v>0</v>
      </c>
      <c r="AS29">
        <v>5</v>
      </c>
      <c r="AT29">
        <v>3</v>
      </c>
      <c r="AU29">
        <v>4</v>
      </c>
      <c r="AV29">
        <v>1</v>
      </c>
      <c r="AW29">
        <v>2</v>
      </c>
      <c r="AX29">
        <v>0</v>
      </c>
      <c r="AY29">
        <v>3</v>
      </c>
      <c r="AZ29">
        <v>0</v>
      </c>
      <c r="BA29">
        <v>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</v>
      </c>
      <c r="BH29">
        <v>3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6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0</v>
      </c>
      <c r="BY29">
        <v>0</v>
      </c>
      <c r="BZ29">
        <v>0</v>
      </c>
      <c r="CA29">
        <v>0</v>
      </c>
      <c r="CB29">
        <v>5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3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1</v>
      </c>
    </row>
    <row r="30" spans="1:201" x14ac:dyDescent="0.3">
      <c r="A30" t="s">
        <v>201</v>
      </c>
      <c r="B30" t="s">
        <v>211</v>
      </c>
      <c r="C30" t="s">
        <v>203</v>
      </c>
      <c r="D30">
        <v>790</v>
      </c>
      <c r="E30">
        <v>62</v>
      </c>
      <c r="F30">
        <v>149</v>
      </c>
      <c r="G30">
        <v>82</v>
      </c>
      <c r="H30">
        <v>28</v>
      </c>
      <c r="I30">
        <v>9</v>
      </c>
      <c r="J30">
        <v>75</v>
      </c>
      <c r="K30">
        <v>2</v>
      </c>
      <c r="L30">
        <v>40</v>
      </c>
      <c r="M30">
        <v>20</v>
      </c>
      <c r="N30">
        <v>38</v>
      </c>
      <c r="O30">
        <v>126</v>
      </c>
      <c r="P30">
        <v>25</v>
      </c>
      <c r="Q30">
        <v>1</v>
      </c>
      <c r="R30">
        <v>3</v>
      </c>
      <c r="S30">
        <v>22</v>
      </c>
      <c r="T30">
        <v>3</v>
      </c>
      <c r="U30">
        <v>1</v>
      </c>
      <c r="V30">
        <v>7</v>
      </c>
      <c r="W30">
        <v>5</v>
      </c>
      <c r="X30">
        <v>10</v>
      </c>
      <c r="Y30">
        <v>0</v>
      </c>
      <c r="Z30">
        <v>2</v>
      </c>
      <c r="AA30">
        <v>7</v>
      </c>
      <c r="AB30">
        <v>1</v>
      </c>
      <c r="AC30">
        <v>2</v>
      </c>
      <c r="AD30">
        <v>4</v>
      </c>
      <c r="AE30">
        <v>12</v>
      </c>
      <c r="AF30">
        <v>6</v>
      </c>
      <c r="AG30">
        <v>8</v>
      </c>
      <c r="AH30">
        <v>5</v>
      </c>
      <c r="AI30">
        <v>0</v>
      </c>
      <c r="AJ30">
        <v>1</v>
      </c>
      <c r="AK30">
        <v>2</v>
      </c>
      <c r="AL30">
        <v>2</v>
      </c>
      <c r="AM30">
        <v>1</v>
      </c>
      <c r="AN30">
        <v>3</v>
      </c>
      <c r="AO30">
        <v>0</v>
      </c>
      <c r="AP30">
        <v>0</v>
      </c>
      <c r="AQ30">
        <v>0</v>
      </c>
      <c r="AR30">
        <v>0</v>
      </c>
      <c r="AS30">
        <v>3</v>
      </c>
      <c r="AT30">
        <v>1</v>
      </c>
      <c r="AU30">
        <v>2</v>
      </c>
      <c r="AV30">
        <v>1</v>
      </c>
      <c r="AW30">
        <v>1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</v>
      </c>
      <c r="BH30">
        <v>1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</v>
      </c>
      <c r="BS30">
        <v>0</v>
      </c>
      <c r="BT30">
        <v>0</v>
      </c>
      <c r="BU30">
        <v>0</v>
      </c>
      <c r="BV30">
        <v>0</v>
      </c>
      <c r="BW30">
        <v>2</v>
      </c>
      <c r="BX30">
        <v>0</v>
      </c>
      <c r="BY30">
        <v>0</v>
      </c>
      <c r="BZ30">
        <v>0</v>
      </c>
      <c r="CA30">
        <v>0</v>
      </c>
      <c r="CB30">
        <v>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 x14ac:dyDescent="0.3">
      <c r="A31" t="s">
        <v>201</v>
      </c>
      <c r="B31" t="s">
        <v>211</v>
      </c>
      <c r="C31" t="s">
        <v>204</v>
      </c>
      <c r="D31">
        <v>898</v>
      </c>
      <c r="E31">
        <v>112</v>
      </c>
      <c r="F31">
        <v>126</v>
      </c>
      <c r="G31">
        <v>126</v>
      </c>
      <c r="H31">
        <v>5</v>
      </c>
      <c r="I31">
        <v>15</v>
      </c>
      <c r="J31">
        <v>17</v>
      </c>
      <c r="K31">
        <v>11</v>
      </c>
      <c r="L31">
        <v>6</v>
      </c>
      <c r="M31">
        <v>27</v>
      </c>
      <c r="N31">
        <v>53</v>
      </c>
      <c r="O31">
        <v>135</v>
      </c>
      <c r="P31">
        <v>29</v>
      </c>
      <c r="Q31">
        <v>1</v>
      </c>
      <c r="R31">
        <v>2</v>
      </c>
      <c r="S31">
        <v>116</v>
      </c>
      <c r="T31">
        <v>17</v>
      </c>
      <c r="U31">
        <v>2</v>
      </c>
      <c r="V31">
        <v>0</v>
      </c>
      <c r="W31">
        <v>11</v>
      </c>
      <c r="X31">
        <v>5</v>
      </c>
      <c r="Y31">
        <v>5</v>
      </c>
      <c r="Z31">
        <v>2</v>
      </c>
      <c r="AA31">
        <v>4</v>
      </c>
      <c r="AB31">
        <v>0</v>
      </c>
      <c r="AC31">
        <v>6</v>
      </c>
      <c r="AD31">
        <v>8</v>
      </c>
      <c r="AE31">
        <v>1</v>
      </c>
      <c r="AF31">
        <v>2</v>
      </c>
      <c r="AG31">
        <v>5</v>
      </c>
      <c r="AH31">
        <v>5</v>
      </c>
      <c r="AI31">
        <v>0</v>
      </c>
      <c r="AJ31">
        <v>1</v>
      </c>
      <c r="AK31">
        <v>0</v>
      </c>
      <c r="AL31">
        <v>2</v>
      </c>
      <c r="AM31">
        <v>7</v>
      </c>
      <c r="AN31">
        <v>4</v>
      </c>
      <c r="AO31">
        <v>0</v>
      </c>
      <c r="AP31">
        <v>0</v>
      </c>
      <c r="AQ31">
        <v>4</v>
      </c>
      <c r="AR31">
        <v>0</v>
      </c>
      <c r="AS31">
        <v>2</v>
      </c>
      <c r="AT31">
        <v>2</v>
      </c>
      <c r="AU31">
        <v>2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4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3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</row>
    <row r="32" spans="1:201" x14ac:dyDescent="0.3">
      <c r="A32" t="s">
        <v>201</v>
      </c>
      <c r="B32" t="s">
        <v>212</v>
      </c>
      <c r="C32" t="s">
        <v>200</v>
      </c>
      <c r="D32" s="1">
        <v>5945</v>
      </c>
      <c r="E32">
        <v>937</v>
      </c>
      <c r="F32" s="1">
        <v>2589</v>
      </c>
      <c r="G32" s="1">
        <v>1181</v>
      </c>
      <c r="H32">
        <v>118</v>
      </c>
      <c r="I32">
        <v>34</v>
      </c>
      <c r="J32">
        <v>86</v>
      </c>
      <c r="K32">
        <v>56</v>
      </c>
      <c r="L32">
        <v>138</v>
      </c>
      <c r="M32">
        <v>118</v>
      </c>
      <c r="N32">
        <v>98</v>
      </c>
      <c r="O32">
        <v>65</v>
      </c>
      <c r="P32">
        <v>69</v>
      </c>
      <c r="Q32">
        <v>52</v>
      </c>
      <c r="R32">
        <v>35</v>
      </c>
      <c r="S32">
        <v>124</v>
      </c>
      <c r="T32">
        <v>18</v>
      </c>
      <c r="U32">
        <v>7</v>
      </c>
      <c r="V32">
        <v>19</v>
      </c>
      <c r="W32">
        <v>26</v>
      </c>
      <c r="X32">
        <v>11</v>
      </c>
      <c r="Y32">
        <v>15</v>
      </c>
      <c r="Z32">
        <v>2</v>
      </c>
      <c r="AA32">
        <v>11</v>
      </c>
      <c r="AB32">
        <v>5</v>
      </c>
      <c r="AC32">
        <v>22</v>
      </c>
      <c r="AD32">
        <v>12</v>
      </c>
      <c r="AE32">
        <v>0</v>
      </c>
      <c r="AF32">
        <v>14</v>
      </c>
      <c r="AG32">
        <v>3</v>
      </c>
      <c r="AH32">
        <v>8</v>
      </c>
      <c r="AI32">
        <v>5</v>
      </c>
      <c r="AJ32">
        <v>2</v>
      </c>
      <c r="AK32">
        <v>1</v>
      </c>
      <c r="AL32">
        <v>3</v>
      </c>
      <c r="AM32">
        <v>5</v>
      </c>
      <c r="AN32">
        <v>4</v>
      </c>
      <c r="AO32">
        <v>0</v>
      </c>
      <c r="AP32">
        <v>0</v>
      </c>
      <c r="AQ32">
        <v>3</v>
      </c>
      <c r="AR32">
        <v>0</v>
      </c>
      <c r="AS32">
        <v>4</v>
      </c>
      <c r="AT32">
        <v>2</v>
      </c>
      <c r="AU32">
        <v>1</v>
      </c>
      <c r="AV32">
        <v>1</v>
      </c>
      <c r="AW32">
        <v>2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2</v>
      </c>
      <c r="BD32">
        <v>0</v>
      </c>
      <c r="BE32">
        <v>1</v>
      </c>
      <c r="BF32">
        <v>0</v>
      </c>
      <c r="BG32">
        <v>4</v>
      </c>
      <c r="BH32">
        <v>2</v>
      </c>
      <c r="BI32">
        <v>3</v>
      </c>
      <c r="BJ32">
        <v>0</v>
      </c>
      <c r="BK32">
        <v>1</v>
      </c>
      <c r="BL32">
        <v>1</v>
      </c>
      <c r="BM32">
        <v>0</v>
      </c>
      <c r="BN32">
        <v>1</v>
      </c>
      <c r="BO32">
        <v>0</v>
      </c>
      <c r="BP32">
        <v>0</v>
      </c>
      <c r="BQ32">
        <v>1</v>
      </c>
      <c r="BR32">
        <v>0</v>
      </c>
      <c r="BS32">
        <v>4</v>
      </c>
      <c r="BT32">
        <v>0</v>
      </c>
      <c r="BU32">
        <v>0</v>
      </c>
      <c r="BV32">
        <v>2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3</v>
      </c>
      <c r="CP32">
        <v>0</v>
      </c>
      <c r="CQ32">
        <v>0</v>
      </c>
      <c r="CR32">
        <v>1</v>
      </c>
      <c r="CS32">
        <v>1</v>
      </c>
      <c r="CT32">
        <v>0</v>
      </c>
      <c r="CU32">
        <v>0</v>
      </c>
      <c r="CV32">
        <v>2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2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3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 x14ac:dyDescent="0.3">
      <c r="A33" t="s">
        <v>201</v>
      </c>
      <c r="B33" t="s">
        <v>212</v>
      </c>
      <c r="C33" t="s">
        <v>203</v>
      </c>
      <c r="D33" s="1">
        <v>3059</v>
      </c>
      <c r="E33">
        <v>467</v>
      </c>
      <c r="F33" s="1">
        <v>1408</v>
      </c>
      <c r="G33">
        <v>500</v>
      </c>
      <c r="H33">
        <v>99</v>
      </c>
      <c r="I33">
        <v>17</v>
      </c>
      <c r="J33">
        <v>64</v>
      </c>
      <c r="K33">
        <v>43</v>
      </c>
      <c r="L33">
        <v>104</v>
      </c>
      <c r="M33">
        <v>50</v>
      </c>
      <c r="N33">
        <v>33</v>
      </c>
      <c r="O33">
        <v>23</v>
      </c>
      <c r="P33">
        <v>39</v>
      </c>
      <c r="Q33">
        <v>47</v>
      </c>
      <c r="R33">
        <v>29</v>
      </c>
      <c r="S33">
        <v>10</v>
      </c>
      <c r="T33">
        <v>5</v>
      </c>
      <c r="U33">
        <v>1</v>
      </c>
      <c r="V33">
        <v>14</v>
      </c>
      <c r="W33">
        <v>9</v>
      </c>
      <c r="X33">
        <v>9</v>
      </c>
      <c r="Y33">
        <v>9</v>
      </c>
      <c r="Z33">
        <v>0</v>
      </c>
      <c r="AA33">
        <v>6</v>
      </c>
      <c r="AB33">
        <v>2</v>
      </c>
      <c r="AC33">
        <v>15</v>
      </c>
      <c r="AD33">
        <v>5</v>
      </c>
      <c r="AE33">
        <v>0</v>
      </c>
      <c r="AF33">
        <v>8</v>
      </c>
      <c r="AG33">
        <v>1</v>
      </c>
      <c r="AH33">
        <v>4</v>
      </c>
      <c r="AI33">
        <v>4</v>
      </c>
      <c r="AJ33">
        <v>0</v>
      </c>
      <c r="AK33">
        <v>1</v>
      </c>
      <c r="AL33">
        <v>0</v>
      </c>
      <c r="AM33">
        <v>4</v>
      </c>
      <c r="AN33">
        <v>3</v>
      </c>
      <c r="AO33">
        <v>0</v>
      </c>
      <c r="AP33">
        <v>0</v>
      </c>
      <c r="AQ33">
        <v>1</v>
      </c>
      <c r="AR33">
        <v>0</v>
      </c>
      <c r="AS33">
        <v>2</v>
      </c>
      <c r="AT33">
        <v>1</v>
      </c>
      <c r="AU33">
        <v>0</v>
      </c>
      <c r="AV33">
        <v>0</v>
      </c>
      <c r="AW33">
        <v>2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2</v>
      </c>
      <c r="BD33">
        <v>0</v>
      </c>
      <c r="BE33">
        <v>1</v>
      </c>
      <c r="BF33">
        <v>0</v>
      </c>
      <c r="BG33">
        <v>2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2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3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3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 x14ac:dyDescent="0.3">
      <c r="A34" t="s">
        <v>201</v>
      </c>
      <c r="B34" t="s">
        <v>212</v>
      </c>
      <c r="C34" t="s">
        <v>204</v>
      </c>
      <c r="D34" s="1">
        <v>2886</v>
      </c>
      <c r="E34">
        <v>470</v>
      </c>
      <c r="F34" s="1">
        <v>1181</v>
      </c>
      <c r="G34">
        <v>681</v>
      </c>
      <c r="H34">
        <v>19</v>
      </c>
      <c r="I34">
        <v>17</v>
      </c>
      <c r="J34">
        <v>22</v>
      </c>
      <c r="K34">
        <v>13</v>
      </c>
      <c r="L34">
        <v>34</v>
      </c>
      <c r="M34">
        <v>68</v>
      </c>
      <c r="N34">
        <v>65</v>
      </c>
      <c r="O34">
        <v>42</v>
      </c>
      <c r="P34">
        <v>30</v>
      </c>
      <c r="Q34">
        <v>5</v>
      </c>
      <c r="R34">
        <v>6</v>
      </c>
      <c r="S34">
        <v>114</v>
      </c>
      <c r="T34">
        <v>13</v>
      </c>
      <c r="U34">
        <v>6</v>
      </c>
      <c r="V34">
        <v>5</v>
      </c>
      <c r="W34">
        <v>17</v>
      </c>
      <c r="X34">
        <v>2</v>
      </c>
      <c r="Y34">
        <v>6</v>
      </c>
      <c r="Z34">
        <v>2</v>
      </c>
      <c r="AA34">
        <v>5</v>
      </c>
      <c r="AB34">
        <v>3</v>
      </c>
      <c r="AC34">
        <v>7</v>
      </c>
      <c r="AD34">
        <v>7</v>
      </c>
      <c r="AE34">
        <v>0</v>
      </c>
      <c r="AF34">
        <v>6</v>
      </c>
      <c r="AG34">
        <v>2</v>
      </c>
      <c r="AH34">
        <v>4</v>
      </c>
      <c r="AI34">
        <v>1</v>
      </c>
      <c r="AJ34">
        <v>2</v>
      </c>
      <c r="AK34">
        <v>0</v>
      </c>
      <c r="AL34">
        <v>3</v>
      </c>
      <c r="AM34">
        <v>1</v>
      </c>
      <c r="AN34">
        <v>1</v>
      </c>
      <c r="AO34">
        <v>0</v>
      </c>
      <c r="AP34">
        <v>0</v>
      </c>
      <c r="AQ34">
        <v>2</v>
      </c>
      <c r="AR34">
        <v>0</v>
      </c>
      <c r="AS34">
        <v>2</v>
      </c>
      <c r="AT34">
        <v>1</v>
      </c>
      <c r="AU34">
        <v>1</v>
      </c>
      <c r="AV34">
        <v>1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</v>
      </c>
      <c r="BH34">
        <v>2</v>
      </c>
      <c r="BI34">
        <v>3</v>
      </c>
      <c r="BJ34">
        <v>0</v>
      </c>
      <c r="BK34">
        <v>0</v>
      </c>
      <c r="BL34">
        <v>1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2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2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 x14ac:dyDescent="0.3">
      <c r="A35" t="s">
        <v>201</v>
      </c>
      <c r="B35" t="s">
        <v>213</v>
      </c>
      <c r="C35" t="s">
        <v>200</v>
      </c>
      <c r="D35" s="1">
        <v>26363</v>
      </c>
      <c r="E35" s="1">
        <v>2105</v>
      </c>
      <c r="F35" s="1">
        <v>2898</v>
      </c>
      <c r="G35" s="1">
        <v>1742</v>
      </c>
      <c r="H35" s="1">
        <v>2679</v>
      </c>
      <c r="I35" s="1">
        <v>1093</v>
      </c>
      <c r="J35" s="1">
        <v>1882</v>
      </c>
      <c r="K35" s="1">
        <v>1162</v>
      </c>
      <c r="L35" s="1">
        <v>3491</v>
      </c>
      <c r="M35" s="1">
        <v>1472</v>
      </c>
      <c r="N35" s="1">
        <v>1376</v>
      </c>
      <c r="O35">
        <v>760</v>
      </c>
      <c r="P35">
        <v>156</v>
      </c>
      <c r="Q35">
        <v>947</v>
      </c>
      <c r="R35" s="1">
        <v>1891</v>
      </c>
      <c r="S35">
        <v>271</v>
      </c>
      <c r="T35">
        <v>164</v>
      </c>
      <c r="U35">
        <v>225</v>
      </c>
      <c r="V35">
        <v>556</v>
      </c>
      <c r="W35">
        <v>131</v>
      </c>
      <c r="X35">
        <v>96</v>
      </c>
      <c r="Y35">
        <v>149</v>
      </c>
      <c r="Z35">
        <v>162</v>
      </c>
      <c r="AA35">
        <v>15</v>
      </c>
      <c r="AB35">
        <v>37</v>
      </c>
      <c r="AC35">
        <v>42</v>
      </c>
      <c r="AD35">
        <v>46</v>
      </c>
      <c r="AE35">
        <v>56</v>
      </c>
      <c r="AF35">
        <v>42</v>
      </c>
      <c r="AG35">
        <v>23</v>
      </c>
      <c r="AH35">
        <v>12</v>
      </c>
      <c r="AI35">
        <v>91</v>
      </c>
      <c r="AJ35">
        <v>29</v>
      </c>
      <c r="AK35">
        <v>10</v>
      </c>
      <c r="AL35">
        <v>21</v>
      </c>
      <c r="AM35">
        <v>28</v>
      </c>
      <c r="AN35">
        <v>19</v>
      </c>
      <c r="AO35">
        <v>8</v>
      </c>
      <c r="AP35">
        <v>60</v>
      </c>
      <c r="AQ35">
        <v>53</v>
      </c>
      <c r="AR35">
        <v>12</v>
      </c>
      <c r="AS35">
        <v>6</v>
      </c>
      <c r="AT35">
        <v>6</v>
      </c>
      <c r="AU35">
        <v>1</v>
      </c>
      <c r="AV35">
        <v>19</v>
      </c>
      <c r="AW35">
        <v>4</v>
      </c>
      <c r="AX35">
        <v>20</v>
      </c>
      <c r="AY35">
        <v>4</v>
      </c>
      <c r="AZ35">
        <v>58</v>
      </c>
      <c r="BA35">
        <v>2</v>
      </c>
      <c r="BB35">
        <v>0</v>
      </c>
      <c r="BC35">
        <v>5</v>
      </c>
      <c r="BD35">
        <v>6</v>
      </c>
      <c r="BE35">
        <v>1</v>
      </c>
      <c r="BF35">
        <v>5</v>
      </c>
      <c r="BG35">
        <v>6</v>
      </c>
      <c r="BH35">
        <v>2</v>
      </c>
      <c r="BI35">
        <v>4</v>
      </c>
      <c r="BJ35">
        <v>0</v>
      </c>
      <c r="BK35">
        <v>6</v>
      </c>
      <c r="BL35">
        <v>3</v>
      </c>
      <c r="BM35">
        <v>4</v>
      </c>
      <c r="BN35">
        <v>5</v>
      </c>
      <c r="BO35">
        <v>13</v>
      </c>
      <c r="BP35">
        <v>1</v>
      </c>
      <c r="BQ35">
        <v>23</v>
      </c>
      <c r="BR35">
        <v>1</v>
      </c>
      <c r="BS35">
        <v>0</v>
      </c>
      <c r="BT35">
        <v>78</v>
      </c>
      <c r="BU35">
        <v>0</v>
      </c>
      <c r="BV35">
        <v>5</v>
      </c>
      <c r="BW35">
        <v>2</v>
      </c>
      <c r="BX35">
        <v>1</v>
      </c>
      <c r="BY35">
        <v>1</v>
      </c>
      <c r="BZ35">
        <v>0</v>
      </c>
      <c r="CA35">
        <v>1</v>
      </c>
      <c r="CB35">
        <v>0</v>
      </c>
      <c r="CC35">
        <v>1</v>
      </c>
      <c r="CD35">
        <v>2</v>
      </c>
      <c r="CE35">
        <v>1</v>
      </c>
      <c r="CF35">
        <v>2</v>
      </c>
      <c r="CG35">
        <v>1</v>
      </c>
      <c r="CH35">
        <v>10</v>
      </c>
      <c r="CI35">
        <v>1</v>
      </c>
      <c r="CJ35">
        <v>1</v>
      </c>
      <c r="CK35">
        <v>1</v>
      </c>
      <c r="CL35">
        <v>1</v>
      </c>
      <c r="CM35">
        <v>2</v>
      </c>
      <c r="CN35">
        <v>0</v>
      </c>
      <c r="CO35">
        <v>1</v>
      </c>
      <c r="CP35">
        <v>1</v>
      </c>
      <c r="CQ35">
        <v>0</v>
      </c>
      <c r="CR35">
        <v>1</v>
      </c>
      <c r="CS35">
        <v>1</v>
      </c>
      <c r="CT35">
        <v>0</v>
      </c>
      <c r="CU35">
        <v>1</v>
      </c>
      <c r="CV35">
        <v>1</v>
      </c>
      <c r="CW35">
        <v>2</v>
      </c>
      <c r="CX35">
        <v>4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1</v>
      </c>
      <c r="DQ35">
        <v>1</v>
      </c>
      <c r="DR35">
        <v>2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2</v>
      </c>
      <c r="DY35">
        <v>1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3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1</v>
      </c>
      <c r="FS35">
        <v>0</v>
      </c>
      <c r="FT35">
        <v>0</v>
      </c>
      <c r="FU35">
        <v>1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3</v>
      </c>
    </row>
    <row r="36" spans="1:201" x14ac:dyDescent="0.3">
      <c r="A36" t="s">
        <v>201</v>
      </c>
      <c r="B36" t="s">
        <v>213</v>
      </c>
      <c r="C36" t="s">
        <v>203</v>
      </c>
      <c r="D36" s="1">
        <v>19967</v>
      </c>
      <c r="E36" s="1">
        <v>1374</v>
      </c>
      <c r="F36" s="1">
        <v>1614</v>
      </c>
      <c r="G36">
        <v>698</v>
      </c>
      <c r="H36" s="1">
        <v>2360</v>
      </c>
      <c r="I36">
        <v>823</v>
      </c>
      <c r="J36" s="1">
        <v>1705</v>
      </c>
      <c r="K36" s="1">
        <v>1101</v>
      </c>
      <c r="L36" s="1">
        <v>3300</v>
      </c>
      <c r="M36" s="1">
        <v>1274</v>
      </c>
      <c r="N36" s="1">
        <v>1087</v>
      </c>
      <c r="O36">
        <v>388</v>
      </c>
      <c r="P36">
        <v>79</v>
      </c>
      <c r="Q36">
        <v>850</v>
      </c>
      <c r="R36" s="1">
        <v>1589</v>
      </c>
      <c r="S36">
        <v>28</v>
      </c>
      <c r="T36">
        <v>59</v>
      </c>
      <c r="U36">
        <v>127</v>
      </c>
      <c r="V36">
        <v>495</v>
      </c>
      <c r="W36">
        <v>63</v>
      </c>
      <c r="X36">
        <v>84</v>
      </c>
      <c r="Y36">
        <v>128</v>
      </c>
      <c r="Z36">
        <v>106</v>
      </c>
      <c r="AA36">
        <v>7</v>
      </c>
      <c r="AB36">
        <v>19</v>
      </c>
      <c r="AC36">
        <v>23</v>
      </c>
      <c r="AD36">
        <v>12</v>
      </c>
      <c r="AE36">
        <v>55</v>
      </c>
      <c r="AF36">
        <v>26</v>
      </c>
      <c r="AG36">
        <v>10</v>
      </c>
      <c r="AH36">
        <v>6</v>
      </c>
      <c r="AI36">
        <v>79</v>
      </c>
      <c r="AJ36">
        <v>17</v>
      </c>
      <c r="AK36">
        <v>7</v>
      </c>
      <c r="AL36">
        <v>10</v>
      </c>
      <c r="AM36">
        <v>9</v>
      </c>
      <c r="AN36">
        <v>12</v>
      </c>
      <c r="AO36">
        <v>7</v>
      </c>
      <c r="AP36">
        <v>47</v>
      </c>
      <c r="AQ36">
        <v>33</v>
      </c>
      <c r="AR36">
        <v>10</v>
      </c>
      <c r="AS36">
        <v>4</v>
      </c>
      <c r="AT36">
        <v>6</v>
      </c>
      <c r="AU36">
        <v>0</v>
      </c>
      <c r="AV36">
        <v>19</v>
      </c>
      <c r="AW36">
        <v>2</v>
      </c>
      <c r="AX36">
        <v>18</v>
      </c>
      <c r="AY36">
        <v>1</v>
      </c>
      <c r="AZ36">
        <v>35</v>
      </c>
      <c r="BA36">
        <v>1</v>
      </c>
      <c r="BB36">
        <v>0</v>
      </c>
      <c r="BC36">
        <v>3</v>
      </c>
      <c r="BD36">
        <v>5</v>
      </c>
      <c r="BE36">
        <v>1</v>
      </c>
      <c r="BF36">
        <v>4</v>
      </c>
      <c r="BG36">
        <v>6</v>
      </c>
      <c r="BH36">
        <v>0</v>
      </c>
      <c r="BI36">
        <v>2</v>
      </c>
      <c r="BJ36">
        <v>0</v>
      </c>
      <c r="BK36">
        <v>4</v>
      </c>
      <c r="BL36">
        <v>1</v>
      </c>
      <c r="BM36">
        <v>2</v>
      </c>
      <c r="BN36">
        <v>2</v>
      </c>
      <c r="BO36">
        <v>11</v>
      </c>
      <c r="BP36">
        <v>1</v>
      </c>
      <c r="BQ36">
        <v>18</v>
      </c>
      <c r="BR36">
        <v>0</v>
      </c>
      <c r="BS36">
        <v>0</v>
      </c>
      <c r="BT36">
        <v>59</v>
      </c>
      <c r="BU36">
        <v>0</v>
      </c>
      <c r="BV36">
        <v>1</v>
      </c>
      <c r="BW36">
        <v>1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1</v>
      </c>
      <c r="CF36">
        <v>2</v>
      </c>
      <c r="CG36">
        <v>0</v>
      </c>
      <c r="CH36">
        <v>8</v>
      </c>
      <c r="CI36">
        <v>0</v>
      </c>
      <c r="CJ36">
        <v>0</v>
      </c>
      <c r="CK36">
        <v>1</v>
      </c>
      <c r="CL36">
        <v>1</v>
      </c>
      <c r="CM36">
        <v>1</v>
      </c>
      <c r="CN36">
        <v>0</v>
      </c>
      <c r="CO36">
        <v>1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1</v>
      </c>
      <c r="CV36">
        <v>0</v>
      </c>
      <c r="CW36">
        <v>1</v>
      </c>
      <c r="CX36">
        <v>4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1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2</v>
      </c>
      <c r="DY36">
        <v>1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1</v>
      </c>
      <c r="FS36">
        <v>0</v>
      </c>
      <c r="FT36">
        <v>0</v>
      </c>
      <c r="FU36">
        <v>1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0</v>
      </c>
    </row>
    <row r="37" spans="1:201" x14ac:dyDescent="0.3">
      <c r="A37" t="s">
        <v>201</v>
      </c>
      <c r="B37" t="s">
        <v>213</v>
      </c>
      <c r="C37" t="s">
        <v>204</v>
      </c>
      <c r="D37" s="1">
        <v>6396</v>
      </c>
      <c r="E37">
        <v>731</v>
      </c>
      <c r="F37" s="1">
        <v>1284</v>
      </c>
      <c r="G37" s="1">
        <v>1044</v>
      </c>
      <c r="H37">
        <v>319</v>
      </c>
      <c r="I37">
        <v>270</v>
      </c>
      <c r="J37">
        <v>177</v>
      </c>
      <c r="K37">
        <v>61</v>
      </c>
      <c r="L37">
        <v>191</v>
      </c>
      <c r="M37">
        <v>198</v>
      </c>
      <c r="N37">
        <v>289</v>
      </c>
      <c r="O37">
        <v>372</v>
      </c>
      <c r="P37">
        <v>77</v>
      </c>
      <c r="Q37">
        <v>97</v>
      </c>
      <c r="R37">
        <v>302</v>
      </c>
      <c r="S37">
        <v>243</v>
      </c>
      <c r="T37">
        <v>105</v>
      </c>
      <c r="U37">
        <v>98</v>
      </c>
      <c r="V37">
        <v>61</v>
      </c>
      <c r="W37">
        <v>68</v>
      </c>
      <c r="X37">
        <v>12</v>
      </c>
      <c r="Y37">
        <v>21</v>
      </c>
      <c r="Z37">
        <v>56</v>
      </c>
      <c r="AA37">
        <v>8</v>
      </c>
      <c r="AB37">
        <v>18</v>
      </c>
      <c r="AC37">
        <v>19</v>
      </c>
      <c r="AD37">
        <v>34</v>
      </c>
      <c r="AE37">
        <v>1</v>
      </c>
      <c r="AF37">
        <v>16</v>
      </c>
      <c r="AG37">
        <v>13</v>
      </c>
      <c r="AH37">
        <v>6</v>
      </c>
      <c r="AI37">
        <v>12</v>
      </c>
      <c r="AJ37">
        <v>12</v>
      </c>
      <c r="AK37">
        <v>3</v>
      </c>
      <c r="AL37">
        <v>11</v>
      </c>
      <c r="AM37">
        <v>19</v>
      </c>
      <c r="AN37">
        <v>7</v>
      </c>
      <c r="AO37">
        <v>1</v>
      </c>
      <c r="AP37">
        <v>13</v>
      </c>
      <c r="AQ37">
        <v>20</v>
      </c>
      <c r="AR37">
        <v>2</v>
      </c>
      <c r="AS37">
        <v>2</v>
      </c>
      <c r="AT37">
        <v>0</v>
      </c>
      <c r="AU37">
        <v>1</v>
      </c>
      <c r="AV37">
        <v>0</v>
      </c>
      <c r="AW37">
        <v>2</v>
      </c>
      <c r="AX37">
        <v>2</v>
      </c>
      <c r="AY37">
        <v>3</v>
      </c>
      <c r="AZ37">
        <v>23</v>
      </c>
      <c r="BA37">
        <v>1</v>
      </c>
      <c r="BB37">
        <v>0</v>
      </c>
      <c r="BC37">
        <v>2</v>
      </c>
      <c r="BD37">
        <v>1</v>
      </c>
      <c r="BE37">
        <v>0</v>
      </c>
      <c r="BF37">
        <v>1</v>
      </c>
      <c r="BG37">
        <v>0</v>
      </c>
      <c r="BH37">
        <v>2</v>
      </c>
      <c r="BI37">
        <v>2</v>
      </c>
      <c r="BJ37">
        <v>0</v>
      </c>
      <c r="BK37">
        <v>2</v>
      </c>
      <c r="BL37">
        <v>2</v>
      </c>
      <c r="BM37">
        <v>2</v>
      </c>
      <c r="BN37">
        <v>3</v>
      </c>
      <c r="BO37">
        <v>2</v>
      </c>
      <c r="BP37">
        <v>0</v>
      </c>
      <c r="BQ37">
        <v>5</v>
      </c>
      <c r="BR37">
        <v>1</v>
      </c>
      <c r="BS37">
        <v>0</v>
      </c>
      <c r="BT37">
        <v>19</v>
      </c>
      <c r="BU37">
        <v>0</v>
      </c>
      <c r="BV37">
        <v>4</v>
      </c>
      <c r="BW37">
        <v>1</v>
      </c>
      <c r="BX37">
        <v>1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2</v>
      </c>
      <c r="CE37">
        <v>0</v>
      </c>
      <c r="CF37">
        <v>0</v>
      </c>
      <c r="CG37">
        <v>1</v>
      </c>
      <c r="CH37">
        <v>2</v>
      </c>
      <c r="CI37">
        <v>1</v>
      </c>
      <c r="CJ37">
        <v>1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1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1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2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3</v>
      </c>
    </row>
    <row r="38" spans="1:201" x14ac:dyDescent="0.3">
      <c r="A38" t="s">
        <v>201</v>
      </c>
      <c r="B38" t="s">
        <v>214</v>
      </c>
      <c r="C38" t="s">
        <v>200</v>
      </c>
      <c r="D38" s="1">
        <v>10073</v>
      </c>
      <c r="E38" s="1">
        <v>1312</v>
      </c>
      <c r="F38">
        <v>873</v>
      </c>
      <c r="G38">
        <v>827</v>
      </c>
      <c r="H38">
        <v>674</v>
      </c>
      <c r="I38">
        <v>229</v>
      </c>
      <c r="J38">
        <v>642</v>
      </c>
      <c r="K38">
        <v>273</v>
      </c>
      <c r="L38">
        <v>456</v>
      </c>
      <c r="M38">
        <v>788</v>
      </c>
      <c r="N38">
        <v>541</v>
      </c>
      <c r="O38">
        <v>410</v>
      </c>
      <c r="P38">
        <v>179</v>
      </c>
      <c r="Q38">
        <v>303</v>
      </c>
      <c r="R38">
        <v>566</v>
      </c>
      <c r="S38">
        <v>368</v>
      </c>
      <c r="T38">
        <v>326</v>
      </c>
      <c r="U38">
        <v>94</v>
      </c>
      <c r="V38">
        <v>149</v>
      </c>
      <c r="W38">
        <v>62</v>
      </c>
      <c r="X38">
        <v>227</v>
      </c>
      <c r="Y38">
        <v>116</v>
      </c>
      <c r="Z38">
        <v>63</v>
      </c>
      <c r="AA38">
        <v>23</v>
      </c>
      <c r="AB38">
        <v>12</v>
      </c>
      <c r="AC38">
        <v>31</v>
      </c>
      <c r="AD38">
        <v>41</v>
      </c>
      <c r="AE38">
        <v>49</v>
      </c>
      <c r="AF38">
        <v>31</v>
      </c>
      <c r="AG38">
        <v>81</v>
      </c>
      <c r="AH38">
        <v>13</v>
      </c>
      <c r="AI38">
        <v>8</v>
      </c>
      <c r="AJ38">
        <v>4</v>
      </c>
      <c r="AK38">
        <v>19</v>
      </c>
      <c r="AL38">
        <v>9</v>
      </c>
      <c r="AM38">
        <v>15</v>
      </c>
      <c r="AN38">
        <v>15</v>
      </c>
      <c r="AO38">
        <v>11</v>
      </c>
      <c r="AP38">
        <v>2</v>
      </c>
      <c r="AQ38">
        <v>20</v>
      </c>
      <c r="AR38">
        <v>5</v>
      </c>
      <c r="AS38">
        <v>13</v>
      </c>
      <c r="AT38">
        <v>6</v>
      </c>
      <c r="AU38">
        <v>29</v>
      </c>
      <c r="AV38">
        <v>3</v>
      </c>
      <c r="AW38">
        <v>4</v>
      </c>
      <c r="AX38">
        <v>2</v>
      </c>
      <c r="AY38">
        <v>4</v>
      </c>
      <c r="AZ38">
        <v>6</v>
      </c>
      <c r="BA38">
        <v>4</v>
      </c>
      <c r="BB38">
        <v>2</v>
      </c>
      <c r="BC38">
        <v>3</v>
      </c>
      <c r="BD38">
        <v>0</v>
      </c>
      <c r="BE38">
        <v>2</v>
      </c>
      <c r="BF38">
        <v>1</v>
      </c>
      <c r="BG38">
        <v>7</v>
      </c>
      <c r="BH38">
        <v>5</v>
      </c>
      <c r="BI38">
        <v>8</v>
      </c>
      <c r="BJ38">
        <v>1</v>
      </c>
      <c r="BK38">
        <v>0</v>
      </c>
      <c r="BL38">
        <v>2</v>
      </c>
      <c r="BM38">
        <v>3</v>
      </c>
      <c r="BN38">
        <v>6</v>
      </c>
      <c r="BO38">
        <v>0</v>
      </c>
      <c r="BP38">
        <v>2</v>
      </c>
      <c r="BQ38">
        <v>6</v>
      </c>
      <c r="BR38">
        <v>0</v>
      </c>
      <c r="BS38">
        <v>3</v>
      </c>
      <c r="BT38">
        <v>1</v>
      </c>
      <c r="BU38">
        <v>4</v>
      </c>
      <c r="BV38">
        <v>6</v>
      </c>
      <c r="BW38">
        <v>3</v>
      </c>
      <c r="BX38">
        <v>1</v>
      </c>
      <c r="BY38">
        <v>0</v>
      </c>
      <c r="BZ38">
        <v>0</v>
      </c>
      <c r="CA38">
        <v>2</v>
      </c>
      <c r="CB38">
        <v>0</v>
      </c>
      <c r="CC38">
        <v>5</v>
      </c>
      <c r="CD38">
        <v>13</v>
      </c>
      <c r="CE38">
        <v>0</v>
      </c>
      <c r="CF38">
        <v>2</v>
      </c>
      <c r="CG38">
        <v>4</v>
      </c>
      <c r="CH38">
        <v>3</v>
      </c>
      <c r="CI38">
        <v>3</v>
      </c>
      <c r="CJ38">
        <v>1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3</v>
      </c>
      <c r="CQ38">
        <v>0</v>
      </c>
      <c r="CR38">
        <v>0</v>
      </c>
      <c r="CS38">
        <v>3</v>
      </c>
      <c r="CT38">
        <v>1</v>
      </c>
      <c r="CU38">
        <v>1</v>
      </c>
      <c r="CV38">
        <v>2</v>
      </c>
      <c r="CW38">
        <v>0</v>
      </c>
      <c r="CX38">
        <v>2</v>
      </c>
      <c r="CY38">
        <v>0</v>
      </c>
      <c r="CZ38">
        <v>2</v>
      </c>
      <c r="DA38">
        <v>0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0</v>
      </c>
      <c r="DH38">
        <v>0</v>
      </c>
      <c r="DI38">
        <v>2</v>
      </c>
      <c r="DJ38">
        <v>2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3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1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1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1</v>
      </c>
    </row>
    <row r="39" spans="1:201" x14ac:dyDescent="0.3">
      <c r="A39" t="s">
        <v>201</v>
      </c>
      <c r="B39" t="s">
        <v>214</v>
      </c>
      <c r="C39" t="s">
        <v>203</v>
      </c>
      <c r="D39" s="1">
        <v>5910</v>
      </c>
      <c r="E39">
        <v>615</v>
      </c>
      <c r="F39">
        <v>431</v>
      </c>
      <c r="G39">
        <v>220</v>
      </c>
      <c r="H39">
        <v>566</v>
      </c>
      <c r="I39">
        <v>160</v>
      </c>
      <c r="J39">
        <v>498</v>
      </c>
      <c r="K39">
        <v>227</v>
      </c>
      <c r="L39">
        <v>431</v>
      </c>
      <c r="M39">
        <v>533</v>
      </c>
      <c r="N39">
        <v>335</v>
      </c>
      <c r="O39">
        <v>211</v>
      </c>
      <c r="P39">
        <v>85</v>
      </c>
      <c r="Q39">
        <v>283</v>
      </c>
      <c r="R39">
        <v>471</v>
      </c>
      <c r="S39">
        <v>39</v>
      </c>
      <c r="T39">
        <v>50</v>
      </c>
      <c r="U39">
        <v>18</v>
      </c>
      <c r="V39">
        <v>135</v>
      </c>
      <c r="W39">
        <v>22</v>
      </c>
      <c r="X39">
        <v>183</v>
      </c>
      <c r="Y39">
        <v>84</v>
      </c>
      <c r="Z39">
        <v>41</v>
      </c>
      <c r="AA39">
        <v>12</v>
      </c>
      <c r="AB39">
        <v>5</v>
      </c>
      <c r="AC39">
        <v>23</v>
      </c>
      <c r="AD39">
        <v>14</v>
      </c>
      <c r="AE39">
        <v>35</v>
      </c>
      <c r="AF39">
        <v>22</v>
      </c>
      <c r="AG39">
        <v>19</v>
      </c>
      <c r="AH39">
        <v>6</v>
      </c>
      <c r="AI39">
        <v>5</v>
      </c>
      <c r="AJ39">
        <v>0</v>
      </c>
      <c r="AK39">
        <v>18</v>
      </c>
      <c r="AL39">
        <v>1</v>
      </c>
      <c r="AM39">
        <v>4</v>
      </c>
      <c r="AN39">
        <v>11</v>
      </c>
      <c r="AO39">
        <v>7</v>
      </c>
      <c r="AP39">
        <v>2</v>
      </c>
      <c r="AQ39">
        <v>6</v>
      </c>
      <c r="AR39">
        <v>3</v>
      </c>
      <c r="AS39">
        <v>6</v>
      </c>
      <c r="AT39">
        <v>1</v>
      </c>
      <c r="AU39">
        <v>4</v>
      </c>
      <c r="AV39">
        <v>3</v>
      </c>
      <c r="AW39">
        <v>1</v>
      </c>
      <c r="AX39">
        <v>1</v>
      </c>
      <c r="AY39">
        <v>1</v>
      </c>
      <c r="AZ39">
        <v>3</v>
      </c>
      <c r="BA39">
        <v>0</v>
      </c>
      <c r="BB39">
        <v>1</v>
      </c>
      <c r="BC39">
        <v>3</v>
      </c>
      <c r="BD39">
        <v>0</v>
      </c>
      <c r="BE39">
        <v>2</v>
      </c>
      <c r="BF39">
        <v>0</v>
      </c>
      <c r="BG39">
        <v>5</v>
      </c>
      <c r="BH39">
        <v>2</v>
      </c>
      <c r="BI39">
        <v>2</v>
      </c>
      <c r="BJ39">
        <v>0</v>
      </c>
      <c r="BK39">
        <v>0</v>
      </c>
      <c r="BL39">
        <v>1</v>
      </c>
      <c r="BM39">
        <v>3</v>
      </c>
      <c r="BN39">
        <v>0</v>
      </c>
      <c r="BO39">
        <v>0</v>
      </c>
      <c r="BP39">
        <v>1</v>
      </c>
      <c r="BQ39">
        <v>4</v>
      </c>
      <c r="BR39">
        <v>0</v>
      </c>
      <c r="BS39">
        <v>3</v>
      </c>
      <c r="BT39">
        <v>0</v>
      </c>
      <c r="BU39">
        <v>0</v>
      </c>
      <c r="BV39">
        <v>2</v>
      </c>
      <c r="BW39">
        <v>1</v>
      </c>
      <c r="BX39">
        <v>1</v>
      </c>
      <c r="BY39">
        <v>0</v>
      </c>
      <c r="BZ39">
        <v>0</v>
      </c>
      <c r="CA39">
        <v>2</v>
      </c>
      <c r="CB39">
        <v>0</v>
      </c>
      <c r="CC39">
        <v>1</v>
      </c>
      <c r="CD39">
        <v>1</v>
      </c>
      <c r="CE39">
        <v>0</v>
      </c>
      <c r="CF39">
        <v>1</v>
      </c>
      <c r="CG39">
        <v>4</v>
      </c>
      <c r="CH39">
        <v>3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2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2</v>
      </c>
      <c r="DF39">
        <v>0</v>
      </c>
      <c r="DG39">
        <v>0</v>
      </c>
      <c r="DH39">
        <v>0</v>
      </c>
      <c r="DI39">
        <v>0</v>
      </c>
      <c r="DJ39">
        <v>2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2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1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1</v>
      </c>
    </row>
    <row r="40" spans="1:201" x14ac:dyDescent="0.3">
      <c r="A40" t="s">
        <v>201</v>
      </c>
      <c r="B40" t="s">
        <v>214</v>
      </c>
      <c r="C40" t="s">
        <v>204</v>
      </c>
      <c r="D40" s="1">
        <v>4163</v>
      </c>
      <c r="E40">
        <v>697</v>
      </c>
      <c r="F40">
        <v>442</v>
      </c>
      <c r="G40">
        <v>607</v>
      </c>
      <c r="H40">
        <v>108</v>
      </c>
      <c r="I40">
        <v>69</v>
      </c>
      <c r="J40">
        <v>144</v>
      </c>
      <c r="K40">
        <v>46</v>
      </c>
      <c r="L40">
        <v>25</v>
      </c>
      <c r="M40">
        <v>255</v>
      </c>
      <c r="N40">
        <v>206</v>
      </c>
      <c r="O40">
        <v>199</v>
      </c>
      <c r="P40">
        <v>94</v>
      </c>
      <c r="Q40">
        <v>20</v>
      </c>
      <c r="R40">
        <v>95</v>
      </c>
      <c r="S40">
        <v>329</v>
      </c>
      <c r="T40">
        <v>276</v>
      </c>
      <c r="U40">
        <v>76</v>
      </c>
      <c r="V40">
        <v>14</v>
      </c>
      <c r="W40">
        <v>40</v>
      </c>
      <c r="X40">
        <v>44</v>
      </c>
      <c r="Y40">
        <v>32</v>
      </c>
      <c r="Z40">
        <v>22</v>
      </c>
      <c r="AA40">
        <v>11</v>
      </c>
      <c r="AB40">
        <v>7</v>
      </c>
      <c r="AC40">
        <v>8</v>
      </c>
      <c r="AD40">
        <v>27</v>
      </c>
      <c r="AE40">
        <v>14</v>
      </c>
      <c r="AF40">
        <v>9</v>
      </c>
      <c r="AG40">
        <v>62</v>
      </c>
      <c r="AH40">
        <v>7</v>
      </c>
      <c r="AI40">
        <v>3</v>
      </c>
      <c r="AJ40">
        <v>4</v>
      </c>
      <c r="AK40">
        <v>1</v>
      </c>
      <c r="AL40">
        <v>8</v>
      </c>
      <c r="AM40">
        <v>11</v>
      </c>
      <c r="AN40">
        <v>4</v>
      </c>
      <c r="AO40">
        <v>4</v>
      </c>
      <c r="AP40">
        <v>0</v>
      </c>
      <c r="AQ40">
        <v>14</v>
      </c>
      <c r="AR40">
        <v>2</v>
      </c>
      <c r="AS40">
        <v>7</v>
      </c>
      <c r="AT40">
        <v>5</v>
      </c>
      <c r="AU40">
        <v>25</v>
      </c>
      <c r="AV40">
        <v>0</v>
      </c>
      <c r="AW40">
        <v>3</v>
      </c>
      <c r="AX40">
        <v>1</v>
      </c>
      <c r="AY40">
        <v>3</v>
      </c>
      <c r="AZ40">
        <v>3</v>
      </c>
      <c r="BA40">
        <v>4</v>
      </c>
      <c r="BB40">
        <v>1</v>
      </c>
      <c r="BC40">
        <v>0</v>
      </c>
      <c r="BD40">
        <v>0</v>
      </c>
      <c r="BE40">
        <v>0</v>
      </c>
      <c r="BF40">
        <v>1</v>
      </c>
      <c r="BG40">
        <v>2</v>
      </c>
      <c r="BH40">
        <v>3</v>
      </c>
      <c r="BI40">
        <v>6</v>
      </c>
      <c r="BJ40">
        <v>1</v>
      </c>
      <c r="BK40">
        <v>0</v>
      </c>
      <c r="BL40">
        <v>1</v>
      </c>
      <c r="BM40">
        <v>0</v>
      </c>
      <c r="BN40">
        <v>6</v>
      </c>
      <c r="BO40">
        <v>0</v>
      </c>
      <c r="BP40">
        <v>1</v>
      </c>
      <c r="BQ40">
        <v>2</v>
      </c>
      <c r="BR40">
        <v>0</v>
      </c>
      <c r="BS40">
        <v>0</v>
      </c>
      <c r="BT40">
        <v>1</v>
      </c>
      <c r="BU40">
        <v>4</v>
      </c>
      <c r="BV40">
        <v>4</v>
      </c>
      <c r="BW40">
        <v>2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4</v>
      </c>
      <c r="CD40">
        <v>12</v>
      </c>
      <c r="CE40">
        <v>0</v>
      </c>
      <c r="CF40">
        <v>1</v>
      </c>
      <c r="CG40">
        <v>0</v>
      </c>
      <c r="CH40">
        <v>0</v>
      </c>
      <c r="CI40">
        <v>3</v>
      </c>
      <c r="CJ40">
        <v>1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2</v>
      </c>
      <c r="CQ40">
        <v>0</v>
      </c>
      <c r="CR40">
        <v>0</v>
      </c>
      <c r="CS40">
        <v>3</v>
      </c>
      <c r="CT40">
        <v>0</v>
      </c>
      <c r="CU40">
        <v>1</v>
      </c>
      <c r="CV40">
        <v>2</v>
      </c>
      <c r="CW40">
        <v>0</v>
      </c>
      <c r="CX40">
        <v>0</v>
      </c>
      <c r="CY40">
        <v>0</v>
      </c>
      <c r="CZ40">
        <v>2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 x14ac:dyDescent="0.3">
      <c r="A41" t="s">
        <v>201</v>
      </c>
      <c r="B41" t="s">
        <v>215</v>
      </c>
      <c r="C41" t="s">
        <v>200</v>
      </c>
      <c r="D41" s="1">
        <v>4451</v>
      </c>
      <c r="E41">
        <v>323</v>
      </c>
      <c r="F41">
        <v>278</v>
      </c>
      <c r="G41">
        <v>361</v>
      </c>
      <c r="H41">
        <v>289</v>
      </c>
      <c r="I41">
        <v>114</v>
      </c>
      <c r="J41">
        <v>113</v>
      </c>
      <c r="K41">
        <v>64</v>
      </c>
      <c r="L41">
        <v>62</v>
      </c>
      <c r="M41">
        <v>609</v>
      </c>
      <c r="N41">
        <v>113</v>
      </c>
      <c r="O41">
        <v>139</v>
      </c>
      <c r="P41">
        <v>278</v>
      </c>
      <c r="Q41">
        <v>141</v>
      </c>
      <c r="R41">
        <v>143</v>
      </c>
      <c r="S41">
        <v>22</v>
      </c>
      <c r="T41">
        <v>32</v>
      </c>
      <c r="U41">
        <v>2</v>
      </c>
      <c r="V41">
        <v>97</v>
      </c>
      <c r="W41">
        <v>18</v>
      </c>
      <c r="X41">
        <v>48</v>
      </c>
      <c r="Y41">
        <v>22</v>
      </c>
      <c r="Z41">
        <v>21</v>
      </c>
      <c r="AA41">
        <v>1</v>
      </c>
      <c r="AB41">
        <v>2</v>
      </c>
      <c r="AC41">
        <v>4</v>
      </c>
      <c r="AD41">
        <v>47</v>
      </c>
      <c r="AE41">
        <v>0</v>
      </c>
      <c r="AF41">
        <v>5</v>
      </c>
      <c r="AG41">
        <v>23</v>
      </c>
      <c r="AH41">
        <v>0</v>
      </c>
      <c r="AI41">
        <v>26</v>
      </c>
      <c r="AJ41">
        <v>0</v>
      </c>
      <c r="AK41">
        <v>528</v>
      </c>
      <c r="AL41">
        <v>1</v>
      </c>
      <c r="AM41">
        <v>0</v>
      </c>
      <c r="AN41">
        <v>3</v>
      </c>
      <c r="AO41">
        <v>0</v>
      </c>
      <c r="AP41">
        <v>102</v>
      </c>
      <c r="AQ41">
        <v>7</v>
      </c>
      <c r="AR41">
        <v>6</v>
      </c>
      <c r="AS41">
        <v>1</v>
      </c>
      <c r="AT41">
        <v>1</v>
      </c>
      <c r="AU41">
        <v>25</v>
      </c>
      <c r="AV41">
        <v>98</v>
      </c>
      <c r="AW41">
        <v>2</v>
      </c>
      <c r="AX41">
        <v>0</v>
      </c>
      <c r="AY41">
        <v>2</v>
      </c>
      <c r="AZ41">
        <v>1</v>
      </c>
      <c r="BA41">
        <v>0</v>
      </c>
      <c r="BB41">
        <v>0</v>
      </c>
      <c r="BC41">
        <v>0</v>
      </c>
      <c r="BD41">
        <v>1</v>
      </c>
      <c r="BE41">
        <v>3</v>
      </c>
      <c r="BF41">
        <v>1</v>
      </c>
      <c r="BG41">
        <v>0</v>
      </c>
      <c r="BH41">
        <v>0</v>
      </c>
      <c r="BI41">
        <v>6</v>
      </c>
      <c r="BJ41">
        <v>0</v>
      </c>
      <c r="BK41">
        <v>0</v>
      </c>
      <c r="BL41">
        <v>5</v>
      </c>
      <c r="BM41">
        <v>0</v>
      </c>
      <c r="BN41">
        <v>0</v>
      </c>
      <c r="BO41">
        <v>0</v>
      </c>
      <c r="BP41">
        <v>21</v>
      </c>
      <c r="BQ41">
        <v>1</v>
      </c>
      <c r="BR41">
        <v>1</v>
      </c>
      <c r="BS41">
        <v>1</v>
      </c>
      <c r="BT41">
        <v>14</v>
      </c>
      <c r="BU41">
        <v>0</v>
      </c>
      <c r="BV41">
        <v>8</v>
      </c>
      <c r="BW41">
        <v>0</v>
      </c>
      <c r="BX41">
        <v>120</v>
      </c>
      <c r="BY41">
        <v>5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2</v>
      </c>
      <c r="CI41">
        <v>0</v>
      </c>
      <c r="CJ41">
        <v>0</v>
      </c>
      <c r="CK41">
        <v>0</v>
      </c>
      <c r="CL41">
        <v>0</v>
      </c>
      <c r="CM41">
        <v>2</v>
      </c>
      <c r="CN41">
        <v>0</v>
      </c>
      <c r="CO41">
        <v>17</v>
      </c>
      <c r="CP41">
        <v>0</v>
      </c>
      <c r="CQ41">
        <v>0</v>
      </c>
      <c r="CR41">
        <v>3</v>
      </c>
      <c r="CS41">
        <v>4</v>
      </c>
      <c r="CT41">
        <v>1</v>
      </c>
      <c r="CU41">
        <v>0</v>
      </c>
      <c r="CV41">
        <v>0</v>
      </c>
      <c r="CW41">
        <v>0</v>
      </c>
      <c r="CX41">
        <v>20</v>
      </c>
      <c r="CY41">
        <v>0</v>
      </c>
      <c r="CZ41">
        <v>0</v>
      </c>
      <c r="DA41">
        <v>10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2</v>
      </c>
      <c r="DU41">
        <v>0</v>
      </c>
      <c r="DV41">
        <v>0</v>
      </c>
      <c r="DW41">
        <v>0</v>
      </c>
      <c r="DX41">
        <v>1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4</v>
      </c>
      <c r="EG41">
        <v>0</v>
      </c>
      <c r="EH41">
        <v>0</v>
      </c>
      <c r="EI41">
        <v>14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0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2</v>
      </c>
      <c r="FO41">
        <v>0</v>
      </c>
      <c r="FP41">
        <v>2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1</v>
      </c>
    </row>
    <row r="42" spans="1:201" x14ac:dyDescent="0.3">
      <c r="A42" t="s">
        <v>201</v>
      </c>
      <c r="B42" t="s">
        <v>215</v>
      </c>
      <c r="C42" t="s">
        <v>203</v>
      </c>
      <c r="D42" s="1">
        <v>2576</v>
      </c>
      <c r="E42">
        <v>150</v>
      </c>
      <c r="F42">
        <v>141</v>
      </c>
      <c r="G42">
        <v>126</v>
      </c>
      <c r="H42">
        <v>241</v>
      </c>
      <c r="I42">
        <v>87</v>
      </c>
      <c r="J42">
        <v>88</v>
      </c>
      <c r="K42">
        <v>52</v>
      </c>
      <c r="L42">
        <v>57</v>
      </c>
      <c r="M42">
        <v>108</v>
      </c>
      <c r="N42">
        <v>27</v>
      </c>
      <c r="O42">
        <v>68</v>
      </c>
      <c r="P42">
        <v>183</v>
      </c>
      <c r="Q42">
        <v>113</v>
      </c>
      <c r="R42">
        <v>127</v>
      </c>
      <c r="S42">
        <v>4</v>
      </c>
      <c r="T42">
        <v>5</v>
      </c>
      <c r="U42">
        <v>0</v>
      </c>
      <c r="V42">
        <v>73</v>
      </c>
      <c r="W42">
        <v>10</v>
      </c>
      <c r="X42">
        <v>40</v>
      </c>
      <c r="Y42">
        <v>17</v>
      </c>
      <c r="Z42">
        <v>13</v>
      </c>
      <c r="AA42">
        <v>0</v>
      </c>
      <c r="AB42">
        <v>1</v>
      </c>
      <c r="AC42">
        <v>0</v>
      </c>
      <c r="AD42">
        <v>22</v>
      </c>
      <c r="AE42">
        <v>0</v>
      </c>
      <c r="AF42">
        <v>3</v>
      </c>
      <c r="AG42">
        <v>22</v>
      </c>
      <c r="AH42">
        <v>0</v>
      </c>
      <c r="AI42">
        <v>19</v>
      </c>
      <c r="AJ42">
        <v>0</v>
      </c>
      <c r="AK42">
        <v>426</v>
      </c>
      <c r="AL42">
        <v>0</v>
      </c>
      <c r="AM42">
        <v>0</v>
      </c>
      <c r="AN42">
        <v>1</v>
      </c>
      <c r="AO42">
        <v>0</v>
      </c>
      <c r="AP42">
        <v>73</v>
      </c>
      <c r="AQ42">
        <v>3</v>
      </c>
      <c r="AR42">
        <v>2</v>
      </c>
      <c r="AS42">
        <v>0</v>
      </c>
      <c r="AT42">
        <v>0</v>
      </c>
      <c r="AU42">
        <v>24</v>
      </c>
      <c r="AV42">
        <v>77</v>
      </c>
      <c r="AW42">
        <v>2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9</v>
      </c>
      <c r="BQ42">
        <v>0</v>
      </c>
      <c r="BR42">
        <v>0</v>
      </c>
      <c r="BS42">
        <v>0</v>
      </c>
      <c r="BT42">
        <v>13</v>
      </c>
      <c r="BU42">
        <v>0</v>
      </c>
      <c r="BV42">
        <v>3</v>
      </c>
      <c r="BW42">
        <v>0</v>
      </c>
      <c r="BX42">
        <v>79</v>
      </c>
      <c r="BY42">
        <v>4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16</v>
      </c>
      <c r="CP42">
        <v>0</v>
      </c>
      <c r="CQ42">
        <v>0</v>
      </c>
      <c r="CR42">
        <v>3</v>
      </c>
      <c r="CS42">
        <v>4</v>
      </c>
      <c r="CT42">
        <v>0</v>
      </c>
      <c r="CU42">
        <v>0</v>
      </c>
      <c r="CV42">
        <v>0</v>
      </c>
      <c r="CW42">
        <v>0</v>
      </c>
      <c r="CX42">
        <v>10</v>
      </c>
      <c r="CY42">
        <v>0</v>
      </c>
      <c r="CZ42">
        <v>0</v>
      </c>
      <c r="DA42">
        <v>5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2</v>
      </c>
      <c r="EG42">
        <v>0</v>
      </c>
      <c r="EH42">
        <v>0</v>
      </c>
      <c r="EI42">
        <v>11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2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 x14ac:dyDescent="0.3">
      <c r="A43" t="s">
        <v>201</v>
      </c>
      <c r="B43" t="s">
        <v>215</v>
      </c>
      <c r="C43" t="s">
        <v>204</v>
      </c>
      <c r="D43" s="1">
        <v>1875</v>
      </c>
      <c r="E43">
        <v>173</v>
      </c>
      <c r="F43">
        <v>137</v>
      </c>
      <c r="G43">
        <v>235</v>
      </c>
      <c r="H43">
        <v>48</v>
      </c>
      <c r="I43">
        <v>27</v>
      </c>
      <c r="J43">
        <v>25</v>
      </c>
      <c r="K43">
        <v>12</v>
      </c>
      <c r="L43">
        <v>5</v>
      </c>
      <c r="M43">
        <v>501</v>
      </c>
      <c r="N43">
        <v>86</v>
      </c>
      <c r="O43">
        <v>71</v>
      </c>
      <c r="P43">
        <v>95</v>
      </c>
      <c r="Q43">
        <v>28</v>
      </c>
      <c r="R43">
        <v>16</v>
      </c>
      <c r="S43">
        <v>18</v>
      </c>
      <c r="T43">
        <v>27</v>
      </c>
      <c r="U43">
        <v>2</v>
      </c>
      <c r="V43">
        <v>24</v>
      </c>
      <c r="W43">
        <v>8</v>
      </c>
      <c r="X43">
        <v>8</v>
      </c>
      <c r="Y43">
        <v>5</v>
      </c>
      <c r="Z43">
        <v>8</v>
      </c>
      <c r="AA43">
        <v>1</v>
      </c>
      <c r="AB43">
        <v>1</v>
      </c>
      <c r="AC43">
        <v>4</v>
      </c>
      <c r="AD43">
        <v>25</v>
      </c>
      <c r="AE43">
        <v>0</v>
      </c>
      <c r="AF43">
        <v>2</v>
      </c>
      <c r="AG43">
        <v>1</v>
      </c>
      <c r="AH43">
        <v>0</v>
      </c>
      <c r="AI43">
        <v>7</v>
      </c>
      <c r="AJ43">
        <v>0</v>
      </c>
      <c r="AK43">
        <v>102</v>
      </c>
      <c r="AL43">
        <v>1</v>
      </c>
      <c r="AM43">
        <v>0</v>
      </c>
      <c r="AN43">
        <v>2</v>
      </c>
      <c r="AO43">
        <v>0</v>
      </c>
      <c r="AP43">
        <v>29</v>
      </c>
      <c r="AQ43">
        <v>4</v>
      </c>
      <c r="AR43">
        <v>4</v>
      </c>
      <c r="AS43">
        <v>1</v>
      </c>
      <c r="AT43">
        <v>1</v>
      </c>
      <c r="AU43">
        <v>1</v>
      </c>
      <c r="AV43">
        <v>21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0</v>
      </c>
      <c r="BH43">
        <v>0</v>
      </c>
      <c r="BI43">
        <v>5</v>
      </c>
      <c r="BJ43">
        <v>0</v>
      </c>
      <c r="BK43">
        <v>0</v>
      </c>
      <c r="BL43">
        <v>4</v>
      </c>
      <c r="BM43">
        <v>0</v>
      </c>
      <c r="BN43">
        <v>0</v>
      </c>
      <c r="BO43">
        <v>0</v>
      </c>
      <c r="BP43">
        <v>12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5</v>
      </c>
      <c r="BW43">
        <v>0</v>
      </c>
      <c r="BX43">
        <v>41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2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10</v>
      </c>
      <c r="CY43">
        <v>0</v>
      </c>
      <c r="CZ43">
        <v>0</v>
      </c>
      <c r="DA43">
        <v>5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2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2</v>
      </c>
      <c r="EG43">
        <v>0</v>
      </c>
      <c r="EH43">
        <v>0</v>
      </c>
      <c r="EI43">
        <v>3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2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1</v>
      </c>
    </row>
    <row r="44" spans="1:201" x14ac:dyDescent="0.3">
      <c r="A44" t="s">
        <v>201</v>
      </c>
      <c r="B44" t="s">
        <v>216</v>
      </c>
      <c r="C44" t="s">
        <v>200</v>
      </c>
      <c r="D44" s="1">
        <v>12394</v>
      </c>
      <c r="E44">
        <v>488</v>
      </c>
      <c r="F44" s="1">
        <v>8143</v>
      </c>
      <c r="G44" s="1">
        <v>2894</v>
      </c>
      <c r="H44">
        <v>154</v>
      </c>
      <c r="I44">
        <v>29</v>
      </c>
      <c r="J44">
        <v>10</v>
      </c>
      <c r="K44">
        <v>17</v>
      </c>
      <c r="L44">
        <v>80</v>
      </c>
      <c r="M44">
        <v>69</v>
      </c>
      <c r="N44">
        <v>39</v>
      </c>
      <c r="O44">
        <v>98</v>
      </c>
      <c r="P44">
        <v>34</v>
      </c>
      <c r="Q44">
        <v>4</v>
      </c>
      <c r="R44">
        <v>13</v>
      </c>
      <c r="S44">
        <v>102</v>
      </c>
      <c r="T44">
        <v>9</v>
      </c>
      <c r="U44">
        <v>7</v>
      </c>
      <c r="V44">
        <v>14</v>
      </c>
      <c r="W44">
        <v>60</v>
      </c>
      <c r="X44">
        <v>13</v>
      </c>
      <c r="Y44">
        <v>7</v>
      </c>
      <c r="Z44">
        <v>11</v>
      </c>
      <c r="AA44">
        <v>8</v>
      </c>
      <c r="AB44">
        <v>5</v>
      </c>
      <c r="AC44">
        <v>5</v>
      </c>
      <c r="AD44">
        <v>6</v>
      </c>
      <c r="AE44">
        <v>0</v>
      </c>
      <c r="AF44">
        <v>10</v>
      </c>
      <c r="AG44">
        <v>3</v>
      </c>
      <c r="AH44">
        <v>2</v>
      </c>
      <c r="AI44">
        <v>0</v>
      </c>
      <c r="AJ44">
        <v>0</v>
      </c>
      <c r="AK44">
        <v>1</v>
      </c>
      <c r="AL44">
        <v>1</v>
      </c>
      <c r="AM44">
        <v>12</v>
      </c>
      <c r="AN44">
        <v>8</v>
      </c>
      <c r="AO44">
        <v>1</v>
      </c>
      <c r="AP44">
        <v>0</v>
      </c>
      <c r="AQ44">
        <v>4</v>
      </c>
      <c r="AR44">
        <v>0</v>
      </c>
      <c r="AS44">
        <v>2</v>
      </c>
      <c r="AT44">
        <v>2</v>
      </c>
      <c r="AU44">
        <v>1</v>
      </c>
      <c r="AV44">
        <v>0</v>
      </c>
      <c r="AW44">
        <v>1</v>
      </c>
      <c r="AX44">
        <v>0</v>
      </c>
      <c r="AY44">
        <v>4</v>
      </c>
      <c r="AZ44">
        <v>0</v>
      </c>
      <c r="BA44">
        <v>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2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2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1</v>
      </c>
      <c r="CR44">
        <v>0</v>
      </c>
      <c r="CS44">
        <v>0</v>
      </c>
      <c r="CT44">
        <v>2</v>
      </c>
      <c r="CU44">
        <v>1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 x14ac:dyDescent="0.3">
      <c r="A45" t="s">
        <v>201</v>
      </c>
      <c r="B45" t="s">
        <v>216</v>
      </c>
      <c r="C45" t="s">
        <v>203</v>
      </c>
      <c r="D45" s="1">
        <v>6336</v>
      </c>
      <c r="E45">
        <v>158</v>
      </c>
      <c r="F45" s="1">
        <v>4572</v>
      </c>
      <c r="G45" s="1">
        <v>1240</v>
      </c>
      <c r="H45">
        <v>76</v>
      </c>
      <c r="I45">
        <v>15</v>
      </c>
      <c r="J45">
        <v>1</v>
      </c>
      <c r="K45">
        <v>12</v>
      </c>
      <c r="L45">
        <v>59</v>
      </c>
      <c r="M45">
        <v>11</v>
      </c>
      <c r="N45">
        <v>2</v>
      </c>
      <c r="O45">
        <v>47</v>
      </c>
      <c r="P45">
        <v>19</v>
      </c>
      <c r="Q45">
        <v>2</v>
      </c>
      <c r="R45">
        <v>12</v>
      </c>
      <c r="S45">
        <v>18</v>
      </c>
      <c r="T45">
        <v>1</v>
      </c>
      <c r="U45">
        <v>0</v>
      </c>
      <c r="V45">
        <v>10</v>
      </c>
      <c r="W45">
        <v>29</v>
      </c>
      <c r="X45">
        <v>9</v>
      </c>
      <c r="Y45">
        <v>1</v>
      </c>
      <c r="Z45">
        <v>3</v>
      </c>
      <c r="AA45">
        <v>4</v>
      </c>
      <c r="AB45">
        <v>1</v>
      </c>
      <c r="AC45">
        <v>4</v>
      </c>
      <c r="AD45">
        <v>1</v>
      </c>
      <c r="AE45">
        <v>0</v>
      </c>
      <c r="AF45">
        <v>5</v>
      </c>
      <c r="AG45">
        <v>1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6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2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2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 x14ac:dyDescent="0.3">
      <c r="A46" t="s">
        <v>201</v>
      </c>
      <c r="B46" t="s">
        <v>216</v>
      </c>
      <c r="C46" t="s">
        <v>204</v>
      </c>
      <c r="D46" s="1">
        <v>6058</v>
      </c>
      <c r="E46">
        <v>330</v>
      </c>
      <c r="F46" s="1">
        <v>3571</v>
      </c>
      <c r="G46" s="1">
        <v>1654</v>
      </c>
      <c r="H46">
        <v>78</v>
      </c>
      <c r="I46">
        <v>14</v>
      </c>
      <c r="J46">
        <v>9</v>
      </c>
      <c r="K46">
        <v>5</v>
      </c>
      <c r="L46">
        <v>21</v>
      </c>
      <c r="M46">
        <v>58</v>
      </c>
      <c r="N46">
        <v>37</v>
      </c>
      <c r="O46">
        <v>51</v>
      </c>
      <c r="P46">
        <v>15</v>
      </c>
      <c r="Q46">
        <v>2</v>
      </c>
      <c r="R46">
        <v>1</v>
      </c>
      <c r="S46">
        <v>84</v>
      </c>
      <c r="T46">
        <v>8</v>
      </c>
      <c r="U46">
        <v>7</v>
      </c>
      <c r="V46">
        <v>4</v>
      </c>
      <c r="W46">
        <v>31</v>
      </c>
      <c r="X46">
        <v>4</v>
      </c>
      <c r="Y46">
        <v>6</v>
      </c>
      <c r="Z46">
        <v>8</v>
      </c>
      <c r="AA46">
        <v>4</v>
      </c>
      <c r="AB46">
        <v>4</v>
      </c>
      <c r="AC46">
        <v>1</v>
      </c>
      <c r="AD46">
        <v>5</v>
      </c>
      <c r="AE46">
        <v>0</v>
      </c>
      <c r="AF46">
        <v>5</v>
      </c>
      <c r="AG46">
        <v>2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12</v>
      </c>
      <c r="AN46">
        <v>2</v>
      </c>
      <c r="AO46">
        <v>0</v>
      </c>
      <c r="AP46">
        <v>0</v>
      </c>
      <c r="AQ46">
        <v>4</v>
      </c>
      <c r="AR46">
        <v>0</v>
      </c>
      <c r="AS46">
        <v>2</v>
      </c>
      <c r="AT46">
        <v>1</v>
      </c>
      <c r="AU46">
        <v>0</v>
      </c>
      <c r="AV46">
        <v>0</v>
      </c>
      <c r="AW46">
        <v>1</v>
      </c>
      <c r="AX46">
        <v>0</v>
      </c>
      <c r="AY46">
        <v>3</v>
      </c>
      <c r="AZ46">
        <v>0</v>
      </c>
      <c r="BA46">
        <v>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2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1</v>
      </c>
      <c r="CU46">
        <v>1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1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 x14ac:dyDescent="0.3">
      <c r="A47" t="s">
        <v>201</v>
      </c>
      <c r="B47" t="s">
        <v>217</v>
      </c>
      <c r="C47" t="s">
        <v>200</v>
      </c>
      <c r="D47" s="1">
        <v>3424</v>
      </c>
      <c r="E47">
        <v>643</v>
      </c>
      <c r="F47">
        <v>783</v>
      </c>
      <c r="G47">
        <v>402</v>
      </c>
      <c r="H47">
        <v>73</v>
      </c>
      <c r="I47">
        <v>56</v>
      </c>
      <c r="J47">
        <v>77</v>
      </c>
      <c r="K47">
        <v>69</v>
      </c>
      <c r="L47">
        <v>199</v>
      </c>
      <c r="M47">
        <v>454</v>
      </c>
      <c r="N47">
        <v>132</v>
      </c>
      <c r="O47">
        <v>96</v>
      </c>
      <c r="P47">
        <v>14</v>
      </c>
      <c r="Q47">
        <v>96</v>
      </c>
      <c r="R47">
        <v>72</v>
      </c>
      <c r="S47">
        <v>51</v>
      </c>
      <c r="T47">
        <v>10</v>
      </c>
      <c r="U47">
        <v>8</v>
      </c>
      <c r="V47">
        <v>66</v>
      </c>
      <c r="W47">
        <v>31</v>
      </c>
      <c r="X47">
        <v>14</v>
      </c>
      <c r="Y47">
        <v>14</v>
      </c>
      <c r="Z47">
        <v>9</v>
      </c>
      <c r="AA47">
        <v>2</v>
      </c>
      <c r="AB47">
        <v>2</v>
      </c>
      <c r="AC47">
        <v>1</v>
      </c>
      <c r="AD47">
        <v>2</v>
      </c>
      <c r="AE47">
        <v>1</v>
      </c>
      <c r="AF47">
        <v>0</v>
      </c>
      <c r="AG47">
        <v>1</v>
      </c>
      <c r="AH47">
        <v>4</v>
      </c>
      <c r="AI47">
        <v>0</v>
      </c>
      <c r="AJ47">
        <v>6</v>
      </c>
      <c r="AK47">
        <v>3</v>
      </c>
      <c r="AL47">
        <v>2</v>
      </c>
      <c r="AM47">
        <v>6</v>
      </c>
      <c r="AN47">
        <v>2</v>
      </c>
      <c r="AO47">
        <v>0</v>
      </c>
      <c r="AP47">
        <v>0</v>
      </c>
      <c r="AQ47">
        <v>3</v>
      </c>
      <c r="AR47">
        <v>0</v>
      </c>
      <c r="AS47">
        <v>1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2</v>
      </c>
      <c r="AZ47">
        <v>0</v>
      </c>
      <c r="BA47">
        <v>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3</v>
      </c>
      <c r="BW47">
        <v>0</v>
      </c>
      <c r="BX47">
        <v>0</v>
      </c>
      <c r="BY47">
        <v>5</v>
      </c>
      <c r="BZ47">
        <v>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 x14ac:dyDescent="0.3">
      <c r="A48" t="s">
        <v>201</v>
      </c>
      <c r="B48" t="s">
        <v>217</v>
      </c>
      <c r="C48" t="s">
        <v>203</v>
      </c>
      <c r="D48" s="1">
        <v>2047</v>
      </c>
      <c r="E48">
        <v>308</v>
      </c>
      <c r="F48">
        <v>423</v>
      </c>
      <c r="G48">
        <v>140</v>
      </c>
      <c r="H48">
        <v>68</v>
      </c>
      <c r="I48">
        <v>41</v>
      </c>
      <c r="J48">
        <v>63</v>
      </c>
      <c r="K48">
        <v>64</v>
      </c>
      <c r="L48">
        <v>193</v>
      </c>
      <c r="M48">
        <v>333</v>
      </c>
      <c r="N48">
        <v>80</v>
      </c>
      <c r="O48">
        <v>44</v>
      </c>
      <c r="P48">
        <v>6</v>
      </c>
      <c r="Q48">
        <v>84</v>
      </c>
      <c r="R48">
        <v>64</v>
      </c>
      <c r="S48">
        <v>6</v>
      </c>
      <c r="T48">
        <v>2</v>
      </c>
      <c r="U48">
        <v>5</v>
      </c>
      <c r="V48">
        <v>62</v>
      </c>
      <c r="W48">
        <v>16</v>
      </c>
      <c r="X48">
        <v>12</v>
      </c>
      <c r="Y48">
        <v>8</v>
      </c>
      <c r="Z48">
        <v>2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2</v>
      </c>
      <c r="AK48">
        <v>3</v>
      </c>
      <c r="AL48">
        <v>2</v>
      </c>
      <c r="AM48">
        <v>0</v>
      </c>
      <c r="AN48">
        <v>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3</v>
      </c>
      <c r="BZ48">
        <v>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 x14ac:dyDescent="0.3">
      <c r="A49" t="s">
        <v>201</v>
      </c>
      <c r="B49" t="s">
        <v>217</v>
      </c>
      <c r="C49" t="s">
        <v>204</v>
      </c>
      <c r="D49" s="1">
        <v>1377</v>
      </c>
      <c r="E49">
        <v>335</v>
      </c>
      <c r="F49">
        <v>360</v>
      </c>
      <c r="G49">
        <v>262</v>
      </c>
      <c r="H49">
        <v>5</v>
      </c>
      <c r="I49">
        <v>15</v>
      </c>
      <c r="J49">
        <v>14</v>
      </c>
      <c r="K49">
        <v>5</v>
      </c>
      <c r="L49">
        <v>6</v>
      </c>
      <c r="M49">
        <v>121</v>
      </c>
      <c r="N49">
        <v>52</v>
      </c>
      <c r="O49">
        <v>52</v>
      </c>
      <c r="P49">
        <v>8</v>
      </c>
      <c r="Q49">
        <v>12</v>
      </c>
      <c r="R49">
        <v>8</v>
      </c>
      <c r="S49">
        <v>45</v>
      </c>
      <c r="T49">
        <v>8</v>
      </c>
      <c r="U49">
        <v>3</v>
      </c>
      <c r="V49">
        <v>4</v>
      </c>
      <c r="W49">
        <v>15</v>
      </c>
      <c r="X49">
        <v>2</v>
      </c>
      <c r="Y49">
        <v>6</v>
      </c>
      <c r="Z49">
        <v>7</v>
      </c>
      <c r="AA49">
        <v>1</v>
      </c>
      <c r="AB49">
        <v>2</v>
      </c>
      <c r="AC49">
        <v>1</v>
      </c>
      <c r="AD49">
        <v>1</v>
      </c>
      <c r="AE49">
        <v>0</v>
      </c>
      <c r="AF49">
        <v>0</v>
      </c>
      <c r="AG49">
        <v>1</v>
      </c>
      <c r="AH49">
        <v>3</v>
      </c>
      <c r="AI49">
        <v>0</v>
      </c>
      <c r="AJ49">
        <v>4</v>
      </c>
      <c r="AK49">
        <v>0</v>
      </c>
      <c r="AL49">
        <v>0</v>
      </c>
      <c r="AM49">
        <v>6</v>
      </c>
      <c r="AN49">
        <v>0</v>
      </c>
      <c r="AO49">
        <v>0</v>
      </c>
      <c r="AP49">
        <v>0</v>
      </c>
      <c r="AQ49">
        <v>3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</v>
      </c>
      <c r="BW49">
        <v>0</v>
      </c>
      <c r="BX49">
        <v>0</v>
      </c>
      <c r="BY49">
        <v>2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 x14ac:dyDescent="0.3">
      <c r="A50" t="s">
        <v>201</v>
      </c>
      <c r="B50" t="s">
        <v>218</v>
      </c>
      <c r="C50" t="s">
        <v>200</v>
      </c>
      <c r="D50" s="1">
        <v>15898</v>
      </c>
      <c r="E50" s="1">
        <v>2001</v>
      </c>
      <c r="F50" s="1">
        <v>7098</v>
      </c>
      <c r="G50" s="1">
        <v>3911</v>
      </c>
      <c r="H50">
        <v>79</v>
      </c>
      <c r="I50">
        <v>135</v>
      </c>
      <c r="J50">
        <v>94</v>
      </c>
      <c r="K50">
        <v>99</v>
      </c>
      <c r="L50">
        <v>503</v>
      </c>
      <c r="M50">
        <v>483</v>
      </c>
      <c r="N50">
        <v>147</v>
      </c>
      <c r="O50">
        <v>377</v>
      </c>
      <c r="P50">
        <v>108</v>
      </c>
      <c r="Q50">
        <v>17</v>
      </c>
      <c r="R50">
        <v>40</v>
      </c>
      <c r="S50">
        <v>198</v>
      </c>
      <c r="T50">
        <v>55</v>
      </c>
      <c r="U50">
        <v>23</v>
      </c>
      <c r="V50">
        <v>43</v>
      </c>
      <c r="W50">
        <v>104</v>
      </c>
      <c r="X50">
        <v>39</v>
      </c>
      <c r="Y50">
        <v>7</v>
      </c>
      <c r="Z50">
        <v>14</v>
      </c>
      <c r="AA50">
        <v>25</v>
      </c>
      <c r="AB50">
        <v>11</v>
      </c>
      <c r="AC50">
        <v>24</v>
      </c>
      <c r="AD50">
        <v>22</v>
      </c>
      <c r="AE50">
        <v>0</v>
      </c>
      <c r="AF50">
        <v>28</v>
      </c>
      <c r="AG50">
        <v>12</v>
      </c>
      <c r="AH50">
        <v>7</v>
      </c>
      <c r="AI50">
        <v>5</v>
      </c>
      <c r="AJ50">
        <v>3</v>
      </c>
      <c r="AK50">
        <v>3</v>
      </c>
      <c r="AL50">
        <v>4</v>
      </c>
      <c r="AM50">
        <v>17</v>
      </c>
      <c r="AN50">
        <v>8</v>
      </c>
      <c r="AO50">
        <v>5</v>
      </c>
      <c r="AP50">
        <v>0</v>
      </c>
      <c r="AQ50">
        <v>7</v>
      </c>
      <c r="AR50">
        <v>4</v>
      </c>
      <c r="AS50">
        <v>12</v>
      </c>
      <c r="AT50">
        <v>11</v>
      </c>
      <c r="AU50">
        <v>16</v>
      </c>
      <c r="AV50">
        <v>1</v>
      </c>
      <c r="AW50">
        <v>4</v>
      </c>
      <c r="AX50">
        <v>1</v>
      </c>
      <c r="AY50">
        <v>7</v>
      </c>
      <c r="AZ50">
        <v>0</v>
      </c>
      <c r="BA50">
        <v>0</v>
      </c>
      <c r="BB50">
        <v>0</v>
      </c>
      <c r="BC50">
        <v>1</v>
      </c>
      <c r="BD50">
        <v>1</v>
      </c>
      <c r="BE50">
        <v>0</v>
      </c>
      <c r="BF50">
        <v>2</v>
      </c>
      <c r="BG50">
        <v>5</v>
      </c>
      <c r="BH50">
        <v>3</v>
      </c>
      <c r="BI50">
        <v>3</v>
      </c>
      <c r="BJ50">
        <v>1</v>
      </c>
      <c r="BK50">
        <v>0</v>
      </c>
      <c r="BL50">
        <v>2</v>
      </c>
      <c r="BM50">
        <v>1</v>
      </c>
      <c r="BN50">
        <v>6</v>
      </c>
      <c r="BO50">
        <v>0</v>
      </c>
      <c r="BP50">
        <v>0</v>
      </c>
      <c r="BQ50">
        <v>2</v>
      </c>
      <c r="BR50">
        <v>6</v>
      </c>
      <c r="BS50">
        <v>3</v>
      </c>
      <c r="BT50">
        <v>1</v>
      </c>
      <c r="BU50">
        <v>7</v>
      </c>
      <c r="BV50">
        <v>4</v>
      </c>
      <c r="BW50">
        <v>7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1</v>
      </c>
      <c r="CD50">
        <v>1</v>
      </c>
      <c r="CE50">
        <v>1</v>
      </c>
      <c r="CF50">
        <v>0</v>
      </c>
      <c r="CG50">
        <v>1</v>
      </c>
      <c r="CH50">
        <v>0</v>
      </c>
      <c r="CI50">
        <v>0</v>
      </c>
      <c r="CJ50">
        <v>3</v>
      </c>
      <c r="CK50">
        <v>1</v>
      </c>
      <c r="CL50">
        <v>2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3</v>
      </c>
      <c r="CT50">
        <v>2</v>
      </c>
      <c r="CU50">
        <v>0</v>
      </c>
      <c r="CV50">
        <v>1</v>
      </c>
      <c r="CW50">
        <v>0</v>
      </c>
      <c r="CX50">
        <v>0</v>
      </c>
      <c r="CY50">
        <v>1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2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1</v>
      </c>
    </row>
    <row r="51" spans="1:201" x14ac:dyDescent="0.3">
      <c r="A51" t="s">
        <v>201</v>
      </c>
      <c r="B51" t="s">
        <v>218</v>
      </c>
      <c r="C51" t="s">
        <v>203</v>
      </c>
      <c r="D51" s="1">
        <v>7884</v>
      </c>
      <c r="E51">
        <v>779</v>
      </c>
      <c r="F51" s="1">
        <v>3969</v>
      </c>
      <c r="G51" s="1">
        <v>1684</v>
      </c>
      <c r="H51">
        <v>56</v>
      </c>
      <c r="I51">
        <v>72</v>
      </c>
      <c r="J51">
        <v>65</v>
      </c>
      <c r="K51">
        <v>78</v>
      </c>
      <c r="L51">
        <v>256</v>
      </c>
      <c r="M51">
        <v>295</v>
      </c>
      <c r="N51">
        <v>49</v>
      </c>
      <c r="O51">
        <v>181</v>
      </c>
      <c r="P51">
        <v>45</v>
      </c>
      <c r="Q51">
        <v>16</v>
      </c>
      <c r="R51">
        <v>34</v>
      </c>
      <c r="S51">
        <v>26</v>
      </c>
      <c r="T51">
        <v>20</v>
      </c>
      <c r="U51">
        <v>6</v>
      </c>
      <c r="V51">
        <v>36</v>
      </c>
      <c r="W51">
        <v>44</v>
      </c>
      <c r="X51">
        <v>25</v>
      </c>
      <c r="Y51">
        <v>2</v>
      </c>
      <c r="Z51">
        <v>4</v>
      </c>
      <c r="AA51">
        <v>12</v>
      </c>
      <c r="AB51">
        <v>5</v>
      </c>
      <c r="AC51">
        <v>14</v>
      </c>
      <c r="AD51">
        <v>7</v>
      </c>
      <c r="AE51">
        <v>0</v>
      </c>
      <c r="AF51">
        <v>20</v>
      </c>
      <c r="AG51">
        <v>5</v>
      </c>
      <c r="AH51">
        <v>6</v>
      </c>
      <c r="AI51">
        <v>0</v>
      </c>
      <c r="AJ51">
        <v>2</v>
      </c>
      <c r="AK51">
        <v>2</v>
      </c>
      <c r="AL51">
        <v>1</v>
      </c>
      <c r="AM51">
        <v>2</v>
      </c>
      <c r="AN51">
        <v>3</v>
      </c>
      <c r="AO51">
        <v>4</v>
      </c>
      <c r="AP51">
        <v>0</v>
      </c>
      <c r="AQ51">
        <v>2</v>
      </c>
      <c r="AR51">
        <v>2</v>
      </c>
      <c r="AS51">
        <v>5</v>
      </c>
      <c r="AT51">
        <v>2</v>
      </c>
      <c r="AU51">
        <v>2</v>
      </c>
      <c r="AV51">
        <v>1</v>
      </c>
      <c r="AW51">
        <v>3</v>
      </c>
      <c r="AX51">
        <v>0</v>
      </c>
      <c r="AY51">
        <v>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4</v>
      </c>
      <c r="BH51">
        <v>1</v>
      </c>
      <c r="BI51">
        <v>1</v>
      </c>
      <c r="BJ51">
        <v>0</v>
      </c>
      <c r="BK51">
        <v>0</v>
      </c>
      <c r="BL51">
        <v>2</v>
      </c>
      <c r="BM51">
        <v>1</v>
      </c>
      <c r="BN51">
        <v>3</v>
      </c>
      <c r="BO51">
        <v>0</v>
      </c>
      <c r="BP51">
        <v>0</v>
      </c>
      <c r="BQ51">
        <v>1</v>
      </c>
      <c r="BR51">
        <v>3</v>
      </c>
      <c r="BS51">
        <v>2</v>
      </c>
      <c r="BT51">
        <v>1</v>
      </c>
      <c r="BU51">
        <v>3</v>
      </c>
      <c r="BV51">
        <v>2</v>
      </c>
      <c r="BW51">
        <v>1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2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1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 x14ac:dyDescent="0.3">
      <c r="A52" t="s">
        <v>201</v>
      </c>
      <c r="B52" t="s">
        <v>218</v>
      </c>
      <c r="C52" t="s">
        <v>204</v>
      </c>
      <c r="D52" s="1">
        <v>8014</v>
      </c>
      <c r="E52" s="1">
        <v>1222</v>
      </c>
      <c r="F52" s="1">
        <v>3129</v>
      </c>
      <c r="G52" s="1">
        <v>2227</v>
      </c>
      <c r="H52">
        <v>23</v>
      </c>
      <c r="I52">
        <v>63</v>
      </c>
      <c r="J52">
        <v>29</v>
      </c>
      <c r="K52">
        <v>21</v>
      </c>
      <c r="L52">
        <v>247</v>
      </c>
      <c r="M52">
        <v>188</v>
      </c>
      <c r="N52">
        <v>98</v>
      </c>
      <c r="O52">
        <v>196</v>
      </c>
      <c r="P52">
        <v>63</v>
      </c>
      <c r="Q52">
        <v>1</v>
      </c>
      <c r="R52">
        <v>6</v>
      </c>
      <c r="S52">
        <v>172</v>
      </c>
      <c r="T52">
        <v>35</v>
      </c>
      <c r="U52">
        <v>17</v>
      </c>
      <c r="V52">
        <v>7</v>
      </c>
      <c r="W52">
        <v>60</v>
      </c>
      <c r="X52">
        <v>14</v>
      </c>
      <c r="Y52">
        <v>5</v>
      </c>
      <c r="Z52">
        <v>10</v>
      </c>
      <c r="AA52">
        <v>13</v>
      </c>
      <c r="AB52">
        <v>6</v>
      </c>
      <c r="AC52">
        <v>10</v>
      </c>
      <c r="AD52">
        <v>15</v>
      </c>
      <c r="AE52">
        <v>0</v>
      </c>
      <c r="AF52">
        <v>8</v>
      </c>
      <c r="AG52">
        <v>7</v>
      </c>
      <c r="AH52">
        <v>1</v>
      </c>
      <c r="AI52">
        <v>5</v>
      </c>
      <c r="AJ52">
        <v>1</v>
      </c>
      <c r="AK52">
        <v>1</v>
      </c>
      <c r="AL52">
        <v>3</v>
      </c>
      <c r="AM52">
        <v>15</v>
      </c>
      <c r="AN52">
        <v>5</v>
      </c>
      <c r="AO52">
        <v>1</v>
      </c>
      <c r="AP52">
        <v>0</v>
      </c>
      <c r="AQ52">
        <v>5</v>
      </c>
      <c r="AR52">
        <v>2</v>
      </c>
      <c r="AS52">
        <v>7</v>
      </c>
      <c r="AT52">
        <v>9</v>
      </c>
      <c r="AU52">
        <v>14</v>
      </c>
      <c r="AV52">
        <v>0</v>
      </c>
      <c r="AW52">
        <v>1</v>
      </c>
      <c r="AX52">
        <v>1</v>
      </c>
      <c r="AY52">
        <v>3</v>
      </c>
      <c r="AZ52">
        <v>0</v>
      </c>
      <c r="BA52">
        <v>0</v>
      </c>
      <c r="BB52">
        <v>0</v>
      </c>
      <c r="BC52">
        <v>1</v>
      </c>
      <c r="BD52">
        <v>1</v>
      </c>
      <c r="BE52">
        <v>0</v>
      </c>
      <c r="BF52">
        <v>1</v>
      </c>
      <c r="BG52">
        <v>1</v>
      </c>
      <c r="BH52">
        <v>2</v>
      </c>
      <c r="BI52">
        <v>2</v>
      </c>
      <c r="BJ52">
        <v>1</v>
      </c>
      <c r="BK52">
        <v>0</v>
      </c>
      <c r="BL52">
        <v>0</v>
      </c>
      <c r="BM52">
        <v>0</v>
      </c>
      <c r="BN52">
        <v>3</v>
      </c>
      <c r="BO52">
        <v>0</v>
      </c>
      <c r="BP52">
        <v>0</v>
      </c>
      <c r="BQ52">
        <v>1</v>
      </c>
      <c r="BR52">
        <v>3</v>
      </c>
      <c r="BS52">
        <v>1</v>
      </c>
      <c r="BT52">
        <v>0</v>
      </c>
      <c r="BU52">
        <v>4</v>
      </c>
      <c r="BV52">
        <v>2</v>
      </c>
      <c r="BW52">
        <v>6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1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2</v>
      </c>
      <c r="CK52">
        <v>0</v>
      </c>
      <c r="CL52">
        <v>2</v>
      </c>
      <c r="CM52">
        <v>0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1</v>
      </c>
      <c r="CT52">
        <v>2</v>
      </c>
      <c r="CU52">
        <v>0</v>
      </c>
      <c r="CV52">
        <v>1</v>
      </c>
      <c r="CW52">
        <v>0</v>
      </c>
      <c r="CX52">
        <v>0</v>
      </c>
      <c r="CY52">
        <v>1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1</v>
      </c>
    </row>
    <row r="53" spans="1:201" x14ac:dyDescent="0.3">
      <c r="A53" t="s">
        <v>201</v>
      </c>
      <c r="B53" t="s">
        <v>219</v>
      </c>
      <c r="C53" t="s">
        <v>200</v>
      </c>
      <c r="D53" s="1">
        <v>3106</v>
      </c>
      <c r="E53">
        <v>198</v>
      </c>
      <c r="F53">
        <v>257</v>
      </c>
      <c r="G53">
        <v>485</v>
      </c>
      <c r="H53">
        <v>10</v>
      </c>
      <c r="I53">
        <v>32</v>
      </c>
      <c r="J53">
        <v>7</v>
      </c>
      <c r="K53">
        <v>26</v>
      </c>
      <c r="L53">
        <v>11</v>
      </c>
      <c r="M53">
        <v>48</v>
      </c>
      <c r="N53">
        <v>50</v>
      </c>
      <c r="O53">
        <v>35</v>
      </c>
      <c r="P53">
        <v>612</v>
      </c>
      <c r="Q53">
        <v>2</v>
      </c>
      <c r="R53">
        <v>4</v>
      </c>
      <c r="S53">
        <v>320</v>
      </c>
      <c r="T53">
        <v>38</v>
      </c>
      <c r="U53">
        <v>27</v>
      </c>
      <c r="V53">
        <v>17</v>
      </c>
      <c r="W53">
        <v>98</v>
      </c>
      <c r="X53">
        <v>150</v>
      </c>
      <c r="Y53">
        <v>4</v>
      </c>
      <c r="Z53">
        <v>4</v>
      </c>
      <c r="AA53">
        <v>33</v>
      </c>
      <c r="AB53">
        <v>12</v>
      </c>
      <c r="AC53">
        <v>95</v>
      </c>
      <c r="AD53">
        <v>45</v>
      </c>
      <c r="AE53">
        <v>0</v>
      </c>
      <c r="AF53">
        <v>110</v>
      </c>
      <c r="AG53">
        <v>16</v>
      </c>
      <c r="AH53">
        <v>35</v>
      </c>
      <c r="AI53">
        <v>4</v>
      </c>
      <c r="AJ53">
        <v>3</v>
      </c>
      <c r="AK53">
        <v>3</v>
      </c>
      <c r="AL53">
        <v>5</v>
      </c>
      <c r="AM53">
        <v>17</v>
      </c>
      <c r="AN53">
        <v>37</v>
      </c>
      <c r="AO53">
        <v>0</v>
      </c>
      <c r="AP53">
        <v>0</v>
      </c>
      <c r="AQ53">
        <v>3</v>
      </c>
      <c r="AR53">
        <v>0</v>
      </c>
      <c r="AS53">
        <v>15</v>
      </c>
      <c r="AT53">
        <v>7</v>
      </c>
      <c r="AU53">
        <v>3</v>
      </c>
      <c r="AV53">
        <v>1</v>
      </c>
      <c r="AW53">
        <v>20</v>
      </c>
      <c r="AX53">
        <v>0</v>
      </c>
      <c r="AY53">
        <v>10</v>
      </c>
      <c r="AZ53">
        <v>0</v>
      </c>
      <c r="BA53">
        <v>12</v>
      </c>
      <c r="BB53">
        <v>0</v>
      </c>
      <c r="BC53">
        <v>34</v>
      </c>
      <c r="BD53">
        <v>0</v>
      </c>
      <c r="BE53">
        <v>2</v>
      </c>
      <c r="BF53">
        <v>0</v>
      </c>
      <c r="BG53">
        <v>14</v>
      </c>
      <c r="BH53">
        <v>6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15</v>
      </c>
      <c r="BO53">
        <v>0</v>
      </c>
      <c r="BP53">
        <v>0</v>
      </c>
      <c r="BQ53">
        <v>1</v>
      </c>
      <c r="BR53">
        <v>6</v>
      </c>
      <c r="BS53">
        <v>7</v>
      </c>
      <c r="BT53">
        <v>1</v>
      </c>
      <c r="BU53">
        <v>0</v>
      </c>
      <c r="BV53">
        <v>2</v>
      </c>
      <c r="BW53">
        <v>12</v>
      </c>
      <c r="BX53">
        <v>0</v>
      </c>
      <c r="BY53">
        <v>0</v>
      </c>
      <c r="BZ53">
        <v>3</v>
      </c>
      <c r="CA53">
        <v>3</v>
      </c>
      <c r="CB53">
        <v>0</v>
      </c>
      <c r="CC53">
        <v>3</v>
      </c>
      <c r="CD53">
        <v>7</v>
      </c>
      <c r="CE53">
        <v>5</v>
      </c>
      <c r="CF53">
        <v>0</v>
      </c>
      <c r="CG53">
        <v>2</v>
      </c>
      <c r="CH53">
        <v>1</v>
      </c>
      <c r="CI53">
        <v>2</v>
      </c>
      <c r="CJ53">
        <v>0</v>
      </c>
      <c r="CK53">
        <v>2</v>
      </c>
      <c r="CL53">
        <v>18</v>
      </c>
      <c r="CM53">
        <v>0</v>
      </c>
      <c r="CN53">
        <v>2</v>
      </c>
      <c r="CO53">
        <v>0</v>
      </c>
      <c r="CP53">
        <v>6</v>
      </c>
      <c r="CQ53">
        <v>3</v>
      </c>
      <c r="CR53">
        <v>1</v>
      </c>
      <c r="CS53">
        <v>2</v>
      </c>
      <c r="CT53">
        <v>0</v>
      </c>
      <c r="CU53">
        <v>2</v>
      </c>
      <c r="CV53">
        <v>3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2</v>
      </c>
      <c r="DH53">
        <v>0</v>
      </c>
      <c r="DI53">
        <v>2</v>
      </c>
      <c r="DJ53">
        <v>1</v>
      </c>
      <c r="DK53">
        <v>1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2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2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0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1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 x14ac:dyDescent="0.3">
      <c r="A54" t="s">
        <v>201</v>
      </c>
      <c r="B54" t="s">
        <v>219</v>
      </c>
      <c r="C54" t="s">
        <v>203</v>
      </c>
      <c r="D54" s="1">
        <v>1466</v>
      </c>
      <c r="E54">
        <v>54</v>
      </c>
      <c r="F54">
        <v>110</v>
      </c>
      <c r="G54">
        <v>221</v>
      </c>
      <c r="H54">
        <v>8</v>
      </c>
      <c r="I54">
        <v>18</v>
      </c>
      <c r="J54">
        <v>3</v>
      </c>
      <c r="K54">
        <v>7</v>
      </c>
      <c r="L54">
        <v>6</v>
      </c>
      <c r="M54">
        <v>15</v>
      </c>
      <c r="N54">
        <v>12</v>
      </c>
      <c r="O54">
        <v>15</v>
      </c>
      <c r="P54">
        <v>343</v>
      </c>
      <c r="Q54">
        <v>2</v>
      </c>
      <c r="R54">
        <v>3</v>
      </c>
      <c r="S54">
        <v>133</v>
      </c>
      <c r="T54">
        <v>13</v>
      </c>
      <c r="U54">
        <v>13</v>
      </c>
      <c r="V54">
        <v>10</v>
      </c>
      <c r="W54">
        <v>36</v>
      </c>
      <c r="X54">
        <v>92</v>
      </c>
      <c r="Y54">
        <v>0</v>
      </c>
      <c r="Z54">
        <v>0</v>
      </c>
      <c r="AA54">
        <v>22</v>
      </c>
      <c r="AB54">
        <v>2</v>
      </c>
      <c r="AC54">
        <v>51</v>
      </c>
      <c r="AD54">
        <v>17</v>
      </c>
      <c r="AE54">
        <v>0</v>
      </c>
      <c r="AF54">
        <v>67</v>
      </c>
      <c r="AG54">
        <v>5</v>
      </c>
      <c r="AH54">
        <v>22</v>
      </c>
      <c r="AI54">
        <v>1</v>
      </c>
      <c r="AJ54">
        <v>2</v>
      </c>
      <c r="AK54">
        <v>2</v>
      </c>
      <c r="AL54">
        <v>1</v>
      </c>
      <c r="AM54">
        <v>4</v>
      </c>
      <c r="AN54">
        <v>26</v>
      </c>
      <c r="AO54">
        <v>0</v>
      </c>
      <c r="AP54">
        <v>0</v>
      </c>
      <c r="AQ54">
        <v>0</v>
      </c>
      <c r="AR54">
        <v>0</v>
      </c>
      <c r="AS54">
        <v>10</v>
      </c>
      <c r="AT54">
        <v>5</v>
      </c>
      <c r="AU54">
        <v>0</v>
      </c>
      <c r="AV54">
        <v>1</v>
      </c>
      <c r="AW54">
        <v>8</v>
      </c>
      <c r="AX54">
        <v>0</v>
      </c>
      <c r="AY54">
        <v>4</v>
      </c>
      <c r="AZ54">
        <v>0</v>
      </c>
      <c r="BA54">
        <v>4</v>
      </c>
      <c r="BB54">
        <v>0</v>
      </c>
      <c r="BC54">
        <v>22</v>
      </c>
      <c r="BD54">
        <v>0</v>
      </c>
      <c r="BE54">
        <v>0</v>
      </c>
      <c r="BF54">
        <v>0</v>
      </c>
      <c r="BG54">
        <v>7</v>
      </c>
      <c r="BH54">
        <v>5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7</v>
      </c>
      <c r="BO54">
        <v>0</v>
      </c>
      <c r="BP54">
        <v>0</v>
      </c>
      <c r="BQ54">
        <v>0</v>
      </c>
      <c r="BR54">
        <v>5</v>
      </c>
      <c r="BS54">
        <v>3</v>
      </c>
      <c r="BT54">
        <v>0</v>
      </c>
      <c r="BU54">
        <v>0</v>
      </c>
      <c r="BV54">
        <v>1</v>
      </c>
      <c r="BW54">
        <v>6</v>
      </c>
      <c r="BX54">
        <v>0</v>
      </c>
      <c r="BY54">
        <v>0</v>
      </c>
      <c r="BZ54">
        <v>1</v>
      </c>
      <c r="CA54">
        <v>3</v>
      </c>
      <c r="CB54">
        <v>0</v>
      </c>
      <c r="CC54">
        <v>0</v>
      </c>
      <c r="CD54">
        <v>1</v>
      </c>
      <c r="CE54">
        <v>3</v>
      </c>
      <c r="CF54">
        <v>0</v>
      </c>
      <c r="CG54">
        <v>1</v>
      </c>
      <c r="CH54">
        <v>1</v>
      </c>
      <c r="CI54">
        <v>1</v>
      </c>
      <c r="CJ54">
        <v>0</v>
      </c>
      <c r="CK54">
        <v>2</v>
      </c>
      <c r="CL54">
        <v>12</v>
      </c>
      <c r="CM54">
        <v>0</v>
      </c>
      <c r="CN54">
        <v>1</v>
      </c>
      <c r="CO54">
        <v>0</v>
      </c>
      <c r="CP54">
        <v>2</v>
      </c>
      <c r="CQ54">
        <v>0</v>
      </c>
      <c r="CR54">
        <v>1</v>
      </c>
      <c r="CS54">
        <v>2</v>
      </c>
      <c r="CT54">
        <v>0</v>
      </c>
      <c r="CU54">
        <v>1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1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 x14ac:dyDescent="0.3">
      <c r="A55" t="s">
        <v>201</v>
      </c>
      <c r="B55" t="s">
        <v>219</v>
      </c>
      <c r="C55" t="s">
        <v>204</v>
      </c>
      <c r="D55" s="1">
        <v>1640</v>
      </c>
      <c r="E55">
        <v>144</v>
      </c>
      <c r="F55">
        <v>147</v>
      </c>
      <c r="G55">
        <v>264</v>
      </c>
      <c r="H55">
        <v>2</v>
      </c>
      <c r="I55">
        <v>14</v>
      </c>
      <c r="J55">
        <v>4</v>
      </c>
      <c r="K55">
        <v>19</v>
      </c>
      <c r="L55">
        <v>5</v>
      </c>
      <c r="M55">
        <v>33</v>
      </c>
      <c r="N55">
        <v>38</v>
      </c>
      <c r="O55">
        <v>20</v>
      </c>
      <c r="P55">
        <v>269</v>
      </c>
      <c r="Q55">
        <v>0</v>
      </c>
      <c r="R55">
        <v>1</v>
      </c>
      <c r="S55">
        <v>187</v>
      </c>
      <c r="T55">
        <v>25</v>
      </c>
      <c r="U55">
        <v>14</v>
      </c>
      <c r="V55">
        <v>7</v>
      </c>
      <c r="W55">
        <v>62</v>
      </c>
      <c r="X55">
        <v>58</v>
      </c>
      <c r="Y55">
        <v>4</v>
      </c>
      <c r="Z55">
        <v>4</v>
      </c>
      <c r="AA55">
        <v>11</v>
      </c>
      <c r="AB55">
        <v>10</v>
      </c>
      <c r="AC55">
        <v>44</v>
      </c>
      <c r="AD55">
        <v>28</v>
      </c>
      <c r="AE55">
        <v>0</v>
      </c>
      <c r="AF55">
        <v>43</v>
      </c>
      <c r="AG55">
        <v>11</v>
      </c>
      <c r="AH55">
        <v>13</v>
      </c>
      <c r="AI55">
        <v>3</v>
      </c>
      <c r="AJ55">
        <v>1</v>
      </c>
      <c r="AK55">
        <v>1</v>
      </c>
      <c r="AL55">
        <v>4</v>
      </c>
      <c r="AM55">
        <v>13</v>
      </c>
      <c r="AN55">
        <v>11</v>
      </c>
      <c r="AO55">
        <v>0</v>
      </c>
      <c r="AP55">
        <v>0</v>
      </c>
      <c r="AQ55">
        <v>3</v>
      </c>
      <c r="AR55">
        <v>0</v>
      </c>
      <c r="AS55">
        <v>5</v>
      </c>
      <c r="AT55">
        <v>2</v>
      </c>
      <c r="AU55">
        <v>3</v>
      </c>
      <c r="AV55">
        <v>0</v>
      </c>
      <c r="AW55">
        <v>12</v>
      </c>
      <c r="AX55">
        <v>0</v>
      </c>
      <c r="AY55">
        <v>6</v>
      </c>
      <c r="AZ55">
        <v>0</v>
      </c>
      <c r="BA55">
        <v>8</v>
      </c>
      <c r="BB55">
        <v>0</v>
      </c>
      <c r="BC55">
        <v>12</v>
      </c>
      <c r="BD55">
        <v>0</v>
      </c>
      <c r="BE55">
        <v>2</v>
      </c>
      <c r="BF55">
        <v>0</v>
      </c>
      <c r="BG55">
        <v>7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8</v>
      </c>
      <c r="BO55">
        <v>0</v>
      </c>
      <c r="BP55">
        <v>0</v>
      </c>
      <c r="BQ55">
        <v>1</v>
      </c>
      <c r="BR55">
        <v>1</v>
      </c>
      <c r="BS55">
        <v>4</v>
      </c>
      <c r="BT55">
        <v>1</v>
      </c>
      <c r="BU55">
        <v>0</v>
      </c>
      <c r="BV55">
        <v>1</v>
      </c>
      <c r="BW55">
        <v>6</v>
      </c>
      <c r="BX55">
        <v>0</v>
      </c>
      <c r="BY55">
        <v>0</v>
      </c>
      <c r="BZ55">
        <v>2</v>
      </c>
      <c r="CA55">
        <v>0</v>
      </c>
      <c r="CB55">
        <v>0</v>
      </c>
      <c r="CC55">
        <v>3</v>
      </c>
      <c r="CD55">
        <v>6</v>
      </c>
      <c r="CE55">
        <v>2</v>
      </c>
      <c r="CF55">
        <v>0</v>
      </c>
      <c r="CG55">
        <v>1</v>
      </c>
      <c r="CH55">
        <v>0</v>
      </c>
      <c r="CI55">
        <v>1</v>
      </c>
      <c r="CJ55">
        <v>0</v>
      </c>
      <c r="CK55">
        <v>0</v>
      </c>
      <c r="CL55">
        <v>6</v>
      </c>
      <c r="CM55">
        <v>0</v>
      </c>
      <c r="CN55">
        <v>1</v>
      </c>
      <c r="CO55">
        <v>0</v>
      </c>
      <c r="CP55">
        <v>4</v>
      </c>
      <c r="CQ55">
        <v>3</v>
      </c>
      <c r="CR55">
        <v>0</v>
      </c>
      <c r="CS55">
        <v>0</v>
      </c>
      <c r="CT55">
        <v>0</v>
      </c>
      <c r="CU55">
        <v>1</v>
      </c>
      <c r="CV55">
        <v>2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2</v>
      </c>
      <c r="DH55">
        <v>0</v>
      </c>
      <c r="DI55">
        <v>0</v>
      </c>
      <c r="DJ55">
        <v>1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2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 x14ac:dyDescent="0.3">
      <c r="A56" t="s">
        <v>201</v>
      </c>
      <c r="B56" t="s">
        <v>220</v>
      </c>
      <c r="C56" t="s">
        <v>200</v>
      </c>
      <c r="D56" s="1">
        <v>12270</v>
      </c>
      <c r="E56" s="1">
        <v>2388</v>
      </c>
      <c r="F56" s="1">
        <v>4298</v>
      </c>
      <c r="G56" s="1">
        <v>2552</v>
      </c>
      <c r="H56">
        <v>137</v>
      </c>
      <c r="I56">
        <v>506</v>
      </c>
      <c r="J56">
        <v>30</v>
      </c>
      <c r="K56">
        <v>15</v>
      </c>
      <c r="L56">
        <v>571</v>
      </c>
      <c r="M56">
        <v>101</v>
      </c>
      <c r="N56">
        <v>51</v>
      </c>
      <c r="O56">
        <v>392</v>
      </c>
      <c r="P56">
        <v>424</v>
      </c>
      <c r="Q56">
        <v>6</v>
      </c>
      <c r="R56">
        <v>22</v>
      </c>
      <c r="S56">
        <v>122</v>
      </c>
      <c r="T56">
        <v>21</v>
      </c>
      <c r="U56">
        <v>10</v>
      </c>
      <c r="V56">
        <v>147</v>
      </c>
      <c r="W56">
        <v>33</v>
      </c>
      <c r="X56">
        <v>161</v>
      </c>
      <c r="Y56">
        <v>6</v>
      </c>
      <c r="Z56">
        <v>9</v>
      </c>
      <c r="AA56">
        <v>8</v>
      </c>
      <c r="AB56">
        <v>14</v>
      </c>
      <c r="AC56">
        <v>26</v>
      </c>
      <c r="AD56">
        <v>12</v>
      </c>
      <c r="AE56">
        <v>0</v>
      </c>
      <c r="AF56">
        <v>29</v>
      </c>
      <c r="AG56">
        <v>5</v>
      </c>
      <c r="AH56">
        <v>6</v>
      </c>
      <c r="AI56">
        <v>9</v>
      </c>
      <c r="AJ56">
        <v>1</v>
      </c>
      <c r="AK56">
        <v>2</v>
      </c>
      <c r="AL56">
        <v>0</v>
      </c>
      <c r="AM56">
        <v>8</v>
      </c>
      <c r="AN56">
        <v>12</v>
      </c>
      <c r="AO56">
        <v>0</v>
      </c>
      <c r="AP56">
        <v>0</v>
      </c>
      <c r="AQ56">
        <v>7</v>
      </c>
      <c r="AR56">
        <v>6</v>
      </c>
      <c r="AS56">
        <v>2</v>
      </c>
      <c r="AT56">
        <v>13</v>
      </c>
      <c r="AU56">
        <v>8</v>
      </c>
      <c r="AV56">
        <v>5</v>
      </c>
      <c r="AW56">
        <v>7</v>
      </c>
      <c r="AX56">
        <v>0</v>
      </c>
      <c r="AY56">
        <v>4</v>
      </c>
      <c r="AZ56">
        <v>2</v>
      </c>
      <c r="BA56">
        <v>16</v>
      </c>
      <c r="BB56">
        <v>8</v>
      </c>
      <c r="BC56">
        <v>1</v>
      </c>
      <c r="BD56">
        <v>0</v>
      </c>
      <c r="BE56">
        <v>0</v>
      </c>
      <c r="BF56">
        <v>0</v>
      </c>
      <c r="BG56">
        <v>3</v>
      </c>
      <c r="BH56">
        <v>3</v>
      </c>
      <c r="BI56">
        <v>1</v>
      </c>
      <c r="BJ56">
        <v>2</v>
      </c>
      <c r="BK56">
        <v>8</v>
      </c>
      <c r="BL56">
        <v>4</v>
      </c>
      <c r="BM56">
        <v>0</v>
      </c>
      <c r="BN56">
        <v>2</v>
      </c>
      <c r="BO56">
        <v>0</v>
      </c>
      <c r="BP56">
        <v>1</v>
      </c>
      <c r="BQ56">
        <v>2</v>
      </c>
      <c r="BR56">
        <v>0</v>
      </c>
      <c r="BS56">
        <v>5</v>
      </c>
      <c r="BT56">
        <v>0</v>
      </c>
      <c r="BU56">
        <v>0</v>
      </c>
      <c r="BV56">
        <v>1</v>
      </c>
      <c r="BW56">
        <v>2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1</v>
      </c>
      <c r="CE56">
        <v>3</v>
      </c>
      <c r="CF56">
        <v>0</v>
      </c>
      <c r="CG56">
        <v>0</v>
      </c>
      <c r="CH56">
        <v>0</v>
      </c>
      <c r="CI56">
        <v>3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1</v>
      </c>
      <c r="CP56">
        <v>0</v>
      </c>
      <c r="CQ56">
        <v>2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1</v>
      </c>
      <c r="DI56">
        <v>0</v>
      </c>
      <c r="DJ56">
        <v>2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1</v>
      </c>
    </row>
    <row r="57" spans="1:201" x14ac:dyDescent="0.3">
      <c r="A57" t="s">
        <v>201</v>
      </c>
      <c r="B57" t="s">
        <v>220</v>
      </c>
      <c r="C57" t="s">
        <v>203</v>
      </c>
      <c r="D57" s="1">
        <v>5743</v>
      </c>
      <c r="E57">
        <v>717</v>
      </c>
      <c r="F57" s="1">
        <v>2351</v>
      </c>
      <c r="G57" s="1">
        <v>1195</v>
      </c>
      <c r="H57">
        <v>98</v>
      </c>
      <c r="I57">
        <v>380</v>
      </c>
      <c r="J57">
        <v>19</v>
      </c>
      <c r="K57">
        <v>2</v>
      </c>
      <c r="L57">
        <v>173</v>
      </c>
      <c r="M57">
        <v>20</v>
      </c>
      <c r="N57">
        <v>19</v>
      </c>
      <c r="O57">
        <v>163</v>
      </c>
      <c r="P57">
        <v>216</v>
      </c>
      <c r="Q57">
        <v>6</v>
      </c>
      <c r="R57">
        <v>13</v>
      </c>
      <c r="S57">
        <v>23</v>
      </c>
      <c r="T57">
        <v>10</v>
      </c>
      <c r="U57">
        <v>6</v>
      </c>
      <c r="V57">
        <v>93</v>
      </c>
      <c r="W57">
        <v>14</v>
      </c>
      <c r="X57">
        <v>83</v>
      </c>
      <c r="Y57">
        <v>0</v>
      </c>
      <c r="Z57">
        <v>4</v>
      </c>
      <c r="AA57">
        <v>3</v>
      </c>
      <c r="AB57">
        <v>6</v>
      </c>
      <c r="AC57">
        <v>14</v>
      </c>
      <c r="AD57">
        <v>4</v>
      </c>
      <c r="AE57">
        <v>0</v>
      </c>
      <c r="AF57">
        <v>19</v>
      </c>
      <c r="AG57">
        <v>2</v>
      </c>
      <c r="AH57">
        <v>2</v>
      </c>
      <c r="AI57">
        <v>6</v>
      </c>
      <c r="AJ57">
        <v>0</v>
      </c>
      <c r="AK57">
        <v>1</v>
      </c>
      <c r="AL57">
        <v>0</v>
      </c>
      <c r="AM57">
        <v>1</v>
      </c>
      <c r="AN57">
        <v>8</v>
      </c>
      <c r="AO57">
        <v>0</v>
      </c>
      <c r="AP57">
        <v>0</v>
      </c>
      <c r="AQ57">
        <v>4</v>
      </c>
      <c r="AR57">
        <v>5</v>
      </c>
      <c r="AS57">
        <v>0</v>
      </c>
      <c r="AT57">
        <v>10</v>
      </c>
      <c r="AU57">
        <v>4</v>
      </c>
      <c r="AV57">
        <v>3</v>
      </c>
      <c r="AW57">
        <v>4</v>
      </c>
      <c r="AX57">
        <v>0</v>
      </c>
      <c r="AY57">
        <v>2</v>
      </c>
      <c r="AZ57">
        <v>1</v>
      </c>
      <c r="BA57">
        <v>7</v>
      </c>
      <c r="BB57">
        <v>3</v>
      </c>
      <c r="BC57">
        <v>1</v>
      </c>
      <c r="BD57">
        <v>0</v>
      </c>
      <c r="BE57">
        <v>0</v>
      </c>
      <c r="BF57">
        <v>0</v>
      </c>
      <c r="BG57">
        <v>2</v>
      </c>
      <c r="BH57">
        <v>0</v>
      </c>
      <c r="BI57">
        <v>0</v>
      </c>
      <c r="BJ57">
        <v>1</v>
      </c>
      <c r="BK57">
        <v>6</v>
      </c>
      <c r="BL57">
        <v>3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3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2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1</v>
      </c>
      <c r="CP57">
        <v>0</v>
      </c>
      <c r="CQ57">
        <v>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1</v>
      </c>
      <c r="DI57">
        <v>0</v>
      </c>
      <c r="DJ57">
        <v>2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1</v>
      </c>
    </row>
    <row r="58" spans="1:201" x14ac:dyDescent="0.3">
      <c r="A58" t="s">
        <v>201</v>
      </c>
      <c r="B58" t="s">
        <v>220</v>
      </c>
      <c r="C58" t="s">
        <v>204</v>
      </c>
      <c r="D58" s="1">
        <v>6527</v>
      </c>
      <c r="E58" s="1">
        <v>1671</v>
      </c>
      <c r="F58" s="1">
        <v>1947</v>
      </c>
      <c r="G58" s="1">
        <v>1357</v>
      </c>
      <c r="H58">
        <v>39</v>
      </c>
      <c r="I58">
        <v>126</v>
      </c>
      <c r="J58">
        <v>11</v>
      </c>
      <c r="K58">
        <v>13</v>
      </c>
      <c r="L58">
        <v>398</v>
      </c>
      <c r="M58">
        <v>81</v>
      </c>
      <c r="N58">
        <v>32</v>
      </c>
      <c r="O58">
        <v>229</v>
      </c>
      <c r="P58">
        <v>208</v>
      </c>
      <c r="Q58">
        <v>0</v>
      </c>
      <c r="R58">
        <v>9</v>
      </c>
      <c r="S58">
        <v>99</v>
      </c>
      <c r="T58">
        <v>11</v>
      </c>
      <c r="U58">
        <v>4</v>
      </c>
      <c r="V58">
        <v>54</v>
      </c>
      <c r="W58">
        <v>19</v>
      </c>
      <c r="X58">
        <v>78</v>
      </c>
      <c r="Y58">
        <v>6</v>
      </c>
      <c r="Z58">
        <v>5</v>
      </c>
      <c r="AA58">
        <v>5</v>
      </c>
      <c r="AB58">
        <v>8</v>
      </c>
      <c r="AC58">
        <v>12</v>
      </c>
      <c r="AD58">
        <v>8</v>
      </c>
      <c r="AE58">
        <v>0</v>
      </c>
      <c r="AF58">
        <v>10</v>
      </c>
      <c r="AG58">
        <v>3</v>
      </c>
      <c r="AH58">
        <v>4</v>
      </c>
      <c r="AI58">
        <v>3</v>
      </c>
      <c r="AJ58">
        <v>1</v>
      </c>
      <c r="AK58">
        <v>1</v>
      </c>
      <c r="AL58">
        <v>0</v>
      </c>
      <c r="AM58">
        <v>7</v>
      </c>
      <c r="AN58">
        <v>4</v>
      </c>
      <c r="AO58">
        <v>0</v>
      </c>
      <c r="AP58">
        <v>0</v>
      </c>
      <c r="AQ58">
        <v>3</v>
      </c>
      <c r="AR58">
        <v>1</v>
      </c>
      <c r="AS58">
        <v>2</v>
      </c>
      <c r="AT58">
        <v>3</v>
      </c>
      <c r="AU58">
        <v>4</v>
      </c>
      <c r="AV58">
        <v>2</v>
      </c>
      <c r="AW58">
        <v>3</v>
      </c>
      <c r="AX58">
        <v>0</v>
      </c>
      <c r="AY58">
        <v>2</v>
      </c>
      <c r="AZ58">
        <v>1</v>
      </c>
      <c r="BA58">
        <v>9</v>
      </c>
      <c r="BB58">
        <v>5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3</v>
      </c>
      <c r="BI58">
        <v>1</v>
      </c>
      <c r="BJ58">
        <v>1</v>
      </c>
      <c r="BK58">
        <v>2</v>
      </c>
      <c r="BL58">
        <v>1</v>
      </c>
      <c r="BM58">
        <v>0</v>
      </c>
      <c r="BN58">
        <v>2</v>
      </c>
      <c r="BO58">
        <v>0</v>
      </c>
      <c r="BP58">
        <v>0</v>
      </c>
      <c r="BQ58">
        <v>2</v>
      </c>
      <c r="BR58">
        <v>0</v>
      </c>
      <c r="BS58">
        <v>2</v>
      </c>
      <c r="BT58">
        <v>0</v>
      </c>
      <c r="BU58">
        <v>0</v>
      </c>
      <c r="BV58">
        <v>1</v>
      </c>
      <c r="BW58">
        <v>2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1</v>
      </c>
      <c r="CE58">
        <v>1</v>
      </c>
      <c r="CF58">
        <v>0</v>
      </c>
      <c r="CG58">
        <v>0</v>
      </c>
      <c r="CH58">
        <v>0</v>
      </c>
      <c r="CI58">
        <v>3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 x14ac:dyDescent="0.3">
      <c r="A59" t="s">
        <v>201</v>
      </c>
      <c r="B59" t="s">
        <v>221</v>
      </c>
      <c r="C59" t="s">
        <v>200</v>
      </c>
      <c r="D59" s="1">
        <v>2871</v>
      </c>
      <c r="E59">
        <v>582</v>
      </c>
      <c r="F59">
        <v>889</v>
      </c>
      <c r="G59">
        <v>433</v>
      </c>
      <c r="H59">
        <v>46</v>
      </c>
      <c r="I59">
        <v>39</v>
      </c>
      <c r="J59">
        <v>41</v>
      </c>
      <c r="K59">
        <v>44</v>
      </c>
      <c r="L59">
        <v>75</v>
      </c>
      <c r="M59">
        <v>138</v>
      </c>
      <c r="N59">
        <v>89</v>
      </c>
      <c r="O59">
        <v>93</v>
      </c>
      <c r="P59">
        <v>25</v>
      </c>
      <c r="Q59">
        <v>12</v>
      </c>
      <c r="R59">
        <v>64</v>
      </c>
      <c r="S59">
        <v>70</v>
      </c>
      <c r="T59">
        <v>15</v>
      </c>
      <c r="U59">
        <v>4</v>
      </c>
      <c r="V59">
        <v>36</v>
      </c>
      <c r="W59">
        <v>28</v>
      </c>
      <c r="X59">
        <v>9</v>
      </c>
      <c r="Y59">
        <v>9</v>
      </c>
      <c r="Z59">
        <v>5</v>
      </c>
      <c r="AA59">
        <v>9</v>
      </c>
      <c r="AB59">
        <v>6</v>
      </c>
      <c r="AC59">
        <v>10</v>
      </c>
      <c r="AD59">
        <v>2</v>
      </c>
      <c r="AE59">
        <v>0</v>
      </c>
      <c r="AF59">
        <v>19</v>
      </c>
      <c r="AG59">
        <v>2</v>
      </c>
      <c r="AH59">
        <v>3</v>
      </c>
      <c r="AI59">
        <v>1</v>
      </c>
      <c r="AJ59">
        <v>0</v>
      </c>
      <c r="AK59">
        <v>1</v>
      </c>
      <c r="AL59">
        <v>7</v>
      </c>
      <c r="AM59">
        <v>5</v>
      </c>
      <c r="AN59">
        <v>4</v>
      </c>
      <c r="AO59">
        <v>0</v>
      </c>
      <c r="AP59">
        <v>0</v>
      </c>
      <c r="AQ59">
        <v>4</v>
      </c>
      <c r="AR59">
        <v>0</v>
      </c>
      <c r="AS59">
        <v>7</v>
      </c>
      <c r="AT59">
        <v>5</v>
      </c>
      <c r="AU59">
        <v>0</v>
      </c>
      <c r="AV59">
        <v>1</v>
      </c>
      <c r="AW59">
        <v>1</v>
      </c>
      <c r="AX59">
        <v>0</v>
      </c>
      <c r="AY59">
        <v>5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5</v>
      </c>
      <c r="BG59">
        <v>2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2</v>
      </c>
      <c r="BO59">
        <v>0</v>
      </c>
      <c r="BP59">
        <v>0</v>
      </c>
      <c r="BQ59">
        <v>1</v>
      </c>
      <c r="BR59">
        <v>0</v>
      </c>
      <c r="BS59">
        <v>2</v>
      </c>
      <c r="BT59">
        <v>0</v>
      </c>
      <c r="BU59">
        <v>3</v>
      </c>
      <c r="BV59">
        <v>1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2</v>
      </c>
      <c r="CD59">
        <v>2</v>
      </c>
      <c r="CE59">
        <v>0</v>
      </c>
      <c r="CF59">
        <v>0</v>
      </c>
      <c r="CG59">
        <v>2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1</v>
      </c>
    </row>
    <row r="60" spans="1:201" x14ac:dyDescent="0.3">
      <c r="A60" t="s">
        <v>201</v>
      </c>
      <c r="B60" t="s">
        <v>221</v>
      </c>
      <c r="C60" t="s">
        <v>203</v>
      </c>
      <c r="D60" s="1">
        <v>1288</v>
      </c>
      <c r="E60">
        <v>206</v>
      </c>
      <c r="F60">
        <v>437</v>
      </c>
      <c r="G60">
        <v>139</v>
      </c>
      <c r="H60">
        <v>30</v>
      </c>
      <c r="I60">
        <v>29</v>
      </c>
      <c r="J60">
        <v>24</v>
      </c>
      <c r="K60">
        <v>39</v>
      </c>
      <c r="L60">
        <v>51</v>
      </c>
      <c r="M60">
        <v>56</v>
      </c>
      <c r="N60">
        <v>52</v>
      </c>
      <c r="O60">
        <v>35</v>
      </c>
      <c r="P60">
        <v>10</v>
      </c>
      <c r="Q60">
        <v>12</v>
      </c>
      <c r="R60">
        <v>48</v>
      </c>
      <c r="S60">
        <v>12</v>
      </c>
      <c r="T60">
        <v>6</v>
      </c>
      <c r="U60">
        <v>1</v>
      </c>
      <c r="V60">
        <v>31</v>
      </c>
      <c r="W60">
        <v>10</v>
      </c>
      <c r="X60">
        <v>4</v>
      </c>
      <c r="Y60">
        <v>3</v>
      </c>
      <c r="Z60">
        <v>1</v>
      </c>
      <c r="AA60">
        <v>6</v>
      </c>
      <c r="AB60">
        <v>2</v>
      </c>
      <c r="AC60">
        <v>6</v>
      </c>
      <c r="AD60">
        <v>0</v>
      </c>
      <c r="AE60">
        <v>0</v>
      </c>
      <c r="AF60">
        <v>13</v>
      </c>
      <c r="AG60">
        <v>0</v>
      </c>
      <c r="AH60">
        <v>1</v>
      </c>
      <c r="AI60">
        <v>0</v>
      </c>
      <c r="AJ60">
        <v>0</v>
      </c>
      <c r="AK60">
        <v>1</v>
      </c>
      <c r="AL60">
        <v>3</v>
      </c>
      <c r="AM60">
        <v>1</v>
      </c>
      <c r="AN60">
        <v>3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3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2</v>
      </c>
      <c r="BT60">
        <v>0</v>
      </c>
      <c r="BU60">
        <v>1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1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 x14ac:dyDescent="0.3">
      <c r="A61" t="s">
        <v>201</v>
      </c>
      <c r="B61" t="s">
        <v>221</v>
      </c>
      <c r="C61" t="s">
        <v>204</v>
      </c>
      <c r="D61" s="1">
        <v>1583</v>
      </c>
      <c r="E61">
        <v>376</v>
      </c>
      <c r="F61">
        <v>452</v>
      </c>
      <c r="G61">
        <v>294</v>
      </c>
      <c r="H61">
        <v>16</v>
      </c>
      <c r="I61">
        <v>10</v>
      </c>
      <c r="J61">
        <v>17</v>
      </c>
      <c r="K61">
        <v>5</v>
      </c>
      <c r="L61">
        <v>24</v>
      </c>
      <c r="M61">
        <v>82</v>
      </c>
      <c r="N61">
        <v>37</v>
      </c>
      <c r="O61">
        <v>58</v>
      </c>
      <c r="P61">
        <v>15</v>
      </c>
      <c r="Q61">
        <v>0</v>
      </c>
      <c r="R61">
        <v>16</v>
      </c>
      <c r="S61">
        <v>58</v>
      </c>
      <c r="T61">
        <v>9</v>
      </c>
      <c r="U61">
        <v>3</v>
      </c>
      <c r="V61">
        <v>5</v>
      </c>
      <c r="W61">
        <v>18</v>
      </c>
      <c r="X61">
        <v>5</v>
      </c>
      <c r="Y61">
        <v>6</v>
      </c>
      <c r="Z61">
        <v>4</v>
      </c>
      <c r="AA61">
        <v>3</v>
      </c>
      <c r="AB61">
        <v>4</v>
      </c>
      <c r="AC61">
        <v>4</v>
      </c>
      <c r="AD61">
        <v>2</v>
      </c>
      <c r="AE61">
        <v>0</v>
      </c>
      <c r="AF61">
        <v>6</v>
      </c>
      <c r="AG61">
        <v>2</v>
      </c>
      <c r="AH61">
        <v>2</v>
      </c>
      <c r="AI61">
        <v>1</v>
      </c>
      <c r="AJ61">
        <v>0</v>
      </c>
      <c r="AK61">
        <v>0</v>
      </c>
      <c r="AL61">
        <v>4</v>
      </c>
      <c r="AM61">
        <v>4</v>
      </c>
      <c r="AN61">
        <v>1</v>
      </c>
      <c r="AO61">
        <v>0</v>
      </c>
      <c r="AP61">
        <v>0</v>
      </c>
      <c r="AQ61">
        <v>3</v>
      </c>
      <c r="AR61">
        <v>0</v>
      </c>
      <c r="AS61">
        <v>7</v>
      </c>
      <c r="AT61">
        <v>4</v>
      </c>
      <c r="AU61">
        <v>0</v>
      </c>
      <c r="AV61">
        <v>1</v>
      </c>
      <c r="AW61">
        <v>1</v>
      </c>
      <c r="AX61">
        <v>0</v>
      </c>
      <c r="AY61">
        <v>4</v>
      </c>
      <c r="AZ61">
        <v>0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2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2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2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1</v>
      </c>
      <c r="CE61">
        <v>0</v>
      </c>
      <c r="CF61">
        <v>0</v>
      </c>
      <c r="CG61">
        <v>2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1</v>
      </c>
    </row>
    <row r="62" spans="1:201" x14ac:dyDescent="0.3">
      <c r="A62" t="s">
        <v>201</v>
      </c>
      <c r="B62" t="s">
        <v>222</v>
      </c>
      <c r="C62" t="s">
        <v>200</v>
      </c>
      <c r="D62" s="1">
        <v>10762</v>
      </c>
      <c r="E62">
        <v>872</v>
      </c>
      <c r="F62" s="1">
        <v>5592</v>
      </c>
      <c r="G62" s="1">
        <v>2161</v>
      </c>
      <c r="H62">
        <v>197</v>
      </c>
      <c r="I62">
        <v>175</v>
      </c>
      <c r="J62">
        <v>105</v>
      </c>
      <c r="K62">
        <v>50</v>
      </c>
      <c r="L62">
        <v>153</v>
      </c>
      <c r="M62">
        <v>155</v>
      </c>
      <c r="N62">
        <v>157</v>
      </c>
      <c r="O62">
        <v>258</v>
      </c>
      <c r="P62">
        <v>78</v>
      </c>
      <c r="Q62">
        <v>34</v>
      </c>
      <c r="R62">
        <v>38</v>
      </c>
      <c r="S62">
        <v>145</v>
      </c>
      <c r="T62">
        <v>70</v>
      </c>
      <c r="U62">
        <v>22</v>
      </c>
      <c r="V62">
        <v>48</v>
      </c>
      <c r="W62">
        <v>63</v>
      </c>
      <c r="X62">
        <v>112</v>
      </c>
      <c r="Y62">
        <v>10</v>
      </c>
      <c r="Z62">
        <v>31</v>
      </c>
      <c r="AA62">
        <v>12</v>
      </c>
      <c r="AB62">
        <v>2</v>
      </c>
      <c r="AC62">
        <v>21</v>
      </c>
      <c r="AD62">
        <v>17</v>
      </c>
      <c r="AE62">
        <v>0</v>
      </c>
      <c r="AF62">
        <v>20</v>
      </c>
      <c r="AG62">
        <v>10</v>
      </c>
      <c r="AH62">
        <v>4</v>
      </c>
      <c r="AI62">
        <v>4</v>
      </c>
      <c r="AJ62">
        <v>3</v>
      </c>
      <c r="AK62">
        <v>3</v>
      </c>
      <c r="AL62">
        <v>8</v>
      </c>
      <c r="AM62">
        <v>6</v>
      </c>
      <c r="AN62">
        <v>12</v>
      </c>
      <c r="AO62">
        <v>13</v>
      </c>
      <c r="AP62">
        <v>0</v>
      </c>
      <c r="AQ62">
        <v>10</v>
      </c>
      <c r="AR62">
        <v>4</v>
      </c>
      <c r="AS62">
        <v>11</v>
      </c>
      <c r="AT62">
        <v>2</v>
      </c>
      <c r="AU62">
        <v>8</v>
      </c>
      <c r="AV62">
        <v>0</v>
      </c>
      <c r="AW62">
        <v>3</v>
      </c>
      <c r="AX62">
        <v>1</v>
      </c>
      <c r="AY62">
        <v>10</v>
      </c>
      <c r="AZ62">
        <v>0</v>
      </c>
      <c r="BA62">
        <v>2</v>
      </c>
      <c r="BB62">
        <v>1</v>
      </c>
      <c r="BC62">
        <v>2</v>
      </c>
      <c r="BD62">
        <v>0</v>
      </c>
      <c r="BE62">
        <v>0</v>
      </c>
      <c r="BF62">
        <v>0</v>
      </c>
      <c r="BG62">
        <v>2</v>
      </c>
      <c r="BH62">
        <v>5</v>
      </c>
      <c r="BI62">
        <v>1</v>
      </c>
      <c r="BJ62">
        <v>0</v>
      </c>
      <c r="BK62">
        <v>0</v>
      </c>
      <c r="BL62">
        <v>1</v>
      </c>
      <c r="BM62">
        <v>3</v>
      </c>
      <c r="BN62">
        <v>2</v>
      </c>
      <c r="BO62">
        <v>0</v>
      </c>
      <c r="BP62">
        <v>0</v>
      </c>
      <c r="BQ62">
        <v>5</v>
      </c>
      <c r="BR62">
        <v>0</v>
      </c>
      <c r="BS62">
        <v>1</v>
      </c>
      <c r="BT62">
        <v>2</v>
      </c>
      <c r="BU62">
        <v>0</v>
      </c>
      <c r="BV62">
        <v>1</v>
      </c>
      <c r="BW62">
        <v>0</v>
      </c>
      <c r="BX62">
        <v>1</v>
      </c>
      <c r="BY62">
        <v>0</v>
      </c>
      <c r="BZ62">
        <v>1</v>
      </c>
      <c r="CA62">
        <v>3</v>
      </c>
      <c r="CB62">
        <v>0</v>
      </c>
      <c r="CC62">
        <v>2</v>
      </c>
      <c r="CD62">
        <v>0</v>
      </c>
      <c r="CE62">
        <v>1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1</v>
      </c>
      <c r="CV62">
        <v>1</v>
      </c>
      <c r="CW62">
        <v>0</v>
      </c>
      <c r="CX62">
        <v>0</v>
      </c>
      <c r="CY62">
        <v>0</v>
      </c>
      <c r="CZ62">
        <v>2</v>
      </c>
      <c r="DA62">
        <v>0</v>
      </c>
      <c r="DB62">
        <v>1</v>
      </c>
      <c r="DC62">
        <v>0</v>
      </c>
      <c r="DD62">
        <v>1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</v>
      </c>
    </row>
    <row r="63" spans="1:201" x14ac:dyDescent="0.3">
      <c r="A63" t="s">
        <v>201</v>
      </c>
      <c r="B63" t="s">
        <v>222</v>
      </c>
      <c r="C63" t="s">
        <v>203</v>
      </c>
      <c r="D63" s="1">
        <v>5353</v>
      </c>
      <c r="E63">
        <v>306</v>
      </c>
      <c r="F63" s="1">
        <v>3215</v>
      </c>
      <c r="G63">
        <v>769</v>
      </c>
      <c r="H63">
        <v>126</v>
      </c>
      <c r="I63">
        <v>92</v>
      </c>
      <c r="J63">
        <v>63</v>
      </c>
      <c r="K63">
        <v>27</v>
      </c>
      <c r="L63">
        <v>111</v>
      </c>
      <c r="M63">
        <v>62</v>
      </c>
      <c r="N63">
        <v>34</v>
      </c>
      <c r="O63">
        <v>108</v>
      </c>
      <c r="P63">
        <v>48</v>
      </c>
      <c r="Q63">
        <v>24</v>
      </c>
      <c r="R63">
        <v>27</v>
      </c>
      <c r="S63">
        <v>12</v>
      </c>
      <c r="T63">
        <v>34</v>
      </c>
      <c r="U63">
        <v>14</v>
      </c>
      <c r="V63">
        <v>34</v>
      </c>
      <c r="W63">
        <v>24</v>
      </c>
      <c r="X63">
        <v>90</v>
      </c>
      <c r="Y63">
        <v>3</v>
      </c>
      <c r="Z63">
        <v>17</v>
      </c>
      <c r="AA63">
        <v>6</v>
      </c>
      <c r="AB63">
        <v>0</v>
      </c>
      <c r="AC63">
        <v>11</v>
      </c>
      <c r="AD63">
        <v>3</v>
      </c>
      <c r="AE63">
        <v>0</v>
      </c>
      <c r="AF63">
        <v>14</v>
      </c>
      <c r="AG63">
        <v>3</v>
      </c>
      <c r="AH63">
        <v>1</v>
      </c>
      <c r="AI63">
        <v>3</v>
      </c>
      <c r="AJ63">
        <v>1</v>
      </c>
      <c r="AK63">
        <v>2</v>
      </c>
      <c r="AL63">
        <v>2</v>
      </c>
      <c r="AM63">
        <v>0</v>
      </c>
      <c r="AN63">
        <v>5</v>
      </c>
      <c r="AO63">
        <v>13</v>
      </c>
      <c r="AP63">
        <v>0</v>
      </c>
      <c r="AQ63">
        <v>3</v>
      </c>
      <c r="AR63">
        <v>1</v>
      </c>
      <c r="AS63">
        <v>7</v>
      </c>
      <c r="AT63">
        <v>2</v>
      </c>
      <c r="AU63">
        <v>4</v>
      </c>
      <c r="AV63">
        <v>0</v>
      </c>
      <c r="AW63">
        <v>2</v>
      </c>
      <c r="AX63">
        <v>1</v>
      </c>
      <c r="AY63">
        <v>7</v>
      </c>
      <c r="AZ63">
        <v>0</v>
      </c>
      <c r="BA63">
        <v>1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2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3</v>
      </c>
      <c r="BN63">
        <v>0</v>
      </c>
      <c r="BO63">
        <v>0</v>
      </c>
      <c r="BP63">
        <v>0</v>
      </c>
      <c r="BQ63">
        <v>2</v>
      </c>
      <c r="BR63">
        <v>0</v>
      </c>
      <c r="BS63">
        <v>1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 x14ac:dyDescent="0.3">
      <c r="A64" t="s">
        <v>201</v>
      </c>
      <c r="B64" t="s">
        <v>222</v>
      </c>
      <c r="C64" t="s">
        <v>204</v>
      </c>
      <c r="D64" s="1">
        <v>5409</v>
      </c>
      <c r="E64">
        <v>566</v>
      </c>
      <c r="F64" s="1">
        <v>2377</v>
      </c>
      <c r="G64" s="1">
        <v>1392</v>
      </c>
      <c r="H64">
        <v>71</v>
      </c>
      <c r="I64">
        <v>83</v>
      </c>
      <c r="J64">
        <v>42</v>
      </c>
      <c r="K64">
        <v>23</v>
      </c>
      <c r="L64">
        <v>42</v>
      </c>
      <c r="M64">
        <v>93</v>
      </c>
      <c r="N64">
        <v>123</v>
      </c>
      <c r="O64">
        <v>150</v>
      </c>
      <c r="P64">
        <v>30</v>
      </c>
      <c r="Q64">
        <v>10</v>
      </c>
      <c r="R64">
        <v>11</v>
      </c>
      <c r="S64">
        <v>133</v>
      </c>
      <c r="T64">
        <v>36</v>
      </c>
      <c r="U64">
        <v>8</v>
      </c>
      <c r="V64">
        <v>14</v>
      </c>
      <c r="W64">
        <v>39</v>
      </c>
      <c r="X64">
        <v>22</v>
      </c>
      <c r="Y64">
        <v>7</v>
      </c>
      <c r="Z64">
        <v>14</v>
      </c>
      <c r="AA64">
        <v>6</v>
      </c>
      <c r="AB64">
        <v>2</v>
      </c>
      <c r="AC64">
        <v>10</v>
      </c>
      <c r="AD64">
        <v>14</v>
      </c>
      <c r="AE64">
        <v>0</v>
      </c>
      <c r="AF64">
        <v>6</v>
      </c>
      <c r="AG64">
        <v>7</v>
      </c>
      <c r="AH64">
        <v>3</v>
      </c>
      <c r="AI64">
        <v>1</v>
      </c>
      <c r="AJ64">
        <v>2</v>
      </c>
      <c r="AK64">
        <v>1</v>
      </c>
      <c r="AL64">
        <v>6</v>
      </c>
      <c r="AM64">
        <v>6</v>
      </c>
      <c r="AN64">
        <v>7</v>
      </c>
      <c r="AO64">
        <v>0</v>
      </c>
      <c r="AP64">
        <v>0</v>
      </c>
      <c r="AQ64">
        <v>7</v>
      </c>
      <c r="AR64">
        <v>3</v>
      </c>
      <c r="AS64">
        <v>4</v>
      </c>
      <c r="AT64">
        <v>0</v>
      </c>
      <c r="AU64">
        <v>4</v>
      </c>
      <c r="AV64">
        <v>0</v>
      </c>
      <c r="AW64">
        <v>1</v>
      </c>
      <c r="AX64">
        <v>0</v>
      </c>
      <c r="AY64">
        <v>3</v>
      </c>
      <c r="AZ64">
        <v>0</v>
      </c>
      <c r="BA64">
        <v>1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4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0</v>
      </c>
      <c r="BP64">
        <v>0</v>
      </c>
      <c r="BQ64">
        <v>3</v>
      </c>
      <c r="BR64">
        <v>0</v>
      </c>
      <c r="BS64">
        <v>0</v>
      </c>
      <c r="BT64">
        <v>1</v>
      </c>
      <c r="BU64">
        <v>0</v>
      </c>
      <c r="BV64">
        <v>1</v>
      </c>
      <c r="BW64">
        <v>0</v>
      </c>
      <c r="BX64">
        <v>1</v>
      </c>
      <c r="BY64">
        <v>0</v>
      </c>
      <c r="BZ64">
        <v>0</v>
      </c>
      <c r="CA64">
        <v>1</v>
      </c>
      <c r="CB64">
        <v>0</v>
      </c>
      <c r="CC64">
        <v>2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1</v>
      </c>
      <c r="CV64">
        <v>1</v>
      </c>
      <c r="CW64">
        <v>0</v>
      </c>
      <c r="CX64">
        <v>0</v>
      </c>
      <c r="CY64">
        <v>0</v>
      </c>
      <c r="CZ64">
        <v>2</v>
      </c>
      <c r="DA64">
        <v>0</v>
      </c>
      <c r="DB64">
        <v>0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1</v>
      </c>
    </row>
    <row r="65" spans="1:201" x14ac:dyDescent="0.3">
      <c r="A65" t="s">
        <v>201</v>
      </c>
      <c r="B65" t="s">
        <v>223</v>
      </c>
      <c r="C65" t="s">
        <v>200</v>
      </c>
      <c r="D65" s="1">
        <v>9505</v>
      </c>
      <c r="E65" s="1">
        <v>2295</v>
      </c>
      <c r="F65" s="1">
        <v>1038</v>
      </c>
      <c r="G65" s="1">
        <v>1965</v>
      </c>
      <c r="H65">
        <v>271</v>
      </c>
      <c r="I65">
        <v>276</v>
      </c>
      <c r="J65">
        <v>62</v>
      </c>
      <c r="K65">
        <v>92</v>
      </c>
      <c r="L65">
        <v>366</v>
      </c>
      <c r="M65">
        <v>79</v>
      </c>
      <c r="N65">
        <v>94</v>
      </c>
      <c r="O65">
        <v>198</v>
      </c>
      <c r="P65">
        <v>330</v>
      </c>
      <c r="Q65">
        <v>23</v>
      </c>
      <c r="R65">
        <v>171</v>
      </c>
      <c r="S65">
        <v>322</v>
      </c>
      <c r="T65">
        <v>107</v>
      </c>
      <c r="U65">
        <v>37</v>
      </c>
      <c r="V65">
        <v>173</v>
      </c>
      <c r="W65">
        <v>159</v>
      </c>
      <c r="X65">
        <v>549</v>
      </c>
      <c r="Y65">
        <v>10</v>
      </c>
      <c r="Z65">
        <v>31</v>
      </c>
      <c r="AA65">
        <v>55</v>
      </c>
      <c r="AB65">
        <v>62</v>
      </c>
      <c r="AC65">
        <v>51</v>
      </c>
      <c r="AD65">
        <v>90</v>
      </c>
      <c r="AE65">
        <v>0</v>
      </c>
      <c r="AF65">
        <v>52</v>
      </c>
      <c r="AG65">
        <v>20</v>
      </c>
      <c r="AH65">
        <v>52</v>
      </c>
      <c r="AI65">
        <v>9</v>
      </c>
      <c r="AJ65">
        <v>4</v>
      </c>
      <c r="AK65">
        <v>6</v>
      </c>
      <c r="AL65">
        <v>24</v>
      </c>
      <c r="AM65">
        <v>19</v>
      </c>
      <c r="AN65">
        <v>20</v>
      </c>
      <c r="AO65">
        <v>6</v>
      </c>
      <c r="AP65">
        <v>3</v>
      </c>
      <c r="AQ65">
        <v>16</v>
      </c>
      <c r="AR65">
        <v>16</v>
      </c>
      <c r="AS65">
        <v>13</v>
      </c>
      <c r="AT65">
        <v>9</v>
      </c>
      <c r="AU65">
        <v>15</v>
      </c>
      <c r="AV65">
        <v>1</v>
      </c>
      <c r="AW65">
        <v>14</v>
      </c>
      <c r="AX65">
        <v>5</v>
      </c>
      <c r="AY65">
        <v>14</v>
      </c>
      <c r="AZ65">
        <v>2</v>
      </c>
      <c r="BA65">
        <v>9</v>
      </c>
      <c r="BB65">
        <v>0</v>
      </c>
      <c r="BC65">
        <v>21</v>
      </c>
      <c r="BD65">
        <v>0</v>
      </c>
      <c r="BE65">
        <v>37</v>
      </c>
      <c r="BF65">
        <v>28</v>
      </c>
      <c r="BG65">
        <v>12</v>
      </c>
      <c r="BH65">
        <v>13</v>
      </c>
      <c r="BI65">
        <v>0</v>
      </c>
      <c r="BJ65">
        <v>2</v>
      </c>
      <c r="BK65">
        <v>4</v>
      </c>
      <c r="BL65">
        <v>4</v>
      </c>
      <c r="BM65">
        <v>0</v>
      </c>
      <c r="BN65">
        <v>6</v>
      </c>
      <c r="BO65">
        <v>1</v>
      </c>
      <c r="BP65">
        <v>4</v>
      </c>
      <c r="BQ65">
        <v>1</v>
      </c>
      <c r="BR65">
        <v>10</v>
      </c>
      <c r="BS65">
        <v>8</v>
      </c>
      <c r="BT65">
        <v>0</v>
      </c>
      <c r="BU65">
        <v>5</v>
      </c>
      <c r="BV65">
        <v>3</v>
      </c>
      <c r="BW65">
        <v>3</v>
      </c>
      <c r="BX65">
        <v>1</v>
      </c>
      <c r="BY65">
        <v>0</v>
      </c>
      <c r="BZ65">
        <v>2</v>
      </c>
      <c r="CA65">
        <v>1</v>
      </c>
      <c r="CB65">
        <v>1</v>
      </c>
      <c r="CC65">
        <v>2</v>
      </c>
      <c r="CD65">
        <v>15</v>
      </c>
      <c r="CE65">
        <v>6</v>
      </c>
      <c r="CF65">
        <v>1</v>
      </c>
      <c r="CG65">
        <v>2</v>
      </c>
      <c r="CH65">
        <v>0</v>
      </c>
      <c r="CI65">
        <v>2</v>
      </c>
      <c r="CJ65">
        <v>13</v>
      </c>
      <c r="CK65">
        <v>2</v>
      </c>
      <c r="CL65">
        <v>0</v>
      </c>
      <c r="CM65">
        <v>3</v>
      </c>
      <c r="CN65">
        <v>0</v>
      </c>
      <c r="CO65">
        <v>1</v>
      </c>
      <c r="CP65">
        <v>2</v>
      </c>
      <c r="CQ65">
        <v>0</v>
      </c>
      <c r="CR65">
        <v>1</v>
      </c>
      <c r="CS65">
        <v>1</v>
      </c>
      <c r="CT65">
        <v>2</v>
      </c>
      <c r="CU65">
        <v>0</v>
      </c>
      <c r="CV65">
        <v>4</v>
      </c>
      <c r="CW65">
        <v>4</v>
      </c>
      <c r="CX65">
        <v>0</v>
      </c>
      <c r="CY65">
        <v>0</v>
      </c>
      <c r="CZ65">
        <v>2</v>
      </c>
      <c r="DA65">
        <v>8</v>
      </c>
      <c r="DB65">
        <v>0</v>
      </c>
      <c r="DC65">
        <v>1</v>
      </c>
      <c r="DD65">
        <v>1</v>
      </c>
      <c r="DE65">
        <v>0</v>
      </c>
      <c r="DF65">
        <v>0</v>
      </c>
      <c r="DG65">
        <v>2</v>
      </c>
      <c r="DH65">
        <v>1</v>
      </c>
      <c r="DI65">
        <v>6</v>
      </c>
      <c r="DJ65">
        <v>0</v>
      </c>
      <c r="DK65">
        <v>0</v>
      </c>
      <c r="DL65">
        <v>1</v>
      </c>
      <c r="DM65">
        <v>0</v>
      </c>
      <c r="DN65">
        <v>2</v>
      </c>
      <c r="DO65">
        <v>1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1</v>
      </c>
      <c r="DZ65">
        <v>0</v>
      </c>
      <c r="EA65">
        <v>5</v>
      </c>
      <c r="EB65">
        <v>0</v>
      </c>
      <c r="EC65">
        <v>0</v>
      </c>
      <c r="ED65">
        <v>0</v>
      </c>
      <c r="EE65">
        <v>0</v>
      </c>
      <c r="EF65">
        <v>2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1</v>
      </c>
      <c r="EW65">
        <v>0</v>
      </c>
      <c r="EX65">
        <v>0</v>
      </c>
      <c r="EY65">
        <v>0</v>
      </c>
      <c r="EZ65">
        <v>0</v>
      </c>
      <c r="FA65">
        <v>2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 x14ac:dyDescent="0.3">
      <c r="A66" t="s">
        <v>201</v>
      </c>
      <c r="B66" t="s">
        <v>223</v>
      </c>
      <c r="C66" t="s">
        <v>203</v>
      </c>
      <c r="D66" s="1">
        <v>4450</v>
      </c>
      <c r="E66">
        <v>795</v>
      </c>
      <c r="F66">
        <v>538</v>
      </c>
      <c r="G66">
        <v>956</v>
      </c>
      <c r="H66">
        <v>179</v>
      </c>
      <c r="I66">
        <v>201</v>
      </c>
      <c r="J66">
        <v>45</v>
      </c>
      <c r="K66">
        <v>35</v>
      </c>
      <c r="L66">
        <v>109</v>
      </c>
      <c r="M66">
        <v>32</v>
      </c>
      <c r="N66">
        <v>43</v>
      </c>
      <c r="O66">
        <v>86</v>
      </c>
      <c r="P66">
        <v>169</v>
      </c>
      <c r="Q66">
        <v>12</v>
      </c>
      <c r="R66">
        <v>125</v>
      </c>
      <c r="S66">
        <v>117</v>
      </c>
      <c r="T66">
        <v>53</v>
      </c>
      <c r="U66">
        <v>7</v>
      </c>
      <c r="V66">
        <v>112</v>
      </c>
      <c r="W66">
        <v>65</v>
      </c>
      <c r="X66">
        <v>327</v>
      </c>
      <c r="Y66">
        <v>8</v>
      </c>
      <c r="Z66">
        <v>18</v>
      </c>
      <c r="AA66">
        <v>25</v>
      </c>
      <c r="AB66">
        <v>35</v>
      </c>
      <c r="AC66">
        <v>27</v>
      </c>
      <c r="AD66">
        <v>26</v>
      </c>
      <c r="AE66">
        <v>0</v>
      </c>
      <c r="AF66">
        <v>28</v>
      </c>
      <c r="AG66">
        <v>3</v>
      </c>
      <c r="AH66">
        <v>32</v>
      </c>
      <c r="AI66">
        <v>3</v>
      </c>
      <c r="AJ66">
        <v>1</v>
      </c>
      <c r="AK66">
        <v>4</v>
      </c>
      <c r="AL66">
        <v>10</v>
      </c>
      <c r="AM66">
        <v>2</v>
      </c>
      <c r="AN66">
        <v>8</v>
      </c>
      <c r="AO66">
        <v>5</v>
      </c>
      <c r="AP66">
        <v>2</v>
      </c>
      <c r="AQ66">
        <v>5</v>
      </c>
      <c r="AR66">
        <v>12</v>
      </c>
      <c r="AS66">
        <v>3</v>
      </c>
      <c r="AT66">
        <v>5</v>
      </c>
      <c r="AU66">
        <v>3</v>
      </c>
      <c r="AV66">
        <v>1</v>
      </c>
      <c r="AW66">
        <v>8</v>
      </c>
      <c r="AX66">
        <v>3</v>
      </c>
      <c r="AY66">
        <v>7</v>
      </c>
      <c r="AZ66">
        <v>1</v>
      </c>
      <c r="BA66">
        <v>2</v>
      </c>
      <c r="BB66">
        <v>0</v>
      </c>
      <c r="BC66">
        <v>14</v>
      </c>
      <c r="BD66">
        <v>0</v>
      </c>
      <c r="BE66">
        <v>26</v>
      </c>
      <c r="BF66">
        <v>26</v>
      </c>
      <c r="BG66">
        <v>6</v>
      </c>
      <c r="BH66">
        <v>4</v>
      </c>
      <c r="BI66">
        <v>0</v>
      </c>
      <c r="BJ66">
        <v>0</v>
      </c>
      <c r="BK66">
        <v>4</v>
      </c>
      <c r="BL66">
        <v>3</v>
      </c>
      <c r="BM66">
        <v>0</v>
      </c>
      <c r="BN66">
        <v>2</v>
      </c>
      <c r="BO66">
        <v>1</v>
      </c>
      <c r="BP66">
        <v>1</v>
      </c>
      <c r="BQ66">
        <v>0</v>
      </c>
      <c r="BR66">
        <v>8</v>
      </c>
      <c r="BS66">
        <v>4</v>
      </c>
      <c r="BT66">
        <v>0</v>
      </c>
      <c r="BU66">
        <v>1</v>
      </c>
      <c r="BV66">
        <v>1</v>
      </c>
      <c r="BW66">
        <v>0</v>
      </c>
      <c r="BX66">
        <v>1</v>
      </c>
      <c r="BY66">
        <v>0</v>
      </c>
      <c r="BZ66">
        <v>2</v>
      </c>
      <c r="CA66">
        <v>1</v>
      </c>
      <c r="CB66">
        <v>1</v>
      </c>
      <c r="CC66">
        <v>0</v>
      </c>
      <c r="CD66">
        <v>8</v>
      </c>
      <c r="CE66">
        <v>4</v>
      </c>
      <c r="CF66">
        <v>0</v>
      </c>
      <c r="CG66">
        <v>1</v>
      </c>
      <c r="CH66">
        <v>0</v>
      </c>
      <c r="CI66">
        <v>1</v>
      </c>
      <c r="CJ66">
        <v>8</v>
      </c>
      <c r="CK66">
        <v>1</v>
      </c>
      <c r="CL66">
        <v>0</v>
      </c>
      <c r="CM66">
        <v>3</v>
      </c>
      <c r="CN66">
        <v>0</v>
      </c>
      <c r="CO66">
        <v>1</v>
      </c>
      <c r="CP66">
        <v>0</v>
      </c>
      <c r="CQ66">
        <v>0</v>
      </c>
      <c r="CR66">
        <v>1</v>
      </c>
      <c r="CS66">
        <v>0</v>
      </c>
      <c r="CT66">
        <v>1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5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4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2</v>
      </c>
      <c r="EB66">
        <v>0</v>
      </c>
      <c r="EC66">
        <v>0</v>
      </c>
      <c r="ED66">
        <v>0</v>
      </c>
      <c r="EE66">
        <v>0</v>
      </c>
      <c r="EF66">
        <v>2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0</v>
      </c>
      <c r="EX66">
        <v>0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 x14ac:dyDescent="0.3">
      <c r="A67" t="s">
        <v>201</v>
      </c>
      <c r="B67" t="s">
        <v>223</v>
      </c>
      <c r="C67" t="s">
        <v>204</v>
      </c>
      <c r="D67" s="1">
        <v>5055</v>
      </c>
      <c r="E67" s="1">
        <v>1500</v>
      </c>
      <c r="F67">
        <v>500</v>
      </c>
      <c r="G67" s="1">
        <v>1009</v>
      </c>
      <c r="H67">
        <v>92</v>
      </c>
      <c r="I67">
        <v>75</v>
      </c>
      <c r="J67">
        <v>17</v>
      </c>
      <c r="K67">
        <v>57</v>
      </c>
      <c r="L67">
        <v>257</v>
      </c>
      <c r="M67">
        <v>47</v>
      </c>
      <c r="N67">
        <v>51</v>
      </c>
      <c r="O67">
        <v>112</v>
      </c>
      <c r="P67">
        <v>161</v>
      </c>
      <c r="Q67">
        <v>11</v>
      </c>
      <c r="R67">
        <v>46</v>
      </c>
      <c r="S67">
        <v>205</v>
      </c>
      <c r="T67">
        <v>54</v>
      </c>
      <c r="U67">
        <v>30</v>
      </c>
      <c r="V67">
        <v>61</v>
      </c>
      <c r="W67">
        <v>94</v>
      </c>
      <c r="X67">
        <v>222</v>
      </c>
      <c r="Y67">
        <v>2</v>
      </c>
      <c r="Z67">
        <v>13</v>
      </c>
      <c r="AA67">
        <v>30</v>
      </c>
      <c r="AB67">
        <v>27</v>
      </c>
      <c r="AC67">
        <v>24</v>
      </c>
      <c r="AD67">
        <v>64</v>
      </c>
      <c r="AE67">
        <v>0</v>
      </c>
      <c r="AF67">
        <v>24</v>
      </c>
      <c r="AG67">
        <v>17</v>
      </c>
      <c r="AH67">
        <v>20</v>
      </c>
      <c r="AI67">
        <v>6</v>
      </c>
      <c r="AJ67">
        <v>3</v>
      </c>
      <c r="AK67">
        <v>2</v>
      </c>
      <c r="AL67">
        <v>14</v>
      </c>
      <c r="AM67">
        <v>17</v>
      </c>
      <c r="AN67">
        <v>12</v>
      </c>
      <c r="AO67">
        <v>1</v>
      </c>
      <c r="AP67">
        <v>1</v>
      </c>
      <c r="AQ67">
        <v>11</v>
      </c>
      <c r="AR67">
        <v>4</v>
      </c>
      <c r="AS67">
        <v>10</v>
      </c>
      <c r="AT67">
        <v>4</v>
      </c>
      <c r="AU67">
        <v>12</v>
      </c>
      <c r="AV67">
        <v>0</v>
      </c>
      <c r="AW67">
        <v>6</v>
      </c>
      <c r="AX67">
        <v>2</v>
      </c>
      <c r="AY67">
        <v>7</v>
      </c>
      <c r="AZ67">
        <v>1</v>
      </c>
      <c r="BA67">
        <v>7</v>
      </c>
      <c r="BB67">
        <v>0</v>
      </c>
      <c r="BC67">
        <v>7</v>
      </c>
      <c r="BD67">
        <v>0</v>
      </c>
      <c r="BE67">
        <v>11</v>
      </c>
      <c r="BF67">
        <v>2</v>
      </c>
      <c r="BG67">
        <v>6</v>
      </c>
      <c r="BH67">
        <v>9</v>
      </c>
      <c r="BI67">
        <v>0</v>
      </c>
      <c r="BJ67">
        <v>2</v>
      </c>
      <c r="BK67">
        <v>0</v>
      </c>
      <c r="BL67">
        <v>1</v>
      </c>
      <c r="BM67">
        <v>0</v>
      </c>
      <c r="BN67">
        <v>4</v>
      </c>
      <c r="BO67">
        <v>0</v>
      </c>
      <c r="BP67">
        <v>3</v>
      </c>
      <c r="BQ67">
        <v>1</v>
      </c>
      <c r="BR67">
        <v>2</v>
      </c>
      <c r="BS67">
        <v>4</v>
      </c>
      <c r="BT67">
        <v>0</v>
      </c>
      <c r="BU67">
        <v>4</v>
      </c>
      <c r="BV67">
        <v>2</v>
      </c>
      <c r="BW67">
        <v>3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2</v>
      </c>
      <c r="CD67">
        <v>7</v>
      </c>
      <c r="CE67">
        <v>2</v>
      </c>
      <c r="CF67">
        <v>1</v>
      </c>
      <c r="CG67">
        <v>1</v>
      </c>
      <c r="CH67">
        <v>0</v>
      </c>
      <c r="CI67">
        <v>1</v>
      </c>
      <c r="CJ67">
        <v>5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2</v>
      </c>
      <c r="CQ67">
        <v>0</v>
      </c>
      <c r="CR67">
        <v>0</v>
      </c>
      <c r="CS67">
        <v>1</v>
      </c>
      <c r="CT67">
        <v>1</v>
      </c>
      <c r="CU67">
        <v>0</v>
      </c>
      <c r="CV67">
        <v>4</v>
      </c>
      <c r="CW67">
        <v>3</v>
      </c>
      <c r="CX67">
        <v>0</v>
      </c>
      <c r="CY67">
        <v>0</v>
      </c>
      <c r="CZ67">
        <v>2</v>
      </c>
      <c r="DA67">
        <v>3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1</v>
      </c>
      <c r="DH67">
        <v>0</v>
      </c>
      <c r="DI67">
        <v>2</v>
      </c>
      <c r="DJ67">
        <v>0</v>
      </c>
      <c r="DK67">
        <v>0</v>
      </c>
      <c r="DL67">
        <v>1</v>
      </c>
      <c r="DM67">
        <v>0</v>
      </c>
      <c r="DN67">
        <v>2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3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 x14ac:dyDescent="0.3">
      <c r="A68" t="s">
        <v>201</v>
      </c>
      <c r="B68" t="s">
        <v>224</v>
      </c>
      <c r="C68" t="s">
        <v>200</v>
      </c>
      <c r="D68" s="1">
        <v>7890</v>
      </c>
      <c r="E68" s="1">
        <v>2294</v>
      </c>
      <c r="F68" s="1">
        <v>2411</v>
      </c>
      <c r="G68" s="1">
        <v>1451</v>
      </c>
      <c r="H68">
        <v>42</v>
      </c>
      <c r="I68">
        <v>60</v>
      </c>
      <c r="J68">
        <v>26</v>
      </c>
      <c r="K68">
        <v>64</v>
      </c>
      <c r="L68">
        <v>36</v>
      </c>
      <c r="M68">
        <v>84</v>
      </c>
      <c r="N68">
        <v>75</v>
      </c>
      <c r="O68">
        <v>189</v>
      </c>
      <c r="P68">
        <v>81</v>
      </c>
      <c r="Q68">
        <v>9</v>
      </c>
      <c r="R68">
        <v>21</v>
      </c>
      <c r="S68">
        <v>100</v>
      </c>
      <c r="T68">
        <v>38</v>
      </c>
      <c r="U68">
        <v>27</v>
      </c>
      <c r="V68">
        <v>157</v>
      </c>
      <c r="W68">
        <v>68</v>
      </c>
      <c r="X68">
        <v>165</v>
      </c>
      <c r="Y68">
        <v>13</v>
      </c>
      <c r="Z68">
        <v>16</v>
      </c>
      <c r="AA68">
        <v>8</v>
      </c>
      <c r="AB68">
        <v>83</v>
      </c>
      <c r="AC68">
        <v>18</v>
      </c>
      <c r="AD68">
        <v>30</v>
      </c>
      <c r="AE68">
        <v>0</v>
      </c>
      <c r="AF68">
        <v>21</v>
      </c>
      <c r="AG68">
        <v>16</v>
      </c>
      <c r="AH68">
        <v>7</v>
      </c>
      <c r="AI68">
        <v>17</v>
      </c>
      <c r="AJ68">
        <v>5</v>
      </c>
      <c r="AK68">
        <v>7</v>
      </c>
      <c r="AL68">
        <v>2</v>
      </c>
      <c r="AM68">
        <v>2</v>
      </c>
      <c r="AN68">
        <v>7</v>
      </c>
      <c r="AO68">
        <v>0</v>
      </c>
      <c r="AP68">
        <v>1</v>
      </c>
      <c r="AQ68">
        <v>5</v>
      </c>
      <c r="AR68">
        <v>33</v>
      </c>
      <c r="AS68">
        <v>21</v>
      </c>
      <c r="AT68">
        <v>3</v>
      </c>
      <c r="AU68">
        <v>18</v>
      </c>
      <c r="AV68">
        <v>7</v>
      </c>
      <c r="AW68">
        <v>10</v>
      </c>
      <c r="AX68">
        <v>8</v>
      </c>
      <c r="AY68">
        <v>8</v>
      </c>
      <c r="AZ68">
        <v>2</v>
      </c>
      <c r="BA68">
        <v>5</v>
      </c>
      <c r="BB68">
        <v>0</v>
      </c>
      <c r="BC68">
        <v>5</v>
      </c>
      <c r="BD68">
        <v>1</v>
      </c>
      <c r="BE68">
        <v>8</v>
      </c>
      <c r="BF68">
        <v>5</v>
      </c>
      <c r="BG68">
        <v>1</v>
      </c>
      <c r="BH68">
        <v>2</v>
      </c>
      <c r="BI68">
        <v>2</v>
      </c>
      <c r="BJ68">
        <v>0</v>
      </c>
      <c r="BK68">
        <v>0</v>
      </c>
      <c r="BL68">
        <v>7</v>
      </c>
      <c r="BM68">
        <v>1</v>
      </c>
      <c r="BN68">
        <v>5</v>
      </c>
      <c r="BO68">
        <v>4</v>
      </c>
      <c r="BP68">
        <v>5</v>
      </c>
      <c r="BQ68">
        <v>1</v>
      </c>
      <c r="BR68">
        <v>3</v>
      </c>
      <c r="BS68">
        <v>5</v>
      </c>
      <c r="BT68">
        <v>1</v>
      </c>
      <c r="BU68">
        <v>1</v>
      </c>
      <c r="BV68">
        <v>5</v>
      </c>
      <c r="BW68">
        <v>3</v>
      </c>
      <c r="BX68">
        <v>0</v>
      </c>
      <c r="BY68">
        <v>1</v>
      </c>
      <c r="BZ68">
        <v>2</v>
      </c>
      <c r="CA68">
        <v>4</v>
      </c>
      <c r="CB68">
        <v>1</v>
      </c>
      <c r="CC68">
        <v>2</v>
      </c>
      <c r="CD68">
        <v>0</v>
      </c>
      <c r="CE68">
        <v>5</v>
      </c>
      <c r="CF68">
        <v>2</v>
      </c>
      <c r="CG68">
        <v>1</v>
      </c>
      <c r="CH68">
        <v>1</v>
      </c>
      <c r="CI68">
        <v>1</v>
      </c>
      <c r="CJ68">
        <v>1</v>
      </c>
      <c r="CK68">
        <v>3</v>
      </c>
      <c r="CL68">
        <v>0</v>
      </c>
      <c r="CM68">
        <v>0</v>
      </c>
      <c r="CN68">
        <v>0</v>
      </c>
      <c r="CO68">
        <v>0</v>
      </c>
      <c r="CP68">
        <v>3</v>
      </c>
      <c r="CQ68">
        <v>1</v>
      </c>
      <c r="CR68">
        <v>1</v>
      </c>
      <c r="CS68">
        <v>2</v>
      </c>
      <c r="CT68">
        <v>1</v>
      </c>
      <c r="CU68">
        <v>0</v>
      </c>
      <c r="CV68">
        <v>3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3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0</v>
      </c>
      <c r="DJ68">
        <v>2</v>
      </c>
      <c r="DK68">
        <v>0</v>
      </c>
      <c r="DL68">
        <v>0</v>
      </c>
      <c r="DM68">
        <v>2</v>
      </c>
      <c r="DN68">
        <v>0</v>
      </c>
      <c r="DO68">
        <v>2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2</v>
      </c>
      <c r="EC68">
        <v>0</v>
      </c>
      <c r="ED68">
        <v>0</v>
      </c>
      <c r="EE68">
        <v>0</v>
      </c>
      <c r="EF68">
        <v>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 x14ac:dyDescent="0.3">
      <c r="A69" t="s">
        <v>201</v>
      </c>
      <c r="B69" t="s">
        <v>224</v>
      </c>
      <c r="C69" t="s">
        <v>203</v>
      </c>
      <c r="D69" s="1">
        <v>3883</v>
      </c>
      <c r="E69" s="1">
        <v>1052</v>
      </c>
      <c r="F69" s="1">
        <v>1344</v>
      </c>
      <c r="G69">
        <v>667</v>
      </c>
      <c r="H69">
        <v>23</v>
      </c>
      <c r="I69">
        <v>36</v>
      </c>
      <c r="J69">
        <v>13</v>
      </c>
      <c r="K69">
        <v>31</v>
      </c>
      <c r="L69">
        <v>21</v>
      </c>
      <c r="M69">
        <v>16</v>
      </c>
      <c r="N69">
        <v>18</v>
      </c>
      <c r="O69">
        <v>93</v>
      </c>
      <c r="P69">
        <v>44</v>
      </c>
      <c r="Q69">
        <v>3</v>
      </c>
      <c r="R69">
        <v>14</v>
      </c>
      <c r="S69">
        <v>7</v>
      </c>
      <c r="T69">
        <v>12</v>
      </c>
      <c r="U69">
        <v>11</v>
      </c>
      <c r="V69">
        <v>99</v>
      </c>
      <c r="W69">
        <v>32</v>
      </c>
      <c r="X69">
        <v>97</v>
      </c>
      <c r="Y69">
        <v>2</v>
      </c>
      <c r="Z69">
        <v>7</v>
      </c>
      <c r="AA69">
        <v>4</v>
      </c>
      <c r="AB69">
        <v>41</v>
      </c>
      <c r="AC69">
        <v>15</v>
      </c>
      <c r="AD69">
        <v>9</v>
      </c>
      <c r="AE69">
        <v>0</v>
      </c>
      <c r="AF69">
        <v>11</v>
      </c>
      <c r="AG69">
        <v>4</v>
      </c>
      <c r="AH69">
        <v>4</v>
      </c>
      <c r="AI69">
        <v>8</v>
      </c>
      <c r="AJ69">
        <v>3</v>
      </c>
      <c r="AK69">
        <v>4</v>
      </c>
      <c r="AL69">
        <v>1</v>
      </c>
      <c r="AM69">
        <v>2</v>
      </c>
      <c r="AN69">
        <v>7</v>
      </c>
      <c r="AO69">
        <v>0</v>
      </c>
      <c r="AP69">
        <v>0</v>
      </c>
      <c r="AQ69">
        <v>0</v>
      </c>
      <c r="AR69">
        <v>21</v>
      </c>
      <c r="AS69">
        <v>11</v>
      </c>
      <c r="AT69">
        <v>1</v>
      </c>
      <c r="AU69">
        <v>6</v>
      </c>
      <c r="AV69">
        <v>4</v>
      </c>
      <c r="AW69">
        <v>7</v>
      </c>
      <c r="AX69">
        <v>3</v>
      </c>
      <c r="AY69">
        <v>6</v>
      </c>
      <c r="AZ69">
        <v>2</v>
      </c>
      <c r="BA69">
        <v>4</v>
      </c>
      <c r="BB69">
        <v>0</v>
      </c>
      <c r="BC69">
        <v>3</v>
      </c>
      <c r="BD69">
        <v>0</v>
      </c>
      <c r="BE69">
        <v>5</v>
      </c>
      <c r="BF69">
        <v>4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2</v>
      </c>
      <c r="BM69">
        <v>0</v>
      </c>
      <c r="BN69">
        <v>3</v>
      </c>
      <c r="BO69">
        <v>2</v>
      </c>
      <c r="BP69">
        <v>4</v>
      </c>
      <c r="BQ69">
        <v>1</v>
      </c>
      <c r="BR69">
        <v>1</v>
      </c>
      <c r="BS69">
        <v>4</v>
      </c>
      <c r="BT69">
        <v>1</v>
      </c>
      <c r="BU69">
        <v>1</v>
      </c>
      <c r="BV69">
        <v>2</v>
      </c>
      <c r="BW69">
        <v>1</v>
      </c>
      <c r="BX69">
        <v>0</v>
      </c>
      <c r="BY69">
        <v>1</v>
      </c>
      <c r="BZ69">
        <v>2</v>
      </c>
      <c r="CA69">
        <v>2</v>
      </c>
      <c r="CB69">
        <v>0</v>
      </c>
      <c r="CC69">
        <v>1</v>
      </c>
      <c r="CD69">
        <v>0</v>
      </c>
      <c r="CE69">
        <v>1</v>
      </c>
      <c r="CF69">
        <v>2</v>
      </c>
      <c r="CG69">
        <v>0</v>
      </c>
      <c r="CH69">
        <v>0</v>
      </c>
      <c r="CI69">
        <v>0</v>
      </c>
      <c r="CJ69">
        <v>1</v>
      </c>
      <c r="CK69">
        <v>3</v>
      </c>
      <c r="CL69">
        <v>0</v>
      </c>
      <c r="CM69">
        <v>0</v>
      </c>
      <c r="CN69">
        <v>0</v>
      </c>
      <c r="CO69">
        <v>0</v>
      </c>
      <c r="CP69">
        <v>3</v>
      </c>
      <c r="CQ69">
        <v>1</v>
      </c>
      <c r="CR69">
        <v>1</v>
      </c>
      <c r="CS69">
        <v>0</v>
      </c>
      <c r="CT69">
        <v>1</v>
      </c>
      <c r="CU69">
        <v>0</v>
      </c>
      <c r="CV69">
        <v>2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 x14ac:dyDescent="0.3">
      <c r="A70" t="s">
        <v>201</v>
      </c>
      <c r="B70" t="s">
        <v>224</v>
      </c>
      <c r="C70" t="s">
        <v>204</v>
      </c>
      <c r="D70" s="1">
        <v>4007</v>
      </c>
      <c r="E70" s="1">
        <v>1242</v>
      </c>
      <c r="F70" s="1">
        <v>1067</v>
      </c>
      <c r="G70">
        <v>784</v>
      </c>
      <c r="H70">
        <v>19</v>
      </c>
      <c r="I70">
        <v>24</v>
      </c>
      <c r="J70">
        <v>13</v>
      </c>
      <c r="K70">
        <v>33</v>
      </c>
      <c r="L70">
        <v>15</v>
      </c>
      <c r="M70">
        <v>68</v>
      </c>
      <c r="N70">
        <v>57</v>
      </c>
      <c r="O70">
        <v>96</v>
      </c>
      <c r="P70">
        <v>37</v>
      </c>
      <c r="Q70">
        <v>6</v>
      </c>
      <c r="R70">
        <v>7</v>
      </c>
      <c r="S70">
        <v>93</v>
      </c>
      <c r="T70">
        <v>26</v>
      </c>
      <c r="U70">
        <v>16</v>
      </c>
      <c r="V70">
        <v>58</v>
      </c>
      <c r="W70">
        <v>36</v>
      </c>
      <c r="X70">
        <v>68</v>
      </c>
      <c r="Y70">
        <v>11</v>
      </c>
      <c r="Z70">
        <v>9</v>
      </c>
      <c r="AA70">
        <v>4</v>
      </c>
      <c r="AB70">
        <v>42</v>
      </c>
      <c r="AC70">
        <v>3</v>
      </c>
      <c r="AD70">
        <v>21</v>
      </c>
      <c r="AE70">
        <v>0</v>
      </c>
      <c r="AF70">
        <v>10</v>
      </c>
      <c r="AG70">
        <v>12</v>
      </c>
      <c r="AH70">
        <v>3</v>
      </c>
      <c r="AI70">
        <v>9</v>
      </c>
      <c r="AJ70">
        <v>2</v>
      </c>
      <c r="AK70">
        <v>3</v>
      </c>
      <c r="AL70">
        <v>1</v>
      </c>
      <c r="AM70">
        <v>0</v>
      </c>
      <c r="AN70">
        <v>0</v>
      </c>
      <c r="AO70">
        <v>0</v>
      </c>
      <c r="AP70">
        <v>1</v>
      </c>
      <c r="AQ70">
        <v>5</v>
      </c>
      <c r="AR70">
        <v>12</v>
      </c>
      <c r="AS70">
        <v>10</v>
      </c>
      <c r="AT70">
        <v>2</v>
      </c>
      <c r="AU70">
        <v>12</v>
      </c>
      <c r="AV70">
        <v>3</v>
      </c>
      <c r="AW70">
        <v>3</v>
      </c>
      <c r="AX70">
        <v>5</v>
      </c>
      <c r="AY70">
        <v>2</v>
      </c>
      <c r="AZ70">
        <v>0</v>
      </c>
      <c r="BA70">
        <v>1</v>
      </c>
      <c r="BB70">
        <v>0</v>
      </c>
      <c r="BC70">
        <v>2</v>
      </c>
      <c r="BD70">
        <v>1</v>
      </c>
      <c r="BE70">
        <v>3</v>
      </c>
      <c r="BF70">
        <v>1</v>
      </c>
      <c r="BG70">
        <v>0</v>
      </c>
      <c r="BH70">
        <v>1</v>
      </c>
      <c r="BI70">
        <v>1</v>
      </c>
      <c r="BJ70">
        <v>0</v>
      </c>
      <c r="BK70">
        <v>0</v>
      </c>
      <c r="BL70">
        <v>5</v>
      </c>
      <c r="BM70">
        <v>1</v>
      </c>
      <c r="BN70">
        <v>2</v>
      </c>
      <c r="BO70">
        <v>2</v>
      </c>
      <c r="BP70">
        <v>1</v>
      </c>
      <c r="BQ70">
        <v>0</v>
      </c>
      <c r="BR70">
        <v>2</v>
      </c>
      <c r="BS70">
        <v>1</v>
      </c>
      <c r="BT70">
        <v>0</v>
      </c>
      <c r="BU70">
        <v>0</v>
      </c>
      <c r="BV70">
        <v>3</v>
      </c>
      <c r="BW70">
        <v>2</v>
      </c>
      <c r="BX70">
        <v>0</v>
      </c>
      <c r="BY70">
        <v>0</v>
      </c>
      <c r="BZ70">
        <v>0</v>
      </c>
      <c r="CA70">
        <v>2</v>
      </c>
      <c r="CB70">
        <v>1</v>
      </c>
      <c r="CC70">
        <v>1</v>
      </c>
      <c r="CD70">
        <v>0</v>
      </c>
      <c r="CE70">
        <v>4</v>
      </c>
      <c r="CF70">
        <v>0</v>
      </c>
      <c r="CG70">
        <v>1</v>
      </c>
      <c r="CH70">
        <v>1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2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2</v>
      </c>
      <c r="DC70">
        <v>0</v>
      </c>
      <c r="DD70">
        <v>0</v>
      </c>
      <c r="DE70">
        <v>0</v>
      </c>
      <c r="DF70">
        <v>1</v>
      </c>
      <c r="DG70">
        <v>0</v>
      </c>
      <c r="DH70">
        <v>0</v>
      </c>
      <c r="DI70">
        <v>0</v>
      </c>
      <c r="DJ70">
        <v>2</v>
      </c>
      <c r="DK70">
        <v>0</v>
      </c>
      <c r="DL70">
        <v>0</v>
      </c>
      <c r="DM70">
        <v>1</v>
      </c>
      <c r="DN70">
        <v>0</v>
      </c>
      <c r="DO70">
        <v>2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2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 x14ac:dyDescent="0.3">
      <c r="A71" t="s">
        <v>201</v>
      </c>
      <c r="B71" t="s">
        <v>225</v>
      </c>
      <c r="C71" t="s">
        <v>200</v>
      </c>
      <c r="D71" s="1">
        <v>12659</v>
      </c>
      <c r="E71">
        <v>761</v>
      </c>
      <c r="F71" s="1">
        <v>7427</v>
      </c>
      <c r="G71" s="1">
        <v>2560</v>
      </c>
      <c r="H71">
        <v>371</v>
      </c>
      <c r="I71">
        <v>82</v>
      </c>
      <c r="J71">
        <v>96</v>
      </c>
      <c r="K71">
        <v>22</v>
      </c>
      <c r="L71">
        <v>196</v>
      </c>
      <c r="M71">
        <v>49</v>
      </c>
      <c r="N71">
        <v>56</v>
      </c>
      <c r="O71">
        <v>129</v>
      </c>
      <c r="P71">
        <v>69</v>
      </c>
      <c r="Q71">
        <v>5</v>
      </c>
      <c r="R71">
        <v>82</v>
      </c>
      <c r="S71">
        <v>109</v>
      </c>
      <c r="T71">
        <v>87</v>
      </c>
      <c r="U71">
        <v>21</v>
      </c>
      <c r="V71">
        <v>41</v>
      </c>
      <c r="W71">
        <v>85</v>
      </c>
      <c r="X71">
        <v>143</v>
      </c>
      <c r="Y71">
        <v>3</v>
      </c>
      <c r="Z71">
        <v>22</v>
      </c>
      <c r="AA71">
        <v>12</v>
      </c>
      <c r="AB71">
        <v>6</v>
      </c>
      <c r="AC71">
        <v>16</v>
      </c>
      <c r="AD71">
        <v>19</v>
      </c>
      <c r="AE71">
        <v>0</v>
      </c>
      <c r="AF71">
        <v>8</v>
      </c>
      <c r="AG71">
        <v>15</v>
      </c>
      <c r="AH71">
        <v>4</v>
      </c>
      <c r="AI71">
        <v>2</v>
      </c>
      <c r="AJ71">
        <v>3</v>
      </c>
      <c r="AK71">
        <v>5</v>
      </c>
      <c r="AL71">
        <v>2</v>
      </c>
      <c r="AM71">
        <v>5</v>
      </c>
      <c r="AN71">
        <v>2</v>
      </c>
      <c r="AO71">
        <v>0</v>
      </c>
      <c r="AP71">
        <v>0</v>
      </c>
      <c r="AQ71">
        <v>3</v>
      </c>
      <c r="AR71">
        <v>1</v>
      </c>
      <c r="AS71">
        <v>6</v>
      </c>
      <c r="AT71">
        <v>4</v>
      </c>
      <c r="AU71">
        <v>7</v>
      </c>
      <c r="AV71">
        <v>1</v>
      </c>
      <c r="AW71">
        <v>2</v>
      </c>
      <c r="AX71">
        <v>2</v>
      </c>
      <c r="AY71">
        <v>3</v>
      </c>
      <c r="AZ71">
        <v>18</v>
      </c>
      <c r="BA71">
        <v>0</v>
      </c>
      <c r="BB71">
        <v>0</v>
      </c>
      <c r="BC71">
        <v>2</v>
      </c>
      <c r="BD71">
        <v>0</v>
      </c>
      <c r="BE71">
        <v>30</v>
      </c>
      <c r="BF71">
        <v>4</v>
      </c>
      <c r="BG71">
        <v>1</v>
      </c>
      <c r="BH71">
        <v>8</v>
      </c>
      <c r="BI71">
        <v>0</v>
      </c>
      <c r="BJ71">
        <v>1</v>
      </c>
      <c r="BK71">
        <v>3</v>
      </c>
      <c r="BL71">
        <v>0</v>
      </c>
      <c r="BM71">
        <v>1</v>
      </c>
      <c r="BN71">
        <v>3</v>
      </c>
      <c r="BO71">
        <v>3</v>
      </c>
      <c r="BP71">
        <v>1</v>
      </c>
      <c r="BQ71">
        <v>1</v>
      </c>
      <c r="BR71">
        <v>3</v>
      </c>
      <c r="BS71">
        <v>0</v>
      </c>
      <c r="BT71">
        <v>2</v>
      </c>
      <c r="BU71">
        <v>4</v>
      </c>
      <c r="BV71">
        <v>2</v>
      </c>
      <c r="BW71">
        <v>1</v>
      </c>
      <c r="BX71">
        <v>1</v>
      </c>
      <c r="BY71">
        <v>0</v>
      </c>
      <c r="BZ71">
        <v>3</v>
      </c>
      <c r="CA71">
        <v>0</v>
      </c>
      <c r="CB71">
        <v>0</v>
      </c>
      <c r="CC71">
        <v>0</v>
      </c>
      <c r="CD71">
        <v>1</v>
      </c>
      <c r="CE71">
        <v>2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2</v>
      </c>
      <c r="CQ71">
        <v>6</v>
      </c>
      <c r="CR71">
        <v>2</v>
      </c>
      <c r="CS71">
        <v>2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1</v>
      </c>
      <c r="DJ71">
        <v>0</v>
      </c>
      <c r="DK71">
        <v>1</v>
      </c>
      <c r="DL71">
        <v>0</v>
      </c>
      <c r="DM71">
        <v>0</v>
      </c>
      <c r="DN71">
        <v>2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 x14ac:dyDescent="0.3">
      <c r="A72" t="s">
        <v>201</v>
      </c>
      <c r="B72" t="s">
        <v>225</v>
      </c>
      <c r="C72" t="s">
        <v>203</v>
      </c>
      <c r="D72" s="1">
        <v>6482</v>
      </c>
      <c r="E72">
        <v>222</v>
      </c>
      <c r="F72" s="1">
        <v>4304</v>
      </c>
      <c r="G72">
        <v>998</v>
      </c>
      <c r="H72">
        <v>227</v>
      </c>
      <c r="I72">
        <v>47</v>
      </c>
      <c r="J72">
        <v>60</v>
      </c>
      <c r="K72">
        <v>9</v>
      </c>
      <c r="L72">
        <v>85</v>
      </c>
      <c r="M72">
        <v>6</v>
      </c>
      <c r="N72">
        <v>8</v>
      </c>
      <c r="O72">
        <v>51</v>
      </c>
      <c r="P72">
        <v>36</v>
      </c>
      <c r="Q72">
        <v>4</v>
      </c>
      <c r="R72">
        <v>58</v>
      </c>
      <c r="S72">
        <v>24</v>
      </c>
      <c r="T72">
        <v>42</v>
      </c>
      <c r="U72">
        <v>5</v>
      </c>
      <c r="V72">
        <v>24</v>
      </c>
      <c r="W72">
        <v>47</v>
      </c>
      <c r="X72">
        <v>91</v>
      </c>
      <c r="Y72">
        <v>0</v>
      </c>
      <c r="Z72">
        <v>7</v>
      </c>
      <c r="AA72">
        <v>7</v>
      </c>
      <c r="AB72">
        <v>2</v>
      </c>
      <c r="AC72">
        <v>10</v>
      </c>
      <c r="AD72">
        <v>5</v>
      </c>
      <c r="AE72">
        <v>0</v>
      </c>
      <c r="AF72">
        <v>7</v>
      </c>
      <c r="AG72">
        <v>3</v>
      </c>
      <c r="AH72">
        <v>2</v>
      </c>
      <c r="AI72">
        <v>0</v>
      </c>
      <c r="AJ72">
        <v>1</v>
      </c>
      <c r="AK72">
        <v>5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5</v>
      </c>
      <c r="AT72">
        <v>0</v>
      </c>
      <c r="AU72">
        <v>2</v>
      </c>
      <c r="AV72">
        <v>0</v>
      </c>
      <c r="AW72">
        <v>1</v>
      </c>
      <c r="AX72">
        <v>2</v>
      </c>
      <c r="AY72">
        <v>1</v>
      </c>
      <c r="AZ72">
        <v>12</v>
      </c>
      <c r="BA72">
        <v>0</v>
      </c>
      <c r="BB72">
        <v>0</v>
      </c>
      <c r="BC72">
        <v>1</v>
      </c>
      <c r="BD72">
        <v>0</v>
      </c>
      <c r="BE72">
        <v>26</v>
      </c>
      <c r="BF72">
        <v>2</v>
      </c>
      <c r="BG72">
        <v>1</v>
      </c>
      <c r="BH72">
        <v>2</v>
      </c>
      <c r="BI72">
        <v>0</v>
      </c>
      <c r="BJ72">
        <v>1</v>
      </c>
      <c r="BK72">
        <v>0</v>
      </c>
      <c r="BL72">
        <v>0</v>
      </c>
      <c r="BM72">
        <v>1</v>
      </c>
      <c r="BN72">
        <v>0</v>
      </c>
      <c r="BO72">
        <v>2</v>
      </c>
      <c r="BP72">
        <v>0</v>
      </c>
      <c r="BQ72">
        <v>1</v>
      </c>
      <c r="BR72">
        <v>1</v>
      </c>
      <c r="BS72">
        <v>0</v>
      </c>
      <c r="BT72">
        <v>1</v>
      </c>
      <c r="BU72">
        <v>2</v>
      </c>
      <c r="BV72">
        <v>0</v>
      </c>
      <c r="BW72">
        <v>1</v>
      </c>
      <c r="BX72">
        <v>1</v>
      </c>
      <c r="BY72">
        <v>0</v>
      </c>
      <c r="BZ72">
        <v>3</v>
      </c>
      <c r="CA72">
        <v>0</v>
      </c>
      <c r="CB72">
        <v>0</v>
      </c>
      <c r="CC72">
        <v>0</v>
      </c>
      <c r="CD72">
        <v>0</v>
      </c>
      <c r="CE72">
        <v>2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5</v>
      </c>
      <c r="CR72">
        <v>2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 x14ac:dyDescent="0.3">
      <c r="A73" t="s">
        <v>201</v>
      </c>
      <c r="B73" t="s">
        <v>225</v>
      </c>
      <c r="C73" t="s">
        <v>204</v>
      </c>
      <c r="D73" s="1">
        <v>6177</v>
      </c>
      <c r="E73">
        <v>539</v>
      </c>
      <c r="F73" s="1">
        <v>3123</v>
      </c>
      <c r="G73" s="1">
        <v>1562</v>
      </c>
      <c r="H73">
        <v>144</v>
      </c>
      <c r="I73">
        <v>35</v>
      </c>
      <c r="J73">
        <v>36</v>
      </c>
      <c r="K73">
        <v>13</v>
      </c>
      <c r="L73">
        <v>111</v>
      </c>
      <c r="M73">
        <v>43</v>
      </c>
      <c r="N73">
        <v>48</v>
      </c>
      <c r="O73">
        <v>78</v>
      </c>
      <c r="P73">
        <v>33</v>
      </c>
      <c r="Q73">
        <v>1</v>
      </c>
      <c r="R73">
        <v>24</v>
      </c>
      <c r="S73">
        <v>85</v>
      </c>
      <c r="T73">
        <v>45</v>
      </c>
      <c r="U73">
        <v>16</v>
      </c>
      <c r="V73">
        <v>17</v>
      </c>
      <c r="W73">
        <v>38</v>
      </c>
      <c r="X73">
        <v>52</v>
      </c>
      <c r="Y73">
        <v>3</v>
      </c>
      <c r="Z73">
        <v>15</v>
      </c>
      <c r="AA73">
        <v>5</v>
      </c>
      <c r="AB73">
        <v>4</v>
      </c>
      <c r="AC73">
        <v>6</v>
      </c>
      <c r="AD73">
        <v>14</v>
      </c>
      <c r="AE73">
        <v>0</v>
      </c>
      <c r="AF73">
        <v>1</v>
      </c>
      <c r="AG73">
        <v>12</v>
      </c>
      <c r="AH73">
        <v>2</v>
      </c>
      <c r="AI73">
        <v>2</v>
      </c>
      <c r="AJ73">
        <v>2</v>
      </c>
      <c r="AK73">
        <v>0</v>
      </c>
      <c r="AL73">
        <v>1</v>
      </c>
      <c r="AM73">
        <v>5</v>
      </c>
      <c r="AN73">
        <v>2</v>
      </c>
      <c r="AO73">
        <v>0</v>
      </c>
      <c r="AP73">
        <v>0</v>
      </c>
      <c r="AQ73">
        <v>2</v>
      </c>
      <c r="AR73">
        <v>1</v>
      </c>
      <c r="AS73">
        <v>1</v>
      </c>
      <c r="AT73">
        <v>4</v>
      </c>
      <c r="AU73">
        <v>5</v>
      </c>
      <c r="AV73">
        <v>1</v>
      </c>
      <c r="AW73">
        <v>1</v>
      </c>
      <c r="AX73">
        <v>0</v>
      </c>
      <c r="AY73">
        <v>2</v>
      </c>
      <c r="AZ73">
        <v>6</v>
      </c>
      <c r="BA73">
        <v>0</v>
      </c>
      <c r="BB73">
        <v>0</v>
      </c>
      <c r="BC73">
        <v>1</v>
      </c>
      <c r="BD73">
        <v>0</v>
      </c>
      <c r="BE73">
        <v>4</v>
      </c>
      <c r="BF73">
        <v>2</v>
      </c>
      <c r="BG73">
        <v>0</v>
      </c>
      <c r="BH73">
        <v>6</v>
      </c>
      <c r="BI73">
        <v>0</v>
      </c>
      <c r="BJ73">
        <v>0</v>
      </c>
      <c r="BK73">
        <v>3</v>
      </c>
      <c r="BL73">
        <v>0</v>
      </c>
      <c r="BM73">
        <v>0</v>
      </c>
      <c r="BN73">
        <v>3</v>
      </c>
      <c r="BO73">
        <v>1</v>
      </c>
      <c r="BP73">
        <v>1</v>
      </c>
      <c r="BQ73">
        <v>0</v>
      </c>
      <c r="BR73">
        <v>2</v>
      </c>
      <c r="BS73">
        <v>0</v>
      </c>
      <c r="BT73">
        <v>1</v>
      </c>
      <c r="BU73">
        <v>2</v>
      </c>
      <c r="BV73">
        <v>2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2</v>
      </c>
      <c r="CQ73">
        <v>1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1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 x14ac:dyDescent="0.3">
      <c r="A74" t="s">
        <v>201</v>
      </c>
      <c r="B74" t="s">
        <v>226</v>
      </c>
      <c r="C74" t="s">
        <v>200</v>
      </c>
      <c r="D74" s="1">
        <v>42178</v>
      </c>
      <c r="E74" s="1">
        <v>5760</v>
      </c>
      <c r="F74" s="1">
        <v>17988</v>
      </c>
      <c r="G74" s="1">
        <v>7406</v>
      </c>
      <c r="H74" s="1">
        <v>1265</v>
      </c>
      <c r="I74">
        <v>754</v>
      </c>
      <c r="J74">
        <v>876</v>
      </c>
      <c r="K74" s="1">
        <v>1013</v>
      </c>
      <c r="L74" s="1">
        <v>1436</v>
      </c>
      <c r="M74">
        <v>962</v>
      </c>
      <c r="N74">
        <v>632</v>
      </c>
      <c r="O74">
        <v>717</v>
      </c>
      <c r="P74">
        <v>78</v>
      </c>
      <c r="Q74">
        <v>526</v>
      </c>
      <c r="R74" s="1">
        <v>1123</v>
      </c>
      <c r="S74">
        <v>201</v>
      </c>
      <c r="T74">
        <v>108</v>
      </c>
      <c r="U74">
        <v>143</v>
      </c>
      <c r="V74">
        <v>273</v>
      </c>
      <c r="W74">
        <v>61</v>
      </c>
      <c r="X74">
        <v>50</v>
      </c>
      <c r="Y74">
        <v>98</v>
      </c>
      <c r="Z74">
        <v>78</v>
      </c>
      <c r="AA74">
        <v>10</v>
      </c>
      <c r="AB74">
        <v>62</v>
      </c>
      <c r="AC74">
        <v>26</v>
      </c>
      <c r="AD74">
        <v>33</v>
      </c>
      <c r="AE74">
        <v>34</v>
      </c>
      <c r="AF74">
        <v>22</v>
      </c>
      <c r="AG74">
        <v>10</v>
      </c>
      <c r="AH74">
        <v>11</v>
      </c>
      <c r="AI74">
        <v>10</v>
      </c>
      <c r="AJ74">
        <v>16</v>
      </c>
      <c r="AK74">
        <v>19</v>
      </c>
      <c r="AL74">
        <v>12</v>
      </c>
      <c r="AM74">
        <v>15</v>
      </c>
      <c r="AN74">
        <v>7</v>
      </c>
      <c r="AO74">
        <v>4</v>
      </c>
      <c r="AP74">
        <v>13</v>
      </c>
      <c r="AQ74">
        <v>30</v>
      </c>
      <c r="AR74">
        <v>8</v>
      </c>
      <c r="AS74">
        <v>14</v>
      </c>
      <c r="AT74">
        <v>4</v>
      </c>
      <c r="AU74">
        <v>10</v>
      </c>
      <c r="AV74">
        <v>2</v>
      </c>
      <c r="AW74">
        <v>5</v>
      </c>
      <c r="AX74">
        <v>3</v>
      </c>
      <c r="AY74">
        <v>7</v>
      </c>
      <c r="AZ74">
        <v>15</v>
      </c>
      <c r="BA74">
        <v>3</v>
      </c>
      <c r="BB74">
        <v>1</v>
      </c>
      <c r="BC74">
        <v>5</v>
      </c>
      <c r="BD74">
        <v>6</v>
      </c>
      <c r="BE74">
        <v>7</v>
      </c>
      <c r="BF74">
        <v>34</v>
      </c>
      <c r="BG74">
        <v>7</v>
      </c>
      <c r="BH74">
        <v>1</v>
      </c>
      <c r="BI74">
        <v>4</v>
      </c>
      <c r="BJ74">
        <v>4</v>
      </c>
      <c r="BK74">
        <v>40</v>
      </c>
      <c r="BL74">
        <v>4</v>
      </c>
      <c r="BM74">
        <v>4</v>
      </c>
      <c r="BN74">
        <v>3</v>
      </c>
      <c r="BO74">
        <v>3</v>
      </c>
      <c r="BP74">
        <v>1</v>
      </c>
      <c r="BQ74">
        <v>25</v>
      </c>
      <c r="BR74">
        <v>3</v>
      </c>
      <c r="BS74">
        <v>1</v>
      </c>
      <c r="BT74">
        <v>0</v>
      </c>
      <c r="BU74">
        <v>2</v>
      </c>
      <c r="BV74">
        <v>4</v>
      </c>
      <c r="BW74">
        <v>2</v>
      </c>
      <c r="BX74">
        <v>1</v>
      </c>
      <c r="BY74">
        <v>9</v>
      </c>
      <c r="BZ74">
        <v>0</v>
      </c>
      <c r="CA74">
        <v>0</v>
      </c>
      <c r="CB74">
        <v>0</v>
      </c>
      <c r="CC74">
        <v>0</v>
      </c>
      <c r="CD74">
        <v>2</v>
      </c>
      <c r="CE74">
        <v>0</v>
      </c>
      <c r="CF74">
        <v>1</v>
      </c>
      <c r="CG74">
        <v>4</v>
      </c>
      <c r="CH74">
        <v>0</v>
      </c>
      <c r="CI74">
        <v>0</v>
      </c>
      <c r="CJ74">
        <v>2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1</v>
      </c>
      <c r="CV74">
        <v>2</v>
      </c>
      <c r="CW74">
        <v>1</v>
      </c>
      <c r="CX74">
        <v>0</v>
      </c>
      <c r="CY74">
        <v>1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3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0</v>
      </c>
      <c r="DL74">
        <v>1</v>
      </c>
      <c r="DM74">
        <v>0</v>
      </c>
      <c r="DN74">
        <v>0</v>
      </c>
      <c r="DO74">
        <v>4</v>
      </c>
      <c r="DP74">
        <v>5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1</v>
      </c>
      <c r="DY74">
        <v>2</v>
      </c>
      <c r="DZ74">
        <v>2</v>
      </c>
      <c r="EA74">
        <v>0</v>
      </c>
      <c r="EB74">
        <v>0</v>
      </c>
      <c r="EC74">
        <v>1</v>
      </c>
      <c r="ED74">
        <v>0</v>
      </c>
      <c r="EE74">
        <v>1</v>
      </c>
      <c r="EF74">
        <v>2</v>
      </c>
      <c r="EG74">
        <v>1</v>
      </c>
      <c r="EH74">
        <v>0</v>
      </c>
      <c r="EI74">
        <v>0</v>
      </c>
      <c r="EJ74">
        <v>0</v>
      </c>
      <c r="EK74">
        <v>5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5</v>
      </c>
    </row>
    <row r="75" spans="1:201" x14ac:dyDescent="0.3">
      <c r="A75" t="s">
        <v>201</v>
      </c>
      <c r="B75" t="s">
        <v>226</v>
      </c>
      <c r="C75" t="s">
        <v>203</v>
      </c>
      <c r="D75" s="1">
        <v>25186</v>
      </c>
      <c r="E75" s="1">
        <v>3342</v>
      </c>
      <c r="F75" s="1">
        <v>10708</v>
      </c>
      <c r="G75" s="1">
        <v>2821</v>
      </c>
      <c r="H75" s="1">
        <v>1054</v>
      </c>
      <c r="I75">
        <v>553</v>
      </c>
      <c r="J75">
        <v>763</v>
      </c>
      <c r="K75">
        <v>940</v>
      </c>
      <c r="L75" s="1">
        <v>1270</v>
      </c>
      <c r="M75">
        <v>701</v>
      </c>
      <c r="N75">
        <v>410</v>
      </c>
      <c r="O75">
        <v>351</v>
      </c>
      <c r="P75">
        <v>45</v>
      </c>
      <c r="Q75">
        <v>446</v>
      </c>
      <c r="R75">
        <v>873</v>
      </c>
      <c r="S75">
        <v>29</v>
      </c>
      <c r="T75">
        <v>28</v>
      </c>
      <c r="U75">
        <v>70</v>
      </c>
      <c r="V75">
        <v>221</v>
      </c>
      <c r="W75">
        <v>28</v>
      </c>
      <c r="X75">
        <v>38</v>
      </c>
      <c r="Y75">
        <v>72</v>
      </c>
      <c r="Z75">
        <v>51</v>
      </c>
      <c r="AA75">
        <v>4</v>
      </c>
      <c r="AB75">
        <v>43</v>
      </c>
      <c r="AC75">
        <v>17</v>
      </c>
      <c r="AD75">
        <v>10</v>
      </c>
      <c r="AE75">
        <v>34</v>
      </c>
      <c r="AF75">
        <v>12</v>
      </c>
      <c r="AG75">
        <v>4</v>
      </c>
      <c r="AH75">
        <v>5</v>
      </c>
      <c r="AI75">
        <v>10</v>
      </c>
      <c r="AJ75">
        <v>7</v>
      </c>
      <c r="AK75">
        <v>15</v>
      </c>
      <c r="AL75">
        <v>4</v>
      </c>
      <c r="AM75">
        <v>2</v>
      </c>
      <c r="AN75">
        <v>5</v>
      </c>
      <c r="AO75">
        <v>4</v>
      </c>
      <c r="AP75">
        <v>8</v>
      </c>
      <c r="AQ75">
        <v>16</v>
      </c>
      <c r="AR75">
        <v>5</v>
      </c>
      <c r="AS75">
        <v>4</v>
      </c>
      <c r="AT75">
        <v>0</v>
      </c>
      <c r="AU75">
        <v>4</v>
      </c>
      <c r="AV75">
        <v>2</v>
      </c>
      <c r="AW75">
        <v>2</v>
      </c>
      <c r="AX75">
        <v>3</v>
      </c>
      <c r="AY75">
        <v>1</v>
      </c>
      <c r="AZ75">
        <v>6</v>
      </c>
      <c r="BA75">
        <v>1</v>
      </c>
      <c r="BB75">
        <v>1</v>
      </c>
      <c r="BC75">
        <v>2</v>
      </c>
      <c r="BD75">
        <v>6</v>
      </c>
      <c r="BE75">
        <v>3</v>
      </c>
      <c r="BF75">
        <v>28</v>
      </c>
      <c r="BG75">
        <v>5</v>
      </c>
      <c r="BH75">
        <v>0</v>
      </c>
      <c r="BI75">
        <v>2</v>
      </c>
      <c r="BJ75">
        <v>1</v>
      </c>
      <c r="BK75">
        <v>31</v>
      </c>
      <c r="BL75">
        <v>4</v>
      </c>
      <c r="BM75">
        <v>3</v>
      </c>
      <c r="BN75">
        <v>1</v>
      </c>
      <c r="BO75">
        <v>3</v>
      </c>
      <c r="BP75">
        <v>1</v>
      </c>
      <c r="BQ75">
        <v>17</v>
      </c>
      <c r="BR75">
        <v>2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6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3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2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1</v>
      </c>
      <c r="DY75">
        <v>1</v>
      </c>
      <c r="DZ75">
        <v>1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2</v>
      </c>
      <c r="EG75">
        <v>1</v>
      </c>
      <c r="EH75">
        <v>0</v>
      </c>
      <c r="EI75">
        <v>0</v>
      </c>
      <c r="EJ75">
        <v>0</v>
      </c>
      <c r="EK75">
        <v>4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3</v>
      </c>
    </row>
    <row r="76" spans="1:201" x14ac:dyDescent="0.3">
      <c r="A76" t="s">
        <v>201</v>
      </c>
      <c r="B76" t="s">
        <v>226</v>
      </c>
      <c r="C76" t="s">
        <v>204</v>
      </c>
      <c r="D76" s="1">
        <v>16992</v>
      </c>
      <c r="E76" s="1">
        <v>2418</v>
      </c>
      <c r="F76" s="1">
        <v>7280</v>
      </c>
      <c r="G76" s="1">
        <v>4585</v>
      </c>
      <c r="H76">
        <v>211</v>
      </c>
      <c r="I76">
        <v>201</v>
      </c>
      <c r="J76">
        <v>113</v>
      </c>
      <c r="K76">
        <v>73</v>
      </c>
      <c r="L76">
        <v>166</v>
      </c>
      <c r="M76">
        <v>261</v>
      </c>
      <c r="N76">
        <v>222</v>
      </c>
      <c r="O76">
        <v>366</v>
      </c>
      <c r="P76">
        <v>33</v>
      </c>
      <c r="Q76">
        <v>80</v>
      </c>
      <c r="R76">
        <v>250</v>
      </c>
      <c r="S76">
        <v>172</v>
      </c>
      <c r="T76">
        <v>80</v>
      </c>
      <c r="U76">
        <v>73</v>
      </c>
      <c r="V76">
        <v>52</v>
      </c>
      <c r="W76">
        <v>33</v>
      </c>
      <c r="X76">
        <v>12</v>
      </c>
      <c r="Y76">
        <v>26</v>
      </c>
      <c r="Z76">
        <v>27</v>
      </c>
      <c r="AA76">
        <v>6</v>
      </c>
      <c r="AB76">
        <v>19</v>
      </c>
      <c r="AC76">
        <v>9</v>
      </c>
      <c r="AD76">
        <v>23</v>
      </c>
      <c r="AE76">
        <v>0</v>
      </c>
      <c r="AF76">
        <v>10</v>
      </c>
      <c r="AG76">
        <v>6</v>
      </c>
      <c r="AH76">
        <v>6</v>
      </c>
      <c r="AI76">
        <v>0</v>
      </c>
      <c r="AJ76">
        <v>9</v>
      </c>
      <c r="AK76">
        <v>4</v>
      </c>
      <c r="AL76">
        <v>8</v>
      </c>
      <c r="AM76">
        <v>13</v>
      </c>
      <c r="AN76">
        <v>2</v>
      </c>
      <c r="AO76">
        <v>0</v>
      </c>
      <c r="AP76">
        <v>5</v>
      </c>
      <c r="AQ76">
        <v>14</v>
      </c>
      <c r="AR76">
        <v>3</v>
      </c>
      <c r="AS76">
        <v>10</v>
      </c>
      <c r="AT76">
        <v>4</v>
      </c>
      <c r="AU76">
        <v>6</v>
      </c>
      <c r="AV76">
        <v>0</v>
      </c>
      <c r="AW76">
        <v>3</v>
      </c>
      <c r="AX76">
        <v>0</v>
      </c>
      <c r="AY76">
        <v>6</v>
      </c>
      <c r="AZ76">
        <v>9</v>
      </c>
      <c r="BA76">
        <v>2</v>
      </c>
      <c r="BB76">
        <v>0</v>
      </c>
      <c r="BC76">
        <v>3</v>
      </c>
      <c r="BD76">
        <v>0</v>
      </c>
      <c r="BE76">
        <v>4</v>
      </c>
      <c r="BF76">
        <v>6</v>
      </c>
      <c r="BG76">
        <v>2</v>
      </c>
      <c r="BH76">
        <v>1</v>
      </c>
      <c r="BI76">
        <v>2</v>
      </c>
      <c r="BJ76">
        <v>3</v>
      </c>
      <c r="BK76">
        <v>9</v>
      </c>
      <c r="BL76">
        <v>0</v>
      </c>
      <c r="BM76">
        <v>1</v>
      </c>
      <c r="BN76">
        <v>2</v>
      </c>
      <c r="BO76">
        <v>0</v>
      </c>
      <c r="BP76">
        <v>0</v>
      </c>
      <c r="BQ76">
        <v>8</v>
      </c>
      <c r="BR76">
        <v>1</v>
      </c>
      <c r="BS76">
        <v>0</v>
      </c>
      <c r="BT76">
        <v>0</v>
      </c>
      <c r="BU76">
        <v>2</v>
      </c>
      <c r="BV76">
        <v>4</v>
      </c>
      <c r="BW76">
        <v>2</v>
      </c>
      <c r="BX76">
        <v>1</v>
      </c>
      <c r="BY76">
        <v>3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1</v>
      </c>
      <c r="CG76">
        <v>4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1</v>
      </c>
      <c r="CV76">
        <v>2</v>
      </c>
      <c r="CW76">
        <v>1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3</v>
      </c>
      <c r="DP76">
        <v>3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1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2</v>
      </c>
    </row>
    <row r="77" spans="1:201" x14ac:dyDescent="0.3">
      <c r="A77" t="s">
        <v>201</v>
      </c>
      <c r="B77" t="s">
        <v>227</v>
      </c>
      <c r="C77" t="s">
        <v>200</v>
      </c>
      <c r="D77" s="1">
        <v>38303</v>
      </c>
      <c r="E77" s="1">
        <v>1497</v>
      </c>
      <c r="F77" s="1">
        <v>15077</v>
      </c>
      <c r="G77" s="1">
        <v>7762</v>
      </c>
      <c r="H77" s="1">
        <v>1117</v>
      </c>
      <c r="I77" s="1">
        <v>2564</v>
      </c>
      <c r="J77">
        <v>569</v>
      </c>
      <c r="K77" s="1">
        <v>1281</v>
      </c>
      <c r="L77">
        <v>662</v>
      </c>
      <c r="M77">
        <v>803</v>
      </c>
      <c r="N77">
        <v>448</v>
      </c>
      <c r="O77">
        <v>269</v>
      </c>
      <c r="P77">
        <v>49</v>
      </c>
      <c r="Q77">
        <v>380</v>
      </c>
      <c r="R77">
        <v>636</v>
      </c>
      <c r="S77">
        <v>116</v>
      </c>
      <c r="T77">
        <v>817</v>
      </c>
      <c r="U77" s="1">
        <v>1007</v>
      </c>
      <c r="V77">
        <v>309</v>
      </c>
      <c r="W77">
        <v>34</v>
      </c>
      <c r="X77">
        <v>128</v>
      </c>
      <c r="Y77">
        <v>61</v>
      </c>
      <c r="Z77">
        <v>199</v>
      </c>
      <c r="AA77">
        <v>11</v>
      </c>
      <c r="AB77">
        <v>182</v>
      </c>
      <c r="AC77">
        <v>20</v>
      </c>
      <c r="AD77">
        <v>55</v>
      </c>
      <c r="AE77">
        <v>94</v>
      </c>
      <c r="AF77">
        <v>14</v>
      </c>
      <c r="AG77">
        <v>11</v>
      </c>
      <c r="AH77">
        <v>3</v>
      </c>
      <c r="AI77">
        <v>63</v>
      </c>
      <c r="AJ77">
        <v>263</v>
      </c>
      <c r="AK77">
        <v>107</v>
      </c>
      <c r="AL77">
        <v>168</v>
      </c>
      <c r="AM77">
        <v>3</v>
      </c>
      <c r="AN77">
        <v>5</v>
      </c>
      <c r="AO77">
        <v>24</v>
      </c>
      <c r="AP77">
        <v>1</v>
      </c>
      <c r="AQ77">
        <v>52</v>
      </c>
      <c r="AR77">
        <v>20</v>
      </c>
      <c r="AS77">
        <v>13</v>
      </c>
      <c r="AT77">
        <v>2</v>
      </c>
      <c r="AU77">
        <v>7</v>
      </c>
      <c r="AV77">
        <v>29</v>
      </c>
      <c r="AW77">
        <v>2</v>
      </c>
      <c r="AX77">
        <v>23</v>
      </c>
      <c r="AY77">
        <v>7</v>
      </c>
      <c r="AZ77">
        <v>3</v>
      </c>
      <c r="BA77">
        <v>2</v>
      </c>
      <c r="BB77">
        <v>0</v>
      </c>
      <c r="BC77">
        <v>1</v>
      </c>
      <c r="BD77">
        <v>6</v>
      </c>
      <c r="BE77">
        <v>115</v>
      </c>
      <c r="BF77">
        <v>117</v>
      </c>
      <c r="BG77">
        <v>1</v>
      </c>
      <c r="BH77">
        <v>1</v>
      </c>
      <c r="BI77">
        <v>27</v>
      </c>
      <c r="BJ77">
        <v>21</v>
      </c>
      <c r="BK77">
        <v>347</v>
      </c>
      <c r="BL77">
        <v>60</v>
      </c>
      <c r="BM77">
        <v>172</v>
      </c>
      <c r="BN77">
        <v>5</v>
      </c>
      <c r="BO77">
        <v>8</v>
      </c>
      <c r="BP77">
        <v>50</v>
      </c>
      <c r="BQ77">
        <v>97</v>
      </c>
      <c r="BR77">
        <v>3</v>
      </c>
      <c r="BS77">
        <v>2</v>
      </c>
      <c r="BT77">
        <v>2</v>
      </c>
      <c r="BU77">
        <v>3</v>
      </c>
      <c r="BV77">
        <v>1</v>
      </c>
      <c r="BW77">
        <v>0</v>
      </c>
      <c r="BX77">
        <v>23</v>
      </c>
      <c r="BY77">
        <v>73</v>
      </c>
      <c r="BZ77">
        <v>0</v>
      </c>
      <c r="CA77">
        <v>1</v>
      </c>
      <c r="CB77">
        <v>89</v>
      </c>
      <c r="CC77">
        <v>0</v>
      </c>
      <c r="CD77">
        <v>3</v>
      </c>
      <c r="CE77">
        <v>0</v>
      </c>
      <c r="CF77">
        <v>1</v>
      </c>
      <c r="CG77">
        <v>5</v>
      </c>
      <c r="CH77">
        <v>4</v>
      </c>
      <c r="CI77">
        <v>0</v>
      </c>
      <c r="CJ77">
        <v>0</v>
      </c>
      <c r="CK77">
        <v>0</v>
      </c>
      <c r="CL77">
        <v>0</v>
      </c>
      <c r="CM77">
        <v>2</v>
      </c>
      <c r="CN77">
        <v>0</v>
      </c>
      <c r="CO77">
        <v>1</v>
      </c>
      <c r="CP77">
        <v>0</v>
      </c>
      <c r="CQ77">
        <v>0</v>
      </c>
      <c r="CR77">
        <v>28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2</v>
      </c>
      <c r="DA77">
        <v>2</v>
      </c>
      <c r="DB77">
        <v>1</v>
      </c>
      <c r="DC77">
        <v>0</v>
      </c>
      <c r="DD77">
        <v>1</v>
      </c>
      <c r="DE77">
        <v>20</v>
      </c>
      <c r="DF77">
        <v>10</v>
      </c>
      <c r="DG77">
        <v>0</v>
      </c>
      <c r="DH77">
        <v>0</v>
      </c>
      <c r="DI77">
        <v>1</v>
      </c>
      <c r="DJ77">
        <v>0</v>
      </c>
      <c r="DK77">
        <v>1</v>
      </c>
      <c r="DL77">
        <v>0</v>
      </c>
      <c r="DM77">
        <v>0</v>
      </c>
      <c r="DN77">
        <v>1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0</v>
      </c>
      <c r="EF77">
        <v>2</v>
      </c>
      <c r="EG77">
        <v>0</v>
      </c>
      <c r="EH77">
        <v>1</v>
      </c>
      <c r="EI77">
        <v>1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4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2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11</v>
      </c>
    </row>
    <row r="78" spans="1:201" x14ac:dyDescent="0.3">
      <c r="A78" t="s">
        <v>201</v>
      </c>
      <c r="B78" t="s">
        <v>227</v>
      </c>
      <c r="C78" t="s">
        <v>203</v>
      </c>
      <c r="D78" s="1">
        <v>22528</v>
      </c>
      <c r="E78">
        <v>893</v>
      </c>
      <c r="F78" s="1">
        <v>8922</v>
      </c>
      <c r="G78" s="1">
        <v>2918</v>
      </c>
      <c r="H78">
        <v>951</v>
      </c>
      <c r="I78" s="1">
        <v>1416</v>
      </c>
      <c r="J78">
        <v>494</v>
      </c>
      <c r="K78" s="1">
        <v>1170</v>
      </c>
      <c r="L78">
        <v>600</v>
      </c>
      <c r="M78">
        <v>608</v>
      </c>
      <c r="N78">
        <v>288</v>
      </c>
      <c r="O78">
        <v>111</v>
      </c>
      <c r="P78">
        <v>24</v>
      </c>
      <c r="Q78">
        <v>345</v>
      </c>
      <c r="R78">
        <v>497</v>
      </c>
      <c r="S78">
        <v>29</v>
      </c>
      <c r="T78">
        <v>407</v>
      </c>
      <c r="U78">
        <v>545</v>
      </c>
      <c r="V78">
        <v>248</v>
      </c>
      <c r="W78">
        <v>18</v>
      </c>
      <c r="X78">
        <v>88</v>
      </c>
      <c r="Y78">
        <v>48</v>
      </c>
      <c r="Z78">
        <v>122</v>
      </c>
      <c r="AA78">
        <v>4</v>
      </c>
      <c r="AB78">
        <v>135</v>
      </c>
      <c r="AC78">
        <v>10</v>
      </c>
      <c r="AD78">
        <v>34</v>
      </c>
      <c r="AE78">
        <v>93</v>
      </c>
      <c r="AF78">
        <v>6</v>
      </c>
      <c r="AG78">
        <v>9</v>
      </c>
      <c r="AH78">
        <v>1</v>
      </c>
      <c r="AI78">
        <v>50</v>
      </c>
      <c r="AJ78">
        <v>150</v>
      </c>
      <c r="AK78">
        <v>96</v>
      </c>
      <c r="AL78">
        <v>64</v>
      </c>
      <c r="AM78">
        <v>0</v>
      </c>
      <c r="AN78">
        <v>2</v>
      </c>
      <c r="AO78">
        <v>11</v>
      </c>
      <c r="AP78">
        <v>1</v>
      </c>
      <c r="AQ78">
        <v>39</v>
      </c>
      <c r="AR78">
        <v>11</v>
      </c>
      <c r="AS78">
        <v>8</v>
      </c>
      <c r="AT78">
        <v>2</v>
      </c>
      <c r="AU78">
        <v>3</v>
      </c>
      <c r="AV78">
        <v>22</v>
      </c>
      <c r="AW78">
        <v>2</v>
      </c>
      <c r="AX78">
        <v>15</v>
      </c>
      <c r="AY78">
        <v>1</v>
      </c>
      <c r="AZ78">
        <v>3</v>
      </c>
      <c r="BA78">
        <v>1</v>
      </c>
      <c r="BB78">
        <v>0</v>
      </c>
      <c r="BC78">
        <v>1</v>
      </c>
      <c r="BD78">
        <v>6</v>
      </c>
      <c r="BE78">
        <v>74</v>
      </c>
      <c r="BF78">
        <v>88</v>
      </c>
      <c r="BG78">
        <v>1</v>
      </c>
      <c r="BH78">
        <v>0</v>
      </c>
      <c r="BI78">
        <v>20</v>
      </c>
      <c r="BJ78">
        <v>15</v>
      </c>
      <c r="BK78">
        <v>289</v>
      </c>
      <c r="BL78">
        <v>40</v>
      </c>
      <c r="BM78">
        <v>139</v>
      </c>
      <c r="BN78">
        <v>3</v>
      </c>
      <c r="BO78">
        <v>5</v>
      </c>
      <c r="BP78">
        <v>31</v>
      </c>
      <c r="BQ78">
        <v>86</v>
      </c>
      <c r="BR78">
        <v>2</v>
      </c>
      <c r="BS78">
        <v>2</v>
      </c>
      <c r="BT78">
        <v>2</v>
      </c>
      <c r="BU78">
        <v>2</v>
      </c>
      <c r="BV78">
        <v>0</v>
      </c>
      <c r="BW78">
        <v>0</v>
      </c>
      <c r="BX78">
        <v>15</v>
      </c>
      <c r="BY78">
        <v>46</v>
      </c>
      <c r="BZ78">
        <v>0</v>
      </c>
      <c r="CA78">
        <v>1</v>
      </c>
      <c r="CB78">
        <v>74</v>
      </c>
      <c r="CC78">
        <v>0</v>
      </c>
      <c r="CD78">
        <v>0</v>
      </c>
      <c r="CE78">
        <v>0</v>
      </c>
      <c r="CF78">
        <v>1</v>
      </c>
      <c r="CG78">
        <v>2</v>
      </c>
      <c r="CH78">
        <v>4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0</v>
      </c>
      <c r="CO78">
        <v>1</v>
      </c>
      <c r="CP78">
        <v>0</v>
      </c>
      <c r="CQ78">
        <v>0</v>
      </c>
      <c r="CR78">
        <v>16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1</v>
      </c>
      <c r="DB78">
        <v>1</v>
      </c>
      <c r="DC78">
        <v>0</v>
      </c>
      <c r="DD78">
        <v>0</v>
      </c>
      <c r="DE78">
        <v>15</v>
      </c>
      <c r="DF78">
        <v>7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2</v>
      </c>
      <c r="EG78">
        <v>0</v>
      </c>
      <c r="EH78">
        <v>0</v>
      </c>
      <c r="EI78">
        <v>1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4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2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7</v>
      </c>
    </row>
    <row r="79" spans="1:201" x14ac:dyDescent="0.3">
      <c r="A79" t="s">
        <v>201</v>
      </c>
      <c r="B79" t="s">
        <v>227</v>
      </c>
      <c r="C79" t="s">
        <v>204</v>
      </c>
      <c r="D79" s="1">
        <v>15775</v>
      </c>
      <c r="E79">
        <v>604</v>
      </c>
      <c r="F79" s="1">
        <v>6155</v>
      </c>
      <c r="G79" s="1">
        <v>4844</v>
      </c>
      <c r="H79">
        <v>166</v>
      </c>
      <c r="I79" s="1">
        <v>1148</v>
      </c>
      <c r="J79">
        <v>75</v>
      </c>
      <c r="K79">
        <v>111</v>
      </c>
      <c r="L79">
        <v>62</v>
      </c>
      <c r="M79">
        <v>195</v>
      </c>
      <c r="N79">
        <v>160</v>
      </c>
      <c r="O79">
        <v>158</v>
      </c>
      <c r="P79">
        <v>25</v>
      </c>
      <c r="Q79">
        <v>35</v>
      </c>
      <c r="R79">
        <v>139</v>
      </c>
      <c r="S79">
        <v>87</v>
      </c>
      <c r="T79">
        <v>410</v>
      </c>
      <c r="U79">
        <v>462</v>
      </c>
      <c r="V79">
        <v>61</v>
      </c>
      <c r="W79">
        <v>16</v>
      </c>
      <c r="X79">
        <v>40</v>
      </c>
      <c r="Y79">
        <v>13</v>
      </c>
      <c r="Z79">
        <v>77</v>
      </c>
      <c r="AA79">
        <v>7</v>
      </c>
      <c r="AB79">
        <v>47</v>
      </c>
      <c r="AC79">
        <v>10</v>
      </c>
      <c r="AD79">
        <v>21</v>
      </c>
      <c r="AE79">
        <v>1</v>
      </c>
      <c r="AF79">
        <v>8</v>
      </c>
      <c r="AG79">
        <v>2</v>
      </c>
      <c r="AH79">
        <v>2</v>
      </c>
      <c r="AI79">
        <v>13</v>
      </c>
      <c r="AJ79">
        <v>113</v>
      </c>
      <c r="AK79">
        <v>11</v>
      </c>
      <c r="AL79">
        <v>104</v>
      </c>
      <c r="AM79">
        <v>3</v>
      </c>
      <c r="AN79">
        <v>3</v>
      </c>
      <c r="AO79">
        <v>13</v>
      </c>
      <c r="AP79">
        <v>0</v>
      </c>
      <c r="AQ79">
        <v>13</v>
      </c>
      <c r="AR79">
        <v>9</v>
      </c>
      <c r="AS79">
        <v>5</v>
      </c>
      <c r="AT79">
        <v>0</v>
      </c>
      <c r="AU79">
        <v>4</v>
      </c>
      <c r="AV79">
        <v>7</v>
      </c>
      <c r="AW79">
        <v>0</v>
      </c>
      <c r="AX79">
        <v>8</v>
      </c>
      <c r="AY79">
        <v>6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41</v>
      </c>
      <c r="BF79">
        <v>29</v>
      </c>
      <c r="BG79">
        <v>0</v>
      </c>
      <c r="BH79">
        <v>1</v>
      </c>
      <c r="BI79">
        <v>7</v>
      </c>
      <c r="BJ79">
        <v>6</v>
      </c>
      <c r="BK79">
        <v>58</v>
      </c>
      <c r="BL79">
        <v>20</v>
      </c>
      <c r="BM79">
        <v>33</v>
      </c>
      <c r="BN79">
        <v>2</v>
      </c>
      <c r="BO79">
        <v>3</v>
      </c>
      <c r="BP79">
        <v>19</v>
      </c>
      <c r="BQ79">
        <v>11</v>
      </c>
      <c r="BR79">
        <v>1</v>
      </c>
      <c r="BS79">
        <v>0</v>
      </c>
      <c r="BT79">
        <v>0</v>
      </c>
      <c r="BU79">
        <v>1</v>
      </c>
      <c r="BV79">
        <v>1</v>
      </c>
      <c r="BW79">
        <v>0</v>
      </c>
      <c r="BX79">
        <v>8</v>
      </c>
      <c r="BY79">
        <v>27</v>
      </c>
      <c r="BZ79">
        <v>0</v>
      </c>
      <c r="CA79">
        <v>0</v>
      </c>
      <c r="CB79">
        <v>15</v>
      </c>
      <c r="CC79">
        <v>0</v>
      </c>
      <c r="CD79">
        <v>3</v>
      </c>
      <c r="CE79">
        <v>0</v>
      </c>
      <c r="CF79">
        <v>0</v>
      </c>
      <c r="CG79">
        <v>3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12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1</v>
      </c>
      <c r="DA79">
        <v>1</v>
      </c>
      <c r="DB79">
        <v>0</v>
      </c>
      <c r="DC79">
        <v>0</v>
      </c>
      <c r="DD79">
        <v>1</v>
      </c>
      <c r="DE79">
        <v>5</v>
      </c>
      <c r="DF79">
        <v>3</v>
      </c>
      <c r="DG79">
        <v>0</v>
      </c>
      <c r="DH79">
        <v>0</v>
      </c>
      <c r="DI79">
        <v>1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4</v>
      </c>
    </row>
    <row r="80" spans="1:201" x14ac:dyDescent="0.3">
      <c r="A80" t="s">
        <v>201</v>
      </c>
      <c r="B80" t="s">
        <v>228</v>
      </c>
      <c r="C80" t="s">
        <v>200</v>
      </c>
      <c r="D80" s="1">
        <v>16473</v>
      </c>
      <c r="E80" s="1">
        <v>1014</v>
      </c>
      <c r="F80" s="1">
        <v>5258</v>
      </c>
      <c r="G80" s="1">
        <v>4384</v>
      </c>
      <c r="H80">
        <v>111</v>
      </c>
      <c r="I80" s="1">
        <v>1186</v>
      </c>
      <c r="J80">
        <v>151</v>
      </c>
      <c r="K80">
        <v>116</v>
      </c>
      <c r="L80">
        <v>336</v>
      </c>
      <c r="M80">
        <v>221</v>
      </c>
      <c r="N80">
        <v>170</v>
      </c>
      <c r="O80">
        <v>655</v>
      </c>
      <c r="P80">
        <v>51</v>
      </c>
      <c r="Q80">
        <v>56</v>
      </c>
      <c r="R80">
        <v>49</v>
      </c>
      <c r="S80">
        <v>112</v>
      </c>
      <c r="T80">
        <v>506</v>
      </c>
      <c r="U80">
        <v>727</v>
      </c>
      <c r="V80">
        <v>148</v>
      </c>
      <c r="W80">
        <v>43</v>
      </c>
      <c r="X80">
        <v>69</v>
      </c>
      <c r="Y80">
        <v>17</v>
      </c>
      <c r="Z80">
        <v>102</v>
      </c>
      <c r="AA80">
        <v>54</v>
      </c>
      <c r="AB80">
        <v>62</v>
      </c>
      <c r="AC80">
        <v>7</v>
      </c>
      <c r="AD80">
        <v>11</v>
      </c>
      <c r="AE80">
        <v>2</v>
      </c>
      <c r="AF80">
        <v>8</v>
      </c>
      <c r="AG80">
        <v>12</v>
      </c>
      <c r="AH80">
        <v>29</v>
      </c>
      <c r="AI80">
        <v>12</v>
      </c>
      <c r="AJ80">
        <v>137</v>
      </c>
      <c r="AK80">
        <v>44</v>
      </c>
      <c r="AL80">
        <v>124</v>
      </c>
      <c r="AM80">
        <v>20</v>
      </c>
      <c r="AN80">
        <v>4</v>
      </c>
      <c r="AO80">
        <v>15</v>
      </c>
      <c r="AP80">
        <v>1</v>
      </c>
      <c r="AQ80">
        <v>24</v>
      </c>
      <c r="AR80">
        <v>6</v>
      </c>
      <c r="AS80">
        <v>13</v>
      </c>
      <c r="AT80">
        <v>0</v>
      </c>
      <c r="AU80">
        <v>11</v>
      </c>
      <c r="AV80">
        <v>3</v>
      </c>
      <c r="AW80">
        <v>7</v>
      </c>
      <c r="AX80">
        <v>5</v>
      </c>
      <c r="AY80">
        <v>17</v>
      </c>
      <c r="AZ80">
        <v>9</v>
      </c>
      <c r="BA80">
        <v>2</v>
      </c>
      <c r="BB80">
        <v>1</v>
      </c>
      <c r="BC80">
        <v>4</v>
      </c>
      <c r="BD80">
        <v>0</v>
      </c>
      <c r="BE80">
        <v>64</v>
      </c>
      <c r="BF80">
        <v>17</v>
      </c>
      <c r="BG80">
        <v>4</v>
      </c>
      <c r="BH80">
        <v>4</v>
      </c>
      <c r="BI80">
        <v>6</v>
      </c>
      <c r="BJ80">
        <v>22</v>
      </c>
      <c r="BK80">
        <v>54</v>
      </c>
      <c r="BL80">
        <v>14</v>
      </c>
      <c r="BM80">
        <v>4</v>
      </c>
      <c r="BN80">
        <v>2</v>
      </c>
      <c r="BO80">
        <v>1</v>
      </c>
      <c r="BP80">
        <v>12</v>
      </c>
      <c r="BQ80">
        <v>9</v>
      </c>
      <c r="BR80">
        <v>0</v>
      </c>
      <c r="BS80">
        <v>10</v>
      </c>
      <c r="BT80">
        <v>0</v>
      </c>
      <c r="BU80">
        <v>0</v>
      </c>
      <c r="BV80">
        <v>3</v>
      </c>
      <c r="BW80">
        <v>7</v>
      </c>
      <c r="BX80">
        <v>7</v>
      </c>
      <c r="BY80">
        <v>32</v>
      </c>
      <c r="BZ80">
        <v>2</v>
      </c>
      <c r="CA80">
        <v>2</v>
      </c>
      <c r="CB80">
        <v>0</v>
      </c>
      <c r="CC80">
        <v>1</v>
      </c>
      <c r="CD80">
        <v>3</v>
      </c>
      <c r="CE80">
        <v>3</v>
      </c>
      <c r="CF80">
        <v>1</v>
      </c>
      <c r="CG80">
        <v>0</v>
      </c>
      <c r="CH80">
        <v>1</v>
      </c>
      <c r="CI80">
        <v>0</v>
      </c>
      <c r="CJ80">
        <v>3</v>
      </c>
      <c r="CK80">
        <v>2</v>
      </c>
      <c r="CL80">
        <v>0</v>
      </c>
      <c r="CM80">
        <v>15</v>
      </c>
      <c r="CN80">
        <v>0</v>
      </c>
      <c r="CO80">
        <v>0</v>
      </c>
      <c r="CP80">
        <v>0</v>
      </c>
      <c r="CQ80">
        <v>0</v>
      </c>
      <c r="CR80">
        <v>6</v>
      </c>
      <c r="CS80">
        <v>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4</v>
      </c>
      <c r="DE80">
        <v>0</v>
      </c>
      <c r="DF80">
        <v>5</v>
      </c>
      <c r="DG80">
        <v>0</v>
      </c>
      <c r="DH80">
        <v>0</v>
      </c>
      <c r="DI80">
        <v>0</v>
      </c>
      <c r="DJ80">
        <v>0</v>
      </c>
      <c r="DK80">
        <v>2</v>
      </c>
      <c r="DL80">
        <v>1</v>
      </c>
      <c r="DM80">
        <v>1</v>
      </c>
      <c r="DN80">
        <v>0</v>
      </c>
      <c r="DO80">
        <v>0</v>
      </c>
      <c r="DP80">
        <v>1</v>
      </c>
      <c r="DQ80">
        <v>1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2</v>
      </c>
      <c r="DY80">
        <v>4</v>
      </c>
      <c r="DZ80">
        <v>0</v>
      </c>
      <c r="EA80">
        <v>3</v>
      </c>
      <c r="EB80">
        <v>0</v>
      </c>
      <c r="EC80">
        <v>0</v>
      </c>
      <c r="ED80">
        <v>0</v>
      </c>
      <c r="EE80">
        <v>0</v>
      </c>
      <c r="EF80">
        <v>1</v>
      </c>
      <c r="EG80">
        <v>0</v>
      </c>
      <c r="EH80">
        <v>0</v>
      </c>
      <c r="EI80">
        <v>0</v>
      </c>
      <c r="EJ80">
        <v>0</v>
      </c>
      <c r="EK80">
        <v>1</v>
      </c>
      <c r="EL80">
        <v>0</v>
      </c>
      <c r="EM80">
        <v>1</v>
      </c>
      <c r="EN80">
        <v>0</v>
      </c>
      <c r="EO80">
        <v>1</v>
      </c>
      <c r="EP80">
        <v>0</v>
      </c>
      <c r="EQ80">
        <v>0</v>
      </c>
      <c r="ER80">
        <v>0</v>
      </c>
      <c r="ES80">
        <v>0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3</v>
      </c>
    </row>
    <row r="81" spans="1:201" x14ac:dyDescent="0.3">
      <c r="A81" t="s">
        <v>201</v>
      </c>
      <c r="B81" t="s">
        <v>228</v>
      </c>
      <c r="C81" t="s">
        <v>203</v>
      </c>
      <c r="D81" s="1">
        <v>8054</v>
      </c>
      <c r="E81">
        <v>329</v>
      </c>
      <c r="F81" s="1">
        <v>2931</v>
      </c>
      <c r="G81" s="1">
        <v>1753</v>
      </c>
      <c r="H81">
        <v>84</v>
      </c>
      <c r="I81">
        <v>621</v>
      </c>
      <c r="J81">
        <v>107</v>
      </c>
      <c r="K81">
        <v>82</v>
      </c>
      <c r="L81">
        <v>204</v>
      </c>
      <c r="M81">
        <v>91</v>
      </c>
      <c r="N81">
        <v>45</v>
      </c>
      <c r="O81">
        <v>254</v>
      </c>
      <c r="P81">
        <v>31</v>
      </c>
      <c r="Q81">
        <v>47</v>
      </c>
      <c r="R81">
        <v>43</v>
      </c>
      <c r="S81">
        <v>13</v>
      </c>
      <c r="T81">
        <v>231</v>
      </c>
      <c r="U81">
        <v>402</v>
      </c>
      <c r="V81">
        <v>107</v>
      </c>
      <c r="W81">
        <v>16</v>
      </c>
      <c r="X81">
        <v>44</v>
      </c>
      <c r="Y81">
        <v>5</v>
      </c>
      <c r="Z81">
        <v>54</v>
      </c>
      <c r="AA81">
        <v>34</v>
      </c>
      <c r="AB81">
        <v>36</v>
      </c>
      <c r="AC81">
        <v>4</v>
      </c>
      <c r="AD81">
        <v>2</v>
      </c>
      <c r="AE81">
        <v>2</v>
      </c>
      <c r="AF81">
        <v>7</v>
      </c>
      <c r="AG81">
        <v>7</v>
      </c>
      <c r="AH81">
        <v>16</v>
      </c>
      <c r="AI81">
        <v>8</v>
      </c>
      <c r="AJ81">
        <v>73</v>
      </c>
      <c r="AK81">
        <v>35</v>
      </c>
      <c r="AL81">
        <v>55</v>
      </c>
      <c r="AM81">
        <v>7</v>
      </c>
      <c r="AN81">
        <v>3</v>
      </c>
      <c r="AO81">
        <v>11</v>
      </c>
      <c r="AP81">
        <v>1</v>
      </c>
      <c r="AQ81">
        <v>11</v>
      </c>
      <c r="AR81">
        <v>3</v>
      </c>
      <c r="AS81">
        <v>3</v>
      </c>
      <c r="AT81">
        <v>0</v>
      </c>
      <c r="AU81">
        <v>7</v>
      </c>
      <c r="AV81">
        <v>3</v>
      </c>
      <c r="AW81">
        <v>4</v>
      </c>
      <c r="AX81">
        <v>1</v>
      </c>
      <c r="AY81">
        <v>4</v>
      </c>
      <c r="AZ81">
        <v>5</v>
      </c>
      <c r="BA81">
        <v>1</v>
      </c>
      <c r="BB81">
        <v>1</v>
      </c>
      <c r="BC81">
        <v>1</v>
      </c>
      <c r="BD81">
        <v>0</v>
      </c>
      <c r="BE81">
        <v>42</v>
      </c>
      <c r="BF81">
        <v>14</v>
      </c>
      <c r="BG81">
        <v>1</v>
      </c>
      <c r="BH81">
        <v>2</v>
      </c>
      <c r="BI81">
        <v>4</v>
      </c>
      <c r="BJ81">
        <v>16</v>
      </c>
      <c r="BK81">
        <v>41</v>
      </c>
      <c r="BL81">
        <v>8</v>
      </c>
      <c r="BM81">
        <v>3</v>
      </c>
      <c r="BN81">
        <v>0</v>
      </c>
      <c r="BO81">
        <v>1</v>
      </c>
      <c r="BP81">
        <v>11</v>
      </c>
      <c r="BQ81">
        <v>6</v>
      </c>
      <c r="BR81">
        <v>0</v>
      </c>
      <c r="BS81">
        <v>6</v>
      </c>
      <c r="BT81">
        <v>0</v>
      </c>
      <c r="BU81">
        <v>0</v>
      </c>
      <c r="BV81">
        <v>0</v>
      </c>
      <c r="BW81">
        <v>2</v>
      </c>
      <c r="BX81">
        <v>3</v>
      </c>
      <c r="BY81">
        <v>17</v>
      </c>
      <c r="BZ81">
        <v>1</v>
      </c>
      <c r="CA81">
        <v>0</v>
      </c>
      <c r="CB81">
        <v>0</v>
      </c>
      <c r="CC81">
        <v>0</v>
      </c>
      <c r="CD81">
        <v>1</v>
      </c>
      <c r="CE81">
        <v>2</v>
      </c>
      <c r="CF81">
        <v>0</v>
      </c>
      <c r="CG81">
        <v>0</v>
      </c>
      <c r="CH81">
        <v>1</v>
      </c>
      <c r="CI81">
        <v>0</v>
      </c>
      <c r="CJ81">
        <v>1</v>
      </c>
      <c r="CK81">
        <v>2</v>
      </c>
      <c r="CL81">
        <v>0</v>
      </c>
      <c r="CM81">
        <v>11</v>
      </c>
      <c r="CN81">
        <v>0</v>
      </c>
      <c r="CO81">
        <v>0</v>
      </c>
      <c r="CP81">
        <v>0</v>
      </c>
      <c r="CQ81">
        <v>0</v>
      </c>
      <c r="CR81">
        <v>3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2</v>
      </c>
      <c r="DE81">
        <v>0</v>
      </c>
      <c r="DF81">
        <v>5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1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2</v>
      </c>
    </row>
    <row r="82" spans="1:201" x14ac:dyDescent="0.3">
      <c r="A82" t="s">
        <v>201</v>
      </c>
      <c r="B82" t="s">
        <v>228</v>
      </c>
      <c r="C82" t="s">
        <v>204</v>
      </c>
      <c r="D82" s="1">
        <v>8419</v>
      </c>
      <c r="E82">
        <v>685</v>
      </c>
      <c r="F82" s="1">
        <v>2327</v>
      </c>
      <c r="G82" s="1">
        <v>2631</v>
      </c>
      <c r="H82">
        <v>27</v>
      </c>
      <c r="I82">
        <v>565</v>
      </c>
      <c r="J82">
        <v>44</v>
      </c>
      <c r="K82">
        <v>34</v>
      </c>
      <c r="L82">
        <v>132</v>
      </c>
      <c r="M82">
        <v>130</v>
      </c>
      <c r="N82">
        <v>125</v>
      </c>
      <c r="O82">
        <v>401</v>
      </c>
      <c r="P82">
        <v>20</v>
      </c>
      <c r="Q82">
        <v>9</v>
      </c>
      <c r="R82">
        <v>6</v>
      </c>
      <c r="S82">
        <v>99</v>
      </c>
      <c r="T82">
        <v>275</v>
      </c>
      <c r="U82">
        <v>325</v>
      </c>
      <c r="V82">
        <v>41</v>
      </c>
      <c r="W82">
        <v>27</v>
      </c>
      <c r="X82">
        <v>25</v>
      </c>
      <c r="Y82">
        <v>12</v>
      </c>
      <c r="Z82">
        <v>48</v>
      </c>
      <c r="AA82">
        <v>20</v>
      </c>
      <c r="AB82">
        <v>26</v>
      </c>
      <c r="AC82">
        <v>3</v>
      </c>
      <c r="AD82">
        <v>9</v>
      </c>
      <c r="AE82">
        <v>0</v>
      </c>
      <c r="AF82">
        <v>1</v>
      </c>
      <c r="AG82">
        <v>5</v>
      </c>
      <c r="AH82">
        <v>13</v>
      </c>
      <c r="AI82">
        <v>4</v>
      </c>
      <c r="AJ82">
        <v>64</v>
      </c>
      <c r="AK82">
        <v>9</v>
      </c>
      <c r="AL82">
        <v>69</v>
      </c>
      <c r="AM82">
        <v>13</v>
      </c>
      <c r="AN82">
        <v>1</v>
      </c>
      <c r="AO82">
        <v>4</v>
      </c>
      <c r="AP82">
        <v>0</v>
      </c>
      <c r="AQ82">
        <v>13</v>
      </c>
      <c r="AR82">
        <v>3</v>
      </c>
      <c r="AS82">
        <v>10</v>
      </c>
      <c r="AT82">
        <v>0</v>
      </c>
      <c r="AU82">
        <v>4</v>
      </c>
      <c r="AV82">
        <v>0</v>
      </c>
      <c r="AW82">
        <v>3</v>
      </c>
      <c r="AX82">
        <v>4</v>
      </c>
      <c r="AY82">
        <v>13</v>
      </c>
      <c r="AZ82">
        <v>4</v>
      </c>
      <c r="BA82">
        <v>1</v>
      </c>
      <c r="BB82">
        <v>0</v>
      </c>
      <c r="BC82">
        <v>3</v>
      </c>
      <c r="BD82">
        <v>0</v>
      </c>
      <c r="BE82">
        <v>22</v>
      </c>
      <c r="BF82">
        <v>3</v>
      </c>
      <c r="BG82">
        <v>3</v>
      </c>
      <c r="BH82">
        <v>2</v>
      </c>
      <c r="BI82">
        <v>2</v>
      </c>
      <c r="BJ82">
        <v>6</v>
      </c>
      <c r="BK82">
        <v>13</v>
      </c>
      <c r="BL82">
        <v>6</v>
      </c>
      <c r="BM82">
        <v>1</v>
      </c>
      <c r="BN82">
        <v>2</v>
      </c>
      <c r="BO82">
        <v>0</v>
      </c>
      <c r="BP82">
        <v>1</v>
      </c>
      <c r="BQ82">
        <v>3</v>
      </c>
      <c r="BR82">
        <v>0</v>
      </c>
      <c r="BS82">
        <v>4</v>
      </c>
      <c r="BT82">
        <v>0</v>
      </c>
      <c r="BU82">
        <v>0</v>
      </c>
      <c r="BV82">
        <v>3</v>
      </c>
      <c r="BW82">
        <v>5</v>
      </c>
      <c r="BX82">
        <v>4</v>
      </c>
      <c r="BY82">
        <v>15</v>
      </c>
      <c r="BZ82">
        <v>1</v>
      </c>
      <c r="CA82">
        <v>2</v>
      </c>
      <c r="CB82">
        <v>0</v>
      </c>
      <c r="CC82">
        <v>1</v>
      </c>
      <c r="CD82">
        <v>2</v>
      </c>
      <c r="CE82">
        <v>1</v>
      </c>
      <c r="CF82">
        <v>1</v>
      </c>
      <c r="CG82">
        <v>0</v>
      </c>
      <c r="CH82">
        <v>0</v>
      </c>
      <c r="CI82">
        <v>0</v>
      </c>
      <c r="CJ82">
        <v>2</v>
      </c>
      <c r="CK82">
        <v>0</v>
      </c>
      <c r="CL82">
        <v>0</v>
      </c>
      <c r="CM82">
        <v>4</v>
      </c>
      <c r="CN82">
        <v>0</v>
      </c>
      <c r="CO82">
        <v>0</v>
      </c>
      <c r="CP82">
        <v>0</v>
      </c>
      <c r="CQ82">
        <v>0</v>
      </c>
      <c r="CR82">
        <v>3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2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2</v>
      </c>
      <c r="DL82">
        <v>1</v>
      </c>
      <c r="DM82">
        <v>1</v>
      </c>
      <c r="DN82">
        <v>0</v>
      </c>
      <c r="DO82">
        <v>0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2</v>
      </c>
      <c r="DY82">
        <v>3</v>
      </c>
      <c r="DZ82">
        <v>0</v>
      </c>
      <c r="EA82">
        <v>2</v>
      </c>
      <c r="EB82">
        <v>0</v>
      </c>
      <c r="EC82">
        <v>0</v>
      </c>
      <c r="ED82">
        <v>0</v>
      </c>
      <c r="EE82">
        <v>0</v>
      </c>
      <c r="EF82">
        <v>1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1</v>
      </c>
    </row>
    <row r="83" spans="1:201" x14ac:dyDescent="0.3">
      <c r="A83" t="s">
        <v>201</v>
      </c>
      <c r="B83" t="s">
        <v>229</v>
      </c>
      <c r="C83" t="s">
        <v>200</v>
      </c>
      <c r="D83" s="1">
        <v>15448</v>
      </c>
      <c r="E83" s="1">
        <v>1424</v>
      </c>
      <c r="F83" s="1">
        <v>2102</v>
      </c>
      <c r="G83" s="1">
        <v>1561</v>
      </c>
      <c r="H83" s="1">
        <v>1482</v>
      </c>
      <c r="I83" s="1">
        <v>1340</v>
      </c>
      <c r="J83" s="1">
        <v>1125</v>
      </c>
      <c r="K83">
        <v>583</v>
      </c>
      <c r="L83">
        <v>813</v>
      </c>
      <c r="M83">
        <v>661</v>
      </c>
      <c r="N83">
        <v>813</v>
      </c>
      <c r="O83">
        <v>310</v>
      </c>
      <c r="P83">
        <v>66</v>
      </c>
      <c r="Q83">
        <v>500</v>
      </c>
      <c r="R83">
        <v>424</v>
      </c>
      <c r="S83">
        <v>98</v>
      </c>
      <c r="T83">
        <v>362</v>
      </c>
      <c r="U83">
        <v>662</v>
      </c>
      <c r="V83">
        <v>161</v>
      </c>
      <c r="W83">
        <v>44</v>
      </c>
      <c r="X83">
        <v>58</v>
      </c>
      <c r="Y83">
        <v>84</v>
      </c>
      <c r="Z83">
        <v>211</v>
      </c>
      <c r="AA83">
        <v>4</v>
      </c>
      <c r="AB83">
        <v>132</v>
      </c>
      <c r="AC83">
        <v>20</v>
      </c>
      <c r="AD83">
        <v>22</v>
      </c>
      <c r="AE83">
        <v>11</v>
      </c>
      <c r="AF83">
        <v>18</v>
      </c>
      <c r="AG83">
        <v>17</v>
      </c>
      <c r="AH83">
        <v>2</v>
      </c>
      <c r="AI83">
        <v>8</v>
      </c>
      <c r="AJ83">
        <v>86</v>
      </c>
      <c r="AK83">
        <v>4</v>
      </c>
      <c r="AL83">
        <v>65</v>
      </c>
      <c r="AM83">
        <v>14</v>
      </c>
      <c r="AN83">
        <v>12</v>
      </c>
      <c r="AO83">
        <v>15</v>
      </c>
      <c r="AP83">
        <v>29</v>
      </c>
      <c r="AQ83">
        <v>9</v>
      </c>
      <c r="AR83">
        <v>11</v>
      </c>
      <c r="AS83">
        <v>2</v>
      </c>
      <c r="AT83">
        <v>0</v>
      </c>
      <c r="AU83">
        <v>1</v>
      </c>
      <c r="AV83">
        <v>5</v>
      </c>
      <c r="AW83">
        <v>1</v>
      </c>
      <c r="AX83">
        <v>2</v>
      </c>
      <c r="AY83">
        <v>3</v>
      </c>
      <c r="AZ83">
        <v>2</v>
      </c>
      <c r="BA83">
        <v>2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1</v>
      </c>
      <c r="BH83">
        <v>2</v>
      </c>
      <c r="BI83">
        <v>2</v>
      </c>
      <c r="BJ83">
        <v>8</v>
      </c>
      <c r="BK83">
        <v>0</v>
      </c>
      <c r="BL83">
        <v>0</v>
      </c>
      <c r="BM83">
        <v>0</v>
      </c>
      <c r="BN83">
        <v>1</v>
      </c>
      <c r="BO83">
        <v>1</v>
      </c>
      <c r="BP83">
        <v>2</v>
      </c>
      <c r="BQ83">
        <v>0</v>
      </c>
      <c r="BR83">
        <v>2</v>
      </c>
      <c r="BS83">
        <v>0</v>
      </c>
      <c r="BT83">
        <v>6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  <c r="CC83">
        <v>1</v>
      </c>
      <c r="CD83">
        <v>1</v>
      </c>
      <c r="CE83">
        <v>0</v>
      </c>
      <c r="CF83">
        <v>1</v>
      </c>
      <c r="CG83">
        <v>2</v>
      </c>
      <c r="CH83">
        <v>0</v>
      </c>
      <c r="CI83">
        <v>2</v>
      </c>
      <c r="CJ83">
        <v>0</v>
      </c>
      <c r="CK83">
        <v>0</v>
      </c>
      <c r="CL83">
        <v>4</v>
      </c>
      <c r="CM83">
        <v>0</v>
      </c>
      <c r="CN83">
        <v>0</v>
      </c>
      <c r="CO83">
        <v>1</v>
      </c>
      <c r="CP83">
        <v>1</v>
      </c>
      <c r="CQ83">
        <v>0</v>
      </c>
      <c r="CR83">
        <v>0</v>
      </c>
      <c r="CS83">
        <v>1</v>
      </c>
      <c r="CT83">
        <v>0</v>
      </c>
      <c r="CU83">
        <v>1</v>
      </c>
      <c r="CV83">
        <v>0</v>
      </c>
      <c r="CW83">
        <v>1</v>
      </c>
      <c r="CX83">
        <v>0</v>
      </c>
      <c r="CY83">
        <v>2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3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9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1</v>
      </c>
    </row>
    <row r="84" spans="1:201" x14ac:dyDescent="0.3">
      <c r="A84" t="s">
        <v>201</v>
      </c>
      <c r="B84" t="s">
        <v>229</v>
      </c>
      <c r="C84" t="s">
        <v>203</v>
      </c>
      <c r="D84" s="1">
        <v>10082</v>
      </c>
      <c r="E84">
        <v>783</v>
      </c>
      <c r="F84" s="1">
        <v>1183</v>
      </c>
      <c r="G84">
        <v>604</v>
      </c>
      <c r="H84" s="1">
        <v>1266</v>
      </c>
      <c r="I84">
        <v>852</v>
      </c>
      <c r="J84">
        <v>803</v>
      </c>
      <c r="K84">
        <v>493</v>
      </c>
      <c r="L84">
        <v>731</v>
      </c>
      <c r="M84">
        <v>535</v>
      </c>
      <c r="N84">
        <v>612</v>
      </c>
      <c r="O84">
        <v>147</v>
      </c>
      <c r="P84">
        <v>39</v>
      </c>
      <c r="Q84">
        <v>434</v>
      </c>
      <c r="R84">
        <v>353</v>
      </c>
      <c r="S84">
        <v>14</v>
      </c>
      <c r="T84">
        <v>178</v>
      </c>
      <c r="U84">
        <v>346</v>
      </c>
      <c r="V84">
        <v>133</v>
      </c>
      <c r="W84">
        <v>21</v>
      </c>
      <c r="X84">
        <v>45</v>
      </c>
      <c r="Y84">
        <v>68</v>
      </c>
      <c r="Z84">
        <v>134</v>
      </c>
      <c r="AA84">
        <v>0</v>
      </c>
      <c r="AB84">
        <v>75</v>
      </c>
      <c r="AC84">
        <v>12</v>
      </c>
      <c r="AD84">
        <v>5</v>
      </c>
      <c r="AE84">
        <v>11</v>
      </c>
      <c r="AF84">
        <v>10</v>
      </c>
      <c r="AG84">
        <v>11</v>
      </c>
      <c r="AH84">
        <v>2</v>
      </c>
      <c r="AI84">
        <v>6</v>
      </c>
      <c r="AJ84">
        <v>43</v>
      </c>
      <c r="AK84">
        <v>4</v>
      </c>
      <c r="AL84">
        <v>28</v>
      </c>
      <c r="AM84">
        <v>4</v>
      </c>
      <c r="AN84">
        <v>6</v>
      </c>
      <c r="AO84">
        <v>9</v>
      </c>
      <c r="AP84">
        <v>23</v>
      </c>
      <c r="AQ84">
        <v>4</v>
      </c>
      <c r="AR84">
        <v>8</v>
      </c>
      <c r="AS84">
        <v>0</v>
      </c>
      <c r="AT84">
        <v>0</v>
      </c>
      <c r="AU84">
        <v>0</v>
      </c>
      <c r="AV84">
        <v>5</v>
      </c>
      <c r="AW84">
        <v>0</v>
      </c>
      <c r="AX84">
        <v>2</v>
      </c>
      <c r="AY84">
        <v>1</v>
      </c>
      <c r="AZ84">
        <v>2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1</v>
      </c>
      <c r="BJ84">
        <v>5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2</v>
      </c>
      <c r="BQ84">
        <v>0</v>
      </c>
      <c r="BR84">
        <v>1</v>
      </c>
      <c r="BS84">
        <v>0</v>
      </c>
      <c r="BT84">
        <v>4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  <c r="CC84">
        <v>0</v>
      </c>
      <c r="CD84">
        <v>0</v>
      </c>
      <c r="CE84">
        <v>0</v>
      </c>
      <c r="CF84">
        <v>1</v>
      </c>
      <c r="CG84">
        <v>1</v>
      </c>
      <c r="CH84">
        <v>0</v>
      </c>
      <c r="CI84">
        <v>1</v>
      </c>
      <c r="CJ84">
        <v>0</v>
      </c>
      <c r="CK84">
        <v>0</v>
      </c>
      <c r="CL84">
        <v>2</v>
      </c>
      <c r="CM84">
        <v>0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2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4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</v>
      </c>
      <c r="EJ84">
        <v>0</v>
      </c>
      <c r="EK84">
        <v>0</v>
      </c>
      <c r="EL84">
        <v>0</v>
      </c>
      <c r="EM84">
        <v>1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1</v>
      </c>
    </row>
    <row r="85" spans="1:201" x14ac:dyDescent="0.3">
      <c r="A85" t="s">
        <v>201</v>
      </c>
      <c r="B85" t="s">
        <v>229</v>
      </c>
      <c r="C85" t="s">
        <v>204</v>
      </c>
      <c r="D85" s="1">
        <v>5366</v>
      </c>
      <c r="E85">
        <v>641</v>
      </c>
      <c r="F85">
        <v>919</v>
      </c>
      <c r="G85">
        <v>957</v>
      </c>
      <c r="H85">
        <v>216</v>
      </c>
      <c r="I85">
        <v>488</v>
      </c>
      <c r="J85">
        <v>322</v>
      </c>
      <c r="K85">
        <v>90</v>
      </c>
      <c r="L85">
        <v>82</v>
      </c>
      <c r="M85">
        <v>126</v>
      </c>
      <c r="N85">
        <v>201</v>
      </c>
      <c r="O85">
        <v>163</v>
      </c>
      <c r="P85">
        <v>27</v>
      </c>
      <c r="Q85">
        <v>66</v>
      </c>
      <c r="R85">
        <v>71</v>
      </c>
      <c r="S85">
        <v>84</v>
      </c>
      <c r="T85">
        <v>184</v>
      </c>
      <c r="U85">
        <v>316</v>
      </c>
      <c r="V85">
        <v>28</v>
      </c>
      <c r="W85">
        <v>23</v>
      </c>
      <c r="X85">
        <v>13</v>
      </c>
      <c r="Y85">
        <v>16</v>
      </c>
      <c r="Z85">
        <v>77</v>
      </c>
      <c r="AA85">
        <v>4</v>
      </c>
      <c r="AB85">
        <v>57</v>
      </c>
      <c r="AC85">
        <v>8</v>
      </c>
      <c r="AD85">
        <v>17</v>
      </c>
      <c r="AE85">
        <v>0</v>
      </c>
      <c r="AF85">
        <v>8</v>
      </c>
      <c r="AG85">
        <v>6</v>
      </c>
      <c r="AH85">
        <v>0</v>
      </c>
      <c r="AI85">
        <v>2</v>
      </c>
      <c r="AJ85">
        <v>43</v>
      </c>
      <c r="AK85">
        <v>0</v>
      </c>
      <c r="AL85">
        <v>37</v>
      </c>
      <c r="AM85">
        <v>10</v>
      </c>
      <c r="AN85">
        <v>6</v>
      </c>
      <c r="AO85">
        <v>6</v>
      </c>
      <c r="AP85">
        <v>6</v>
      </c>
      <c r="AQ85">
        <v>5</v>
      </c>
      <c r="AR85">
        <v>3</v>
      </c>
      <c r="AS85">
        <v>2</v>
      </c>
      <c r="AT85">
        <v>0</v>
      </c>
      <c r="AU85">
        <v>1</v>
      </c>
      <c r="AV85">
        <v>0</v>
      </c>
      <c r="AW85">
        <v>1</v>
      </c>
      <c r="AX85">
        <v>0</v>
      </c>
      <c r="AY85">
        <v>2</v>
      </c>
      <c r="AZ85">
        <v>0</v>
      </c>
      <c r="BA85">
        <v>2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1</v>
      </c>
      <c r="BJ85">
        <v>3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2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1</v>
      </c>
      <c r="CE85">
        <v>0</v>
      </c>
      <c r="CF85">
        <v>0</v>
      </c>
      <c r="CG85">
        <v>1</v>
      </c>
      <c r="CH85">
        <v>0</v>
      </c>
      <c r="CI85">
        <v>1</v>
      </c>
      <c r="CJ85">
        <v>0</v>
      </c>
      <c r="CK85">
        <v>0</v>
      </c>
      <c r="CL85">
        <v>2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1</v>
      </c>
      <c r="CT85">
        <v>0</v>
      </c>
      <c r="CU85">
        <v>1</v>
      </c>
      <c r="CV85">
        <v>0</v>
      </c>
      <c r="CW85">
        <v>1</v>
      </c>
      <c r="CX85">
        <v>0</v>
      </c>
      <c r="CY85">
        <v>1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5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 x14ac:dyDescent="0.3">
      <c r="A86" t="s">
        <v>201</v>
      </c>
      <c r="B86" t="s">
        <v>230</v>
      </c>
      <c r="C86" t="s">
        <v>200</v>
      </c>
      <c r="D86" s="1">
        <v>1919</v>
      </c>
      <c r="E86">
        <v>252</v>
      </c>
      <c r="F86">
        <v>366</v>
      </c>
      <c r="G86">
        <v>313</v>
      </c>
      <c r="H86">
        <v>8</v>
      </c>
      <c r="I86">
        <v>22</v>
      </c>
      <c r="J86">
        <v>38</v>
      </c>
      <c r="K86">
        <v>32</v>
      </c>
      <c r="L86">
        <v>92</v>
      </c>
      <c r="M86">
        <v>55</v>
      </c>
      <c r="N86">
        <v>48</v>
      </c>
      <c r="O86">
        <v>26</v>
      </c>
      <c r="P86">
        <v>138</v>
      </c>
      <c r="Q86">
        <v>4</v>
      </c>
      <c r="R86">
        <v>15</v>
      </c>
      <c r="S86">
        <v>143</v>
      </c>
      <c r="T86">
        <v>32</v>
      </c>
      <c r="U86">
        <v>7</v>
      </c>
      <c r="V86">
        <v>11</v>
      </c>
      <c r="W86">
        <v>38</v>
      </c>
      <c r="X86">
        <v>14</v>
      </c>
      <c r="Y86">
        <v>5</v>
      </c>
      <c r="Z86">
        <v>2</v>
      </c>
      <c r="AA86">
        <v>8</v>
      </c>
      <c r="AB86">
        <v>7</v>
      </c>
      <c r="AC86">
        <v>21</v>
      </c>
      <c r="AD86">
        <v>52</v>
      </c>
      <c r="AE86">
        <v>0</v>
      </c>
      <c r="AF86">
        <v>38</v>
      </c>
      <c r="AG86">
        <v>5</v>
      </c>
      <c r="AH86">
        <v>8</v>
      </c>
      <c r="AI86">
        <v>3</v>
      </c>
      <c r="AJ86">
        <v>0</v>
      </c>
      <c r="AK86">
        <v>0</v>
      </c>
      <c r="AL86">
        <v>2</v>
      </c>
      <c r="AM86">
        <v>4</v>
      </c>
      <c r="AN86">
        <v>14</v>
      </c>
      <c r="AO86">
        <v>0</v>
      </c>
      <c r="AP86">
        <v>0</v>
      </c>
      <c r="AQ86">
        <v>3</v>
      </c>
      <c r="AR86">
        <v>0</v>
      </c>
      <c r="AS86">
        <v>18</v>
      </c>
      <c r="AT86">
        <v>4</v>
      </c>
      <c r="AU86">
        <v>1</v>
      </c>
      <c r="AV86">
        <v>0</v>
      </c>
      <c r="AW86">
        <v>3</v>
      </c>
      <c r="AX86">
        <v>0</v>
      </c>
      <c r="AY86">
        <v>3</v>
      </c>
      <c r="AZ86">
        <v>0</v>
      </c>
      <c r="BA86">
        <v>4</v>
      </c>
      <c r="BB86">
        <v>0</v>
      </c>
      <c r="BC86">
        <v>3</v>
      </c>
      <c r="BD86">
        <v>1</v>
      </c>
      <c r="BE86">
        <v>0</v>
      </c>
      <c r="BF86">
        <v>0</v>
      </c>
      <c r="BG86">
        <v>7</v>
      </c>
      <c r="BH86">
        <v>3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3</v>
      </c>
      <c r="BR86">
        <v>2</v>
      </c>
      <c r="BS86">
        <v>4</v>
      </c>
      <c r="BT86">
        <v>0</v>
      </c>
      <c r="BU86">
        <v>0</v>
      </c>
      <c r="BV86">
        <v>1</v>
      </c>
      <c r="BW86">
        <v>2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1</v>
      </c>
      <c r="CD86">
        <v>3</v>
      </c>
      <c r="CE86">
        <v>2</v>
      </c>
      <c r="CF86">
        <v>1</v>
      </c>
      <c r="CG86">
        <v>1</v>
      </c>
      <c r="CH86">
        <v>0</v>
      </c>
      <c r="CI86">
        <v>1</v>
      </c>
      <c r="CJ86">
        <v>2</v>
      </c>
      <c r="CK86">
        <v>1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2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</v>
      </c>
      <c r="DI86">
        <v>0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1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1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3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 x14ac:dyDescent="0.3">
      <c r="A87" t="s">
        <v>201</v>
      </c>
      <c r="B87" t="s">
        <v>230</v>
      </c>
      <c r="C87" t="s">
        <v>203</v>
      </c>
      <c r="D87">
        <v>838</v>
      </c>
      <c r="E87">
        <v>86</v>
      </c>
      <c r="F87">
        <v>192</v>
      </c>
      <c r="G87">
        <v>113</v>
      </c>
      <c r="H87">
        <v>7</v>
      </c>
      <c r="I87">
        <v>9</v>
      </c>
      <c r="J87">
        <v>28</v>
      </c>
      <c r="K87">
        <v>22</v>
      </c>
      <c r="L87">
        <v>79</v>
      </c>
      <c r="M87">
        <v>18</v>
      </c>
      <c r="N87">
        <v>17</v>
      </c>
      <c r="O87">
        <v>8</v>
      </c>
      <c r="P87">
        <v>62</v>
      </c>
      <c r="Q87">
        <v>4</v>
      </c>
      <c r="R87">
        <v>15</v>
      </c>
      <c r="S87">
        <v>31</v>
      </c>
      <c r="T87">
        <v>6</v>
      </c>
      <c r="U87">
        <v>1</v>
      </c>
      <c r="V87">
        <v>7</v>
      </c>
      <c r="W87">
        <v>10</v>
      </c>
      <c r="X87">
        <v>9</v>
      </c>
      <c r="Y87">
        <v>1</v>
      </c>
      <c r="Z87">
        <v>0</v>
      </c>
      <c r="AA87">
        <v>7</v>
      </c>
      <c r="AB87">
        <v>5</v>
      </c>
      <c r="AC87">
        <v>11</v>
      </c>
      <c r="AD87">
        <v>14</v>
      </c>
      <c r="AE87">
        <v>0</v>
      </c>
      <c r="AF87">
        <v>17</v>
      </c>
      <c r="AG87">
        <v>2</v>
      </c>
      <c r="AH87">
        <v>3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10</v>
      </c>
      <c r="AO87">
        <v>0</v>
      </c>
      <c r="AP87">
        <v>0</v>
      </c>
      <c r="AQ87">
        <v>1</v>
      </c>
      <c r="AR87">
        <v>0</v>
      </c>
      <c r="AS87">
        <v>10</v>
      </c>
      <c r="AT87">
        <v>2</v>
      </c>
      <c r="AU87">
        <v>0</v>
      </c>
      <c r="AV87">
        <v>0</v>
      </c>
      <c r="AW87">
        <v>1</v>
      </c>
      <c r="AX87">
        <v>0</v>
      </c>
      <c r="AY87">
        <v>1</v>
      </c>
      <c r="AZ87">
        <v>0</v>
      </c>
      <c r="BA87">
        <v>1</v>
      </c>
      <c r="BB87">
        <v>0</v>
      </c>
      <c r="BC87">
        <v>2</v>
      </c>
      <c r="BD87">
        <v>1</v>
      </c>
      <c r="BE87">
        <v>0</v>
      </c>
      <c r="BF87">
        <v>0</v>
      </c>
      <c r="BG87">
        <v>3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1</v>
      </c>
      <c r="BS87">
        <v>4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2</v>
      </c>
      <c r="CF87">
        <v>1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0</v>
      </c>
      <c r="EG87">
        <v>0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 x14ac:dyDescent="0.3">
      <c r="A88" t="s">
        <v>201</v>
      </c>
      <c r="B88" t="s">
        <v>230</v>
      </c>
      <c r="C88" t="s">
        <v>204</v>
      </c>
      <c r="D88" s="1">
        <v>1081</v>
      </c>
      <c r="E88">
        <v>166</v>
      </c>
      <c r="F88">
        <v>174</v>
      </c>
      <c r="G88">
        <v>200</v>
      </c>
      <c r="H88">
        <v>1</v>
      </c>
      <c r="I88">
        <v>13</v>
      </c>
      <c r="J88">
        <v>10</v>
      </c>
      <c r="K88">
        <v>10</v>
      </c>
      <c r="L88">
        <v>13</v>
      </c>
      <c r="M88">
        <v>37</v>
      </c>
      <c r="N88">
        <v>31</v>
      </c>
      <c r="O88">
        <v>18</v>
      </c>
      <c r="P88">
        <v>76</v>
      </c>
      <c r="Q88">
        <v>0</v>
      </c>
      <c r="R88">
        <v>0</v>
      </c>
      <c r="S88">
        <v>112</v>
      </c>
      <c r="T88">
        <v>26</v>
      </c>
      <c r="U88">
        <v>6</v>
      </c>
      <c r="V88">
        <v>4</v>
      </c>
      <c r="W88">
        <v>28</v>
      </c>
      <c r="X88">
        <v>5</v>
      </c>
      <c r="Y88">
        <v>4</v>
      </c>
      <c r="Z88">
        <v>2</v>
      </c>
      <c r="AA88">
        <v>1</v>
      </c>
      <c r="AB88">
        <v>2</v>
      </c>
      <c r="AC88">
        <v>10</v>
      </c>
      <c r="AD88">
        <v>38</v>
      </c>
      <c r="AE88">
        <v>0</v>
      </c>
      <c r="AF88">
        <v>21</v>
      </c>
      <c r="AG88">
        <v>3</v>
      </c>
      <c r="AH88">
        <v>5</v>
      </c>
      <c r="AI88">
        <v>2</v>
      </c>
      <c r="AJ88">
        <v>0</v>
      </c>
      <c r="AK88">
        <v>0</v>
      </c>
      <c r="AL88">
        <v>2</v>
      </c>
      <c r="AM88">
        <v>4</v>
      </c>
      <c r="AN88">
        <v>4</v>
      </c>
      <c r="AO88">
        <v>0</v>
      </c>
      <c r="AP88">
        <v>0</v>
      </c>
      <c r="AQ88">
        <v>2</v>
      </c>
      <c r="AR88">
        <v>0</v>
      </c>
      <c r="AS88">
        <v>8</v>
      </c>
      <c r="AT88">
        <v>2</v>
      </c>
      <c r="AU88">
        <v>1</v>
      </c>
      <c r="AV88">
        <v>0</v>
      </c>
      <c r="AW88">
        <v>2</v>
      </c>
      <c r="AX88">
        <v>0</v>
      </c>
      <c r="AY88">
        <v>2</v>
      </c>
      <c r="AZ88">
        <v>0</v>
      </c>
      <c r="BA88">
        <v>3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4</v>
      </c>
      <c r="BH88">
        <v>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3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2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1</v>
      </c>
      <c r="CD88">
        <v>3</v>
      </c>
      <c r="CE88">
        <v>0</v>
      </c>
      <c r="CF88">
        <v>0</v>
      </c>
      <c r="CG88">
        <v>1</v>
      </c>
      <c r="CH88">
        <v>0</v>
      </c>
      <c r="CI88">
        <v>1</v>
      </c>
      <c r="CJ88">
        <v>1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1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2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1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 x14ac:dyDescent="0.3">
      <c r="A89" t="s">
        <v>201</v>
      </c>
      <c r="B89" t="s">
        <v>231</v>
      </c>
      <c r="C89" t="s">
        <v>200</v>
      </c>
      <c r="D89" s="1">
        <v>5400</v>
      </c>
      <c r="E89">
        <v>883</v>
      </c>
      <c r="F89" s="1">
        <v>2409</v>
      </c>
      <c r="G89">
        <v>901</v>
      </c>
      <c r="H89">
        <v>31</v>
      </c>
      <c r="I89">
        <v>130</v>
      </c>
      <c r="J89">
        <v>32</v>
      </c>
      <c r="K89">
        <v>26</v>
      </c>
      <c r="L89">
        <v>229</v>
      </c>
      <c r="M89">
        <v>68</v>
      </c>
      <c r="N89">
        <v>132</v>
      </c>
      <c r="O89">
        <v>79</v>
      </c>
      <c r="P89">
        <v>49</v>
      </c>
      <c r="Q89">
        <v>32</v>
      </c>
      <c r="R89">
        <v>46</v>
      </c>
      <c r="S89">
        <v>65</v>
      </c>
      <c r="T89">
        <v>30</v>
      </c>
      <c r="U89">
        <v>3</v>
      </c>
      <c r="V89">
        <v>16</v>
      </c>
      <c r="W89">
        <v>37</v>
      </c>
      <c r="X89">
        <v>24</v>
      </c>
      <c r="Y89">
        <v>11</v>
      </c>
      <c r="Z89">
        <v>2</v>
      </c>
      <c r="AA89">
        <v>10</v>
      </c>
      <c r="AB89">
        <v>18</v>
      </c>
      <c r="AC89">
        <v>12</v>
      </c>
      <c r="AD89">
        <v>5</v>
      </c>
      <c r="AE89">
        <v>0</v>
      </c>
      <c r="AF89">
        <v>11</v>
      </c>
      <c r="AG89">
        <v>5</v>
      </c>
      <c r="AH89">
        <v>2</v>
      </c>
      <c r="AI89">
        <v>2</v>
      </c>
      <c r="AJ89">
        <v>2</v>
      </c>
      <c r="AK89">
        <v>2</v>
      </c>
      <c r="AL89">
        <v>3</v>
      </c>
      <c r="AM89">
        <v>7</v>
      </c>
      <c r="AN89">
        <v>9</v>
      </c>
      <c r="AO89">
        <v>0</v>
      </c>
      <c r="AP89">
        <v>0</v>
      </c>
      <c r="AQ89">
        <v>3</v>
      </c>
      <c r="AR89">
        <v>1</v>
      </c>
      <c r="AS89">
        <v>10</v>
      </c>
      <c r="AT89">
        <v>3</v>
      </c>
      <c r="AU89">
        <v>3</v>
      </c>
      <c r="AV89">
        <v>0</v>
      </c>
      <c r="AW89">
        <v>3</v>
      </c>
      <c r="AX89">
        <v>0</v>
      </c>
      <c r="AY89">
        <v>2</v>
      </c>
      <c r="AZ89">
        <v>0</v>
      </c>
      <c r="BA89">
        <v>3</v>
      </c>
      <c r="BB89">
        <v>2</v>
      </c>
      <c r="BC89">
        <v>1</v>
      </c>
      <c r="BD89">
        <v>0</v>
      </c>
      <c r="BE89">
        <v>1</v>
      </c>
      <c r="BF89">
        <v>0</v>
      </c>
      <c r="BG89">
        <v>4</v>
      </c>
      <c r="BH89">
        <v>4</v>
      </c>
      <c r="BI89">
        <v>0</v>
      </c>
      <c r="BJ89">
        <v>0</v>
      </c>
      <c r="BK89">
        <v>0</v>
      </c>
      <c r="BL89">
        <v>2</v>
      </c>
      <c r="BM89">
        <v>0</v>
      </c>
      <c r="BN89">
        <v>0</v>
      </c>
      <c r="BO89">
        <v>0</v>
      </c>
      <c r="BP89">
        <v>1</v>
      </c>
      <c r="BQ89">
        <v>2</v>
      </c>
      <c r="BR89">
        <v>1</v>
      </c>
      <c r="BS89">
        <v>3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2</v>
      </c>
      <c r="CD89">
        <v>0</v>
      </c>
      <c r="CE89">
        <v>0</v>
      </c>
      <c r="CF89">
        <v>1</v>
      </c>
      <c r="CG89">
        <v>0</v>
      </c>
      <c r="CH89">
        <v>5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5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1</v>
      </c>
      <c r="DQ89">
        <v>0</v>
      </c>
      <c r="DR89">
        <v>1</v>
      </c>
      <c r="DS89">
        <v>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3</v>
      </c>
      <c r="EN89">
        <v>0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2</v>
      </c>
    </row>
    <row r="90" spans="1:201" x14ac:dyDescent="0.3">
      <c r="A90" t="s">
        <v>201</v>
      </c>
      <c r="B90" t="s">
        <v>231</v>
      </c>
      <c r="C90" t="s">
        <v>203</v>
      </c>
      <c r="D90" s="1">
        <v>2762</v>
      </c>
      <c r="E90">
        <v>414</v>
      </c>
      <c r="F90" s="1">
        <v>1344</v>
      </c>
      <c r="G90">
        <v>338</v>
      </c>
      <c r="H90">
        <v>20</v>
      </c>
      <c r="I90">
        <v>108</v>
      </c>
      <c r="J90">
        <v>23</v>
      </c>
      <c r="K90">
        <v>17</v>
      </c>
      <c r="L90">
        <v>92</v>
      </c>
      <c r="M90">
        <v>22</v>
      </c>
      <c r="N90">
        <v>95</v>
      </c>
      <c r="O90">
        <v>36</v>
      </c>
      <c r="P90">
        <v>22</v>
      </c>
      <c r="Q90">
        <v>28</v>
      </c>
      <c r="R90">
        <v>43</v>
      </c>
      <c r="S90">
        <v>5</v>
      </c>
      <c r="T90">
        <v>11</v>
      </c>
      <c r="U90">
        <v>0</v>
      </c>
      <c r="V90">
        <v>11</v>
      </c>
      <c r="W90">
        <v>15</v>
      </c>
      <c r="X90">
        <v>16</v>
      </c>
      <c r="Y90">
        <v>6</v>
      </c>
      <c r="Z90">
        <v>0</v>
      </c>
      <c r="AA90">
        <v>6</v>
      </c>
      <c r="AB90">
        <v>16</v>
      </c>
      <c r="AC90">
        <v>7</v>
      </c>
      <c r="AD90">
        <v>4</v>
      </c>
      <c r="AE90">
        <v>0</v>
      </c>
      <c r="AF90">
        <v>6</v>
      </c>
      <c r="AG90">
        <v>1</v>
      </c>
      <c r="AH90">
        <v>1</v>
      </c>
      <c r="AI90">
        <v>1</v>
      </c>
      <c r="AJ90">
        <v>1</v>
      </c>
      <c r="AK90">
        <v>2</v>
      </c>
      <c r="AL90">
        <v>0</v>
      </c>
      <c r="AM90">
        <v>2</v>
      </c>
      <c r="AN90">
        <v>7</v>
      </c>
      <c r="AO90">
        <v>0</v>
      </c>
      <c r="AP90">
        <v>0</v>
      </c>
      <c r="AQ90">
        <v>1</v>
      </c>
      <c r="AR90">
        <v>1</v>
      </c>
      <c r="AS90">
        <v>1</v>
      </c>
      <c r="AT90">
        <v>2</v>
      </c>
      <c r="AU90">
        <v>2</v>
      </c>
      <c r="AV90">
        <v>0</v>
      </c>
      <c r="AW90">
        <v>2</v>
      </c>
      <c r="AX90">
        <v>0</v>
      </c>
      <c r="AY90">
        <v>1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1</v>
      </c>
      <c r="BF90">
        <v>0</v>
      </c>
      <c r="BG90">
        <v>2</v>
      </c>
      <c r="BH90">
        <v>1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2</v>
      </c>
      <c r="BR90">
        <v>1</v>
      </c>
      <c r="BS90">
        <v>3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5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4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1</v>
      </c>
      <c r="DP90">
        <v>1</v>
      </c>
      <c r="DQ90">
        <v>0</v>
      </c>
      <c r="DR90">
        <v>0</v>
      </c>
      <c r="DS90">
        <v>0</v>
      </c>
      <c r="DT90">
        <v>1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3</v>
      </c>
      <c r="EN90">
        <v>0</v>
      </c>
      <c r="EO90">
        <v>1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 x14ac:dyDescent="0.3">
      <c r="A91" t="s">
        <v>201</v>
      </c>
      <c r="B91" t="s">
        <v>231</v>
      </c>
      <c r="C91" t="s">
        <v>204</v>
      </c>
      <c r="D91" s="1">
        <v>2638</v>
      </c>
      <c r="E91">
        <v>469</v>
      </c>
      <c r="F91" s="1">
        <v>1065</v>
      </c>
      <c r="G91">
        <v>563</v>
      </c>
      <c r="H91">
        <v>11</v>
      </c>
      <c r="I91">
        <v>22</v>
      </c>
      <c r="J91">
        <v>9</v>
      </c>
      <c r="K91">
        <v>9</v>
      </c>
      <c r="L91">
        <v>137</v>
      </c>
      <c r="M91">
        <v>46</v>
      </c>
      <c r="N91">
        <v>37</v>
      </c>
      <c r="O91">
        <v>43</v>
      </c>
      <c r="P91">
        <v>27</v>
      </c>
      <c r="Q91">
        <v>4</v>
      </c>
      <c r="R91">
        <v>3</v>
      </c>
      <c r="S91">
        <v>60</v>
      </c>
      <c r="T91">
        <v>19</v>
      </c>
      <c r="U91">
        <v>3</v>
      </c>
      <c r="V91">
        <v>5</v>
      </c>
      <c r="W91">
        <v>22</v>
      </c>
      <c r="X91">
        <v>8</v>
      </c>
      <c r="Y91">
        <v>5</v>
      </c>
      <c r="Z91">
        <v>2</v>
      </c>
      <c r="AA91">
        <v>4</v>
      </c>
      <c r="AB91">
        <v>2</v>
      </c>
      <c r="AC91">
        <v>5</v>
      </c>
      <c r="AD91">
        <v>1</v>
      </c>
      <c r="AE91">
        <v>0</v>
      </c>
      <c r="AF91">
        <v>5</v>
      </c>
      <c r="AG91">
        <v>4</v>
      </c>
      <c r="AH91">
        <v>1</v>
      </c>
      <c r="AI91">
        <v>1</v>
      </c>
      <c r="AJ91">
        <v>1</v>
      </c>
      <c r="AK91">
        <v>0</v>
      </c>
      <c r="AL91">
        <v>3</v>
      </c>
      <c r="AM91">
        <v>5</v>
      </c>
      <c r="AN91">
        <v>2</v>
      </c>
      <c r="AO91">
        <v>0</v>
      </c>
      <c r="AP91">
        <v>0</v>
      </c>
      <c r="AQ91">
        <v>2</v>
      </c>
      <c r="AR91">
        <v>0</v>
      </c>
      <c r="AS91">
        <v>9</v>
      </c>
      <c r="AT91">
        <v>1</v>
      </c>
      <c r="AU91">
        <v>1</v>
      </c>
      <c r="AV91">
        <v>0</v>
      </c>
      <c r="AW91">
        <v>1</v>
      </c>
      <c r="AX91">
        <v>0</v>
      </c>
      <c r="AY91">
        <v>1</v>
      </c>
      <c r="AZ91">
        <v>0</v>
      </c>
      <c r="BA91">
        <v>2</v>
      </c>
      <c r="BB91">
        <v>2</v>
      </c>
      <c r="BC91">
        <v>0</v>
      </c>
      <c r="BD91">
        <v>0</v>
      </c>
      <c r="BE91">
        <v>0</v>
      </c>
      <c r="BF91">
        <v>0</v>
      </c>
      <c r="BG91">
        <v>2</v>
      </c>
      <c r="BH91">
        <v>3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2</v>
      </c>
    </row>
    <row r="92" spans="1:201" x14ac:dyDescent="0.3">
      <c r="A92" t="s">
        <v>201</v>
      </c>
      <c r="B92" t="s">
        <v>232</v>
      </c>
      <c r="C92" t="s">
        <v>200</v>
      </c>
      <c r="D92" s="1">
        <v>10224</v>
      </c>
      <c r="E92" s="1">
        <v>1425</v>
      </c>
      <c r="F92">
        <v>630</v>
      </c>
      <c r="G92">
        <v>524</v>
      </c>
      <c r="H92" s="1">
        <v>1254</v>
      </c>
      <c r="I92">
        <v>335</v>
      </c>
      <c r="J92">
        <v>569</v>
      </c>
      <c r="K92">
        <v>331</v>
      </c>
      <c r="L92">
        <v>683</v>
      </c>
      <c r="M92">
        <v>684</v>
      </c>
      <c r="N92">
        <v>608</v>
      </c>
      <c r="O92">
        <v>414</v>
      </c>
      <c r="P92">
        <v>116</v>
      </c>
      <c r="Q92">
        <v>336</v>
      </c>
      <c r="R92">
        <v>865</v>
      </c>
      <c r="S92">
        <v>110</v>
      </c>
      <c r="T92">
        <v>33</v>
      </c>
      <c r="U92">
        <v>41</v>
      </c>
      <c r="V92">
        <v>358</v>
      </c>
      <c r="W92">
        <v>40</v>
      </c>
      <c r="X92">
        <v>239</v>
      </c>
      <c r="Y92">
        <v>145</v>
      </c>
      <c r="Z92">
        <v>55</v>
      </c>
      <c r="AA92">
        <v>7</v>
      </c>
      <c r="AB92">
        <v>9</v>
      </c>
      <c r="AC92">
        <v>10</v>
      </c>
      <c r="AD92">
        <v>15</v>
      </c>
      <c r="AE92">
        <v>50</v>
      </c>
      <c r="AF92">
        <v>8</v>
      </c>
      <c r="AG92">
        <v>14</v>
      </c>
      <c r="AH92">
        <v>6</v>
      </c>
      <c r="AI92">
        <v>8</v>
      </c>
      <c r="AJ92">
        <v>5</v>
      </c>
      <c r="AK92">
        <v>40</v>
      </c>
      <c r="AL92">
        <v>3</v>
      </c>
      <c r="AM92">
        <v>9</v>
      </c>
      <c r="AN92">
        <v>7</v>
      </c>
      <c r="AO92">
        <v>9</v>
      </c>
      <c r="AP92">
        <v>38</v>
      </c>
      <c r="AQ92">
        <v>17</v>
      </c>
      <c r="AR92">
        <v>7</v>
      </c>
      <c r="AS92">
        <v>7</v>
      </c>
      <c r="AT92">
        <v>2</v>
      </c>
      <c r="AU92">
        <v>11</v>
      </c>
      <c r="AV92">
        <v>9</v>
      </c>
      <c r="AW92">
        <v>2</v>
      </c>
      <c r="AX92">
        <v>0</v>
      </c>
      <c r="AY92">
        <v>2</v>
      </c>
      <c r="AZ92">
        <v>73</v>
      </c>
      <c r="BA92">
        <v>2</v>
      </c>
      <c r="BB92">
        <v>4</v>
      </c>
      <c r="BC92">
        <v>1</v>
      </c>
      <c r="BD92">
        <v>1</v>
      </c>
      <c r="BE92">
        <v>0</v>
      </c>
      <c r="BF92">
        <v>0</v>
      </c>
      <c r="BG92">
        <v>1</v>
      </c>
      <c r="BH92">
        <v>2</v>
      </c>
      <c r="BI92">
        <v>3</v>
      </c>
      <c r="BJ92">
        <v>2</v>
      </c>
      <c r="BK92">
        <v>0</v>
      </c>
      <c r="BL92">
        <v>4</v>
      </c>
      <c r="BM92">
        <v>0</v>
      </c>
      <c r="BN92">
        <v>2</v>
      </c>
      <c r="BO92">
        <v>0</v>
      </c>
      <c r="BP92">
        <v>4</v>
      </c>
      <c r="BQ92">
        <v>4</v>
      </c>
      <c r="BR92">
        <v>3</v>
      </c>
      <c r="BS92">
        <v>0</v>
      </c>
      <c r="BT92">
        <v>7</v>
      </c>
      <c r="BU92">
        <v>0</v>
      </c>
      <c r="BV92">
        <v>2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</v>
      </c>
      <c r="CF92">
        <v>0</v>
      </c>
      <c r="CG92">
        <v>0</v>
      </c>
      <c r="CH92">
        <v>2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2</v>
      </c>
      <c r="DF92">
        <v>1</v>
      </c>
      <c r="DG92">
        <v>2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2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1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1</v>
      </c>
    </row>
    <row r="93" spans="1:201" x14ac:dyDescent="0.3">
      <c r="A93" t="s">
        <v>201</v>
      </c>
      <c r="B93" t="s">
        <v>232</v>
      </c>
      <c r="C93" t="s">
        <v>203</v>
      </c>
      <c r="D93" s="1">
        <v>7275</v>
      </c>
      <c r="E93">
        <v>779</v>
      </c>
      <c r="F93">
        <v>342</v>
      </c>
      <c r="G93">
        <v>185</v>
      </c>
      <c r="H93" s="1">
        <v>1035</v>
      </c>
      <c r="I93">
        <v>273</v>
      </c>
      <c r="J93">
        <v>457</v>
      </c>
      <c r="K93">
        <v>299</v>
      </c>
      <c r="L93">
        <v>662</v>
      </c>
      <c r="M93">
        <v>468</v>
      </c>
      <c r="N93">
        <v>415</v>
      </c>
      <c r="O93">
        <v>224</v>
      </c>
      <c r="P93">
        <v>65</v>
      </c>
      <c r="Q93">
        <v>295</v>
      </c>
      <c r="R93">
        <v>744</v>
      </c>
      <c r="S93">
        <v>16</v>
      </c>
      <c r="T93">
        <v>11</v>
      </c>
      <c r="U93">
        <v>17</v>
      </c>
      <c r="V93">
        <v>295</v>
      </c>
      <c r="W93">
        <v>12</v>
      </c>
      <c r="X93">
        <v>220</v>
      </c>
      <c r="Y93">
        <v>126</v>
      </c>
      <c r="Z93">
        <v>37</v>
      </c>
      <c r="AA93">
        <v>3</v>
      </c>
      <c r="AB93">
        <v>6</v>
      </c>
      <c r="AC93">
        <v>9</v>
      </c>
      <c r="AD93">
        <v>7</v>
      </c>
      <c r="AE93">
        <v>50</v>
      </c>
      <c r="AF93">
        <v>7</v>
      </c>
      <c r="AG93">
        <v>9</v>
      </c>
      <c r="AH93">
        <v>4</v>
      </c>
      <c r="AI93">
        <v>5</v>
      </c>
      <c r="AJ93">
        <v>3</v>
      </c>
      <c r="AK93">
        <v>33</v>
      </c>
      <c r="AL93">
        <v>1</v>
      </c>
      <c r="AM93">
        <v>1</v>
      </c>
      <c r="AN93">
        <v>3</v>
      </c>
      <c r="AO93">
        <v>7</v>
      </c>
      <c r="AP93">
        <v>26</v>
      </c>
      <c r="AQ93">
        <v>6</v>
      </c>
      <c r="AR93">
        <v>7</v>
      </c>
      <c r="AS93">
        <v>3</v>
      </c>
      <c r="AT93">
        <v>0</v>
      </c>
      <c r="AU93">
        <v>6</v>
      </c>
      <c r="AV93">
        <v>9</v>
      </c>
      <c r="AW93">
        <v>0</v>
      </c>
      <c r="AX93">
        <v>0</v>
      </c>
      <c r="AY93">
        <v>1</v>
      </c>
      <c r="AZ93">
        <v>58</v>
      </c>
      <c r="BA93">
        <v>0</v>
      </c>
      <c r="BB93">
        <v>1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1</v>
      </c>
      <c r="BK93">
        <v>0</v>
      </c>
      <c r="BL93">
        <v>3</v>
      </c>
      <c r="BM93">
        <v>0</v>
      </c>
      <c r="BN93">
        <v>0</v>
      </c>
      <c r="BO93">
        <v>0</v>
      </c>
      <c r="BP93">
        <v>4</v>
      </c>
      <c r="BQ93">
        <v>3</v>
      </c>
      <c r="BR93">
        <v>2</v>
      </c>
      <c r="BS93">
        <v>0</v>
      </c>
      <c r="BT93">
        <v>7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2</v>
      </c>
      <c r="DF93">
        <v>1</v>
      </c>
      <c r="DG93">
        <v>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1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1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 x14ac:dyDescent="0.3">
      <c r="A94" t="s">
        <v>201</v>
      </c>
      <c r="B94" t="s">
        <v>232</v>
      </c>
      <c r="C94" t="s">
        <v>204</v>
      </c>
      <c r="D94" s="1">
        <v>2949</v>
      </c>
      <c r="E94">
        <v>646</v>
      </c>
      <c r="F94">
        <v>288</v>
      </c>
      <c r="G94">
        <v>339</v>
      </c>
      <c r="H94">
        <v>219</v>
      </c>
      <c r="I94">
        <v>62</v>
      </c>
      <c r="J94">
        <v>112</v>
      </c>
      <c r="K94">
        <v>32</v>
      </c>
      <c r="L94">
        <v>21</v>
      </c>
      <c r="M94">
        <v>216</v>
      </c>
      <c r="N94">
        <v>193</v>
      </c>
      <c r="O94">
        <v>190</v>
      </c>
      <c r="P94">
        <v>51</v>
      </c>
      <c r="Q94">
        <v>41</v>
      </c>
      <c r="R94">
        <v>121</v>
      </c>
      <c r="S94">
        <v>94</v>
      </c>
      <c r="T94">
        <v>22</v>
      </c>
      <c r="U94">
        <v>24</v>
      </c>
      <c r="V94">
        <v>63</v>
      </c>
      <c r="W94">
        <v>28</v>
      </c>
      <c r="X94">
        <v>19</v>
      </c>
      <c r="Y94">
        <v>19</v>
      </c>
      <c r="Z94">
        <v>18</v>
      </c>
      <c r="AA94">
        <v>4</v>
      </c>
      <c r="AB94">
        <v>3</v>
      </c>
      <c r="AC94">
        <v>1</v>
      </c>
      <c r="AD94">
        <v>8</v>
      </c>
      <c r="AE94">
        <v>0</v>
      </c>
      <c r="AF94">
        <v>1</v>
      </c>
      <c r="AG94">
        <v>5</v>
      </c>
      <c r="AH94">
        <v>2</v>
      </c>
      <c r="AI94">
        <v>3</v>
      </c>
      <c r="AJ94">
        <v>2</v>
      </c>
      <c r="AK94">
        <v>7</v>
      </c>
      <c r="AL94">
        <v>2</v>
      </c>
      <c r="AM94">
        <v>8</v>
      </c>
      <c r="AN94">
        <v>4</v>
      </c>
      <c r="AO94">
        <v>2</v>
      </c>
      <c r="AP94">
        <v>12</v>
      </c>
      <c r="AQ94">
        <v>11</v>
      </c>
      <c r="AR94">
        <v>0</v>
      </c>
      <c r="AS94">
        <v>4</v>
      </c>
      <c r="AT94">
        <v>2</v>
      </c>
      <c r="AU94">
        <v>5</v>
      </c>
      <c r="AV94">
        <v>0</v>
      </c>
      <c r="AW94">
        <v>2</v>
      </c>
      <c r="AX94">
        <v>0</v>
      </c>
      <c r="AY94">
        <v>1</v>
      </c>
      <c r="AZ94">
        <v>15</v>
      </c>
      <c r="BA94">
        <v>2</v>
      </c>
      <c r="BB94">
        <v>3</v>
      </c>
      <c r="BC94">
        <v>1</v>
      </c>
      <c r="BD94">
        <v>0</v>
      </c>
      <c r="BE94">
        <v>0</v>
      </c>
      <c r="BF94">
        <v>0</v>
      </c>
      <c r="BG94">
        <v>1</v>
      </c>
      <c r="BH94">
        <v>2</v>
      </c>
      <c r="BI94">
        <v>2</v>
      </c>
      <c r="BJ94">
        <v>1</v>
      </c>
      <c r="BK94">
        <v>0</v>
      </c>
      <c r="BL94">
        <v>1</v>
      </c>
      <c r="BM94">
        <v>0</v>
      </c>
      <c r="BN94">
        <v>2</v>
      </c>
      <c r="BO94">
        <v>0</v>
      </c>
      <c r="BP94">
        <v>0</v>
      </c>
      <c r="BQ94">
        <v>1</v>
      </c>
      <c r="BR94">
        <v>1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2</v>
      </c>
      <c r="DR94">
        <v>0</v>
      </c>
      <c r="DS94">
        <v>0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1</v>
      </c>
    </row>
    <row r="95" spans="1:201" x14ac:dyDescent="0.3">
      <c r="A95" t="s">
        <v>201</v>
      </c>
      <c r="B95" t="s">
        <v>233</v>
      </c>
      <c r="C95" t="s">
        <v>200</v>
      </c>
      <c r="D95" s="1">
        <v>1757</v>
      </c>
      <c r="E95">
        <v>242</v>
      </c>
      <c r="F95">
        <v>156</v>
      </c>
      <c r="G95">
        <v>131</v>
      </c>
      <c r="H95">
        <v>175</v>
      </c>
      <c r="I95">
        <v>23</v>
      </c>
      <c r="J95">
        <v>466</v>
      </c>
      <c r="K95">
        <v>14</v>
      </c>
      <c r="L95">
        <v>109</v>
      </c>
      <c r="M95">
        <v>72</v>
      </c>
      <c r="N95">
        <v>83</v>
      </c>
      <c r="O95">
        <v>21</v>
      </c>
      <c r="P95">
        <v>41</v>
      </c>
      <c r="Q95">
        <v>5</v>
      </c>
      <c r="R95">
        <v>12</v>
      </c>
      <c r="S95">
        <v>45</v>
      </c>
      <c r="T95">
        <v>3</v>
      </c>
      <c r="U95">
        <v>4</v>
      </c>
      <c r="V95">
        <v>4</v>
      </c>
      <c r="W95">
        <v>15</v>
      </c>
      <c r="X95">
        <v>27</v>
      </c>
      <c r="Y95">
        <v>2</v>
      </c>
      <c r="Z95">
        <v>2</v>
      </c>
      <c r="AA95">
        <v>6</v>
      </c>
      <c r="AB95">
        <v>0</v>
      </c>
      <c r="AC95">
        <v>15</v>
      </c>
      <c r="AD95">
        <v>13</v>
      </c>
      <c r="AE95">
        <v>0</v>
      </c>
      <c r="AF95">
        <v>16</v>
      </c>
      <c r="AG95">
        <v>2</v>
      </c>
      <c r="AH95">
        <v>9</v>
      </c>
      <c r="AI95">
        <v>2</v>
      </c>
      <c r="AJ95">
        <v>1</v>
      </c>
      <c r="AK95">
        <v>0</v>
      </c>
      <c r="AL95">
        <v>1</v>
      </c>
      <c r="AM95">
        <v>1</v>
      </c>
      <c r="AN95">
        <v>7</v>
      </c>
      <c r="AO95">
        <v>0</v>
      </c>
      <c r="AP95">
        <v>0</v>
      </c>
      <c r="AQ95">
        <v>0</v>
      </c>
      <c r="AR95">
        <v>1</v>
      </c>
      <c r="AS95">
        <v>4</v>
      </c>
      <c r="AT95">
        <v>2</v>
      </c>
      <c r="AU95">
        <v>2</v>
      </c>
      <c r="AV95">
        <v>3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</v>
      </c>
      <c r="BH95">
        <v>0</v>
      </c>
      <c r="BI95">
        <v>0</v>
      </c>
      <c r="BJ95">
        <v>0</v>
      </c>
      <c r="BK95">
        <v>0</v>
      </c>
      <c r="BL95">
        <v>4</v>
      </c>
      <c r="BM95">
        <v>0</v>
      </c>
      <c r="BN95">
        <v>1</v>
      </c>
      <c r="BO95">
        <v>0</v>
      </c>
      <c r="BP95">
        <v>5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 x14ac:dyDescent="0.3">
      <c r="A96" t="s">
        <v>201</v>
      </c>
      <c r="B96" t="s">
        <v>233</v>
      </c>
      <c r="C96" t="s">
        <v>203</v>
      </c>
      <c r="D96">
        <v>869</v>
      </c>
      <c r="E96">
        <v>101</v>
      </c>
      <c r="F96">
        <v>62</v>
      </c>
      <c r="G96">
        <v>30</v>
      </c>
      <c r="H96">
        <v>125</v>
      </c>
      <c r="I96">
        <v>13</v>
      </c>
      <c r="J96">
        <v>201</v>
      </c>
      <c r="K96">
        <v>11</v>
      </c>
      <c r="L96">
        <v>109</v>
      </c>
      <c r="M96">
        <v>20</v>
      </c>
      <c r="N96">
        <v>42</v>
      </c>
      <c r="O96">
        <v>10</v>
      </c>
      <c r="P96">
        <v>23</v>
      </c>
      <c r="Q96">
        <v>5</v>
      </c>
      <c r="R96">
        <v>10</v>
      </c>
      <c r="S96">
        <v>13</v>
      </c>
      <c r="T96">
        <v>0</v>
      </c>
      <c r="U96">
        <v>0</v>
      </c>
      <c r="V96">
        <v>4</v>
      </c>
      <c r="W96">
        <v>7</v>
      </c>
      <c r="X96">
        <v>16</v>
      </c>
      <c r="Y96">
        <v>0</v>
      </c>
      <c r="Z96">
        <v>0</v>
      </c>
      <c r="AA96">
        <v>6</v>
      </c>
      <c r="AB96">
        <v>0</v>
      </c>
      <c r="AC96">
        <v>14</v>
      </c>
      <c r="AD96">
        <v>4</v>
      </c>
      <c r="AE96">
        <v>0</v>
      </c>
      <c r="AF96">
        <v>9</v>
      </c>
      <c r="AG96">
        <v>1</v>
      </c>
      <c r="AH96">
        <v>5</v>
      </c>
      <c r="AI96">
        <v>2</v>
      </c>
      <c r="AJ96">
        <v>1</v>
      </c>
      <c r="AK96">
        <v>0</v>
      </c>
      <c r="AL96">
        <v>0</v>
      </c>
      <c r="AM96">
        <v>1</v>
      </c>
      <c r="AN96">
        <v>4</v>
      </c>
      <c r="AO96">
        <v>0</v>
      </c>
      <c r="AP96">
        <v>0</v>
      </c>
      <c r="AQ96">
        <v>0</v>
      </c>
      <c r="AR96">
        <v>1</v>
      </c>
      <c r="AS96">
        <v>4</v>
      </c>
      <c r="AT96">
        <v>0</v>
      </c>
      <c r="AU96">
        <v>0</v>
      </c>
      <c r="AV96">
        <v>2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3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 x14ac:dyDescent="0.3">
      <c r="A97" t="s">
        <v>201</v>
      </c>
      <c r="B97" t="s">
        <v>233</v>
      </c>
      <c r="C97" t="s">
        <v>204</v>
      </c>
      <c r="D97">
        <v>888</v>
      </c>
      <c r="E97">
        <v>141</v>
      </c>
      <c r="F97">
        <v>94</v>
      </c>
      <c r="G97">
        <v>101</v>
      </c>
      <c r="H97">
        <v>50</v>
      </c>
      <c r="I97">
        <v>10</v>
      </c>
      <c r="J97">
        <v>265</v>
      </c>
      <c r="K97">
        <v>3</v>
      </c>
      <c r="L97">
        <v>0</v>
      </c>
      <c r="M97">
        <v>52</v>
      </c>
      <c r="N97">
        <v>41</v>
      </c>
      <c r="O97">
        <v>11</v>
      </c>
      <c r="P97">
        <v>18</v>
      </c>
      <c r="Q97">
        <v>0</v>
      </c>
      <c r="R97">
        <v>2</v>
      </c>
      <c r="S97">
        <v>32</v>
      </c>
      <c r="T97">
        <v>3</v>
      </c>
      <c r="U97">
        <v>4</v>
      </c>
      <c r="V97">
        <v>0</v>
      </c>
      <c r="W97">
        <v>8</v>
      </c>
      <c r="X97">
        <v>11</v>
      </c>
      <c r="Y97">
        <v>2</v>
      </c>
      <c r="Z97">
        <v>2</v>
      </c>
      <c r="AA97">
        <v>0</v>
      </c>
      <c r="AB97">
        <v>0</v>
      </c>
      <c r="AC97">
        <v>1</v>
      </c>
      <c r="AD97">
        <v>9</v>
      </c>
      <c r="AE97">
        <v>0</v>
      </c>
      <c r="AF97">
        <v>7</v>
      </c>
      <c r="AG97">
        <v>1</v>
      </c>
      <c r="AH97">
        <v>4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2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3</v>
      </c>
      <c r="BM97">
        <v>0</v>
      </c>
      <c r="BN97">
        <v>1</v>
      </c>
      <c r="BO97">
        <v>0</v>
      </c>
      <c r="BP97">
        <v>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 x14ac:dyDescent="0.3">
      <c r="A98" t="s">
        <v>201</v>
      </c>
      <c r="B98" t="s">
        <v>234</v>
      </c>
      <c r="C98" t="s">
        <v>200</v>
      </c>
      <c r="D98" s="1">
        <v>5309</v>
      </c>
      <c r="E98" s="1">
        <v>1084</v>
      </c>
      <c r="F98">
        <v>309</v>
      </c>
      <c r="G98">
        <v>177</v>
      </c>
      <c r="H98">
        <v>646</v>
      </c>
      <c r="I98">
        <v>171</v>
      </c>
      <c r="J98" s="1">
        <v>1033</v>
      </c>
      <c r="K98">
        <v>95</v>
      </c>
      <c r="L98">
        <v>374</v>
      </c>
      <c r="M98">
        <v>259</v>
      </c>
      <c r="N98">
        <v>411</v>
      </c>
      <c r="O98">
        <v>40</v>
      </c>
      <c r="P98">
        <v>14</v>
      </c>
      <c r="Q98">
        <v>36</v>
      </c>
      <c r="R98">
        <v>152</v>
      </c>
      <c r="S98">
        <v>49</v>
      </c>
      <c r="T98">
        <v>73</v>
      </c>
      <c r="U98">
        <v>55</v>
      </c>
      <c r="V98">
        <v>13</v>
      </c>
      <c r="W98">
        <v>28</v>
      </c>
      <c r="X98">
        <v>1</v>
      </c>
      <c r="Y98">
        <v>174</v>
      </c>
      <c r="Z98">
        <v>2</v>
      </c>
      <c r="AA98">
        <v>2</v>
      </c>
      <c r="AB98">
        <v>10</v>
      </c>
      <c r="AC98">
        <v>6</v>
      </c>
      <c r="AD98">
        <v>6</v>
      </c>
      <c r="AE98">
        <v>15</v>
      </c>
      <c r="AF98">
        <v>3</v>
      </c>
      <c r="AG98">
        <v>2</v>
      </c>
      <c r="AH98">
        <v>0</v>
      </c>
      <c r="AI98">
        <v>9</v>
      </c>
      <c r="AJ98">
        <v>3</v>
      </c>
      <c r="AK98">
        <v>0</v>
      </c>
      <c r="AL98">
        <v>1</v>
      </c>
      <c r="AM98">
        <v>1</v>
      </c>
      <c r="AN98">
        <v>4</v>
      </c>
      <c r="AO98">
        <v>12</v>
      </c>
      <c r="AP98">
        <v>16</v>
      </c>
      <c r="AQ98">
        <v>3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1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0</v>
      </c>
      <c r="BJ98">
        <v>1</v>
      </c>
      <c r="BK98">
        <v>0</v>
      </c>
      <c r="BL98">
        <v>2</v>
      </c>
      <c r="BM98">
        <v>0</v>
      </c>
      <c r="BN98">
        <v>0</v>
      </c>
      <c r="BO98">
        <v>1</v>
      </c>
      <c r="BP98">
        <v>1</v>
      </c>
      <c r="BQ98">
        <v>2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1</v>
      </c>
      <c r="CM98">
        <v>0</v>
      </c>
      <c r="CN98">
        <v>0</v>
      </c>
      <c r="CO98">
        <v>0</v>
      </c>
      <c r="CP98">
        <v>1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 x14ac:dyDescent="0.3">
      <c r="A99" t="s">
        <v>201</v>
      </c>
      <c r="B99" t="s">
        <v>234</v>
      </c>
      <c r="C99" t="s">
        <v>203</v>
      </c>
      <c r="D99" s="1">
        <v>3543</v>
      </c>
      <c r="E99">
        <v>665</v>
      </c>
      <c r="F99">
        <v>155</v>
      </c>
      <c r="G99">
        <v>72</v>
      </c>
      <c r="H99">
        <v>471</v>
      </c>
      <c r="I99">
        <v>134</v>
      </c>
      <c r="J99">
        <v>654</v>
      </c>
      <c r="K99">
        <v>85</v>
      </c>
      <c r="L99">
        <v>359</v>
      </c>
      <c r="M99">
        <v>171</v>
      </c>
      <c r="N99">
        <v>274</v>
      </c>
      <c r="O99">
        <v>29</v>
      </c>
      <c r="P99">
        <v>9</v>
      </c>
      <c r="Q99">
        <v>33</v>
      </c>
      <c r="R99">
        <v>132</v>
      </c>
      <c r="S99">
        <v>6</v>
      </c>
      <c r="T99">
        <v>57</v>
      </c>
      <c r="U99">
        <v>28</v>
      </c>
      <c r="V99">
        <v>12</v>
      </c>
      <c r="W99">
        <v>13</v>
      </c>
      <c r="X99">
        <v>1</v>
      </c>
      <c r="Y99">
        <v>111</v>
      </c>
      <c r="Z99">
        <v>1</v>
      </c>
      <c r="AA99">
        <v>2</v>
      </c>
      <c r="AB99">
        <v>2</v>
      </c>
      <c r="AC99">
        <v>3</v>
      </c>
      <c r="AD99">
        <v>1</v>
      </c>
      <c r="AE99">
        <v>15</v>
      </c>
      <c r="AF99">
        <v>2</v>
      </c>
      <c r="AG99">
        <v>1</v>
      </c>
      <c r="AH99">
        <v>0</v>
      </c>
      <c r="AI99">
        <v>7</v>
      </c>
      <c r="AJ99">
        <v>1</v>
      </c>
      <c r="AK99">
        <v>0</v>
      </c>
      <c r="AL99">
        <v>0</v>
      </c>
      <c r="AM99">
        <v>0</v>
      </c>
      <c r="AN99">
        <v>3</v>
      </c>
      <c r="AO99">
        <v>10</v>
      </c>
      <c r="AP99">
        <v>10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</v>
      </c>
      <c r="BM99">
        <v>0</v>
      </c>
      <c r="BN99">
        <v>0</v>
      </c>
      <c r="BO99">
        <v>1</v>
      </c>
      <c r="BP99">
        <v>1</v>
      </c>
      <c r="BQ99">
        <v>2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 x14ac:dyDescent="0.3">
      <c r="A100" t="s">
        <v>201</v>
      </c>
      <c r="B100" t="s">
        <v>234</v>
      </c>
      <c r="C100" t="s">
        <v>204</v>
      </c>
      <c r="D100" s="1">
        <v>1766</v>
      </c>
      <c r="E100">
        <v>419</v>
      </c>
      <c r="F100">
        <v>154</v>
      </c>
      <c r="G100">
        <v>105</v>
      </c>
      <c r="H100">
        <v>175</v>
      </c>
      <c r="I100">
        <v>37</v>
      </c>
      <c r="J100">
        <v>379</v>
      </c>
      <c r="K100">
        <v>10</v>
      </c>
      <c r="L100">
        <v>15</v>
      </c>
      <c r="M100">
        <v>88</v>
      </c>
      <c r="N100">
        <v>137</v>
      </c>
      <c r="O100">
        <v>11</v>
      </c>
      <c r="P100">
        <v>5</v>
      </c>
      <c r="Q100">
        <v>3</v>
      </c>
      <c r="R100">
        <v>20</v>
      </c>
      <c r="S100">
        <v>43</v>
      </c>
      <c r="T100">
        <v>16</v>
      </c>
      <c r="U100">
        <v>27</v>
      </c>
      <c r="V100">
        <v>1</v>
      </c>
      <c r="W100">
        <v>15</v>
      </c>
      <c r="X100">
        <v>0</v>
      </c>
      <c r="Y100">
        <v>63</v>
      </c>
      <c r="Z100">
        <v>1</v>
      </c>
      <c r="AA100">
        <v>0</v>
      </c>
      <c r="AB100">
        <v>8</v>
      </c>
      <c r="AC100">
        <v>3</v>
      </c>
      <c r="AD100">
        <v>5</v>
      </c>
      <c r="AE100">
        <v>0</v>
      </c>
      <c r="AF100">
        <v>1</v>
      </c>
      <c r="AG100">
        <v>1</v>
      </c>
      <c r="AH100">
        <v>0</v>
      </c>
      <c r="AI100">
        <v>2</v>
      </c>
      <c r="AJ100">
        <v>2</v>
      </c>
      <c r="AK100">
        <v>0</v>
      </c>
      <c r="AL100">
        <v>1</v>
      </c>
      <c r="AM100">
        <v>1</v>
      </c>
      <c r="AN100">
        <v>1</v>
      </c>
      <c r="AO100">
        <v>2</v>
      </c>
      <c r="AP100">
        <v>6</v>
      </c>
      <c r="AQ100">
        <v>3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 x14ac:dyDescent="0.3">
      <c r="A101" t="s">
        <v>201</v>
      </c>
      <c r="B101" t="s">
        <v>235</v>
      </c>
      <c r="C101" t="s">
        <v>200</v>
      </c>
      <c r="D101" s="1">
        <v>1434</v>
      </c>
      <c r="E101">
        <v>158</v>
      </c>
      <c r="F101">
        <v>64</v>
      </c>
      <c r="G101">
        <v>63</v>
      </c>
      <c r="H101">
        <v>340</v>
      </c>
      <c r="I101">
        <v>21</v>
      </c>
      <c r="J101">
        <v>86</v>
      </c>
      <c r="K101">
        <v>25</v>
      </c>
      <c r="L101">
        <v>91</v>
      </c>
      <c r="M101">
        <v>69</v>
      </c>
      <c r="N101">
        <v>45</v>
      </c>
      <c r="O101">
        <v>17</v>
      </c>
      <c r="P101">
        <v>9</v>
      </c>
      <c r="Q101">
        <v>21</v>
      </c>
      <c r="R101">
        <v>173</v>
      </c>
      <c r="S101">
        <v>16</v>
      </c>
      <c r="T101">
        <v>3</v>
      </c>
      <c r="U101">
        <v>1</v>
      </c>
      <c r="V101">
        <v>31</v>
      </c>
      <c r="W101">
        <v>8</v>
      </c>
      <c r="X101">
        <v>102</v>
      </c>
      <c r="Y101">
        <v>28</v>
      </c>
      <c r="Z101">
        <v>1</v>
      </c>
      <c r="AA101">
        <v>2</v>
      </c>
      <c r="AB101">
        <v>2</v>
      </c>
      <c r="AC101">
        <v>1</v>
      </c>
      <c r="AD101">
        <v>5</v>
      </c>
      <c r="AE101">
        <v>1</v>
      </c>
      <c r="AF101">
        <v>3</v>
      </c>
      <c r="AG101">
        <v>0</v>
      </c>
      <c r="AH101">
        <v>0</v>
      </c>
      <c r="AI101">
        <v>18</v>
      </c>
      <c r="AJ101">
        <v>0</v>
      </c>
      <c r="AK101">
        <v>5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2</v>
      </c>
      <c r="AR101">
        <v>0</v>
      </c>
      <c r="AS101">
        <v>1</v>
      </c>
      <c r="AT101">
        <v>0</v>
      </c>
      <c r="AU101">
        <v>2</v>
      </c>
      <c r="AV101">
        <v>0</v>
      </c>
      <c r="AW101">
        <v>2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5</v>
      </c>
      <c r="BO101">
        <v>0</v>
      </c>
      <c r="BP101">
        <v>1</v>
      </c>
      <c r="BQ101">
        <v>0</v>
      </c>
      <c r="BR101">
        <v>0</v>
      </c>
      <c r="BS101">
        <v>0</v>
      </c>
      <c r="BT101">
        <v>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 x14ac:dyDescent="0.3">
      <c r="A102" t="s">
        <v>201</v>
      </c>
      <c r="B102" t="s">
        <v>235</v>
      </c>
      <c r="C102" t="s">
        <v>203</v>
      </c>
      <c r="D102" s="1">
        <v>1015</v>
      </c>
      <c r="E102">
        <v>73</v>
      </c>
      <c r="F102">
        <v>37</v>
      </c>
      <c r="G102">
        <v>16</v>
      </c>
      <c r="H102">
        <v>288</v>
      </c>
      <c r="I102">
        <v>20</v>
      </c>
      <c r="J102">
        <v>54</v>
      </c>
      <c r="K102">
        <v>25</v>
      </c>
      <c r="L102">
        <v>89</v>
      </c>
      <c r="M102">
        <v>45</v>
      </c>
      <c r="N102">
        <v>25</v>
      </c>
      <c r="O102">
        <v>10</v>
      </c>
      <c r="P102">
        <v>6</v>
      </c>
      <c r="Q102">
        <v>19</v>
      </c>
      <c r="R102">
        <v>120</v>
      </c>
      <c r="S102">
        <v>3</v>
      </c>
      <c r="T102">
        <v>0</v>
      </c>
      <c r="U102">
        <v>0</v>
      </c>
      <c r="V102">
        <v>22</v>
      </c>
      <c r="W102">
        <v>3</v>
      </c>
      <c r="X102">
        <v>94</v>
      </c>
      <c r="Y102">
        <v>26</v>
      </c>
      <c r="Z102">
        <v>0</v>
      </c>
      <c r="AA102">
        <v>2</v>
      </c>
      <c r="AB102">
        <v>2</v>
      </c>
      <c r="AC102">
        <v>0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17</v>
      </c>
      <c r="AJ102">
        <v>0</v>
      </c>
      <c r="AK102">
        <v>4</v>
      </c>
      <c r="AL102">
        <v>0</v>
      </c>
      <c r="AM102">
        <v>0</v>
      </c>
      <c r="AN102">
        <v>1</v>
      </c>
      <c r="AO102">
        <v>1</v>
      </c>
      <c r="AP102">
        <v>1</v>
      </c>
      <c r="AQ102">
        <v>2</v>
      </c>
      <c r="AR102">
        <v>0</v>
      </c>
      <c r="AS102">
        <v>0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4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 x14ac:dyDescent="0.3">
      <c r="A103" t="s">
        <v>201</v>
      </c>
      <c r="B103" t="s">
        <v>235</v>
      </c>
      <c r="C103" t="s">
        <v>204</v>
      </c>
      <c r="D103">
        <v>419</v>
      </c>
      <c r="E103">
        <v>85</v>
      </c>
      <c r="F103">
        <v>27</v>
      </c>
      <c r="G103">
        <v>47</v>
      </c>
      <c r="H103">
        <v>52</v>
      </c>
      <c r="I103">
        <v>1</v>
      </c>
      <c r="J103">
        <v>32</v>
      </c>
      <c r="K103">
        <v>0</v>
      </c>
      <c r="L103">
        <v>2</v>
      </c>
      <c r="M103">
        <v>24</v>
      </c>
      <c r="N103">
        <v>20</v>
      </c>
      <c r="O103">
        <v>7</v>
      </c>
      <c r="P103">
        <v>3</v>
      </c>
      <c r="Q103">
        <v>2</v>
      </c>
      <c r="R103">
        <v>53</v>
      </c>
      <c r="S103">
        <v>13</v>
      </c>
      <c r="T103">
        <v>3</v>
      </c>
      <c r="U103">
        <v>1</v>
      </c>
      <c r="V103">
        <v>9</v>
      </c>
      <c r="W103">
        <v>5</v>
      </c>
      <c r="X103">
        <v>8</v>
      </c>
      <c r="Y103">
        <v>2</v>
      </c>
      <c r="Z103">
        <v>1</v>
      </c>
      <c r="AA103">
        <v>0</v>
      </c>
      <c r="AB103">
        <v>0</v>
      </c>
      <c r="AC103">
        <v>1</v>
      </c>
      <c r="AD103">
        <v>5</v>
      </c>
      <c r="AE103">
        <v>0</v>
      </c>
      <c r="AF103">
        <v>2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5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 x14ac:dyDescent="0.3">
      <c r="A104" t="s">
        <v>201</v>
      </c>
      <c r="B104" t="s">
        <v>236</v>
      </c>
      <c r="C104" t="s">
        <v>200</v>
      </c>
      <c r="D104" s="1">
        <v>11426</v>
      </c>
      <c r="E104" s="1">
        <v>1415</v>
      </c>
      <c r="F104" s="1">
        <v>5588</v>
      </c>
      <c r="G104" s="1">
        <v>2093</v>
      </c>
      <c r="H104">
        <v>182</v>
      </c>
      <c r="I104">
        <v>291</v>
      </c>
      <c r="J104">
        <v>128</v>
      </c>
      <c r="K104">
        <v>96</v>
      </c>
      <c r="L104">
        <v>278</v>
      </c>
      <c r="M104">
        <v>166</v>
      </c>
      <c r="N104">
        <v>166</v>
      </c>
      <c r="O104">
        <v>128</v>
      </c>
      <c r="P104">
        <v>57</v>
      </c>
      <c r="Q104">
        <v>115</v>
      </c>
      <c r="R104">
        <v>145</v>
      </c>
      <c r="S104">
        <v>108</v>
      </c>
      <c r="T104">
        <v>66</v>
      </c>
      <c r="U104">
        <v>46</v>
      </c>
      <c r="V104">
        <v>42</v>
      </c>
      <c r="W104">
        <v>38</v>
      </c>
      <c r="X104">
        <v>47</v>
      </c>
      <c r="Y104">
        <v>15</v>
      </c>
      <c r="Z104">
        <v>47</v>
      </c>
      <c r="AA104">
        <v>5</v>
      </c>
      <c r="AB104">
        <v>13</v>
      </c>
      <c r="AC104">
        <v>10</v>
      </c>
      <c r="AD104">
        <v>12</v>
      </c>
      <c r="AE104">
        <v>3</v>
      </c>
      <c r="AF104">
        <v>8</v>
      </c>
      <c r="AG104">
        <v>10</v>
      </c>
      <c r="AH104">
        <v>1</v>
      </c>
      <c r="AI104">
        <v>6</v>
      </c>
      <c r="AJ104">
        <v>5</v>
      </c>
      <c r="AK104">
        <v>3</v>
      </c>
      <c r="AL104">
        <v>6</v>
      </c>
      <c r="AM104">
        <v>6</v>
      </c>
      <c r="AN104">
        <v>2</v>
      </c>
      <c r="AO104">
        <v>4</v>
      </c>
      <c r="AP104">
        <v>0</v>
      </c>
      <c r="AQ104">
        <v>6</v>
      </c>
      <c r="AR104">
        <v>3</v>
      </c>
      <c r="AS104">
        <v>9</v>
      </c>
      <c r="AT104">
        <v>2</v>
      </c>
      <c r="AU104">
        <v>2</v>
      </c>
      <c r="AV104">
        <v>5</v>
      </c>
      <c r="AW104">
        <v>3</v>
      </c>
      <c r="AX104">
        <v>3</v>
      </c>
      <c r="AY104">
        <v>3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</v>
      </c>
      <c r="BH104">
        <v>4</v>
      </c>
      <c r="BI104">
        <v>2</v>
      </c>
      <c r="BJ104">
        <v>0</v>
      </c>
      <c r="BK104">
        <v>0</v>
      </c>
      <c r="BL104">
        <v>4</v>
      </c>
      <c r="BM104">
        <v>7</v>
      </c>
      <c r="BN104">
        <v>0</v>
      </c>
      <c r="BO104">
        <v>0</v>
      </c>
      <c r="BP104">
        <v>0</v>
      </c>
      <c r="BQ104">
        <v>2</v>
      </c>
      <c r="BR104">
        <v>1</v>
      </c>
      <c r="BS104">
        <v>0</v>
      </c>
      <c r="BT104">
        <v>1</v>
      </c>
      <c r="BU104">
        <v>0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1</v>
      </c>
      <c r="CJ104">
        <v>0</v>
      </c>
      <c r="CK104">
        <v>0</v>
      </c>
      <c r="CL104">
        <v>2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4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1</v>
      </c>
    </row>
    <row r="105" spans="1:201" x14ac:dyDescent="0.3">
      <c r="A105" t="s">
        <v>201</v>
      </c>
      <c r="B105" t="s">
        <v>236</v>
      </c>
      <c r="C105" t="s">
        <v>203</v>
      </c>
      <c r="D105" s="1">
        <v>5948</v>
      </c>
      <c r="E105">
        <v>662</v>
      </c>
      <c r="F105" s="1">
        <v>3174</v>
      </c>
      <c r="G105">
        <v>785</v>
      </c>
      <c r="H105">
        <v>144</v>
      </c>
      <c r="I105">
        <v>208</v>
      </c>
      <c r="J105">
        <v>76</v>
      </c>
      <c r="K105">
        <v>78</v>
      </c>
      <c r="L105">
        <v>170</v>
      </c>
      <c r="M105">
        <v>47</v>
      </c>
      <c r="N105">
        <v>49</v>
      </c>
      <c r="O105">
        <v>50</v>
      </c>
      <c r="P105">
        <v>32</v>
      </c>
      <c r="Q105">
        <v>90</v>
      </c>
      <c r="R105">
        <v>109</v>
      </c>
      <c r="S105">
        <v>9</v>
      </c>
      <c r="T105">
        <v>26</v>
      </c>
      <c r="U105">
        <v>24</v>
      </c>
      <c r="V105">
        <v>36</v>
      </c>
      <c r="W105">
        <v>17</v>
      </c>
      <c r="X105">
        <v>36</v>
      </c>
      <c r="Y105">
        <v>4</v>
      </c>
      <c r="Z105">
        <v>27</v>
      </c>
      <c r="AA105">
        <v>3</v>
      </c>
      <c r="AB105">
        <v>7</v>
      </c>
      <c r="AC105">
        <v>7</v>
      </c>
      <c r="AD105">
        <v>4</v>
      </c>
      <c r="AE105">
        <v>3</v>
      </c>
      <c r="AF105">
        <v>8</v>
      </c>
      <c r="AG105">
        <v>8</v>
      </c>
      <c r="AH105">
        <v>0</v>
      </c>
      <c r="AI105">
        <v>6</v>
      </c>
      <c r="AJ105">
        <v>1</v>
      </c>
      <c r="AK105">
        <v>2</v>
      </c>
      <c r="AL105">
        <v>2</v>
      </c>
      <c r="AM105">
        <v>1</v>
      </c>
      <c r="AN105">
        <v>2</v>
      </c>
      <c r="AO105">
        <v>4</v>
      </c>
      <c r="AP105">
        <v>0</v>
      </c>
      <c r="AQ105">
        <v>1</v>
      </c>
      <c r="AR105">
        <v>1</v>
      </c>
      <c r="AS105">
        <v>2</v>
      </c>
      <c r="AT105">
        <v>1</v>
      </c>
      <c r="AU105">
        <v>0</v>
      </c>
      <c r="AV105">
        <v>4</v>
      </c>
      <c r="AW105">
        <v>1</v>
      </c>
      <c r="AX105">
        <v>2</v>
      </c>
      <c r="AY105">
        <v>2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2</v>
      </c>
      <c r="BJ105">
        <v>0</v>
      </c>
      <c r="BK105">
        <v>0</v>
      </c>
      <c r="BL105">
        <v>1</v>
      </c>
      <c r="BM105">
        <v>5</v>
      </c>
      <c r="BN105">
        <v>0</v>
      </c>
      <c r="BO105">
        <v>0</v>
      </c>
      <c r="BP105">
        <v>0</v>
      </c>
      <c r="BQ105">
        <v>2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4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1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1</v>
      </c>
    </row>
    <row r="106" spans="1:201" x14ac:dyDescent="0.3">
      <c r="A106" t="s">
        <v>201</v>
      </c>
      <c r="B106" t="s">
        <v>236</v>
      </c>
      <c r="C106" t="s">
        <v>204</v>
      </c>
      <c r="D106" s="1">
        <v>5478</v>
      </c>
      <c r="E106">
        <v>753</v>
      </c>
      <c r="F106" s="1">
        <v>2414</v>
      </c>
      <c r="G106" s="1">
        <v>1308</v>
      </c>
      <c r="H106">
        <v>38</v>
      </c>
      <c r="I106">
        <v>83</v>
      </c>
      <c r="J106">
        <v>52</v>
      </c>
      <c r="K106">
        <v>18</v>
      </c>
      <c r="L106">
        <v>108</v>
      </c>
      <c r="M106">
        <v>119</v>
      </c>
      <c r="N106">
        <v>117</v>
      </c>
      <c r="O106">
        <v>78</v>
      </c>
      <c r="P106">
        <v>25</v>
      </c>
      <c r="Q106">
        <v>25</v>
      </c>
      <c r="R106">
        <v>36</v>
      </c>
      <c r="S106">
        <v>99</v>
      </c>
      <c r="T106">
        <v>40</v>
      </c>
      <c r="U106">
        <v>22</v>
      </c>
      <c r="V106">
        <v>6</v>
      </c>
      <c r="W106">
        <v>21</v>
      </c>
      <c r="X106">
        <v>11</v>
      </c>
      <c r="Y106">
        <v>11</v>
      </c>
      <c r="Z106">
        <v>20</v>
      </c>
      <c r="AA106">
        <v>2</v>
      </c>
      <c r="AB106">
        <v>6</v>
      </c>
      <c r="AC106">
        <v>3</v>
      </c>
      <c r="AD106">
        <v>8</v>
      </c>
      <c r="AE106">
        <v>0</v>
      </c>
      <c r="AF106">
        <v>0</v>
      </c>
      <c r="AG106">
        <v>2</v>
      </c>
      <c r="AH106">
        <v>1</v>
      </c>
      <c r="AI106">
        <v>0</v>
      </c>
      <c r="AJ106">
        <v>4</v>
      </c>
      <c r="AK106">
        <v>1</v>
      </c>
      <c r="AL106">
        <v>4</v>
      </c>
      <c r="AM106">
        <v>5</v>
      </c>
      <c r="AN106">
        <v>0</v>
      </c>
      <c r="AO106">
        <v>0</v>
      </c>
      <c r="AP106">
        <v>0</v>
      </c>
      <c r="AQ106">
        <v>5</v>
      </c>
      <c r="AR106">
        <v>2</v>
      </c>
      <c r="AS106">
        <v>7</v>
      </c>
      <c r="AT106">
        <v>1</v>
      </c>
      <c r="AU106">
        <v>2</v>
      </c>
      <c r="AV106">
        <v>1</v>
      </c>
      <c r="AW106">
        <v>2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</v>
      </c>
      <c r="BH106">
        <v>3</v>
      </c>
      <c r="BI106">
        <v>0</v>
      </c>
      <c r="BJ106">
        <v>0</v>
      </c>
      <c r="BK106">
        <v>0</v>
      </c>
      <c r="BL106">
        <v>3</v>
      </c>
      <c r="BM106">
        <v>2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1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2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 x14ac:dyDescent="0.3">
      <c r="A107" t="s">
        <v>201</v>
      </c>
      <c r="B107" t="s">
        <v>237</v>
      </c>
      <c r="C107" t="s">
        <v>200</v>
      </c>
      <c r="D107" s="1">
        <v>5844</v>
      </c>
      <c r="E107" s="1">
        <v>1049</v>
      </c>
      <c r="F107" s="1">
        <v>1076</v>
      </c>
      <c r="G107" s="1">
        <v>1687</v>
      </c>
      <c r="H107">
        <v>99</v>
      </c>
      <c r="I107">
        <v>216</v>
      </c>
      <c r="J107">
        <v>75</v>
      </c>
      <c r="K107">
        <v>41</v>
      </c>
      <c r="L107">
        <v>93</v>
      </c>
      <c r="M107">
        <v>71</v>
      </c>
      <c r="N107">
        <v>99</v>
      </c>
      <c r="O107">
        <v>118</v>
      </c>
      <c r="P107">
        <v>177</v>
      </c>
      <c r="Q107">
        <v>24</v>
      </c>
      <c r="R107">
        <v>24</v>
      </c>
      <c r="S107">
        <v>195</v>
      </c>
      <c r="T107">
        <v>206</v>
      </c>
      <c r="U107">
        <v>21</v>
      </c>
      <c r="V107">
        <v>49</v>
      </c>
      <c r="W107">
        <v>46</v>
      </c>
      <c r="X107">
        <v>74</v>
      </c>
      <c r="Y107">
        <v>12</v>
      </c>
      <c r="Z107">
        <v>11</v>
      </c>
      <c r="AA107">
        <v>10</v>
      </c>
      <c r="AB107">
        <v>16</v>
      </c>
      <c r="AC107">
        <v>43</v>
      </c>
      <c r="AD107">
        <v>31</v>
      </c>
      <c r="AE107">
        <v>0</v>
      </c>
      <c r="AF107">
        <v>46</v>
      </c>
      <c r="AG107">
        <v>10</v>
      </c>
      <c r="AH107">
        <v>29</v>
      </c>
      <c r="AI107">
        <v>9</v>
      </c>
      <c r="AJ107">
        <v>2</v>
      </c>
      <c r="AK107">
        <v>4</v>
      </c>
      <c r="AL107">
        <v>8</v>
      </c>
      <c r="AM107">
        <v>10</v>
      </c>
      <c r="AN107">
        <v>13</v>
      </c>
      <c r="AO107">
        <v>1</v>
      </c>
      <c r="AP107">
        <v>3</v>
      </c>
      <c r="AQ107">
        <v>6</v>
      </c>
      <c r="AR107">
        <v>3</v>
      </c>
      <c r="AS107">
        <v>9</v>
      </c>
      <c r="AT107">
        <v>7</v>
      </c>
      <c r="AU107">
        <v>14</v>
      </c>
      <c r="AV107">
        <v>2</v>
      </c>
      <c r="AW107">
        <v>7</v>
      </c>
      <c r="AX107">
        <v>0</v>
      </c>
      <c r="AY107">
        <v>7</v>
      </c>
      <c r="AZ107">
        <v>6</v>
      </c>
      <c r="BA107">
        <v>1</v>
      </c>
      <c r="BB107">
        <v>0</v>
      </c>
      <c r="BC107">
        <v>2</v>
      </c>
      <c r="BD107">
        <v>0</v>
      </c>
      <c r="BE107">
        <v>1</v>
      </c>
      <c r="BF107">
        <v>6</v>
      </c>
      <c r="BG107">
        <v>10</v>
      </c>
      <c r="BH107">
        <v>5</v>
      </c>
      <c r="BI107">
        <v>2</v>
      </c>
      <c r="BJ107">
        <v>1</v>
      </c>
      <c r="BK107">
        <v>0</v>
      </c>
      <c r="BL107">
        <v>3</v>
      </c>
      <c r="BM107">
        <v>1</v>
      </c>
      <c r="BN107">
        <v>4</v>
      </c>
      <c r="BO107">
        <v>1</v>
      </c>
      <c r="BP107">
        <v>1</v>
      </c>
      <c r="BQ107">
        <v>2</v>
      </c>
      <c r="BR107">
        <v>1</v>
      </c>
      <c r="BS107">
        <v>2</v>
      </c>
      <c r="BT107">
        <v>0</v>
      </c>
      <c r="BU107">
        <v>2</v>
      </c>
      <c r="BV107">
        <v>1</v>
      </c>
      <c r="BW107">
        <v>1</v>
      </c>
      <c r="BX107">
        <v>0</v>
      </c>
      <c r="BY107">
        <v>0</v>
      </c>
      <c r="BZ107">
        <v>3</v>
      </c>
      <c r="CA107">
        <v>1</v>
      </c>
      <c r="CB107">
        <v>0</v>
      </c>
      <c r="CC107">
        <v>2</v>
      </c>
      <c r="CD107">
        <v>2</v>
      </c>
      <c r="CE107">
        <v>0</v>
      </c>
      <c r="CF107">
        <v>0</v>
      </c>
      <c r="CG107">
        <v>1</v>
      </c>
      <c r="CH107">
        <v>1</v>
      </c>
      <c r="CI107">
        <v>0</v>
      </c>
      <c r="CJ107">
        <v>2</v>
      </c>
      <c r="CK107">
        <v>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1</v>
      </c>
      <c r="CS107">
        <v>1</v>
      </c>
      <c r="CT107">
        <v>1</v>
      </c>
      <c r="CU107">
        <v>0</v>
      </c>
      <c r="CV107">
        <v>2</v>
      </c>
      <c r="CW107">
        <v>2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</v>
      </c>
      <c r="DJ107">
        <v>0</v>
      </c>
      <c r="DK107">
        <v>0</v>
      </c>
      <c r="DL107">
        <v>0</v>
      </c>
      <c r="DM107">
        <v>0</v>
      </c>
      <c r="DN107">
        <v>1</v>
      </c>
      <c r="DO107">
        <v>0</v>
      </c>
      <c r="DP107">
        <v>1</v>
      </c>
      <c r="DQ107">
        <v>1</v>
      </c>
      <c r="DR107">
        <v>1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0</v>
      </c>
      <c r="EN107">
        <v>0</v>
      </c>
      <c r="EO107">
        <v>1</v>
      </c>
      <c r="EP107">
        <v>0</v>
      </c>
      <c r="EQ107">
        <v>1</v>
      </c>
      <c r="ER107">
        <v>0</v>
      </c>
      <c r="ES107">
        <v>0</v>
      </c>
      <c r="ET107">
        <v>0</v>
      </c>
      <c r="EU107">
        <v>1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1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 x14ac:dyDescent="0.3">
      <c r="A108" t="s">
        <v>201</v>
      </c>
      <c r="B108" t="s">
        <v>237</v>
      </c>
      <c r="C108" t="s">
        <v>203</v>
      </c>
      <c r="D108" s="1">
        <v>2857</v>
      </c>
      <c r="E108">
        <v>507</v>
      </c>
      <c r="F108">
        <v>552</v>
      </c>
      <c r="G108">
        <v>726</v>
      </c>
      <c r="H108">
        <v>76</v>
      </c>
      <c r="I108">
        <v>175</v>
      </c>
      <c r="J108">
        <v>65</v>
      </c>
      <c r="K108">
        <v>22</v>
      </c>
      <c r="L108">
        <v>58</v>
      </c>
      <c r="M108">
        <v>18</v>
      </c>
      <c r="N108">
        <v>48</v>
      </c>
      <c r="O108">
        <v>59</v>
      </c>
      <c r="P108">
        <v>105</v>
      </c>
      <c r="Q108">
        <v>20</v>
      </c>
      <c r="R108">
        <v>23</v>
      </c>
      <c r="S108">
        <v>25</v>
      </c>
      <c r="T108">
        <v>67</v>
      </c>
      <c r="U108">
        <v>5</v>
      </c>
      <c r="V108">
        <v>38</v>
      </c>
      <c r="W108">
        <v>17</v>
      </c>
      <c r="X108">
        <v>48</v>
      </c>
      <c r="Y108">
        <v>5</v>
      </c>
      <c r="Z108">
        <v>5</v>
      </c>
      <c r="AA108">
        <v>6</v>
      </c>
      <c r="AB108">
        <v>6</v>
      </c>
      <c r="AC108">
        <v>26</v>
      </c>
      <c r="AD108">
        <v>9</v>
      </c>
      <c r="AE108">
        <v>0</v>
      </c>
      <c r="AF108">
        <v>37</v>
      </c>
      <c r="AG108">
        <v>6</v>
      </c>
      <c r="AH108">
        <v>15</v>
      </c>
      <c r="AI108">
        <v>4</v>
      </c>
      <c r="AJ108">
        <v>0</v>
      </c>
      <c r="AK108">
        <v>3</v>
      </c>
      <c r="AL108">
        <v>2</v>
      </c>
      <c r="AM108">
        <v>1</v>
      </c>
      <c r="AN108">
        <v>10</v>
      </c>
      <c r="AO108">
        <v>0</v>
      </c>
      <c r="AP108">
        <v>3</v>
      </c>
      <c r="AQ108">
        <v>1</v>
      </c>
      <c r="AR108">
        <v>3</v>
      </c>
      <c r="AS108">
        <v>5</v>
      </c>
      <c r="AT108">
        <v>4</v>
      </c>
      <c r="AU108">
        <v>8</v>
      </c>
      <c r="AV108">
        <v>2</v>
      </c>
      <c r="AW108">
        <v>4</v>
      </c>
      <c r="AX108">
        <v>0</v>
      </c>
      <c r="AY108">
        <v>2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3</v>
      </c>
      <c r="BG108">
        <v>6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2</v>
      </c>
      <c r="BO108">
        <v>1</v>
      </c>
      <c r="BP108">
        <v>0</v>
      </c>
      <c r="BQ108">
        <v>0</v>
      </c>
      <c r="BR108">
        <v>1</v>
      </c>
      <c r="BS108">
        <v>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1</v>
      </c>
      <c r="CK108">
        <v>3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1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1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 x14ac:dyDescent="0.3">
      <c r="A109" t="s">
        <v>201</v>
      </c>
      <c r="B109" t="s">
        <v>237</v>
      </c>
      <c r="C109" t="s">
        <v>204</v>
      </c>
      <c r="D109" s="1">
        <v>2987</v>
      </c>
      <c r="E109">
        <v>542</v>
      </c>
      <c r="F109">
        <v>524</v>
      </c>
      <c r="G109">
        <v>961</v>
      </c>
      <c r="H109">
        <v>23</v>
      </c>
      <c r="I109">
        <v>41</v>
      </c>
      <c r="J109">
        <v>10</v>
      </c>
      <c r="K109">
        <v>19</v>
      </c>
      <c r="L109">
        <v>35</v>
      </c>
      <c r="M109">
        <v>53</v>
      </c>
      <c r="N109">
        <v>51</v>
      </c>
      <c r="O109">
        <v>59</v>
      </c>
      <c r="P109">
        <v>72</v>
      </c>
      <c r="Q109">
        <v>4</v>
      </c>
      <c r="R109">
        <v>1</v>
      </c>
      <c r="S109">
        <v>170</v>
      </c>
      <c r="T109">
        <v>139</v>
      </c>
      <c r="U109">
        <v>16</v>
      </c>
      <c r="V109">
        <v>11</v>
      </c>
      <c r="W109">
        <v>29</v>
      </c>
      <c r="X109">
        <v>26</v>
      </c>
      <c r="Y109">
        <v>7</v>
      </c>
      <c r="Z109">
        <v>6</v>
      </c>
      <c r="AA109">
        <v>4</v>
      </c>
      <c r="AB109">
        <v>10</v>
      </c>
      <c r="AC109">
        <v>17</v>
      </c>
      <c r="AD109">
        <v>22</v>
      </c>
      <c r="AE109">
        <v>0</v>
      </c>
      <c r="AF109">
        <v>9</v>
      </c>
      <c r="AG109">
        <v>4</v>
      </c>
      <c r="AH109">
        <v>14</v>
      </c>
      <c r="AI109">
        <v>5</v>
      </c>
      <c r="AJ109">
        <v>2</v>
      </c>
      <c r="AK109">
        <v>1</v>
      </c>
      <c r="AL109">
        <v>6</v>
      </c>
      <c r="AM109">
        <v>9</v>
      </c>
      <c r="AN109">
        <v>3</v>
      </c>
      <c r="AO109">
        <v>1</v>
      </c>
      <c r="AP109">
        <v>0</v>
      </c>
      <c r="AQ109">
        <v>5</v>
      </c>
      <c r="AR109">
        <v>0</v>
      </c>
      <c r="AS109">
        <v>4</v>
      </c>
      <c r="AT109">
        <v>3</v>
      </c>
      <c r="AU109">
        <v>6</v>
      </c>
      <c r="AV109">
        <v>0</v>
      </c>
      <c r="AW109">
        <v>3</v>
      </c>
      <c r="AX109">
        <v>0</v>
      </c>
      <c r="AY109">
        <v>5</v>
      </c>
      <c r="AZ109">
        <v>4</v>
      </c>
      <c r="BA109">
        <v>1</v>
      </c>
      <c r="BB109">
        <v>0</v>
      </c>
      <c r="BC109">
        <v>2</v>
      </c>
      <c r="BD109">
        <v>0</v>
      </c>
      <c r="BE109">
        <v>0</v>
      </c>
      <c r="BF109">
        <v>3</v>
      </c>
      <c r="BG109">
        <v>4</v>
      </c>
      <c r="BH109">
        <v>5</v>
      </c>
      <c r="BI109">
        <v>2</v>
      </c>
      <c r="BJ109">
        <v>0</v>
      </c>
      <c r="BK109">
        <v>0</v>
      </c>
      <c r="BL109">
        <v>2</v>
      </c>
      <c r="BM109">
        <v>0</v>
      </c>
      <c r="BN109">
        <v>2</v>
      </c>
      <c r="BO109">
        <v>0</v>
      </c>
      <c r="BP109">
        <v>1</v>
      </c>
      <c r="BQ109">
        <v>2</v>
      </c>
      <c r="BR109">
        <v>0</v>
      </c>
      <c r="BS109">
        <v>0</v>
      </c>
      <c r="BT109">
        <v>0</v>
      </c>
      <c r="BU109">
        <v>2</v>
      </c>
      <c r="BV109">
        <v>1</v>
      </c>
      <c r="BW109">
        <v>1</v>
      </c>
      <c r="BX109">
        <v>0</v>
      </c>
      <c r="BY109">
        <v>0</v>
      </c>
      <c r="BZ109">
        <v>2</v>
      </c>
      <c r="CA109">
        <v>1</v>
      </c>
      <c r="CB109">
        <v>0</v>
      </c>
      <c r="CC109">
        <v>2</v>
      </c>
      <c r="CD109">
        <v>2</v>
      </c>
      <c r="CE109">
        <v>0</v>
      </c>
      <c r="CF109">
        <v>0</v>
      </c>
      <c r="CG109">
        <v>1</v>
      </c>
      <c r="CH109">
        <v>0</v>
      </c>
      <c r="CI109">
        <v>0</v>
      </c>
      <c r="CJ109">
        <v>1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1</v>
      </c>
      <c r="CU109">
        <v>0</v>
      </c>
      <c r="CV109">
        <v>1</v>
      </c>
      <c r="CW109">
        <v>2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0</v>
      </c>
      <c r="DK109">
        <v>0</v>
      </c>
      <c r="DL109">
        <v>0</v>
      </c>
      <c r="DM109">
        <v>0</v>
      </c>
      <c r="DN109">
        <v>1</v>
      </c>
      <c r="DO109">
        <v>0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1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 x14ac:dyDescent="0.3">
      <c r="A110" t="s">
        <v>201</v>
      </c>
      <c r="B110" t="s">
        <v>238</v>
      </c>
      <c r="C110" t="s">
        <v>200</v>
      </c>
      <c r="D110" s="1">
        <v>3323</v>
      </c>
      <c r="E110">
        <v>124</v>
      </c>
      <c r="F110">
        <v>393</v>
      </c>
      <c r="G110" s="1">
        <v>1252</v>
      </c>
      <c r="H110">
        <v>20</v>
      </c>
      <c r="I110">
        <v>21</v>
      </c>
      <c r="J110">
        <v>10</v>
      </c>
      <c r="K110">
        <v>66</v>
      </c>
      <c r="L110">
        <v>20</v>
      </c>
      <c r="M110">
        <v>45</v>
      </c>
      <c r="N110">
        <v>34</v>
      </c>
      <c r="O110">
        <v>43</v>
      </c>
      <c r="P110">
        <v>499</v>
      </c>
      <c r="Q110">
        <v>2</v>
      </c>
      <c r="R110">
        <v>21</v>
      </c>
      <c r="S110">
        <v>144</v>
      </c>
      <c r="T110">
        <v>25</v>
      </c>
      <c r="U110">
        <v>13</v>
      </c>
      <c r="V110">
        <v>12</v>
      </c>
      <c r="W110">
        <v>54</v>
      </c>
      <c r="X110">
        <v>33</v>
      </c>
      <c r="Y110">
        <v>0</v>
      </c>
      <c r="Z110">
        <v>1</v>
      </c>
      <c r="AA110">
        <v>31</v>
      </c>
      <c r="AB110">
        <v>24</v>
      </c>
      <c r="AC110">
        <v>53</v>
      </c>
      <c r="AD110">
        <v>54</v>
      </c>
      <c r="AE110">
        <v>0</v>
      </c>
      <c r="AF110">
        <v>77</v>
      </c>
      <c r="AG110">
        <v>13</v>
      </c>
      <c r="AH110">
        <v>34</v>
      </c>
      <c r="AI110">
        <v>4</v>
      </c>
      <c r="AJ110">
        <v>0</v>
      </c>
      <c r="AK110">
        <v>1</v>
      </c>
      <c r="AL110">
        <v>5</v>
      </c>
      <c r="AM110">
        <v>12</v>
      </c>
      <c r="AN110">
        <v>19</v>
      </c>
      <c r="AO110">
        <v>0</v>
      </c>
      <c r="AP110">
        <v>1</v>
      </c>
      <c r="AQ110">
        <v>1</v>
      </c>
      <c r="AR110">
        <v>0</v>
      </c>
      <c r="AS110">
        <v>7</v>
      </c>
      <c r="AT110">
        <v>7</v>
      </c>
      <c r="AU110">
        <v>8</v>
      </c>
      <c r="AV110">
        <v>1</v>
      </c>
      <c r="AW110">
        <v>14</v>
      </c>
      <c r="AX110">
        <v>1</v>
      </c>
      <c r="AY110">
        <v>16</v>
      </c>
      <c r="AZ110">
        <v>0</v>
      </c>
      <c r="BA110">
        <v>16</v>
      </c>
      <c r="BB110">
        <v>0</v>
      </c>
      <c r="BC110">
        <v>3</v>
      </c>
      <c r="BD110">
        <v>0</v>
      </c>
      <c r="BE110">
        <v>0</v>
      </c>
      <c r="BF110">
        <v>0</v>
      </c>
      <c r="BG110">
        <v>16</v>
      </c>
      <c r="BH110">
        <v>2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4</v>
      </c>
      <c r="BO110">
        <v>1</v>
      </c>
      <c r="BP110">
        <v>1</v>
      </c>
      <c r="BQ110">
        <v>1</v>
      </c>
      <c r="BR110">
        <v>5</v>
      </c>
      <c r="BS110">
        <v>4</v>
      </c>
      <c r="BT110">
        <v>0</v>
      </c>
      <c r="BU110">
        <v>5</v>
      </c>
      <c r="BV110">
        <v>1</v>
      </c>
      <c r="BW110">
        <v>3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2</v>
      </c>
      <c r="CD110">
        <v>2</v>
      </c>
      <c r="CE110">
        <v>2</v>
      </c>
      <c r="CF110">
        <v>0</v>
      </c>
      <c r="CG110">
        <v>2</v>
      </c>
      <c r="CH110">
        <v>0</v>
      </c>
      <c r="CI110">
        <v>4</v>
      </c>
      <c r="CJ110">
        <v>3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3</v>
      </c>
      <c r="CQ110">
        <v>0</v>
      </c>
      <c r="CR110">
        <v>0</v>
      </c>
      <c r="CS110">
        <v>0</v>
      </c>
      <c r="CT110">
        <v>3</v>
      </c>
      <c r="CU110">
        <v>1</v>
      </c>
      <c r="CV110">
        <v>0</v>
      </c>
      <c r="CW110">
        <v>4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2</v>
      </c>
      <c r="DG110">
        <v>0</v>
      </c>
      <c r="DH110">
        <v>0</v>
      </c>
      <c r="DI110">
        <v>0</v>
      </c>
      <c r="DJ110">
        <v>0</v>
      </c>
      <c r="DK110">
        <v>2</v>
      </c>
      <c r="DL110">
        <v>0</v>
      </c>
      <c r="DM110">
        <v>0</v>
      </c>
      <c r="DN110">
        <v>0</v>
      </c>
      <c r="DO110">
        <v>2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1</v>
      </c>
      <c r="EA110">
        <v>0</v>
      </c>
      <c r="EB110">
        <v>2</v>
      </c>
      <c r="EC110">
        <v>1</v>
      </c>
      <c r="ED110">
        <v>0</v>
      </c>
      <c r="EE110">
        <v>1</v>
      </c>
      <c r="EF110">
        <v>1</v>
      </c>
      <c r="EG110">
        <v>0</v>
      </c>
      <c r="EH110">
        <v>1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 x14ac:dyDescent="0.3">
      <c r="A111" t="s">
        <v>201</v>
      </c>
      <c r="B111" t="s">
        <v>238</v>
      </c>
      <c r="C111" t="s">
        <v>203</v>
      </c>
      <c r="D111" s="1">
        <v>1378</v>
      </c>
      <c r="E111">
        <v>33</v>
      </c>
      <c r="F111">
        <v>179</v>
      </c>
      <c r="G111">
        <v>497</v>
      </c>
      <c r="H111">
        <v>11</v>
      </c>
      <c r="I111">
        <v>15</v>
      </c>
      <c r="J111">
        <v>4</v>
      </c>
      <c r="K111">
        <v>20</v>
      </c>
      <c r="L111">
        <v>13</v>
      </c>
      <c r="M111">
        <v>12</v>
      </c>
      <c r="N111">
        <v>4</v>
      </c>
      <c r="O111">
        <v>12</v>
      </c>
      <c r="P111">
        <v>267</v>
      </c>
      <c r="Q111">
        <v>1</v>
      </c>
      <c r="R111">
        <v>12</v>
      </c>
      <c r="S111">
        <v>20</v>
      </c>
      <c r="T111">
        <v>8</v>
      </c>
      <c r="U111">
        <v>2</v>
      </c>
      <c r="V111">
        <v>8</v>
      </c>
      <c r="W111">
        <v>15</v>
      </c>
      <c r="X111">
        <v>17</v>
      </c>
      <c r="Y111">
        <v>0</v>
      </c>
      <c r="Z111">
        <v>1</v>
      </c>
      <c r="AA111">
        <v>19</v>
      </c>
      <c r="AB111">
        <v>8</v>
      </c>
      <c r="AC111">
        <v>29</v>
      </c>
      <c r="AD111">
        <v>12</v>
      </c>
      <c r="AE111">
        <v>0</v>
      </c>
      <c r="AF111">
        <v>48</v>
      </c>
      <c r="AG111">
        <v>3</v>
      </c>
      <c r="AH111">
        <v>20</v>
      </c>
      <c r="AI111">
        <v>2</v>
      </c>
      <c r="AJ111">
        <v>0</v>
      </c>
      <c r="AK111">
        <v>0</v>
      </c>
      <c r="AL111">
        <v>0</v>
      </c>
      <c r="AM111">
        <v>2</v>
      </c>
      <c r="AN111">
        <v>10</v>
      </c>
      <c r="AO111">
        <v>0</v>
      </c>
      <c r="AP111">
        <v>1</v>
      </c>
      <c r="AQ111">
        <v>0</v>
      </c>
      <c r="AR111">
        <v>0</v>
      </c>
      <c r="AS111">
        <v>3</v>
      </c>
      <c r="AT111">
        <v>4</v>
      </c>
      <c r="AU111">
        <v>2</v>
      </c>
      <c r="AV111">
        <v>1</v>
      </c>
      <c r="AW111">
        <v>6</v>
      </c>
      <c r="AX111">
        <v>1</v>
      </c>
      <c r="AY111">
        <v>4</v>
      </c>
      <c r="AZ111">
        <v>0</v>
      </c>
      <c r="BA111">
        <v>9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8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2</v>
      </c>
      <c r="BN111">
        <v>2</v>
      </c>
      <c r="BO111">
        <v>1</v>
      </c>
      <c r="BP111">
        <v>1</v>
      </c>
      <c r="BQ111">
        <v>1</v>
      </c>
      <c r="BR111">
        <v>2</v>
      </c>
      <c r="BS111">
        <v>3</v>
      </c>
      <c r="BT111">
        <v>0</v>
      </c>
      <c r="BU111">
        <v>3</v>
      </c>
      <c r="BV111">
        <v>1</v>
      </c>
      <c r="BW111">
        <v>2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1</v>
      </c>
      <c r="CE111">
        <v>1</v>
      </c>
      <c r="CF111">
        <v>0</v>
      </c>
      <c r="CG111">
        <v>0</v>
      </c>
      <c r="CH111">
        <v>0</v>
      </c>
      <c r="CI111">
        <v>1</v>
      </c>
      <c r="CJ111">
        <v>3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2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1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 x14ac:dyDescent="0.3">
      <c r="A112" t="s">
        <v>201</v>
      </c>
      <c r="B112" t="s">
        <v>238</v>
      </c>
      <c r="C112" t="s">
        <v>204</v>
      </c>
      <c r="D112" s="1">
        <v>1945</v>
      </c>
      <c r="E112">
        <v>91</v>
      </c>
      <c r="F112">
        <v>214</v>
      </c>
      <c r="G112">
        <v>755</v>
      </c>
      <c r="H112">
        <v>9</v>
      </c>
      <c r="I112">
        <v>6</v>
      </c>
      <c r="J112">
        <v>6</v>
      </c>
      <c r="K112">
        <v>46</v>
      </c>
      <c r="L112">
        <v>7</v>
      </c>
      <c r="M112">
        <v>33</v>
      </c>
      <c r="N112">
        <v>30</v>
      </c>
      <c r="O112">
        <v>31</v>
      </c>
      <c r="P112">
        <v>232</v>
      </c>
      <c r="Q112">
        <v>1</v>
      </c>
      <c r="R112">
        <v>9</v>
      </c>
      <c r="S112">
        <v>124</v>
      </c>
      <c r="T112">
        <v>17</v>
      </c>
      <c r="U112">
        <v>11</v>
      </c>
      <c r="V112">
        <v>4</v>
      </c>
      <c r="W112">
        <v>39</v>
      </c>
      <c r="X112">
        <v>16</v>
      </c>
      <c r="Y112">
        <v>0</v>
      </c>
      <c r="Z112">
        <v>0</v>
      </c>
      <c r="AA112">
        <v>12</v>
      </c>
      <c r="AB112">
        <v>16</v>
      </c>
      <c r="AC112">
        <v>24</v>
      </c>
      <c r="AD112">
        <v>42</v>
      </c>
      <c r="AE112">
        <v>0</v>
      </c>
      <c r="AF112">
        <v>29</v>
      </c>
      <c r="AG112">
        <v>10</v>
      </c>
      <c r="AH112">
        <v>14</v>
      </c>
      <c r="AI112">
        <v>2</v>
      </c>
      <c r="AJ112">
        <v>0</v>
      </c>
      <c r="AK112">
        <v>1</v>
      </c>
      <c r="AL112">
        <v>5</v>
      </c>
      <c r="AM112">
        <v>10</v>
      </c>
      <c r="AN112">
        <v>9</v>
      </c>
      <c r="AO112">
        <v>0</v>
      </c>
      <c r="AP112">
        <v>0</v>
      </c>
      <c r="AQ112">
        <v>1</v>
      </c>
      <c r="AR112">
        <v>0</v>
      </c>
      <c r="AS112">
        <v>4</v>
      </c>
      <c r="AT112">
        <v>3</v>
      </c>
      <c r="AU112">
        <v>6</v>
      </c>
      <c r="AV112">
        <v>0</v>
      </c>
      <c r="AW112">
        <v>8</v>
      </c>
      <c r="AX112">
        <v>0</v>
      </c>
      <c r="AY112">
        <v>12</v>
      </c>
      <c r="AZ112">
        <v>0</v>
      </c>
      <c r="BA112">
        <v>7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8</v>
      </c>
      <c r="BH112">
        <v>2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2</v>
      </c>
      <c r="BO112">
        <v>0</v>
      </c>
      <c r="BP112">
        <v>0</v>
      </c>
      <c r="BQ112">
        <v>0</v>
      </c>
      <c r="BR112">
        <v>3</v>
      </c>
      <c r="BS112">
        <v>1</v>
      </c>
      <c r="BT112">
        <v>0</v>
      </c>
      <c r="BU112">
        <v>2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2</v>
      </c>
      <c r="CD112">
        <v>1</v>
      </c>
      <c r="CE112">
        <v>1</v>
      </c>
      <c r="CF112">
        <v>0</v>
      </c>
      <c r="CG112">
        <v>2</v>
      </c>
      <c r="CH112">
        <v>0</v>
      </c>
      <c r="CI112">
        <v>3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2</v>
      </c>
      <c r="CQ112">
        <v>0</v>
      </c>
      <c r="CR112">
        <v>0</v>
      </c>
      <c r="CS112">
        <v>0</v>
      </c>
      <c r="CT112">
        <v>2</v>
      </c>
      <c r="CU112">
        <v>1</v>
      </c>
      <c r="CV112">
        <v>0</v>
      </c>
      <c r="CW112">
        <v>4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2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1</v>
      </c>
      <c r="EC112">
        <v>1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1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 x14ac:dyDescent="0.3">
      <c r="A113" t="s">
        <v>201</v>
      </c>
      <c r="B113" t="s">
        <v>239</v>
      </c>
      <c r="C113" t="s">
        <v>200</v>
      </c>
      <c r="D113" s="1">
        <v>12292</v>
      </c>
      <c r="E113" s="1">
        <v>1729</v>
      </c>
      <c r="F113" s="1">
        <v>2012</v>
      </c>
      <c r="G113" s="1">
        <v>1208</v>
      </c>
      <c r="H113" s="1">
        <v>1020</v>
      </c>
      <c r="I113">
        <v>434</v>
      </c>
      <c r="J113">
        <v>923</v>
      </c>
      <c r="K113">
        <v>319</v>
      </c>
      <c r="L113">
        <v>757</v>
      </c>
      <c r="M113">
        <v>678</v>
      </c>
      <c r="N113">
        <v>605</v>
      </c>
      <c r="O113">
        <v>454</v>
      </c>
      <c r="P113">
        <v>73</v>
      </c>
      <c r="Q113">
        <v>477</v>
      </c>
      <c r="R113">
        <v>497</v>
      </c>
      <c r="S113">
        <v>100</v>
      </c>
      <c r="T113">
        <v>156</v>
      </c>
      <c r="U113">
        <v>60</v>
      </c>
      <c r="V113">
        <v>168</v>
      </c>
      <c r="W113">
        <v>39</v>
      </c>
      <c r="X113">
        <v>34</v>
      </c>
      <c r="Y113">
        <v>76</v>
      </c>
      <c r="Z113">
        <v>71</v>
      </c>
      <c r="AA113">
        <v>8</v>
      </c>
      <c r="AB113">
        <v>8</v>
      </c>
      <c r="AC113">
        <v>13</v>
      </c>
      <c r="AD113">
        <v>20</v>
      </c>
      <c r="AE113">
        <v>22</v>
      </c>
      <c r="AF113">
        <v>15</v>
      </c>
      <c r="AG113">
        <v>25</v>
      </c>
      <c r="AH113">
        <v>9</v>
      </c>
      <c r="AI113">
        <v>21</v>
      </c>
      <c r="AJ113">
        <v>4</v>
      </c>
      <c r="AK113">
        <v>2</v>
      </c>
      <c r="AL113">
        <v>18</v>
      </c>
      <c r="AM113">
        <v>5</v>
      </c>
      <c r="AN113">
        <v>6</v>
      </c>
      <c r="AO113">
        <v>53</v>
      </c>
      <c r="AP113">
        <v>3</v>
      </c>
      <c r="AQ113">
        <v>10</v>
      </c>
      <c r="AR113">
        <v>31</v>
      </c>
      <c r="AS113">
        <v>8</v>
      </c>
      <c r="AT113">
        <v>0</v>
      </c>
      <c r="AU113">
        <v>3</v>
      </c>
      <c r="AV113">
        <v>3</v>
      </c>
      <c r="AW113">
        <v>1</v>
      </c>
      <c r="AX113">
        <v>10</v>
      </c>
      <c r="AY113">
        <v>2</v>
      </c>
      <c r="AZ113">
        <v>31</v>
      </c>
      <c r="BA113">
        <v>4</v>
      </c>
      <c r="BB113">
        <v>0</v>
      </c>
      <c r="BC113">
        <v>1</v>
      </c>
      <c r="BD113">
        <v>0</v>
      </c>
      <c r="BE113">
        <v>1</v>
      </c>
      <c r="BF113">
        <v>5</v>
      </c>
      <c r="BG113">
        <v>3</v>
      </c>
      <c r="BH113">
        <v>3</v>
      </c>
      <c r="BI113">
        <v>2</v>
      </c>
      <c r="BJ113">
        <v>0</v>
      </c>
      <c r="BK113">
        <v>0</v>
      </c>
      <c r="BL113">
        <v>8</v>
      </c>
      <c r="BM113">
        <v>0</v>
      </c>
      <c r="BN113">
        <v>2</v>
      </c>
      <c r="BO113">
        <v>0</v>
      </c>
      <c r="BP113">
        <v>0</v>
      </c>
      <c r="BQ113">
        <v>1</v>
      </c>
      <c r="BR113">
        <v>0</v>
      </c>
      <c r="BS113">
        <v>3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4</v>
      </c>
      <c r="BZ113">
        <v>0</v>
      </c>
      <c r="CA113">
        <v>1</v>
      </c>
      <c r="CB113">
        <v>1</v>
      </c>
      <c r="CC113">
        <v>3</v>
      </c>
      <c r="CD113">
        <v>1</v>
      </c>
      <c r="CE113">
        <v>1</v>
      </c>
      <c r="CF113">
        <v>0</v>
      </c>
      <c r="CG113">
        <v>1</v>
      </c>
      <c r="CH113">
        <v>0</v>
      </c>
      <c r="CI113">
        <v>2</v>
      </c>
      <c r="CJ113">
        <v>0</v>
      </c>
      <c r="CK113">
        <v>0</v>
      </c>
      <c r="CL113">
        <v>0</v>
      </c>
      <c r="CM113">
        <v>2</v>
      </c>
      <c r="CN113">
        <v>0</v>
      </c>
      <c r="CO113">
        <v>1</v>
      </c>
      <c r="CP113">
        <v>1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3</v>
      </c>
      <c r="CX113">
        <v>0</v>
      </c>
      <c r="CY113">
        <v>0</v>
      </c>
      <c r="CZ113">
        <v>2</v>
      </c>
      <c r="DA113">
        <v>0</v>
      </c>
      <c r="DB113">
        <v>0</v>
      </c>
      <c r="DC113">
        <v>0</v>
      </c>
      <c r="DD113">
        <v>0</v>
      </c>
      <c r="DE113">
        <v>2</v>
      </c>
      <c r="DF113">
        <v>0</v>
      </c>
      <c r="DG113">
        <v>3</v>
      </c>
      <c r="DH113">
        <v>0</v>
      </c>
      <c r="DI113">
        <v>1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0</v>
      </c>
      <c r="DR113">
        <v>1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1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 x14ac:dyDescent="0.3">
      <c r="A114" t="s">
        <v>201</v>
      </c>
      <c r="B114" t="s">
        <v>239</v>
      </c>
      <c r="C114" t="s">
        <v>203</v>
      </c>
      <c r="D114" s="1">
        <v>8089</v>
      </c>
      <c r="E114">
        <v>912</v>
      </c>
      <c r="F114" s="1">
        <v>1115</v>
      </c>
      <c r="G114">
        <v>480</v>
      </c>
      <c r="H114">
        <v>843</v>
      </c>
      <c r="I114">
        <v>354</v>
      </c>
      <c r="J114">
        <v>680</v>
      </c>
      <c r="K114">
        <v>268</v>
      </c>
      <c r="L114">
        <v>730</v>
      </c>
      <c r="M114">
        <v>506</v>
      </c>
      <c r="N114">
        <v>406</v>
      </c>
      <c r="O114">
        <v>233</v>
      </c>
      <c r="P114">
        <v>47</v>
      </c>
      <c r="Q114">
        <v>411</v>
      </c>
      <c r="R114">
        <v>406</v>
      </c>
      <c r="S114">
        <v>10</v>
      </c>
      <c r="T114">
        <v>121</v>
      </c>
      <c r="U114">
        <v>33</v>
      </c>
      <c r="V114">
        <v>146</v>
      </c>
      <c r="W114">
        <v>15</v>
      </c>
      <c r="X114">
        <v>25</v>
      </c>
      <c r="Y114">
        <v>47</v>
      </c>
      <c r="Z114">
        <v>61</v>
      </c>
      <c r="AA114">
        <v>4</v>
      </c>
      <c r="AB114">
        <v>4</v>
      </c>
      <c r="AC114">
        <v>10</v>
      </c>
      <c r="AD114">
        <v>6</v>
      </c>
      <c r="AE114">
        <v>22</v>
      </c>
      <c r="AF114">
        <v>9</v>
      </c>
      <c r="AG114">
        <v>19</v>
      </c>
      <c r="AH114">
        <v>7</v>
      </c>
      <c r="AI114">
        <v>17</v>
      </c>
      <c r="AJ114">
        <v>2</v>
      </c>
      <c r="AK114">
        <v>2</v>
      </c>
      <c r="AL114">
        <v>1</v>
      </c>
      <c r="AM114">
        <v>0</v>
      </c>
      <c r="AN114">
        <v>4</v>
      </c>
      <c r="AO114">
        <v>47</v>
      </c>
      <c r="AP114">
        <v>3</v>
      </c>
      <c r="AQ114">
        <v>3</v>
      </c>
      <c r="AR114">
        <v>17</v>
      </c>
      <c r="AS114">
        <v>4</v>
      </c>
      <c r="AT114">
        <v>0</v>
      </c>
      <c r="AU114">
        <v>1</v>
      </c>
      <c r="AV114">
        <v>2</v>
      </c>
      <c r="AW114">
        <v>0</v>
      </c>
      <c r="AX114">
        <v>5</v>
      </c>
      <c r="AY114">
        <v>1</v>
      </c>
      <c r="AZ114">
        <v>14</v>
      </c>
      <c r="BA114">
        <v>1</v>
      </c>
      <c r="BB114">
        <v>0</v>
      </c>
      <c r="BC114">
        <v>1</v>
      </c>
      <c r="BD114">
        <v>0</v>
      </c>
      <c r="BE114">
        <v>1</v>
      </c>
      <c r="BF114">
        <v>5</v>
      </c>
      <c r="BG114">
        <v>1</v>
      </c>
      <c r="BH114">
        <v>0</v>
      </c>
      <c r="BI114">
        <v>1</v>
      </c>
      <c r="BJ114">
        <v>0</v>
      </c>
      <c r="BK114">
        <v>0</v>
      </c>
      <c r="BL114">
        <v>3</v>
      </c>
      <c r="BM114">
        <v>0</v>
      </c>
      <c r="BN114">
        <v>1</v>
      </c>
      <c r="BO114">
        <v>0</v>
      </c>
      <c r="BP114">
        <v>0</v>
      </c>
      <c r="BQ114">
        <v>1</v>
      </c>
      <c r="BR114">
        <v>0</v>
      </c>
      <c r="BS114">
        <v>2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3</v>
      </c>
      <c r="BZ114">
        <v>0</v>
      </c>
      <c r="CA114">
        <v>0</v>
      </c>
      <c r="CB114">
        <v>1</v>
      </c>
      <c r="CC114">
        <v>1</v>
      </c>
      <c r="CD114">
        <v>0</v>
      </c>
      <c r="CE114">
        <v>0</v>
      </c>
      <c r="CF114">
        <v>0</v>
      </c>
      <c r="CG114">
        <v>1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2</v>
      </c>
      <c r="CN114">
        <v>0</v>
      </c>
      <c r="CO114">
        <v>1</v>
      </c>
      <c r="CP114">
        <v>1</v>
      </c>
      <c r="CQ114">
        <v>0</v>
      </c>
      <c r="CR114">
        <v>0</v>
      </c>
      <c r="CS114">
        <v>0</v>
      </c>
      <c r="CT114">
        <v>1</v>
      </c>
      <c r="CU114">
        <v>0</v>
      </c>
      <c r="CV114">
        <v>0</v>
      </c>
      <c r="CW114">
        <v>2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 x14ac:dyDescent="0.3">
      <c r="A115" t="s">
        <v>201</v>
      </c>
      <c r="B115" t="s">
        <v>239</v>
      </c>
      <c r="C115" t="s">
        <v>204</v>
      </c>
      <c r="D115" s="1">
        <v>4203</v>
      </c>
      <c r="E115">
        <v>817</v>
      </c>
      <c r="F115">
        <v>897</v>
      </c>
      <c r="G115">
        <v>728</v>
      </c>
      <c r="H115">
        <v>177</v>
      </c>
      <c r="I115">
        <v>80</v>
      </c>
      <c r="J115">
        <v>243</v>
      </c>
      <c r="K115">
        <v>51</v>
      </c>
      <c r="L115">
        <v>27</v>
      </c>
      <c r="M115">
        <v>172</v>
      </c>
      <c r="N115">
        <v>199</v>
      </c>
      <c r="O115">
        <v>221</v>
      </c>
      <c r="P115">
        <v>26</v>
      </c>
      <c r="Q115">
        <v>66</v>
      </c>
      <c r="R115">
        <v>91</v>
      </c>
      <c r="S115">
        <v>90</v>
      </c>
      <c r="T115">
        <v>35</v>
      </c>
      <c r="U115">
        <v>27</v>
      </c>
      <c r="V115">
        <v>22</v>
      </c>
      <c r="W115">
        <v>24</v>
      </c>
      <c r="X115">
        <v>9</v>
      </c>
      <c r="Y115">
        <v>29</v>
      </c>
      <c r="Z115">
        <v>10</v>
      </c>
      <c r="AA115">
        <v>4</v>
      </c>
      <c r="AB115">
        <v>4</v>
      </c>
      <c r="AC115">
        <v>3</v>
      </c>
      <c r="AD115">
        <v>14</v>
      </c>
      <c r="AE115">
        <v>0</v>
      </c>
      <c r="AF115">
        <v>6</v>
      </c>
      <c r="AG115">
        <v>6</v>
      </c>
      <c r="AH115">
        <v>2</v>
      </c>
      <c r="AI115">
        <v>4</v>
      </c>
      <c r="AJ115">
        <v>2</v>
      </c>
      <c r="AK115">
        <v>0</v>
      </c>
      <c r="AL115">
        <v>17</v>
      </c>
      <c r="AM115">
        <v>5</v>
      </c>
      <c r="AN115">
        <v>2</v>
      </c>
      <c r="AO115">
        <v>6</v>
      </c>
      <c r="AP115">
        <v>0</v>
      </c>
      <c r="AQ115">
        <v>7</v>
      </c>
      <c r="AR115">
        <v>14</v>
      </c>
      <c r="AS115">
        <v>4</v>
      </c>
      <c r="AT115">
        <v>0</v>
      </c>
      <c r="AU115">
        <v>2</v>
      </c>
      <c r="AV115">
        <v>1</v>
      </c>
      <c r="AW115">
        <v>1</v>
      </c>
      <c r="AX115">
        <v>5</v>
      </c>
      <c r="AY115">
        <v>1</v>
      </c>
      <c r="AZ115">
        <v>17</v>
      </c>
      <c r="BA115">
        <v>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</v>
      </c>
      <c r="BH115">
        <v>3</v>
      </c>
      <c r="BI115">
        <v>1</v>
      </c>
      <c r="BJ115">
        <v>0</v>
      </c>
      <c r="BK115">
        <v>0</v>
      </c>
      <c r="BL115">
        <v>5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1</v>
      </c>
      <c r="CB115">
        <v>0</v>
      </c>
      <c r="CC115">
        <v>2</v>
      </c>
      <c r="CD115">
        <v>1</v>
      </c>
      <c r="CE115">
        <v>1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1</v>
      </c>
      <c r="DF115">
        <v>0</v>
      </c>
      <c r="DG115">
        <v>2</v>
      </c>
      <c r="DH115">
        <v>0</v>
      </c>
      <c r="DI115">
        <v>1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1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1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 x14ac:dyDescent="0.3">
      <c r="A116" t="s">
        <v>201</v>
      </c>
      <c r="B116" t="s">
        <v>240</v>
      </c>
      <c r="C116" t="s">
        <v>200</v>
      </c>
      <c r="D116" s="1">
        <v>1092</v>
      </c>
      <c r="E116">
        <v>169</v>
      </c>
      <c r="F116">
        <v>206</v>
      </c>
      <c r="G116">
        <v>146</v>
      </c>
      <c r="H116">
        <v>47</v>
      </c>
      <c r="I116">
        <v>19</v>
      </c>
      <c r="J116">
        <v>24</v>
      </c>
      <c r="K116">
        <v>33</v>
      </c>
      <c r="L116">
        <v>62</v>
      </c>
      <c r="M116">
        <v>44</v>
      </c>
      <c r="N116">
        <v>57</v>
      </c>
      <c r="O116">
        <v>9</v>
      </c>
      <c r="P116">
        <v>45</v>
      </c>
      <c r="Q116">
        <v>4</v>
      </c>
      <c r="R116">
        <v>13</v>
      </c>
      <c r="S116">
        <v>53</v>
      </c>
      <c r="T116">
        <v>11</v>
      </c>
      <c r="U116">
        <v>0</v>
      </c>
      <c r="V116">
        <v>7</v>
      </c>
      <c r="W116">
        <v>12</v>
      </c>
      <c r="X116">
        <v>10</v>
      </c>
      <c r="Y116">
        <v>5</v>
      </c>
      <c r="Z116">
        <v>1</v>
      </c>
      <c r="AA116">
        <v>4</v>
      </c>
      <c r="AB116">
        <v>3</v>
      </c>
      <c r="AC116">
        <v>16</v>
      </c>
      <c r="AD116">
        <v>12</v>
      </c>
      <c r="AE116">
        <v>0</v>
      </c>
      <c r="AF116">
        <v>19</v>
      </c>
      <c r="AG116">
        <v>2</v>
      </c>
      <c r="AH116">
        <v>3</v>
      </c>
      <c r="AI116">
        <v>0</v>
      </c>
      <c r="AJ116">
        <v>0</v>
      </c>
      <c r="AK116">
        <v>6</v>
      </c>
      <c r="AL116">
        <v>1</v>
      </c>
      <c r="AM116">
        <v>6</v>
      </c>
      <c r="AN116">
        <v>5</v>
      </c>
      <c r="AO116">
        <v>0</v>
      </c>
      <c r="AP116">
        <v>0</v>
      </c>
      <c r="AQ116">
        <v>2</v>
      </c>
      <c r="AR116">
        <v>0</v>
      </c>
      <c r="AS116">
        <v>1</v>
      </c>
      <c r="AT116">
        <v>4</v>
      </c>
      <c r="AU116">
        <v>3</v>
      </c>
      <c r="AV116">
        <v>0</v>
      </c>
      <c r="AW116">
        <v>2</v>
      </c>
      <c r="AX116">
        <v>0</v>
      </c>
      <c r="AY116">
        <v>1</v>
      </c>
      <c r="AZ116">
        <v>6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3</v>
      </c>
      <c r="BH116">
        <v>1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2</v>
      </c>
      <c r="BO116">
        <v>0</v>
      </c>
      <c r="BP116">
        <v>0</v>
      </c>
      <c r="BQ116">
        <v>1</v>
      </c>
      <c r="BR116">
        <v>0</v>
      </c>
      <c r="BS116">
        <v>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4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1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 x14ac:dyDescent="0.3">
      <c r="A117" t="s">
        <v>201</v>
      </c>
      <c r="B117" t="s">
        <v>240</v>
      </c>
      <c r="C117" t="s">
        <v>203</v>
      </c>
      <c r="D117">
        <v>530</v>
      </c>
      <c r="E117">
        <v>66</v>
      </c>
      <c r="F117">
        <v>103</v>
      </c>
      <c r="G117">
        <v>50</v>
      </c>
      <c r="H117">
        <v>41</v>
      </c>
      <c r="I117">
        <v>17</v>
      </c>
      <c r="J117">
        <v>14</v>
      </c>
      <c r="K117">
        <v>21</v>
      </c>
      <c r="L117">
        <v>57</v>
      </c>
      <c r="M117">
        <v>7</v>
      </c>
      <c r="N117">
        <v>30</v>
      </c>
      <c r="O117">
        <v>2</v>
      </c>
      <c r="P117">
        <v>20</v>
      </c>
      <c r="Q117">
        <v>4</v>
      </c>
      <c r="R117">
        <v>12</v>
      </c>
      <c r="S117">
        <v>5</v>
      </c>
      <c r="T117">
        <v>3</v>
      </c>
      <c r="U117">
        <v>0</v>
      </c>
      <c r="V117">
        <v>4</v>
      </c>
      <c r="W117">
        <v>6</v>
      </c>
      <c r="X117">
        <v>8</v>
      </c>
      <c r="Y117">
        <v>1</v>
      </c>
      <c r="Z117">
        <v>0</v>
      </c>
      <c r="AA117">
        <v>2</v>
      </c>
      <c r="AB117">
        <v>0</v>
      </c>
      <c r="AC117">
        <v>11</v>
      </c>
      <c r="AD117">
        <v>3</v>
      </c>
      <c r="AE117">
        <v>0</v>
      </c>
      <c r="AF117">
        <v>16</v>
      </c>
      <c r="AG117">
        <v>0</v>
      </c>
      <c r="AH117">
        <v>1</v>
      </c>
      <c r="AI117">
        <v>0</v>
      </c>
      <c r="AJ117">
        <v>0</v>
      </c>
      <c r="AK117">
        <v>3</v>
      </c>
      <c r="AL117">
        <v>0</v>
      </c>
      <c r="AM117">
        <v>0</v>
      </c>
      <c r="AN117">
        <v>3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2</v>
      </c>
      <c r="AU117">
        <v>3</v>
      </c>
      <c r="AV117">
        <v>0</v>
      </c>
      <c r="AW117">
        <v>2</v>
      </c>
      <c r="AX117">
        <v>0</v>
      </c>
      <c r="AY117">
        <v>0</v>
      </c>
      <c r="AZ117">
        <v>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2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 x14ac:dyDescent="0.3">
      <c r="A118" t="s">
        <v>201</v>
      </c>
      <c r="B118" t="s">
        <v>240</v>
      </c>
      <c r="C118" t="s">
        <v>204</v>
      </c>
      <c r="D118">
        <v>562</v>
      </c>
      <c r="E118">
        <v>103</v>
      </c>
      <c r="F118">
        <v>103</v>
      </c>
      <c r="G118">
        <v>96</v>
      </c>
      <c r="H118">
        <v>6</v>
      </c>
      <c r="I118">
        <v>2</v>
      </c>
      <c r="J118">
        <v>10</v>
      </c>
      <c r="K118">
        <v>12</v>
      </c>
      <c r="L118">
        <v>5</v>
      </c>
      <c r="M118">
        <v>37</v>
      </c>
      <c r="N118">
        <v>27</v>
      </c>
      <c r="O118">
        <v>7</v>
      </c>
      <c r="P118">
        <v>25</v>
      </c>
      <c r="Q118">
        <v>0</v>
      </c>
      <c r="R118">
        <v>1</v>
      </c>
      <c r="S118">
        <v>48</v>
      </c>
      <c r="T118">
        <v>8</v>
      </c>
      <c r="U118">
        <v>0</v>
      </c>
      <c r="V118">
        <v>3</v>
      </c>
      <c r="W118">
        <v>6</v>
      </c>
      <c r="X118">
        <v>2</v>
      </c>
      <c r="Y118">
        <v>4</v>
      </c>
      <c r="Z118">
        <v>1</v>
      </c>
      <c r="AA118">
        <v>2</v>
      </c>
      <c r="AB118">
        <v>3</v>
      </c>
      <c r="AC118">
        <v>5</v>
      </c>
      <c r="AD118">
        <v>9</v>
      </c>
      <c r="AE118">
        <v>0</v>
      </c>
      <c r="AF118">
        <v>3</v>
      </c>
      <c r="AG118">
        <v>2</v>
      </c>
      <c r="AH118">
        <v>2</v>
      </c>
      <c r="AI118">
        <v>0</v>
      </c>
      <c r="AJ118">
        <v>0</v>
      </c>
      <c r="AK118">
        <v>3</v>
      </c>
      <c r="AL118">
        <v>1</v>
      </c>
      <c r="AM118">
        <v>6</v>
      </c>
      <c r="AN118">
        <v>2</v>
      </c>
      <c r="AO118">
        <v>0</v>
      </c>
      <c r="AP118">
        <v>0</v>
      </c>
      <c r="AQ118">
        <v>2</v>
      </c>
      <c r="AR118">
        <v>0</v>
      </c>
      <c r="AS118">
        <v>0</v>
      </c>
      <c r="AT118">
        <v>2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2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4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 x14ac:dyDescent="0.3">
      <c r="A119" t="s">
        <v>201</v>
      </c>
      <c r="B119" t="s">
        <v>241</v>
      </c>
      <c r="C119" t="s">
        <v>200</v>
      </c>
      <c r="D119" s="1">
        <v>8200</v>
      </c>
      <c r="E119" s="1">
        <v>1762</v>
      </c>
      <c r="F119">
        <v>943</v>
      </c>
      <c r="G119" s="1">
        <v>1358</v>
      </c>
      <c r="H119">
        <v>211</v>
      </c>
      <c r="I119">
        <v>495</v>
      </c>
      <c r="J119">
        <v>94</v>
      </c>
      <c r="K119">
        <v>37</v>
      </c>
      <c r="L119">
        <v>80</v>
      </c>
      <c r="M119">
        <v>233</v>
      </c>
      <c r="N119">
        <v>176</v>
      </c>
      <c r="O119" s="1">
        <v>1503</v>
      </c>
      <c r="P119">
        <v>174</v>
      </c>
      <c r="Q119">
        <v>15</v>
      </c>
      <c r="R119">
        <v>59</v>
      </c>
      <c r="S119">
        <v>180</v>
      </c>
      <c r="T119">
        <v>86</v>
      </c>
      <c r="U119">
        <v>27</v>
      </c>
      <c r="V119">
        <v>35</v>
      </c>
      <c r="W119">
        <v>127</v>
      </c>
      <c r="X119">
        <v>25</v>
      </c>
      <c r="Y119">
        <v>27</v>
      </c>
      <c r="Z119">
        <v>229</v>
      </c>
      <c r="AA119">
        <v>12</v>
      </c>
      <c r="AB119">
        <v>2</v>
      </c>
      <c r="AC119">
        <v>14</v>
      </c>
      <c r="AD119">
        <v>19</v>
      </c>
      <c r="AE119">
        <v>0</v>
      </c>
      <c r="AF119">
        <v>22</v>
      </c>
      <c r="AG119">
        <v>41</v>
      </c>
      <c r="AH119">
        <v>1</v>
      </c>
      <c r="AI119">
        <v>6</v>
      </c>
      <c r="AJ119">
        <v>5</v>
      </c>
      <c r="AK119">
        <v>6</v>
      </c>
      <c r="AL119">
        <v>9</v>
      </c>
      <c r="AM119">
        <v>26</v>
      </c>
      <c r="AN119">
        <v>9</v>
      </c>
      <c r="AO119">
        <v>21</v>
      </c>
      <c r="AP119">
        <v>1</v>
      </c>
      <c r="AQ119">
        <v>12</v>
      </c>
      <c r="AR119">
        <v>0</v>
      </c>
      <c r="AS119">
        <v>7</v>
      </c>
      <c r="AT119">
        <v>4</v>
      </c>
      <c r="AU119">
        <v>8</v>
      </c>
      <c r="AV119">
        <v>9</v>
      </c>
      <c r="AW119">
        <v>4</v>
      </c>
      <c r="AX119">
        <v>0</v>
      </c>
      <c r="AY119">
        <v>5</v>
      </c>
      <c r="AZ119">
        <v>1</v>
      </c>
      <c r="BA119">
        <v>0</v>
      </c>
      <c r="BB119">
        <v>1</v>
      </c>
      <c r="BC119">
        <v>2</v>
      </c>
      <c r="BD119">
        <v>0</v>
      </c>
      <c r="BE119">
        <v>4</v>
      </c>
      <c r="BF119">
        <v>0</v>
      </c>
      <c r="BG119">
        <v>6</v>
      </c>
      <c r="BH119">
        <v>3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1</v>
      </c>
      <c r="BO119">
        <v>0</v>
      </c>
      <c r="BP119">
        <v>0</v>
      </c>
      <c r="BQ119">
        <v>1</v>
      </c>
      <c r="BR119">
        <v>7</v>
      </c>
      <c r="BS119">
        <v>2</v>
      </c>
      <c r="BT119">
        <v>0</v>
      </c>
      <c r="BU119">
        <v>8</v>
      </c>
      <c r="BV119">
        <v>3</v>
      </c>
      <c r="BW119">
        <v>2</v>
      </c>
      <c r="BX119">
        <v>0</v>
      </c>
      <c r="BY119">
        <v>0</v>
      </c>
      <c r="BZ119">
        <v>0</v>
      </c>
      <c r="CA119">
        <v>2</v>
      </c>
      <c r="CB119">
        <v>2</v>
      </c>
      <c r="CC119">
        <v>2</v>
      </c>
      <c r="CD119">
        <v>0</v>
      </c>
      <c r="CE119">
        <v>0</v>
      </c>
      <c r="CF119">
        <v>1</v>
      </c>
      <c r="CG119">
        <v>2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4</v>
      </c>
      <c r="CP119">
        <v>1</v>
      </c>
      <c r="CQ119">
        <v>1</v>
      </c>
      <c r="CR119">
        <v>0</v>
      </c>
      <c r="CS119">
        <v>3</v>
      </c>
      <c r="CT119">
        <v>0</v>
      </c>
      <c r="CU119">
        <v>0</v>
      </c>
      <c r="CV119">
        <v>0</v>
      </c>
      <c r="CW119">
        <v>2</v>
      </c>
      <c r="CX119">
        <v>0</v>
      </c>
      <c r="CY119">
        <v>4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1</v>
      </c>
      <c r="DN119">
        <v>1</v>
      </c>
      <c r="DO119">
        <v>0</v>
      </c>
      <c r="DP119">
        <v>0</v>
      </c>
      <c r="DQ119">
        <v>1</v>
      </c>
      <c r="DR119">
        <v>1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2</v>
      </c>
      <c r="EA119">
        <v>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0</v>
      </c>
      <c r="EJ119">
        <v>2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 x14ac:dyDescent="0.3">
      <c r="A120" t="s">
        <v>201</v>
      </c>
      <c r="B120" t="s">
        <v>241</v>
      </c>
      <c r="C120" t="s">
        <v>203</v>
      </c>
      <c r="D120" s="1">
        <v>4025</v>
      </c>
      <c r="E120">
        <v>845</v>
      </c>
      <c r="F120">
        <v>504</v>
      </c>
      <c r="G120">
        <v>577</v>
      </c>
      <c r="H120">
        <v>138</v>
      </c>
      <c r="I120">
        <v>421</v>
      </c>
      <c r="J120">
        <v>45</v>
      </c>
      <c r="K120">
        <v>26</v>
      </c>
      <c r="L120">
        <v>44</v>
      </c>
      <c r="M120">
        <v>72</v>
      </c>
      <c r="N120">
        <v>34</v>
      </c>
      <c r="O120">
        <v>660</v>
      </c>
      <c r="P120">
        <v>105</v>
      </c>
      <c r="Q120">
        <v>11</v>
      </c>
      <c r="R120">
        <v>52</v>
      </c>
      <c r="S120">
        <v>20</v>
      </c>
      <c r="T120">
        <v>21</v>
      </c>
      <c r="U120">
        <v>7</v>
      </c>
      <c r="V120">
        <v>27</v>
      </c>
      <c r="W120">
        <v>61</v>
      </c>
      <c r="X120">
        <v>19</v>
      </c>
      <c r="Y120">
        <v>9</v>
      </c>
      <c r="Z120">
        <v>184</v>
      </c>
      <c r="AA120">
        <v>4</v>
      </c>
      <c r="AB120">
        <v>1</v>
      </c>
      <c r="AC120">
        <v>8</v>
      </c>
      <c r="AD120">
        <v>5</v>
      </c>
      <c r="AE120">
        <v>0</v>
      </c>
      <c r="AF120">
        <v>14</v>
      </c>
      <c r="AG120">
        <v>24</v>
      </c>
      <c r="AH120">
        <v>1</v>
      </c>
      <c r="AI120">
        <v>3</v>
      </c>
      <c r="AJ120">
        <v>2</v>
      </c>
      <c r="AK120">
        <v>6</v>
      </c>
      <c r="AL120">
        <v>0</v>
      </c>
      <c r="AM120">
        <v>2</v>
      </c>
      <c r="AN120">
        <v>5</v>
      </c>
      <c r="AO120">
        <v>21</v>
      </c>
      <c r="AP120">
        <v>1</v>
      </c>
      <c r="AQ120">
        <v>0</v>
      </c>
      <c r="AR120">
        <v>0</v>
      </c>
      <c r="AS120">
        <v>4</v>
      </c>
      <c r="AT120">
        <v>2</v>
      </c>
      <c r="AU120">
        <v>2</v>
      </c>
      <c r="AV120">
        <v>8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1</v>
      </c>
      <c r="BD120">
        <v>0</v>
      </c>
      <c r="BE120">
        <v>2</v>
      </c>
      <c r="BF120">
        <v>0</v>
      </c>
      <c r="BG120">
        <v>6</v>
      </c>
      <c r="BH120">
        <v>1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3</v>
      </c>
      <c r="BS120">
        <v>1</v>
      </c>
      <c r="BT120">
        <v>0</v>
      </c>
      <c r="BU120">
        <v>1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1</v>
      </c>
      <c r="CB120">
        <v>2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4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 x14ac:dyDescent="0.3">
      <c r="A121" t="s">
        <v>201</v>
      </c>
      <c r="B121" t="s">
        <v>241</v>
      </c>
      <c r="C121" t="s">
        <v>204</v>
      </c>
      <c r="D121" s="1">
        <v>4175</v>
      </c>
      <c r="E121">
        <v>917</v>
      </c>
      <c r="F121">
        <v>439</v>
      </c>
      <c r="G121">
        <v>781</v>
      </c>
      <c r="H121">
        <v>73</v>
      </c>
      <c r="I121">
        <v>74</v>
      </c>
      <c r="J121">
        <v>49</v>
      </c>
      <c r="K121">
        <v>11</v>
      </c>
      <c r="L121">
        <v>36</v>
      </c>
      <c r="M121">
        <v>161</v>
      </c>
      <c r="N121">
        <v>142</v>
      </c>
      <c r="O121">
        <v>843</v>
      </c>
      <c r="P121">
        <v>69</v>
      </c>
      <c r="Q121">
        <v>4</v>
      </c>
      <c r="R121">
        <v>7</v>
      </c>
      <c r="S121">
        <v>160</v>
      </c>
      <c r="T121">
        <v>65</v>
      </c>
      <c r="U121">
        <v>20</v>
      </c>
      <c r="V121">
        <v>8</v>
      </c>
      <c r="W121">
        <v>66</v>
      </c>
      <c r="X121">
        <v>6</v>
      </c>
      <c r="Y121">
        <v>18</v>
      </c>
      <c r="Z121">
        <v>45</v>
      </c>
      <c r="AA121">
        <v>8</v>
      </c>
      <c r="AB121">
        <v>1</v>
      </c>
      <c r="AC121">
        <v>6</v>
      </c>
      <c r="AD121">
        <v>14</v>
      </c>
      <c r="AE121">
        <v>0</v>
      </c>
      <c r="AF121">
        <v>8</v>
      </c>
      <c r="AG121">
        <v>17</v>
      </c>
      <c r="AH121">
        <v>0</v>
      </c>
      <c r="AI121">
        <v>3</v>
      </c>
      <c r="AJ121">
        <v>3</v>
      </c>
      <c r="AK121">
        <v>0</v>
      </c>
      <c r="AL121">
        <v>9</v>
      </c>
      <c r="AM121">
        <v>24</v>
      </c>
      <c r="AN121">
        <v>4</v>
      </c>
      <c r="AO121">
        <v>0</v>
      </c>
      <c r="AP121">
        <v>0</v>
      </c>
      <c r="AQ121">
        <v>12</v>
      </c>
      <c r="AR121">
        <v>0</v>
      </c>
      <c r="AS121">
        <v>3</v>
      </c>
      <c r="AT121">
        <v>2</v>
      </c>
      <c r="AU121">
        <v>6</v>
      </c>
      <c r="AV121">
        <v>1</v>
      </c>
      <c r="AW121">
        <v>4</v>
      </c>
      <c r="AX121">
        <v>0</v>
      </c>
      <c r="AY121">
        <v>5</v>
      </c>
      <c r="AZ121">
        <v>0</v>
      </c>
      <c r="BA121">
        <v>0</v>
      </c>
      <c r="BB121">
        <v>1</v>
      </c>
      <c r="BC121">
        <v>1</v>
      </c>
      <c r="BD121">
        <v>0</v>
      </c>
      <c r="BE121">
        <v>2</v>
      </c>
      <c r="BF121">
        <v>0</v>
      </c>
      <c r="BG121">
        <v>0</v>
      </c>
      <c r="BH121">
        <v>2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1</v>
      </c>
      <c r="BR121">
        <v>4</v>
      </c>
      <c r="BS121">
        <v>1</v>
      </c>
      <c r="BT121">
        <v>0</v>
      </c>
      <c r="BU121">
        <v>7</v>
      </c>
      <c r="BV121">
        <v>3</v>
      </c>
      <c r="BW121">
        <v>1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2</v>
      </c>
      <c r="CD121">
        <v>0</v>
      </c>
      <c r="CE121">
        <v>0</v>
      </c>
      <c r="CF121">
        <v>1</v>
      </c>
      <c r="CG121">
        <v>2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1</v>
      </c>
      <c r="CR121">
        <v>0</v>
      </c>
      <c r="CS121">
        <v>3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4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</v>
      </c>
      <c r="DJ121">
        <v>0</v>
      </c>
      <c r="DK121">
        <v>0</v>
      </c>
      <c r="DL121">
        <v>0</v>
      </c>
      <c r="DM121">
        <v>1</v>
      </c>
      <c r="DN121">
        <v>1</v>
      </c>
      <c r="DO121">
        <v>0</v>
      </c>
      <c r="DP121">
        <v>0</v>
      </c>
      <c r="DQ121">
        <v>1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2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 x14ac:dyDescent="0.3">
      <c r="A122" t="s">
        <v>201</v>
      </c>
      <c r="B122" t="s">
        <v>242</v>
      </c>
      <c r="C122" t="s">
        <v>200</v>
      </c>
      <c r="D122" s="1">
        <v>11384</v>
      </c>
      <c r="E122" s="1">
        <v>1441</v>
      </c>
      <c r="F122">
        <v>954</v>
      </c>
      <c r="G122">
        <v>516</v>
      </c>
      <c r="H122" s="1">
        <v>1307</v>
      </c>
      <c r="I122">
        <v>420</v>
      </c>
      <c r="J122" s="1">
        <v>2358</v>
      </c>
      <c r="K122">
        <v>187</v>
      </c>
      <c r="L122">
        <v>803</v>
      </c>
      <c r="M122">
        <v>643</v>
      </c>
      <c r="N122">
        <v>887</v>
      </c>
      <c r="O122">
        <v>200</v>
      </c>
      <c r="P122">
        <v>35</v>
      </c>
      <c r="Q122">
        <v>198</v>
      </c>
      <c r="R122">
        <v>336</v>
      </c>
      <c r="S122">
        <v>155</v>
      </c>
      <c r="T122">
        <v>181</v>
      </c>
      <c r="U122">
        <v>319</v>
      </c>
      <c r="V122">
        <v>38</v>
      </c>
      <c r="W122">
        <v>25</v>
      </c>
      <c r="X122">
        <v>24</v>
      </c>
      <c r="Y122">
        <v>36</v>
      </c>
      <c r="Z122">
        <v>48</v>
      </c>
      <c r="AA122">
        <v>5</v>
      </c>
      <c r="AB122">
        <v>19</v>
      </c>
      <c r="AC122">
        <v>4</v>
      </c>
      <c r="AD122">
        <v>13</v>
      </c>
      <c r="AE122">
        <v>11</v>
      </c>
      <c r="AF122">
        <v>3</v>
      </c>
      <c r="AG122">
        <v>33</v>
      </c>
      <c r="AH122">
        <v>3</v>
      </c>
      <c r="AI122">
        <v>14</v>
      </c>
      <c r="AJ122">
        <v>0</v>
      </c>
      <c r="AK122">
        <v>6</v>
      </c>
      <c r="AL122">
        <v>6</v>
      </c>
      <c r="AM122">
        <v>4</v>
      </c>
      <c r="AN122">
        <v>4</v>
      </c>
      <c r="AO122">
        <v>34</v>
      </c>
      <c r="AP122">
        <v>31</v>
      </c>
      <c r="AQ122">
        <v>7</v>
      </c>
      <c r="AR122">
        <v>3</v>
      </c>
      <c r="AS122">
        <v>1</v>
      </c>
      <c r="AT122">
        <v>3</v>
      </c>
      <c r="AU122">
        <v>0</v>
      </c>
      <c r="AV122">
        <v>2</v>
      </c>
      <c r="AW122">
        <v>1</v>
      </c>
      <c r="AX122">
        <v>4</v>
      </c>
      <c r="AY122">
        <v>1</v>
      </c>
      <c r="AZ122">
        <v>4</v>
      </c>
      <c r="BA122">
        <v>1</v>
      </c>
      <c r="BB122">
        <v>7</v>
      </c>
      <c r="BC122">
        <v>1</v>
      </c>
      <c r="BD122">
        <v>0</v>
      </c>
      <c r="BE122">
        <v>1</v>
      </c>
      <c r="BF122">
        <v>0</v>
      </c>
      <c r="BG122">
        <v>1</v>
      </c>
      <c r="BH122">
        <v>8</v>
      </c>
      <c r="BI122">
        <v>4</v>
      </c>
      <c r="BJ122">
        <v>3</v>
      </c>
      <c r="BK122">
        <v>7</v>
      </c>
      <c r="BL122">
        <v>0</v>
      </c>
      <c r="BM122">
        <v>0</v>
      </c>
      <c r="BN122">
        <v>0</v>
      </c>
      <c r="BO122">
        <v>2</v>
      </c>
      <c r="BP122">
        <v>1</v>
      </c>
      <c r="BQ122">
        <v>2</v>
      </c>
      <c r="BR122">
        <v>0</v>
      </c>
      <c r="BS122">
        <v>0</v>
      </c>
      <c r="BT122">
        <v>0</v>
      </c>
      <c r="BU122">
        <v>1</v>
      </c>
      <c r="BV122">
        <v>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1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1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2</v>
      </c>
      <c r="DU122">
        <v>0</v>
      </c>
      <c r="DV122">
        <v>0</v>
      </c>
      <c r="DW122">
        <v>1</v>
      </c>
      <c r="DX122">
        <v>0</v>
      </c>
      <c r="DY122">
        <v>2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1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 x14ac:dyDescent="0.3">
      <c r="A123" t="s">
        <v>201</v>
      </c>
      <c r="B123" t="s">
        <v>242</v>
      </c>
      <c r="C123" t="s">
        <v>203</v>
      </c>
      <c r="D123" s="1">
        <v>7382</v>
      </c>
      <c r="E123">
        <v>836</v>
      </c>
      <c r="F123">
        <v>533</v>
      </c>
      <c r="G123">
        <v>159</v>
      </c>
      <c r="H123">
        <v>980</v>
      </c>
      <c r="I123">
        <v>349</v>
      </c>
      <c r="J123" s="1">
        <v>1369</v>
      </c>
      <c r="K123">
        <v>176</v>
      </c>
      <c r="L123">
        <v>769</v>
      </c>
      <c r="M123">
        <v>475</v>
      </c>
      <c r="N123">
        <v>506</v>
      </c>
      <c r="O123">
        <v>96</v>
      </c>
      <c r="P123">
        <v>22</v>
      </c>
      <c r="Q123">
        <v>180</v>
      </c>
      <c r="R123">
        <v>293</v>
      </c>
      <c r="S123">
        <v>11</v>
      </c>
      <c r="T123">
        <v>146</v>
      </c>
      <c r="U123">
        <v>186</v>
      </c>
      <c r="V123">
        <v>31</v>
      </c>
      <c r="W123">
        <v>12</v>
      </c>
      <c r="X123">
        <v>21</v>
      </c>
      <c r="Y123">
        <v>26</v>
      </c>
      <c r="Z123">
        <v>33</v>
      </c>
      <c r="AA123">
        <v>3</v>
      </c>
      <c r="AB123">
        <v>10</v>
      </c>
      <c r="AC123">
        <v>1</v>
      </c>
      <c r="AD123">
        <v>3</v>
      </c>
      <c r="AE123">
        <v>11</v>
      </c>
      <c r="AF123">
        <v>1</v>
      </c>
      <c r="AG123">
        <v>22</v>
      </c>
      <c r="AH123">
        <v>1</v>
      </c>
      <c r="AI123">
        <v>10</v>
      </c>
      <c r="AJ123">
        <v>0</v>
      </c>
      <c r="AK123">
        <v>6</v>
      </c>
      <c r="AL123">
        <v>2</v>
      </c>
      <c r="AM123">
        <v>0</v>
      </c>
      <c r="AN123">
        <v>2</v>
      </c>
      <c r="AO123">
        <v>33</v>
      </c>
      <c r="AP123">
        <v>18</v>
      </c>
      <c r="AQ123">
        <v>2</v>
      </c>
      <c r="AR123">
        <v>2</v>
      </c>
      <c r="AS123">
        <v>1</v>
      </c>
      <c r="AT123">
        <v>1</v>
      </c>
      <c r="AU123">
        <v>0</v>
      </c>
      <c r="AV123">
        <v>2</v>
      </c>
      <c r="AW123">
        <v>1</v>
      </c>
      <c r="AX123">
        <v>4</v>
      </c>
      <c r="AY123">
        <v>0</v>
      </c>
      <c r="AZ123">
        <v>4</v>
      </c>
      <c r="BA123">
        <v>0</v>
      </c>
      <c r="BB123">
        <v>4</v>
      </c>
      <c r="BC123">
        <v>1</v>
      </c>
      <c r="BD123">
        <v>0</v>
      </c>
      <c r="BE123">
        <v>0</v>
      </c>
      <c r="BF123">
        <v>0</v>
      </c>
      <c r="BG123">
        <v>1</v>
      </c>
      <c r="BH123">
        <v>7</v>
      </c>
      <c r="BI123">
        <v>2</v>
      </c>
      <c r="BJ123">
        <v>1</v>
      </c>
      <c r="BK123">
        <v>6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1</v>
      </c>
      <c r="BR123">
        <v>0</v>
      </c>
      <c r="BS123">
        <v>0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1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 x14ac:dyDescent="0.3">
      <c r="A124" t="s">
        <v>201</v>
      </c>
      <c r="B124" t="s">
        <v>242</v>
      </c>
      <c r="C124" t="s">
        <v>204</v>
      </c>
      <c r="D124" s="1">
        <v>4002</v>
      </c>
      <c r="E124">
        <v>605</v>
      </c>
      <c r="F124">
        <v>421</v>
      </c>
      <c r="G124">
        <v>357</v>
      </c>
      <c r="H124">
        <v>327</v>
      </c>
      <c r="I124">
        <v>71</v>
      </c>
      <c r="J124">
        <v>989</v>
      </c>
      <c r="K124">
        <v>11</v>
      </c>
      <c r="L124">
        <v>34</v>
      </c>
      <c r="M124">
        <v>168</v>
      </c>
      <c r="N124">
        <v>381</v>
      </c>
      <c r="O124">
        <v>104</v>
      </c>
      <c r="P124">
        <v>13</v>
      </c>
      <c r="Q124">
        <v>18</v>
      </c>
      <c r="R124">
        <v>43</v>
      </c>
      <c r="S124">
        <v>144</v>
      </c>
      <c r="T124">
        <v>35</v>
      </c>
      <c r="U124">
        <v>133</v>
      </c>
      <c r="V124">
        <v>7</v>
      </c>
      <c r="W124">
        <v>13</v>
      </c>
      <c r="X124">
        <v>3</v>
      </c>
      <c r="Y124">
        <v>10</v>
      </c>
      <c r="Z124">
        <v>15</v>
      </c>
      <c r="AA124">
        <v>2</v>
      </c>
      <c r="AB124">
        <v>9</v>
      </c>
      <c r="AC124">
        <v>3</v>
      </c>
      <c r="AD124">
        <v>10</v>
      </c>
      <c r="AE124">
        <v>0</v>
      </c>
      <c r="AF124">
        <v>2</v>
      </c>
      <c r="AG124">
        <v>11</v>
      </c>
      <c r="AH124">
        <v>2</v>
      </c>
      <c r="AI124">
        <v>4</v>
      </c>
      <c r="AJ124">
        <v>0</v>
      </c>
      <c r="AK124">
        <v>0</v>
      </c>
      <c r="AL124">
        <v>4</v>
      </c>
      <c r="AM124">
        <v>4</v>
      </c>
      <c r="AN124">
        <v>2</v>
      </c>
      <c r="AO124">
        <v>1</v>
      </c>
      <c r="AP124">
        <v>13</v>
      </c>
      <c r="AQ124">
        <v>5</v>
      </c>
      <c r="AR124">
        <v>1</v>
      </c>
      <c r="AS124">
        <v>0</v>
      </c>
      <c r="AT124">
        <v>2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1</v>
      </c>
      <c r="BB124">
        <v>3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2</v>
      </c>
      <c r="BJ124">
        <v>2</v>
      </c>
      <c r="BK124">
        <v>1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2</v>
      </c>
      <c r="DU124">
        <v>0</v>
      </c>
      <c r="DV124">
        <v>0</v>
      </c>
      <c r="DW124">
        <v>0</v>
      </c>
      <c r="DX124">
        <v>0</v>
      </c>
      <c r="DY124">
        <v>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 x14ac:dyDescent="0.3">
      <c r="A125" t="s">
        <v>201</v>
      </c>
      <c r="B125" t="s">
        <v>243</v>
      </c>
      <c r="C125" t="s">
        <v>200</v>
      </c>
      <c r="D125" s="1">
        <v>16471</v>
      </c>
      <c r="E125" s="1">
        <v>1529</v>
      </c>
      <c r="F125" s="1">
        <v>1428</v>
      </c>
      <c r="G125" s="1">
        <v>1027</v>
      </c>
      <c r="H125" s="1">
        <v>1551</v>
      </c>
      <c r="I125">
        <v>591</v>
      </c>
      <c r="J125" s="1">
        <v>1301</v>
      </c>
      <c r="K125">
        <v>477</v>
      </c>
      <c r="L125" s="1">
        <v>1342</v>
      </c>
      <c r="M125" s="1">
        <v>1294</v>
      </c>
      <c r="N125" s="1">
        <v>1336</v>
      </c>
      <c r="O125">
        <v>300</v>
      </c>
      <c r="P125">
        <v>137</v>
      </c>
      <c r="Q125">
        <v>642</v>
      </c>
      <c r="R125" s="1">
        <v>1024</v>
      </c>
      <c r="S125">
        <v>213</v>
      </c>
      <c r="T125">
        <v>69</v>
      </c>
      <c r="U125">
        <v>36</v>
      </c>
      <c r="V125">
        <v>383</v>
      </c>
      <c r="W125">
        <v>113</v>
      </c>
      <c r="X125">
        <v>263</v>
      </c>
      <c r="Y125">
        <v>372</v>
      </c>
      <c r="Z125">
        <v>111</v>
      </c>
      <c r="AA125">
        <v>8</v>
      </c>
      <c r="AB125">
        <v>16</v>
      </c>
      <c r="AC125">
        <v>30</v>
      </c>
      <c r="AD125">
        <v>120</v>
      </c>
      <c r="AE125">
        <v>20</v>
      </c>
      <c r="AF125">
        <v>29</v>
      </c>
      <c r="AG125">
        <v>15</v>
      </c>
      <c r="AH125">
        <v>15</v>
      </c>
      <c r="AI125">
        <v>20</v>
      </c>
      <c r="AJ125">
        <v>10</v>
      </c>
      <c r="AK125">
        <v>73</v>
      </c>
      <c r="AL125">
        <v>12</v>
      </c>
      <c r="AM125">
        <v>19</v>
      </c>
      <c r="AN125">
        <v>15</v>
      </c>
      <c r="AO125">
        <v>14</v>
      </c>
      <c r="AP125">
        <v>61</v>
      </c>
      <c r="AQ125">
        <v>14</v>
      </c>
      <c r="AR125">
        <v>6</v>
      </c>
      <c r="AS125">
        <v>13</v>
      </c>
      <c r="AT125">
        <v>3</v>
      </c>
      <c r="AU125">
        <v>12</v>
      </c>
      <c r="AV125">
        <v>203</v>
      </c>
      <c r="AW125">
        <v>6</v>
      </c>
      <c r="AX125">
        <v>1</v>
      </c>
      <c r="AY125">
        <v>3</v>
      </c>
      <c r="AZ125">
        <v>1</v>
      </c>
      <c r="BA125">
        <v>2</v>
      </c>
      <c r="BB125">
        <v>1</v>
      </c>
      <c r="BC125">
        <v>3</v>
      </c>
      <c r="BD125">
        <v>0</v>
      </c>
      <c r="BE125">
        <v>48</v>
      </c>
      <c r="BF125">
        <v>0</v>
      </c>
      <c r="BG125">
        <v>11</v>
      </c>
      <c r="BH125">
        <v>5</v>
      </c>
      <c r="BI125">
        <v>2</v>
      </c>
      <c r="BJ125">
        <v>0</v>
      </c>
      <c r="BK125">
        <v>0</v>
      </c>
      <c r="BL125">
        <v>7</v>
      </c>
      <c r="BM125">
        <v>2</v>
      </c>
      <c r="BN125">
        <v>6</v>
      </c>
      <c r="BO125">
        <v>6</v>
      </c>
      <c r="BP125">
        <v>8</v>
      </c>
      <c r="BQ125">
        <v>4</v>
      </c>
      <c r="BR125">
        <v>1</v>
      </c>
      <c r="BS125">
        <v>3</v>
      </c>
      <c r="BT125">
        <v>13</v>
      </c>
      <c r="BU125">
        <v>1</v>
      </c>
      <c r="BV125">
        <v>6</v>
      </c>
      <c r="BW125">
        <v>2</v>
      </c>
      <c r="BX125">
        <v>2</v>
      </c>
      <c r="BY125">
        <v>0</v>
      </c>
      <c r="BZ125">
        <v>0</v>
      </c>
      <c r="CA125">
        <v>2</v>
      </c>
      <c r="CB125">
        <v>0</v>
      </c>
      <c r="CC125">
        <v>0</v>
      </c>
      <c r="CD125">
        <v>1</v>
      </c>
      <c r="CE125">
        <v>4</v>
      </c>
      <c r="CF125">
        <v>0</v>
      </c>
      <c r="CG125">
        <v>2</v>
      </c>
      <c r="CH125">
        <v>7</v>
      </c>
      <c r="CI125">
        <v>1</v>
      </c>
      <c r="CJ125">
        <v>1</v>
      </c>
      <c r="CK125">
        <v>0</v>
      </c>
      <c r="CL125">
        <v>1</v>
      </c>
      <c r="CM125">
        <v>0</v>
      </c>
      <c r="CN125">
        <v>0</v>
      </c>
      <c r="CO125">
        <v>1</v>
      </c>
      <c r="CP125">
        <v>1</v>
      </c>
      <c r="CQ125">
        <v>1</v>
      </c>
      <c r="CR125">
        <v>0</v>
      </c>
      <c r="CS125">
        <v>2</v>
      </c>
      <c r="CT125">
        <v>1</v>
      </c>
      <c r="CU125">
        <v>0</v>
      </c>
      <c r="CV125">
        <v>2</v>
      </c>
      <c r="CW125">
        <v>1</v>
      </c>
      <c r="CX125">
        <v>2</v>
      </c>
      <c r="CY125">
        <v>0</v>
      </c>
      <c r="CZ125">
        <v>1</v>
      </c>
      <c r="DA125">
        <v>5</v>
      </c>
      <c r="DB125">
        <v>0</v>
      </c>
      <c r="DC125">
        <v>3</v>
      </c>
      <c r="DD125">
        <v>1</v>
      </c>
      <c r="DE125">
        <v>0</v>
      </c>
      <c r="DF125">
        <v>0</v>
      </c>
      <c r="DG125">
        <v>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1</v>
      </c>
      <c r="DP125">
        <v>1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2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2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1</v>
      </c>
      <c r="EI125">
        <v>4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1</v>
      </c>
      <c r="FC125">
        <v>0</v>
      </c>
      <c r="FD125">
        <v>0</v>
      </c>
      <c r="FE125">
        <v>0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2</v>
      </c>
    </row>
    <row r="126" spans="1:201" x14ac:dyDescent="0.3">
      <c r="A126" t="s">
        <v>201</v>
      </c>
      <c r="B126" t="s">
        <v>243</v>
      </c>
      <c r="C126" t="s">
        <v>203</v>
      </c>
      <c r="D126" s="1">
        <v>11872</v>
      </c>
      <c r="E126">
        <v>835</v>
      </c>
      <c r="F126">
        <v>783</v>
      </c>
      <c r="G126">
        <v>310</v>
      </c>
      <c r="H126" s="1">
        <v>1296</v>
      </c>
      <c r="I126">
        <v>478</v>
      </c>
      <c r="J126" s="1">
        <v>1131</v>
      </c>
      <c r="K126">
        <v>427</v>
      </c>
      <c r="L126" s="1">
        <v>1290</v>
      </c>
      <c r="M126">
        <v>997</v>
      </c>
      <c r="N126">
        <v>945</v>
      </c>
      <c r="O126">
        <v>154</v>
      </c>
      <c r="P126">
        <v>67</v>
      </c>
      <c r="Q126">
        <v>561</v>
      </c>
      <c r="R126">
        <v>876</v>
      </c>
      <c r="S126">
        <v>37</v>
      </c>
      <c r="T126">
        <v>20</v>
      </c>
      <c r="U126">
        <v>18</v>
      </c>
      <c r="V126">
        <v>333</v>
      </c>
      <c r="W126">
        <v>54</v>
      </c>
      <c r="X126">
        <v>246</v>
      </c>
      <c r="Y126">
        <v>327</v>
      </c>
      <c r="Z126">
        <v>91</v>
      </c>
      <c r="AA126">
        <v>8</v>
      </c>
      <c r="AB126">
        <v>9</v>
      </c>
      <c r="AC126">
        <v>19</v>
      </c>
      <c r="AD126">
        <v>39</v>
      </c>
      <c r="AE126">
        <v>20</v>
      </c>
      <c r="AF126">
        <v>21</v>
      </c>
      <c r="AG126">
        <v>7</v>
      </c>
      <c r="AH126">
        <v>13</v>
      </c>
      <c r="AI126">
        <v>17</v>
      </c>
      <c r="AJ126">
        <v>6</v>
      </c>
      <c r="AK126">
        <v>65</v>
      </c>
      <c r="AL126">
        <v>2</v>
      </c>
      <c r="AM126">
        <v>4</v>
      </c>
      <c r="AN126">
        <v>10</v>
      </c>
      <c r="AO126">
        <v>14</v>
      </c>
      <c r="AP126">
        <v>35</v>
      </c>
      <c r="AQ126">
        <v>3</v>
      </c>
      <c r="AR126">
        <v>4</v>
      </c>
      <c r="AS126">
        <v>6</v>
      </c>
      <c r="AT126">
        <v>2</v>
      </c>
      <c r="AU126">
        <v>6</v>
      </c>
      <c r="AV126">
        <v>181</v>
      </c>
      <c r="AW126">
        <v>3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0</v>
      </c>
      <c r="BE126">
        <v>27</v>
      </c>
      <c r="BF126">
        <v>0</v>
      </c>
      <c r="BG126">
        <v>7</v>
      </c>
      <c r="BH126">
        <v>1</v>
      </c>
      <c r="BI126">
        <v>0</v>
      </c>
      <c r="BJ126">
        <v>0</v>
      </c>
      <c r="BK126">
        <v>0</v>
      </c>
      <c r="BL126">
        <v>1</v>
      </c>
      <c r="BM126">
        <v>1</v>
      </c>
      <c r="BN126">
        <v>3</v>
      </c>
      <c r="BO126">
        <v>3</v>
      </c>
      <c r="BP126">
        <v>1</v>
      </c>
      <c r="BQ126">
        <v>1</v>
      </c>
      <c r="BR126">
        <v>0</v>
      </c>
      <c r="BS126">
        <v>2</v>
      </c>
      <c r="BT126">
        <v>12</v>
      </c>
      <c r="BU126">
        <v>0</v>
      </c>
      <c r="BV126">
        <v>2</v>
      </c>
      <c r="BW126">
        <v>1</v>
      </c>
      <c r="BX126">
        <v>0</v>
      </c>
      <c r="BY126">
        <v>0</v>
      </c>
      <c r="BZ126">
        <v>0</v>
      </c>
      <c r="CA126">
        <v>2</v>
      </c>
      <c r="CB126">
        <v>0</v>
      </c>
      <c r="CC126">
        <v>0</v>
      </c>
      <c r="CD126">
        <v>0</v>
      </c>
      <c r="CE126">
        <v>3</v>
      </c>
      <c r="CF126">
        <v>0</v>
      </c>
      <c r="CG126">
        <v>0</v>
      </c>
      <c r="CH126">
        <v>7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0</v>
      </c>
      <c r="CR126">
        <v>0</v>
      </c>
      <c r="CS126">
        <v>1</v>
      </c>
      <c r="CT126">
        <v>1</v>
      </c>
      <c r="CU126">
        <v>0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2</v>
      </c>
      <c r="DB126">
        <v>0</v>
      </c>
      <c r="DC126">
        <v>3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4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1</v>
      </c>
    </row>
    <row r="127" spans="1:201" x14ac:dyDescent="0.3">
      <c r="A127" t="s">
        <v>201</v>
      </c>
      <c r="B127" t="s">
        <v>243</v>
      </c>
      <c r="C127" t="s">
        <v>204</v>
      </c>
      <c r="D127" s="1">
        <v>4599</v>
      </c>
      <c r="E127">
        <v>694</v>
      </c>
      <c r="F127">
        <v>645</v>
      </c>
      <c r="G127">
        <v>717</v>
      </c>
      <c r="H127">
        <v>255</v>
      </c>
      <c r="I127">
        <v>113</v>
      </c>
      <c r="J127">
        <v>170</v>
      </c>
      <c r="K127">
        <v>50</v>
      </c>
      <c r="L127">
        <v>52</v>
      </c>
      <c r="M127">
        <v>297</v>
      </c>
      <c r="N127">
        <v>391</v>
      </c>
      <c r="O127">
        <v>146</v>
      </c>
      <c r="P127">
        <v>70</v>
      </c>
      <c r="Q127">
        <v>81</v>
      </c>
      <c r="R127">
        <v>148</v>
      </c>
      <c r="S127">
        <v>176</v>
      </c>
      <c r="T127">
        <v>49</v>
      </c>
      <c r="U127">
        <v>18</v>
      </c>
      <c r="V127">
        <v>50</v>
      </c>
      <c r="W127">
        <v>59</v>
      </c>
      <c r="X127">
        <v>17</v>
      </c>
      <c r="Y127">
        <v>45</v>
      </c>
      <c r="Z127">
        <v>20</v>
      </c>
      <c r="AA127">
        <v>0</v>
      </c>
      <c r="AB127">
        <v>7</v>
      </c>
      <c r="AC127">
        <v>11</v>
      </c>
      <c r="AD127">
        <v>81</v>
      </c>
      <c r="AE127">
        <v>0</v>
      </c>
      <c r="AF127">
        <v>8</v>
      </c>
      <c r="AG127">
        <v>8</v>
      </c>
      <c r="AH127">
        <v>2</v>
      </c>
      <c r="AI127">
        <v>3</v>
      </c>
      <c r="AJ127">
        <v>4</v>
      </c>
      <c r="AK127">
        <v>8</v>
      </c>
      <c r="AL127">
        <v>10</v>
      </c>
      <c r="AM127">
        <v>15</v>
      </c>
      <c r="AN127">
        <v>5</v>
      </c>
      <c r="AO127">
        <v>0</v>
      </c>
      <c r="AP127">
        <v>26</v>
      </c>
      <c r="AQ127">
        <v>11</v>
      </c>
      <c r="AR127">
        <v>2</v>
      </c>
      <c r="AS127">
        <v>7</v>
      </c>
      <c r="AT127">
        <v>1</v>
      </c>
      <c r="AU127">
        <v>6</v>
      </c>
      <c r="AV127">
        <v>22</v>
      </c>
      <c r="AW127">
        <v>3</v>
      </c>
      <c r="AX127">
        <v>0</v>
      </c>
      <c r="AY127">
        <v>2</v>
      </c>
      <c r="AZ127">
        <v>0</v>
      </c>
      <c r="BA127">
        <v>1</v>
      </c>
      <c r="BB127">
        <v>0</v>
      </c>
      <c r="BC127">
        <v>2</v>
      </c>
      <c r="BD127">
        <v>0</v>
      </c>
      <c r="BE127">
        <v>21</v>
      </c>
      <c r="BF127">
        <v>0</v>
      </c>
      <c r="BG127">
        <v>4</v>
      </c>
      <c r="BH127">
        <v>4</v>
      </c>
      <c r="BI127">
        <v>2</v>
      </c>
      <c r="BJ127">
        <v>0</v>
      </c>
      <c r="BK127">
        <v>0</v>
      </c>
      <c r="BL127">
        <v>6</v>
      </c>
      <c r="BM127">
        <v>1</v>
      </c>
      <c r="BN127">
        <v>3</v>
      </c>
      <c r="BO127">
        <v>3</v>
      </c>
      <c r="BP127">
        <v>7</v>
      </c>
      <c r="BQ127">
        <v>3</v>
      </c>
      <c r="BR127">
        <v>1</v>
      </c>
      <c r="BS127">
        <v>1</v>
      </c>
      <c r="BT127">
        <v>1</v>
      </c>
      <c r="BU127">
        <v>1</v>
      </c>
      <c r="BV127">
        <v>4</v>
      </c>
      <c r="BW127">
        <v>1</v>
      </c>
      <c r="BX127">
        <v>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1</v>
      </c>
      <c r="CF127">
        <v>0</v>
      </c>
      <c r="CG127">
        <v>2</v>
      </c>
      <c r="CH127">
        <v>0</v>
      </c>
      <c r="CI127">
        <v>0</v>
      </c>
      <c r="CJ127">
        <v>1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0</v>
      </c>
      <c r="CQ127">
        <v>1</v>
      </c>
      <c r="CR127">
        <v>0</v>
      </c>
      <c r="CS127">
        <v>1</v>
      </c>
      <c r="CT127">
        <v>0</v>
      </c>
      <c r="CU127">
        <v>0</v>
      </c>
      <c r="CV127">
        <v>1</v>
      </c>
      <c r="CW127">
        <v>1</v>
      </c>
      <c r="CX127">
        <v>1</v>
      </c>
      <c r="CY127">
        <v>0</v>
      </c>
      <c r="CZ127">
        <v>1</v>
      </c>
      <c r="DA127">
        <v>3</v>
      </c>
      <c r="DB127">
        <v>0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2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1</v>
      </c>
      <c r="EC127">
        <v>0</v>
      </c>
      <c r="ED127">
        <v>0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</v>
      </c>
      <c r="FC127">
        <v>0</v>
      </c>
      <c r="FD127">
        <v>0</v>
      </c>
      <c r="FE127">
        <v>0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1</v>
      </c>
    </row>
    <row r="128" spans="1:201" x14ac:dyDescent="0.3">
      <c r="A128" t="s">
        <v>201</v>
      </c>
      <c r="B128" t="s">
        <v>244</v>
      </c>
      <c r="C128" t="s">
        <v>200</v>
      </c>
      <c r="D128" s="1">
        <v>36187</v>
      </c>
      <c r="E128" s="1">
        <v>3553</v>
      </c>
      <c r="F128" s="1">
        <v>5990</v>
      </c>
      <c r="G128" s="1">
        <v>2877</v>
      </c>
      <c r="H128" s="1">
        <v>1703</v>
      </c>
      <c r="I128" s="1">
        <v>1322</v>
      </c>
      <c r="J128" s="1">
        <v>1022</v>
      </c>
      <c r="K128">
        <v>648</v>
      </c>
      <c r="L128" s="1">
        <v>1107</v>
      </c>
      <c r="M128" s="1">
        <v>1700</v>
      </c>
      <c r="N128" s="1">
        <v>1230</v>
      </c>
      <c r="O128">
        <v>317</v>
      </c>
      <c r="P128" s="1">
        <v>8309</v>
      </c>
      <c r="Q128">
        <v>506</v>
      </c>
      <c r="R128">
        <v>587</v>
      </c>
      <c r="S128">
        <v>380</v>
      </c>
      <c r="T128">
        <v>530</v>
      </c>
      <c r="U128">
        <v>767</v>
      </c>
      <c r="V128">
        <v>277</v>
      </c>
      <c r="W128">
        <v>157</v>
      </c>
      <c r="X128">
        <v>369</v>
      </c>
      <c r="Y128">
        <v>112</v>
      </c>
      <c r="Z128">
        <v>412</v>
      </c>
      <c r="AA128">
        <v>26</v>
      </c>
      <c r="AB128">
        <v>44</v>
      </c>
      <c r="AC128">
        <v>59</v>
      </c>
      <c r="AD128">
        <v>136</v>
      </c>
      <c r="AE128">
        <v>20</v>
      </c>
      <c r="AF128">
        <v>91</v>
      </c>
      <c r="AG128">
        <v>153</v>
      </c>
      <c r="AH128">
        <v>42</v>
      </c>
      <c r="AI128">
        <v>20</v>
      </c>
      <c r="AJ128">
        <v>62</v>
      </c>
      <c r="AK128">
        <v>246</v>
      </c>
      <c r="AL128">
        <v>91</v>
      </c>
      <c r="AM128">
        <v>13</v>
      </c>
      <c r="AN128">
        <v>41</v>
      </c>
      <c r="AO128">
        <v>4</v>
      </c>
      <c r="AP128">
        <v>33</v>
      </c>
      <c r="AQ128">
        <v>41</v>
      </c>
      <c r="AR128">
        <v>18</v>
      </c>
      <c r="AS128">
        <v>21</v>
      </c>
      <c r="AT128">
        <v>10</v>
      </c>
      <c r="AU128">
        <v>33</v>
      </c>
      <c r="AV128">
        <v>74</v>
      </c>
      <c r="AW128">
        <v>11</v>
      </c>
      <c r="AX128">
        <v>7</v>
      </c>
      <c r="AY128">
        <v>27</v>
      </c>
      <c r="AZ128">
        <v>8</v>
      </c>
      <c r="BA128">
        <v>10</v>
      </c>
      <c r="BB128">
        <v>0</v>
      </c>
      <c r="BC128">
        <v>3</v>
      </c>
      <c r="BD128">
        <v>2</v>
      </c>
      <c r="BE128">
        <v>157</v>
      </c>
      <c r="BF128">
        <v>3</v>
      </c>
      <c r="BG128">
        <v>8</v>
      </c>
      <c r="BH128">
        <v>11</v>
      </c>
      <c r="BI128">
        <v>10</v>
      </c>
      <c r="BJ128">
        <v>24</v>
      </c>
      <c r="BK128">
        <v>7</v>
      </c>
      <c r="BL128">
        <v>52</v>
      </c>
      <c r="BM128">
        <v>19</v>
      </c>
      <c r="BN128">
        <v>27</v>
      </c>
      <c r="BO128">
        <v>14</v>
      </c>
      <c r="BP128">
        <v>44</v>
      </c>
      <c r="BQ128">
        <v>5</v>
      </c>
      <c r="BR128">
        <v>14</v>
      </c>
      <c r="BS128">
        <v>2</v>
      </c>
      <c r="BT128">
        <v>4</v>
      </c>
      <c r="BU128">
        <v>0</v>
      </c>
      <c r="BV128">
        <v>8</v>
      </c>
      <c r="BW128">
        <v>2</v>
      </c>
      <c r="BX128">
        <v>148</v>
      </c>
      <c r="BY128">
        <v>67</v>
      </c>
      <c r="BZ128">
        <v>0</v>
      </c>
      <c r="CA128">
        <v>8</v>
      </c>
      <c r="CB128">
        <v>2</v>
      </c>
      <c r="CC128">
        <v>5</v>
      </c>
      <c r="CD128">
        <v>5</v>
      </c>
      <c r="CE128">
        <v>5</v>
      </c>
      <c r="CF128">
        <v>0</v>
      </c>
      <c r="CG128">
        <v>2</v>
      </c>
      <c r="CH128">
        <v>30</v>
      </c>
      <c r="CI128">
        <v>4</v>
      </c>
      <c r="CJ128">
        <v>1</v>
      </c>
      <c r="CK128">
        <v>1</v>
      </c>
      <c r="CL128">
        <v>0</v>
      </c>
      <c r="CM128">
        <v>67</v>
      </c>
      <c r="CN128">
        <v>0</v>
      </c>
      <c r="CO128">
        <v>22</v>
      </c>
      <c r="CP128">
        <v>4</v>
      </c>
      <c r="CQ128">
        <v>1</v>
      </c>
      <c r="CR128">
        <v>24</v>
      </c>
      <c r="CS128">
        <v>5</v>
      </c>
      <c r="CT128">
        <v>2</v>
      </c>
      <c r="CU128">
        <v>3</v>
      </c>
      <c r="CV128">
        <v>5</v>
      </c>
      <c r="CW128">
        <v>2</v>
      </c>
      <c r="CX128">
        <v>27</v>
      </c>
      <c r="CY128">
        <v>1</v>
      </c>
      <c r="CZ128">
        <v>2</v>
      </c>
      <c r="DA128">
        <v>5</v>
      </c>
      <c r="DB128">
        <v>1</v>
      </c>
      <c r="DC128">
        <v>19</v>
      </c>
      <c r="DD128">
        <v>6</v>
      </c>
      <c r="DE128">
        <v>4</v>
      </c>
      <c r="DF128">
        <v>14</v>
      </c>
      <c r="DG128">
        <v>1</v>
      </c>
      <c r="DH128">
        <v>3</v>
      </c>
      <c r="DI128">
        <v>0</v>
      </c>
      <c r="DJ128">
        <v>0</v>
      </c>
      <c r="DK128">
        <v>0</v>
      </c>
      <c r="DL128">
        <v>7</v>
      </c>
      <c r="DM128">
        <v>1</v>
      </c>
      <c r="DN128">
        <v>1</v>
      </c>
      <c r="DO128">
        <v>3</v>
      </c>
      <c r="DP128">
        <v>0</v>
      </c>
      <c r="DQ128">
        <v>1</v>
      </c>
      <c r="DR128">
        <v>2</v>
      </c>
      <c r="DS128">
        <v>0</v>
      </c>
      <c r="DT128">
        <v>4</v>
      </c>
      <c r="DU128">
        <v>0</v>
      </c>
      <c r="DV128">
        <v>1</v>
      </c>
      <c r="DW128">
        <v>0</v>
      </c>
      <c r="DX128">
        <v>3</v>
      </c>
      <c r="DY128">
        <v>2</v>
      </c>
      <c r="DZ128">
        <v>2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3</v>
      </c>
      <c r="EG128">
        <v>0</v>
      </c>
      <c r="EH128">
        <v>0</v>
      </c>
      <c r="EI128">
        <v>3</v>
      </c>
      <c r="EJ128">
        <v>1</v>
      </c>
      <c r="EK128">
        <v>4</v>
      </c>
      <c r="EL128">
        <v>0</v>
      </c>
      <c r="EM128">
        <v>1</v>
      </c>
      <c r="EN128">
        <v>0</v>
      </c>
      <c r="EO128">
        <v>0</v>
      </c>
      <c r="EP128">
        <v>0</v>
      </c>
      <c r="EQ128">
        <v>1</v>
      </c>
      <c r="ER128">
        <v>2</v>
      </c>
      <c r="ES128">
        <v>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1</v>
      </c>
      <c r="FB128">
        <v>0</v>
      </c>
      <c r="FC128">
        <v>0</v>
      </c>
      <c r="FD128">
        <v>0</v>
      </c>
      <c r="FE128">
        <v>0</v>
      </c>
      <c r="FF128">
        <v>2</v>
      </c>
      <c r="FG128">
        <v>0</v>
      </c>
      <c r="FH128">
        <v>0</v>
      </c>
      <c r="FI128">
        <v>5</v>
      </c>
      <c r="FJ128">
        <v>1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1</v>
      </c>
      <c r="FQ128">
        <v>0</v>
      </c>
      <c r="FR128">
        <v>0</v>
      </c>
      <c r="FS128">
        <v>0</v>
      </c>
      <c r="FT128">
        <v>0</v>
      </c>
      <c r="FU128">
        <v>1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1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3</v>
      </c>
    </row>
    <row r="129" spans="1:201" x14ac:dyDescent="0.3">
      <c r="A129" t="s">
        <v>201</v>
      </c>
      <c r="B129" t="s">
        <v>244</v>
      </c>
      <c r="C129" t="s">
        <v>203</v>
      </c>
      <c r="D129" s="1">
        <v>21176</v>
      </c>
      <c r="E129" s="1">
        <v>1735</v>
      </c>
      <c r="F129" s="1">
        <v>3353</v>
      </c>
      <c r="G129" s="1">
        <v>1013</v>
      </c>
      <c r="H129" s="1">
        <v>1396</v>
      </c>
      <c r="I129">
        <v>812</v>
      </c>
      <c r="J129">
        <v>857</v>
      </c>
      <c r="K129">
        <v>555</v>
      </c>
      <c r="L129" s="1">
        <v>1020</v>
      </c>
      <c r="M129">
        <v>581</v>
      </c>
      <c r="N129">
        <v>769</v>
      </c>
      <c r="O129">
        <v>130</v>
      </c>
      <c r="P129" s="1">
        <v>4935</v>
      </c>
      <c r="Q129">
        <v>444</v>
      </c>
      <c r="R129">
        <v>492</v>
      </c>
      <c r="S129">
        <v>82</v>
      </c>
      <c r="T129">
        <v>305</v>
      </c>
      <c r="U129">
        <v>371</v>
      </c>
      <c r="V129">
        <v>238</v>
      </c>
      <c r="W129">
        <v>75</v>
      </c>
      <c r="X129">
        <v>340</v>
      </c>
      <c r="Y129">
        <v>86</v>
      </c>
      <c r="Z129">
        <v>336</v>
      </c>
      <c r="AA129">
        <v>7</v>
      </c>
      <c r="AB129">
        <v>26</v>
      </c>
      <c r="AC129">
        <v>29</v>
      </c>
      <c r="AD129">
        <v>48</v>
      </c>
      <c r="AE129">
        <v>18</v>
      </c>
      <c r="AF129">
        <v>44</v>
      </c>
      <c r="AG129">
        <v>113</v>
      </c>
      <c r="AH129">
        <v>18</v>
      </c>
      <c r="AI129">
        <v>12</v>
      </c>
      <c r="AJ129">
        <v>31</v>
      </c>
      <c r="AK129">
        <v>173</v>
      </c>
      <c r="AL129">
        <v>32</v>
      </c>
      <c r="AM129">
        <v>2</v>
      </c>
      <c r="AN129">
        <v>24</v>
      </c>
      <c r="AO129">
        <v>3</v>
      </c>
      <c r="AP129">
        <v>25</v>
      </c>
      <c r="AQ129">
        <v>7</v>
      </c>
      <c r="AR129">
        <v>9</v>
      </c>
      <c r="AS129">
        <v>6</v>
      </c>
      <c r="AT129">
        <v>3</v>
      </c>
      <c r="AU129">
        <v>21</v>
      </c>
      <c r="AV129">
        <v>53</v>
      </c>
      <c r="AW129">
        <v>2</v>
      </c>
      <c r="AX129">
        <v>4</v>
      </c>
      <c r="AY129">
        <v>5</v>
      </c>
      <c r="AZ129">
        <v>3</v>
      </c>
      <c r="BA129">
        <v>0</v>
      </c>
      <c r="BB129">
        <v>0</v>
      </c>
      <c r="BC129">
        <v>1</v>
      </c>
      <c r="BD129">
        <v>2</v>
      </c>
      <c r="BE129">
        <v>80</v>
      </c>
      <c r="BF129">
        <v>0</v>
      </c>
      <c r="BG129">
        <v>5</v>
      </c>
      <c r="BH129">
        <v>2</v>
      </c>
      <c r="BI129">
        <v>5</v>
      </c>
      <c r="BJ129">
        <v>17</v>
      </c>
      <c r="BK129">
        <v>2</v>
      </c>
      <c r="BL129">
        <v>23</v>
      </c>
      <c r="BM129">
        <v>8</v>
      </c>
      <c r="BN129">
        <v>9</v>
      </c>
      <c r="BO129">
        <v>12</v>
      </c>
      <c r="BP129">
        <v>30</v>
      </c>
      <c r="BQ129">
        <v>2</v>
      </c>
      <c r="BR129">
        <v>10</v>
      </c>
      <c r="BS129">
        <v>0</v>
      </c>
      <c r="BT129">
        <v>4</v>
      </c>
      <c r="BU129">
        <v>0</v>
      </c>
      <c r="BV129">
        <v>5</v>
      </c>
      <c r="BW129">
        <v>1</v>
      </c>
      <c r="BX129">
        <v>93</v>
      </c>
      <c r="BY129">
        <v>32</v>
      </c>
      <c r="BZ129">
        <v>0</v>
      </c>
      <c r="CA129">
        <v>5</v>
      </c>
      <c r="CB129">
        <v>2</v>
      </c>
      <c r="CC129">
        <v>1</v>
      </c>
      <c r="CD129">
        <v>1</v>
      </c>
      <c r="CE129">
        <v>3</v>
      </c>
      <c r="CF129">
        <v>0</v>
      </c>
      <c r="CG129">
        <v>0</v>
      </c>
      <c r="CH129">
        <v>23</v>
      </c>
      <c r="CI129">
        <v>0</v>
      </c>
      <c r="CJ129">
        <v>0</v>
      </c>
      <c r="CK129">
        <v>1</v>
      </c>
      <c r="CL129">
        <v>0</v>
      </c>
      <c r="CM129">
        <v>48</v>
      </c>
      <c r="CN129">
        <v>0</v>
      </c>
      <c r="CO129">
        <v>18</v>
      </c>
      <c r="CP129">
        <v>1</v>
      </c>
      <c r="CQ129">
        <v>1</v>
      </c>
      <c r="CR129">
        <v>9</v>
      </c>
      <c r="CS129">
        <v>3</v>
      </c>
      <c r="CT129">
        <v>1</v>
      </c>
      <c r="CU129">
        <v>1</v>
      </c>
      <c r="CV129">
        <v>0</v>
      </c>
      <c r="CW129">
        <v>0</v>
      </c>
      <c r="CX129">
        <v>16</v>
      </c>
      <c r="CY129">
        <v>0</v>
      </c>
      <c r="CZ129">
        <v>0</v>
      </c>
      <c r="DA129">
        <v>2</v>
      </c>
      <c r="DB129">
        <v>0</v>
      </c>
      <c r="DC129">
        <v>15</v>
      </c>
      <c r="DD129">
        <v>3</v>
      </c>
      <c r="DE129">
        <v>3</v>
      </c>
      <c r="DF129">
        <v>11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1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0</v>
      </c>
      <c r="DV129">
        <v>0</v>
      </c>
      <c r="DW129">
        <v>0</v>
      </c>
      <c r="DX129">
        <v>2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3</v>
      </c>
      <c r="EG129">
        <v>0</v>
      </c>
      <c r="EH129">
        <v>0</v>
      </c>
      <c r="EI129">
        <v>3</v>
      </c>
      <c r="EJ129">
        <v>1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0</v>
      </c>
      <c r="FC129">
        <v>0</v>
      </c>
      <c r="FD129">
        <v>0</v>
      </c>
      <c r="FE129">
        <v>0</v>
      </c>
      <c r="FF129">
        <v>1</v>
      </c>
      <c r="FG129">
        <v>0</v>
      </c>
      <c r="FH129">
        <v>0</v>
      </c>
      <c r="FI129">
        <v>2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1</v>
      </c>
      <c r="FQ129">
        <v>0</v>
      </c>
      <c r="FR129">
        <v>0</v>
      </c>
      <c r="FS129">
        <v>0</v>
      </c>
      <c r="FT129">
        <v>0</v>
      </c>
      <c r="FU129">
        <v>1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1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2</v>
      </c>
    </row>
    <row r="130" spans="1:201" x14ac:dyDescent="0.3">
      <c r="A130" t="s">
        <v>201</v>
      </c>
      <c r="B130" t="s">
        <v>244</v>
      </c>
      <c r="C130" t="s">
        <v>204</v>
      </c>
      <c r="D130" s="1">
        <v>15011</v>
      </c>
      <c r="E130" s="1">
        <v>1818</v>
      </c>
      <c r="F130" s="1">
        <v>2637</v>
      </c>
      <c r="G130" s="1">
        <v>1864</v>
      </c>
      <c r="H130">
        <v>307</v>
      </c>
      <c r="I130">
        <v>510</v>
      </c>
      <c r="J130">
        <v>165</v>
      </c>
      <c r="K130">
        <v>93</v>
      </c>
      <c r="L130">
        <v>87</v>
      </c>
      <c r="M130" s="1">
        <v>1119</v>
      </c>
      <c r="N130">
        <v>461</v>
      </c>
      <c r="O130">
        <v>187</v>
      </c>
      <c r="P130" s="1">
        <v>3374</v>
      </c>
      <c r="Q130">
        <v>62</v>
      </c>
      <c r="R130">
        <v>95</v>
      </c>
      <c r="S130">
        <v>298</v>
      </c>
      <c r="T130">
        <v>225</v>
      </c>
      <c r="U130">
        <v>396</v>
      </c>
      <c r="V130">
        <v>39</v>
      </c>
      <c r="W130">
        <v>82</v>
      </c>
      <c r="X130">
        <v>29</v>
      </c>
      <c r="Y130">
        <v>26</v>
      </c>
      <c r="Z130">
        <v>76</v>
      </c>
      <c r="AA130">
        <v>19</v>
      </c>
      <c r="AB130">
        <v>18</v>
      </c>
      <c r="AC130">
        <v>30</v>
      </c>
      <c r="AD130">
        <v>88</v>
      </c>
      <c r="AE130">
        <v>2</v>
      </c>
      <c r="AF130">
        <v>47</v>
      </c>
      <c r="AG130">
        <v>40</v>
      </c>
      <c r="AH130">
        <v>24</v>
      </c>
      <c r="AI130">
        <v>8</v>
      </c>
      <c r="AJ130">
        <v>31</v>
      </c>
      <c r="AK130">
        <v>73</v>
      </c>
      <c r="AL130">
        <v>59</v>
      </c>
      <c r="AM130">
        <v>11</v>
      </c>
      <c r="AN130">
        <v>17</v>
      </c>
      <c r="AO130">
        <v>1</v>
      </c>
      <c r="AP130">
        <v>8</v>
      </c>
      <c r="AQ130">
        <v>34</v>
      </c>
      <c r="AR130">
        <v>9</v>
      </c>
      <c r="AS130">
        <v>15</v>
      </c>
      <c r="AT130">
        <v>7</v>
      </c>
      <c r="AU130">
        <v>12</v>
      </c>
      <c r="AV130">
        <v>21</v>
      </c>
      <c r="AW130">
        <v>9</v>
      </c>
      <c r="AX130">
        <v>3</v>
      </c>
      <c r="AY130">
        <v>22</v>
      </c>
      <c r="AZ130">
        <v>5</v>
      </c>
      <c r="BA130">
        <v>10</v>
      </c>
      <c r="BB130">
        <v>0</v>
      </c>
      <c r="BC130">
        <v>2</v>
      </c>
      <c r="BD130">
        <v>0</v>
      </c>
      <c r="BE130">
        <v>77</v>
      </c>
      <c r="BF130">
        <v>3</v>
      </c>
      <c r="BG130">
        <v>3</v>
      </c>
      <c r="BH130">
        <v>9</v>
      </c>
      <c r="BI130">
        <v>5</v>
      </c>
      <c r="BJ130">
        <v>7</v>
      </c>
      <c r="BK130">
        <v>5</v>
      </c>
      <c r="BL130">
        <v>29</v>
      </c>
      <c r="BM130">
        <v>11</v>
      </c>
      <c r="BN130">
        <v>18</v>
      </c>
      <c r="BO130">
        <v>2</v>
      </c>
      <c r="BP130">
        <v>14</v>
      </c>
      <c r="BQ130">
        <v>3</v>
      </c>
      <c r="BR130">
        <v>4</v>
      </c>
      <c r="BS130">
        <v>2</v>
      </c>
      <c r="BT130">
        <v>0</v>
      </c>
      <c r="BU130">
        <v>0</v>
      </c>
      <c r="BV130">
        <v>3</v>
      </c>
      <c r="BW130">
        <v>1</v>
      </c>
      <c r="BX130">
        <v>55</v>
      </c>
      <c r="BY130">
        <v>35</v>
      </c>
      <c r="BZ130">
        <v>0</v>
      </c>
      <c r="CA130">
        <v>3</v>
      </c>
      <c r="CB130">
        <v>0</v>
      </c>
      <c r="CC130">
        <v>4</v>
      </c>
      <c r="CD130">
        <v>4</v>
      </c>
      <c r="CE130">
        <v>2</v>
      </c>
      <c r="CF130">
        <v>0</v>
      </c>
      <c r="CG130">
        <v>2</v>
      </c>
      <c r="CH130">
        <v>7</v>
      </c>
      <c r="CI130">
        <v>4</v>
      </c>
      <c r="CJ130">
        <v>1</v>
      </c>
      <c r="CK130">
        <v>0</v>
      </c>
      <c r="CL130">
        <v>0</v>
      </c>
      <c r="CM130">
        <v>19</v>
      </c>
      <c r="CN130">
        <v>0</v>
      </c>
      <c r="CO130">
        <v>4</v>
      </c>
      <c r="CP130">
        <v>3</v>
      </c>
      <c r="CQ130">
        <v>0</v>
      </c>
      <c r="CR130">
        <v>15</v>
      </c>
      <c r="CS130">
        <v>2</v>
      </c>
      <c r="CT130">
        <v>1</v>
      </c>
      <c r="CU130">
        <v>2</v>
      </c>
      <c r="CV130">
        <v>5</v>
      </c>
      <c r="CW130">
        <v>2</v>
      </c>
      <c r="CX130">
        <v>11</v>
      </c>
      <c r="CY130">
        <v>1</v>
      </c>
      <c r="CZ130">
        <v>2</v>
      </c>
      <c r="DA130">
        <v>3</v>
      </c>
      <c r="DB130">
        <v>1</v>
      </c>
      <c r="DC130">
        <v>4</v>
      </c>
      <c r="DD130">
        <v>3</v>
      </c>
      <c r="DE130">
        <v>1</v>
      </c>
      <c r="DF130">
        <v>3</v>
      </c>
      <c r="DG130">
        <v>1</v>
      </c>
      <c r="DH130">
        <v>3</v>
      </c>
      <c r="DI130">
        <v>0</v>
      </c>
      <c r="DJ130">
        <v>0</v>
      </c>
      <c r="DK130">
        <v>0</v>
      </c>
      <c r="DL130">
        <v>6</v>
      </c>
      <c r="DM130">
        <v>1</v>
      </c>
      <c r="DN130">
        <v>1</v>
      </c>
      <c r="DO130">
        <v>2</v>
      </c>
      <c r="DP130">
        <v>0</v>
      </c>
      <c r="DQ130">
        <v>1</v>
      </c>
      <c r="DR130">
        <v>2</v>
      </c>
      <c r="DS130">
        <v>0</v>
      </c>
      <c r="DT130">
        <v>3</v>
      </c>
      <c r="DU130">
        <v>0</v>
      </c>
      <c r="DV130">
        <v>1</v>
      </c>
      <c r="DW130">
        <v>0</v>
      </c>
      <c r="DX130">
        <v>1</v>
      </c>
      <c r="DY130">
        <v>2</v>
      </c>
      <c r="DZ130">
        <v>2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3</v>
      </c>
      <c r="EL130">
        <v>0</v>
      </c>
      <c r="EM130">
        <v>1</v>
      </c>
      <c r="EN130">
        <v>0</v>
      </c>
      <c r="EO130">
        <v>0</v>
      </c>
      <c r="EP130">
        <v>0</v>
      </c>
      <c r="EQ130">
        <v>1</v>
      </c>
      <c r="ER130">
        <v>2</v>
      </c>
      <c r="ES130">
        <v>1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1</v>
      </c>
      <c r="FG130">
        <v>0</v>
      </c>
      <c r="FH130">
        <v>0</v>
      </c>
      <c r="FI130">
        <v>3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1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1</v>
      </c>
    </row>
    <row r="131" spans="1:201" x14ac:dyDescent="0.3">
      <c r="A131" t="s">
        <v>201</v>
      </c>
      <c r="B131" t="s">
        <v>245</v>
      </c>
      <c r="C131" t="s">
        <v>200</v>
      </c>
      <c r="D131" s="1">
        <v>16813</v>
      </c>
      <c r="E131" s="1">
        <v>1226</v>
      </c>
      <c r="F131">
        <v>727</v>
      </c>
      <c r="G131">
        <v>705</v>
      </c>
      <c r="H131" s="1">
        <v>2419</v>
      </c>
      <c r="I131">
        <v>323</v>
      </c>
      <c r="J131" s="1">
        <v>1818</v>
      </c>
      <c r="K131">
        <v>437</v>
      </c>
      <c r="L131" s="1">
        <v>1493</v>
      </c>
      <c r="M131" s="1">
        <v>1076</v>
      </c>
      <c r="N131" s="1">
        <v>1377</v>
      </c>
      <c r="O131">
        <v>245</v>
      </c>
      <c r="P131">
        <v>13</v>
      </c>
      <c r="Q131">
        <v>568</v>
      </c>
      <c r="R131" s="1">
        <v>1758</v>
      </c>
      <c r="S131">
        <v>43</v>
      </c>
      <c r="T131">
        <v>33</v>
      </c>
      <c r="U131">
        <v>48</v>
      </c>
      <c r="V131">
        <v>262</v>
      </c>
      <c r="W131">
        <v>28</v>
      </c>
      <c r="X131" s="1">
        <v>1415</v>
      </c>
      <c r="Y131">
        <v>207</v>
      </c>
      <c r="Z131">
        <v>74</v>
      </c>
      <c r="AA131">
        <v>1</v>
      </c>
      <c r="AB131">
        <v>15</v>
      </c>
      <c r="AC131">
        <v>4</v>
      </c>
      <c r="AD131">
        <v>18</v>
      </c>
      <c r="AE131">
        <v>160</v>
      </c>
      <c r="AF131">
        <v>4</v>
      </c>
      <c r="AG131">
        <v>11</v>
      </c>
      <c r="AH131">
        <v>0</v>
      </c>
      <c r="AI131">
        <v>77</v>
      </c>
      <c r="AJ131">
        <v>10</v>
      </c>
      <c r="AK131">
        <v>77</v>
      </c>
      <c r="AL131">
        <v>2</v>
      </c>
      <c r="AM131">
        <v>1</v>
      </c>
      <c r="AN131">
        <v>3</v>
      </c>
      <c r="AO131">
        <v>0</v>
      </c>
      <c r="AP131">
        <v>21</v>
      </c>
      <c r="AQ131">
        <v>5</v>
      </c>
      <c r="AR131">
        <v>33</v>
      </c>
      <c r="AS131">
        <v>3</v>
      </c>
      <c r="AT131">
        <v>0</v>
      </c>
      <c r="AU131">
        <v>2</v>
      </c>
      <c r="AV131">
        <v>12</v>
      </c>
      <c r="AW131">
        <v>0</v>
      </c>
      <c r="AX131">
        <v>15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2</v>
      </c>
      <c r="BV131">
        <v>2</v>
      </c>
      <c r="BW131">
        <v>0</v>
      </c>
      <c r="BX131">
        <v>12</v>
      </c>
      <c r="BY131">
        <v>0</v>
      </c>
      <c r="BZ131">
        <v>0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5</v>
      </c>
      <c r="CI131">
        <v>1</v>
      </c>
      <c r="CJ131">
        <v>0</v>
      </c>
      <c r="CK131">
        <v>0</v>
      </c>
      <c r="CL131">
        <v>0</v>
      </c>
      <c r="CM131">
        <v>1</v>
      </c>
      <c r="CN131">
        <v>0</v>
      </c>
      <c r="CO131">
        <v>2</v>
      </c>
      <c r="CP131">
        <v>2</v>
      </c>
      <c r="CQ131">
        <v>0</v>
      </c>
      <c r="CR131">
        <v>1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2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2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4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3</v>
      </c>
    </row>
    <row r="132" spans="1:201" x14ac:dyDescent="0.3">
      <c r="A132" t="s">
        <v>201</v>
      </c>
      <c r="B132" t="s">
        <v>245</v>
      </c>
      <c r="C132" t="s">
        <v>203</v>
      </c>
      <c r="D132" s="1">
        <v>12651</v>
      </c>
      <c r="E132">
        <v>709</v>
      </c>
      <c r="F132">
        <v>413</v>
      </c>
      <c r="G132">
        <v>288</v>
      </c>
      <c r="H132" s="1">
        <v>1939</v>
      </c>
      <c r="I132">
        <v>246</v>
      </c>
      <c r="J132" s="1">
        <v>1084</v>
      </c>
      <c r="K132">
        <v>405</v>
      </c>
      <c r="L132" s="1">
        <v>1465</v>
      </c>
      <c r="M132">
        <v>831</v>
      </c>
      <c r="N132">
        <v>883</v>
      </c>
      <c r="O132">
        <v>146</v>
      </c>
      <c r="P132">
        <v>7</v>
      </c>
      <c r="Q132">
        <v>504</v>
      </c>
      <c r="R132" s="1">
        <v>1500</v>
      </c>
      <c r="S132">
        <v>2</v>
      </c>
      <c r="T132">
        <v>9</v>
      </c>
      <c r="U132">
        <v>22</v>
      </c>
      <c r="V132">
        <v>234</v>
      </c>
      <c r="W132">
        <v>18</v>
      </c>
      <c r="X132" s="1">
        <v>1308</v>
      </c>
      <c r="Y132">
        <v>185</v>
      </c>
      <c r="Z132">
        <v>50</v>
      </c>
      <c r="AA132">
        <v>0</v>
      </c>
      <c r="AB132">
        <v>8</v>
      </c>
      <c r="AC132">
        <v>2</v>
      </c>
      <c r="AD132">
        <v>6</v>
      </c>
      <c r="AE132">
        <v>151</v>
      </c>
      <c r="AF132">
        <v>3</v>
      </c>
      <c r="AG132">
        <v>9</v>
      </c>
      <c r="AH132">
        <v>0</v>
      </c>
      <c r="AI132">
        <v>66</v>
      </c>
      <c r="AJ132">
        <v>4</v>
      </c>
      <c r="AK132">
        <v>64</v>
      </c>
      <c r="AL132">
        <v>1</v>
      </c>
      <c r="AM132">
        <v>0</v>
      </c>
      <c r="AN132">
        <v>0</v>
      </c>
      <c r="AO132">
        <v>0</v>
      </c>
      <c r="AP132">
        <v>13</v>
      </c>
      <c r="AQ132">
        <v>3</v>
      </c>
      <c r="AR132">
        <v>17</v>
      </c>
      <c r="AS132">
        <v>3</v>
      </c>
      <c r="AT132">
        <v>0</v>
      </c>
      <c r="AU132">
        <v>2</v>
      </c>
      <c r="AV132">
        <v>9</v>
      </c>
      <c r="AW132">
        <v>0</v>
      </c>
      <c r="AX132">
        <v>10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1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10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5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2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2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3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1</v>
      </c>
    </row>
    <row r="133" spans="1:201" x14ac:dyDescent="0.3">
      <c r="A133" t="s">
        <v>201</v>
      </c>
      <c r="B133" t="s">
        <v>245</v>
      </c>
      <c r="C133" t="s">
        <v>204</v>
      </c>
      <c r="D133" s="1">
        <v>4162</v>
      </c>
      <c r="E133">
        <v>517</v>
      </c>
      <c r="F133">
        <v>314</v>
      </c>
      <c r="G133">
        <v>417</v>
      </c>
      <c r="H133">
        <v>480</v>
      </c>
      <c r="I133">
        <v>77</v>
      </c>
      <c r="J133">
        <v>734</v>
      </c>
      <c r="K133">
        <v>32</v>
      </c>
      <c r="L133">
        <v>28</v>
      </c>
      <c r="M133">
        <v>245</v>
      </c>
      <c r="N133">
        <v>494</v>
      </c>
      <c r="O133">
        <v>99</v>
      </c>
      <c r="P133">
        <v>6</v>
      </c>
      <c r="Q133">
        <v>64</v>
      </c>
      <c r="R133">
        <v>258</v>
      </c>
      <c r="S133">
        <v>41</v>
      </c>
      <c r="T133">
        <v>24</v>
      </c>
      <c r="U133">
        <v>26</v>
      </c>
      <c r="V133">
        <v>28</v>
      </c>
      <c r="W133">
        <v>10</v>
      </c>
      <c r="X133">
        <v>107</v>
      </c>
      <c r="Y133">
        <v>22</v>
      </c>
      <c r="Z133">
        <v>24</v>
      </c>
      <c r="AA133">
        <v>1</v>
      </c>
      <c r="AB133">
        <v>7</v>
      </c>
      <c r="AC133">
        <v>2</v>
      </c>
      <c r="AD133">
        <v>12</v>
      </c>
      <c r="AE133">
        <v>9</v>
      </c>
      <c r="AF133">
        <v>1</v>
      </c>
      <c r="AG133">
        <v>2</v>
      </c>
      <c r="AH133">
        <v>0</v>
      </c>
      <c r="AI133">
        <v>11</v>
      </c>
      <c r="AJ133">
        <v>6</v>
      </c>
      <c r="AK133">
        <v>13</v>
      </c>
      <c r="AL133">
        <v>1</v>
      </c>
      <c r="AM133">
        <v>1</v>
      </c>
      <c r="AN133">
        <v>3</v>
      </c>
      <c r="AO133">
        <v>0</v>
      </c>
      <c r="AP133">
        <v>8</v>
      </c>
      <c r="AQ133">
        <v>2</v>
      </c>
      <c r="AR133">
        <v>16</v>
      </c>
      <c r="AS133">
        <v>0</v>
      </c>
      <c r="AT133">
        <v>0</v>
      </c>
      <c r="AU133">
        <v>0</v>
      </c>
      <c r="AV133">
        <v>3</v>
      </c>
      <c r="AW133">
        <v>0</v>
      </c>
      <c r="AX133">
        <v>5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</v>
      </c>
      <c r="BV133">
        <v>1</v>
      </c>
      <c r="BW133">
        <v>0</v>
      </c>
      <c r="BX133">
        <v>2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2</v>
      </c>
    </row>
    <row r="134" spans="1:201" x14ac:dyDescent="0.3">
      <c r="A134" t="s">
        <v>201</v>
      </c>
      <c r="B134" t="s">
        <v>246</v>
      </c>
      <c r="C134" t="s">
        <v>200</v>
      </c>
      <c r="D134" s="1">
        <v>2680</v>
      </c>
      <c r="E134">
        <v>276</v>
      </c>
      <c r="F134">
        <v>340</v>
      </c>
      <c r="G134">
        <v>320</v>
      </c>
      <c r="H134">
        <v>76</v>
      </c>
      <c r="I134">
        <v>42</v>
      </c>
      <c r="J134">
        <v>93</v>
      </c>
      <c r="K134">
        <v>30</v>
      </c>
      <c r="L134">
        <v>92</v>
      </c>
      <c r="M134">
        <v>220</v>
      </c>
      <c r="N134">
        <v>91</v>
      </c>
      <c r="O134">
        <v>121</v>
      </c>
      <c r="P134">
        <v>169</v>
      </c>
      <c r="Q134">
        <v>9</v>
      </c>
      <c r="R134">
        <v>32</v>
      </c>
      <c r="S134">
        <v>148</v>
      </c>
      <c r="T134">
        <v>34</v>
      </c>
      <c r="U134">
        <v>8</v>
      </c>
      <c r="V134">
        <v>39</v>
      </c>
      <c r="W134">
        <v>48</v>
      </c>
      <c r="X134">
        <v>155</v>
      </c>
      <c r="Y134">
        <v>9</v>
      </c>
      <c r="Z134">
        <v>5</v>
      </c>
      <c r="AA134">
        <v>16</v>
      </c>
      <c r="AB134">
        <v>7</v>
      </c>
      <c r="AC134">
        <v>42</v>
      </c>
      <c r="AD134">
        <v>23</v>
      </c>
      <c r="AE134">
        <v>2</v>
      </c>
      <c r="AF134">
        <v>34</v>
      </c>
      <c r="AG134">
        <v>15</v>
      </c>
      <c r="AH134">
        <v>5</v>
      </c>
      <c r="AI134">
        <v>4</v>
      </c>
      <c r="AJ134">
        <v>2</v>
      </c>
      <c r="AK134">
        <v>2</v>
      </c>
      <c r="AL134">
        <v>3</v>
      </c>
      <c r="AM134">
        <v>10</v>
      </c>
      <c r="AN134">
        <v>15</v>
      </c>
      <c r="AO134">
        <v>0</v>
      </c>
      <c r="AP134">
        <v>0</v>
      </c>
      <c r="AQ134">
        <v>3</v>
      </c>
      <c r="AR134">
        <v>2</v>
      </c>
      <c r="AS134">
        <v>12</v>
      </c>
      <c r="AT134">
        <v>5</v>
      </c>
      <c r="AU134">
        <v>7</v>
      </c>
      <c r="AV134">
        <v>1</v>
      </c>
      <c r="AW134">
        <v>1</v>
      </c>
      <c r="AX134">
        <v>0</v>
      </c>
      <c r="AY134">
        <v>4</v>
      </c>
      <c r="AZ134">
        <v>0</v>
      </c>
      <c r="BA134">
        <v>2</v>
      </c>
      <c r="BB134">
        <v>38</v>
      </c>
      <c r="BC134">
        <v>3</v>
      </c>
      <c r="BD134">
        <v>2</v>
      </c>
      <c r="BE134">
        <v>0</v>
      </c>
      <c r="BF134">
        <v>0</v>
      </c>
      <c r="BG134">
        <v>6</v>
      </c>
      <c r="BH134">
        <v>4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2</v>
      </c>
      <c r="BO134">
        <v>1</v>
      </c>
      <c r="BP134">
        <v>0</v>
      </c>
      <c r="BQ134">
        <v>0</v>
      </c>
      <c r="BR134">
        <v>3</v>
      </c>
      <c r="BS134">
        <v>6</v>
      </c>
      <c r="BT134">
        <v>0</v>
      </c>
      <c r="BU134">
        <v>1</v>
      </c>
      <c r="BV134">
        <v>1</v>
      </c>
      <c r="BW134">
        <v>2</v>
      </c>
      <c r="BX134">
        <v>0</v>
      </c>
      <c r="BY134">
        <v>3</v>
      </c>
      <c r="BZ134">
        <v>1</v>
      </c>
      <c r="CA134">
        <v>5</v>
      </c>
      <c r="CB134">
        <v>0</v>
      </c>
      <c r="CC134">
        <v>0</v>
      </c>
      <c r="CD134">
        <v>1</v>
      </c>
      <c r="CE134">
        <v>0</v>
      </c>
      <c r="CF134">
        <v>0</v>
      </c>
      <c r="CG134">
        <v>3</v>
      </c>
      <c r="CH134">
        <v>2</v>
      </c>
      <c r="CI134">
        <v>3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2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4</v>
      </c>
      <c r="DT134">
        <v>1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2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 x14ac:dyDescent="0.3">
      <c r="A135" t="s">
        <v>201</v>
      </c>
      <c r="B135" t="s">
        <v>246</v>
      </c>
      <c r="C135" t="s">
        <v>203</v>
      </c>
      <c r="D135" s="1">
        <v>1275</v>
      </c>
      <c r="E135">
        <v>88</v>
      </c>
      <c r="F135">
        <v>173</v>
      </c>
      <c r="G135">
        <v>121</v>
      </c>
      <c r="H135">
        <v>59</v>
      </c>
      <c r="I135">
        <v>22</v>
      </c>
      <c r="J135">
        <v>57</v>
      </c>
      <c r="K135">
        <v>10</v>
      </c>
      <c r="L135">
        <v>87</v>
      </c>
      <c r="M135">
        <v>114</v>
      </c>
      <c r="N135">
        <v>38</v>
      </c>
      <c r="O135">
        <v>66</v>
      </c>
      <c r="P135">
        <v>79</v>
      </c>
      <c r="Q135">
        <v>9</v>
      </c>
      <c r="R135">
        <v>25</v>
      </c>
      <c r="S135">
        <v>19</v>
      </c>
      <c r="T135">
        <v>9</v>
      </c>
      <c r="U135">
        <v>2</v>
      </c>
      <c r="V135">
        <v>34</v>
      </c>
      <c r="W135">
        <v>13</v>
      </c>
      <c r="X135">
        <v>99</v>
      </c>
      <c r="Y135">
        <v>1</v>
      </c>
      <c r="Z135">
        <v>5</v>
      </c>
      <c r="AA135">
        <v>7</v>
      </c>
      <c r="AB135">
        <v>1</v>
      </c>
      <c r="AC135">
        <v>21</v>
      </c>
      <c r="AD135">
        <v>10</v>
      </c>
      <c r="AE135">
        <v>2</v>
      </c>
      <c r="AF135">
        <v>19</v>
      </c>
      <c r="AG135">
        <v>4</v>
      </c>
      <c r="AH135">
        <v>2</v>
      </c>
      <c r="AI135">
        <v>2</v>
      </c>
      <c r="AJ135">
        <v>0</v>
      </c>
      <c r="AK135">
        <v>2</v>
      </c>
      <c r="AL135">
        <v>0</v>
      </c>
      <c r="AM135">
        <v>3</v>
      </c>
      <c r="AN135">
        <v>9</v>
      </c>
      <c r="AO135">
        <v>0</v>
      </c>
      <c r="AP135">
        <v>0</v>
      </c>
      <c r="AQ135">
        <v>2</v>
      </c>
      <c r="AR135">
        <v>2</v>
      </c>
      <c r="AS135">
        <v>6</v>
      </c>
      <c r="AT135">
        <v>2</v>
      </c>
      <c r="AU135">
        <v>1</v>
      </c>
      <c r="AV135">
        <v>1</v>
      </c>
      <c r="AW135">
        <v>0</v>
      </c>
      <c r="AX135">
        <v>0</v>
      </c>
      <c r="AY135">
        <v>2</v>
      </c>
      <c r="AZ135">
        <v>0</v>
      </c>
      <c r="BA135">
        <v>0</v>
      </c>
      <c r="BB135">
        <v>19</v>
      </c>
      <c r="BC135">
        <v>0</v>
      </c>
      <c r="BD135">
        <v>2</v>
      </c>
      <c r="BE135">
        <v>0</v>
      </c>
      <c r="BF135">
        <v>0</v>
      </c>
      <c r="BG135">
        <v>4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1</v>
      </c>
      <c r="BS135">
        <v>3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1</v>
      </c>
      <c r="BZ135">
        <v>1</v>
      </c>
      <c r="CA135">
        <v>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2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1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2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 x14ac:dyDescent="0.3">
      <c r="A136" t="s">
        <v>201</v>
      </c>
      <c r="B136" t="s">
        <v>246</v>
      </c>
      <c r="C136" t="s">
        <v>204</v>
      </c>
      <c r="D136" s="1">
        <v>1405</v>
      </c>
      <c r="E136">
        <v>188</v>
      </c>
      <c r="F136">
        <v>167</v>
      </c>
      <c r="G136">
        <v>199</v>
      </c>
      <c r="H136">
        <v>17</v>
      </c>
      <c r="I136">
        <v>20</v>
      </c>
      <c r="J136">
        <v>36</v>
      </c>
      <c r="K136">
        <v>20</v>
      </c>
      <c r="L136">
        <v>5</v>
      </c>
      <c r="M136">
        <v>106</v>
      </c>
      <c r="N136">
        <v>53</v>
      </c>
      <c r="O136">
        <v>55</v>
      </c>
      <c r="P136">
        <v>90</v>
      </c>
      <c r="Q136">
        <v>0</v>
      </c>
      <c r="R136">
        <v>7</v>
      </c>
      <c r="S136">
        <v>129</v>
      </c>
      <c r="T136">
        <v>25</v>
      </c>
      <c r="U136">
        <v>6</v>
      </c>
      <c r="V136">
        <v>5</v>
      </c>
      <c r="W136">
        <v>35</v>
      </c>
      <c r="X136">
        <v>56</v>
      </c>
      <c r="Y136">
        <v>8</v>
      </c>
      <c r="Z136">
        <v>0</v>
      </c>
      <c r="AA136">
        <v>9</v>
      </c>
      <c r="AB136">
        <v>6</v>
      </c>
      <c r="AC136">
        <v>21</v>
      </c>
      <c r="AD136">
        <v>13</v>
      </c>
      <c r="AE136">
        <v>0</v>
      </c>
      <c r="AF136">
        <v>15</v>
      </c>
      <c r="AG136">
        <v>11</v>
      </c>
      <c r="AH136">
        <v>3</v>
      </c>
      <c r="AI136">
        <v>2</v>
      </c>
      <c r="AJ136">
        <v>2</v>
      </c>
      <c r="AK136">
        <v>0</v>
      </c>
      <c r="AL136">
        <v>3</v>
      </c>
      <c r="AM136">
        <v>7</v>
      </c>
      <c r="AN136">
        <v>6</v>
      </c>
      <c r="AO136">
        <v>0</v>
      </c>
      <c r="AP136">
        <v>0</v>
      </c>
      <c r="AQ136">
        <v>1</v>
      </c>
      <c r="AR136">
        <v>0</v>
      </c>
      <c r="AS136">
        <v>6</v>
      </c>
      <c r="AT136">
        <v>3</v>
      </c>
      <c r="AU136">
        <v>6</v>
      </c>
      <c r="AV136">
        <v>0</v>
      </c>
      <c r="AW136">
        <v>1</v>
      </c>
      <c r="AX136">
        <v>0</v>
      </c>
      <c r="AY136">
        <v>2</v>
      </c>
      <c r="AZ136">
        <v>0</v>
      </c>
      <c r="BA136">
        <v>2</v>
      </c>
      <c r="BB136">
        <v>19</v>
      </c>
      <c r="BC136">
        <v>3</v>
      </c>
      <c r="BD136">
        <v>0</v>
      </c>
      <c r="BE136">
        <v>0</v>
      </c>
      <c r="BF136">
        <v>0</v>
      </c>
      <c r="BG136">
        <v>2</v>
      </c>
      <c r="BH136">
        <v>3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2</v>
      </c>
      <c r="BO136">
        <v>0</v>
      </c>
      <c r="BP136">
        <v>0</v>
      </c>
      <c r="BQ136">
        <v>0</v>
      </c>
      <c r="BR136">
        <v>2</v>
      </c>
      <c r="BS136">
        <v>3</v>
      </c>
      <c r="BT136">
        <v>0</v>
      </c>
      <c r="BU136">
        <v>1</v>
      </c>
      <c r="BV136">
        <v>0</v>
      </c>
      <c r="BW136">
        <v>1</v>
      </c>
      <c r="BX136">
        <v>0</v>
      </c>
      <c r="BY136">
        <v>2</v>
      </c>
      <c r="BZ136">
        <v>0</v>
      </c>
      <c r="CA136">
        <v>3</v>
      </c>
      <c r="CB136">
        <v>0</v>
      </c>
      <c r="CC136">
        <v>0</v>
      </c>
      <c r="CD136">
        <v>1</v>
      </c>
      <c r="CE136">
        <v>0</v>
      </c>
      <c r="CF136">
        <v>0</v>
      </c>
      <c r="CG136">
        <v>2</v>
      </c>
      <c r="CH136">
        <v>0</v>
      </c>
      <c r="CI136">
        <v>2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2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2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1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1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 x14ac:dyDescent="0.3">
      <c r="A137" t="s">
        <v>201</v>
      </c>
      <c r="B137" t="s">
        <v>247</v>
      </c>
      <c r="C137" t="s">
        <v>200</v>
      </c>
      <c r="D137" s="1">
        <v>54858</v>
      </c>
      <c r="E137" s="1">
        <v>7118</v>
      </c>
      <c r="F137" s="1">
        <v>6705</v>
      </c>
      <c r="G137" s="1">
        <v>3576</v>
      </c>
      <c r="H137" s="1">
        <v>5492</v>
      </c>
      <c r="I137" s="1">
        <v>2663</v>
      </c>
      <c r="J137" s="1">
        <v>3811</v>
      </c>
      <c r="K137" s="1">
        <v>2526</v>
      </c>
      <c r="L137" s="1">
        <v>4044</v>
      </c>
      <c r="M137" s="1">
        <v>2751</v>
      </c>
      <c r="N137" s="1">
        <v>4252</v>
      </c>
      <c r="O137">
        <v>720</v>
      </c>
      <c r="P137">
        <v>341</v>
      </c>
      <c r="Q137" s="1">
        <v>1750</v>
      </c>
      <c r="R137" s="1">
        <v>2744</v>
      </c>
      <c r="S137">
        <v>725</v>
      </c>
      <c r="T137">
        <v>736</v>
      </c>
      <c r="U137">
        <v>834</v>
      </c>
      <c r="V137">
        <v>765</v>
      </c>
      <c r="W137">
        <v>134</v>
      </c>
      <c r="X137">
        <v>251</v>
      </c>
      <c r="Y137">
        <v>617</v>
      </c>
      <c r="Z137">
        <v>639</v>
      </c>
      <c r="AA137">
        <v>22</v>
      </c>
      <c r="AB137">
        <v>62</v>
      </c>
      <c r="AC137">
        <v>72</v>
      </c>
      <c r="AD137">
        <v>125</v>
      </c>
      <c r="AE137">
        <v>243</v>
      </c>
      <c r="AF137">
        <v>74</v>
      </c>
      <c r="AG137">
        <v>71</v>
      </c>
      <c r="AH137">
        <v>23</v>
      </c>
      <c r="AI137">
        <v>25</v>
      </c>
      <c r="AJ137">
        <v>101</v>
      </c>
      <c r="AK137">
        <v>23</v>
      </c>
      <c r="AL137">
        <v>82</v>
      </c>
      <c r="AM137">
        <v>25</v>
      </c>
      <c r="AN137">
        <v>24</v>
      </c>
      <c r="AO137">
        <v>232</v>
      </c>
      <c r="AP137">
        <v>89</v>
      </c>
      <c r="AQ137">
        <v>41</v>
      </c>
      <c r="AR137">
        <v>11</v>
      </c>
      <c r="AS137">
        <v>36</v>
      </c>
      <c r="AT137">
        <v>10</v>
      </c>
      <c r="AU137">
        <v>11</v>
      </c>
      <c r="AV137">
        <v>7</v>
      </c>
      <c r="AW137">
        <v>7</v>
      </c>
      <c r="AX137">
        <v>11</v>
      </c>
      <c r="AY137">
        <v>12</v>
      </c>
      <c r="AZ137">
        <v>10</v>
      </c>
      <c r="BA137">
        <v>8</v>
      </c>
      <c r="BB137">
        <v>1</v>
      </c>
      <c r="BC137">
        <v>9</v>
      </c>
      <c r="BD137">
        <v>2</v>
      </c>
      <c r="BE137">
        <v>1</v>
      </c>
      <c r="BF137">
        <v>5</v>
      </c>
      <c r="BG137">
        <v>13</v>
      </c>
      <c r="BH137">
        <v>5</v>
      </c>
      <c r="BI137">
        <v>6</v>
      </c>
      <c r="BJ137">
        <v>7</v>
      </c>
      <c r="BK137">
        <v>5</v>
      </c>
      <c r="BL137">
        <v>7</v>
      </c>
      <c r="BM137">
        <v>0</v>
      </c>
      <c r="BN137">
        <v>6</v>
      </c>
      <c r="BO137">
        <v>6</v>
      </c>
      <c r="BP137">
        <v>3</v>
      </c>
      <c r="BQ137">
        <v>4</v>
      </c>
      <c r="BR137">
        <v>4</v>
      </c>
      <c r="BS137">
        <v>12</v>
      </c>
      <c r="BT137">
        <v>2</v>
      </c>
      <c r="BU137">
        <v>8</v>
      </c>
      <c r="BV137">
        <v>1</v>
      </c>
      <c r="BW137">
        <v>1</v>
      </c>
      <c r="BX137">
        <v>1</v>
      </c>
      <c r="BY137">
        <v>7</v>
      </c>
      <c r="BZ137">
        <v>4</v>
      </c>
      <c r="CA137">
        <v>4</v>
      </c>
      <c r="CB137">
        <v>0</v>
      </c>
      <c r="CC137">
        <v>4</v>
      </c>
      <c r="CD137">
        <v>5</v>
      </c>
      <c r="CE137">
        <v>3</v>
      </c>
      <c r="CF137">
        <v>1</v>
      </c>
      <c r="CG137">
        <v>0</v>
      </c>
      <c r="CH137">
        <v>4</v>
      </c>
      <c r="CI137">
        <v>3</v>
      </c>
      <c r="CJ137">
        <v>2</v>
      </c>
      <c r="CK137">
        <v>3</v>
      </c>
      <c r="CL137">
        <v>1</v>
      </c>
      <c r="CM137">
        <v>4</v>
      </c>
      <c r="CN137">
        <v>0</v>
      </c>
      <c r="CO137">
        <v>4</v>
      </c>
      <c r="CP137">
        <v>2</v>
      </c>
      <c r="CQ137">
        <v>2</v>
      </c>
      <c r="CR137">
        <v>3</v>
      </c>
      <c r="CS137">
        <v>2</v>
      </c>
      <c r="CT137">
        <v>1</v>
      </c>
      <c r="CU137">
        <v>3</v>
      </c>
      <c r="CV137">
        <v>2</v>
      </c>
      <c r="CW137">
        <v>1</v>
      </c>
      <c r="CX137">
        <v>3</v>
      </c>
      <c r="CY137">
        <v>3</v>
      </c>
      <c r="CZ137">
        <v>4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2</v>
      </c>
      <c r="DN137">
        <v>1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1</v>
      </c>
      <c r="DZ137">
        <v>1</v>
      </c>
      <c r="EA137">
        <v>0</v>
      </c>
      <c r="EB137">
        <v>0</v>
      </c>
      <c r="EC137">
        <v>1</v>
      </c>
      <c r="ED137">
        <v>0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2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3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1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1</v>
      </c>
      <c r="GP137">
        <v>0</v>
      </c>
      <c r="GQ137">
        <v>0</v>
      </c>
      <c r="GR137">
        <v>0</v>
      </c>
      <c r="GS137">
        <v>4</v>
      </c>
    </row>
    <row r="138" spans="1:201" x14ac:dyDescent="0.3">
      <c r="A138" t="s">
        <v>201</v>
      </c>
      <c r="B138" t="s">
        <v>247</v>
      </c>
      <c r="C138" t="s">
        <v>203</v>
      </c>
      <c r="D138" s="1">
        <v>39578</v>
      </c>
      <c r="E138" s="1">
        <v>4476</v>
      </c>
      <c r="F138" s="1">
        <v>3905</v>
      </c>
      <c r="G138" s="1">
        <v>1357</v>
      </c>
      <c r="H138" s="1">
        <v>4865</v>
      </c>
      <c r="I138" s="1">
        <v>1916</v>
      </c>
      <c r="J138" s="1">
        <v>3257</v>
      </c>
      <c r="K138" s="1">
        <v>2239</v>
      </c>
      <c r="L138" s="1">
        <v>3819</v>
      </c>
      <c r="M138" s="1">
        <v>2196</v>
      </c>
      <c r="N138" s="1">
        <v>3102</v>
      </c>
      <c r="O138">
        <v>419</v>
      </c>
      <c r="P138">
        <v>164</v>
      </c>
      <c r="Q138" s="1">
        <v>1568</v>
      </c>
      <c r="R138" s="1">
        <v>2297</v>
      </c>
      <c r="S138">
        <v>237</v>
      </c>
      <c r="T138">
        <v>407</v>
      </c>
      <c r="U138">
        <v>406</v>
      </c>
      <c r="V138">
        <v>650</v>
      </c>
      <c r="W138">
        <v>46</v>
      </c>
      <c r="X138">
        <v>191</v>
      </c>
      <c r="Y138">
        <v>531</v>
      </c>
      <c r="Z138">
        <v>479</v>
      </c>
      <c r="AA138">
        <v>11</v>
      </c>
      <c r="AB138">
        <v>33</v>
      </c>
      <c r="AC138">
        <v>39</v>
      </c>
      <c r="AD138">
        <v>32</v>
      </c>
      <c r="AE138">
        <v>238</v>
      </c>
      <c r="AF138">
        <v>50</v>
      </c>
      <c r="AG138">
        <v>49</v>
      </c>
      <c r="AH138">
        <v>12</v>
      </c>
      <c r="AI138">
        <v>19</v>
      </c>
      <c r="AJ138">
        <v>52</v>
      </c>
      <c r="AK138">
        <v>18</v>
      </c>
      <c r="AL138">
        <v>28</v>
      </c>
      <c r="AM138">
        <v>3</v>
      </c>
      <c r="AN138">
        <v>11</v>
      </c>
      <c r="AO138">
        <v>210</v>
      </c>
      <c r="AP138">
        <v>62</v>
      </c>
      <c r="AQ138">
        <v>8</v>
      </c>
      <c r="AR138">
        <v>8</v>
      </c>
      <c r="AS138">
        <v>18</v>
      </c>
      <c r="AT138">
        <v>6</v>
      </c>
      <c r="AU138">
        <v>6</v>
      </c>
      <c r="AV138">
        <v>7</v>
      </c>
      <c r="AW138">
        <v>3</v>
      </c>
      <c r="AX138">
        <v>11</v>
      </c>
      <c r="AY138">
        <v>7</v>
      </c>
      <c r="AZ138">
        <v>5</v>
      </c>
      <c r="BA138">
        <v>2</v>
      </c>
      <c r="BB138">
        <v>0</v>
      </c>
      <c r="BC138">
        <v>4</v>
      </c>
      <c r="BD138">
        <v>2</v>
      </c>
      <c r="BE138">
        <v>1</v>
      </c>
      <c r="BF138">
        <v>2</v>
      </c>
      <c r="BG138">
        <v>7</v>
      </c>
      <c r="BH138">
        <v>1</v>
      </c>
      <c r="BI138">
        <v>4</v>
      </c>
      <c r="BJ138">
        <v>2</v>
      </c>
      <c r="BK138">
        <v>4</v>
      </c>
      <c r="BL138">
        <v>3</v>
      </c>
      <c r="BM138">
        <v>0</v>
      </c>
      <c r="BN138">
        <v>2</v>
      </c>
      <c r="BO138">
        <v>3</v>
      </c>
      <c r="BP138">
        <v>2</v>
      </c>
      <c r="BQ138">
        <v>2</v>
      </c>
      <c r="BR138">
        <v>1</v>
      </c>
      <c r="BS138">
        <v>5</v>
      </c>
      <c r="BT138">
        <v>2</v>
      </c>
      <c r="BU138">
        <v>5</v>
      </c>
      <c r="BV138">
        <v>0</v>
      </c>
      <c r="BW138">
        <v>1</v>
      </c>
      <c r="BX138">
        <v>1</v>
      </c>
      <c r="BY138">
        <v>7</v>
      </c>
      <c r="BZ138">
        <v>2</v>
      </c>
      <c r="CA138">
        <v>1</v>
      </c>
      <c r="CB138">
        <v>0</v>
      </c>
      <c r="CC138">
        <v>0</v>
      </c>
      <c r="CD138">
        <v>1</v>
      </c>
      <c r="CE138">
        <v>0</v>
      </c>
      <c r="CF138">
        <v>0</v>
      </c>
      <c r="CG138">
        <v>0</v>
      </c>
      <c r="CH138">
        <v>3</v>
      </c>
      <c r="CI138">
        <v>0</v>
      </c>
      <c r="CJ138">
        <v>1</v>
      </c>
      <c r="CK138">
        <v>2</v>
      </c>
      <c r="CL138">
        <v>1</v>
      </c>
      <c r="CM138">
        <v>4</v>
      </c>
      <c r="CN138">
        <v>0</v>
      </c>
      <c r="CO138">
        <v>4</v>
      </c>
      <c r="CP138">
        <v>0</v>
      </c>
      <c r="CQ138">
        <v>0</v>
      </c>
      <c r="CR138">
        <v>3</v>
      </c>
      <c r="CS138">
        <v>1</v>
      </c>
      <c r="CT138">
        <v>1</v>
      </c>
      <c r="CU138">
        <v>1</v>
      </c>
      <c r="CV138">
        <v>1</v>
      </c>
      <c r="CW138">
        <v>0</v>
      </c>
      <c r="CX138">
        <v>3</v>
      </c>
      <c r="CY138">
        <v>2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2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1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1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2</v>
      </c>
    </row>
    <row r="139" spans="1:201" x14ac:dyDescent="0.3">
      <c r="A139" t="s">
        <v>201</v>
      </c>
      <c r="B139" t="s">
        <v>247</v>
      </c>
      <c r="C139" t="s">
        <v>204</v>
      </c>
      <c r="D139" s="1">
        <v>15280</v>
      </c>
      <c r="E139" s="1">
        <v>2642</v>
      </c>
      <c r="F139" s="1">
        <v>2800</v>
      </c>
      <c r="G139" s="1">
        <v>2219</v>
      </c>
      <c r="H139">
        <v>627</v>
      </c>
      <c r="I139">
        <v>747</v>
      </c>
      <c r="J139">
        <v>554</v>
      </c>
      <c r="K139">
        <v>287</v>
      </c>
      <c r="L139">
        <v>225</v>
      </c>
      <c r="M139">
        <v>555</v>
      </c>
      <c r="N139" s="1">
        <v>1150</v>
      </c>
      <c r="O139">
        <v>301</v>
      </c>
      <c r="P139">
        <v>177</v>
      </c>
      <c r="Q139">
        <v>182</v>
      </c>
      <c r="R139">
        <v>447</v>
      </c>
      <c r="S139">
        <v>488</v>
      </c>
      <c r="T139">
        <v>329</v>
      </c>
      <c r="U139">
        <v>428</v>
      </c>
      <c r="V139">
        <v>115</v>
      </c>
      <c r="W139">
        <v>88</v>
      </c>
      <c r="X139">
        <v>60</v>
      </c>
      <c r="Y139">
        <v>86</v>
      </c>
      <c r="Z139">
        <v>160</v>
      </c>
      <c r="AA139">
        <v>11</v>
      </c>
      <c r="AB139">
        <v>29</v>
      </c>
      <c r="AC139">
        <v>33</v>
      </c>
      <c r="AD139">
        <v>93</v>
      </c>
      <c r="AE139">
        <v>5</v>
      </c>
      <c r="AF139">
        <v>24</v>
      </c>
      <c r="AG139">
        <v>22</v>
      </c>
      <c r="AH139">
        <v>11</v>
      </c>
      <c r="AI139">
        <v>6</v>
      </c>
      <c r="AJ139">
        <v>49</v>
      </c>
      <c r="AK139">
        <v>5</v>
      </c>
      <c r="AL139">
        <v>54</v>
      </c>
      <c r="AM139">
        <v>22</v>
      </c>
      <c r="AN139">
        <v>13</v>
      </c>
      <c r="AO139">
        <v>22</v>
      </c>
      <c r="AP139">
        <v>27</v>
      </c>
      <c r="AQ139">
        <v>33</v>
      </c>
      <c r="AR139">
        <v>3</v>
      </c>
      <c r="AS139">
        <v>18</v>
      </c>
      <c r="AT139">
        <v>4</v>
      </c>
      <c r="AU139">
        <v>5</v>
      </c>
      <c r="AV139">
        <v>0</v>
      </c>
      <c r="AW139">
        <v>4</v>
      </c>
      <c r="AX139">
        <v>0</v>
      </c>
      <c r="AY139">
        <v>5</v>
      </c>
      <c r="AZ139">
        <v>5</v>
      </c>
      <c r="BA139">
        <v>6</v>
      </c>
      <c r="BB139">
        <v>1</v>
      </c>
      <c r="BC139">
        <v>5</v>
      </c>
      <c r="BD139">
        <v>0</v>
      </c>
      <c r="BE139">
        <v>0</v>
      </c>
      <c r="BF139">
        <v>3</v>
      </c>
      <c r="BG139">
        <v>6</v>
      </c>
      <c r="BH139">
        <v>4</v>
      </c>
      <c r="BI139">
        <v>2</v>
      </c>
      <c r="BJ139">
        <v>5</v>
      </c>
      <c r="BK139">
        <v>1</v>
      </c>
      <c r="BL139">
        <v>4</v>
      </c>
      <c r="BM139">
        <v>0</v>
      </c>
      <c r="BN139">
        <v>4</v>
      </c>
      <c r="BO139">
        <v>3</v>
      </c>
      <c r="BP139">
        <v>1</v>
      </c>
      <c r="BQ139">
        <v>2</v>
      </c>
      <c r="BR139">
        <v>3</v>
      </c>
      <c r="BS139">
        <v>7</v>
      </c>
      <c r="BT139">
        <v>0</v>
      </c>
      <c r="BU139">
        <v>3</v>
      </c>
      <c r="BV139">
        <v>1</v>
      </c>
      <c r="BW139">
        <v>0</v>
      </c>
      <c r="BX139">
        <v>0</v>
      </c>
      <c r="BY139">
        <v>0</v>
      </c>
      <c r="BZ139">
        <v>2</v>
      </c>
      <c r="CA139">
        <v>3</v>
      </c>
      <c r="CB139">
        <v>0</v>
      </c>
      <c r="CC139">
        <v>4</v>
      </c>
      <c r="CD139">
        <v>4</v>
      </c>
      <c r="CE139">
        <v>3</v>
      </c>
      <c r="CF139">
        <v>1</v>
      </c>
      <c r="CG139">
        <v>0</v>
      </c>
      <c r="CH139">
        <v>1</v>
      </c>
      <c r="CI139">
        <v>3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2</v>
      </c>
      <c r="CQ139">
        <v>2</v>
      </c>
      <c r="CR139">
        <v>0</v>
      </c>
      <c r="CS139">
        <v>1</v>
      </c>
      <c r="CT139">
        <v>0</v>
      </c>
      <c r="CU139">
        <v>2</v>
      </c>
      <c r="CV139">
        <v>1</v>
      </c>
      <c r="CW139">
        <v>1</v>
      </c>
      <c r="CX139">
        <v>0</v>
      </c>
      <c r="CY139">
        <v>1</v>
      </c>
      <c r="CZ139">
        <v>4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2</v>
      </c>
      <c r="DN139">
        <v>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0</v>
      </c>
      <c r="EA139">
        <v>0</v>
      </c>
      <c r="EB139">
        <v>0</v>
      </c>
      <c r="EC139">
        <v>1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2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1</v>
      </c>
      <c r="GP139">
        <v>0</v>
      </c>
      <c r="GQ139">
        <v>0</v>
      </c>
      <c r="GR139">
        <v>0</v>
      </c>
      <c r="GS139">
        <v>2</v>
      </c>
    </row>
    <row r="140" spans="1:201" x14ac:dyDescent="0.3">
      <c r="A140" t="s">
        <v>248</v>
      </c>
      <c r="B140" t="s">
        <v>200</v>
      </c>
      <c r="C140" t="s">
        <v>200</v>
      </c>
      <c r="D140" s="1">
        <v>113189</v>
      </c>
      <c r="E140" s="1">
        <v>29134</v>
      </c>
      <c r="F140" s="1">
        <v>4768</v>
      </c>
      <c r="G140" s="1">
        <v>6064</v>
      </c>
      <c r="H140" s="1">
        <v>8149</v>
      </c>
      <c r="I140" s="1">
        <v>8645</v>
      </c>
      <c r="J140" s="1">
        <v>7405</v>
      </c>
      <c r="K140" s="1">
        <v>11327</v>
      </c>
      <c r="L140" s="1">
        <v>4423</v>
      </c>
      <c r="M140" s="1">
        <v>4315</v>
      </c>
      <c r="N140" s="1">
        <v>3304</v>
      </c>
      <c r="O140" s="1">
        <v>1095</v>
      </c>
      <c r="P140">
        <v>880</v>
      </c>
      <c r="Q140" s="1">
        <v>6108</v>
      </c>
      <c r="R140" s="1">
        <v>2479</v>
      </c>
      <c r="S140" s="1">
        <v>1200</v>
      </c>
      <c r="T140" s="1">
        <v>1506</v>
      </c>
      <c r="U140" s="1">
        <v>1397</v>
      </c>
      <c r="V140" s="1">
        <v>2022</v>
      </c>
      <c r="W140">
        <v>256</v>
      </c>
      <c r="X140" s="1">
        <v>1014</v>
      </c>
      <c r="Y140" s="1">
        <v>2184</v>
      </c>
      <c r="Z140">
        <v>480</v>
      </c>
      <c r="AA140">
        <v>142</v>
      </c>
      <c r="AB140">
        <v>519</v>
      </c>
      <c r="AC140">
        <v>170</v>
      </c>
      <c r="AD140">
        <v>356</v>
      </c>
      <c r="AE140">
        <v>941</v>
      </c>
      <c r="AF140">
        <v>133</v>
      </c>
      <c r="AG140">
        <v>246</v>
      </c>
      <c r="AH140">
        <v>47</v>
      </c>
      <c r="AI140">
        <v>103</v>
      </c>
      <c r="AJ140">
        <v>222</v>
      </c>
      <c r="AK140">
        <v>61</v>
      </c>
      <c r="AL140">
        <v>157</v>
      </c>
      <c r="AM140">
        <v>16</v>
      </c>
      <c r="AN140">
        <v>127</v>
      </c>
      <c r="AO140">
        <v>135</v>
      </c>
      <c r="AP140">
        <v>236</v>
      </c>
      <c r="AQ140">
        <v>82</v>
      </c>
      <c r="AR140">
        <v>28</v>
      </c>
      <c r="AS140">
        <v>202</v>
      </c>
      <c r="AT140">
        <v>56</v>
      </c>
      <c r="AU140">
        <v>57</v>
      </c>
      <c r="AV140">
        <v>30</v>
      </c>
      <c r="AW140">
        <v>17</v>
      </c>
      <c r="AX140">
        <v>29</v>
      </c>
      <c r="AY140">
        <v>28</v>
      </c>
      <c r="AZ140">
        <v>10</v>
      </c>
      <c r="BA140">
        <v>13</v>
      </c>
      <c r="BB140">
        <v>2</v>
      </c>
      <c r="BC140">
        <v>23</v>
      </c>
      <c r="BD140">
        <v>15</v>
      </c>
      <c r="BE140">
        <v>29</v>
      </c>
      <c r="BF140">
        <v>71</v>
      </c>
      <c r="BG140">
        <v>25</v>
      </c>
      <c r="BH140">
        <v>33</v>
      </c>
      <c r="BI140">
        <v>84</v>
      </c>
      <c r="BJ140">
        <v>18</v>
      </c>
      <c r="BK140">
        <v>21</v>
      </c>
      <c r="BL140">
        <v>7</v>
      </c>
      <c r="BM140">
        <v>69</v>
      </c>
      <c r="BN140">
        <v>16</v>
      </c>
      <c r="BO140">
        <v>12</v>
      </c>
      <c r="BP140">
        <v>9</v>
      </c>
      <c r="BQ140">
        <v>32</v>
      </c>
      <c r="BR140">
        <v>7</v>
      </c>
      <c r="BS140">
        <v>19</v>
      </c>
      <c r="BT140">
        <v>13</v>
      </c>
      <c r="BU140">
        <v>7</v>
      </c>
      <c r="BV140">
        <v>25</v>
      </c>
      <c r="BW140">
        <v>7</v>
      </c>
      <c r="BX140">
        <v>21</v>
      </c>
      <c r="BY140">
        <v>2</v>
      </c>
      <c r="BZ140">
        <v>7</v>
      </c>
      <c r="CA140">
        <v>4</v>
      </c>
      <c r="CB140">
        <v>9</v>
      </c>
      <c r="CC140">
        <v>17</v>
      </c>
      <c r="CD140">
        <v>5</v>
      </c>
      <c r="CE140">
        <v>14</v>
      </c>
      <c r="CF140">
        <v>24</v>
      </c>
      <c r="CG140">
        <v>1</v>
      </c>
      <c r="CH140">
        <v>4</v>
      </c>
      <c r="CI140">
        <v>4</v>
      </c>
      <c r="CJ140">
        <v>4</v>
      </c>
      <c r="CK140">
        <v>2</v>
      </c>
      <c r="CL140">
        <v>0</v>
      </c>
      <c r="CM140">
        <v>0</v>
      </c>
      <c r="CN140">
        <v>0</v>
      </c>
      <c r="CO140">
        <v>18</v>
      </c>
      <c r="CP140">
        <v>3</v>
      </c>
      <c r="CQ140">
        <v>54</v>
      </c>
      <c r="CR140">
        <v>3</v>
      </c>
      <c r="CS140">
        <v>8</v>
      </c>
      <c r="CT140">
        <v>3</v>
      </c>
      <c r="CU140">
        <v>1</v>
      </c>
      <c r="CV140">
        <v>7</v>
      </c>
      <c r="CW140">
        <v>4</v>
      </c>
      <c r="CX140">
        <v>34</v>
      </c>
      <c r="CY140">
        <v>0</v>
      </c>
      <c r="CZ140">
        <v>1</v>
      </c>
      <c r="DA140">
        <v>1</v>
      </c>
      <c r="DB140">
        <v>1</v>
      </c>
      <c r="DC140">
        <v>2</v>
      </c>
      <c r="DD140">
        <v>1</v>
      </c>
      <c r="DE140">
        <v>0</v>
      </c>
      <c r="DF140">
        <v>2</v>
      </c>
      <c r="DG140">
        <v>0</v>
      </c>
      <c r="DH140">
        <v>1</v>
      </c>
      <c r="DI140">
        <v>1</v>
      </c>
      <c r="DJ140">
        <v>10</v>
      </c>
      <c r="DK140">
        <v>2</v>
      </c>
      <c r="DL140">
        <v>3</v>
      </c>
      <c r="DM140">
        <v>3</v>
      </c>
      <c r="DN140">
        <v>4</v>
      </c>
      <c r="DO140">
        <v>2</v>
      </c>
      <c r="DP140">
        <v>1</v>
      </c>
      <c r="DQ140">
        <v>1</v>
      </c>
      <c r="DR140">
        <v>2</v>
      </c>
      <c r="DS140">
        <v>4</v>
      </c>
      <c r="DT140">
        <v>0</v>
      </c>
      <c r="DU140">
        <v>0</v>
      </c>
      <c r="DV140">
        <v>0</v>
      </c>
      <c r="DW140">
        <v>2</v>
      </c>
      <c r="DX140">
        <v>0</v>
      </c>
      <c r="DY140">
        <v>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4</v>
      </c>
      <c r="EG140">
        <v>0</v>
      </c>
      <c r="EH140">
        <v>1</v>
      </c>
      <c r="EI140">
        <v>1</v>
      </c>
      <c r="EJ140">
        <v>0</v>
      </c>
      <c r="EK140">
        <v>1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2</v>
      </c>
      <c r="ER140">
        <v>1</v>
      </c>
      <c r="ES140">
        <v>1</v>
      </c>
      <c r="ET140">
        <v>1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3</v>
      </c>
      <c r="GF140">
        <v>0</v>
      </c>
      <c r="GG140">
        <v>0</v>
      </c>
      <c r="GH140">
        <v>1</v>
      </c>
      <c r="GI140">
        <v>0</v>
      </c>
      <c r="GJ140">
        <v>0</v>
      </c>
      <c r="GK140">
        <v>0</v>
      </c>
      <c r="GL140">
        <v>1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8</v>
      </c>
    </row>
    <row r="141" spans="1:201" x14ac:dyDescent="0.3">
      <c r="A141" t="s">
        <v>248</v>
      </c>
      <c r="B141" t="s">
        <v>200</v>
      </c>
      <c r="C141" t="s">
        <v>203</v>
      </c>
      <c r="D141" s="1">
        <f>D144+D147+D150+D153+D156+D159+D162+D165+D168+D171+D174+D177+D180+D183+D186+D189+D192+D195+D198+D201+D204+D207</f>
        <v>79697</v>
      </c>
      <c r="E141" s="1">
        <f t="shared" ref="E141:BP141" si="16">E144+E147+E150+E153+E156+E159+E162+E165+E168+E171+E174+E177+E180+E183+E186+E189+E192+E195+E198+E201+E204+E207</f>
        <v>18420</v>
      </c>
      <c r="F141" s="1">
        <f t="shared" si="16"/>
        <v>2799</v>
      </c>
      <c r="G141" s="1">
        <f t="shared" si="16"/>
        <v>2500</v>
      </c>
      <c r="H141" s="1">
        <f t="shared" si="16"/>
        <v>6736</v>
      </c>
      <c r="I141" s="1">
        <f t="shared" si="16"/>
        <v>6797</v>
      </c>
      <c r="J141" s="1">
        <f t="shared" si="16"/>
        <v>4710</v>
      </c>
      <c r="K141" s="1">
        <f t="shared" si="16"/>
        <v>10839</v>
      </c>
      <c r="L141" s="1">
        <f t="shared" si="16"/>
        <v>4130</v>
      </c>
      <c r="M141" s="1">
        <f t="shared" si="16"/>
        <v>2797</v>
      </c>
      <c r="N141" s="1">
        <f t="shared" si="16"/>
        <v>2292</v>
      </c>
      <c r="O141" s="1">
        <f t="shared" si="16"/>
        <v>574</v>
      </c>
      <c r="P141" s="1">
        <f t="shared" si="16"/>
        <v>513</v>
      </c>
      <c r="Q141" s="1">
        <f t="shared" si="16"/>
        <v>5382</v>
      </c>
      <c r="R141" s="1">
        <f t="shared" si="16"/>
        <v>2066</v>
      </c>
      <c r="S141" s="1">
        <f t="shared" si="16"/>
        <v>172</v>
      </c>
      <c r="T141" s="1">
        <f t="shared" si="16"/>
        <v>923</v>
      </c>
      <c r="U141" s="1">
        <f t="shared" si="16"/>
        <v>722</v>
      </c>
      <c r="V141" s="1">
        <f t="shared" si="16"/>
        <v>1721</v>
      </c>
      <c r="W141" s="1">
        <f t="shared" si="16"/>
        <v>119</v>
      </c>
      <c r="X141" s="1">
        <f t="shared" si="16"/>
        <v>786</v>
      </c>
      <c r="Y141" s="1">
        <f t="shared" si="16"/>
        <v>837</v>
      </c>
      <c r="Z141" s="1">
        <f t="shared" si="16"/>
        <v>316</v>
      </c>
      <c r="AA141" s="1">
        <f t="shared" si="16"/>
        <v>95</v>
      </c>
      <c r="AB141" s="1">
        <f t="shared" si="16"/>
        <v>303</v>
      </c>
      <c r="AC141" s="1">
        <f t="shared" si="16"/>
        <v>129</v>
      </c>
      <c r="AD141" s="1">
        <f t="shared" si="16"/>
        <v>113</v>
      </c>
      <c r="AE141" s="1">
        <f t="shared" si="16"/>
        <v>935</v>
      </c>
      <c r="AF141" s="1">
        <f t="shared" si="16"/>
        <v>89</v>
      </c>
      <c r="AG141" s="1">
        <f t="shared" si="16"/>
        <v>200</v>
      </c>
      <c r="AH141" s="1">
        <f t="shared" si="16"/>
        <v>38</v>
      </c>
      <c r="AI141" s="1">
        <f t="shared" si="16"/>
        <v>84</v>
      </c>
      <c r="AJ141" s="1">
        <f t="shared" si="16"/>
        <v>124</v>
      </c>
      <c r="AK141" s="1">
        <f t="shared" si="16"/>
        <v>41</v>
      </c>
      <c r="AL141" s="1">
        <f t="shared" si="16"/>
        <v>69</v>
      </c>
      <c r="AM141" s="1">
        <f t="shared" si="16"/>
        <v>2</v>
      </c>
      <c r="AN141" s="1">
        <f t="shared" si="16"/>
        <v>83</v>
      </c>
      <c r="AO141" s="1">
        <f t="shared" si="16"/>
        <v>127</v>
      </c>
      <c r="AP141" s="1">
        <f t="shared" si="16"/>
        <v>142</v>
      </c>
      <c r="AQ141" s="1">
        <f t="shared" si="16"/>
        <v>46</v>
      </c>
      <c r="AR141" s="1">
        <f t="shared" si="16"/>
        <v>18</v>
      </c>
      <c r="AS141" s="1">
        <f t="shared" si="16"/>
        <v>142</v>
      </c>
      <c r="AT141" s="1">
        <f t="shared" si="16"/>
        <v>39</v>
      </c>
      <c r="AU141" s="1">
        <f t="shared" si="16"/>
        <v>29</v>
      </c>
      <c r="AV141" s="1">
        <f t="shared" si="16"/>
        <v>27</v>
      </c>
      <c r="AW141" s="1">
        <f t="shared" si="16"/>
        <v>8</v>
      </c>
      <c r="AX141" s="1">
        <f t="shared" si="16"/>
        <v>21</v>
      </c>
      <c r="AY141" s="1">
        <f t="shared" si="16"/>
        <v>6</v>
      </c>
      <c r="AZ141" s="1">
        <f t="shared" si="16"/>
        <v>7</v>
      </c>
      <c r="BA141" s="1">
        <f t="shared" si="16"/>
        <v>7</v>
      </c>
      <c r="BB141" s="1">
        <f t="shared" si="16"/>
        <v>2</v>
      </c>
      <c r="BC141" s="1">
        <f t="shared" si="16"/>
        <v>17</v>
      </c>
      <c r="BD141" s="1">
        <f t="shared" si="16"/>
        <v>15</v>
      </c>
      <c r="BE141" s="1">
        <f t="shared" si="16"/>
        <v>15</v>
      </c>
      <c r="BF141" s="1">
        <f t="shared" si="16"/>
        <v>66</v>
      </c>
      <c r="BG141" s="1">
        <f t="shared" si="16"/>
        <v>17</v>
      </c>
      <c r="BH141" s="1">
        <f t="shared" si="16"/>
        <v>17</v>
      </c>
      <c r="BI141" s="1">
        <f t="shared" si="16"/>
        <v>61</v>
      </c>
      <c r="BJ141" s="1">
        <f t="shared" si="16"/>
        <v>12</v>
      </c>
      <c r="BK141" s="1">
        <f t="shared" si="16"/>
        <v>17</v>
      </c>
      <c r="BL141" s="1">
        <f t="shared" si="16"/>
        <v>4</v>
      </c>
      <c r="BM141" s="1">
        <f t="shared" si="16"/>
        <v>67</v>
      </c>
      <c r="BN141" s="1">
        <f t="shared" si="16"/>
        <v>4</v>
      </c>
      <c r="BO141" s="1">
        <f t="shared" si="16"/>
        <v>7</v>
      </c>
      <c r="BP141" s="1">
        <f t="shared" si="16"/>
        <v>7</v>
      </c>
      <c r="BQ141" s="1">
        <f t="shared" ref="BQ141:EB141" si="17">BQ144+BQ147+BQ150+BQ153+BQ156+BQ159+BQ162+BQ165+BQ168+BQ171+BQ174+BQ177+BQ180+BQ183+BQ186+BQ189+BQ192+BQ195+BQ198+BQ201+BQ204+BQ207</f>
        <v>23</v>
      </c>
      <c r="BR141" s="1">
        <f t="shared" si="17"/>
        <v>2</v>
      </c>
      <c r="BS141" s="1">
        <f t="shared" si="17"/>
        <v>15</v>
      </c>
      <c r="BT141" s="1">
        <f t="shared" si="17"/>
        <v>9</v>
      </c>
      <c r="BU141" s="1">
        <f t="shared" si="17"/>
        <v>3</v>
      </c>
      <c r="BV141" s="1">
        <f t="shared" si="17"/>
        <v>8</v>
      </c>
      <c r="BW141" s="1">
        <f t="shared" si="17"/>
        <v>4</v>
      </c>
      <c r="BX141" s="1">
        <f t="shared" si="17"/>
        <v>19</v>
      </c>
      <c r="BY141" s="1">
        <f t="shared" si="17"/>
        <v>1</v>
      </c>
      <c r="BZ141" s="1">
        <f t="shared" si="17"/>
        <v>6</v>
      </c>
      <c r="CA141" s="1">
        <f t="shared" si="17"/>
        <v>1</v>
      </c>
      <c r="CB141" s="1">
        <f t="shared" si="17"/>
        <v>9</v>
      </c>
      <c r="CC141" s="1">
        <f t="shared" si="17"/>
        <v>10</v>
      </c>
      <c r="CD141" s="1">
        <f t="shared" si="17"/>
        <v>2</v>
      </c>
      <c r="CE141" s="1">
        <f t="shared" si="17"/>
        <v>4</v>
      </c>
      <c r="CF141" s="1">
        <f t="shared" si="17"/>
        <v>21</v>
      </c>
      <c r="CG141" s="1">
        <f t="shared" si="17"/>
        <v>1</v>
      </c>
      <c r="CH141" s="1">
        <f t="shared" si="17"/>
        <v>4</v>
      </c>
      <c r="CI141" s="1">
        <f t="shared" si="17"/>
        <v>1</v>
      </c>
      <c r="CJ141" s="1">
        <f t="shared" si="17"/>
        <v>2</v>
      </c>
      <c r="CK141" s="1">
        <f t="shared" si="17"/>
        <v>1</v>
      </c>
      <c r="CL141" s="1">
        <f t="shared" si="17"/>
        <v>0</v>
      </c>
      <c r="CM141" s="1">
        <f t="shared" si="17"/>
        <v>0</v>
      </c>
      <c r="CN141" s="1">
        <f t="shared" si="17"/>
        <v>0</v>
      </c>
      <c r="CO141" s="1">
        <f t="shared" si="17"/>
        <v>18</v>
      </c>
      <c r="CP141" s="1">
        <f t="shared" si="17"/>
        <v>2</v>
      </c>
      <c r="CQ141" s="1">
        <f t="shared" si="17"/>
        <v>45</v>
      </c>
      <c r="CR141" s="1">
        <f t="shared" si="17"/>
        <v>3</v>
      </c>
      <c r="CS141" s="1">
        <f t="shared" si="17"/>
        <v>4</v>
      </c>
      <c r="CT141" s="1">
        <f t="shared" si="17"/>
        <v>3</v>
      </c>
      <c r="CU141" s="1">
        <f t="shared" si="17"/>
        <v>0</v>
      </c>
      <c r="CV141" s="1">
        <f t="shared" si="17"/>
        <v>1</v>
      </c>
      <c r="CW141" s="1">
        <f t="shared" si="17"/>
        <v>2</v>
      </c>
      <c r="CX141" s="1">
        <f t="shared" si="17"/>
        <v>33</v>
      </c>
      <c r="CY141" s="1">
        <f t="shared" si="17"/>
        <v>0</v>
      </c>
      <c r="CZ141" s="1">
        <f t="shared" si="17"/>
        <v>0</v>
      </c>
      <c r="DA141" s="1">
        <f t="shared" si="17"/>
        <v>1</v>
      </c>
      <c r="DB141" s="1">
        <f t="shared" si="17"/>
        <v>1</v>
      </c>
      <c r="DC141" s="1">
        <f t="shared" si="17"/>
        <v>2</v>
      </c>
      <c r="DD141" s="1">
        <f t="shared" si="17"/>
        <v>1</v>
      </c>
      <c r="DE141" s="1">
        <f t="shared" si="17"/>
        <v>0</v>
      </c>
      <c r="DF141" s="1">
        <f t="shared" si="17"/>
        <v>2</v>
      </c>
      <c r="DG141" s="1">
        <f t="shared" si="17"/>
        <v>0</v>
      </c>
      <c r="DH141" s="1">
        <f t="shared" si="17"/>
        <v>1</v>
      </c>
      <c r="DI141" s="1">
        <f t="shared" si="17"/>
        <v>1</v>
      </c>
      <c r="DJ141" s="1">
        <f t="shared" si="17"/>
        <v>7</v>
      </c>
      <c r="DK141" s="1">
        <f t="shared" si="17"/>
        <v>0</v>
      </c>
      <c r="DL141" s="1">
        <f t="shared" si="17"/>
        <v>1</v>
      </c>
      <c r="DM141" s="1">
        <f t="shared" si="17"/>
        <v>0</v>
      </c>
      <c r="DN141" s="1">
        <f t="shared" si="17"/>
        <v>2</v>
      </c>
      <c r="DO141" s="1">
        <f t="shared" si="17"/>
        <v>0</v>
      </c>
      <c r="DP141" s="1">
        <f t="shared" si="17"/>
        <v>0</v>
      </c>
      <c r="DQ141" s="1">
        <f t="shared" si="17"/>
        <v>0</v>
      </c>
      <c r="DR141" s="1">
        <f t="shared" si="17"/>
        <v>1</v>
      </c>
      <c r="DS141" s="1">
        <f t="shared" si="17"/>
        <v>4</v>
      </c>
      <c r="DT141" s="1">
        <f t="shared" si="17"/>
        <v>0</v>
      </c>
      <c r="DU141" s="1">
        <f t="shared" si="17"/>
        <v>0</v>
      </c>
      <c r="DV141" s="1">
        <f t="shared" si="17"/>
        <v>0</v>
      </c>
      <c r="DW141" s="1">
        <f t="shared" si="17"/>
        <v>2</v>
      </c>
      <c r="DX141" s="1">
        <f t="shared" si="17"/>
        <v>0</v>
      </c>
      <c r="DY141" s="1">
        <f t="shared" si="17"/>
        <v>0</v>
      </c>
      <c r="DZ141" s="1">
        <f t="shared" si="17"/>
        <v>0</v>
      </c>
      <c r="EA141" s="1">
        <f t="shared" si="17"/>
        <v>0</v>
      </c>
      <c r="EB141" s="1">
        <f t="shared" si="17"/>
        <v>0</v>
      </c>
      <c r="EC141" s="1">
        <f t="shared" ref="EC141:GN141" si="18">EC144+EC147+EC150+EC153+EC156+EC159+EC162+EC165+EC168+EC171+EC174+EC177+EC180+EC183+EC186+EC189+EC192+EC195+EC198+EC201+EC204+EC207</f>
        <v>0</v>
      </c>
      <c r="ED141" s="1">
        <f t="shared" si="18"/>
        <v>0</v>
      </c>
      <c r="EE141" s="1">
        <f t="shared" si="18"/>
        <v>1</v>
      </c>
      <c r="EF141" s="1">
        <f t="shared" si="18"/>
        <v>2</v>
      </c>
      <c r="EG141" s="1">
        <f t="shared" si="18"/>
        <v>0</v>
      </c>
      <c r="EH141" s="1">
        <f t="shared" si="18"/>
        <v>1</v>
      </c>
      <c r="EI141" s="1">
        <f t="shared" si="18"/>
        <v>1</v>
      </c>
      <c r="EJ141" s="1">
        <f t="shared" si="18"/>
        <v>0</v>
      </c>
      <c r="EK141" s="1">
        <f t="shared" si="18"/>
        <v>0</v>
      </c>
      <c r="EL141" s="1">
        <f t="shared" si="18"/>
        <v>0</v>
      </c>
      <c r="EM141" s="1">
        <f t="shared" si="18"/>
        <v>0</v>
      </c>
      <c r="EN141" s="1">
        <f t="shared" si="18"/>
        <v>0</v>
      </c>
      <c r="EO141" s="1">
        <f t="shared" si="18"/>
        <v>0</v>
      </c>
      <c r="EP141" s="1">
        <f t="shared" si="18"/>
        <v>0</v>
      </c>
      <c r="EQ141" s="1">
        <f t="shared" si="18"/>
        <v>0</v>
      </c>
      <c r="ER141" s="1">
        <f t="shared" si="18"/>
        <v>0</v>
      </c>
      <c r="ES141" s="1">
        <f t="shared" si="18"/>
        <v>0</v>
      </c>
      <c r="ET141" s="1">
        <f t="shared" si="18"/>
        <v>0</v>
      </c>
      <c r="EU141" s="1">
        <f t="shared" si="18"/>
        <v>0</v>
      </c>
      <c r="EV141" s="1">
        <f t="shared" si="18"/>
        <v>0</v>
      </c>
      <c r="EW141" s="1">
        <f t="shared" si="18"/>
        <v>0</v>
      </c>
      <c r="EX141" s="1">
        <f t="shared" si="18"/>
        <v>0</v>
      </c>
      <c r="EY141" s="1">
        <f t="shared" si="18"/>
        <v>0</v>
      </c>
      <c r="EZ141" s="1">
        <f t="shared" si="18"/>
        <v>0</v>
      </c>
      <c r="FA141" s="1">
        <f t="shared" si="18"/>
        <v>0</v>
      </c>
      <c r="FB141" s="1">
        <f t="shared" si="18"/>
        <v>0</v>
      </c>
      <c r="FC141" s="1">
        <f t="shared" si="18"/>
        <v>0</v>
      </c>
      <c r="FD141" s="1">
        <f t="shared" si="18"/>
        <v>0</v>
      </c>
      <c r="FE141" s="1">
        <f t="shared" si="18"/>
        <v>0</v>
      </c>
      <c r="FF141" s="1">
        <f t="shared" si="18"/>
        <v>0</v>
      </c>
      <c r="FG141" s="1">
        <f t="shared" si="18"/>
        <v>0</v>
      </c>
      <c r="FH141" s="1">
        <f t="shared" si="18"/>
        <v>0</v>
      </c>
      <c r="FI141" s="1">
        <f t="shared" si="18"/>
        <v>0</v>
      </c>
      <c r="FJ141" s="1">
        <f t="shared" si="18"/>
        <v>0</v>
      </c>
      <c r="FK141" s="1">
        <f t="shared" si="18"/>
        <v>0</v>
      </c>
      <c r="FL141" s="1">
        <f t="shared" si="18"/>
        <v>0</v>
      </c>
      <c r="FM141" s="1">
        <f t="shared" si="18"/>
        <v>0</v>
      </c>
      <c r="FN141" s="1">
        <f t="shared" si="18"/>
        <v>0</v>
      </c>
      <c r="FO141" s="1">
        <f t="shared" si="18"/>
        <v>0</v>
      </c>
      <c r="FP141" s="1">
        <f t="shared" si="18"/>
        <v>0</v>
      </c>
      <c r="FQ141" s="1">
        <f t="shared" si="18"/>
        <v>0</v>
      </c>
      <c r="FR141" s="1">
        <f t="shared" si="18"/>
        <v>0</v>
      </c>
      <c r="FS141" s="1">
        <f t="shared" si="18"/>
        <v>0</v>
      </c>
      <c r="FT141" s="1">
        <f t="shared" si="18"/>
        <v>0</v>
      </c>
      <c r="FU141" s="1">
        <f t="shared" si="18"/>
        <v>0</v>
      </c>
      <c r="FV141" s="1">
        <f t="shared" si="18"/>
        <v>0</v>
      </c>
      <c r="FW141" s="1">
        <f t="shared" si="18"/>
        <v>0</v>
      </c>
      <c r="FX141" s="1">
        <f t="shared" si="18"/>
        <v>0</v>
      </c>
      <c r="FY141" s="1">
        <f t="shared" si="18"/>
        <v>0</v>
      </c>
      <c r="FZ141" s="1">
        <f t="shared" si="18"/>
        <v>0</v>
      </c>
      <c r="GA141" s="1">
        <f t="shared" si="18"/>
        <v>0</v>
      </c>
      <c r="GB141" s="1">
        <f t="shared" si="18"/>
        <v>0</v>
      </c>
      <c r="GC141" s="1">
        <f t="shared" si="18"/>
        <v>0</v>
      </c>
      <c r="GD141" s="1">
        <f t="shared" si="18"/>
        <v>0</v>
      </c>
      <c r="GE141" s="1">
        <f t="shared" si="18"/>
        <v>1</v>
      </c>
      <c r="GF141" s="1">
        <f t="shared" si="18"/>
        <v>0</v>
      </c>
      <c r="GG141" s="1">
        <f t="shared" si="18"/>
        <v>0</v>
      </c>
      <c r="GH141" s="1">
        <f t="shared" si="18"/>
        <v>1</v>
      </c>
      <c r="GI141" s="1">
        <f t="shared" si="18"/>
        <v>0</v>
      </c>
      <c r="GJ141" s="1">
        <f t="shared" si="18"/>
        <v>0</v>
      </c>
      <c r="GK141" s="1">
        <f t="shared" si="18"/>
        <v>0</v>
      </c>
      <c r="GL141" s="1">
        <f t="shared" si="18"/>
        <v>1</v>
      </c>
      <c r="GM141" s="1">
        <f t="shared" si="18"/>
        <v>0</v>
      </c>
      <c r="GN141" s="1">
        <f t="shared" si="18"/>
        <v>0</v>
      </c>
      <c r="GO141" s="1">
        <f t="shared" ref="GO141:GS141" si="19">GO144+GO147+GO150+GO153+GO156+GO159+GO162+GO165+GO168+GO171+GO174+GO177+GO180+GO183+GO186+GO189+GO192+GO195+GO198+GO201+GO204+GO207</f>
        <v>0</v>
      </c>
      <c r="GP141" s="1">
        <f t="shared" si="19"/>
        <v>0</v>
      </c>
      <c r="GQ141" s="1">
        <f t="shared" si="19"/>
        <v>0</v>
      </c>
      <c r="GR141" s="1">
        <f t="shared" si="19"/>
        <v>0</v>
      </c>
      <c r="GS141" s="1">
        <f t="shared" si="19"/>
        <v>3</v>
      </c>
    </row>
    <row r="142" spans="1:201" x14ac:dyDescent="0.3">
      <c r="A142" t="s">
        <v>248</v>
      </c>
      <c r="B142" t="s">
        <v>200</v>
      </c>
      <c r="C142" t="s">
        <v>204</v>
      </c>
      <c r="D142" s="1">
        <f>D145+D148+D151+D154+D157+D160+D163+D166+D169+D172+D175+D178+D181+D184+D187+D190+D193+D196+D199+D202+D205+D208</f>
        <v>33492</v>
      </c>
      <c r="E142" s="1">
        <f t="shared" ref="E142:BP142" si="20">E145+E148+E151+E154+E157+E160+E163+E166+E169+E172+E175+E178+E181+E184+E187+E190+E193+E196+E199+E202+E205+E208</f>
        <v>10714</v>
      </c>
      <c r="F142" s="1">
        <f t="shared" si="20"/>
        <v>1969</v>
      </c>
      <c r="G142" s="1">
        <f t="shared" si="20"/>
        <v>3564</v>
      </c>
      <c r="H142" s="1">
        <f t="shared" si="20"/>
        <v>1413</v>
      </c>
      <c r="I142" s="1">
        <f t="shared" si="20"/>
        <v>1848</v>
      </c>
      <c r="J142" s="1">
        <f t="shared" si="20"/>
        <v>2695</v>
      </c>
      <c r="K142" s="1">
        <f t="shared" si="20"/>
        <v>488</v>
      </c>
      <c r="L142" s="1">
        <f t="shared" si="20"/>
        <v>293</v>
      </c>
      <c r="M142" s="1">
        <f t="shared" si="20"/>
        <v>1518</v>
      </c>
      <c r="N142" s="1">
        <f t="shared" si="20"/>
        <v>1012</v>
      </c>
      <c r="O142" s="1">
        <f t="shared" si="20"/>
        <v>521</v>
      </c>
      <c r="P142" s="1">
        <f t="shared" si="20"/>
        <v>367</v>
      </c>
      <c r="Q142" s="1">
        <f t="shared" si="20"/>
        <v>726</v>
      </c>
      <c r="R142" s="1">
        <f t="shared" si="20"/>
        <v>413</v>
      </c>
      <c r="S142" s="1">
        <f t="shared" si="20"/>
        <v>1028</v>
      </c>
      <c r="T142" s="1">
        <f t="shared" si="20"/>
        <v>583</v>
      </c>
      <c r="U142" s="1">
        <f t="shared" si="20"/>
        <v>675</v>
      </c>
      <c r="V142" s="1">
        <f t="shared" si="20"/>
        <v>301</v>
      </c>
      <c r="W142" s="1">
        <f t="shared" si="20"/>
        <v>137</v>
      </c>
      <c r="X142" s="1">
        <f t="shared" si="20"/>
        <v>228</v>
      </c>
      <c r="Y142" s="1">
        <f t="shared" si="20"/>
        <v>1347</v>
      </c>
      <c r="Z142" s="1">
        <f t="shared" si="20"/>
        <v>164</v>
      </c>
      <c r="AA142" s="1">
        <f t="shared" si="20"/>
        <v>47</v>
      </c>
      <c r="AB142" s="1">
        <f t="shared" si="20"/>
        <v>216</v>
      </c>
      <c r="AC142" s="1">
        <f t="shared" si="20"/>
        <v>41</v>
      </c>
      <c r="AD142" s="1">
        <f t="shared" si="20"/>
        <v>243</v>
      </c>
      <c r="AE142" s="1">
        <f t="shared" si="20"/>
        <v>6</v>
      </c>
      <c r="AF142" s="1">
        <f t="shared" si="20"/>
        <v>44</v>
      </c>
      <c r="AG142" s="1">
        <f t="shared" si="20"/>
        <v>46</v>
      </c>
      <c r="AH142" s="1">
        <f t="shared" si="20"/>
        <v>9</v>
      </c>
      <c r="AI142" s="1">
        <f t="shared" si="20"/>
        <v>19</v>
      </c>
      <c r="AJ142" s="1">
        <f t="shared" si="20"/>
        <v>98</v>
      </c>
      <c r="AK142" s="1">
        <f t="shared" si="20"/>
        <v>20</v>
      </c>
      <c r="AL142" s="1">
        <f t="shared" si="20"/>
        <v>88</v>
      </c>
      <c r="AM142" s="1">
        <f t="shared" si="20"/>
        <v>14</v>
      </c>
      <c r="AN142" s="1">
        <f t="shared" si="20"/>
        <v>44</v>
      </c>
      <c r="AO142" s="1">
        <f t="shared" si="20"/>
        <v>8</v>
      </c>
      <c r="AP142" s="1">
        <f t="shared" si="20"/>
        <v>94</v>
      </c>
      <c r="AQ142" s="1">
        <f t="shared" si="20"/>
        <v>36</v>
      </c>
      <c r="AR142" s="1">
        <f t="shared" si="20"/>
        <v>10</v>
      </c>
      <c r="AS142" s="1">
        <f t="shared" si="20"/>
        <v>60</v>
      </c>
      <c r="AT142" s="1">
        <f t="shared" si="20"/>
        <v>17</v>
      </c>
      <c r="AU142" s="1">
        <f t="shared" si="20"/>
        <v>28</v>
      </c>
      <c r="AV142" s="1">
        <f t="shared" si="20"/>
        <v>3</v>
      </c>
      <c r="AW142" s="1">
        <f t="shared" si="20"/>
        <v>9</v>
      </c>
      <c r="AX142" s="1">
        <f t="shared" si="20"/>
        <v>8</v>
      </c>
      <c r="AY142" s="1">
        <f t="shared" si="20"/>
        <v>22</v>
      </c>
      <c r="AZ142" s="1">
        <f t="shared" si="20"/>
        <v>3</v>
      </c>
      <c r="BA142" s="1">
        <f t="shared" si="20"/>
        <v>6</v>
      </c>
      <c r="BB142" s="1">
        <f t="shared" si="20"/>
        <v>0</v>
      </c>
      <c r="BC142" s="1">
        <f t="shared" si="20"/>
        <v>6</v>
      </c>
      <c r="BD142" s="1">
        <f t="shared" si="20"/>
        <v>0</v>
      </c>
      <c r="BE142" s="1">
        <f t="shared" si="20"/>
        <v>14</v>
      </c>
      <c r="BF142" s="1">
        <f t="shared" si="20"/>
        <v>5</v>
      </c>
      <c r="BG142" s="1">
        <f t="shared" si="20"/>
        <v>8</v>
      </c>
      <c r="BH142" s="1">
        <f t="shared" si="20"/>
        <v>16</v>
      </c>
      <c r="BI142" s="1">
        <f t="shared" si="20"/>
        <v>23</v>
      </c>
      <c r="BJ142" s="1">
        <f t="shared" si="20"/>
        <v>6</v>
      </c>
      <c r="BK142" s="1">
        <f t="shared" si="20"/>
        <v>4</v>
      </c>
      <c r="BL142" s="1">
        <f t="shared" si="20"/>
        <v>3</v>
      </c>
      <c r="BM142" s="1">
        <f t="shared" si="20"/>
        <v>2</v>
      </c>
      <c r="BN142" s="1">
        <f t="shared" si="20"/>
        <v>12</v>
      </c>
      <c r="BO142" s="1">
        <f t="shared" si="20"/>
        <v>5</v>
      </c>
      <c r="BP142" s="1">
        <f t="shared" si="20"/>
        <v>2</v>
      </c>
      <c r="BQ142" s="1">
        <f t="shared" ref="BQ142:EB142" si="21">BQ145+BQ148+BQ151+BQ154+BQ157+BQ160+BQ163+BQ166+BQ169+BQ172+BQ175+BQ178+BQ181+BQ184+BQ187+BQ190+BQ193+BQ196+BQ199+BQ202+BQ205+BQ208</f>
        <v>9</v>
      </c>
      <c r="BR142" s="1">
        <f t="shared" si="21"/>
        <v>5</v>
      </c>
      <c r="BS142" s="1">
        <f t="shared" si="21"/>
        <v>4</v>
      </c>
      <c r="BT142" s="1">
        <f t="shared" si="21"/>
        <v>4</v>
      </c>
      <c r="BU142" s="1">
        <f t="shared" si="21"/>
        <v>4</v>
      </c>
      <c r="BV142" s="1">
        <f t="shared" si="21"/>
        <v>17</v>
      </c>
      <c r="BW142" s="1">
        <f t="shared" si="21"/>
        <v>3</v>
      </c>
      <c r="BX142" s="1">
        <f t="shared" si="21"/>
        <v>2</v>
      </c>
      <c r="BY142" s="1">
        <f t="shared" si="21"/>
        <v>1</v>
      </c>
      <c r="BZ142" s="1">
        <f t="shared" si="21"/>
        <v>1</v>
      </c>
      <c r="CA142" s="1">
        <f t="shared" si="21"/>
        <v>3</v>
      </c>
      <c r="CB142" s="1">
        <f t="shared" si="21"/>
        <v>0</v>
      </c>
      <c r="CC142" s="1">
        <f t="shared" si="21"/>
        <v>7</v>
      </c>
      <c r="CD142" s="1">
        <f t="shared" si="21"/>
        <v>3</v>
      </c>
      <c r="CE142" s="1">
        <f t="shared" si="21"/>
        <v>10</v>
      </c>
      <c r="CF142" s="1">
        <f t="shared" si="21"/>
        <v>3</v>
      </c>
      <c r="CG142" s="1">
        <f t="shared" si="21"/>
        <v>0</v>
      </c>
      <c r="CH142" s="1">
        <f t="shared" si="21"/>
        <v>0</v>
      </c>
      <c r="CI142" s="1">
        <f t="shared" si="21"/>
        <v>3</v>
      </c>
      <c r="CJ142" s="1">
        <f t="shared" si="21"/>
        <v>2</v>
      </c>
      <c r="CK142" s="1">
        <f t="shared" si="21"/>
        <v>1</v>
      </c>
      <c r="CL142" s="1">
        <f t="shared" si="21"/>
        <v>0</v>
      </c>
      <c r="CM142" s="1">
        <f t="shared" si="21"/>
        <v>0</v>
      </c>
      <c r="CN142" s="1">
        <f t="shared" si="21"/>
        <v>0</v>
      </c>
      <c r="CO142" s="1">
        <f t="shared" si="21"/>
        <v>0</v>
      </c>
      <c r="CP142" s="1">
        <f t="shared" si="21"/>
        <v>1</v>
      </c>
      <c r="CQ142" s="1">
        <f t="shared" si="21"/>
        <v>9</v>
      </c>
      <c r="CR142" s="1">
        <f t="shared" si="21"/>
        <v>0</v>
      </c>
      <c r="CS142" s="1">
        <f t="shared" si="21"/>
        <v>4</v>
      </c>
      <c r="CT142" s="1">
        <f t="shared" si="21"/>
        <v>0</v>
      </c>
      <c r="CU142" s="1">
        <f t="shared" si="21"/>
        <v>1</v>
      </c>
      <c r="CV142" s="1">
        <f t="shared" si="21"/>
        <v>6</v>
      </c>
      <c r="CW142" s="1">
        <f t="shared" si="21"/>
        <v>2</v>
      </c>
      <c r="CX142" s="1">
        <f t="shared" si="21"/>
        <v>1</v>
      </c>
      <c r="CY142" s="1">
        <f t="shared" si="21"/>
        <v>0</v>
      </c>
      <c r="CZ142" s="1">
        <f t="shared" si="21"/>
        <v>1</v>
      </c>
      <c r="DA142" s="1">
        <f t="shared" si="21"/>
        <v>0</v>
      </c>
      <c r="DB142" s="1">
        <f t="shared" si="21"/>
        <v>0</v>
      </c>
      <c r="DC142" s="1">
        <f t="shared" si="21"/>
        <v>0</v>
      </c>
      <c r="DD142" s="1">
        <f t="shared" si="21"/>
        <v>0</v>
      </c>
      <c r="DE142" s="1">
        <f t="shared" si="21"/>
        <v>0</v>
      </c>
      <c r="DF142" s="1">
        <f t="shared" si="21"/>
        <v>0</v>
      </c>
      <c r="DG142" s="1">
        <f t="shared" si="21"/>
        <v>0</v>
      </c>
      <c r="DH142" s="1">
        <f t="shared" si="21"/>
        <v>0</v>
      </c>
      <c r="DI142" s="1">
        <f t="shared" si="21"/>
        <v>0</v>
      </c>
      <c r="DJ142" s="1">
        <f t="shared" si="21"/>
        <v>3</v>
      </c>
      <c r="DK142" s="1">
        <f t="shared" si="21"/>
        <v>2</v>
      </c>
      <c r="DL142" s="1">
        <f t="shared" si="21"/>
        <v>2</v>
      </c>
      <c r="DM142" s="1">
        <f t="shared" si="21"/>
        <v>3</v>
      </c>
      <c r="DN142" s="1">
        <f t="shared" si="21"/>
        <v>2</v>
      </c>
      <c r="DO142" s="1">
        <f t="shared" si="21"/>
        <v>2</v>
      </c>
      <c r="DP142" s="1">
        <f t="shared" si="21"/>
        <v>1</v>
      </c>
      <c r="DQ142" s="1">
        <f t="shared" si="21"/>
        <v>1</v>
      </c>
      <c r="DR142" s="1">
        <f t="shared" si="21"/>
        <v>1</v>
      </c>
      <c r="DS142" s="1">
        <f t="shared" si="21"/>
        <v>0</v>
      </c>
      <c r="DT142" s="1">
        <f t="shared" si="21"/>
        <v>0</v>
      </c>
      <c r="DU142" s="1">
        <f t="shared" si="21"/>
        <v>0</v>
      </c>
      <c r="DV142" s="1">
        <f t="shared" si="21"/>
        <v>0</v>
      </c>
      <c r="DW142" s="1">
        <f t="shared" si="21"/>
        <v>0</v>
      </c>
      <c r="DX142" s="1">
        <f t="shared" si="21"/>
        <v>0</v>
      </c>
      <c r="DY142" s="1">
        <f t="shared" si="21"/>
        <v>2</v>
      </c>
      <c r="DZ142" s="1">
        <f t="shared" si="21"/>
        <v>0</v>
      </c>
      <c r="EA142" s="1">
        <f t="shared" si="21"/>
        <v>0</v>
      </c>
      <c r="EB142" s="1">
        <f t="shared" si="21"/>
        <v>0</v>
      </c>
      <c r="EC142" s="1">
        <f t="shared" ref="EC142:GN142" si="22">EC145+EC148+EC151+EC154+EC157+EC160+EC163+EC166+EC169+EC172+EC175+EC178+EC181+EC184+EC187+EC190+EC193+EC196+EC199+EC202+EC205+EC208</f>
        <v>0</v>
      </c>
      <c r="ED142" s="1">
        <f t="shared" si="22"/>
        <v>0</v>
      </c>
      <c r="EE142" s="1">
        <f t="shared" si="22"/>
        <v>0</v>
      </c>
      <c r="EF142" s="1">
        <f t="shared" si="22"/>
        <v>2</v>
      </c>
      <c r="EG142" s="1">
        <f t="shared" si="22"/>
        <v>0</v>
      </c>
      <c r="EH142" s="1">
        <f t="shared" si="22"/>
        <v>0</v>
      </c>
      <c r="EI142" s="1">
        <f t="shared" si="22"/>
        <v>0</v>
      </c>
      <c r="EJ142" s="1">
        <f t="shared" si="22"/>
        <v>0</v>
      </c>
      <c r="EK142" s="1">
        <f t="shared" si="22"/>
        <v>1</v>
      </c>
      <c r="EL142" s="1">
        <f t="shared" si="22"/>
        <v>0</v>
      </c>
      <c r="EM142" s="1">
        <f t="shared" si="22"/>
        <v>0</v>
      </c>
      <c r="EN142" s="1">
        <f t="shared" si="22"/>
        <v>1</v>
      </c>
      <c r="EO142" s="1">
        <f t="shared" si="22"/>
        <v>0</v>
      </c>
      <c r="EP142" s="1">
        <f t="shared" si="22"/>
        <v>0</v>
      </c>
      <c r="EQ142" s="1">
        <f t="shared" si="22"/>
        <v>2</v>
      </c>
      <c r="ER142" s="1">
        <f t="shared" si="22"/>
        <v>1</v>
      </c>
      <c r="ES142" s="1">
        <f t="shared" si="22"/>
        <v>1</v>
      </c>
      <c r="ET142" s="1">
        <f t="shared" si="22"/>
        <v>1</v>
      </c>
      <c r="EU142" s="1">
        <f t="shared" si="22"/>
        <v>0</v>
      </c>
      <c r="EV142" s="1">
        <f t="shared" si="22"/>
        <v>0</v>
      </c>
      <c r="EW142" s="1">
        <f t="shared" si="22"/>
        <v>0</v>
      </c>
      <c r="EX142" s="1">
        <f t="shared" si="22"/>
        <v>0</v>
      </c>
      <c r="EY142" s="1">
        <f t="shared" si="22"/>
        <v>0</v>
      </c>
      <c r="EZ142" s="1">
        <f t="shared" si="22"/>
        <v>0</v>
      </c>
      <c r="FA142" s="1">
        <f t="shared" si="22"/>
        <v>0</v>
      </c>
      <c r="FB142" s="1">
        <f t="shared" si="22"/>
        <v>0</v>
      </c>
      <c r="FC142" s="1">
        <f t="shared" si="22"/>
        <v>0</v>
      </c>
      <c r="FD142" s="1">
        <f t="shared" si="22"/>
        <v>1</v>
      </c>
      <c r="FE142" s="1">
        <f t="shared" si="22"/>
        <v>0</v>
      </c>
      <c r="FF142" s="1">
        <f t="shared" si="22"/>
        <v>0</v>
      </c>
      <c r="FG142" s="1">
        <f t="shared" si="22"/>
        <v>0</v>
      </c>
      <c r="FH142" s="1">
        <f t="shared" si="22"/>
        <v>0</v>
      </c>
      <c r="FI142" s="1">
        <f t="shared" si="22"/>
        <v>0</v>
      </c>
      <c r="FJ142" s="1">
        <f t="shared" si="22"/>
        <v>0</v>
      </c>
      <c r="FK142" s="1">
        <f t="shared" si="22"/>
        <v>0</v>
      </c>
      <c r="FL142" s="1">
        <f t="shared" si="22"/>
        <v>0</v>
      </c>
      <c r="FM142" s="1">
        <f t="shared" si="22"/>
        <v>0</v>
      </c>
      <c r="FN142" s="1">
        <f t="shared" si="22"/>
        <v>0</v>
      </c>
      <c r="FO142" s="1">
        <f t="shared" si="22"/>
        <v>0</v>
      </c>
      <c r="FP142" s="1">
        <f t="shared" si="22"/>
        <v>0</v>
      </c>
      <c r="FQ142" s="1">
        <f t="shared" si="22"/>
        <v>0</v>
      </c>
      <c r="FR142" s="1">
        <f t="shared" si="22"/>
        <v>0</v>
      </c>
      <c r="FS142" s="1">
        <f t="shared" si="22"/>
        <v>0</v>
      </c>
      <c r="FT142" s="1">
        <f t="shared" si="22"/>
        <v>0</v>
      </c>
      <c r="FU142" s="1">
        <f t="shared" si="22"/>
        <v>0</v>
      </c>
      <c r="FV142" s="1">
        <f t="shared" si="22"/>
        <v>0</v>
      </c>
      <c r="FW142" s="1">
        <f t="shared" si="22"/>
        <v>0</v>
      </c>
      <c r="FX142" s="1">
        <f t="shared" si="22"/>
        <v>0</v>
      </c>
      <c r="FY142" s="1">
        <f t="shared" si="22"/>
        <v>0</v>
      </c>
      <c r="FZ142" s="1">
        <f t="shared" si="22"/>
        <v>0</v>
      </c>
      <c r="GA142" s="1">
        <f t="shared" si="22"/>
        <v>0</v>
      </c>
      <c r="GB142" s="1">
        <f t="shared" si="22"/>
        <v>0</v>
      </c>
      <c r="GC142" s="1">
        <f t="shared" si="22"/>
        <v>0</v>
      </c>
      <c r="GD142" s="1">
        <f t="shared" si="22"/>
        <v>0</v>
      </c>
      <c r="GE142" s="1">
        <f t="shared" si="22"/>
        <v>2</v>
      </c>
      <c r="GF142" s="1">
        <f t="shared" si="22"/>
        <v>0</v>
      </c>
      <c r="GG142" s="1">
        <f t="shared" si="22"/>
        <v>0</v>
      </c>
      <c r="GH142" s="1">
        <f t="shared" si="22"/>
        <v>0</v>
      </c>
      <c r="GI142" s="1">
        <f t="shared" si="22"/>
        <v>0</v>
      </c>
      <c r="GJ142" s="1">
        <f t="shared" si="22"/>
        <v>0</v>
      </c>
      <c r="GK142" s="1">
        <f t="shared" si="22"/>
        <v>0</v>
      </c>
      <c r="GL142" s="1">
        <f t="shared" si="22"/>
        <v>0</v>
      </c>
      <c r="GM142" s="1">
        <f t="shared" si="22"/>
        <v>0</v>
      </c>
      <c r="GN142" s="1">
        <f t="shared" si="22"/>
        <v>0</v>
      </c>
      <c r="GO142" s="1">
        <f t="shared" ref="GO142:GS142" si="23">GO145+GO148+GO151+GO154+GO157+GO160+GO163+GO166+GO169+GO172+GO175+GO178+GO181+GO184+GO187+GO190+GO193+GO196+GO199+GO202+GO205+GO208</f>
        <v>0</v>
      </c>
      <c r="GP142" s="1">
        <f t="shared" si="23"/>
        <v>0</v>
      </c>
      <c r="GQ142" s="1">
        <f t="shared" si="23"/>
        <v>0</v>
      </c>
      <c r="GR142" s="1">
        <f t="shared" si="23"/>
        <v>0</v>
      </c>
      <c r="GS142" s="1">
        <f t="shared" si="23"/>
        <v>5</v>
      </c>
    </row>
    <row r="143" spans="1:201" x14ac:dyDescent="0.3">
      <c r="A143" t="s">
        <v>248</v>
      </c>
      <c r="B143" t="s">
        <v>249</v>
      </c>
      <c r="C143" t="s">
        <v>200</v>
      </c>
      <c r="D143" s="1">
        <v>16506</v>
      </c>
      <c r="E143" s="1">
        <v>4099</v>
      </c>
      <c r="F143">
        <v>455</v>
      </c>
      <c r="G143">
        <v>363</v>
      </c>
      <c r="H143" s="1">
        <v>1502</v>
      </c>
      <c r="I143" s="1">
        <v>1749</v>
      </c>
      <c r="J143">
        <v>336</v>
      </c>
      <c r="K143" s="1">
        <v>2010</v>
      </c>
      <c r="L143">
        <v>815</v>
      </c>
      <c r="M143">
        <v>411</v>
      </c>
      <c r="N143">
        <v>740</v>
      </c>
      <c r="O143">
        <v>38</v>
      </c>
      <c r="P143">
        <v>91</v>
      </c>
      <c r="Q143" s="1">
        <v>1156</v>
      </c>
      <c r="R143">
        <v>233</v>
      </c>
      <c r="S143">
        <v>118</v>
      </c>
      <c r="T143">
        <v>294</v>
      </c>
      <c r="U143">
        <v>137</v>
      </c>
      <c r="V143">
        <v>66</v>
      </c>
      <c r="W143">
        <v>26</v>
      </c>
      <c r="X143">
        <v>281</v>
      </c>
      <c r="Y143">
        <v>4</v>
      </c>
      <c r="Z143">
        <v>31</v>
      </c>
      <c r="AA143">
        <v>94</v>
      </c>
      <c r="AB143">
        <v>217</v>
      </c>
      <c r="AC143">
        <v>73</v>
      </c>
      <c r="AD143">
        <v>47</v>
      </c>
      <c r="AE143">
        <v>155</v>
      </c>
      <c r="AF143">
        <v>22</v>
      </c>
      <c r="AG143">
        <v>86</v>
      </c>
      <c r="AH143">
        <v>4</v>
      </c>
      <c r="AI143">
        <v>18</v>
      </c>
      <c r="AJ143">
        <v>18</v>
      </c>
      <c r="AK143">
        <v>3</v>
      </c>
      <c r="AL143">
        <v>14</v>
      </c>
      <c r="AM143">
        <v>2</v>
      </c>
      <c r="AN143">
        <v>79</v>
      </c>
      <c r="AO143">
        <v>5</v>
      </c>
      <c r="AP143">
        <v>1</v>
      </c>
      <c r="AQ143">
        <v>24</v>
      </c>
      <c r="AR143">
        <v>2</v>
      </c>
      <c r="AS143">
        <v>173</v>
      </c>
      <c r="AT143">
        <v>42</v>
      </c>
      <c r="AU143">
        <v>6</v>
      </c>
      <c r="AV143">
        <v>2</v>
      </c>
      <c r="AW143">
        <v>2</v>
      </c>
      <c r="AX143">
        <v>20</v>
      </c>
      <c r="AY143">
        <v>5</v>
      </c>
      <c r="AZ143">
        <v>0</v>
      </c>
      <c r="BA143">
        <v>8</v>
      </c>
      <c r="BB143">
        <v>0</v>
      </c>
      <c r="BC143">
        <v>10</v>
      </c>
      <c r="BD143">
        <v>9</v>
      </c>
      <c r="BE143">
        <v>3</v>
      </c>
      <c r="BF143">
        <v>58</v>
      </c>
      <c r="BG143">
        <v>9</v>
      </c>
      <c r="BH143">
        <v>8</v>
      </c>
      <c r="BI143">
        <v>26</v>
      </c>
      <c r="BJ143">
        <v>12</v>
      </c>
      <c r="BK143">
        <v>13</v>
      </c>
      <c r="BL143">
        <v>0</v>
      </c>
      <c r="BM143">
        <v>55</v>
      </c>
      <c r="BN143">
        <v>3</v>
      </c>
      <c r="BO143">
        <v>0</v>
      </c>
      <c r="BP143">
        <v>1</v>
      </c>
      <c r="BQ143">
        <v>8</v>
      </c>
      <c r="BR143">
        <v>2</v>
      </c>
      <c r="BS143">
        <v>7</v>
      </c>
      <c r="BT143">
        <v>2</v>
      </c>
      <c r="BU143">
        <v>0</v>
      </c>
      <c r="BV143">
        <v>0</v>
      </c>
      <c r="BW143">
        <v>3</v>
      </c>
      <c r="BX143">
        <v>14</v>
      </c>
      <c r="BY143">
        <v>0</v>
      </c>
      <c r="BZ143">
        <v>1</v>
      </c>
      <c r="CA143">
        <v>0</v>
      </c>
      <c r="CB143">
        <v>1</v>
      </c>
      <c r="CC143">
        <v>15</v>
      </c>
      <c r="CD143">
        <v>1</v>
      </c>
      <c r="CE143">
        <v>2</v>
      </c>
      <c r="CF143">
        <v>23</v>
      </c>
      <c r="CG143">
        <v>1</v>
      </c>
      <c r="CH143">
        <v>2</v>
      </c>
      <c r="CI143">
        <v>1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18</v>
      </c>
      <c r="CP143">
        <v>0</v>
      </c>
      <c r="CQ143">
        <v>49</v>
      </c>
      <c r="CR143">
        <v>2</v>
      </c>
      <c r="CS143">
        <v>2</v>
      </c>
      <c r="CT143">
        <v>1</v>
      </c>
      <c r="CU143">
        <v>0</v>
      </c>
      <c r="CV143">
        <v>2</v>
      </c>
      <c r="CW143">
        <v>3</v>
      </c>
      <c r="CX143">
        <v>31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1</v>
      </c>
      <c r="DG143">
        <v>0</v>
      </c>
      <c r="DH143">
        <v>0</v>
      </c>
      <c r="DI143">
        <v>0</v>
      </c>
      <c r="DJ143">
        <v>10</v>
      </c>
      <c r="DK143">
        <v>0</v>
      </c>
      <c r="DL143">
        <v>2</v>
      </c>
      <c r="DM143">
        <v>0</v>
      </c>
      <c r="DN143">
        <v>3</v>
      </c>
      <c r="DO143">
        <v>0</v>
      </c>
      <c r="DP143">
        <v>0</v>
      </c>
      <c r="DQ143">
        <v>0</v>
      </c>
      <c r="DR143">
        <v>0</v>
      </c>
      <c r="DS143">
        <v>3</v>
      </c>
      <c r="DT143">
        <v>0</v>
      </c>
      <c r="DU143">
        <v>0</v>
      </c>
      <c r="DV143">
        <v>0</v>
      </c>
      <c r="DW143">
        <v>2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3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3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1</v>
      </c>
    </row>
    <row r="144" spans="1:201" x14ac:dyDescent="0.3">
      <c r="A144" t="s">
        <v>248</v>
      </c>
      <c r="B144" t="s">
        <v>249</v>
      </c>
      <c r="C144" t="s">
        <v>203</v>
      </c>
      <c r="D144" s="1">
        <v>13225</v>
      </c>
      <c r="E144" s="1">
        <v>3125</v>
      </c>
      <c r="F144">
        <v>254</v>
      </c>
      <c r="G144">
        <v>107</v>
      </c>
      <c r="H144" s="1">
        <v>1414</v>
      </c>
      <c r="I144" s="1">
        <v>1382</v>
      </c>
      <c r="J144">
        <v>305</v>
      </c>
      <c r="K144" s="1">
        <v>1939</v>
      </c>
      <c r="L144">
        <v>802</v>
      </c>
      <c r="M144">
        <v>144</v>
      </c>
      <c r="N144">
        <v>613</v>
      </c>
      <c r="O144">
        <v>24</v>
      </c>
      <c r="P144">
        <v>56</v>
      </c>
      <c r="Q144" s="1">
        <v>1006</v>
      </c>
      <c r="R144">
        <v>227</v>
      </c>
      <c r="S144">
        <v>41</v>
      </c>
      <c r="T144">
        <v>191</v>
      </c>
      <c r="U144">
        <v>81</v>
      </c>
      <c r="V144">
        <v>55</v>
      </c>
      <c r="W144">
        <v>14</v>
      </c>
      <c r="X144">
        <v>210</v>
      </c>
      <c r="Y144" s="1">
        <v>0</v>
      </c>
      <c r="Z144">
        <v>19</v>
      </c>
      <c r="AA144">
        <v>73</v>
      </c>
      <c r="AB144">
        <v>129</v>
      </c>
      <c r="AC144">
        <v>59</v>
      </c>
      <c r="AD144">
        <v>20</v>
      </c>
      <c r="AE144">
        <v>155</v>
      </c>
      <c r="AF144">
        <v>15</v>
      </c>
      <c r="AG144">
        <v>81</v>
      </c>
      <c r="AH144">
        <v>4</v>
      </c>
      <c r="AI144">
        <v>15</v>
      </c>
      <c r="AJ144">
        <v>10</v>
      </c>
      <c r="AK144">
        <v>3</v>
      </c>
      <c r="AL144">
        <v>6</v>
      </c>
      <c r="AM144">
        <v>0</v>
      </c>
      <c r="AN144">
        <v>55</v>
      </c>
      <c r="AO144">
        <v>4</v>
      </c>
      <c r="AP144">
        <v>1</v>
      </c>
      <c r="AQ144">
        <v>21</v>
      </c>
      <c r="AR144">
        <v>2</v>
      </c>
      <c r="AS144">
        <v>132</v>
      </c>
      <c r="AT144">
        <v>30</v>
      </c>
      <c r="AU144">
        <v>3</v>
      </c>
      <c r="AV144">
        <v>2</v>
      </c>
      <c r="AW144">
        <v>2</v>
      </c>
      <c r="AX144">
        <v>14</v>
      </c>
      <c r="AY144">
        <v>2</v>
      </c>
      <c r="AZ144">
        <v>0</v>
      </c>
      <c r="BA144">
        <v>6</v>
      </c>
      <c r="BB144">
        <v>0</v>
      </c>
      <c r="BC144">
        <v>10</v>
      </c>
      <c r="BD144">
        <v>9</v>
      </c>
      <c r="BE144">
        <v>3</v>
      </c>
      <c r="BF144">
        <v>58</v>
      </c>
      <c r="BG144">
        <v>6</v>
      </c>
      <c r="BH144">
        <v>5</v>
      </c>
      <c r="BI144">
        <v>21</v>
      </c>
      <c r="BJ144">
        <v>7</v>
      </c>
      <c r="BK144">
        <v>12</v>
      </c>
      <c r="BL144">
        <v>0</v>
      </c>
      <c r="BM144">
        <v>54</v>
      </c>
      <c r="BN144">
        <v>2</v>
      </c>
      <c r="BO144">
        <v>0</v>
      </c>
      <c r="BP144">
        <v>1</v>
      </c>
      <c r="BQ144">
        <v>7</v>
      </c>
      <c r="BR144">
        <v>1</v>
      </c>
      <c r="BS144">
        <v>4</v>
      </c>
      <c r="BT144">
        <v>2</v>
      </c>
      <c r="BU144">
        <v>0</v>
      </c>
      <c r="BV144">
        <v>0</v>
      </c>
      <c r="BW144">
        <v>2</v>
      </c>
      <c r="BX144">
        <v>13</v>
      </c>
      <c r="BY144">
        <v>0</v>
      </c>
      <c r="BZ144">
        <v>1</v>
      </c>
      <c r="CA144">
        <v>0</v>
      </c>
      <c r="CB144">
        <v>1</v>
      </c>
      <c r="CC144">
        <v>9</v>
      </c>
      <c r="CD144">
        <v>0</v>
      </c>
      <c r="CE144">
        <v>1</v>
      </c>
      <c r="CF144">
        <v>21</v>
      </c>
      <c r="CG144">
        <v>1</v>
      </c>
      <c r="CH144">
        <v>2</v>
      </c>
      <c r="CI144">
        <v>1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18</v>
      </c>
      <c r="CP144">
        <v>0</v>
      </c>
      <c r="CQ144">
        <v>42</v>
      </c>
      <c r="CR144">
        <v>2</v>
      </c>
      <c r="CS144">
        <v>1</v>
      </c>
      <c r="CT144">
        <v>1</v>
      </c>
      <c r="CU144">
        <v>0</v>
      </c>
      <c r="CV144">
        <v>1</v>
      </c>
      <c r="CW144">
        <v>2</v>
      </c>
      <c r="CX144">
        <v>30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7</v>
      </c>
      <c r="DK144">
        <v>0</v>
      </c>
      <c r="DL144">
        <v>1</v>
      </c>
      <c r="DM144">
        <v>0</v>
      </c>
      <c r="DN144">
        <v>2</v>
      </c>
      <c r="DO144">
        <v>0</v>
      </c>
      <c r="DP144">
        <v>0</v>
      </c>
      <c r="DQ144">
        <v>0</v>
      </c>
      <c r="DR144">
        <v>0</v>
      </c>
      <c r="DS144">
        <v>3</v>
      </c>
      <c r="DT144">
        <v>0</v>
      </c>
      <c r="DU144">
        <v>0</v>
      </c>
      <c r="DV144">
        <v>0</v>
      </c>
      <c r="DW144">
        <v>2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1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1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 x14ac:dyDescent="0.3">
      <c r="A145" t="s">
        <v>248</v>
      </c>
      <c r="B145" t="s">
        <v>249</v>
      </c>
      <c r="C145" t="s">
        <v>204</v>
      </c>
      <c r="D145" s="1">
        <v>3281</v>
      </c>
      <c r="E145">
        <v>974</v>
      </c>
      <c r="F145">
        <v>201</v>
      </c>
      <c r="G145">
        <v>256</v>
      </c>
      <c r="H145">
        <v>88</v>
      </c>
      <c r="I145">
        <v>367</v>
      </c>
      <c r="J145">
        <v>31</v>
      </c>
      <c r="K145">
        <v>71</v>
      </c>
      <c r="L145">
        <v>13</v>
      </c>
      <c r="M145">
        <v>267</v>
      </c>
      <c r="N145">
        <v>127</v>
      </c>
      <c r="O145">
        <v>14</v>
      </c>
      <c r="P145">
        <v>35</v>
      </c>
      <c r="Q145">
        <v>150</v>
      </c>
      <c r="R145">
        <v>6</v>
      </c>
      <c r="S145">
        <v>77</v>
      </c>
      <c r="T145">
        <v>103</v>
      </c>
      <c r="U145">
        <v>56</v>
      </c>
      <c r="V145">
        <v>11</v>
      </c>
      <c r="W145">
        <v>12</v>
      </c>
      <c r="X145">
        <v>71</v>
      </c>
      <c r="Y145">
        <v>4</v>
      </c>
      <c r="Z145">
        <v>12</v>
      </c>
      <c r="AA145">
        <v>21</v>
      </c>
      <c r="AB145">
        <v>88</v>
      </c>
      <c r="AC145">
        <v>14</v>
      </c>
      <c r="AD145">
        <v>27</v>
      </c>
      <c r="AE145">
        <v>0</v>
      </c>
      <c r="AF145">
        <v>7</v>
      </c>
      <c r="AG145">
        <v>5</v>
      </c>
      <c r="AH145">
        <v>0</v>
      </c>
      <c r="AI145">
        <v>3</v>
      </c>
      <c r="AJ145">
        <v>8</v>
      </c>
      <c r="AK145">
        <v>0</v>
      </c>
      <c r="AL145">
        <v>8</v>
      </c>
      <c r="AM145">
        <v>2</v>
      </c>
      <c r="AN145">
        <v>24</v>
      </c>
      <c r="AO145">
        <v>1</v>
      </c>
      <c r="AP145">
        <v>0</v>
      </c>
      <c r="AQ145">
        <v>3</v>
      </c>
      <c r="AR145">
        <v>0</v>
      </c>
      <c r="AS145">
        <v>41</v>
      </c>
      <c r="AT145">
        <v>12</v>
      </c>
      <c r="AU145">
        <v>3</v>
      </c>
      <c r="AV145">
        <v>0</v>
      </c>
      <c r="AW145">
        <v>0</v>
      </c>
      <c r="AX145">
        <v>6</v>
      </c>
      <c r="AY145">
        <v>3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</v>
      </c>
      <c r="BH145">
        <v>3</v>
      </c>
      <c r="BI145">
        <v>5</v>
      </c>
      <c r="BJ145">
        <v>5</v>
      </c>
      <c r="BK145">
        <v>1</v>
      </c>
      <c r="BL145">
        <v>0</v>
      </c>
      <c r="BM145">
        <v>1</v>
      </c>
      <c r="BN145">
        <v>1</v>
      </c>
      <c r="BO145">
        <v>0</v>
      </c>
      <c r="BP145">
        <v>0</v>
      </c>
      <c r="BQ145">
        <v>1</v>
      </c>
      <c r="BR145">
        <v>1</v>
      </c>
      <c r="BS145">
        <v>3</v>
      </c>
      <c r="BT145">
        <v>0</v>
      </c>
      <c r="BU145">
        <v>0</v>
      </c>
      <c r="BV145">
        <v>0</v>
      </c>
      <c r="BW145">
        <v>1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6</v>
      </c>
      <c r="CD145">
        <v>1</v>
      </c>
      <c r="CE145">
        <v>1</v>
      </c>
      <c r="CF145">
        <v>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7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1</v>
      </c>
      <c r="CX145">
        <v>1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</v>
      </c>
      <c r="DK145">
        <v>0</v>
      </c>
      <c r="DL145">
        <v>1</v>
      </c>
      <c r="DM145">
        <v>0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2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2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1</v>
      </c>
    </row>
    <row r="146" spans="1:201" x14ac:dyDescent="0.3">
      <c r="A146" t="s">
        <v>248</v>
      </c>
      <c r="B146" t="s">
        <v>250</v>
      </c>
      <c r="C146" t="s">
        <v>200</v>
      </c>
      <c r="D146">
        <v>942</v>
      </c>
      <c r="E146">
        <v>250</v>
      </c>
      <c r="F146">
        <v>30</v>
      </c>
      <c r="G146">
        <v>55</v>
      </c>
      <c r="H146">
        <v>90</v>
      </c>
      <c r="I146">
        <v>51</v>
      </c>
      <c r="J146">
        <v>59</v>
      </c>
      <c r="K146">
        <v>18</v>
      </c>
      <c r="L146">
        <v>58</v>
      </c>
      <c r="M146">
        <v>148</v>
      </c>
      <c r="N146">
        <v>47</v>
      </c>
      <c r="O146">
        <v>2</v>
      </c>
      <c r="P146">
        <v>8</v>
      </c>
      <c r="Q146">
        <v>27</v>
      </c>
      <c r="R146">
        <v>7</v>
      </c>
      <c r="S146">
        <v>20</v>
      </c>
      <c r="T146">
        <v>1</v>
      </c>
      <c r="U146">
        <v>6</v>
      </c>
      <c r="V146">
        <v>14</v>
      </c>
      <c r="W146">
        <v>6</v>
      </c>
      <c r="X146">
        <v>0</v>
      </c>
      <c r="Y146">
        <v>4</v>
      </c>
      <c r="Z146">
        <v>0</v>
      </c>
      <c r="AA146">
        <v>0</v>
      </c>
      <c r="AB146">
        <v>1</v>
      </c>
      <c r="AC146">
        <v>3</v>
      </c>
      <c r="AD146">
        <v>18</v>
      </c>
      <c r="AE146">
        <v>0</v>
      </c>
      <c r="AF146">
        <v>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8</v>
      </c>
      <c r="AP146">
        <v>4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</row>
    <row r="147" spans="1:201" x14ac:dyDescent="0.3">
      <c r="A147" t="s">
        <v>248</v>
      </c>
      <c r="B147" t="s">
        <v>250</v>
      </c>
      <c r="C147" t="s">
        <v>203</v>
      </c>
      <c r="D147">
        <v>531</v>
      </c>
      <c r="E147">
        <v>111</v>
      </c>
      <c r="F147">
        <v>13</v>
      </c>
      <c r="G147">
        <v>26</v>
      </c>
      <c r="H147">
        <v>69</v>
      </c>
      <c r="I147">
        <v>49</v>
      </c>
      <c r="J147">
        <v>30</v>
      </c>
      <c r="K147">
        <v>7</v>
      </c>
      <c r="L147">
        <v>58</v>
      </c>
      <c r="M147">
        <v>70</v>
      </c>
      <c r="N147">
        <v>28</v>
      </c>
      <c r="O147">
        <v>0</v>
      </c>
      <c r="P147">
        <v>2</v>
      </c>
      <c r="Q147">
        <v>24</v>
      </c>
      <c r="R147">
        <v>6</v>
      </c>
      <c r="S147">
        <v>0</v>
      </c>
      <c r="T147">
        <v>1</v>
      </c>
      <c r="U147">
        <v>3</v>
      </c>
      <c r="V147">
        <v>10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2</v>
      </c>
      <c r="AD147">
        <v>6</v>
      </c>
      <c r="AE147">
        <v>0</v>
      </c>
      <c r="AF147">
        <v>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7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</row>
    <row r="148" spans="1:201" x14ac:dyDescent="0.3">
      <c r="A148" t="s">
        <v>248</v>
      </c>
      <c r="B148" t="s">
        <v>250</v>
      </c>
      <c r="C148" t="s">
        <v>204</v>
      </c>
      <c r="D148">
        <v>411</v>
      </c>
      <c r="E148">
        <v>139</v>
      </c>
      <c r="F148">
        <v>17</v>
      </c>
      <c r="G148">
        <v>29</v>
      </c>
      <c r="H148">
        <v>21</v>
      </c>
      <c r="I148">
        <v>2</v>
      </c>
      <c r="J148">
        <v>29</v>
      </c>
      <c r="K148">
        <v>11</v>
      </c>
      <c r="L148">
        <v>0</v>
      </c>
      <c r="M148">
        <v>78</v>
      </c>
      <c r="N148">
        <v>19</v>
      </c>
      <c r="O148">
        <v>2</v>
      </c>
      <c r="P148">
        <v>6</v>
      </c>
      <c r="Q148">
        <v>3</v>
      </c>
      <c r="R148">
        <v>1</v>
      </c>
      <c r="S148">
        <v>20</v>
      </c>
      <c r="T148">
        <v>0</v>
      </c>
      <c r="U148">
        <v>3</v>
      </c>
      <c r="V148">
        <v>4</v>
      </c>
      <c r="W148">
        <v>4</v>
      </c>
      <c r="X148">
        <v>0</v>
      </c>
      <c r="Y148">
        <v>2</v>
      </c>
      <c r="Z148">
        <v>0</v>
      </c>
      <c r="AA148">
        <v>0</v>
      </c>
      <c r="AB148">
        <v>1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3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</row>
    <row r="149" spans="1:201" x14ac:dyDescent="0.3">
      <c r="A149" t="s">
        <v>248</v>
      </c>
      <c r="B149" t="s">
        <v>251</v>
      </c>
      <c r="C149" t="s">
        <v>200</v>
      </c>
      <c r="D149" s="1">
        <v>2014</v>
      </c>
      <c r="E149">
        <v>444</v>
      </c>
      <c r="F149">
        <v>29</v>
      </c>
      <c r="G149">
        <v>51</v>
      </c>
      <c r="H149">
        <v>238</v>
      </c>
      <c r="I149">
        <v>62</v>
      </c>
      <c r="J149">
        <v>246</v>
      </c>
      <c r="K149">
        <v>260</v>
      </c>
      <c r="L149">
        <v>55</v>
      </c>
      <c r="M149">
        <v>38</v>
      </c>
      <c r="N149">
        <v>116</v>
      </c>
      <c r="O149">
        <v>27</v>
      </c>
      <c r="P149">
        <v>3</v>
      </c>
      <c r="Q149">
        <v>151</v>
      </c>
      <c r="R149">
        <v>19</v>
      </c>
      <c r="S149">
        <v>11</v>
      </c>
      <c r="T149">
        <v>3</v>
      </c>
      <c r="U149">
        <v>0</v>
      </c>
      <c r="V149">
        <v>17</v>
      </c>
      <c r="W149">
        <v>13</v>
      </c>
      <c r="X149">
        <v>2</v>
      </c>
      <c r="Y149">
        <v>166</v>
      </c>
      <c r="Z149">
        <v>5</v>
      </c>
      <c r="AA149">
        <v>0</v>
      </c>
      <c r="AB149">
        <v>0</v>
      </c>
      <c r="AC149">
        <v>3</v>
      </c>
      <c r="AD149">
        <v>7</v>
      </c>
      <c r="AE149">
        <v>44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</row>
    <row r="150" spans="1:201" x14ac:dyDescent="0.3">
      <c r="A150" t="s">
        <v>248</v>
      </c>
      <c r="B150" t="s">
        <v>251</v>
      </c>
      <c r="C150" t="s">
        <v>203</v>
      </c>
      <c r="D150" s="1">
        <v>1511</v>
      </c>
      <c r="E150">
        <v>286</v>
      </c>
      <c r="F150">
        <v>12</v>
      </c>
      <c r="G150">
        <v>19</v>
      </c>
      <c r="H150">
        <v>185</v>
      </c>
      <c r="I150">
        <v>52</v>
      </c>
      <c r="J150">
        <v>186</v>
      </c>
      <c r="K150">
        <v>255</v>
      </c>
      <c r="L150">
        <v>54</v>
      </c>
      <c r="M150">
        <v>18</v>
      </c>
      <c r="N150">
        <v>103</v>
      </c>
      <c r="O150">
        <v>11</v>
      </c>
      <c r="P150">
        <v>0</v>
      </c>
      <c r="Q150">
        <v>135</v>
      </c>
      <c r="R150">
        <v>14</v>
      </c>
      <c r="S150">
        <v>1</v>
      </c>
      <c r="T150">
        <v>3</v>
      </c>
      <c r="U150">
        <v>0</v>
      </c>
      <c r="V150">
        <v>14</v>
      </c>
      <c r="W150">
        <v>6</v>
      </c>
      <c r="X150">
        <v>1</v>
      </c>
      <c r="Y150">
        <v>105</v>
      </c>
      <c r="Z150">
        <v>5</v>
      </c>
      <c r="AA150">
        <v>0</v>
      </c>
      <c r="AB150">
        <v>0</v>
      </c>
      <c r="AC150">
        <v>0</v>
      </c>
      <c r="AD150">
        <v>1</v>
      </c>
      <c r="AE150">
        <v>44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</row>
    <row r="151" spans="1:201" x14ac:dyDescent="0.3">
      <c r="A151" t="s">
        <v>248</v>
      </c>
      <c r="B151" t="s">
        <v>251</v>
      </c>
      <c r="C151" t="s">
        <v>204</v>
      </c>
      <c r="D151">
        <v>503</v>
      </c>
      <c r="E151">
        <v>158</v>
      </c>
      <c r="F151">
        <v>17</v>
      </c>
      <c r="G151">
        <v>32</v>
      </c>
      <c r="H151">
        <v>53</v>
      </c>
      <c r="I151">
        <v>10</v>
      </c>
      <c r="J151">
        <v>60</v>
      </c>
      <c r="K151">
        <v>5</v>
      </c>
      <c r="L151">
        <v>1</v>
      </c>
      <c r="M151">
        <v>20</v>
      </c>
      <c r="N151">
        <v>13</v>
      </c>
      <c r="O151">
        <v>16</v>
      </c>
      <c r="P151">
        <v>3</v>
      </c>
      <c r="Q151">
        <v>16</v>
      </c>
      <c r="R151">
        <v>5</v>
      </c>
      <c r="S151">
        <v>10</v>
      </c>
      <c r="T151">
        <v>0</v>
      </c>
      <c r="U151">
        <v>0</v>
      </c>
      <c r="V151">
        <v>3</v>
      </c>
      <c r="W151">
        <v>7</v>
      </c>
      <c r="X151">
        <v>1</v>
      </c>
      <c r="Y151">
        <v>61</v>
      </c>
      <c r="Z151">
        <v>0</v>
      </c>
      <c r="AA151">
        <v>0</v>
      </c>
      <c r="AB151">
        <v>0</v>
      </c>
      <c r="AC151">
        <v>3</v>
      </c>
      <c r="AD151">
        <v>6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 x14ac:dyDescent="0.3">
      <c r="A152" t="s">
        <v>248</v>
      </c>
      <c r="B152" t="s">
        <v>252</v>
      </c>
      <c r="C152" t="s">
        <v>200</v>
      </c>
      <c r="D152" s="1">
        <v>27196</v>
      </c>
      <c r="E152" s="1">
        <v>6370</v>
      </c>
      <c r="F152" s="1">
        <v>1326</v>
      </c>
      <c r="G152" s="1">
        <v>1334</v>
      </c>
      <c r="H152" s="1">
        <v>1660</v>
      </c>
      <c r="I152" s="1">
        <v>3085</v>
      </c>
      <c r="J152" s="1">
        <v>1592</v>
      </c>
      <c r="K152" s="1">
        <v>1948</v>
      </c>
      <c r="L152" s="1">
        <v>1619</v>
      </c>
      <c r="M152" s="1">
        <v>1092</v>
      </c>
      <c r="N152">
        <v>720</v>
      </c>
      <c r="O152">
        <v>253</v>
      </c>
      <c r="P152">
        <v>61</v>
      </c>
      <c r="Q152" s="1">
        <v>1733</v>
      </c>
      <c r="R152">
        <v>866</v>
      </c>
      <c r="S152">
        <v>210</v>
      </c>
      <c r="T152">
        <v>638</v>
      </c>
      <c r="U152">
        <v>479</v>
      </c>
      <c r="V152">
        <v>631</v>
      </c>
      <c r="W152">
        <v>43</v>
      </c>
      <c r="X152">
        <v>223</v>
      </c>
      <c r="Y152">
        <v>107</v>
      </c>
      <c r="Z152">
        <v>192</v>
      </c>
      <c r="AA152">
        <v>5</v>
      </c>
      <c r="AB152">
        <v>89</v>
      </c>
      <c r="AC152">
        <v>19</v>
      </c>
      <c r="AD152">
        <v>48</v>
      </c>
      <c r="AE152">
        <v>43</v>
      </c>
      <c r="AF152">
        <v>21</v>
      </c>
      <c r="AG152">
        <v>15</v>
      </c>
      <c r="AH152">
        <v>3</v>
      </c>
      <c r="AI152">
        <v>30</v>
      </c>
      <c r="AJ152">
        <v>167</v>
      </c>
      <c r="AK152">
        <v>19</v>
      </c>
      <c r="AL152">
        <v>79</v>
      </c>
      <c r="AM152">
        <v>2</v>
      </c>
      <c r="AN152">
        <v>10</v>
      </c>
      <c r="AO152">
        <v>108</v>
      </c>
      <c r="AP152">
        <v>102</v>
      </c>
      <c r="AQ152">
        <v>31</v>
      </c>
      <c r="AR152">
        <v>2</v>
      </c>
      <c r="AS152">
        <v>7</v>
      </c>
      <c r="AT152">
        <v>6</v>
      </c>
      <c r="AU152">
        <v>9</v>
      </c>
      <c r="AV152">
        <v>14</v>
      </c>
      <c r="AW152">
        <v>1</v>
      </c>
      <c r="AX152">
        <v>5</v>
      </c>
      <c r="AY152">
        <v>7</v>
      </c>
      <c r="AZ152">
        <v>8</v>
      </c>
      <c r="BA152">
        <v>1</v>
      </c>
      <c r="BB152">
        <v>0</v>
      </c>
      <c r="BC152">
        <v>3</v>
      </c>
      <c r="BD152">
        <v>6</v>
      </c>
      <c r="BE152">
        <v>11</v>
      </c>
      <c r="BF152">
        <v>0</v>
      </c>
      <c r="BG152">
        <v>4</v>
      </c>
      <c r="BH152">
        <v>4</v>
      </c>
      <c r="BI152">
        <v>40</v>
      </c>
      <c r="BJ152">
        <v>1</v>
      </c>
      <c r="BK152">
        <v>5</v>
      </c>
      <c r="BL152">
        <v>2</v>
      </c>
      <c r="BM152">
        <v>1</v>
      </c>
      <c r="BN152">
        <v>1</v>
      </c>
      <c r="BO152">
        <v>9</v>
      </c>
      <c r="BP152">
        <v>3</v>
      </c>
      <c r="BQ152">
        <v>18</v>
      </c>
      <c r="BR152">
        <v>1</v>
      </c>
      <c r="BS152">
        <v>2</v>
      </c>
      <c r="BT152">
        <v>9</v>
      </c>
      <c r="BU152">
        <v>4</v>
      </c>
      <c r="BV152">
        <v>5</v>
      </c>
      <c r="BW152">
        <v>1</v>
      </c>
      <c r="BX152">
        <v>0</v>
      </c>
      <c r="BY152">
        <v>0</v>
      </c>
      <c r="BZ152">
        <v>1</v>
      </c>
      <c r="CA152">
        <v>0</v>
      </c>
      <c r="CB152">
        <v>5</v>
      </c>
      <c r="CC152">
        <v>0</v>
      </c>
      <c r="CD152">
        <v>1</v>
      </c>
      <c r="CE152">
        <v>4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</v>
      </c>
      <c r="CR152">
        <v>0</v>
      </c>
      <c r="CS152">
        <v>1</v>
      </c>
      <c r="CT152">
        <v>1</v>
      </c>
      <c r="CU152">
        <v>0</v>
      </c>
      <c r="CV152">
        <v>3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2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1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1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1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3</v>
      </c>
    </row>
    <row r="153" spans="1:201" x14ac:dyDescent="0.3">
      <c r="A153" t="s">
        <v>248</v>
      </c>
      <c r="B153" t="s">
        <v>252</v>
      </c>
      <c r="C153" t="s">
        <v>203</v>
      </c>
      <c r="D153" s="1">
        <v>19775</v>
      </c>
      <c r="E153" s="1">
        <v>4019</v>
      </c>
      <c r="F153">
        <v>820</v>
      </c>
      <c r="G153">
        <v>529</v>
      </c>
      <c r="H153" s="1">
        <v>1413</v>
      </c>
      <c r="I153" s="1">
        <v>2343</v>
      </c>
      <c r="J153" s="1">
        <v>1377</v>
      </c>
      <c r="K153" s="1">
        <v>1831</v>
      </c>
      <c r="L153" s="1">
        <v>1437</v>
      </c>
      <c r="M153">
        <v>813</v>
      </c>
      <c r="N153">
        <v>523</v>
      </c>
      <c r="O153">
        <v>137</v>
      </c>
      <c r="P153">
        <v>34</v>
      </c>
      <c r="Q153" s="1">
        <v>1518</v>
      </c>
      <c r="R153">
        <v>718</v>
      </c>
      <c r="S153">
        <v>33</v>
      </c>
      <c r="T153">
        <v>393</v>
      </c>
      <c r="U153">
        <v>250</v>
      </c>
      <c r="V153">
        <v>543</v>
      </c>
      <c r="W153">
        <v>18</v>
      </c>
      <c r="X153">
        <v>184</v>
      </c>
      <c r="Y153">
        <v>57</v>
      </c>
      <c r="Z153">
        <v>125</v>
      </c>
      <c r="AA153">
        <v>2</v>
      </c>
      <c r="AB153">
        <v>56</v>
      </c>
      <c r="AC153">
        <v>15</v>
      </c>
      <c r="AD153">
        <v>27</v>
      </c>
      <c r="AE153">
        <v>42</v>
      </c>
      <c r="AF153">
        <v>15</v>
      </c>
      <c r="AG153">
        <v>9</v>
      </c>
      <c r="AH153">
        <v>3</v>
      </c>
      <c r="AI153">
        <v>23</v>
      </c>
      <c r="AJ153">
        <v>89</v>
      </c>
      <c r="AK153">
        <v>9</v>
      </c>
      <c r="AL153">
        <v>37</v>
      </c>
      <c r="AM153">
        <v>0</v>
      </c>
      <c r="AN153">
        <v>4</v>
      </c>
      <c r="AO153">
        <v>103</v>
      </c>
      <c r="AP153">
        <v>67</v>
      </c>
      <c r="AQ153">
        <v>19</v>
      </c>
      <c r="AR153">
        <v>1</v>
      </c>
      <c r="AS153">
        <v>2</v>
      </c>
      <c r="AT153">
        <v>4</v>
      </c>
      <c r="AU153">
        <v>4</v>
      </c>
      <c r="AV153">
        <v>12</v>
      </c>
      <c r="AW153">
        <v>0</v>
      </c>
      <c r="AX153">
        <v>4</v>
      </c>
      <c r="AY153">
        <v>1</v>
      </c>
      <c r="AZ153">
        <v>5</v>
      </c>
      <c r="BA153">
        <v>0</v>
      </c>
      <c r="BB153">
        <v>0</v>
      </c>
      <c r="BC153">
        <v>0</v>
      </c>
      <c r="BD153">
        <v>6</v>
      </c>
      <c r="BE153">
        <v>7</v>
      </c>
      <c r="BF153">
        <v>0</v>
      </c>
      <c r="BG153">
        <v>4</v>
      </c>
      <c r="BH153">
        <v>2</v>
      </c>
      <c r="BI153">
        <v>29</v>
      </c>
      <c r="BJ153">
        <v>1</v>
      </c>
      <c r="BK153">
        <v>4</v>
      </c>
      <c r="BL153">
        <v>1</v>
      </c>
      <c r="BM153">
        <v>1</v>
      </c>
      <c r="BN153">
        <v>0</v>
      </c>
      <c r="BO153">
        <v>6</v>
      </c>
      <c r="BP153">
        <v>3</v>
      </c>
      <c r="BQ153">
        <v>15</v>
      </c>
      <c r="BR153">
        <v>1</v>
      </c>
      <c r="BS153">
        <v>2</v>
      </c>
      <c r="BT153">
        <v>6</v>
      </c>
      <c r="BU153">
        <v>2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5</v>
      </c>
      <c r="CC153">
        <v>0</v>
      </c>
      <c r="CD153">
        <v>1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1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1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2</v>
      </c>
    </row>
    <row r="154" spans="1:201" x14ac:dyDescent="0.3">
      <c r="A154" t="s">
        <v>248</v>
      </c>
      <c r="B154" t="s">
        <v>252</v>
      </c>
      <c r="C154" t="s">
        <v>204</v>
      </c>
      <c r="D154" s="1">
        <v>7421</v>
      </c>
      <c r="E154" s="1">
        <v>2351</v>
      </c>
      <c r="F154">
        <v>506</v>
      </c>
      <c r="G154">
        <v>805</v>
      </c>
      <c r="H154">
        <v>247</v>
      </c>
      <c r="I154">
        <v>742</v>
      </c>
      <c r="J154">
        <v>215</v>
      </c>
      <c r="K154">
        <v>117</v>
      </c>
      <c r="L154">
        <v>182</v>
      </c>
      <c r="M154">
        <v>279</v>
      </c>
      <c r="N154">
        <v>197</v>
      </c>
      <c r="O154">
        <v>116</v>
      </c>
      <c r="P154">
        <v>27</v>
      </c>
      <c r="Q154">
        <v>215</v>
      </c>
      <c r="R154">
        <v>148</v>
      </c>
      <c r="S154">
        <v>177</v>
      </c>
      <c r="T154">
        <v>245</v>
      </c>
      <c r="U154">
        <v>229</v>
      </c>
      <c r="V154">
        <v>88</v>
      </c>
      <c r="W154">
        <v>25</v>
      </c>
      <c r="X154">
        <v>39</v>
      </c>
      <c r="Y154">
        <v>50</v>
      </c>
      <c r="Z154">
        <v>67</v>
      </c>
      <c r="AA154">
        <v>3</v>
      </c>
      <c r="AB154">
        <v>33</v>
      </c>
      <c r="AC154">
        <v>4</v>
      </c>
      <c r="AD154">
        <v>21</v>
      </c>
      <c r="AE154">
        <v>1</v>
      </c>
      <c r="AF154">
        <v>6</v>
      </c>
      <c r="AG154">
        <v>6</v>
      </c>
      <c r="AH154">
        <v>0</v>
      </c>
      <c r="AI154">
        <v>7</v>
      </c>
      <c r="AJ154">
        <v>78</v>
      </c>
      <c r="AK154">
        <v>10</v>
      </c>
      <c r="AL154">
        <v>42</v>
      </c>
      <c r="AM154">
        <v>2</v>
      </c>
      <c r="AN154">
        <v>6</v>
      </c>
      <c r="AO154">
        <v>5</v>
      </c>
      <c r="AP154">
        <v>35</v>
      </c>
      <c r="AQ154">
        <v>12</v>
      </c>
      <c r="AR154">
        <v>1</v>
      </c>
      <c r="AS154">
        <v>5</v>
      </c>
      <c r="AT154">
        <v>2</v>
      </c>
      <c r="AU154">
        <v>5</v>
      </c>
      <c r="AV154">
        <v>2</v>
      </c>
      <c r="AW154">
        <v>1</v>
      </c>
      <c r="AX154">
        <v>1</v>
      </c>
      <c r="AY154">
        <v>6</v>
      </c>
      <c r="AZ154">
        <v>3</v>
      </c>
      <c r="BA154">
        <v>1</v>
      </c>
      <c r="BB154">
        <v>0</v>
      </c>
      <c r="BC154">
        <v>3</v>
      </c>
      <c r="BD154">
        <v>0</v>
      </c>
      <c r="BE154">
        <v>4</v>
      </c>
      <c r="BF154">
        <v>0</v>
      </c>
      <c r="BG154">
        <v>0</v>
      </c>
      <c r="BH154">
        <v>2</v>
      </c>
      <c r="BI154">
        <v>11</v>
      </c>
      <c r="BJ154">
        <v>0</v>
      </c>
      <c r="BK154">
        <v>1</v>
      </c>
      <c r="BL154">
        <v>1</v>
      </c>
      <c r="BM154">
        <v>0</v>
      </c>
      <c r="BN154">
        <v>1</v>
      </c>
      <c r="BO154">
        <v>3</v>
      </c>
      <c r="BP154">
        <v>0</v>
      </c>
      <c r="BQ154">
        <v>3</v>
      </c>
      <c r="BR154">
        <v>0</v>
      </c>
      <c r="BS154">
        <v>0</v>
      </c>
      <c r="BT154">
        <v>3</v>
      </c>
      <c r="BU154">
        <v>2</v>
      </c>
      <c r="BV154">
        <v>4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3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1</v>
      </c>
      <c r="CR154">
        <v>0</v>
      </c>
      <c r="CS154">
        <v>1</v>
      </c>
      <c r="CT154">
        <v>0</v>
      </c>
      <c r="CU154">
        <v>0</v>
      </c>
      <c r="CV154">
        <v>3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2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1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1</v>
      </c>
    </row>
    <row r="155" spans="1:201" x14ac:dyDescent="0.3">
      <c r="A155" t="s">
        <v>248</v>
      </c>
      <c r="B155" t="s">
        <v>253</v>
      </c>
      <c r="C155" t="s">
        <v>200</v>
      </c>
      <c r="D155" s="1">
        <v>1295</v>
      </c>
      <c r="E155">
        <v>319</v>
      </c>
      <c r="F155">
        <v>5</v>
      </c>
      <c r="G155">
        <v>43</v>
      </c>
      <c r="H155">
        <v>12</v>
      </c>
      <c r="I155">
        <v>3</v>
      </c>
      <c r="J155">
        <v>37</v>
      </c>
      <c r="K155">
        <v>519</v>
      </c>
      <c r="L155">
        <v>21</v>
      </c>
      <c r="M155">
        <v>12</v>
      </c>
      <c r="N155">
        <v>3</v>
      </c>
      <c r="O155">
        <v>9</v>
      </c>
      <c r="P155">
        <v>5</v>
      </c>
      <c r="Q155">
        <v>69</v>
      </c>
      <c r="R155">
        <v>1</v>
      </c>
      <c r="S155">
        <v>20</v>
      </c>
      <c r="T155">
        <v>2</v>
      </c>
      <c r="U155">
        <v>1</v>
      </c>
      <c r="V155">
        <v>0</v>
      </c>
      <c r="W155">
        <v>1</v>
      </c>
      <c r="X155">
        <v>0</v>
      </c>
      <c r="Y155">
        <v>74</v>
      </c>
      <c r="Z155">
        <v>0</v>
      </c>
      <c r="AA155">
        <v>0</v>
      </c>
      <c r="AB155">
        <v>0</v>
      </c>
      <c r="AC155">
        <v>0</v>
      </c>
      <c r="AD155">
        <v>4</v>
      </c>
      <c r="AE155">
        <v>118</v>
      </c>
      <c r="AF155">
        <v>3</v>
      </c>
      <c r="AG155">
        <v>0</v>
      </c>
      <c r="AH155">
        <v>5</v>
      </c>
      <c r="AI155">
        <v>1</v>
      </c>
      <c r="AJ155">
        <v>0</v>
      </c>
      <c r="AK155">
        <v>0</v>
      </c>
      <c r="AL155">
        <v>1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 x14ac:dyDescent="0.3">
      <c r="A156" t="s">
        <v>248</v>
      </c>
      <c r="B156" t="s">
        <v>253</v>
      </c>
      <c r="C156" t="s">
        <v>203</v>
      </c>
      <c r="D156">
        <v>978</v>
      </c>
      <c r="E156">
        <v>172</v>
      </c>
      <c r="F156">
        <v>3</v>
      </c>
      <c r="G156">
        <v>29</v>
      </c>
      <c r="H156">
        <v>8</v>
      </c>
      <c r="I156">
        <v>3</v>
      </c>
      <c r="J156">
        <v>19</v>
      </c>
      <c r="K156">
        <v>506</v>
      </c>
      <c r="L156">
        <v>21</v>
      </c>
      <c r="M156">
        <v>0</v>
      </c>
      <c r="N156">
        <v>0</v>
      </c>
      <c r="O156">
        <v>5</v>
      </c>
      <c r="P156">
        <v>2</v>
      </c>
      <c r="Q156">
        <v>66</v>
      </c>
      <c r="R156">
        <v>1</v>
      </c>
      <c r="S156">
        <v>4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5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118</v>
      </c>
      <c r="AF156">
        <v>2</v>
      </c>
      <c r="AG156">
        <v>0</v>
      </c>
      <c r="AH156">
        <v>5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</row>
    <row r="157" spans="1:201" x14ac:dyDescent="0.3">
      <c r="A157" t="s">
        <v>248</v>
      </c>
      <c r="B157" t="s">
        <v>253</v>
      </c>
      <c r="C157" t="s">
        <v>204</v>
      </c>
      <c r="D157">
        <v>317</v>
      </c>
      <c r="E157">
        <v>147</v>
      </c>
      <c r="F157">
        <v>2</v>
      </c>
      <c r="G157">
        <v>14</v>
      </c>
      <c r="H157">
        <v>4</v>
      </c>
      <c r="I157">
        <v>0</v>
      </c>
      <c r="J157">
        <v>18</v>
      </c>
      <c r="K157">
        <v>13</v>
      </c>
      <c r="L157">
        <v>0</v>
      </c>
      <c r="M157">
        <v>12</v>
      </c>
      <c r="N157">
        <v>3</v>
      </c>
      <c r="O157">
        <v>4</v>
      </c>
      <c r="P157">
        <v>3</v>
      </c>
      <c r="Q157">
        <v>3</v>
      </c>
      <c r="R157">
        <v>0</v>
      </c>
      <c r="S157">
        <v>16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69</v>
      </c>
      <c r="Z157">
        <v>0</v>
      </c>
      <c r="AA157">
        <v>0</v>
      </c>
      <c r="AB157">
        <v>0</v>
      </c>
      <c r="AC157">
        <v>0</v>
      </c>
      <c r="AD157">
        <v>3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</row>
    <row r="158" spans="1:201" x14ac:dyDescent="0.3">
      <c r="A158" t="s">
        <v>248</v>
      </c>
      <c r="B158" t="s">
        <v>254</v>
      </c>
      <c r="C158" t="s">
        <v>200</v>
      </c>
      <c r="D158" s="1">
        <v>5822</v>
      </c>
      <c r="E158">
        <v>693</v>
      </c>
      <c r="F158">
        <v>88</v>
      </c>
      <c r="G158">
        <v>120</v>
      </c>
      <c r="H158">
        <v>685</v>
      </c>
      <c r="I158">
        <v>280</v>
      </c>
      <c r="J158" s="1">
        <v>1484</v>
      </c>
      <c r="K158">
        <v>210</v>
      </c>
      <c r="L158">
        <v>195</v>
      </c>
      <c r="M158">
        <v>200</v>
      </c>
      <c r="N158">
        <v>189</v>
      </c>
      <c r="O158">
        <v>41</v>
      </c>
      <c r="P158">
        <v>17</v>
      </c>
      <c r="Q158">
        <v>183</v>
      </c>
      <c r="R158">
        <v>78</v>
      </c>
      <c r="S158">
        <v>36</v>
      </c>
      <c r="T158">
        <v>47</v>
      </c>
      <c r="U158">
        <v>46</v>
      </c>
      <c r="V158">
        <v>31</v>
      </c>
      <c r="W158">
        <v>14</v>
      </c>
      <c r="X158">
        <v>15</v>
      </c>
      <c r="Y158" s="1">
        <v>1081</v>
      </c>
      <c r="Z158">
        <v>27</v>
      </c>
      <c r="AA158">
        <v>1</v>
      </c>
      <c r="AB158">
        <v>16</v>
      </c>
      <c r="AC158">
        <v>5</v>
      </c>
      <c r="AD158">
        <v>8</v>
      </c>
      <c r="AE158">
        <v>0</v>
      </c>
      <c r="AF158">
        <v>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5</v>
      </c>
      <c r="AM158">
        <v>1</v>
      </c>
      <c r="AN158">
        <v>0</v>
      </c>
      <c r="AO158">
        <v>0</v>
      </c>
      <c r="AP158">
        <v>10</v>
      </c>
      <c r="AQ158">
        <v>3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4</v>
      </c>
      <c r="BW158">
        <v>0</v>
      </c>
      <c r="BX158">
        <v>3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</row>
    <row r="159" spans="1:201" x14ac:dyDescent="0.3">
      <c r="A159" t="s">
        <v>248</v>
      </c>
      <c r="B159" t="s">
        <v>254</v>
      </c>
      <c r="C159" t="s">
        <v>203</v>
      </c>
      <c r="D159" s="1">
        <v>2727</v>
      </c>
      <c r="E159">
        <v>356</v>
      </c>
      <c r="F159">
        <v>43</v>
      </c>
      <c r="G159">
        <v>40</v>
      </c>
      <c r="H159">
        <v>392</v>
      </c>
      <c r="I159">
        <v>223</v>
      </c>
      <c r="J159">
        <v>321</v>
      </c>
      <c r="K159">
        <v>196</v>
      </c>
      <c r="L159">
        <v>191</v>
      </c>
      <c r="M159">
        <v>146</v>
      </c>
      <c r="N159">
        <v>88</v>
      </c>
      <c r="O159">
        <v>17</v>
      </c>
      <c r="P159">
        <v>11</v>
      </c>
      <c r="Q159">
        <v>157</v>
      </c>
      <c r="R159">
        <v>67</v>
      </c>
      <c r="S159">
        <v>2</v>
      </c>
      <c r="T159">
        <v>36</v>
      </c>
      <c r="U159">
        <v>20</v>
      </c>
      <c r="V159">
        <v>25</v>
      </c>
      <c r="W159">
        <v>6</v>
      </c>
      <c r="X159">
        <v>9</v>
      </c>
      <c r="Y159">
        <v>330</v>
      </c>
      <c r="Z159">
        <v>26</v>
      </c>
      <c r="AA159">
        <v>1</v>
      </c>
      <c r="AB159">
        <v>5</v>
      </c>
      <c r="AC159">
        <v>3</v>
      </c>
      <c r="AD159">
        <v>2</v>
      </c>
      <c r="AE159">
        <v>0</v>
      </c>
      <c r="AF159">
        <v>3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5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3</v>
      </c>
      <c r="BW159">
        <v>0</v>
      </c>
      <c r="BX159">
        <v>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 x14ac:dyDescent="0.3">
      <c r="A160" t="s">
        <v>248</v>
      </c>
      <c r="B160" t="s">
        <v>254</v>
      </c>
      <c r="C160" t="s">
        <v>204</v>
      </c>
      <c r="D160" s="1">
        <v>3095</v>
      </c>
      <c r="E160">
        <v>337</v>
      </c>
      <c r="F160">
        <v>45</v>
      </c>
      <c r="G160">
        <v>80</v>
      </c>
      <c r="H160">
        <v>293</v>
      </c>
      <c r="I160">
        <v>57</v>
      </c>
      <c r="J160" s="1">
        <v>1163</v>
      </c>
      <c r="K160">
        <v>14</v>
      </c>
      <c r="L160">
        <v>4</v>
      </c>
      <c r="M160">
        <v>54</v>
      </c>
      <c r="N160">
        <v>101</v>
      </c>
      <c r="O160">
        <v>24</v>
      </c>
      <c r="P160">
        <v>6</v>
      </c>
      <c r="Q160">
        <v>26</v>
      </c>
      <c r="R160">
        <v>11</v>
      </c>
      <c r="S160">
        <v>34</v>
      </c>
      <c r="T160">
        <v>11</v>
      </c>
      <c r="U160">
        <v>26</v>
      </c>
      <c r="V160">
        <v>6</v>
      </c>
      <c r="W160">
        <v>8</v>
      </c>
      <c r="X160">
        <v>6</v>
      </c>
      <c r="Y160">
        <v>751</v>
      </c>
      <c r="Z160">
        <v>1</v>
      </c>
      <c r="AA160">
        <v>0</v>
      </c>
      <c r="AB160">
        <v>11</v>
      </c>
      <c r="AC160">
        <v>2</v>
      </c>
      <c r="AD160">
        <v>6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</v>
      </c>
      <c r="AM160">
        <v>1</v>
      </c>
      <c r="AN160">
        <v>0</v>
      </c>
      <c r="AO160">
        <v>0</v>
      </c>
      <c r="AP160">
        <v>5</v>
      </c>
      <c r="AQ160">
        <v>3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</row>
    <row r="161" spans="1:201" x14ac:dyDescent="0.3">
      <c r="A161" t="s">
        <v>248</v>
      </c>
      <c r="B161" t="s">
        <v>255</v>
      </c>
      <c r="C161" t="s">
        <v>200</v>
      </c>
      <c r="D161" s="1">
        <v>4169</v>
      </c>
      <c r="E161" s="1">
        <v>1140</v>
      </c>
      <c r="F161">
        <v>97</v>
      </c>
      <c r="G161">
        <v>166</v>
      </c>
      <c r="H161">
        <v>238</v>
      </c>
      <c r="I161">
        <v>162</v>
      </c>
      <c r="J161">
        <v>200</v>
      </c>
      <c r="K161" s="1">
        <v>1189</v>
      </c>
      <c r="L161">
        <v>130</v>
      </c>
      <c r="M161">
        <v>157</v>
      </c>
      <c r="N161">
        <v>44</v>
      </c>
      <c r="O161">
        <v>37</v>
      </c>
      <c r="P161">
        <v>66</v>
      </c>
      <c r="Q161">
        <v>214</v>
      </c>
      <c r="R161">
        <v>71</v>
      </c>
      <c r="S161">
        <v>38</v>
      </c>
      <c r="T161">
        <v>10</v>
      </c>
      <c r="U161">
        <v>3</v>
      </c>
      <c r="V161">
        <v>48</v>
      </c>
      <c r="W161">
        <v>8</v>
      </c>
      <c r="X161">
        <v>8</v>
      </c>
      <c r="Y161">
        <v>22</v>
      </c>
      <c r="Z161">
        <v>7</v>
      </c>
      <c r="AA161">
        <v>9</v>
      </c>
      <c r="AB161">
        <v>34</v>
      </c>
      <c r="AC161">
        <v>1</v>
      </c>
      <c r="AD161">
        <v>7</v>
      </c>
      <c r="AE161">
        <v>19</v>
      </c>
      <c r="AF161">
        <v>4</v>
      </c>
      <c r="AG161">
        <v>4</v>
      </c>
      <c r="AH161">
        <v>2</v>
      </c>
      <c r="AI161">
        <v>0</v>
      </c>
      <c r="AJ161">
        <v>0</v>
      </c>
      <c r="AK161">
        <v>0</v>
      </c>
      <c r="AL161">
        <v>1</v>
      </c>
      <c r="AM161">
        <v>2</v>
      </c>
      <c r="AN161">
        <v>0</v>
      </c>
      <c r="AO161">
        <v>1</v>
      </c>
      <c r="AP161">
        <v>0</v>
      </c>
      <c r="AQ161">
        <v>2</v>
      </c>
      <c r="AR161">
        <v>0</v>
      </c>
      <c r="AS161">
        <v>0</v>
      </c>
      <c r="AT161">
        <v>2</v>
      </c>
      <c r="AU161">
        <v>1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3</v>
      </c>
      <c r="BD161">
        <v>0</v>
      </c>
      <c r="BE161">
        <v>1</v>
      </c>
      <c r="BF161">
        <v>0</v>
      </c>
      <c r="BG161">
        <v>0</v>
      </c>
      <c r="BH161">
        <v>10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3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2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 x14ac:dyDescent="0.3">
      <c r="A162" t="s">
        <v>248</v>
      </c>
      <c r="B162" t="s">
        <v>255</v>
      </c>
      <c r="C162" t="s">
        <v>203</v>
      </c>
      <c r="D162" s="1">
        <v>3301</v>
      </c>
      <c r="E162">
        <v>800</v>
      </c>
      <c r="F162">
        <v>68</v>
      </c>
      <c r="G162">
        <v>99</v>
      </c>
      <c r="H162">
        <v>212</v>
      </c>
      <c r="I162">
        <v>141</v>
      </c>
      <c r="J162">
        <v>132</v>
      </c>
      <c r="K162" s="1">
        <v>1150</v>
      </c>
      <c r="L162">
        <v>121</v>
      </c>
      <c r="M162">
        <v>107</v>
      </c>
      <c r="N162">
        <v>15</v>
      </c>
      <c r="O162">
        <v>13</v>
      </c>
      <c r="P162">
        <v>40</v>
      </c>
      <c r="Q162">
        <v>187</v>
      </c>
      <c r="R162">
        <v>56</v>
      </c>
      <c r="S162">
        <v>9</v>
      </c>
      <c r="T162">
        <v>6</v>
      </c>
      <c r="U162">
        <v>1</v>
      </c>
      <c r="V162">
        <v>45</v>
      </c>
      <c r="W162">
        <v>6</v>
      </c>
      <c r="X162">
        <v>6</v>
      </c>
      <c r="Y162">
        <v>10</v>
      </c>
      <c r="Z162">
        <v>5</v>
      </c>
      <c r="AA162">
        <v>4</v>
      </c>
      <c r="AB162">
        <v>21</v>
      </c>
      <c r="AC162">
        <v>1</v>
      </c>
      <c r="AD162">
        <v>3</v>
      </c>
      <c r="AE162">
        <v>19</v>
      </c>
      <c r="AF162">
        <v>2</v>
      </c>
      <c r="AG162">
        <v>3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1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2</v>
      </c>
      <c r="BD162">
        <v>0</v>
      </c>
      <c r="BE162">
        <v>0</v>
      </c>
      <c r="BF162">
        <v>0</v>
      </c>
      <c r="BG162">
        <v>0</v>
      </c>
      <c r="BH162">
        <v>8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 x14ac:dyDescent="0.3">
      <c r="A163" t="s">
        <v>248</v>
      </c>
      <c r="B163" t="s">
        <v>255</v>
      </c>
      <c r="C163" t="s">
        <v>204</v>
      </c>
      <c r="D163">
        <v>868</v>
      </c>
      <c r="E163">
        <v>340</v>
      </c>
      <c r="F163">
        <v>29</v>
      </c>
      <c r="G163">
        <v>67</v>
      </c>
      <c r="H163">
        <v>26</v>
      </c>
      <c r="I163">
        <v>21</v>
      </c>
      <c r="J163">
        <v>68</v>
      </c>
      <c r="K163">
        <v>39</v>
      </c>
      <c r="L163">
        <v>9</v>
      </c>
      <c r="M163">
        <v>50</v>
      </c>
      <c r="N163">
        <v>29</v>
      </c>
      <c r="O163">
        <v>24</v>
      </c>
      <c r="P163">
        <v>26</v>
      </c>
      <c r="Q163">
        <v>27</v>
      </c>
      <c r="R163">
        <v>15</v>
      </c>
      <c r="S163">
        <v>29</v>
      </c>
      <c r="T163">
        <v>4</v>
      </c>
      <c r="U163">
        <v>2</v>
      </c>
      <c r="V163">
        <v>3</v>
      </c>
      <c r="W163">
        <v>2</v>
      </c>
      <c r="X163">
        <v>2</v>
      </c>
      <c r="Y163">
        <v>12</v>
      </c>
      <c r="Z163">
        <v>2</v>
      </c>
      <c r="AA163">
        <v>5</v>
      </c>
      <c r="AB163">
        <v>13</v>
      </c>
      <c r="AC163">
        <v>0</v>
      </c>
      <c r="AD163">
        <v>4</v>
      </c>
      <c r="AE163">
        <v>0</v>
      </c>
      <c r="AF163">
        <v>2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2</v>
      </c>
      <c r="AN163">
        <v>0</v>
      </c>
      <c r="AO163">
        <v>0</v>
      </c>
      <c r="AP163">
        <v>0</v>
      </c>
      <c r="AQ163">
        <v>2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1</v>
      </c>
      <c r="BF163">
        <v>0</v>
      </c>
      <c r="BG163">
        <v>0</v>
      </c>
      <c r="BH163">
        <v>2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1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 x14ac:dyDescent="0.3">
      <c r="A164" t="s">
        <v>248</v>
      </c>
      <c r="B164" t="s">
        <v>256</v>
      </c>
      <c r="C164" t="s">
        <v>200</v>
      </c>
      <c r="D164" s="1">
        <v>1244</v>
      </c>
      <c r="E164">
        <v>304</v>
      </c>
      <c r="F164">
        <v>16</v>
      </c>
      <c r="G164">
        <v>21</v>
      </c>
      <c r="H164">
        <v>247</v>
      </c>
      <c r="I164">
        <v>37</v>
      </c>
      <c r="J164">
        <v>249</v>
      </c>
      <c r="K164">
        <v>17</v>
      </c>
      <c r="L164">
        <v>9</v>
      </c>
      <c r="M164">
        <v>14</v>
      </c>
      <c r="N164">
        <v>17</v>
      </c>
      <c r="O164">
        <v>2</v>
      </c>
      <c r="P164">
        <v>3</v>
      </c>
      <c r="Q164">
        <v>45</v>
      </c>
      <c r="R164">
        <v>26</v>
      </c>
      <c r="S164">
        <v>13</v>
      </c>
      <c r="T164">
        <v>0</v>
      </c>
      <c r="U164">
        <v>1</v>
      </c>
      <c r="V164">
        <v>3</v>
      </c>
      <c r="W164">
        <v>2</v>
      </c>
      <c r="X164">
        <v>0</v>
      </c>
      <c r="Y164">
        <v>194</v>
      </c>
      <c r="Z164">
        <v>0</v>
      </c>
      <c r="AA164">
        <v>0</v>
      </c>
      <c r="AB164">
        <v>0</v>
      </c>
      <c r="AC164">
        <v>2</v>
      </c>
      <c r="AD164">
        <v>1</v>
      </c>
      <c r="AE164">
        <v>13</v>
      </c>
      <c r="AF164">
        <v>2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1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</row>
    <row r="165" spans="1:201" x14ac:dyDescent="0.3">
      <c r="A165" t="s">
        <v>248</v>
      </c>
      <c r="B165" t="s">
        <v>256</v>
      </c>
      <c r="C165" t="s">
        <v>203</v>
      </c>
      <c r="D165">
        <v>580</v>
      </c>
      <c r="E165">
        <v>175</v>
      </c>
      <c r="F165">
        <v>6</v>
      </c>
      <c r="G165">
        <v>6</v>
      </c>
      <c r="H165">
        <v>132</v>
      </c>
      <c r="I165">
        <v>32</v>
      </c>
      <c r="J165">
        <v>49</v>
      </c>
      <c r="K165">
        <v>17</v>
      </c>
      <c r="L165">
        <v>9</v>
      </c>
      <c r="M165">
        <v>8</v>
      </c>
      <c r="N165">
        <v>6</v>
      </c>
      <c r="O165">
        <v>2</v>
      </c>
      <c r="P165">
        <v>2</v>
      </c>
      <c r="Q165">
        <v>44</v>
      </c>
      <c r="R165">
        <v>22</v>
      </c>
      <c r="S165">
        <v>1</v>
      </c>
      <c r="T165">
        <v>0</v>
      </c>
      <c r="U165">
        <v>1</v>
      </c>
      <c r="V165">
        <v>2</v>
      </c>
      <c r="W165">
        <v>0</v>
      </c>
      <c r="X165">
        <v>0</v>
      </c>
      <c r="Y165">
        <v>48</v>
      </c>
      <c r="Z165">
        <v>0</v>
      </c>
      <c r="AA165">
        <v>0</v>
      </c>
      <c r="AB165">
        <v>0</v>
      </c>
      <c r="AC165">
        <v>2</v>
      </c>
      <c r="AD165">
        <v>0</v>
      </c>
      <c r="AE165">
        <v>12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 x14ac:dyDescent="0.3">
      <c r="A166" t="s">
        <v>248</v>
      </c>
      <c r="B166" t="s">
        <v>256</v>
      </c>
      <c r="C166" t="s">
        <v>204</v>
      </c>
      <c r="D166">
        <v>664</v>
      </c>
      <c r="E166">
        <v>129</v>
      </c>
      <c r="F166">
        <v>10</v>
      </c>
      <c r="G166">
        <v>15</v>
      </c>
      <c r="H166">
        <v>115</v>
      </c>
      <c r="I166">
        <v>5</v>
      </c>
      <c r="J166">
        <v>200</v>
      </c>
      <c r="K166">
        <v>0</v>
      </c>
      <c r="L166">
        <v>0</v>
      </c>
      <c r="M166">
        <v>6</v>
      </c>
      <c r="N166">
        <v>11</v>
      </c>
      <c r="O166">
        <v>0</v>
      </c>
      <c r="P166">
        <v>1</v>
      </c>
      <c r="Q166">
        <v>1</v>
      </c>
      <c r="R166">
        <v>4</v>
      </c>
      <c r="S166">
        <v>12</v>
      </c>
      <c r="T166">
        <v>0</v>
      </c>
      <c r="U166">
        <v>0</v>
      </c>
      <c r="V166">
        <v>1</v>
      </c>
      <c r="W166">
        <v>2</v>
      </c>
      <c r="X166">
        <v>0</v>
      </c>
      <c r="Y166">
        <v>146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2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 x14ac:dyDescent="0.3">
      <c r="A167" t="s">
        <v>248</v>
      </c>
      <c r="B167" t="s">
        <v>257</v>
      </c>
      <c r="C167" t="s">
        <v>200</v>
      </c>
      <c r="D167" s="1">
        <v>9496</v>
      </c>
      <c r="E167" s="1">
        <v>1937</v>
      </c>
      <c r="F167">
        <v>538</v>
      </c>
      <c r="G167">
        <v>744</v>
      </c>
      <c r="H167">
        <v>675</v>
      </c>
      <c r="I167">
        <v>610</v>
      </c>
      <c r="J167">
        <v>510</v>
      </c>
      <c r="K167">
        <v>574</v>
      </c>
      <c r="L167">
        <v>459</v>
      </c>
      <c r="M167">
        <v>499</v>
      </c>
      <c r="N167">
        <v>479</v>
      </c>
      <c r="O167">
        <v>71</v>
      </c>
      <c r="P167">
        <v>56</v>
      </c>
      <c r="Q167">
        <v>696</v>
      </c>
      <c r="R167">
        <v>190</v>
      </c>
      <c r="S167">
        <v>109</v>
      </c>
      <c r="T167">
        <v>184</v>
      </c>
      <c r="U167">
        <v>256</v>
      </c>
      <c r="V167">
        <v>181</v>
      </c>
      <c r="W167">
        <v>25</v>
      </c>
      <c r="X167">
        <v>154</v>
      </c>
      <c r="Y167">
        <v>41</v>
      </c>
      <c r="Z167">
        <v>65</v>
      </c>
      <c r="AA167">
        <v>3</v>
      </c>
      <c r="AB167">
        <v>6</v>
      </c>
      <c r="AC167">
        <v>11</v>
      </c>
      <c r="AD167">
        <v>39</v>
      </c>
      <c r="AE167">
        <v>13</v>
      </c>
      <c r="AF167">
        <v>18</v>
      </c>
      <c r="AG167">
        <v>89</v>
      </c>
      <c r="AH167">
        <v>7</v>
      </c>
      <c r="AI167">
        <v>23</v>
      </c>
      <c r="AJ167">
        <v>25</v>
      </c>
      <c r="AK167">
        <v>21</v>
      </c>
      <c r="AL167">
        <v>25</v>
      </c>
      <c r="AM167">
        <v>2</v>
      </c>
      <c r="AN167">
        <v>5</v>
      </c>
      <c r="AO167">
        <v>6</v>
      </c>
      <c r="AP167">
        <v>42</v>
      </c>
      <c r="AQ167">
        <v>8</v>
      </c>
      <c r="AR167">
        <v>10</v>
      </c>
      <c r="AS167">
        <v>3</v>
      </c>
      <c r="AT167">
        <v>1</v>
      </c>
      <c r="AU167">
        <v>1</v>
      </c>
      <c r="AV167">
        <v>11</v>
      </c>
      <c r="AW167">
        <v>1</v>
      </c>
      <c r="AX167">
        <v>0</v>
      </c>
      <c r="AY167">
        <v>7</v>
      </c>
      <c r="AZ167">
        <v>0</v>
      </c>
      <c r="BA167">
        <v>1</v>
      </c>
      <c r="BB167">
        <v>0</v>
      </c>
      <c r="BC167">
        <v>4</v>
      </c>
      <c r="BD167">
        <v>0</v>
      </c>
      <c r="BE167">
        <v>10</v>
      </c>
      <c r="BF167">
        <v>5</v>
      </c>
      <c r="BG167">
        <v>2</v>
      </c>
      <c r="BH167">
        <v>3</v>
      </c>
      <c r="BI167">
        <v>13</v>
      </c>
      <c r="BJ167">
        <v>1</v>
      </c>
      <c r="BK167">
        <v>2</v>
      </c>
      <c r="BL167">
        <v>2</v>
      </c>
      <c r="BM167">
        <v>0</v>
      </c>
      <c r="BN167">
        <v>1</v>
      </c>
      <c r="BO167">
        <v>2</v>
      </c>
      <c r="BP167">
        <v>0</v>
      </c>
      <c r="BQ167">
        <v>1</v>
      </c>
      <c r="BR167">
        <v>1</v>
      </c>
      <c r="BS167">
        <v>2</v>
      </c>
      <c r="BT167">
        <v>1</v>
      </c>
      <c r="BU167">
        <v>0</v>
      </c>
      <c r="BV167">
        <v>2</v>
      </c>
      <c r="BW167">
        <v>0</v>
      </c>
      <c r="BX167">
        <v>1</v>
      </c>
      <c r="BY167">
        <v>0</v>
      </c>
      <c r="BZ167">
        <v>2</v>
      </c>
      <c r="CA167">
        <v>2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1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1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1</v>
      </c>
    </row>
    <row r="168" spans="1:201" x14ac:dyDescent="0.3">
      <c r="A168" t="s">
        <v>248</v>
      </c>
      <c r="B168" t="s">
        <v>257</v>
      </c>
      <c r="C168" t="s">
        <v>203</v>
      </c>
      <c r="D168" s="1">
        <v>6450</v>
      </c>
      <c r="E168" s="1">
        <v>1080</v>
      </c>
      <c r="F168">
        <v>299</v>
      </c>
      <c r="G168">
        <v>286</v>
      </c>
      <c r="H168">
        <v>585</v>
      </c>
      <c r="I168">
        <v>453</v>
      </c>
      <c r="J168">
        <v>426</v>
      </c>
      <c r="K168">
        <v>535</v>
      </c>
      <c r="L168">
        <v>421</v>
      </c>
      <c r="M168">
        <v>342</v>
      </c>
      <c r="N168">
        <v>329</v>
      </c>
      <c r="O168">
        <v>41</v>
      </c>
      <c r="P168">
        <v>31</v>
      </c>
      <c r="Q168">
        <v>602</v>
      </c>
      <c r="R168">
        <v>152</v>
      </c>
      <c r="S168">
        <v>9</v>
      </c>
      <c r="T168">
        <v>94</v>
      </c>
      <c r="U168">
        <v>125</v>
      </c>
      <c r="V168">
        <v>162</v>
      </c>
      <c r="W168">
        <v>10</v>
      </c>
      <c r="X168">
        <v>136</v>
      </c>
      <c r="Y168">
        <v>23</v>
      </c>
      <c r="Z168">
        <v>41</v>
      </c>
      <c r="AA168">
        <v>3</v>
      </c>
      <c r="AB168">
        <v>3</v>
      </c>
      <c r="AC168">
        <v>9</v>
      </c>
      <c r="AD168">
        <v>9</v>
      </c>
      <c r="AE168">
        <v>10</v>
      </c>
      <c r="AF168">
        <v>13</v>
      </c>
      <c r="AG168">
        <v>67</v>
      </c>
      <c r="AH168">
        <v>5</v>
      </c>
      <c r="AI168">
        <v>18</v>
      </c>
      <c r="AJ168">
        <v>18</v>
      </c>
      <c r="AK168">
        <v>14</v>
      </c>
      <c r="AL168">
        <v>11</v>
      </c>
      <c r="AM168">
        <v>0</v>
      </c>
      <c r="AN168">
        <v>5</v>
      </c>
      <c r="AO168">
        <v>5</v>
      </c>
      <c r="AP168">
        <v>24</v>
      </c>
      <c r="AQ168">
        <v>2</v>
      </c>
      <c r="AR168">
        <v>4</v>
      </c>
      <c r="AS168">
        <v>2</v>
      </c>
      <c r="AT168">
        <v>1</v>
      </c>
      <c r="AU168">
        <v>0</v>
      </c>
      <c r="AV168">
        <v>11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3</v>
      </c>
      <c r="BD168">
        <v>0</v>
      </c>
      <c r="BE168">
        <v>4</v>
      </c>
      <c r="BF168">
        <v>2</v>
      </c>
      <c r="BG168">
        <v>1</v>
      </c>
      <c r="BH168">
        <v>2</v>
      </c>
      <c r="BI168">
        <v>8</v>
      </c>
      <c r="BJ168">
        <v>1</v>
      </c>
      <c r="BK168">
        <v>1</v>
      </c>
      <c r="BL168">
        <v>1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2</v>
      </c>
      <c r="BT168">
        <v>1</v>
      </c>
      <c r="BU168">
        <v>0</v>
      </c>
      <c r="BV168">
        <v>1</v>
      </c>
      <c r="BW168">
        <v>0</v>
      </c>
      <c r="BX168">
        <v>1</v>
      </c>
      <c r="BY168">
        <v>0</v>
      </c>
      <c r="BZ168">
        <v>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 x14ac:dyDescent="0.3">
      <c r="A169" t="s">
        <v>248</v>
      </c>
      <c r="B169" t="s">
        <v>257</v>
      </c>
      <c r="C169" t="s">
        <v>204</v>
      </c>
      <c r="D169" s="1">
        <v>3046</v>
      </c>
      <c r="E169">
        <v>857</v>
      </c>
      <c r="F169">
        <v>239</v>
      </c>
      <c r="G169">
        <v>458</v>
      </c>
      <c r="H169">
        <v>90</v>
      </c>
      <c r="I169">
        <v>157</v>
      </c>
      <c r="J169">
        <v>84</v>
      </c>
      <c r="K169">
        <v>39</v>
      </c>
      <c r="L169">
        <v>38</v>
      </c>
      <c r="M169">
        <v>157</v>
      </c>
      <c r="N169">
        <v>150</v>
      </c>
      <c r="O169">
        <v>30</v>
      </c>
      <c r="P169">
        <v>25</v>
      </c>
      <c r="Q169">
        <v>94</v>
      </c>
      <c r="R169">
        <v>38</v>
      </c>
      <c r="S169">
        <v>100</v>
      </c>
      <c r="T169">
        <v>90</v>
      </c>
      <c r="U169">
        <v>131</v>
      </c>
      <c r="V169">
        <v>19</v>
      </c>
      <c r="W169">
        <v>15</v>
      </c>
      <c r="X169">
        <v>18</v>
      </c>
      <c r="Y169">
        <v>18</v>
      </c>
      <c r="Z169">
        <v>24</v>
      </c>
      <c r="AA169">
        <v>0</v>
      </c>
      <c r="AB169">
        <v>3</v>
      </c>
      <c r="AC169">
        <v>2</v>
      </c>
      <c r="AD169">
        <v>30</v>
      </c>
      <c r="AE169">
        <v>3</v>
      </c>
      <c r="AF169">
        <v>5</v>
      </c>
      <c r="AG169">
        <v>22</v>
      </c>
      <c r="AH169">
        <v>2</v>
      </c>
      <c r="AI169">
        <v>5</v>
      </c>
      <c r="AJ169">
        <v>7</v>
      </c>
      <c r="AK169">
        <v>7</v>
      </c>
      <c r="AL169">
        <v>14</v>
      </c>
      <c r="AM169">
        <v>2</v>
      </c>
      <c r="AN169">
        <v>0</v>
      </c>
      <c r="AO169">
        <v>1</v>
      </c>
      <c r="AP169">
        <v>18</v>
      </c>
      <c r="AQ169">
        <v>6</v>
      </c>
      <c r="AR169">
        <v>6</v>
      </c>
      <c r="AS169">
        <v>1</v>
      </c>
      <c r="AT169">
        <v>0</v>
      </c>
      <c r="AU169">
        <v>1</v>
      </c>
      <c r="AV169">
        <v>0</v>
      </c>
      <c r="AW169">
        <v>1</v>
      </c>
      <c r="AX169">
        <v>0</v>
      </c>
      <c r="AY169">
        <v>6</v>
      </c>
      <c r="AZ169">
        <v>0</v>
      </c>
      <c r="BA169">
        <v>1</v>
      </c>
      <c r="BB169">
        <v>0</v>
      </c>
      <c r="BC169">
        <v>1</v>
      </c>
      <c r="BD169">
        <v>0</v>
      </c>
      <c r="BE169">
        <v>6</v>
      </c>
      <c r="BF169">
        <v>3</v>
      </c>
      <c r="BG169">
        <v>1</v>
      </c>
      <c r="BH169">
        <v>1</v>
      </c>
      <c r="BI169">
        <v>5</v>
      </c>
      <c r="BJ169">
        <v>0</v>
      </c>
      <c r="BK169">
        <v>1</v>
      </c>
      <c r="BL169">
        <v>1</v>
      </c>
      <c r="BM169">
        <v>0</v>
      </c>
      <c r="BN169">
        <v>1</v>
      </c>
      <c r="BO169">
        <v>1</v>
      </c>
      <c r="BP169">
        <v>0</v>
      </c>
      <c r="BQ169">
        <v>1</v>
      </c>
      <c r="BR169">
        <v>1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2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1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1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1</v>
      </c>
    </row>
    <row r="170" spans="1:201" x14ac:dyDescent="0.3">
      <c r="A170" t="s">
        <v>248</v>
      </c>
      <c r="B170" t="s">
        <v>258</v>
      </c>
      <c r="C170" t="s">
        <v>200</v>
      </c>
      <c r="D170" s="1">
        <v>1068</v>
      </c>
      <c r="E170">
        <v>340</v>
      </c>
      <c r="F170">
        <v>21</v>
      </c>
      <c r="G170">
        <v>19</v>
      </c>
      <c r="H170">
        <v>109</v>
      </c>
      <c r="I170">
        <v>91</v>
      </c>
      <c r="J170">
        <v>136</v>
      </c>
      <c r="K170">
        <v>50</v>
      </c>
      <c r="L170">
        <v>17</v>
      </c>
      <c r="M170">
        <v>20</v>
      </c>
      <c r="N170">
        <v>32</v>
      </c>
      <c r="O170">
        <v>1</v>
      </c>
      <c r="P170">
        <v>4</v>
      </c>
      <c r="Q170">
        <v>30</v>
      </c>
      <c r="R170">
        <v>10</v>
      </c>
      <c r="S170">
        <v>8</v>
      </c>
      <c r="T170">
        <v>0</v>
      </c>
      <c r="U170">
        <v>1</v>
      </c>
      <c r="V170">
        <v>21</v>
      </c>
      <c r="W170">
        <v>0</v>
      </c>
      <c r="X170">
        <v>0</v>
      </c>
      <c r="Y170">
        <v>134</v>
      </c>
      <c r="Z170">
        <v>4</v>
      </c>
      <c r="AA170">
        <v>0</v>
      </c>
      <c r="AB170">
        <v>0</v>
      </c>
      <c r="AC170">
        <v>0</v>
      </c>
      <c r="AD170">
        <v>3</v>
      </c>
      <c r="AE170">
        <v>7</v>
      </c>
      <c r="AF170">
        <v>0</v>
      </c>
      <c r="AG170">
        <v>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3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 x14ac:dyDescent="0.3">
      <c r="A171" t="s">
        <v>248</v>
      </c>
      <c r="B171" t="s">
        <v>258</v>
      </c>
      <c r="C171" t="s">
        <v>203</v>
      </c>
      <c r="D171">
        <v>722</v>
      </c>
      <c r="E171">
        <v>206</v>
      </c>
      <c r="F171">
        <v>12</v>
      </c>
      <c r="G171">
        <v>7</v>
      </c>
      <c r="H171">
        <v>89</v>
      </c>
      <c r="I171">
        <v>69</v>
      </c>
      <c r="J171">
        <v>93</v>
      </c>
      <c r="K171">
        <v>47</v>
      </c>
      <c r="L171">
        <v>16</v>
      </c>
      <c r="M171">
        <v>13</v>
      </c>
      <c r="N171">
        <v>27</v>
      </c>
      <c r="O171">
        <v>0</v>
      </c>
      <c r="P171">
        <v>1</v>
      </c>
      <c r="Q171">
        <v>27</v>
      </c>
      <c r="R171">
        <v>9</v>
      </c>
      <c r="S171">
        <v>0</v>
      </c>
      <c r="T171">
        <v>0</v>
      </c>
      <c r="U171">
        <v>0</v>
      </c>
      <c r="V171">
        <v>13</v>
      </c>
      <c r="W171">
        <v>0</v>
      </c>
      <c r="X171">
        <v>0</v>
      </c>
      <c r="Y171">
        <v>72</v>
      </c>
      <c r="Z171">
        <v>2</v>
      </c>
      <c r="AA171">
        <v>0</v>
      </c>
      <c r="AB171">
        <v>0</v>
      </c>
      <c r="AC171">
        <v>0</v>
      </c>
      <c r="AD171">
        <v>2</v>
      </c>
      <c r="AE171">
        <v>7</v>
      </c>
      <c r="AF171">
        <v>0</v>
      </c>
      <c r="AG171">
        <v>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3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2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</row>
    <row r="172" spans="1:201" x14ac:dyDescent="0.3">
      <c r="A172" t="s">
        <v>248</v>
      </c>
      <c r="B172" t="s">
        <v>258</v>
      </c>
      <c r="C172" t="s">
        <v>204</v>
      </c>
      <c r="D172">
        <v>346</v>
      </c>
      <c r="E172">
        <v>134</v>
      </c>
      <c r="F172">
        <v>9</v>
      </c>
      <c r="G172">
        <v>12</v>
      </c>
      <c r="H172">
        <v>20</v>
      </c>
      <c r="I172">
        <v>22</v>
      </c>
      <c r="J172">
        <v>43</v>
      </c>
      <c r="K172">
        <v>3</v>
      </c>
      <c r="L172">
        <v>1</v>
      </c>
      <c r="M172">
        <v>7</v>
      </c>
      <c r="N172">
        <v>5</v>
      </c>
      <c r="O172">
        <v>1</v>
      </c>
      <c r="P172">
        <v>3</v>
      </c>
      <c r="Q172">
        <v>3</v>
      </c>
      <c r="R172">
        <v>1</v>
      </c>
      <c r="S172">
        <v>8</v>
      </c>
      <c r="T172">
        <v>0</v>
      </c>
      <c r="U172">
        <v>1</v>
      </c>
      <c r="V172">
        <v>8</v>
      </c>
      <c r="W172">
        <v>0</v>
      </c>
      <c r="X172">
        <v>0</v>
      </c>
      <c r="Y172">
        <v>62</v>
      </c>
      <c r="Z172">
        <v>2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 x14ac:dyDescent="0.3">
      <c r="A173" t="s">
        <v>248</v>
      </c>
      <c r="B173" t="s">
        <v>259</v>
      </c>
      <c r="C173" t="s">
        <v>200</v>
      </c>
      <c r="D173" s="1">
        <v>6814</v>
      </c>
      <c r="E173" s="1">
        <v>2805</v>
      </c>
      <c r="F173">
        <v>174</v>
      </c>
      <c r="G173">
        <v>447</v>
      </c>
      <c r="H173">
        <v>359</v>
      </c>
      <c r="I173">
        <v>463</v>
      </c>
      <c r="J173">
        <v>408</v>
      </c>
      <c r="K173">
        <v>230</v>
      </c>
      <c r="L173">
        <v>162</v>
      </c>
      <c r="M173">
        <v>250</v>
      </c>
      <c r="N173">
        <v>137</v>
      </c>
      <c r="O173">
        <v>136</v>
      </c>
      <c r="P173">
        <v>81</v>
      </c>
      <c r="Q173">
        <v>305</v>
      </c>
      <c r="R173">
        <v>59</v>
      </c>
      <c r="S173">
        <v>71</v>
      </c>
      <c r="T173">
        <v>25</v>
      </c>
      <c r="U173">
        <v>54</v>
      </c>
      <c r="V173">
        <v>217</v>
      </c>
      <c r="W173">
        <v>19</v>
      </c>
      <c r="X173">
        <v>125</v>
      </c>
      <c r="Y173">
        <v>21</v>
      </c>
      <c r="Z173">
        <v>6</v>
      </c>
      <c r="AA173">
        <v>9</v>
      </c>
      <c r="AB173">
        <v>14</v>
      </c>
      <c r="AC173">
        <v>20</v>
      </c>
      <c r="AD173">
        <v>33</v>
      </c>
      <c r="AE173">
        <v>5</v>
      </c>
      <c r="AF173">
        <v>11</v>
      </c>
      <c r="AG173">
        <v>10</v>
      </c>
      <c r="AH173">
        <v>5</v>
      </c>
      <c r="AI173">
        <v>4</v>
      </c>
      <c r="AJ173">
        <v>0</v>
      </c>
      <c r="AK173">
        <v>9</v>
      </c>
      <c r="AL173">
        <v>2</v>
      </c>
      <c r="AM173">
        <v>1</v>
      </c>
      <c r="AN173">
        <v>7</v>
      </c>
      <c r="AO173">
        <v>0</v>
      </c>
      <c r="AP173">
        <v>30</v>
      </c>
      <c r="AQ173">
        <v>1</v>
      </c>
      <c r="AR173">
        <v>5</v>
      </c>
      <c r="AS173">
        <v>3</v>
      </c>
      <c r="AT173">
        <v>2</v>
      </c>
      <c r="AU173">
        <v>25</v>
      </c>
      <c r="AV173">
        <v>2</v>
      </c>
      <c r="AW173">
        <v>6</v>
      </c>
      <c r="AX173">
        <v>1</v>
      </c>
      <c r="AY173">
        <v>3</v>
      </c>
      <c r="AZ173">
        <v>0</v>
      </c>
      <c r="BA173">
        <v>1</v>
      </c>
      <c r="BB173">
        <v>0</v>
      </c>
      <c r="BC173">
        <v>0</v>
      </c>
      <c r="BD173">
        <v>0</v>
      </c>
      <c r="BE173">
        <v>3</v>
      </c>
      <c r="BF173">
        <v>5</v>
      </c>
      <c r="BG173">
        <v>4</v>
      </c>
      <c r="BH173">
        <v>2</v>
      </c>
      <c r="BI173">
        <v>0</v>
      </c>
      <c r="BJ173">
        <v>0</v>
      </c>
      <c r="BK173">
        <v>0</v>
      </c>
      <c r="BL173">
        <v>1</v>
      </c>
      <c r="BM173">
        <v>1</v>
      </c>
      <c r="BN173">
        <v>4</v>
      </c>
      <c r="BO173">
        <v>0</v>
      </c>
      <c r="BP173">
        <v>0</v>
      </c>
      <c r="BQ173">
        <v>1</v>
      </c>
      <c r="BR173">
        <v>1</v>
      </c>
      <c r="BS173">
        <v>2</v>
      </c>
      <c r="BT173">
        <v>1</v>
      </c>
      <c r="BU173">
        <v>1</v>
      </c>
      <c r="BV173">
        <v>4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7</v>
      </c>
      <c r="CF173">
        <v>0</v>
      </c>
      <c r="CG173">
        <v>0</v>
      </c>
      <c r="CH173">
        <v>0</v>
      </c>
      <c r="CI173">
        <v>1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1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1</v>
      </c>
      <c r="DM173">
        <v>1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1</v>
      </c>
      <c r="EO173">
        <v>0</v>
      </c>
      <c r="EP173">
        <v>0</v>
      </c>
      <c r="EQ173">
        <v>1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2</v>
      </c>
    </row>
    <row r="174" spans="1:201" x14ac:dyDescent="0.3">
      <c r="A174" t="s">
        <v>248</v>
      </c>
      <c r="B174" t="s">
        <v>259</v>
      </c>
      <c r="C174" t="s">
        <v>203</v>
      </c>
      <c r="D174" s="1">
        <v>4154</v>
      </c>
      <c r="E174" s="1">
        <v>1616</v>
      </c>
      <c r="F174">
        <v>95</v>
      </c>
      <c r="G174">
        <v>167</v>
      </c>
      <c r="H174">
        <v>282</v>
      </c>
      <c r="I174">
        <v>384</v>
      </c>
      <c r="J174">
        <v>209</v>
      </c>
      <c r="K174">
        <v>187</v>
      </c>
      <c r="L174">
        <v>151</v>
      </c>
      <c r="M174">
        <v>160</v>
      </c>
      <c r="N174">
        <v>61</v>
      </c>
      <c r="O174">
        <v>74</v>
      </c>
      <c r="P174">
        <v>49</v>
      </c>
      <c r="Q174">
        <v>260</v>
      </c>
      <c r="R174">
        <v>37</v>
      </c>
      <c r="S174">
        <v>7</v>
      </c>
      <c r="T174">
        <v>11</v>
      </c>
      <c r="U174">
        <v>25</v>
      </c>
      <c r="V174">
        <v>178</v>
      </c>
      <c r="W174">
        <v>7</v>
      </c>
      <c r="X174">
        <v>69</v>
      </c>
      <c r="Y174">
        <v>5</v>
      </c>
      <c r="Z174">
        <v>3</v>
      </c>
      <c r="AA174">
        <v>5</v>
      </c>
      <c r="AB174">
        <v>3</v>
      </c>
      <c r="AC174">
        <v>12</v>
      </c>
      <c r="AD174">
        <v>9</v>
      </c>
      <c r="AE174">
        <v>4</v>
      </c>
      <c r="AF174">
        <v>7</v>
      </c>
      <c r="AG174">
        <v>8</v>
      </c>
      <c r="AH174">
        <v>3</v>
      </c>
      <c r="AI174">
        <v>4</v>
      </c>
      <c r="AJ174">
        <v>0</v>
      </c>
      <c r="AK174">
        <v>7</v>
      </c>
      <c r="AL174">
        <v>1</v>
      </c>
      <c r="AM174">
        <v>0</v>
      </c>
      <c r="AN174">
        <v>2</v>
      </c>
      <c r="AO174">
        <v>0</v>
      </c>
      <c r="AP174">
        <v>16</v>
      </c>
      <c r="AQ174">
        <v>1</v>
      </c>
      <c r="AR174">
        <v>4</v>
      </c>
      <c r="AS174">
        <v>0</v>
      </c>
      <c r="AT174">
        <v>1</v>
      </c>
      <c r="AU174">
        <v>12</v>
      </c>
      <c r="AV174">
        <v>1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4</v>
      </c>
      <c r="BG174">
        <v>2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2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1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1</v>
      </c>
    </row>
    <row r="175" spans="1:201" x14ac:dyDescent="0.3">
      <c r="A175" t="s">
        <v>248</v>
      </c>
      <c r="B175" t="s">
        <v>259</v>
      </c>
      <c r="C175" t="s">
        <v>204</v>
      </c>
      <c r="D175" s="1">
        <v>2660</v>
      </c>
      <c r="E175" s="1">
        <v>1189</v>
      </c>
      <c r="F175">
        <v>79</v>
      </c>
      <c r="G175">
        <v>280</v>
      </c>
      <c r="H175">
        <v>77</v>
      </c>
      <c r="I175">
        <v>79</v>
      </c>
      <c r="J175">
        <v>199</v>
      </c>
      <c r="K175">
        <v>43</v>
      </c>
      <c r="L175">
        <v>11</v>
      </c>
      <c r="M175">
        <v>90</v>
      </c>
      <c r="N175">
        <v>76</v>
      </c>
      <c r="O175">
        <v>62</v>
      </c>
      <c r="P175">
        <v>32</v>
      </c>
      <c r="Q175">
        <v>45</v>
      </c>
      <c r="R175">
        <v>22</v>
      </c>
      <c r="S175">
        <v>64</v>
      </c>
      <c r="T175">
        <v>14</v>
      </c>
      <c r="U175">
        <v>29</v>
      </c>
      <c r="V175">
        <v>39</v>
      </c>
      <c r="W175">
        <v>12</v>
      </c>
      <c r="X175">
        <v>56</v>
      </c>
      <c r="Y175">
        <v>16</v>
      </c>
      <c r="Z175">
        <v>3</v>
      </c>
      <c r="AA175">
        <v>4</v>
      </c>
      <c r="AB175">
        <v>11</v>
      </c>
      <c r="AC175">
        <v>8</v>
      </c>
      <c r="AD175">
        <v>24</v>
      </c>
      <c r="AE175">
        <v>1</v>
      </c>
      <c r="AF175">
        <v>4</v>
      </c>
      <c r="AG175">
        <v>2</v>
      </c>
      <c r="AH175">
        <v>2</v>
      </c>
      <c r="AI175">
        <v>0</v>
      </c>
      <c r="AJ175">
        <v>0</v>
      </c>
      <c r="AK175">
        <v>2</v>
      </c>
      <c r="AL175">
        <v>1</v>
      </c>
      <c r="AM175">
        <v>1</v>
      </c>
      <c r="AN175">
        <v>5</v>
      </c>
      <c r="AO175">
        <v>0</v>
      </c>
      <c r="AP175">
        <v>14</v>
      </c>
      <c r="AQ175">
        <v>0</v>
      </c>
      <c r="AR175">
        <v>1</v>
      </c>
      <c r="AS175">
        <v>3</v>
      </c>
      <c r="AT175">
        <v>1</v>
      </c>
      <c r="AU175">
        <v>13</v>
      </c>
      <c r="AV175">
        <v>1</v>
      </c>
      <c r="AW175">
        <v>5</v>
      </c>
      <c r="AX175">
        <v>1</v>
      </c>
      <c r="AY175">
        <v>3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2</v>
      </c>
      <c r="BF175">
        <v>1</v>
      </c>
      <c r="BG175">
        <v>2</v>
      </c>
      <c r="BH175">
        <v>2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4</v>
      </c>
      <c r="BO175">
        <v>0</v>
      </c>
      <c r="BP175">
        <v>0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3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5</v>
      </c>
      <c r="CF175">
        <v>0</v>
      </c>
      <c r="CG175">
        <v>0</v>
      </c>
      <c r="CH175">
        <v>0</v>
      </c>
      <c r="CI175">
        <v>1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1</v>
      </c>
      <c r="DN175">
        <v>0</v>
      </c>
      <c r="DO175">
        <v>1</v>
      </c>
      <c r="DP175">
        <v>1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1</v>
      </c>
      <c r="EO175">
        <v>0</v>
      </c>
      <c r="EP175">
        <v>0</v>
      </c>
      <c r="EQ175">
        <v>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1</v>
      </c>
    </row>
    <row r="176" spans="1:201" x14ac:dyDescent="0.3">
      <c r="A176" t="s">
        <v>248</v>
      </c>
      <c r="B176" t="s">
        <v>260</v>
      </c>
      <c r="C176" t="s">
        <v>200</v>
      </c>
      <c r="D176" s="1">
        <v>3621</v>
      </c>
      <c r="E176">
        <v>588</v>
      </c>
      <c r="F176">
        <v>59</v>
      </c>
      <c r="G176">
        <v>67</v>
      </c>
      <c r="H176">
        <v>451</v>
      </c>
      <c r="I176">
        <v>266</v>
      </c>
      <c r="J176">
        <v>413</v>
      </c>
      <c r="K176">
        <v>201</v>
      </c>
      <c r="L176">
        <v>269</v>
      </c>
      <c r="M176">
        <v>107</v>
      </c>
      <c r="N176">
        <v>62</v>
      </c>
      <c r="O176">
        <v>28</v>
      </c>
      <c r="P176">
        <v>6</v>
      </c>
      <c r="Q176">
        <v>214</v>
      </c>
      <c r="R176">
        <v>106</v>
      </c>
      <c r="S176">
        <v>9</v>
      </c>
      <c r="T176">
        <v>149</v>
      </c>
      <c r="U176">
        <v>132</v>
      </c>
      <c r="V176">
        <v>11</v>
      </c>
      <c r="W176">
        <v>1</v>
      </c>
      <c r="X176">
        <v>0</v>
      </c>
      <c r="Y176">
        <v>258</v>
      </c>
      <c r="Z176">
        <v>47</v>
      </c>
      <c r="AA176">
        <v>0</v>
      </c>
      <c r="AB176">
        <v>134</v>
      </c>
      <c r="AC176">
        <v>1</v>
      </c>
      <c r="AD176">
        <v>6</v>
      </c>
      <c r="AE176">
        <v>8</v>
      </c>
      <c r="AF176">
        <v>1</v>
      </c>
      <c r="AG176">
        <v>1</v>
      </c>
      <c r="AH176">
        <v>0</v>
      </c>
      <c r="AI176">
        <v>2</v>
      </c>
      <c r="AJ176">
        <v>4</v>
      </c>
      <c r="AK176">
        <v>0</v>
      </c>
      <c r="AL176">
        <v>9</v>
      </c>
      <c r="AM176">
        <v>0</v>
      </c>
      <c r="AN176">
        <v>0</v>
      </c>
      <c r="AO176">
        <v>1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1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3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 x14ac:dyDescent="0.3">
      <c r="A177" t="s">
        <v>248</v>
      </c>
      <c r="B177" t="s">
        <v>260</v>
      </c>
      <c r="C177" t="s">
        <v>203</v>
      </c>
      <c r="D177" s="1">
        <v>2611</v>
      </c>
      <c r="E177">
        <v>328</v>
      </c>
      <c r="F177">
        <v>36</v>
      </c>
      <c r="G177">
        <v>25</v>
      </c>
      <c r="H177">
        <v>381</v>
      </c>
      <c r="I177">
        <v>191</v>
      </c>
      <c r="J177">
        <v>292</v>
      </c>
      <c r="K177">
        <v>188</v>
      </c>
      <c r="L177">
        <v>260</v>
      </c>
      <c r="M177">
        <v>71</v>
      </c>
      <c r="N177">
        <v>45</v>
      </c>
      <c r="O177">
        <v>19</v>
      </c>
      <c r="P177">
        <v>3</v>
      </c>
      <c r="Q177">
        <v>201</v>
      </c>
      <c r="R177">
        <v>98</v>
      </c>
      <c r="S177">
        <v>2</v>
      </c>
      <c r="T177">
        <v>96</v>
      </c>
      <c r="U177">
        <v>80</v>
      </c>
      <c r="V177">
        <v>10</v>
      </c>
      <c r="W177">
        <v>1</v>
      </c>
      <c r="X177">
        <v>0</v>
      </c>
      <c r="Y177">
        <v>144</v>
      </c>
      <c r="Z177">
        <v>30</v>
      </c>
      <c r="AA177">
        <v>0</v>
      </c>
      <c r="AB177">
        <v>82</v>
      </c>
      <c r="AC177">
        <v>1</v>
      </c>
      <c r="AD177">
        <v>0</v>
      </c>
      <c r="AE177">
        <v>8</v>
      </c>
      <c r="AF177">
        <v>1</v>
      </c>
      <c r="AG177">
        <v>0</v>
      </c>
      <c r="AH177">
        <v>0</v>
      </c>
      <c r="AI177">
        <v>2</v>
      </c>
      <c r="AJ177">
        <v>3</v>
      </c>
      <c r="AK177">
        <v>0</v>
      </c>
      <c r="AL177">
        <v>6</v>
      </c>
      <c r="AM177">
        <v>0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2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 x14ac:dyDescent="0.3">
      <c r="A178" t="s">
        <v>248</v>
      </c>
      <c r="B178" t="s">
        <v>260</v>
      </c>
      <c r="C178" t="s">
        <v>204</v>
      </c>
      <c r="D178" s="1">
        <v>1010</v>
      </c>
      <c r="E178">
        <v>260</v>
      </c>
      <c r="F178">
        <v>23</v>
      </c>
      <c r="G178">
        <v>42</v>
      </c>
      <c r="H178">
        <v>70</v>
      </c>
      <c r="I178">
        <v>75</v>
      </c>
      <c r="J178">
        <v>121</v>
      </c>
      <c r="K178">
        <v>13</v>
      </c>
      <c r="L178">
        <v>9</v>
      </c>
      <c r="M178">
        <v>36</v>
      </c>
      <c r="N178">
        <v>17</v>
      </c>
      <c r="O178">
        <v>9</v>
      </c>
      <c r="P178">
        <v>3</v>
      </c>
      <c r="Q178">
        <v>13</v>
      </c>
      <c r="R178">
        <v>8</v>
      </c>
      <c r="S178">
        <v>7</v>
      </c>
      <c r="T178">
        <v>53</v>
      </c>
      <c r="U178">
        <v>52</v>
      </c>
      <c r="V178">
        <v>1</v>
      </c>
      <c r="W178">
        <v>0</v>
      </c>
      <c r="X178">
        <v>0</v>
      </c>
      <c r="Y178">
        <v>114</v>
      </c>
      <c r="Z178">
        <v>17</v>
      </c>
      <c r="AA178">
        <v>0</v>
      </c>
      <c r="AB178">
        <v>52</v>
      </c>
      <c r="AC178">
        <v>0</v>
      </c>
      <c r="AD178">
        <v>6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0</v>
      </c>
      <c r="AL178">
        <v>3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 x14ac:dyDescent="0.3">
      <c r="A179" t="s">
        <v>248</v>
      </c>
      <c r="B179" t="s">
        <v>261</v>
      </c>
      <c r="C179" t="s">
        <v>200</v>
      </c>
      <c r="D179" s="1">
        <v>2750</v>
      </c>
      <c r="E179">
        <v>613</v>
      </c>
      <c r="F179">
        <v>125</v>
      </c>
      <c r="G179">
        <v>792</v>
      </c>
      <c r="H179">
        <v>79</v>
      </c>
      <c r="I179">
        <v>93</v>
      </c>
      <c r="J179">
        <v>144</v>
      </c>
      <c r="K179">
        <v>263</v>
      </c>
      <c r="L179">
        <v>48</v>
      </c>
      <c r="M179">
        <v>55</v>
      </c>
      <c r="N179">
        <v>64</v>
      </c>
      <c r="O179">
        <v>51</v>
      </c>
      <c r="P179">
        <v>35</v>
      </c>
      <c r="Q179">
        <v>58</v>
      </c>
      <c r="R179">
        <v>59</v>
      </c>
      <c r="S179">
        <v>51</v>
      </c>
      <c r="T179">
        <v>10</v>
      </c>
      <c r="U179">
        <v>8</v>
      </c>
      <c r="V179">
        <v>75</v>
      </c>
      <c r="W179">
        <v>21</v>
      </c>
      <c r="X179">
        <v>6</v>
      </c>
      <c r="Y179">
        <v>2</v>
      </c>
      <c r="Z179">
        <v>4</v>
      </c>
      <c r="AA179">
        <v>2</v>
      </c>
      <c r="AB179">
        <v>0</v>
      </c>
      <c r="AC179">
        <v>5</v>
      </c>
      <c r="AD179">
        <v>19</v>
      </c>
      <c r="AE179">
        <v>47</v>
      </c>
      <c r="AF179">
        <v>5</v>
      </c>
      <c r="AG179">
        <v>0</v>
      </c>
      <c r="AH179">
        <v>3</v>
      </c>
      <c r="AI179">
        <v>1</v>
      </c>
      <c r="AJ179">
        <v>0</v>
      </c>
      <c r="AK179">
        <v>0</v>
      </c>
      <c r="AL179">
        <v>1</v>
      </c>
      <c r="AM179">
        <v>1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 x14ac:dyDescent="0.3">
      <c r="A180" t="s">
        <v>248</v>
      </c>
      <c r="B180" t="s">
        <v>261</v>
      </c>
      <c r="C180" t="s">
        <v>203</v>
      </c>
      <c r="D180" s="1">
        <v>1748</v>
      </c>
      <c r="E180">
        <v>332</v>
      </c>
      <c r="F180">
        <v>75</v>
      </c>
      <c r="G180">
        <v>436</v>
      </c>
      <c r="H180">
        <v>66</v>
      </c>
      <c r="I180">
        <v>75</v>
      </c>
      <c r="J180">
        <v>93</v>
      </c>
      <c r="K180">
        <v>256</v>
      </c>
      <c r="L180">
        <v>46</v>
      </c>
      <c r="M180">
        <v>14</v>
      </c>
      <c r="N180">
        <v>32</v>
      </c>
      <c r="O180">
        <v>30</v>
      </c>
      <c r="P180">
        <v>21</v>
      </c>
      <c r="Q180">
        <v>53</v>
      </c>
      <c r="R180">
        <v>50</v>
      </c>
      <c r="S180">
        <v>10</v>
      </c>
      <c r="T180">
        <v>2</v>
      </c>
      <c r="U180">
        <v>2</v>
      </c>
      <c r="V180">
        <v>66</v>
      </c>
      <c r="W180">
        <v>11</v>
      </c>
      <c r="X180">
        <v>6</v>
      </c>
      <c r="Y180">
        <v>0</v>
      </c>
      <c r="Z180">
        <v>4</v>
      </c>
      <c r="AA180">
        <v>1</v>
      </c>
      <c r="AB180">
        <v>0</v>
      </c>
      <c r="AC180">
        <v>5</v>
      </c>
      <c r="AD180">
        <v>4</v>
      </c>
      <c r="AE180">
        <v>47</v>
      </c>
      <c r="AF180">
        <v>3</v>
      </c>
      <c r="AG180">
        <v>0</v>
      </c>
      <c r="AH180">
        <v>3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 x14ac:dyDescent="0.3">
      <c r="A181" t="s">
        <v>248</v>
      </c>
      <c r="B181" t="s">
        <v>261</v>
      </c>
      <c r="C181" t="s">
        <v>204</v>
      </c>
      <c r="D181" s="1">
        <v>1002</v>
      </c>
      <c r="E181">
        <v>281</v>
      </c>
      <c r="F181">
        <v>50</v>
      </c>
      <c r="G181">
        <v>356</v>
      </c>
      <c r="H181">
        <v>13</v>
      </c>
      <c r="I181">
        <v>18</v>
      </c>
      <c r="J181">
        <v>51</v>
      </c>
      <c r="K181">
        <v>7</v>
      </c>
      <c r="L181">
        <v>2</v>
      </c>
      <c r="M181">
        <v>41</v>
      </c>
      <c r="N181">
        <v>32</v>
      </c>
      <c r="O181">
        <v>21</v>
      </c>
      <c r="P181">
        <v>14</v>
      </c>
      <c r="Q181">
        <v>5</v>
      </c>
      <c r="R181">
        <v>9</v>
      </c>
      <c r="S181">
        <v>41</v>
      </c>
      <c r="T181">
        <v>8</v>
      </c>
      <c r="U181">
        <v>6</v>
      </c>
      <c r="V181">
        <v>9</v>
      </c>
      <c r="W181">
        <v>10</v>
      </c>
      <c r="X181">
        <v>0</v>
      </c>
      <c r="Y181">
        <v>2</v>
      </c>
      <c r="Z181">
        <v>0</v>
      </c>
      <c r="AA181">
        <v>1</v>
      </c>
      <c r="AB181">
        <v>0</v>
      </c>
      <c r="AC181">
        <v>0</v>
      </c>
      <c r="AD181">
        <v>15</v>
      </c>
      <c r="AE181">
        <v>0</v>
      </c>
      <c r="AF181">
        <v>2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 x14ac:dyDescent="0.3">
      <c r="A182" t="s">
        <v>248</v>
      </c>
      <c r="B182" t="s">
        <v>262</v>
      </c>
      <c r="C182" t="s">
        <v>200</v>
      </c>
      <c r="D182" s="1">
        <v>2921</v>
      </c>
      <c r="E182" s="1">
        <v>1119</v>
      </c>
      <c r="F182">
        <v>257</v>
      </c>
      <c r="G182">
        <v>294</v>
      </c>
      <c r="H182">
        <v>102</v>
      </c>
      <c r="I182">
        <v>150</v>
      </c>
      <c r="J182">
        <v>77</v>
      </c>
      <c r="K182">
        <v>93</v>
      </c>
      <c r="L182">
        <v>30</v>
      </c>
      <c r="M182">
        <v>135</v>
      </c>
      <c r="N182">
        <v>58</v>
      </c>
      <c r="O182">
        <v>206</v>
      </c>
      <c r="P182">
        <v>4</v>
      </c>
      <c r="Q182">
        <v>105</v>
      </c>
      <c r="R182">
        <v>102</v>
      </c>
      <c r="S182">
        <v>35</v>
      </c>
      <c r="T182">
        <v>3</v>
      </c>
      <c r="U182">
        <v>19</v>
      </c>
      <c r="V182">
        <v>73</v>
      </c>
      <c r="W182">
        <v>12</v>
      </c>
      <c r="X182">
        <v>3</v>
      </c>
      <c r="Y182">
        <v>3</v>
      </c>
      <c r="Z182">
        <v>6</v>
      </c>
      <c r="AA182">
        <v>1</v>
      </c>
      <c r="AB182">
        <v>0</v>
      </c>
      <c r="AC182">
        <v>1</v>
      </c>
      <c r="AD182">
        <v>11</v>
      </c>
      <c r="AE182">
        <v>0</v>
      </c>
      <c r="AF182">
        <v>1</v>
      </c>
      <c r="AG182">
        <v>2</v>
      </c>
      <c r="AH182">
        <v>2</v>
      </c>
      <c r="AI182">
        <v>1</v>
      </c>
      <c r="AJ182">
        <v>0</v>
      </c>
      <c r="AK182">
        <v>0</v>
      </c>
      <c r="AL182">
        <v>3</v>
      </c>
      <c r="AM182">
        <v>1</v>
      </c>
      <c r="AN182">
        <v>0</v>
      </c>
      <c r="AO182">
        <v>0</v>
      </c>
      <c r="AP182">
        <v>9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2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 x14ac:dyDescent="0.3">
      <c r="A183" t="s">
        <v>248</v>
      </c>
      <c r="B183" t="s">
        <v>262</v>
      </c>
      <c r="C183" t="s">
        <v>203</v>
      </c>
      <c r="D183" s="1">
        <v>1742</v>
      </c>
      <c r="E183">
        <v>601</v>
      </c>
      <c r="F183">
        <v>159</v>
      </c>
      <c r="G183">
        <v>109</v>
      </c>
      <c r="H183">
        <v>82</v>
      </c>
      <c r="I183">
        <v>118</v>
      </c>
      <c r="J183">
        <v>56</v>
      </c>
      <c r="K183">
        <v>83</v>
      </c>
      <c r="L183">
        <v>25</v>
      </c>
      <c r="M183">
        <v>91</v>
      </c>
      <c r="N183">
        <v>35</v>
      </c>
      <c r="O183">
        <v>110</v>
      </c>
      <c r="P183">
        <v>3</v>
      </c>
      <c r="Q183">
        <v>84</v>
      </c>
      <c r="R183">
        <v>82</v>
      </c>
      <c r="S183">
        <v>2</v>
      </c>
      <c r="T183">
        <v>2</v>
      </c>
      <c r="U183">
        <v>10</v>
      </c>
      <c r="V183">
        <v>59</v>
      </c>
      <c r="W183">
        <v>8</v>
      </c>
      <c r="X183">
        <v>1</v>
      </c>
      <c r="Y183">
        <v>1</v>
      </c>
      <c r="Z183">
        <v>5</v>
      </c>
      <c r="AA183">
        <v>1</v>
      </c>
      <c r="AB183">
        <v>0</v>
      </c>
      <c r="AC183">
        <v>0</v>
      </c>
      <c r="AD183">
        <v>2</v>
      </c>
      <c r="AE183">
        <v>0</v>
      </c>
      <c r="AF183">
        <v>1</v>
      </c>
      <c r="AG183">
        <v>1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8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 x14ac:dyDescent="0.3">
      <c r="A184" t="s">
        <v>248</v>
      </c>
      <c r="B184" t="s">
        <v>262</v>
      </c>
      <c r="C184" t="s">
        <v>204</v>
      </c>
      <c r="D184" s="1">
        <v>1179</v>
      </c>
      <c r="E184">
        <v>518</v>
      </c>
      <c r="F184">
        <v>98</v>
      </c>
      <c r="G184">
        <v>185</v>
      </c>
      <c r="H184">
        <v>20</v>
      </c>
      <c r="I184">
        <v>32</v>
      </c>
      <c r="J184">
        <v>21</v>
      </c>
      <c r="K184">
        <v>10</v>
      </c>
      <c r="L184">
        <v>5</v>
      </c>
      <c r="M184">
        <v>44</v>
      </c>
      <c r="N184">
        <v>23</v>
      </c>
      <c r="O184">
        <v>96</v>
      </c>
      <c r="P184">
        <v>1</v>
      </c>
      <c r="Q184">
        <v>21</v>
      </c>
      <c r="R184">
        <v>20</v>
      </c>
      <c r="S184">
        <v>33</v>
      </c>
      <c r="T184">
        <v>1</v>
      </c>
      <c r="U184">
        <v>9</v>
      </c>
      <c r="V184">
        <v>14</v>
      </c>
      <c r="W184">
        <v>4</v>
      </c>
      <c r="X184">
        <v>2</v>
      </c>
      <c r="Y184">
        <v>2</v>
      </c>
      <c r="Z184">
        <v>1</v>
      </c>
      <c r="AA184">
        <v>0</v>
      </c>
      <c r="AB184">
        <v>0</v>
      </c>
      <c r="AC184">
        <v>1</v>
      </c>
      <c r="AD184">
        <v>9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0</v>
      </c>
      <c r="AL184">
        <v>3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2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 x14ac:dyDescent="0.3">
      <c r="A185" t="s">
        <v>248</v>
      </c>
      <c r="B185" t="s">
        <v>263</v>
      </c>
      <c r="C185" t="s">
        <v>200</v>
      </c>
      <c r="D185" s="1">
        <v>4777</v>
      </c>
      <c r="E185" s="1">
        <v>1374</v>
      </c>
      <c r="F185">
        <v>399</v>
      </c>
      <c r="G185">
        <v>370</v>
      </c>
      <c r="H185">
        <v>180</v>
      </c>
      <c r="I185">
        <v>216</v>
      </c>
      <c r="J185">
        <v>163</v>
      </c>
      <c r="K185">
        <v>383</v>
      </c>
      <c r="L185">
        <v>94</v>
      </c>
      <c r="M185">
        <v>312</v>
      </c>
      <c r="N185">
        <v>102</v>
      </c>
      <c r="O185">
        <v>17</v>
      </c>
      <c r="P185">
        <v>61</v>
      </c>
      <c r="Q185">
        <v>87</v>
      </c>
      <c r="R185">
        <v>256</v>
      </c>
      <c r="S185">
        <v>162</v>
      </c>
      <c r="T185">
        <v>34</v>
      </c>
      <c r="U185">
        <v>141</v>
      </c>
      <c r="V185">
        <v>101</v>
      </c>
      <c r="W185">
        <v>18</v>
      </c>
      <c r="X185">
        <v>126</v>
      </c>
      <c r="Y185">
        <v>6</v>
      </c>
      <c r="Z185">
        <v>12</v>
      </c>
      <c r="AA185">
        <v>3</v>
      </c>
      <c r="AB185">
        <v>3</v>
      </c>
      <c r="AC185">
        <v>15</v>
      </c>
      <c r="AD185">
        <v>28</v>
      </c>
      <c r="AE185">
        <v>1</v>
      </c>
      <c r="AF185">
        <v>16</v>
      </c>
      <c r="AG185">
        <v>12</v>
      </c>
      <c r="AH185">
        <v>8</v>
      </c>
      <c r="AI185">
        <v>14</v>
      </c>
      <c r="AJ185">
        <v>2</v>
      </c>
      <c r="AK185">
        <v>2</v>
      </c>
      <c r="AL185">
        <v>3</v>
      </c>
      <c r="AM185">
        <v>1</v>
      </c>
      <c r="AN185">
        <v>13</v>
      </c>
      <c r="AO185">
        <v>3</v>
      </c>
      <c r="AP185">
        <v>0</v>
      </c>
      <c r="AQ185">
        <v>0</v>
      </c>
      <c r="AR185">
        <v>0</v>
      </c>
      <c r="AS185">
        <v>7</v>
      </c>
      <c r="AT185">
        <v>0</v>
      </c>
      <c r="AU185">
        <v>5</v>
      </c>
      <c r="AV185">
        <v>0</v>
      </c>
      <c r="AW185">
        <v>1</v>
      </c>
      <c r="AX185">
        <v>0</v>
      </c>
      <c r="AY185">
        <v>2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3</v>
      </c>
      <c r="BI185">
        <v>0</v>
      </c>
      <c r="BJ185">
        <v>2</v>
      </c>
      <c r="BK185">
        <v>1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1</v>
      </c>
      <c r="BR185">
        <v>0</v>
      </c>
      <c r="BS185">
        <v>1</v>
      </c>
      <c r="BT185">
        <v>0</v>
      </c>
      <c r="BU185">
        <v>1</v>
      </c>
      <c r="BV185">
        <v>2</v>
      </c>
      <c r="BW185">
        <v>0</v>
      </c>
      <c r="BX185">
        <v>2</v>
      </c>
      <c r="BY185">
        <v>0</v>
      </c>
      <c r="BZ185">
        <v>1</v>
      </c>
      <c r="CA185">
        <v>0</v>
      </c>
      <c r="CB185">
        <v>0</v>
      </c>
      <c r="CC185">
        <v>0</v>
      </c>
      <c r="CD185">
        <v>1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0</v>
      </c>
      <c r="DP185">
        <v>0</v>
      </c>
      <c r="DQ185">
        <v>1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1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 x14ac:dyDescent="0.3">
      <c r="A186" t="s">
        <v>248</v>
      </c>
      <c r="B186" t="s">
        <v>263</v>
      </c>
      <c r="C186" t="s">
        <v>203</v>
      </c>
      <c r="D186" s="1">
        <v>3263</v>
      </c>
      <c r="E186">
        <v>926</v>
      </c>
      <c r="F186">
        <v>247</v>
      </c>
      <c r="G186">
        <v>158</v>
      </c>
      <c r="H186">
        <v>163</v>
      </c>
      <c r="I186">
        <v>154</v>
      </c>
      <c r="J186">
        <v>142</v>
      </c>
      <c r="K186">
        <v>368</v>
      </c>
      <c r="L186">
        <v>89</v>
      </c>
      <c r="M186">
        <v>218</v>
      </c>
      <c r="N186">
        <v>58</v>
      </c>
      <c r="O186">
        <v>8</v>
      </c>
      <c r="P186">
        <v>31</v>
      </c>
      <c r="Q186">
        <v>76</v>
      </c>
      <c r="R186">
        <v>213</v>
      </c>
      <c r="S186">
        <v>26</v>
      </c>
      <c r="T186">
        <v>16</v>
      </c>
      <c r="U186">
        <v>64</v>
      </c>
      <c r="V186">
        <v>83</v>
      </c>
      <c r="W186">
        <v>9</v>
      </c>
      <c r="X186">
        <v>113</v>
      </c>
      <c r="Y186">
        <v>3</v>
      </c>
      <c r="Z186">
        <v>6</v>
      </c>
      <c r="AA186">
        <v>2</v>
      </c>
      <c r="AB186">
        <v>2</v>
      </c>
      <c r="AC186">
        <v>11</v>
      </c>
      <c r="AD186">
        <v>8</v>
      </c>
      <c r="AE186">
        <v>1</v>
      </c>
      <c r="AF186">
        <v>11</v>
      </c>
      <c r="AG186">
        <v>7</v>
      </c>
      <c r="AH186">
        <v>6</v>
      </c>
      <c r="AI186">
        <v>11</v>
      </c>
      <c r="AJ186">
        <v>0</v>
      </c>
      <c r="AK186">
        <v>2</v>
      </c>
      <c r="AL186">
        <v>0</v>
      </c>
      <c r="AM186">
        <v>1</v>
      </c>
      <c r="AN186">
        <v>10</v>
      </c>
      <c r="AO186">
        <v>3</v>
      </c>
      <c r="AP186">
        <v>0</v>
      </c>
      <c r="AQ186">
        <v>0</v>
      </c>
      <c r="AR186">
        <v>0</v>
      </c>
      <c r="AS186">
        <v>2</v>
      </c>
      <c r="AT186">
        <v>0</v>
      </c>
      <c r="AU186">
        <v>3</v>
      </c>
      <c r="AV186">
        <v>0</v>
      </c>
      <c r="AW186">
        <v>1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0</v>
      </c>
      <c r="BU186">
        <v>0</v>
      </c>
      <c r="BV186">
        <v>1</v>
      </c>
      <c r="BW186">
        <v>0</v>
      </c>
      <c r="BX186">
        <v>2</v>
      </c>
      <c r="BY186">
        <v>0</v>
      </c>
      <c r="BZ186">
        <v>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 x14ac:dyDescent="0.3">
      <c r="A187" t="s">
        <v>248</v>
      </c>
      <c r="B187" t="s">
        <v>263</v>
      </c>
      <c r="C187" t="s">
        <v>204</v>
      </c>
      <c r="D187" s="1">
        <v>1514</v>
      </c>
      <c r="E187">
        <v>448</v>
      </c>
      <c r="F187">
        <v>152</v>
      </c>
      <c r="G187">
        <v>212</v>
      </c>
      <c r="H187">
        <v>17</v>
      </c>
      <c r="I187">
        <v>62</v>
      </c>
      <c r="J187">
        <v>21</v>
      </c>
      <c r="K187">
        <v>15</v>
      </c>
      <c r="L187">
        <v>5</v>
      </c>
      <c r="M187">
        <v>94</v>
      </c>
      <c r="N187">
        <v>44</v>
      </c>
      <c r="O187">
        <v>9</v>
      </c>
      <c r="P187">
        <v>30</v>
      </c>
      <c r="Q187">
        <v>11</v>
      </c>
      <c r="R187">
        <v>43</v>
      </c>
      <c r="S187">
        <v>136</v>
      </c>
      <c r="T187">
        <v>18</v>
      </c>
      <c r="U187">
        <v>77</v>
      </c>
      <c r="V187">
        <v>18</v>
      </c>
      <c r="W187">
        <v>9</v>
      </c>
      <c r="X187">
        <v>13</v>
      </c>
      <c r="Y187">
        <v>3</v>
      </c>
      <c r="Z187">
        <v>6</v>
      </c>
      <c r="AA187">
        <v>1</v>
      </c>
      <c r="AB187">
        <v>1</v>
      </c>
      <c r="AC187">
        <v>4</v>
      </c>
      <c r="AD187">
        <v>20</v>
      </c>
      <c r="AE187">
        <v>0</v>
      </c>
      <c r="AF187">
        <v>5</v>
      </c>
      <c r="AG187">
        <v>5</v>
      </c>
      <c r="AH187">
        <v>2</v>
      </c>
      <c r="AI187">
        <v>3</v>
      </c>
      <c r="AJ187">
        <v>2</v>
      </c>
      <c r="AK187">
        <v>0</v>
      </c>
      <c r="AL187">
        <v>3</v>
      </c>
      <c r="AM187">
        <v>0</v>
      </c>
      <c r="AN187">
        <v>3</v>
      </c>
      <c r="AO187">
        <v>0</v>
      </c>
      <c r="AP187">
        <v>0</v>
      </c>
      <c r="AQ187">
        <v>0</v>
      </c>
      <c r="AR187">
        <v>0</v>
      </c>
      <c r="AS187">
        <v>5</v>
      </c>
      <c r="AT187">
        <v>0</v>
      </c>
      <c r="AU187">
        <v>2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3</v>
      </c>
      <c r="BI187">
        <v>0</v>
      </c>
      <c r="BJ187">
        <v>1</v>
      </c>
      <c r="BK187">
        <v>1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1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1</v>
      </c>
      <c r="DO187">
        <v>0</v>
      </c>
      <c r="DP187">
        <v>0</v>
      </c>
      <c r="DQ187">
        <v>1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 x14ac:dyDescent="0.3">
      <c r="A188" t="s">
        <v>248</v>
      </c>
      <c r="B188" t="s">
        <v>264</v>
      </c>
      <c r="C188" t="s">
        <v>200</v>
      </c>
      <c r="D188" s="1">
        <v>3904</v>
      </c>
      <c r="E188" s="1">
        <v>1439</v>
      </c>
      <c r="F188">
        <v>383</v>
      </c>
      <c r="G188">
        <v>406</v>
      </c>
      <c r="H188">
        <v>144</v>
      </c>
      <c r="I188">
        <v>144</v>
      </c>
      <c r="J188">
        <v>205</v>
      </c>
      <c r="K188">
        <v>131</v>
      </c>
      <c r="L188">
        <v>44</v>
      </c>
      <c r="M188">
        <v>166</v>
      </c>
      <c r="N188">
        <v>71</v>
      </c>
      <c r="O188">
        <v>103</v>
      </c>
      <c r="P188">
        <v>20</v>
      </c>
      <c r="Q188">
        <v>137</v>
      </c>
      <c r="R188">
        <v>49</v>
      </c>
      <c r="S188">
        <v>97</v>
      </c>
      <c r="T188">
        <v>8</v>
      </c>
      <c r="U188">
        <v>7</v>
      </c>
      <c r="V188">
        <v>191</v>
      </c>
      <c r="W188">
        <v>11</v>
      </c>
      <c r="X188">
        <v>30</v>
      </c>
      <c r="Y188">
        <v>17</v>
      </c>
      <c r="Z188">
        <v>4</v>
      </c>
      <c r="AA188">
        <v>12</v>
      </c>
      <c r="AB188">
        <v>1</v>
      </c>
      <c r="AC188">
        <v>1</v>
      </c>
      <c r="AD188">
        <v>25</v>
      </c>
      <c r="AE188">
        <v>2</v>
      </c>
      <c r="AF188">
        <v>9</v>
      </c>
      <c r="AG188">
        <v>2</v>
      </c>
      <c r="AH188">
        <v>4</v>
      </c>
      <c r="AI188">
        <v>0</v>
      </c>
      <c r="AJ188">
        <v>1</v>
      </c>
      <c r="AK188">
        <v>4</v>
      </c>
      <c r="AL188">
        <v>5</v>
      </c>
      <c r="AM188">
        <v>0</v>
      </c>
      <c r="AN188">
        <v>0</v>
      </c>
      <c r="AO188">
        <v>0</v>
      </c>
      <c r="AP188">
        <v>0</v>
      </c>
      <c r="AQ188">
        <v>4</v>
      </c>
      <c r="AR188">
        <v>3</v>
      </c>
      <c r="AS188">
        <v>1</v>
      </c>
      <c r="AT188">
        <v>2</v>
      </c>
      <c r="AU188">
        <v>5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1</v>
      </c>
      <c r="BG188">
        <v>1</v>
      </c>
      <c r="BH188">
        <v>2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2</v>
      </c>
      <c r="BO188">
        <v>0</v>
      </c>
      <c r="BP188">
        <v>1</v>
      </c>
      <c r="BQ188">
        <v>2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</row>
    <row r="189" spans="1:201" x14ac:dyDescent="0.3">
      <c r="A189" t="s">
        <v>248</v>
      </c>
      <c r="B189" t="s">
        <v>264</v>
      </c>
      <c r="C189" t="s">
        <v>203</v>
      </c>
      <c r="D189" s="1">
        <v>2305</v>
      </c>
      <c r="E189">
        <v>810</v>
      </c>
      <c r="F189">
        <v>218</v>
      </c>
      <c r="G189">
        <v>155</v>
      </c>
      <c r="H189">
        <v>116</v>
      </c>
      <c r="I189">
        <v>110</v>
      </c>
      <c r="J189">
        <v>136</v>
      </c>
      <c r="K189">
        <v>115</v>
      </c>
      <c r="L189">
        <v>40</v>
      </c>
      <c r="M189">
        <v>112</v>
      </c>
      <c r="N189">
        <v>32</v>
      </c>
      <c r="O189">
        <v>53</v>
      </c>
      <c r="P189">
        <v>9</v>
      </c>
      <c r="Q189">
        <v>126</v>
      </c>
      <c r="R189">
        <v>46</v>
      </c>
      <c r="S189">
        <v>4</v>
      </c>
      <c r="T189">
        <v>2</v>
      </c>
      <c r="U189">
        <v>1</v>
      </c>
      <c r="V189">
        <v>144</v>
      </c>
      <c r="W189">
        <v>2</v>
      </c>
      <c r="X189">
        <v>20</v>
      </c>
      <c r="Y189">
        <v>11</v>
      </c>
      <c r="Z189">
        <v>3</v>
      </c>
      <c r="AA189">
        <v>1</v>
      </c>
      <c r="AB189">
        <v>0</v>
      </c>
      <c r="AC189">
        <v>1</v>
      </c>
      <c r="AD189">
        <v>5</v>
      </c>
      <c r="AE189">
        <v>2</v>
      </c>
      <c r="AF189">
        <v>7</v>
      </c>
      <c r="AG189">
        <v>1</v>
      </c>
      <c r="AH189">
        <v>3</v>
      </c>
      <c r="AI189">
        <v>0</v>
      </c>
      <c r="AJ189">
        <v>1</v>
      </c>
      <c r="AK189">
        <v>3</v>
      </c>
      <c r="AL189">
        <v>2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3</v>
      </c>
      <c r="AS189">
        <v>0</v>
      </c>
      <c r="AT189">
        <v>1</v>
      </c>
      <c r="AU189">
        <v>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0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 x14ac:dyDescent="0.3">
      <c r="A190" t="s">
        <v>248</v>
      </c>
      <c r="B190" t="s">
        <v>264</v>
      </c>
      <c r="C190" t="s">
        <v>204</v>
      </c>
      <c r="D190" s="1">
        <v>1599</v>
      </c>
      <c r="E190">
        <v>629</v>
      </c>
      <c r="F190">
        <v>165</v>
      </c>
      <c r="G190">
        <v>251</v>
      </c>
      <c r="H190">
        <v>28</v>
      </c>
      <c r="I190">
        <v>34</v>
      </c>
      <c r="J190">
        <v>69</v>
      </c>
      <c r="K190">
        <v>16</v>
      </c>
      <c r="L190">
        <v>4</v>
      </c>
      <c r="M190">
        <v>54</v>
      </c>
      <c r="N190">
        <v>39</v>
      </c>
      <c r="O190">
        <v>50</v>
      </c>
      <c r="P190">
        <v>11</v>
      </c>
      <c r="Q190">
        <v>11</v>
      </c>
      <c r="R190">
        <v>3</v>
      </c>
      <c r="S190">
        <v>93</v>
      </c>
      <c r="T190">
        <v>6</v>
      </c>
      <c r="U190">
        <v>6</v>
      </c>
      <c r="V190">
        <v>47</v>
      </c>
      <c r="W190">
        <v>9</v>
      </c>
      <c r="X190">
        <v>10</v>
      </c>
      <c r="Y190">
        <v>6</v>
      </c>
      <c r="Z190">
        <v>1</v>
      </c>
      <c r="AA190">
        <v>11</v>
      </c>
      <c r="AB190">
        <v>1</v>
      </c>
      <c r="AC190">
        <v>0</v>
      </c>
      <c r="AD190">
        <v>20</v>
      </c>
      <c r="AE190">
        <v>0</v>
      </c>
      <c r="AF190">
        <v>2</v>
      </c>
      <c r="AG190">
        <v>1</v>
      </c>
      <c r="AH190">
        <v>1</v>
      </c>
      <c r="AI190">
        <v>0</v>
      </c>
      <c r="AJ190">
        <v>0</v>
      </c>
      <c r="AK190">
        <v>1</v>
      </c>
      <c r="AL190">
        <v>3</v>
      </c>
      <c r="AM190">
        <v>0</v>
      </c>
      <c r="AN190">
        <v>0</v>
      </c>
      <c r="AO190">
        <v>0</v>
      </c>
      <c r="AP190">
        <v>0</v>
      </c>
      <c r="AQ190">
        <v>3</v>
      </c>
      <c r="AR190">
        <v>0</v>
      </c>
      <c r="AS190">
        <v>1</v>
      </c>
      <c r="AT190">
        <v>1</v>
      </c>
      <c r="AU190">
        <v>3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2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0</v>
      </c>
      <c r="BP190">
        <v>0</v>
      </c>
      <c r="BQ190">
        <v>2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</row>
    <row r="191" spans="1:201" x14ac:dyDescent="0.3">
      <c r="A191" t="s">
        <v>248</v>
      </c>
      <c r="B191" t="s">
        <v>265</v>
      </c>
      <c r="C191" t="s">
        <v>200</v>
      </c>
      <c r="D191" s="1">
        <v>5341</v>
      </c>
      <c r="E191" s="1">
        <v>1294</v>
      </c>
      <c r="F191">
        <v>468</v>
      </c>
      <c r="G191">
        <v>370</v>
      </c>
      <c r="H191">
        <v>166</v>
      </c>
      <c r="I191">
        <v>716</v>
      </c>
      <c r="J191">
        <v>274</v>
      </c>
      <c r="K191">
        <v>401</v>
      </c>
      <c r="L191">
        <v>89</v>
      </c>
      <c r="M191">
        <v>229</v>
      </c>
      <c r="N191">
        <v>78</v>
      </c>
      <c r="O191">
        <v>6</v>
      </c>
      <c r="P191">
        <v>336</v>
      </c>
      <c r="Q191">
        <v>282</v>
      </c>
      <c r="R191">
        <v>137</v>
      </c>
      <c r="S191">
        <v>83</v>
      </c>
      <c r="T191">
        <v>62</v>
      </c>
      <c r="U191">
        <v>77</v>
      </c>
      <c r="V191">
        <v>96</v>
      </c>
      <c r="W191">
        <v>16</v>
      </c>
      <c r="X191">
        <v>14</v>
      </c>
      <c r="Y191">
        <v>13</v>
      </c>
      <c r="Z191">
        <v>29</v>
      </c>
      <c r="AA191">
        <v>2</v>
      </c>
      <c r="AB191">
        <v>1</v>
      </c>
      <c r="AC191">
        <v>6</v>
      </c>
      <c r="AD191">
        <v>7</v>
      </c>
      <c r="AE191">
        <v>12</v>
      </c>
      <c r="AF191">
        <v>3</v>
      </c>
      <c r="AG191">
        <v>9</v>
      </c>
      <c r="AH191">
        <v>4</v>
      </c>
      <c r="AI191">
        <v>3</v>
      </c>
      <c r="AJ191">
        <v>4</v>
      </c>
      <c r="AK191">
        <v>2</v>
      </c>
      <c r="AL191">
        <v>5</v>
      </c>
      <c r="AM191">
        <v>3</v>
      </c>
      <c r="AN191">
        <v>0</v>
      </c>
      <c r="AO191">
        <v>0</v>
      </c>
      <c r="AP191">
        <v>0</v>
      </c>
      <c r="AQ191">
        <v>4</v>
      </c>
      <c r="AR191">
        <v>5</v>
      </c>
      <c r="AS191">
        <v>2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2</v>
      </c>
      <c r="BJ191">
        <v>1</v>
      </c>
      <c r="BK191">
        <v>0</v>
      </c>
      <c r="BL191">
        <v>0</v>
      </c>
      <c r="BM191">
        <v>2</v>
      </c>
      <c r="BN191">
        <v>2</v>
      </c>
      <c r="BO191">
        <v>0</v>
      </c>
      <c r="BP191">
        <v>0</v>
      </c>
      <c r="BQ191">
        <v>1</v>
      </c>
      <c r="BR191">
        <v>1</v>
      </c>
      <c r="BS191">
        <v>1</v>
      </c>
      <c r="BT191">
        <v>0</v>
      </c>
      <c r="BU191">
        <v>1</v>
      </c>
      <c r="BV191">
        <v>2</v>
      </c>
      <c r="BW191">
        <v>0</v>
      </c>
      <c r="BX191">
        <v>0</v>
      </c>
      <c r="BY191">
        <v>0</v>
      </c>
      <c r="BZ191">
        <v>2</v>
      </c>
      <c r="CA191">
        <v>1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1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3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2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1</v>
      </c>
    </row>
    <row r="192" spans="1:201" x14ac:dyDescent="0.3">
      <c r="A192" t="s">
        <v>248</v>
      </c>
      <c r="B192" t="s">
        <v>265</v>
      </c>
      <c r="C192" t="s">
        <v>203</v>
      </c>
      <c r="D192" s="1">
        <v>3677</v>
      </c>
      <c r="E192">
        <v>809</v>
      </c>
      <c r="F192">
        <v>278</v>
      </c>
      <c r="G192">
        <v>123</v>
      </c>
      <c r="H192">
        <v>149</v>
      </c>
      <c r="I192">
        <v>609</v>
      </c>
      <c r="J192">
        <v>227</v>
      </c>
      <c r="K192">
        <v>362</v>
      </c>
      <c r="L192">
        <v>85</v>
      </c>
      <c r="M192">
        <v>153</v>
      </c>
      <c r="N192">
        <v>30</v>
      </c>
      <c r="O192">
        <v>5</v>
      </c>
      <c r="P192">
        <v>207</v>
      </c>
      <c r="Q192">
        <v>244</v>
      </c>
      <c r="R192">
        <v>103</v>
      </c>
      <c r="S192">
        <v>15</v>
      </c>
      <c r="T192">
        <v>43</v>
      </c>
      <c r="U192">
        <v>43</v>
      </c>
      <c r="V192">
        <v>81</v>
      </c>
      <c r="W192">
        <v>9</v>
      </c>
      <c r="X192">
        <v>11</v>
      </c>
      <c r="Y192">
        <v>8</v>
      </c>
      <c r="Z192">
        <v>16</v>
      </c>
      <c r="AA192">
        <v>1</v>
      </c>
      <c r="AB192">
        <v>0</v>
      </c>
      <c r="AC192">
        <v>5</v>
      </c>
      <c r="AD192">
        <v>1</v>
      </c>
      <c r="AE192">
        <v>12</v>
      </c>
      <c r="AF192">
        <v>1</v>
      </c>
      <c r="AG192">
        <v>7</v>
      </c>
      <c r="AH192">
        <v>3</v>
      </c>
      <c r="AI192">
        <v>3</v>
      </c>
      <c r="AJ192">
        <v>2</v>
      </c>
      <c r="AK192">
        <v>2</v>
      </c>
      <c r="AL192">
        <v>3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4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2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0</v>
      </c>
      <c r="BM192">
        <v>2</v>
      </c>
      <c r="BN192">
        <v>1</v>
      </c>
      <c r="BO192">
        <v>0</v>
      </c>
      <c r="BP192">
        <v>0</v>
      </c>
      <c r="BQ192">
        <v>1</v>
      </c>
      <c r="BR192">
        <v>0</v>
      </c>
      <c r="BS192">
        <v>1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2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2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1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 x14ac:dyDescent="0.3">
      <c r="A193" t="s">
        <v>248</v>
      </c>
      <c r="B193" t="s">
        <v>265</v>
      </c>
      <c r="C193" t="s">
        <v>204</v>
      </c>
      <c r="D193" s="1">
        <v>1664</v>
      </c>
      <c r="E193">
        <v>485</v>
      </c>
      <c r="F193">
        <v>190</v>
      </c>
      <c r="G193">
        <v>247</v>
      </c>
      <c r="H193">
        <v>17</v>
      </c>
      <c r="I193">
        <v>107</v>
      </c>
      <c r="J193">
        <v>47</v>
      </c>
      <c r="K193">
        <v>39</v>
      </c>
      <c r="L193">
        <v>4</v>
      </c>
      <c r="M193">
        <v>76</v>
      </c>
      <c r="N193">
        <v>48</v>
      </c>
      <c r="O193">
        <v>1</v>
      </c>
      <c r="P193">
        <v>129</v>
      </c>
      <c r="Q193">
        <v>38</v>
      </c>
      <c r="R193">
        <v>34</v>
      </c>
      <c r="S193">
        <v>68</v>
      </c>
      <c r="T193">
        <v>19</v>
      </c>
      <c r="U193">
        <v>34</v>
      </c>
      <c r="V193">
        <v>15</v>
      </c>
      <c r="W193">
        <v>7</v>
      </c>
      <c r="X193">
        <v>3</v>
      </c>
      <c r="Y193">
        <v>5</v>
      </c>
      <c r="Z193">
        <v>13</v>
      </c>
      <c r="AA193">
        <v>1</v>
      </c>
      <c r="AB193">
        <v>1</v>
      </c>
      <c r="AC193">
        <v>1</v>
      </c>
      <c r="AD193">
        <v>6</v>
      </c>
      <c r="AE193">
        <v>0</v>
      </c>
      <c r="AF193">
        <v>2</v>
      </c>
      <c r="AG193">
        <v>2</v>
      </c>
      <c r="AH193">
        <v>1</v>
      </c>
      <c r="AI193">
        <v>0</v>
      </c>
      <c r="AJ193">
        <v>2</v>
      </c>
      <c r="AK193">
        <v>0</v>
      </c>
      <c r="AL193">
        <v>2</v>
      </c>
      <c r="AM193">
        <v>3</v>
      </c>
      <c r="AN193">
        <v>0</v>
      </c>
      <c r="AO193">
        <v>0</v>
      </c>
      <c r="AP193">
        <v>0</v>
      </c>
      <c r="AQ193">
        <v>3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1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1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1</v>
      </c>
    </row>
    <row r="194" spans="1:201" x14ac:dyDescent="0.3">
      <c r="A194" t="s">
        <v>248</v>
      </c>
      <c r="B194" t="s">
        <v>266</v>
      </c>
      <c r="C194" t="s">
        <v>200</v>
      </c>
      <c r="D194" s="1">
        <v>5332</v>
      </c>
      <c r="E194" s="1">
        <v>1673</v>
      </c>
      <c r="F194">
        <v>143</v>
      </c>
      <c r="G194">
        <v>180</v>
      </c>
      <c r="H194">
        <v>74</v>
      </c>
      <c r="I194">
        <v>84</v>
      </c>
      <c r="J194">
        <v>88</v>
      </c>
      <c r="K194" s="1">
        <v>2109</v>
      </c>
      <c r="L194">
        <v>24</v>
      </c>
      <c r="M194">
        <v>55</v>
      </c>
      <c r="N194">
        <v>43</v>
      </c>
      <c r="O194">
        <v>16</v>
      </c>
      <c r="P194">
        <v>10</v>
      </c>
      <c r="Q194">
        <v>212</v>
      </c>
      <c r="R194">
        <v>38</v>
      </c>
      <c r="S194">
        <v>31</v>
      </c>
      <c r="T194">
        <v>16</v>
      </c>
      <c r="U194">
        <v>10</v>
      </c>
      <c r="V194">
        <v>11</v>
      </c>
      <c r="W194">
        <v>7</v>
      </c>
      <c r="X194">
        <v>9</v>
      </c>
      <c r="Y194">
        <v>5</v>
      </c>
      <c r="Z194">
        <v>9</v>
      </c>
      <c r="AA194">
        <v>0</v>
      </c>
      <c r="AB194">
        <v>2</v>
      </c>
      <c r="AC194">
        <v>1</v>
      </c>
      <c r="AD194">
        <v>9</v>
      </c>
      <c r="AE194">
        <v>427</v>
      </c>
      <c r="AF194">
        <v>4</v>
      </c>
      <c r="AG194">
        <v>9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5</v>
      </c>
      <c r="AO194">
        <v>1</v>
      </c>
      <c r="AP194">
        <v>0</v>
      </c>
      <c r="AQ194">
        <v>4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2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9</v>
      </c>
      <c r="BN194">
        <v>0</v>
      </c>
      <c r="BO194">
        <v>1</v>
      </c>
      <c r="BP194">
        <v>1</v>
      </c>
      <c r="BQ194">
        <v>0</v>
      </c>
      <c r="BR194">
        <v>0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2</v>
      </c>
      <c r="CI194">
        <v>0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 x14ac:dyDescent="0.3">
      <c r="A195" t="s">
        <v>248</v>
      </c>
      <c r="B195" t="s">
        <v>266</v>
      </c>
      <c r="C195" t="s">
        <v>203</v>
      </c>
      <c r="D195" s="1">
        <v>4505</v>
      </c>
      <c r="E195" s="1">
        <v>1264</v>
      </c>
      <c r="F195">
        <v>69</v>
      </c>
      <c r="G195">
        <v>92</v>
      </c>
      <c r="H195">
        <v>55</v>
      </c>
      <c r="I195">
        <v>74</v>
      </c>
      <c r="J195">
        <v>41</v>
      </c>
      <c r="K195" s="1">
        <v>2095</v>
      </c>
      <c r="L195">
        <v>24</v>
      </c>
      <c r="M195">
        <v>5</v>
      </c>
      <c r="N195">
        <v>27</v>
      </c>
      <c r="O195">
        <v>7</v>
      </c>
      <c r="P195">
        <v>7</v>
      </c>
      <c r="Q195">
        <v>205</v>
      </c>
      <c r="R195">
        <v>25</v>
      </c>
      <c r="S195">
        <v>2</v>
      </c>
      <c r="T195">
        <v>13</v>
      </c>
      <c r="U195">
        <v>8</v>
      </c>
      <c r="V195">
        <v>8</v>
      </c>
      <c r="W195">
        <v>2</v>
      </c>
      <c r="X195">
        <v>7</v>
      </c>
      <c r="Y195">
        <v>0</v>
      </c>
      <c r="Z195">
        <v>8</v>
      </c>
      <c r="AA195">
        <v>0</v>
      </c>
      <c r="AB195">
        <v>1</v>
      </c>
      <c r="AC195">
        <v>1</v>
      </c>
      <c r="AD195">
        <v>2</v>
      </c>
      <c r="AE195">
        <v>427</v>
      </c>
      <c r="AF195">
        <v>2</v>
      </c>
      <c r="AG195">
        <v>9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</v>
      </c>
      <c r="AO195">
        <v>1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2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9</v>
      </c>
      <c r="BN195">
        <v>0</v>
      </c>
      <c r="BO195">
        <v>0</v>
      </c>
      <c r="BP195">
        <v>1</v>
      </c>
      <c r="BQ195">
        <v>0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2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 x14ac:dyDescent="0.3">
      <c r="A196" t="s">
        <v>248</v>
      </c>
      <c r="B196" t="s">
        <v>266</v>
      </c>
      <c r="C196" t="s">
        <v>204</v>
      </c>
      <c r="D196">
        <v>827</v>
      </c>
      <c r="E196">
        <v>409</v>
      </c>
      <c r="F196">
        <v>74</v>
      </c>
      <c r="G196">
        <v>88</v>
      </c>
      <c r="H196">
        <v>19</v>
      </c>
      <c r="I196">
        <v>10</v>
      </c>
      <c r="J196">
        <v>47</v>
      </c>
      <c r="K196">
        <v>14</v>
      </c>
      <c r="L196">
        <v>0</v>
      </c>
      <c r="M196">
        <v>50</v>
      </c>
      <c r="N196">
        <v>16</v>
      </c>
      <c r="O196">
        <v>9</v>
      </c>
      <c r="P196">
        <v>3</v>
      </c>
      <c r="Q196">
        <v>7</v>
      </c>
      <c r="R196">
        <v>13</v>
      </c>
      <c r="S196">
        <v>29</v>
      </c>
      <c r="T196">
        <v>3</v>
      </c>
      <c r="U196">
        <v>2</v>
      </c>
      <c r="V196">
        <v>3</v>
      </c>
      <c r="W196">
        <v>5</v>
      </c>
      <c r="X196">
        <v>2</v>
      </c>
      <c r="Y196">
        <v>5</v>
      </c>
      <c r="Z196">
        <v>1</v>
      </c>
      <c r="AA196">
        <v>0</v>
      </c>
      <c r="AB196">
        <v>1</v>
      </c>
      <c r="AC196">
        <v>0</v>
      </c>
      <c r="AD196">
        <v>7</v>
      </c>
      <c r="AE196">
        <v>0</v>
      </c>
      <c r="AF196">
        <v>2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2</v>
      </c>
      <c r="AO196">
        <v>0</v>
      </c>
      <c r="AP196">
        <v>0</v>
      </c>
      <c r="AQ196">
        <v>3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 x14ac:dyDescent="0.3">
      <c r="A197" t="s">
        <v>248</v>
      </c>
      <c r="B197" t="s">
        <v>267</v>
      </c>
      <c r="C197" t="s">
        <v>200</v>
      </c>
      <c r="D197" s="1">
        <v>1132</v>
      </c>
      <c r="E197">
        <v>568</v>
      </c>
      <c r="F197">
        <v>16</v>
      </c>
      <c r="G197">
        <v>40</v>
      </c>
      <c r="H197">
        <v>76</v>
      </c>
      <c r="I197">
        <v>8</v>
      </c>
      <c r="J197">
        <v>173</v>
      </c>
      <c r="K197">
        <v>26</v>
      </c>
      <c r="L197">
        <v>6</v>
      </c>
      <c r="M197">
        <v>57</v>
      </c>
      <c r="N197">
        <v>18</v>
      </c>
      <c r="O197">
        <v>27</v>
      </c>
      <c r="P197">
        <v>5</v>
      </c>
      <c r="Q197">
        <v>50</v>
      </c>
      <c r="R197">
        <v>9</v>
      </c>
      <c r="S197">
        <v>9</v>
      </c>
      <c r="T197">
        <v>3</v>
      </c>
      <c r="U197">
        <v>3</v>
      </c>
      <c r="V197">
        <v>4</v>
      </c>
      <c r="W197">
        <v>2</v>
      </c>
      <c r="X197">
        <v>0</v>
      </c>
      <c r="Y197">
        <v>3</v>
      </c>
      <c r="Z197">
        <v>0</v>
      </c>
      <c r="AA197">
        <v>1</v>
      </c>
      <c r="AB197">
        <v>0</v>
      </c>
      <c r="AC197">
        <v>2</v>
      </c>
      <c r="AD197">
        <v>3</v>
      </c>
      <c r="AE197">
        <v>13</v>
      </c>
      <c r="AF197">
        <v>1</v>
      </c>
      <c r="AG197">
        <v>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5</v>
      </c>
      <c r="AO197">
        <v>1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 x14ac:dyDescent="0.3">
      <c r="A198" t="s">
        <v>248</v>
      </c>
      <c r="B198" t="s">
        <v>267</v>
      </c>
      <c r="C198" t="s">
        <v>203</v>
      </c>
      <c r="D198">
        <v>582</v>
      </c>
      <c r="E198">
        <v>295</v>
      </c>
      <c r="F198">
        <v>10</v>
      </c>
      <c r="G198">
        <v>21</v>
      </c>
      <c r="H198">
        <v>49</v>
      </c>
      <c r="I198">
        <v>3</v>
      </c>
      <c r="J198">
        <v>67</v>
      </c>
      <c r="K198">
        <v>24</v>
      </c>
      <c r="L198">
        <v>6</v>
      </c>
      <c r="M198">
        <v>15</v>
      </c>
      <c r="N198">
        <v>2</v>
      </c>
      <c r="O198">
        <v>8</v>
      </c>
      <c r="P198">
        <v>0</v>
      </c>
      <c r="Q198">
        <v>47</v>
      </c>
      <c r="R198">
        <v>4</v>
      </c>
      <c r="S198">
        <v>0</v>
      </c>
      <c r="T198">
        <v>3</v>
      </c>
      <c r="U198">
        <v>1</v>
      </c>
      <c r="V198">
        <v>4</v>
      </c>
      <c r="W198">
        <v>1</v>
      </c>
      <c r="X198">
        <v>0</v>
      </c>
      <c r="Y198">
        <v>2</v>
      </c>
      <c r="Z198">
        <v>0</v>
      </c>
      <c r="AA198">
        <v>1</v>
      </c>
      <c r="AB198">
        <v>0</v>
      </c>
      <c r="AC198">
        <v>1</v>
      </c>
      <c r="AD198">
        <v>0</v>
      </c>
      <c r="AE198">
        <v>13</v>
      </c>
      <c r="AF198">
        <v>0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 x14ac:dyDescent="0.3">
      <c r="A199" t="s">
        <v>248</v>
      </c>
      <c r="B199" t="s">
        <v>267</v>
      </c>
      <c r="C199" t="s">
        <v>204</v>
      </c>
      <c r="D199">
        <v>550</v>
      </c>
      <c r="E199">
        <v>273</v>
      </c>
      <c r="F199">
        <v>6</v>
      </c>
      <c r="G199">
        <v>19</v>
      </c>
      <c r="H199">
        <v>27</v>
      </c>
      <c r="I199">
        <v>5</v>
      </c>
      <c r="J199">
        <v>106</v>
      </c>
      <c r="K199">
        <v>2</v>
      </c>
      <c r="L199">
        <v>0</v>
      </c>
      <c r="M199">
        <v>42</v>
      </c>
      <c r="N199">
        <v>16</v>
      </c>
      <c r="O199">
        <v>19</v>
      </c>
      <c r="P199">
        <v>5</v>
      </c>
      <c r="Q199">
        <v>3</v>
      </c>
      <c r="R199">
        <v>5</v>
      </c>
      <c r="S199">
        <v>9</v>
      </c>
      <c r="T199">
        <v>0</v>
      </c>
      <c r="U199">
        <v>2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3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3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 x14ac:dyDescent="0.3">
      <c r="A200" t="s">
        <v>248</v>
      </c>
      <c r="B200" t="s">
        <v>268</v>
      </c>
      <c r="C200" t="s">
        <v>200</v>
      </c>
      <c r="D200" s="1">
        <v>5187</v>
      </c>
      <c r="E200" s="1">
        <v>1259</v>
      </c>
      <c r="F200">
        <v>110</v>
      </c>
      <c r="G200">
        <v>127</v>
      </c>
      <c r="H200">
        <v>676</v>
      </c>
      <c r="I200">
        <v>327</v>
      </c>
      <c r="J200">
        <v>448</v>
      </c>
      <c r="K200">
        <v>668</v>
      </c>
      <c r="L200">
        <v>219</v>
      </c>
      <c r="M200">
        <v>311</v>
      </c>
      <c r="N200">
        <v>117</v>
      </c>
      <c r="O200">
        <v>11</v>
      </c>
      <c r="P200">
        <v>2</v>
      </c>
      <c r="Q200">
        <v>329</v>
      </c>
      <c r="R200">
        <v>154</v>
      </c>
      <c r="S200">
        <v>26</v>
      </c>
      <c r="T200">
        <v>14</v>
      </c>
      <c r="U200">
        <v>15</v>
      </c>
      <c r="V200">
        <v>224</v>
      </c>
      <c r="W200">
        <v>2</v>
      </c>
      <c r="X200">
        <v>11</v>
      </c>
      <c r="Y200">
        <v>21</v>
      </c>
      <c r="Z200">
        <v>23</v>
      </c>
      <c r="AA200">
        <v>0</v>
      </c>
      <c r="AB200">
        <v>1</v>
      </c>
      <c r="AC200">
        <v>0</v>
      </c>
      <c r="AD200">
        <v>19</v>
      </c>
      <c r="AE200">
        <v>14</v>
      </c>
      <c r="AF200">
        <v>1</v>
      </c>
      <c r="AG200">
        <v>0</v>
      </c>
      <c r="AH200">
        <v>0</v>
      </c>
      <c r="AI200">
        <v>5</v>
      </c>
      <c r="AJ200">
        <v>1</v>
      </c>
      <c r="AK200">
        <v>0</v>
      </c>
      <c r="AL200">
        <v>2</v>
      </c>
      <c r="AM200">
        <v>0</v>
      </c>
      <c r="AN200">
        <v>0</v>
      </c>
      <c r="AO200">
        <v>1</v>
      </c>
      <c r="AP200">
        <v>34</v>
      </c>
      <c r="AQ200">
        <v>0</v>
      </c>
      <c r="AR200">
        <v>0</v>
      </c>
      <c r="AS200">
        <v>3</v>
      </c>
      <c r="AT200">
        <v>0</v>
      </c>
      <c r="AU200">
        <v>3</v>
      </c>
      <c r="AV200">
        <v>0</v>
      </c>
      <c r="AW200">
        <v>1</v>
      </c>
      <c r="AX200">
        <v>1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2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</row>
    <row r="201" spans="1:201" x14ac:dyDescent="0.3">
      <c r="A201" t="s">
        <v>248</v>
      </c>
      <c r="B201" t="s">
        <v>268</v>
      </c>
      <c r="C201" t="s">
        <v>203</v>
      </c>
      <c r="D201" s="1">
        <v>4347</v>
      </c>
      <c r="E201">
        <v>899</v>
      </c>
      <c r="F201">
        <v>68</v>
      </c>
      <c r="G201">
        <v>57</v>
      </c>
      <c r="H201">
        <v>593</v>
      </c>
      <c r="I201">
        <v>296</v>
      </c>
      <c r="J201">
        <v>414</v>
      </c>
      <c r="K201">
        <v>658</v>
      </c>
      <c r="L201">
        <v>219</v>
      </c>
      <c r="M201">
        <v>279</v>
      </c>
      <c r="N201">
        <v>102</v>
      </c>
      <c r="O201">
        <v>7</v>
      </c>
      <c r="P201">
        <v>2</v>
      </c>
      <c r="Q201">
        <v>296</v>
      </c>
      <c r="R201">
        <v>127</v>
      </c>
      <c r="S201">
        <v>3</v>
      </c>
      <c r="T201">
        <v>8</v>
      </c>
      <c r="U201">
        <v>7</v>
      </c>
      <c r="V201">
        <v>212</v>
      </c>
      <c r="W201">
        <v>2</v>
      </c>
      <c r="X201">
        <v>11</v>
      </c>
      <c r="Y201">
        <v>11</v>
      </c>
      <c r="Z201">
        <v>15</v>
      </c>
      <c r="AA201">
        <v>0</v>
      </c>
      <c r="AB201">
        <v>1</v>
      </c>
      <c r="AC201">
        <v>0</v>
      </c>
      <c r="AD201">
        <v>9</v>
      </c>
      <c r="AE201">
        <v>14</v>
      </c>
      <c r="AF201">
        <v>1</v>
      </c>
      <c r="AG201">
        <v>0</v>
      </c>
      <c r="AH201">
        <v>0</v>
      </c>
      <c r="AI201">
        <v>5</v>
      </c>
      <c r="AJ201">
        <v>1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16</v>
      </c>
      <c r="AQ201">
        <v>0</v>
      </c>
      <c r="AR201">
        <v>0</v>
      </c>
      <c r="AS201">
        <v>2</v>
      </c>
      <c r="AT201">
        <v>0</v>
      </c>
      <c r="AU201">
        <v>3</v>
      </c>
      <c r="AV201">
        <v>0</v>
      </c>
      <c r="AW201">
        <v>1</v>
      </c>
      <c r="AX201">
        <v>1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</row>
    <row r="202" spans="1:201" x14ac:dyDescent="0.3">
      <c r="A202" t="s">
        <v>248</v>
      </c>
      <c r="B202" t="s">
        <v>268</v>
      </c>
      <c r="C202" t="s">
        <v>204</v>
      </c>
      <c r="D202">
        <v>840</v>
      </c>
      <c r="E202">
        <v>360</v>
      </c>
      <c r="F202">
        <v>42</v>
      </c>
      <c r="G202">
        <v>70</v>
      </c>
      <c r="H202">
        <v>83</v>
      </c>
      <c r="I202">
        <v>31</v>
      </c>
      <c r="J202">
        <v>34</v>
      </c>
      <c r="K202">
        <v>10</v>
      </c>
      <c r="L202">
        <v>0</v>
      </c>
      <c r="M202">
        <v>32</v>
      </c>
      <c r="N202">
        <v>15</v>
      </c>
      <c r="O202">
        <v>4</v>
      </c>
      <c r="P202">
        <v>0</v>
      </c>
      <c r="Q202">
        <v>33</v>
      </c>
      <c r="R202">
        <v>27</v>
      </c>
      <c r="S202">
        <v>23</v>
      </c>
      <c r="T202">
        <v>6</v>
      </c>
      <c r="U202">
        <v>8</v>
      </c>
      <c r="V202">
        <v>12</v>
      </c>
      <c r="W202">
        <v>0</v>
      </c>
      <c r="X202">
        <v>0</v>
      </c>
      <c r="Y202">
        <v>10</v>
      </c>
      <c r="Z202">
        <v>8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18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2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</row>
    <row r="203" spans="1:201" x14ac:dyDescent="0.3">
      <c r="A203" t="s">
        <v>248</v>
      </c>
      <c r="B203" t="s">
        <v>269</v>
      </c>
      <c r="C203" t="s">
        <v>200</v>
      </c>
      <c r="D203">
        <v>563</v>
      </c>
      <c r="E203">
        <v>169</v>
      </c>
      <c r="F203">
        <v>14</v>
      </c>
      <c r="G203">
        <v>27</v>
      </c>
      <c r="H203">
        <v>143</v>
      </c>
      <c r="I203">
        <v>20</v>
      </c>
      <c r="J203">
        <v>31</v>
      </c>
      <c r="K203">
        <v>7</v>
      </c>
      <c r="L203">
        <v>21</v>
      </c>
      <c r="M203">
        <v>18</v>
      </c>
      <c r="N203">
        <v>44</v>
      </c>
      <c r="O203">
        <v>5</v>
      </c>
      <c r="P203">
        <v>1</v>
      </c>
      <c r="Q203">
        <v>5</v>
      </c>
      <c r="R203">
        <v>4</v>
      </c>
      <c r="S203">
        <v>19</v>
      </c>
      <c r="T203">
        <v>0</v>
      </c>
      <c r="U203">
        <v>0</v>
      </c>
      <c r="V203">
        <v>1</v>
      </c>
      <c r="W203">
        <v>0</v>
      </c>
      <c r="X203">
        <v>7</v>
      </c>
      <c r="Y203">
        <v>0</v>
      </c>
      <c r="Z203">
        <v>9</v>
      </c>
      <c r="AA203">
        <v>0</v>
      </c>
      <c r="AB203">
        <v>0</v>
      </c>
      <c r="AC203">
        <v>0</v>
      </c>
      <c r="AD203">
        <v>8</v>
      </c>
      <c r="AE203">
        <v>0</v>
      </c>
      <c r="AF203">
        <v>3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2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2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 x14ac:dyDescent="0.3">
      <c r="A204" t="s">
        <v>248</v>
      </c>
      <c r="B204" t="s">
        <v>269</v>
      </c>
      <c r="C204" t="s">
        <v>203</v>
      </c>
      <c r="D204">
        <v>315</v>
      </c>
      <c r="E204">
        <v>65</v>
      </c>
      <c r="F204">
        <v>6</v>
      </c>
      <c r="G204">
        <v>4</v>
      </c>
      <c r="H204">
        <v>110</v>
      </c>
      <c r="I204">
        <v>15</v>
      </c>
      <c r="J204">
        <v>20</v>
      </c>
      <c r="K204">
        <v>7</v>
      </c>
      <c r="L204">
        <v>17</v>
      </c>
      <c r="M204">
        <v>6</v>
      </c>
      <c r="N204">
        <v>37</v>
      </c>
      <c r="O204">
        <v>3</v>
      </c>
      <c r="P204">
        <v>0</v>
      </c>
      <c r="Q204">
        <v>5</v>
      </c>
      <c r="R204">
        <v>4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2</v>
      </c>
      <c r="Y204">
        <v>0</v>
      </c>
      <c r="Z204">
        <v>3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2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 x14ac:dyDescent="0.3">
      <c r="A205" t="s">
        <v>248</v>
      </c>
      <c r="B205" t="s">
        <v>269</v>
      </c>
      <c r="C205" t="s">
        <v>204</v>
      </c>
      <c r="D205">
        <v>248</v>
      </c>
      <c r="E205">
        <v>104</v>
      </c>
      <c r="F205">
        <v>8</v>
      </c>
      <c r="G205">
        <v>23</v>
      </c>
      <c r="H205">
        <v>33</v>
      </c>
      <c r="I205">
        <v>5</v>
      </c>
      <c r="J205">
        <v>11</v>
      </c>
      <c r="K205">
        <v>0</v>
      </c>
      <c r="L205">
        <v>4</v>
      </c>
      <c r="M205">
        <v>12</v>
      </c>
      <c r="N205">
        <v>7</v>
      </c>
      <c r="O205">
        <v>2</v>
      </c>
      <c r="P205">
        <v>1</v>
      </c>
      <c r="Q205">
        <v>0</v>
      </c>
      <c r="R205">
        <v>0</v>
      </c>
      <c r="S205">
        <v>18</v>
      </c>
      <c r="T205">
        <v>0</v>
      </c>
      <c r="U205">
        <v>0</v>
      </c>
      <c r="V205">
        <v>0</v>
      </c>
      <c r="W205">
        <v>0</v>
      </c>
      <c r="X205">
        <v>5</v>
      </c>
      <c r="Y205">
        <v>0</v>
      </c>
      <c r="Z205">
        <v>6</v>
      </c>
      <c r="AA205">
        <v>0</v>
      </c>
      <c r="AB205">
        <v>0</v>
      </c>
      <c r="AC205">
        <v>0</v>
      </c>
      <c r="AD205">
        <v>6</v>
      </c>
      <c r="AE205">
        <v>0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</row>
    <row r="206" spans="1:201" x14ac:dyDescent="0.3">
      <c r="A206" t="s">
        <v>248</v>
      </c>
      <c r="B206" t="s">
        <v>270</v>
      </c>
      <c r="C206" t="s">
        <v>200</v>
      </c>
      <c r="D206" s="1">
        <v>1095</v>
      </c>
      <c r="E206">
        <v>337</v>
      </c>
      <c r="F206">
        <v>15</v>
      </c>
      <c r="G206">
        <v>28</v>
      </c>
      <c r="H206">
        <v>243</v>
      </c>
      <c r="I206">
        <v>28</v>
      </c>
      <c r="J206">
        <v>132</v>
      </c>
      <c r="K206">
        <v>20</v>
      </c>
      <c r="L206">
        <v>39</v>
      </c>
      <c r="M206">
        <v>29</v>
      </c>
      <c r="N206">
        <v>123</v>
      </c>
      <c r="O206">
        <v>8</v>
      </c>
      <c r="P206">
        <v>5</v>
      </c>
      <c r="Q206">
        <v>20</v>
      </c>
      <c r="R206">
        <v>5</v>
      </c>
      <c r="S206">
        <v>24</v>
      </c>
      <c r="T206">
        <v>3</v>
      </c>
      <c r="U206">
        <v>1</v>
      </c>
      <c r="V206">
        <v>6</v>
      </c>
      <c r="W206">
        <v>9</v>
      </c>
      <c r="X206">
        <v>0</v>
      </c>
      <c r="Y206">
        <v>8</v>
      </c>
      <c r="Z206">
        <v>0</v>
      </c>
      <c r="AA206">
        <v>0</v>
      </c>
      <c r="AB206">
        <v>0</v>
      </c>
      <c r="AC206">
        <v>1</v>
      </c>
      <c r="AD206">
        <v>6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</row>
    <row r="207" spans="1:201" x14ac:dyDescent="0.3">
      <c r="A207" t="s">
        <v>248</v>
      </c>
      <c r="B207" t="s">
        <v>270</v>
      </c>
      <c r="C207" t="s">
        <v>203</v>
      </c>
      <c r="D207">
        <v>648</v>
      </c>
      <c r="E207">
        <v>145</v>
      </c>
      <c r="F207">
        <v>8</v>
      </c>
      <c r="G207">
        <v>5</v>
      </c>
      <c r="H207">
        <v>191</v>
      </c>
      <c r="I207">
        <v>21</v>
      </c>
      <c r="J207">
        <v>75</v>
      </c>
      <c r="K207">
        <v>13</v>
      </c>
      <c r="L207">
        <v>38</v>
      </c>
      <c r="M207">
        <v>12</v>
      </c>
      <c r="N207">
        <v>99</v>
      </c>
      <c r="O207">
        <v>0</v>
      </c>
      <c r="P207">
        <v>2</v>
      </c>
      <c r="Q207">
        <v>19</v>
      </c>
      <c r="R207">
        <v>5</v>
      </c>
      <c r="S207">
        <v>0</v>
      </c>
      <c r="T207">
        <v>2</v>
      </c>
      <c r="U207">
        <v>0</v>
      </c>
      <c r="V207">
        <v>6</v>
      </c>
      <c r="W207">
        <v>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 x14ac:dyDescent="0.3">
      <c r="A208" t="s">
        <v>248</v>
      </c>
      <c r="B208" t="s">
        <v>270</v>
      </c>
      <c r="C208" t="s">
        <v>204</v>
      </c>
      <c r="D208">
        <v>447</v>
      </c>
      <c r="E208">
        <v>192</v>
      </c>
      <c r="F208">
        <v>7</v>
      </c>
      <c r="G208">
        <v>23</v>
      </c>
      <c r="H208">
        <v>52</v>
      </c>
      <c r="I208">
        <v>7</v>
      </c>
      <c r="J208">
        <v>57</v>
      </c>
      <c r="K208">
        <v>7</v>
      </c>
      <c r="L208">
        <v>1</v>
      </c>
      <c r="M208">
        <v>17</v>
      </c>
      <c r="N208">
        <v>24</v>
      </c>
      <c r="O208">
        <v>8</v>
      </c>
      <c r="P208">
        <v>3</v>
      </c>
      <c r="Q208">
        <v>1</v>
      </c>
      <c r="R208">
        <v>0</v>
      </c>
      <c r="S208">
        <v>24</v>
      </c>
      <c r="T208">
        <v>1</v>
      </c>
      <c r="U208">
        <v>1</v>
      </c>
      <c r="V208">
        <v>0</v>
      </c>
      <c r="W208">
        <v>5</v>
      </c>
      <c r="X208">
        <v>0</v>
      </c>
      <c r="Y208">
        <v>8</v>
      </c>
      <c r="Z208">
        <v>0</v>
      </c>
      <c r="AA208">
        <v>0</v>
      </c>
      <c r="AB208">
        <v>0</v>
      </c>
      <c r="AC208">
        <v>0</v>
      </c>
      <c r="AD208">
        <v>6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 x14ac:dyDescent="0.3">
      <c r="A209" t="s">
        <v>271</v>
      </c>
      <c r="B209" t="s">
        <v>200</v>
      </c>
      <c r="C209" t="s">
        <v>200</v>
      </c>
      <c r="D209" s="1">
        <v>88013</v>
      </c>
      <c r="E209" s="1">
        <v>26191</v>
      </c>
      <c r="F209" s="1">
        <v>2839</v>
      </c>
      <c r="G209" s="1">
        <v>10277</v>
      </c>
      <c r="H209" s="1">
        <v>5972</v>
      </c>
      <c r="I209" s="1">
        <v>5656</v>
      </c>
      <c r="J209" s="1">
        <v>4810</v>
      </c>
      <c r="K209" s="1">
        <v>6325</v>
      </c>
      <c r="L209" s="1">
        <v>2399</v>
      </c>
      <c r="M209" s="1">
        <v>3369</v>
      </c>
      <c r="N209" s="1">
        <v>2269</v>
      </c>
      <c r="O209" s="1">
        <v>1251</v>
      </c>
      <c r="P209" s="1">
        <v>1002</v>
      </c>
      <c r="Q209" s="1">
        <v>3129</v>
      </c>
      <c r="R209" s="1">
        <v>1445</v>
      </c>
      <c r="S209">
        <v>689</v>
      </c>
      <c r="T209">
        <v>921</v>
      </c>
      <c r="U209" s="1">
        <v>1362</v>
      </c>
      <c r="V209" s="1">
        <v>1160</v>
      </c>
      <c r="W209">
        <v>313</v>
      </c>
      <c r="X209" s="1">
        <v>1081</v>
      </c>
      <c r="Y209" s="1">
        <v>1213</v>
      </c>
      <c r="Z209">
        <v>636</v>
      </c>
      <c r="AA209">
        <v>54</v>
      </c>
      <c r="AB209">
        <v>470</v>
      </c>
      <c r="AC209">
        <v>95</v>
      </c>
      <c r="AD209">
        <v>233</v>
      </c>
      <c r="AE209">
        <v>161</v>
      </c>
      <c r="AF209">
        <v>89</v>
      </c>
      <c r="AG209">
        <v>87</v>
      </c>
      <c r="AH209">
        <v>56</v>
      </c>
      <c r="AI209">
        <v>285</v>
      </c>
      <c r="AJ209">
        <v>101</v>
      </c>
      <c r="AK209">
        <v>87</v>
      </c>
      <c r="AL209">
        <v>85</v>
      </c>
      <c r="AM209">
        <v>16</v>
      </c>
      <c r="AN209">
        <v>29</v>
      </c>
      <c r="AO209">
        <v>131</v>
      </c>
      <c r="AP209">
        <v>202</v>
      </c>
      <c r="AQ209">
        <v>81</v>
      </c>
      <c r="AR209">
        <v>98</v>
      </c>
      <c r="AS209">
        <v>53</v>
      </c>
      <c r="AT209">
        <v>12</v>
      </c>
      <c r="AU209">
        <v>52</v>
      </c>
      <c r="AV209">
        <v>65</v>
      </c>
      <c r="AW209">
        <v>16</v>
      </c>
      <c r="AX209">
        <v>84</v>
      </c>
      <c r="AY209">
        <v>27</v>
      </c>
      <c r="AZ209">
        <v>10</v>
      </c>
      <c r="BA209">
        <v>6</v>
      </c>
      <c r="BB209">
        <v>8</v>
      </c>
      <c r="BC209">
        <v>11</v>
      </c>
      <c r="BD209">
        <v>11</v>
      </c>
      <c r="BE209">
        <v>24</v>
      </c>
      <c r="BF209">
        <v>108</v>
      </c>
      <c r="BG209">
        <v>21</v>
      </c>
      <c r="BH209">
        <v>8</v>
      </c>
      <c r="BI209">
        <v>225</v>
      </c>
      <c r="BJ209">
        <v>154</v>
      </c>
      <c r="BK209">
        <v>7</v>
      </c>
      <c r="BL209">
        <v>23</v>
      </c>
      <c r="BM209">
        <v>45</v>
      </c>
      <c r="BN209">
        <v>4</v>
      </c>
      <c r="BO209">
        <v>9</v>
      </c>
      <c r="BP209">
        <v>30</v>
      </c>
      <c r="BQ209">
        <v>29</v>
      </c>
      <c r="BR209">
        <v>6</v>
      </c>
      <c r="BS209">
        <v>6</v>
      </c>
      <c r="BT209">
        <v>6</v>
      </c>
      <c r="BU209">
        <v>7</v>
      </c>
      <c r="BV209">
        <v>12</v>
      </c>
      <c r="BW209">
        <v>2</v>
      </c>
      <c r="BX209">
        <v>10</v>
      </c>
      <c r="BY209">
        <v>30</v>
      </c>
      <c r="BZ209">
        <v>5</v>
      </c>
      <c r="CA209">
        <v>1</v>
      </c>
      <c r="CB209">
        <v>16</v>
      </c>
      <c r="CC209">
        <v>6</v>
      </c>
      <c r="CD209">
        <v>3</v>
      </c>
      <c r="CE209">
        <v>1</v>
      </c>
      <c r="CF209">
        <v>3</v>
      </c>
      <c r="CG209">
        <v>6</v>
      </c>
      <c r="CH209">
        <v>5</v>
      </c>
      <c r="CI209">
        <v>5</v>
      </c>
      <c r="CJ209">
        <v>2</v>
      </c>
      <c r="CK209">
        <v>6</v>
      </c>
      <c r="CL209">
        <v>5</v>
      </c>
      <c r="CM209">
        <v>3</v>
      </c>
      <c r="CN209">
        <v>0</v>
      </c>
      <c r="CO209">
        <v>0</v>
      </c>
      <c r="CP209">
        <v>0</v>
      </c>
      <c r="CQ209">
        <v>1</v>
      </c>
      <c r="CR209">
        <v>5</v>
      </c>
      <c r="CS209">
        <v>7</v>
      </c>
      <c r="CT209">
        <v>1</v>
      </c>
      <c r="CU209">
        <v>1</v>
      </c>
      <c r="CV209">
        <v>2</v>
      </c>
      <c r="CW209">
        <v>3</v>
      </c>
      <c r="CX209">
        <v>1</v>
      </c>
      <c r="CY209">
        <v>0</v>
      </c>
      <c r="CZ209">
        <v>3</v>
      </c>
      <c r="DA209">
        <v>9</v>
      </c>
      <c r="DB209">
        <v>1</v>
      </c>
      <c r="DC209">
        <v>1</v>
      </c>
      <c r="DD209">
        <v>6</v>
      </c>
      <c r="DE209">
        <v>6</v>
      </c>
      <c r="DF209">
        <v>1</v>
      </c>
      <c r="DG209">
        <v>3</v>
      </c>
      <c r="DH209">
        <v>3</v>
      </c>
      <c r="DI209">
        <v>1</v>
      </c>
      <c r="DJ209">
        <v>2</v>
      </c>
      <c r="DK209">
        <v>1</v>
      </c>
      <c r="DL209">
        <v>0</v>
      </c>
      <c r="DM209">
        <v>0</v>
      </c>
      <c r="DN209">
        <v>1</v>
      </c>
      <c r="DO209">
        <v>1</v>
      </c>
      <c r="DP209">
        <v>0</v>
      </c>
      <c r="DQ209">
        <v>2</v>
      </c>
      <c r="DR209">
        <v>0</v>
      </c>
      <c r="DS209">
        <v>0</v>
      </c>
      <c r="DT209">
        <v>3</v>
      </c>
      <c r="DU209">
        <v>17</v>
      </c>
      <c r="DV209">
        <v>1</v>
      </c>
      <c r="DW209">
        <v>0</v>
      </c>
      <c r="DX209">
        <v>1</v>
      </c>
      <c r="DY209">
        <v>2</v>
      </c>
      <c r="DZ209">
        <v>2</v>
      </c>
      <c r="EA209">
        <v>7</v>
      </c>
      <c r="EB209">
        <v>4</v>
      </c>
      <c r="EC209">
        <v>1</v>
      </c>
      <c r="ED209">
        <v>0</v>
      </c>
      <c r="EE209">
        <v>2</v>
      </c>
      <c r="EF209">
        <v>1</v>
      </c>
      <c r="EG209">
        <v>6</v>
      </c>
      <c r="EH209">
        <v>1</v>
      </c>
      <c r="EI209">
        <v>0</v>
      </c>
      <c r="EJ209">
        <v>1</v>
      </c>
      <c r="EK209">
        <v>1</v>
      </c>
      <c r="EL209">
        <v>0</v>
      </c>
      <c r="EM209">
        <v>1</v>
      </c>
      <c r="EN209">
        <v>2</v>
      </c>
      <c r="EO209">
        <v>1</v>
      </c>
      <c r="EP209">
        <v>1</v>
      </c>
      <c r="EQ209">
        <v>1</v>
      </c>
      <c r="ER209">
        <v>6</v>
      </c>
      <c r="ES209">
        <v>0</v>
      </c>
      <c r="ET209">
        <v>0</v>
      </c>
      <c r="EU209">
        <v>0</v>
      </c>
      <c r="EV209">
        <v>1</v>
      </c>
      <c r="EW209">
        <v>0</v>
      </c>
      <c r="EX209">
        <v>1</v>
      </c>
      <c r="EY209">
        <v>0</v>
      </c>
      <c r="EZ209">
        <v>0</v>
      </c>
      <c r="FA209">
        <v>0</v>
      </c>
      <c r="FB209">
        <v>0</v>
      </c>
      <c r="FC209">
        <v>6</v>
      </c>
      <c r="FD209">
        <v>1</v>
      </c>
      <c r="FE209">
        <v>0</v>
      </c>
      <c r="FF209">
        <v>0</v>
      </c>
      <c r="FG209">
        <v>1</v>
      </c>
      <c r="FH209">
        <v>1</v>
      </c>
      <c r="FI209">
        <v>1</v>
      </c>
      <c r="FJ209">
        <v>2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3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15</v>
      </c>
    </row>
    <row r="210" spans="1:201" x14ac:dyDescent="0.3">
      <c r="A210" t="s">
        <v>271</v>
      </c>
      <c r="B210" t="s">
        <v>200</v>
      </c>
      <c r="C210" t="s">
        <v>203</v>
      </c>
      <c r="D210" s="1">
        <f>D213+D216+D219+D222+D225+D228+D231+D234+D237+D240+D243+D246+D249+D252+D255+D258+D261+D264+D267+D270+D273+D276+D279</f>
        <v>57005</v>
      </c>
      <c r="E210" s="1">
        <f t="shared" ref="E210:BP210" si="24">E213+E216+E219+E222+E225+E228+E231+E234+E237+E240+E243+E246+E249+E252+E255+E258+E261+E264+E267+E270+E273+E276+E279</f>
        <v>15038</v>
      </c>
      <c r="F210" s="1">
        <f t="shared" si="24"/>
        <v>1585</v>
      </c>
      <c r="G210" s="1">
        <f t="shared" si="24"/>
        <v>4916</v>
      </c>
      <c r="H210" s="1">
        <f t="shared" si="24"/>
        <v>4907</v>
      </c>
      <c r="I210" s="1">
        <f t="shared" si="24"/>
        <v>4423</v>
      </c>
      <c r="J210" s="1">
        <f t="shared" si="24"/>
        <v>3220</v>
      </c>
      <c r="K210" s="1">
        <f t="shared" si="24"/>
        <v>5795</v>
      </c>
      <c r="L210" s="1">
        <f t="shared" si="24"/>
        <v>2224</v>
      </c>
      <c r="M210" s="1">
        <f t="shared" si="24"/>
        <v>1782</v>
      </c>
      <c r="N210" s="1">
        <f t="shared" si="24"/>
        <v>1256</v>
      </c>
      <c r="O210" s="1">
        <f t="shared" si="24"/>
        <v>560</v>
      </c>
      <c r="P210" s="1">
        <f t="shared" si="24"/>
        <v>649</v>
      </c>
      <c r="Q210" s="1">
        <f t="shared" si="24"/>
        <v>2692</v>
      </c>
      <c r="R210" s="1">
        <f t="shared" si="24"/>
        <v>1205</v>
      </c>
      <c r="S210" s="1">
        <f t="shared" si="24"/>
        <v>120</v>
      </c>
      <c r="T210" s="1">
        <f t="shared" si="24"/>
        <v>512</v>
      </c>
      <c r="U210" s="1">
        <f t="shared" si="24"/>
        <v>687</v>
      </c>
      <c r="V210" s="1">
        <f t="shared" si="24"/>
        <v>968</v>
      </c>
      <c r="W210" s="1">
        <f t="shared" si="24"/>
        <v>150</v>
      </c>
      <c r="X210" s="1">
        <f t="shared" si="24"/>
        <v>772</v>
      </c>
      <c r="Y210" s="1">
        <f t="shared" si="24"/>
        <v>801</v>
      </c>
      <c r="Z210" s="1">
        <f t="shared" si="24"/>
        <v>416</v>
      </c>
      <c r="AA210" s="1">
        <f t="shared" si="24"/>
        <v>30</v>
      </c>
      <c r="AB210" s="1">
        <f t="shared" si="24"/>
        <v>277</v>
      </c>
      <c r="AC210" s="1">
        <f t="shared" si="24"/>
        <v>56</v>
      </c>
      <c r="AD210" s="1">
        <f t="shared" si="24"/>
        <v>73</v>
      </c>
      <c r="AE210" s="1">
        <f t="shared" si="24"/>
        <v>142</v>
      </c>
      <c r="AF210" s="1">
        <f t="shared" si="24"/>
        <v>62</v>
      </c>
      <c r="AG210" s="1">
        <f t="shared" si="24"/>
        <v>61</v>
      </c>
      <c r="AH210" s="1">
        <f t="shared" si="24"/>
        <v>29</v>
      </c>
      <c r="AI210" s="1">
        <f t="shared" si="24"/>
        <v>247</v>
      </c>
      <c r="AJ210" s="1">
        <f t="shared" si="24"/>
        <v>60</v>
      </c>
      <c r="AK210" s="1">
        <f t="shared" si="24"/>
        <v>49</v>
      </c>
      <c r="AL210" s="1">
        <f t="shared" si="24"/>
        <v>34</v>
      </c>
      <c r="AM210" s="1">
        <f t="shared" si="24"/>
        <v>4</v>
      </c>
      <c r="AN210" s="1">
        <f t="shared" si="24"/>
        <v>18</v>
      </c>
      <c r="AO210" s="1">
        <f t="shared" si="24"/>
        <v>97</v>
      </c>
      <c r="AP210" s="1">
        <f t="shared" si="24"/>
        <v>129</v>
      </c>
      <c r="AQ210" s="1">
        <f t="shared" si="24"/>
        <v>30</v>
      </c>
      <c r="AR210" s="1">
        <f t="shared" si="24"/>
        <v>55</v>
      </c>
      <c r="AS210" s="1">
        <f t="shared" si="24"/>
        <v>29</v>
      </c>
      <c r="AT210" s="1">
        <f t="shared" si="24"/>
        <v>3</v>
      </c>
      <c r="AU210" s="1">
        <f t="shared" si="24"/>
        <v>28</v>
      </c>
      <c r="AV210" s="1">
        <f t="shared" si="24"/>
        <v>53</v>
      </c>
      <c r="AW210" s="1">
        <f t="shared" si="24"/>
        <v>9</v>
      </c>
      <c r="AX210" s="1">
        <f t="shared" si="24"/>
        <v>72</v>
      </c>
      <c r="AY210" s="1">
        <f t="shared" si="24"/>
        <v>10</v>
      </c>
      <c r="AZ210" s="1">
        <f t="shared" si="24"/>
        <v>9</v>
      </c>
      <c r="BA210" s="1">
        <f t="shared" si="24"/>
        <v>4</v>
      </c>
      <c r="BB210" s="1">
        <f t="shared" si="24"/>
        <v>6</v>
      </c>
      <c r="BC210" s="1">
        <f t="shared" si="24"/>
        <v>9</v>
      </c>
      <c r="BD210" s="1">
        <f t="shared" si="24"/>
        <v>10</v>
      </c>
      <c r="BE210" s="1">
        <f t="shared" si="24"/>
        <v>15</v>
      </c>
      <c r="BF210" s="1">
        <f t="shared" si="24"/>
        <v>58</v>
      </c>
      <c r="BG210" s="1">
        <f t="shared" si="24"/>
        <v>13</v>
      </c>
      <c r="BH210" s="1">
        <f t="shared" si="24"/>
        <v>0</v>
      </c>
      <c r="BI210" s="1">
        <f t="shared" si="24"/>
        <v>188</v>
      </c>
      <c r="BJ210" s="1">
        <f t="shared" si="24"/>
        <v>104</v>
      </c>
      <c r="BK210" s="1">
        <f t="shared" si="24"/>
        <v>7</v>
      </c>
      <c r="BL210" s="1">
        <f t="shared" si="24"/>
        <v>15</v>
      </c>
      <c r="BM210" s="1">
        <f t="shared" si="24"/>
        <v>33</v>
      </c>
      <c r="BN210" s="1">
        <f t="shared" si="24"/>
        <v>0</v>
      </c>
      <c r="BO210" s="1">
        <f t="shared" si="24"/>
        <v>3</v>
      </c>
      <c r="BP210" s="1">
        <f t="shared" si="24"/>
        <v>18</v>
      </c>
      <c r="BQ210" s="1">
        <f t="shared" ref="BQ210:EB210" si="25">BQ213+BQ216+BQ219+BQ222+BQ225+BQ228+BQ231+BQ234+BQ237+BQ240+BQ243+BQ246+BQ249+BQ252+BQ255+BQ258+BQ261+BQ264+BQ267+BQ270+BQ273+BQ276+BQ279</f>
        <v>21</v>
      </c>
      <c r="BR210" s="1">
        <f t="shared" si="25"/>
        <v>2</v>
      </c>
      <c r="BS210" s="1">
        <f t="shared" si="25"/>
        <v>5</v>
      </c>
      <c r="BT210" s="1">
        <f t="shared" si="25"/>
        <v>5</v>
      </c>
      <c r="BU210" s="1">
        <f t="shared" si="25"/>
        <v>1</v>
      </c>
      <c r="BV210" s="1">
        <f t="shared" si="25"/>
        <v>3</v>
      </c>
      <c r="BW210" s="1">
        <f t="shared" si="25"/>
        <v>2</v>
      </c>
      <c r="BX210" s="1">
        <f t="shared" si="25"/>
        <v>7</v>
      </c>
      <c r="BY210" s="1">
        <f t="shared" si="25"/>
        <v>23</v>
      </c>
      <c r="BZ210" s="1">
        <f t="shared" si="25"/>
        <v>4</v>
      </c>
      <c r="CA210" s="1">
        <f t="shared" si="25"/>
        <v>1</v>
      </c>
      <c r="CB210" s="1">
        <f t="shared" si="25"/>
        <v>12</v>
      </c>
      <c r="CC210" s="1">
        <f t="shared" si="25"/>
        <v>3</v>
      </c>
      <c r="CD210" s="1">
        <f t="shared" si="25"/>
        <v>1</v>
      </c>
      <c r="CE210" s="1">
        <f t="shared" si="25"/>
        <v>1</v>
      </c>
      <c r="CF210" s="1">
        <f t="shared" si="25"/>
        <v>1</v>
      </c>
      <c r="CG210" s="1">
        <f t="shared" si="25"/>
        <v>3</v>
      </c>
      <c r="CH210" s="1">
        <f t="shared" si="25"/>
        <v>4</v>
      </c>
      <c r="CI210" s="1">
        <f t="shared" si="25"/>
        <v>0</v>
      </c>
      <c r="CJ210" s="1">
        <f t="shared" si="25"/>
        <v>1</v>
      </c>
      <c r="CK210" s="1">
        <f t="shared" si="25"/>
        <v>3</v>
      </c>
      <c r="CL210" s="1">
        <f t="shared" si="25"/>
        <v>2</v>
      </c>
      <c r="CM210" s="1">
        <f t="shared" si="25"/>
        <v>3</v>
      </c>
      <c r="CN210" s="1">
        <f t="shared" si="25"/>
        <v>0</v>
      </c>
      <c r="CO210" s="1">
        <f t="shared" si="25"/>
        <v>0</v>
      </c>
      <c r="CP210" s="1">
        <f t="shared" si="25"/>
        <v>0</v>
      </c>
      <c r="CQ210" s="1">
        <f t="shared" si="25"/>
        <v>0</v>
      </c>
      <c r="CR210" s="1">
        <f t="shared" si="25"/>
        <v>1</v>
      </c>
      <c r="CS210" s="1">
        <f t="shared" si="25"/>
        <v>2</v>
      </c>
      <c r="CT210" s="1">
        <f t="shared" si="25"/>
        <v>0</v>
      </c>
      <c r="CU210" s="1">
        <f t="shared" si="25"/>
        <v>1</v>
      </c>
      <c r="CV210" s="1">
        <f t="shared" si="25"/>
        <v>0</v>
      </c>
      <c r="CW210" s="1">
        <f t="shared" si="25"/>
        <v>1</v>
      </c>
      <c r="CX210" s="1">
        <f t="shared" si="25"/>
        <v>0</v>
      </c>
      <c r="CY210" s="1">
        <f t="shared" si="25"/>
        <v>0</v>
      </c>
      <c r="CZ210" s="1">
        <f t="shared" si="25"/>
        <v>0</v>
      </c>
      <c r="DA210" s="1">
        <f t="shared" si="25"/>
        <v>5</v>
      </c>
      <c r="DB210" s="1">
        <f t="shared" si="25"/>
        <v>1</v>
      </c>
      <c r="DC210" s="1">
        <f t="shared" si="25"/>
        <v>1</v>
      </c>
      <c r="DD210" s="1">
        <f t="shared" si="25"/>
        <v>4</v>
      </c>
      <c r="DE210" s="1">
        <f t="shared" si="25"/>
        <v>5</v>
      </c>
      <c r="DF210" s="1">
        <f t="shared" si="25"/>
        <v>0</v>
      </c>
      <c r="DG210" s="1">
        <f t="shared" si="25"/>
        <v>0</v>
      </c>
      <c r="DH210" s="1">
        <f t="shared" si="25"/>
        <v>2</v>
      </c>
      <c r="DI210" s="1">
        <f t="shared" si="25"/>
        <v>0</v>
      </c>
      <c r="DJ210" s="1">
        <f t="shared" si="25"/>
        <v>1</v>
      </c>
      <c r="DK210" s="1">
        <f t="shared" si="25"/>
        <v>0</v>
      </c>
      <c r="DL210" s="1">
        <f t="shared" si="25"/>
        <v>0</v>
      </c>
      <c r="DM210" s="1">
        <f t="shared" si="25"/>
        <v>0</v>
      </c>
      <c r="DN210" s="1">
        <f t="shared" si="25"/>
        <v>0</v>
      </c>
      <c r="DO210" s="1">
        <f t="shared" si="25"/>
        <v>0</v>
      </c>
      <c r="DP210" s="1">
        <f t="shared" si="25"/>
        <v>0</v>
      </c>
      <c r="DQ210" s="1">
        <f t="shared" si="25"/>
        <v>1</v>
      </c>
      <c r="DR210" s="1">
        <f t="shared" si="25"/>
        <v>0</v>
      </c>
      <c r="DS210" s="1">
        <f t="shared" si="25"/>
        <v>0</v>
      </c>
      <c r="DT210" s="1">
        <f t="shared" si="25"/>
        <v>2</v>
      </c>
      <c r="DU210" s="1">
        <f t="shared" si="25"/>
        <v>11</v>
      </c>
      <c r="DV210" s="1">
        <f t="shared" si="25"/>
        <v>0</v>
      </c>
      <c r="DW210" s="1">
        <f t="shared" si="25"/>
        <v>0</v>
      </c>
      <c r="DX210" s="1">
        <f t="shared" si="25"/>
        <v>0</v>
      </c>
      <c r="DY210" s="1">
        <f t="shared" si="25"/>
        <v>1</v>
      </c>
      <c r="DZ210" s="1">
        <f t="shared" si="25"/>
        <v>0</v>
      </c>
      <c r="EA210" s="1">
        <f t="shared" si="25"/>
        <v>3</v>
      </c>
      <c r="EB210" s="1">
        <f t="shared" si="25"/>
        <v>1</v>
      </c>
      <c r="EC210" s="1">
        <f t="shared" ref="EC210:FW210" si="26">EC213+EC216+EC219+EC222+EC225+EC228+EC231+EC234+EC237+EC240+EC243+EC246+EC249+EC252+EC255+EC258+EC261+EC264+EC267+EC270+EC273+EC276+EC279</f>
        <v>1</v>
      </c>
      <c r="ED210" s="1">
        <f t="shared" si="26"/>
        <v>0</v>
      </c>
      <c r="EE210" s="1">
        <f t="shared" si="26"/>
        <v>0</v>
      </c>
      <c r="EF210" s="1">
        <f t="shared" si="26"/>
        <v>0</v>
      </c>
      <c r="EG210" s="1">
        <f t="shared" si="26"/>
        <v>6</v>
      </c>
      <c r="EH210" s="1">
        <f t="shared" si="26"/>
        <v>0</v>
      </c>
      <c r="EI210" s="1">
        <f t="shared" si="26"/>
        <v>0</v>
      </c>
      <c r="EJ210" s="1">
        <f t="shared" si="26"/>
        <v>1</v>
      </c>
      <c r="EK210" s="1">
        <f t="shared" si="26"/>
        <v>0</v>
      </c>
      <c r="EL210" s="1">
        <f t="shared" si="26"/>
        <v>0</v>
      </c>
      <c r="EM210" s="1">
        <f t="shared" si="26"/>
        <v>0</v>
      </c>
      <c r="EN210" s="1">
        <f t="shared" si="26"/>
        <v>1</v>
      </c>
      <c r="EO210" s="1">
        <f t="shared" si="26"/>
        <v>0</v>
      </c>
      <c r="EP210" s="1">
        <f t="shared" si="26"/>
        <v>1</v>
      </c>
      <c r="EQ210" s="1">
        <f t="shared" si="26"/>
        <v>0</v>
      </c>
      <c r="ER210" s="1">
        <f t="shared" si="26"/>
        <v>3</v>
      </c>
      <c r="ES210" s="1">
        <f t="shared" si="26"/>
        <v>0</v>
      </c>
      <c r="ET210" s="1">
        <f t="shared" si="26"/>
        <v>0</v>
      </c>
      <c r="EU210" s="1">
        <f t="shared" si="26"/>
        <v>0</v>
      </c>
      <c r="EV210" s="1">
        <f t="shared" si="26"/>
        <v>1</v>
      </c>
      <c r="EW210" s="1">
        <f t="shared" si="26"/>
        <v>0</v>
      </c>
      <c r="EX210" s="1">
        <f t="shared" si="26"/>
        <v>0</v>
      </c>
      <c r="EY210" s="1">
        <f t="shared" si="26"/>
        <v>0</v>
      </c>
      <c r="EZ210" s="1">
        <f t="shared" si="26"/>
        <v>0</v>
      </c>
      <c r="FA210" s="1">
        <f t="shared" si="26"/>
        <v>0</v>
      </c>
      <c r="FB210" s="1">
        <f t="shared" si="26"/>
        <v>0</v>
      </c>
      <c r="FC210" s="1">
        <f t="shared" si="26"/>
        <v>3</v>
      </c>
      <c r="FD210" s="1">
        <f t="shared" si="26"/>
        <v>0</v>
      </c>
      <c r="FE210" s="1">
        <f t="shared" si="26"/>
        <v>0</v>
      </c>
      <c r="FF210" s="1">
        <f t="shared" si="26"/>
        <v>0</v>
      </c>
      <c r="FG210" s="1">
        <f t="shared" si="26"/>
        <v>1</v>
      </c>
      <c r="FH210" s="1">
        <f t="shared" si="26"/>
        <v>1</v>
      </c>
      <c r="FI210" s="1">
        <f t="shared" si="26"/>
        <v>1</v>
      </c>
      <c r="FJ210" s="1">
        <f t="shared" si="26"/>
        <v>1</v>
      </c>
      <c r="FK210" s="1">
        <f t="shared" si="26"/>
        <v>0</v>
      </c>
      <c r="FL210" s="1">
        <f t="shared" si="26"/>
        <v>0</v>
      </c>
      <c r="FM210" s="1">
        <f t="shared" si="26"/>
        <v>0</v>
      </c>
      <c r="FN210" s="1">
        <f t="shared" si="26"/>
        <v>0</v>
      </c>
      <c r="FO210" s="1">
        <f t="shared" si="26"/>
        <v>0</v>
      </c>
      <c r="FP210" s="1">
        <f t="shared" si="26"/>
        <v>0</v>
      </c>
      <c r="FQ210" s="1">
        <f t="shared" si="26"/>
        <v>0</v>
      </c>
      <c r="FR210" s="1">
        <f t="shared" si="26"/>
        <v>0</v>
      </c>
      <c r="FS210" s="1">
        <f t="shared" si="26"/>
        <v>0</v>
      </c>
      <c r="FT210" s="1">
        <f t="shared" si="26"/>
        <v>0</v>
      </c>
      <c r="FU210" s="1">
        <f t="shared" si="26"/>
        <v>0</v>
      </c>
      <c r="FV210" s="1">
        <f t="shared" si="26"/>
        <v>0</v>
      </c>
      <c r="FW210" s="1">
        <f t="shared" si="26"/>
        <v>1</v>
      </c>
      <c r="FX210" s="1">
        <f>FX213+FX216+FX219+FX222+FX225+FX228+FX231+FX234+FX237+FX240+FX243+FX246+FX249+FX252+FX255+FX258+FX261+FX264+FX267+FX270+FX273+FX276+FX279</f>
        <v>0</v>
      </c>
      <c r="FY210" s="1">
        <f t="shared" ref="FY210:GS210" si="27">FY213+FY216+FY219+FY222+FY225+FY228+FY231+FY234+FY237+FY240+FY243+FY246+FY249+FY252+FY255+FY258+FY261+FY264+FY267+FY270+FY273+FY276+FY279</f>
        <v>0</v>
      </c>
      <c r="FZ210" s="1">
        <f t="shared" si="27"/>
        <v>0</v>
      </c>
      <c r="GA210" s="1">
        <f t="shared" si="27"/>
        <v>0</v>
      </c>
      <c r="GB210" s="1">
        <f t="shared" si="27"/>
        <v>0</v>
      </c>
      <c r="GC210" s="1">
        <f t="shared" si="27"/>
        <v>0</v>
      </c>
      <c r="GD210" s="1">
        <f t="shared" si="27"/>
        <v>0</v>
      </c>
      <c r="GE210" s="1">
        <f t="shared" si="27"/>
        <v>0</v>
      </c>
      <c r="GF210" s="1">
        <f t="shared" si="27"/>
        <v>0</v>
      </c>
      <c r="GG210" s="1">
        <f t="shared" si="27"/>
        <v>0</v>
      </c>
      <c r="GH210" s="1">
        <f t="shared" si="27"/>
        <v>0</v>
      </c>
      <c r="GI210" s="1">
        <f t="shared" si="27"/>
        <v>0</v>
      </c>
      <c r="GJ210" s="1">
        <f t="shared" si="27"/>
        <v>0</v>
      </c>
      <c r="GK210" s="1">
        <f t="shared" si="27"/>
        <v>0</v>
      </c>
      <c r="GL210" s="1">
        <f t="shared" si="27"/>
        <v>0</v>
      </c>
      <c r="GM210" s="1">
        <f t="shared" si="27"/>
        <v>0</v>
      </c>
      <c r="GN210" s="1">
        <f t="shared" si="27"/>
        <v>0</v>
      </c>
      <c r="GO210" s="1">
        <f t="shared" si="27"/>
        <v>0</v>
      </c>
      <c r="GP210" s="1">
        <f t="shared" si="27"/>
        <v>0</v>
      </c>
      <c r="GQ210" s="1">
        <f t="shared" si="27"/>
        <v>0</v>
      </c>
      <c r="GR210" s="1">
        <f t="shared" si="27"/>
        <v>0</v>
      </c>
      <c r="GS210" s="1">
        <f t="shared" si="27"/>
        <v>5</v>
      </c>
    </row>
    <row r="211" spans="1:201" x14ac:dyDescent="0.3">
      <c r="A211" t="s">
        <v>271</v>
      </c>
      <c r="B211" t="s">
        <v>200</v>
      </c>
      <c r="C211" t="s">
        <v>204</v>
      </c>
      <c r="D211" s="1">
        <f>D214+D217+D220+D223+D226+D229+D232+D235+D238+D241+D244+D247+D250+D253+D256+D259+D262+D265+D268+D271+D274+D277+D280</f>
        <v>31008</v>
      </c>
      <c r="E211" s="1">
        <f t="shared" ref="E211:BP211" si="28">E214+E217+E220+E223+E226+E229+E232+E235+E238+E241+E244+E247+E250+E253+E256+E259+E262+E265+E268+E271+E274+E277+E280</f>
        <v>11153</v>
      </c>
      <c r="F211" s="1">
        <f t="shared" si="28"/>
        <v>1254</v>
      </c>
      <c r="G211" s="1">
        <f t="shared" si="28"/>
        <v>5361</v>
      </c>
      <c r="H211" s="1">
        <f t="shared" si="28"/>
        <v>1065</v>
      </c>
      <c r="I211" s="1">
        <f t="shared" si="28"/>
        <v>1233</v>
      </c>
      <c r="J211" s="1">
        <f t="shared" si="28"/>
        <v>1590</v>
      </c>
      <c r="K211" s="1">
        <f t="shared" si="28"/>
        <v>530</v>
      </c>
      <c r="L211" s="1">
        <f t="shared" si="28"/>
        <v>175</v>
      </c>
      <c r="M211" s="1">
        <f t="shared" si="28"/>
        <v>1587</v>
      </c>
      <c r="N211" s="1">
        <f t="shared" si="28"/>
        <v>1013</v>
      </c>
      <c r="O211" s="1">
        <f t="shared" si="28"/>
        <v>691</v>
      </c>
      <c r="P211" s="1">
        <f t="shared" si="28"/>
        <v>353</v>
      </c>
      <c r="Q211" s="1">
        <f t="shared" si="28"/>
        <v>437</v>
      </c>
      <c r="R211" s="1">
        <f t="shared" si="28"/>
        <v>240</v>
      </c>
      <c r="S211" s="1">
        <f t="shared" si="28"/>
        <v>569</v>
      </c>
      <c r="T211" s="1">
        <f t="shared" si="28"/>
        <v>409</v>
      </c>
      <c r="U211" s="1">
        <f t="shared" si="28"/>
        <v>675</v>
      </c>
      <c r="V211" s="1">
        <f t="shared" si="28"/>
        <v>192</v>
      </c>
      <c r="W211" s="1">
        <f t="shared" si="28"/>
        <v>163</v>
      </c>
      <c r="X211" s="1">
        <f t="shared" si="28"/>
        <v>309</v>
      </c>
      <c r="Y211" s="1">
        <f t="shared" si="28"/>
        <v>412</v>
      </c>
      <c r="Z211" s="1">
        <f t="shared" si="28"/>
        <v>220</v>
      </c>
      <c r="AA211" s="1">
        <f t="shared" si="28"/>
        <v>24</v>
      </c>
      <c r="AB211" s="1">
        <f t="shared" si="28"/>
        <v>193</v>
      </c>
      <c r="AC211" s="1">
        <f t="shared" si="28"/>
        <v>39</v>
      </c>
      <c r="AD211" s="1">
        <f t="shared" si="28"/>
        <v>160</v>
      </c>
      <c r="AE211" s="1">
        <f t="shared" si="28"/>
        <v>19</v>
      </c>
      <c r="AF211" s="1">
        <f t="shared" si="28"/>
        <v>27</v>
      </c>
      <c r="AG211" s="1">
        <f t="shared" si="28"/>
        <v>26</v>
      </c>
      <c r="AH211" s="1">
        <f t="shared" si="28"/>
        <v>27</v>
      </c>
      <c r="AI211" s="1">
        <f t="shared" si="28"/>
        <v>38</v>
      </c>
      <c r="AJ211" s="1">
        <f t="shared" si="28"/>
        <v>41</v>
      </c>
      <c r="AK211" s="1">
        <f t="shared" si="28"/>
        <v>38</v>
      </c>
      <c r="AL211" s="1">
        <f t="shared" si="28"/>
        <v>51</v>
      </c>
      <c r="AM211" s="1">
        <f t="shared" si="28"/>
        <v>12</v>
      </c>
      <c r="AN211" s="1">
        <f t="shared" si="28"/>
        <v>11</v>
      </c>
      <c r="AO211" s="1">
        <f t="shared" si="28"/>
        <v>34</v>
      </c>
      <c r="AP211" s="1">
        <f t="shared" si="28"/>
        <v>73</v>
      </c>
      <c r="AQ211" s="1">
        <f t="shared" si="28"/>
        <v>51</v>
      </c>
      <c r="AR211" s="1">
        <f t="shared" si="28"/>
        <v>43</v>
      </c>
      <c r="AS211" s="1">
        <f t="shared" si="28"/>
        <v>24</v>
      </c>
      <c r="AT211" s="1">
        <f t="shared" si="28"/>
        <v>9</v>
      </c>
      <c r="AU211" s="1">
        <f t="shared" si="28"/>
        <v>24</v>
      </c>
      <c r="AV211" s="1">
        <f t="shared" si="28"/>
        <v>12</v>
      </c>
      <c r="AW211" s="1">
        <f t="shared" si="28"/>
        <v>7</v>
      </c>
      <c r="AX211" s="1">
        <f t="shared" si="28"/>
        <v>12</v>
      </c>
      <c r="AY211" s="1">
        <f t="shared" si="28"/>
        <v>17</v>
      </c>
      <c r="AZ211" s="1">
        <f t="shared" si="28"/>
        <v>1</v>
      </c>
      <c r="BA211" s="1">
        <f t="shared" si="28"/>
        <v>2</v>
      </c>
      <c r="BB211" s="1">
        <f t="shared" si="28"/>
        <v>2</v>
      </c>
      <c r="BC211" s="1">
        <f t="shared" si="28"/>
        <v>2</v>
      </c>
      <c r="BD211" s="1">
        <f t="shared" si="28"/>
        <v>1</v>
      </c>
      <c r="BE211" s="1">
        <f t="shared" si="28"/>
        <v>9</v>
      </c>
      <c r="BF211" s="1">
        <f t="shared" si="28"/>
        <v>50</v>
      </c>
      <c r="BG211" s="1">
        <f t="shared" si="28"/>
        <v>8</v>
      </c>
      <c r="BH211" s="1">
        <f t="shared" si="28"/>
        <v>8</v>
      </c>
      <c r="BI211" s="1">
        <f t="shared" si="28"/>
        <v>37</v>
      </c>
      <c r="BJ211" s="1">
        <f t="shared" si="28"/>
        <v>50</v>
      </c>
      <c r="BK211" s="1">
        <f t="shared" si="28"/>
        <v>0</v>
      </c>
      <c r="BL211" s="1">
        <f t="shared" si="28"/>
        <v>8</v>
      </c>
      <c r="BM211" s="1">
        <f t="shared" si="28"/>
        <v>12</v>
      </c>
      <c r="BN211" s="1">
        <f t="shared" si="28"/>
        <v>4</v>
      </c>
      <c r="BO211" s="1">
        <f t="shared" si="28"/>
        <v>6</v>
      </c>
      <c r="BP211" s="1">
        <f t="shared" si="28"/>
        <v>12</v>
      </c>
      <c r="BQ211" s="1">
        <f t="shared" ref="BQ211:EB211" si="29">BQ214+BQ217+BQ220+BQ223+BQ226+BQ229+BQ232+BQ235+BQ238+BQ241+BQ244+BQ247+BQ250+BQ253+BQ256+BQ259+BQ262+BQ265+BQ268+BQ271+BQ274+BQ277+BQ280</f>
        <v>8</v>
      </c>
      <c r="BR211" s="1">
        <f t="shared" si="29"/>
        <v>4</v>
      </c>
      <c r="BS211" s="1">
        <f t="shared" si="29"/>
        <v>1</v>
      </c>
      <c r="BT211" s="1">
        <f t="shared" si="29"/>
        <v>1</v>
      </c>
      <c r="BU211" s="1">
        <f t="shared" si="29"/>
        <v>6</v>
      </c>
      <c r="BV211" s="1">
        <f t="shared" si="29"/>
        <v>9</v>
      </c>
      <c r="BW211" s="1">
        <f t="shared" si="29"/>
        <v>0</v>
      </c>
      <c r="BX211" s="1">
        <f t="shared" si="29"/>
        <v>3</v>
      </c>
      <c r="BY211" s="1">
        <f t="shared" si="29"/>
        <v>7</v>
      </c>
      <c r="BZ211" s="1">
        <f t="shared" si="29"/>
        <v>1</v>
      </c>
      <c r="CA211" s="1">
        <f t="shared" si="29"/>
        <v>0</v>
      </c>
      <c r="CB211" s="1">
        <f t="shared" si="29"/>
        <v>4</v>
      </c>
      <c r="CC211" s="1">
        <f t="shared" si="29"/>
        <v>3</v>
      </c>
      <c r="CD211" s="1">
        <f t="shared" si="29"/>
        <v>2</v>
      </c>
      <c r="CE211" s="1">
        <f t="shared" si="29"/>
        <v>0</v>
      </c>
      <c r="CF211" s="1">
        <f t="shared" si="29"/>
        <v>2</v>
      </c>
      <c r="CG211" s="1">
        <f t="shared" si="29"/>
        <v>3</v>
      </c>
      <c r="CH211" s="1">
        <f t="shared" si="29"/>
        <v>1</v>
      </c>
      <c r="CI211" s="1">
        <f t="shared" si="29"/>
        <v>5</v>
      </c>
      <c r="CJ211" s="1">
        <f t="shared" si="29"/>
        <v>1</v>
      </c>
      <c r="CK211" s="1">
        <f t="shared" si="29"/>
        <v>3</v>
      </c>
      <c r="CL211" s="1">
        <f t="shared" si="29"/>
        <v>3</v>
      </c>
      <c r="CM211" s="1">
        <f t="shared" si="29"/>
        <v>0</v>
      </c>
      <c r="CN211" s="1">
        <f t="shared" si="29"/>
        <v>0</v>
      </c>
      <c r="CO211" s="1">
        <f t="shared" si="29"/>
        <v>0</v>
      </c>
      <c r="CP211" s="1">
        <f t="shared" si="29"/>
        <v>0</v>
      </c>
      <c r="CQ211" s="1">
        <f t="shared" si="29"/>
        <v>1</v>
      </c>
      <c r="CR211" s="1">
        <f t="shared" si="29"/>
        <v>4</v>
      </c>
      <c r="CS211" s="1">
        <f t="shared" si="29"/>
        <v>5</v>
      </c>
      <c r="CT211" s="1">
        <f t="shared" si="29"/>
        <v>1</v>
      </c>
      <c r="CU211" s="1">
        <f t="shared" si="29"/>
        <v>0</v>
      </c>
      <c r="CV211" s="1">
        <f t="shared" si="29"/>
        <v>2</v>
      </c>
      <c r="CW211" s="1">
        <f t="shared" si="29"/>
        <v>2</v>
      </c>
      <c r="CX211" s="1">
        <f t="shared" si="29"/>
        <v>1</v>
      </c>
      <c r="CY211" s="1">
        <f t="shared" si="29"/>
        <v>0</v>
      </c>
      <c r="CZ211" s="1">
        <f t="shared" si="29"/>
        <v>3</v>
      </c>
      <c r="DA211" s="1">
        <f t="shared" si="29"/>
        <v>4</v>
      </c>
      <c r="DB211" s="1">
        <f t="shared" si="29"/>
        <v>0</v>
      </c>
      <c r="DC211" s="1">
        <f t="shared" si="29"/>
        <v>0</v>
      </c>
      <c r="DD211" s="1">
        <f t="shared" si="29"/>
        <v>2</v>
      </c>
      <c r="DE211" s="1">
        <f t="shared" si="29"/>
        <v>1</v>
      </c>
      <c r="DF211" s="1">
        <f t="shared" si="29"/>
        <v>1</v>
      </c>
      <c r="DG211" s="1">
        <f t="shared" si="29"/>
        <v>3</v>
      </c>
      <c r="DH211" s="1">
        <f t="shared" si="29"/>
        <v>1</v>
      </c>
      <c r="DI211" s="1">
        <f t="shared" si="29"/>
        <v>1</v>
      </c>
      <c r="DJ211" s="1">
        <f t="shared" si="29"/>
        <v>1</v>
      </c>
      <c r="DK211" s="1">
        <f t="shared" si="29"/>
        <v>1</v>
      </c>
      <c r="DL211" s="1">
        <f t="shared" si="29"/>
        <v>0</v>
      </c>
      <c r="DM211" s="1">
        <f t="shared" si="29"/>
        <v>0</v>
      </c>
      <c r="DN211" s="1">
        <f t="shared" si="29"/>
        <v>1</v>
      </c>
      <c r="DO211" s="1">
        <f t="shared" si="29"/>
        <v>1</v>
      </c>
      <c r="DP211" s="1">
        <f t="shared" si="29"/>
        <v>0</v>
      </c>
      <c r="DQ211" s="1">
        <f t="shared" si="29"/>
        <v>1</v>
      </c>
      <c r="DR211" s="1">
        <f t="shared" si="29"/>
        <v>0</v>
      </c>
      <c r="DS211" s="1">
        <f t="shared" si="29"/>
        <v>0</v>
      </c>
      <c r="DT211" s="1">
        <f t="shared" si="29"/>
        <v>1</v>
      </c>
      <c r="DU211" s="1">
        <f t="shared" si="29"/>
        <v>6</v>
      </c>
      <c r="DV211" s="1">
        <f t="shared" si="29"/>
        <v>1</v>
      </c>
      <c r="DW211" s="1">
        <f t="shared" si="29"/>
        <v>0</v>
      </c>
      <c r="DX211" s="1">
        <f t="shared" si="29"/>
        <v>1</v>
      </c>
      <c r="DY211" s="1">
        <f t="shared" si="29"/>
        <v>1</v>
      </c>
      <c r="DZ211" s="1">
        <f t="shared" si="29"/>
        <v>2</v>
      </c>
      <c r="EA211" s="1">
        <f t="shared" si="29"/>
        <v>4</v>
      </c>
      <c r="EB211" s="1">
        <f t="shared" si="29"/>
        <v>3</v>
      </c>
      <c r="EC211" s="1">
        <f t="shared" ref="EC211:FW211" si="30">EC214+EC217+EC220+EC223+EC226+EC229+EC232+EC235+EC238+EC241+EC244+EC247+EC250+EC253+EC256+EC259+EC262+EC265+EC268+EC271+EC274+EC277+EC280</f>
        <v>0</v>
      </c>
      <c r="ED211" s="1">
        <f t="shared" si="30"/>
        <v>0</v>
      </c>
      <c r="EE211" s="1">
        <f t="shared" si="30"/>
        <v>2</v>
      </c>
      <c r="EF211" s="1">
        <f t="shared" si="30"/>
        <v>1</v>
      </c>
      <c r="EG211" s="1">
        <f t="shared" si="30"/>
        <v>0</v>
      </c>
      <c r="EH211" s="1">
        <f t="shared" si="30"/>
        <v>1</v>
      </c>
      <c r="EI211" s="1">
        <f t="shared" si="30"/>
        <v>0</v>
      </c>
      <c r="EJ211" s="1">
        <f t="shared" si="30"/>
        <v>0</v>
      </c>
      <c r="EK211" s="1">
        <f t="shared" si="30"/>
        <v>1</v>
      </c>
      <c r="EL211" s="1">
        <f t="shared" si="30"/>
        <v>0</v>
      </c>
      <c r="EM211" s="1">
        <f t="shared" si="30"/>
        <v>1</v>
      </c>
      <c r="EN211" s="1">
        <f t="shared" si="30"/>
        <v>1</v>
      </c>
      <c r="EO211" s="1">
        <f t="shared" si="30"/>
        <v>1</v>
      </c>
      <c r="EP211" s="1">
        <f t="shared" si="30"/>
        <v>0</v>
      </c>
      <c r="EQ211" s="1">
        <f t="shared" si="30"/>
        <v>1</v>
      </c>
      <c r="ER211" s="1">
        <f t="shared" si="30"/>
        <v>3</v>
      </c>
      <c r="ES211" s="1">
        <f t="shared" si="30"/>
        <v>0</v>
      </c>
      <c r="ET211" s="1">
        <f t="shared" si="30"/>
        <v>0</v>
      </c>
      <c r="EU211" s="1">
        <f t="shared" si="30"/>
        <v>0</v>
      </c>
      <c r="EV211" s="1">
        <f t="shared" si="30"/>
        <v>0</v>
      </c>
      <c r="EW211" s="1">
        <f t="shared" si="30"/>
        <v>0</v>
      </c>
      <c r="EX211" s="1">
        <f t="shared" si="30"/>
        <v>1</v>
      </c>
      <c r="EY211" s="1">
        <f t="shared" si="30"/>
        <v>0</v>
      </c>
      <c r="EZ211" s="1">
        <f t="shared" si="30"/>
        <v>0</v>
      </c>
      <c r="FA211" s="1">
        <f t="shared" si="30"/>
        <v>0</v>
      </c>
      <c r="FB211" s="1">
        <f t="shared" si="30"/>
        <v>0</v>
      </c>
      <c r="FC211" s="1">
        <f t="shared" si="30"/>
        <v>3</v>
      </c>
      <c r="FD211" s="1">
        <f t="shared" si="30"/>
        <v>1</v>
      </c>
      <c r="FE211" s="1">
        <f t="shared" si="30"/>
        <v>0</v>
      </c>
      <c r="FF211" s="1">
        <f t="shared" si="30"/>
        <v>0</v>
      </c>
      <c r="FG211" s="1">
        <f t="shared" si="30"/>
        <v>0</v>
      </c>
      <c r="FH211" s="1">
        <f t="shared" si="30"/>
        <v>0</v>
      </c>
      <c r="FI211" s="1">
        <f t="shared" si="30"/>
        <v>0</v>
      </c>
      <c r="FJ211" s="1">
        <f t="shared" si="30"/>
        <v>1</v>
      </c>
      <c r="FK211" s="1">
        <f t="shared" si="30"/>
        <v>0</v>
      </c>
      <c r="FL211" s="1">
        <f t="shared" si="30"/>
        <v>0</v>
      </c>
      <c r="FM211" s="1">
        <f t="shared" si="30"/>
        <v>0</v>
      </c>
      <c r="FN211" s="1">
        <f t="shared" si="30"/>
        <v>0</v>
      </c>
      <c r="FO211" s="1">
        <f t="shared" si="30"/>
        <v>0</v>
      </c>
      <c r="FP211" s="1">
        <f t="shared" si="30"/>
        <v>0</v>
      </c>
      <c r="FQ211" s="1">
        <f t="shared" si="30"/>
        <v>0</v>
      </c>
      <c r="FR211" s="1">
        <f t="shared" si="30"/>
        <v>0</v>
      </c>
      <c r="FS211" s="1">
        <f t="shared" si="30"/>
        <v>0</v>
      </c>
      <c r="FT211" s="1">
        <f t="shared" si="30"/>
        <v>0</v>
      </c>
      <c r="FU211" s="1">
        <f t="shared" si="30"/>
        <v>0</v>
      </c>
      <c r="FV211" s="1">
        <f t="shared" si="30"/>
        <v>0</v>
      </c>
      <c r="FW211" s="1">
        <f t="shared" si="30"/>
        <v>2</v>
      </c>
      <c r="FX211" s="1">
        <f>FX214+FX217+FX220+FX223+FX226+FX229+FX232+FX235+FX238+FX241+FX244+FX247+FX250+FX253+FX256+FX259+FX262+FX265+FX268+FX271+FX274+FX277+FX280</f>
        <v>0</v>
      </c>
      <c r="FY211" s="1">
        <f t="shared" ref="FY211:GS211" si="31">FY214+FY217+FY220+FY223+FY226+FY229+FY232+FY235+FY238+FY241+FY244+FY247+FY250+FY253+FY256+FY259+FY262+FY265+FY268+FY271+FY274+FY277+FY280</f>
        <v>0</v>
      </c>
      <c r="FZ211" s="1">
        <f t="shared" si="31"/>
        <v>0</v>
      </c>
      <c r="GA211" s="1">
        <f t="shared" si="31"/>
        <v>0</v>
      </c>
      <c r="GB211" s="1">
        <f t="shared" si="31"/>
        <v>0</v>
      </c>
      <c r="GC211" s="1">
        <f t="shared" si="31"/>
        <v>0</v>
      </c>
      <c r="GD211" s="1">
        <f t="shared" si="31"/>
        <v>0</v>
      </c>
      <c r="GE211" s="1">
        <f t="shared" si="31"/>
        <v>0</v>
      </c>
      <c r="GF211" s="1">
        <f t="shared" si="31"/>
        <v>0</v>
      </c>
      <c r="GG211" s="1">
        <f t="shared" si="31"/>
        <v>0</v>
      </c>
      <c r="GH211" s="1">
        <f t="shared" si="31"/>
        <v>0</v>
      </c>
      <c r="GI211" s="1">
        <f t="shared" si="31"/>
        <v>0</v>
      </c>
      <c r="GJ211" s="1">
        <f t="shared" si="31"/>
        <v>0</v>
      </c>
      <c r="GK211" s="1">
        <f t="shared" si="31"/>
        <v>0</v>
      </c>
      <c r="GL211" s="1">
        <f t="shared" si="31"/>
        <v>0</v>
      </c>
      <c r="GM211" s="1">
        <f t="shared" si="31"/>
        <v>0</v>
      </c>
      <c r="GN211" s="1">
        <f t="shared" si="31"/>
        <v>0</v>
      </c>
      <c r="GO211" s="1">
        <f t="shared" si="31"/>
        <v>0</v>
      </c>
      <c r="GP211" s="1">
        <f t="shared" si="31"/>
        <v>0</v>
      </c>
      <c r="GQ211" s="1">
        <f t="shared" si="31"/>
        <v>0</v>
      </c>
      <c r="GR211" s="1">
        <f t="shared" si="31"/>
        <v>0</v>
      </c>
      <c r="GS211" s="1">
        <f t="shared" si="31"/>
        <v>10</v>
      </c>
    </row>
    <row r="212" spans="1:201" x14ac:dyDescent="0.3">
      <c r="A212" t="s">
        <v>271</v>
      </c>
      <c r="B212" t="s">
        <v>272</v>
      </c>
      <c r="C212" t="s">
        <v>200</v>
      </c>
      <c r="D212" s="1">
        <v>22346</v>
      </c>
      <c r="E212" s="1">
        <v>7560</v>
      </c>
      <c r="F212">
        <v>269</v>
      </c>
      <c r="G212" s="1">
        <v>5377</v>
      </c>
      <c r="H212" s="1">
        <v>1034</v>
      </c>
      <c r="I212" s="1">
        <v>2914</v>
      </c>
      <c r="J212">
        <v>353</v>
      </c>
      <c r="K212">
        <v>611</v>
      </c>
      <c r="L212">
        <v>374</v>
      </c>
      <c r="M212">
        <v>266</v>
      </c>
      <c r="N212">
        <v>230</v>
      </c>
      <c r="O212">
        <v>456</v>
      </c>
      <c r="P212">
        <v>71</v>
      </c>
      <c r="Q212">
        <v>398</v>
      </c>
      <c r="R212">
        <v>294</v>
      </c>
      <c r="S212">
        <v>106</v>
      </c>
      <c r="T212">
        <v>108</v>
      </c>
      <c r="U212">
        <v>43</v>
      </c>
      <c r="V212">
        <v>354</v>
      </c>
      <c r="W212">
        <v>44</v>
      </c>
      <c r="X212">
        <v>416</v>
      </c>
      <c r="Y212">
        <v>27</v>
      </c>
      <c r="Z212">
        <v>342</v>
      </c>
      <c r="AA212">
        <v>22</v>
      </c>
      <c r="AB212">
        <v>16</v>
      </c>
      <c r="AC212">
        <v>16</v>
      </c>
      <c r="AD212">
        <v>16</v>
      </c>
      <c r="AE212">
        <v>7</v>
      </c>
      <c r="AF212">
        <v>15</v>
      </c>
      <c r="AG212">
        <v>26</v>
      </c>
      <c r="AH212">
        <v>5</v>
      </c>
      <c r="AI212">
        <v>28</v>
      </c>
      <c r="AJ212">
        <v>7</v>
      </c>
      <c r="AK212">
        <v>14</v>
      </c>
      <c r="AL212">
        <v>13</v>
      </c>
      <c r="AM212">
        <v>3</v>
      </c>
      <c r="AN212">
        <v>4</v>
      </c>
      <c r="AO212">
        <v>70</v>
      </c>
      <c r="AP212">
        <v>7</v>
      </c>
      <c r="AQ212">
        <v>13</v>
      </c>
      <c r="AR212">
        <v>61</v>
      </c>
      <c r="AS212">
        <v>8</v>
      </c>
      <c r="AT212">
        <v>6</v>
      </c>
      <c r="AU212">
        <v>10</v>
      </c>
      <c r="AV212">
        <v>32</v>
      </c>
      <c r="AW212">
        <v>5</v>
      </c>
      <c r="AX212">
        <v>1</v>
      </c>
      <c r="AY212">
        <v>14</v>
      </c>
      <c r="AZ212">
        <v>3</v>
      </c>
      <c r="BA212">
        <v>2</v>
      </c>
      <c r="BB212">
        <v>7</v>
      </c>
      <c r="BC212">
        <v>5</v>
      </c>
      <c r="BD212">
        <v>1</v>
      </c>
      <c r="BE212">
        <v>4</v>
      </c>
      <c r="BF212">
        <v>80</v>
      </c>
      <c r="BG212">
        <v>3</v>
      </c>
      <c r="BH212">
        <v>1</v>
      </c>
      <c r="BI212">
        <v>8</v>
      </c>
      <c r="BJ212">
        <v>7</v>
      </c>
      <c r="BK212">
        <v>0</v>
      </c>
      <c r="BL212">
        <v>7</v>
      </c>
      <c r="BM212">
        <v>21</v>
      </c>
      <c r="BN212">
        <v>1</v>
      </c>
      <c r="BO212">
        <v>1</v>
      </c>
      <c r="BP212">
        <v>15</v>
      </c>
      <c r="BQ212">
        <v>4</v>
      </c>
      <c r="BR212">
        <v>1</v>
      </c>
      <c r="BS212">
        <v>1</v>
      </c>
      <c r="BT212">
        <v>1</v>
      </c>
      <c r="BU212">
        <v>4</v>
      </c>
      <c r="BV212">
        <v>2</v>
      </c>
      <c r="BW212">
        <v>0</v>
      </c>
      <c r="BX212">
        <v>4</v>
      </c>
      <c r="BY212">
        <v>14</v>
      </c>
      <c r="BZ212">
        <v>2</v>
      </c>
      <c r="CA212">
        <v>0</v>
      </c>
      <c r="CB212">
        <v>2</v>
      </c>
      <c r="CC212">
        <v>1</v>
      </c>
      <c r="CD212">
        <v>1</v>
      </c>
      <c r="CE212">
        <v>0</v>
      </c>
      <c r="CF212">
        <v>0</v>
      </c>
      <c r="CG212">
        <v>1</v>
      </c>
      <c r="CH212">
        <v>2</v>
      </c>
      <c r="CI212">
        <v>1</v>
      </c>
      <c r="CJ212">
        <v>0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1</v>
      </c>
      <c r="CS212">
        <v>0</v>
      </c>
      <c r="CT212">
        <v>0</v>
      </c>
      <c r="CU212">
        <v>1</v>
      </c>
      <c r="CV212">
        <v>2</v>
      </c>
      <c r="CW212">
        <v>1</v>
      </c>
      <c r="CX212">
        <v>0</v>
      </c>
      <c r="CY212">
        <v>0</v>
      </c>
      <c r="CZ212">
        <v>0</v>
      </c>
      <c r="DA212">
        <v>8</v>
      </c>
      <c r="DB212">
        <v>0</v>
      </c>
      <c r="DC212">
        <v>0</v>
      </c>
      <c r="DD212">
        <v>6</v>
      </c>
      <c r="DE212">
        <v>5</v>
      </c>
      <c r="DF212">
        <v>1</v>
      </c>
      <c r="DG212">
        <v>3</v>
      </c>
      <c r="DH212">
        <v>3</v>
      </c>
      <c r="DI212">
        <v>1</v>
      </c>
      <c r="DJ212">
        <v>1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15</v>
      </c>
      <c r="DV212">
        <v>1</v>
      </c>
      <c r="DW212">
        <v>0</v>
      </c>
      <c r="DX212">
        <v>0</v>
      </c>
      <c r="DY212">
        <v>1</v>
      </c>
      <c r="DZ212">
        <v>0</v>
      </c>
      <c r="EA212">
        <v>5</v>
      </c>
      <c r="EB212">
        <v>2</v>
      </c>
      <c r="EC212">
        <v>0</v>
      </c>
      <c r="ED212">
        <v>0</v>
      </c>
      <c r="EE212">
        <v>1</v>
      </c>
      <c r="EF212">
        <v>1</v>
      </c>
      <c r="EG212">
        <v>0</v>
      </c>
      <c r="EH212">
        <v>1</v>
      </c>
      <c r="EI212">
        <v>0</v>
      </c>
      <c r="EJ212">
        <v>1</v>
      </c>
      <c r="EK212">
        <v>1</v>
      </c>
      <c r="EL212">
        <v>0</v>
      </c>
      <c r="EM212">
        <v>0</v>
      </c>
      <c r="EN212">
        <v>0</v>
      </c>
      <c r="EO212">
        <v>0</v>
      </c>
      <c r="EP212">
        <v>1</v>
      </c>
      <c r="EQ212">
        <v>0</v>
      </c>
      <c r="ER212">
        <v>1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4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1</v>
      </c>
      <c r="FJ212">
        <v>1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1</v>
      </c>
    </row>
    <row r="213" spans="1:201" x14ac:dyDescent="0.3">
      <c r="A213" t="s">
        <v>271</v>
      </c>
      <c r="B213" t="s">
        <v>272</v>
      </c>
      <c r="C213" t="s">
        <v>203</v>
      </c>
      <c r="D213" s="1">
        <v>13768</v>
      </c>
      <c r="E213" s="1">
        <v>4015</v>
      </c>
      <c r="F213">
        <v>165</v>
      </c>
      <c r="G213" s="1">
        <v>2881</v>
      </c>
      <c r="H213">
        <v>788</v>
      </c>
      <c r="I213" s="1">
        <v>2481</v>
      </c>
      <c r="J213">
        <v>252</v>
      </c>
      <c r="K213">
        <v>513</v>
      </c>
      <c r="L213">
        <v>335</v>
      </c>
      <c r="M213">
        <v>128</v>
      </c>
      <c r="N213">
        <v>126</v>
      </c>
      <c r="O213">
        <v>194</v>
      </c>
      <c r="P213">
        <v>50</v>
      </c>
      <c r="Q213">
        <v>313</v>
      </c>
      <c r="R213">
        <v>226</v>
      </c>
      <c r="S213">
        <v>13</v>
      </c>
      <c r="T213">
        <v>74</v>
      </c>
      <c r="U213">
        <v>22</v>
      </c>
      <c r="V213">
        <v>271</v>
      </c>
      <c r="W213">
        <v>16</v>
      </c>
      <c r="X213">
        <v>223</v>
      </c>
      <c r="Y213">
        <v>15</v>
      </c>
      <c r="Z213">
        <v>261</v>
      </c>
      <c r="AA213">
        <v>10</v>
      </c>
      <c r="AB213">
        <v>9</v>
      </c>
      <c r="AC213">
        <v>12</v>
      </c>
      <c r="AD213">
        <v>9</v>
      </c>
      <c r="AE213">
        <v>6</v>
      </c>
      <c r="AF213">
        <v>14</v>
      </c>
      <c r="AG213">
        <v>11</v>
      </c>
      <c r="AH213">
        <v>3</v>
      </c>
      <c r="AI213">
        <v>20</v>
      </c>
      <c r="AJ213">
        <v>4</v>
      </c>
      <c r="AK213">
        <v>6</v>
      </c>
      <c r="AL213">
        <v>3</v>
      </c>
      <c r="AM213">
        <v>1</v>
      </c>
      <c r="AN213">
        <v>2</v>
      </c>
      <c r="AO213">
        <v>47</v>
      </c>
      <c r="AP213">
        <v>4</v>
      </c>
      <c r="AQ213">
        <v>6</v>
      </c>
      <c r="AR213">
        <v>35</v>
      </c>
      <c r="AS213">
        <v>5</v>
      </c>
      <c r="AT213">
        <v>1</v>
      </c>
      <c r="AU213">
        <v>5</v>
      </c>
      <c r="AV213">
        <v>27</v>
      </c>
      <c r="AW213">
        <v>3</v>
      </c>
      <c r="AX213">
        <v>1</v>
      </c>
      <c r="AY213">
        <v>3</v>
      </c>
      <c r="AZ213">
        <v>3</v>
      </c>
      <c r="BA213">
        <v>1</v>
      </c>
      <c r="BB213">
        <v>6</v>
      </c>
      <c r="BC213">
        <v>4</v>
      </c>
      <c r="BD213">
        <v>1</v>
      </c>
      <c r="BE213">
        <v>3</v>
      </c>
      <c r="BF213">
        <v>44</v>
      </c>
      <c r="BG213">
        <v>1</v>
      </c>
      <c r="BH213">
        <v>0</v>
      </c>
      <c r="BI213">
        <v>8</v>
      </c>
      <c r="BJ213">
        <v>5</v>
      </c>
      <c r="BK213">
        <v>0</v>
      </c>
      <c r="BL213">
        <v>3</v>
      </c>
      <c r="BM213">
        <v>12</v>
      </c>
      <c r="BN213">
        <v>0</v>
      </c>
      <c r="BO213">
        <v>0</v>
      </c>
      <c r="BP213">
        <v>8</v>
      </c>
      <c r="BQ213">
        <v>3</v>
      </c>
      <c r="BR213">
        <v>0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3</v>
      </c>
      <c r="BY213">
        <v>12</v>
      </c>
      <c r="BZ213">
        <v>1</v>
      </c>
      <c r="CA213">
        <v>0</v>
      </c>
      <c r="CB213">
        <v>2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</v>
      </c>
      <c r="CI213">
        <v>0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1</v>
      </c>
      <c r="CS213">
        <v>0</v>
      </c>
      <c r="CT213">
        <v>0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4</v>
      </c>
      <c r="DB213">
        <v>0</v>
      </c>
      <c r="DC213">
        <v>0</v>
      </c>
      <c r="DD213">
        <v>4</v>
      </c>
      <c r="DE213">
        <v>4</v>
      </c>
      <c r="DF213">
        <v>0</v>
      </c>
      <c r="DG213">
        <v>0</v>
      </c>
      <c r="DH213">
        <v>2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9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1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1</v>
      </c>
      <c r="EQ213">
        <v>0</v>
      </c>
      <c r="ER213">
        <v>1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3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1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</row>
    <row r="214" spans="1:201" x14ac:dyDescent="0.3">
      <c r="A214" t="s">
        <v>271</v>
      </c>
      <c r="B214" t="s">
        <v>272</v>
      </c>
      <c r="C214" t="s">
        <v>204</v>
      </c>
      <c r="D214" s="1">
        <v>8578</v>
      </c>
      <c r="E214" s="1">
        <v>3545</v>
      </c>
      <c r="F214">
        <v>104</v>
      </c>
      <c r="G214" s="1">
        <v>2496</v>
      </c>
      <c r="H214">
        <v>246</v>
      </c>
      <c r="I214">
        <v>433</v>
      </c>
      <c r="J214">
        <v>101</v>
      </c>
      <c r="K214">
        <v>98</v>
      </c>
      <c r="L214">
        <v>39</v>
      </c>
      <c r="M214">
        <v>138</v>
      </c>
      <c r="N214">
        <v>104</v>
      </c>
      <c r="O214">
        <v>262</v>
      </c>
      <c r="P214">
        <v>21</v>
      </c>
      <c r="Q214">
        <v>85</v>
      </c>
      <c r="R214">
        <v>68</v>
      </c>
      <c r="S214">
        <v>93</v>
      </c>
      <c r="T214">
        <v>34</v>
      </c>
      <c r="U214">
        <v>21</v>
      </c>
      <c r="V214">
        <v>83</v>
      </c>
      <c r="W214">
        <v>28</v>
      </c>
      <c r="X214">
        <v>193</v>
      </c>
      <c r="Y214">
        <v>12</v>
      </c>
      <c r="Z214">
        <v>81</v>
      </c>
      <c r="AA214">
        <v>12</v>
      </c>
      <c r="AB214">
        <v>7</v>
      </c>
      <c r="AC214">
        <v>4</v>
      </c>
      <c r="AD214">
        <v>7</v>
      </c>
      <c r="AE214">
        <v>1</v>
      </c>
      <c r="AF214">
        <v>1</v>
      </c>
      <c r="AG214">
        <v>15</v>
      </c>
      <c r="AH214">
        <v>2</v>
      </c>
      <c r="AI214">
        <v>8</v>
      </c>
      <c r="AJ214">
        <v>3</v>
      </c>
      <c r="AK214">
        <v>8</v>
      </c>
      <c r="AL214">
        <v>10</v>
      </c>
      <c r="AM214">
        <v>2</v>
      </c>
      <c r="AN214">
        <v>2</v>
      </c>
      <c r="AO214">
        <v>23</v>
      </c>
      <c r="AP214">
        <v>3</v>
      </c>
      <c r="AQ214">
        <v>7</v>
      </c>
      <c r="AR214">
        <v>26</v>
      </c>
      <c r="AS214">
        <v>3</v>
      </c>
      <c r="AT214">
        <v>5</v>
      </c>
      <c r="AU214">
        <v>5</v>
      </c>
      <c r="AV214">
        <v>5</v>
      </c>
      <c r="AW214">
        <v>2</v>
      </c>
      <c r="AX214">
        <v>0</v>
      </c>
      <c r="AY214">
        <v>11</v>
      </c>
      <c r="AZ214">
        <v>0</v>
      </c>
      <c r="BA214">
        <v>1</v>
      </c>
      <c r="BB214">
        <v>1</v>
      </c>
      <c r="BC214">
        <v>1</v>
      </c>
      <c r="BD214">
        <v>0</v>
      </c>
      <c r="BE214">
        <v>1</v>
      </c>
      <c r="BF214">
        <v>36</v>
      </c>
      <c r="BG214">
        <v>2</v>
      </c>
      <c r="BH214">
        <v>1</v>
      </c>
      <c r="BI214">
        <v>0</v>
      </c>
      <c r="BJ214">
        <v>2</v>
      </c>
      <c r="BK214">
        <v>0</v>
      </c>
      <c r="BL214">
        <v>4</v>
      </c>
      <c r="BM214">
        <v>9</v>
      </c>
      <c r="BN214">
        <v>1</v>
      </c>
      <c r="BO214">
        <v>1</v>
      </c>
      <c r="BP214">
        <v>7</v>
      </c>
      <c r="BQ214">
        <v>1</v>
      </c>
      <c r="BR214">
        <v>1</v>
      </c>
      <c r="BS214">
        <v>0</v>
      </c>
      <c r="BT214">
        <v>0</v>
      </c>
      <c r="BU214">
        <v>4</v>
      </c>
      <c r="BV214">
        <v>2</v>
      </c>
      <c r="BW214">
        <v>0</v>
      </c>
      <c r="BX214">
        <v>1</v>
      </c>
      <c r="BY214">
        <v>2</v>
      </c>
      <c r="BZ214">
        <v>1</v>
      </c>
      <c r="CA214">
        <v>0</v>
      </c>
      <c r="CB214">
        <v>0</v>
      </c>
      <c r="CC214">
        <v>1</v>
      </c>
      <c r="CD214">
        <v>1</v>
      </c>
      <c r="CE214">
        <v>0</v>
      </c>
      <c r="CF214">
        <v>0</v>
      </c>
      <c r="CG214">
        <v>1</v>
      </c>
      <c r="CH214">
        <v>1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2</v>
      </c>
      <c r="CW214">
        <v>1</v>
      </c>
      <c r="CX214">
        <v>0</v>
      </c>
      <c r="CY214">
        <v>0</v>
      </c>
      <c r="CZ214">
        <v>0</v>
      </c>
      <c r="DA214">
        <v>4</v>
      </c>
      <c r="DB214">
        <v>0</v>
      </c>
      <c r="DC214">
        <v>0</v>
      </c>
      <c r="DD214">
        <v>2</v>
      </c>
      <c r="DE214">
        <v>1</v>
      </c>
      <c r="DF214">
        <v>1</v>
      </c>
      <c r="DG214">
        <v>3</v>
      </c>
      <c r="DH214">
        <v>1</v>
      </c>
      <c r="DI214">
        <v>1</v>
      </c>
      <c r="DJ214">
        <v>1</v>
      </c>
      <c r="DK214">
        <v>1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6</v>
      </c>
      <c r="DV214">
        <v>1</v>
      </c>
      <c r="DW214">
        <v>0</v>
      </c>
      <c r="DX214">
        <v>0</v>
      </c>
      <c r="DY214">
        <v>1</v>
      </c>
      <c r="DZ214">
        <v>0</v>
      </c>
      <c r="EA214">
        <v>3</v>
      </c>
      <c r="EB214">
        <v>2</v>
      </c>
      <c r="EC214">
        <v>0</v>
      </c>
      <c r="ED214">
        <v>0</v>
      </c>
      <c r="EE214">
        <v>1</v>
      </c>
      <c r="EF214">
        <v>1</v>
      </c>
      <c r="EG214">
        <v>0</v>
      </c>
      <c r="EH214">
        <v>1</v>
      </c>
      <c r="EI214">
        <v>0</v>
      </c>
      <c r="EJ214">
        <v>0</v>
      </c>
      <c r="EK214">
        <v>1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1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1</v>
      </c>
    </row>
    <row r="215" spans="1:201" x14ac:dyDescent="0.3">
      <c r="A215" t="s">
        <v>271</v>
      </c>
      <c r="B215" t="s">
        <v>273</v>
      </c>
      <c r="C215" t="s">
        <v>200</v>
      </c>
      <c r="D215" s="1">
        <v>15621</v>
      </c>
      <c r="E215" s="1">
        <v>3437</v>
      </c>
      <c r="F215">
        <v>632</v>
      </c>
      <c r="G215" s="1">
        <v>1393</v>
      </c>
      <c r="H215">
        <v>796</v>
      </c>
      <c r="I215" s="1">
        <v>1148</v>
      </c>
      <c r="J215" s="1">
        <v>1037</v>
      </c>
      <c r="K215">
        <v>838</v>
      </c>
      <c r="L215">
        <v>536</v>
      </c>
      <c r="M215">
        <v>445</v>
      </c>
      <c r="N215">
        <v>398</v>
      </c>
      <c r="O215">
        <v>59</v>
      </c>
      <c r="P215">
        <v>33</v>
      </c>
      <c r="Q215">
        <v>897</v>
      </c>
      <c r="R215">
        <v>391</v>
      </c>
      <c r="S215">
        <v>79</v>
      </c>
      <c r="T215">
        <v>592</v>
      </c>
      <c r="U215" s="1">
        <v>1129</v>
      </c>
      <c r="V215">
        <v>184</v>
      </c>
      <c r="W215">
        <v>34</v>
      </c>
      <c r="X215">
        <v>366</v>
      </c>
      <c r="Y215">
        <v>68</v>
      </c>
      <c r="Z215">
        <v>152</v>
      </c>
      <c r="AA215">
        <v>4</v>
      </c>
      <c r="AB215">
        <v>104</v>
      </c>
      <c r="AC215">
        <v>15</v>
      </c>
      <c r="AD215">
        <v>20</v>
      </c>
      <c r="AE215">
        <v>21</v>
      </c>
      <c r="AF215">
        <v>15</v>
      </c>
      <c r="AG215">
        <v>19</v>
      </c>
      <c r="AH215">
        <v>1</v>
      </c>
      <c r="AI215">
        <v>170</v>
      </c>
      <c r="AJ215">
        <v>85</v>
      </c>
      <c r="AK215">
        <v>4</v>
      </c>
      <c r="AL215">
        <v>55</v>
      </c>
      <c r="AM215">
        <v>2</v>
      </c>
      <c r="AN215">
        <v>3</v>
      </c>
      <c r="AO215">
        <v>25</v>
      </c>
      <c r="AP215">
        <v>0</v>
      </c>
      <c r="AQ215">
        <v>12</v>
      </c>
      <c r="AR215">
        <v>2</v>
      </c>
      <c r="AS215">
        <v>10</v>
      </c>
      <c r="AT215">
        <v>0</v>
      </c>
      <c r="AU215">
        <v>8</v>
      </c>
      <c r="AV215">
        <v>6</v>
      </c>
      <c r="AW215">
        <v>1</v>
      </c>
      <c r="AX215">
        <v>5</v>
      </c>
      <c r="AY215">
        <v>0</v>
      </c>
      <c r="AZ215">
        <v>5</v>
      </c>
      <c r="BA215">
        <v>1</v>
      </c>
      <c r="BB215">
        <v>0</v>
      </c>
      <c r="BC215">
        <v>2</v>
      </c>
      <c r="BD215">
        <v>1</v>
      </c>
      <c r="BE215">
        <v>1</v>
      </c>
      <c r="BF215">
        <v>4</v>
      </c>
      <c r="BG215">
        <v>1</v>
      </c>
      <c r="BH215">
        <v>0</v>
      </c>
      <c r="BI215">
        <v>181</v>
      </c>
      <c r="BJ215">
        <v>137</v>
      </c>
      <c r="BK215">
        <v>3</v>
      </c>
      <c r="BL215">
        <v>2</v>
      </c>
      <c r="BM215">
        <v>17</v>
      </c>
      <c r="BN215">
        <v>0</v>
      </c>
      <c r="BO215">
        <v>0</v>
      </c>
      <c r="BP215">
        <v>0</v>
      </c>
      <c r="BQ215">
        <v>8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3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0</v>
      </c>
      <c r="CH215">
        <v>3</v>
      </c>
      <c r="CI215">
        <v>0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0</v>
      </c>
      <c r="CW215">
        <v>1</v>
      </c>
      <c r="CX215">
        <v>0</v>
      </c>
      <c r="CY215">
        <v>0</v>
      </c>
      <c r="CZ215">
        <v>2</v>
      </c>
      <c r="DA215">
        <v>0</v>
      </c>
      <c r="DB215">
        <v>1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9</v>
      </c>
    </row>
    <row r="216" spans="1:201" x14ac:dyDescent="0.3">
      <c r="A216" t="s">
        <v>271</v>
      </c>
      <c r="B216" t="s">
        <v>273</v>
      </c>
      <c r="C216" t="s">
        <v>203</v>
      </c>
      <c r="D216" s="1">
        <v>10648</v>
      </c>
      <c r="E216" s="1">
        <v>2201</v>
      </c>
      <c r="F216">
        <v>380</v>
      </c>
      <c r="G216">
        <v>634</v>
      </c>
      <c r="H216">
        <v>669</v>
      </c>
      <c r="I216">
        <v>707</v>
      </c>
      <c r="J216">
        <v>717</v>
      </c>
      <c r="K216">
        <v>802</v>
      </c>
      <c r="L216">
        <v>519</v>
      </c>
      <c r="M216">
        <v>315</v>
      </c>
      <c r="N216">
        <v>259</v>
      </c>
      <c r="O216">
        <v>23</v>
      </c>
      <c r="P216">
        <v>20</v>
      </c>
      <c r="Q216">
        <v>797</v>
      </c>
      <c r="R216">
        <v>328</v>
      </c>
      <c r="S216">
        <v>5</v>
      </c>
      <c r="T216">
        <v>339</v>
      </c>
      <c r="U216">
        <v>571</v>
      </c>
      <c r="V216">
        <v>175</v>
      </c>
      <c r="W216">
        <v>19</v>
      </c>
      <c r="X216">
        <v>329</v>
      </c>
      <c r="Y216">
        <v>53</v>
      </c>
      <c r="Z216">
        <v>68</v>
      </c>
      <c r="AA216">
        <v>3</v>
      </c>
      <c r="AB216">
        <v>72</v>
      </c>
      <c r="AC216">
        <v>7</v>
      </c>
      <c r="AD216">
        <v>10</v>
      </c>
      <c r="AE216">
        <v>20</v>
      </c>
      <c r="AF216">
        <v>8</v>
      </c>
      <c r="AG216">
        <v>17</v>
      </c>
      <c r="AH216">
        <v>1</v>
      </c>
      <c r="AI216">
        <v>159</v>
      </c>
      <c r="AJ216">
        <v>49</v>
      </c>
      <c r="AK216">
        <v>4</v>
      </c>
      <c r="AL216">
        <v>26</v>
      </c>
      <c r="AM216">
        <v>1</v>
      </c>
      <c r="AN216">
        <v>3</v>
      </c>
      <c r="AO216">
        <v>20</v>
      </c>
      <c r="AP216">
        <v>0</v>
      </c>
      <c r="AQ216">
        <v>3</v>
      </c>
      <c r="AR216">
        <v>0</v>
      </c>
      <c r="AS216">
        <v>6</v>
      </c>
      <c r="AT216">
        <v>0</v>
      </c>
      <c r="AU216">
        <v>5</v>
      </c>
      <c r="AV216">
        <v>5</v>
      </c>
      <c r="AW216">
        <v>0</v>
      </c>
      <c r="AX216">
        <v>5</v>
      </c>
      <c r="AY216">
        <v>0</v>
      </c>
      <c r="AZ216">
        <v>5</v>
      </c>
      <c r="BA216">
        <v>0</v>
      </c>
      <c r="BB216">
        <v>0</v>
      </c>
      <c r="BC216">
        <v>2</v>
      </c>
      <c r="BD216">
        <v>1</v>
      </c>
      <c r="BE216">
        <v>0</v>
      </c>
      <c r="BF216">
        <v>1</v>
      </c>
      <c r="BG216">
        <v>0</v>
      </c>
      <c r="BH216">
        <v>0</v>
      </c>
      <c r="BI216">
        <v>151</v>
      </c>
      <c r="BJ216">
        <v>91</v>
      </c>
      <c r="BK216">
        <v>3</v>
      </c>
      <c r="BL216">
        <v>2</v>
      </c>
      <c r="BM216">
        <v>15</v>
      </c>
      <c r="BN216">
        <v>0</v>
      </c>
      <c r="BO216">
        <v>0</v>
      </c>
      <c r="BP216">
        <v>0</v>
      </c>
      <c r="BQ216">
        <v>7</v>
      </c>
      <c r="BR216">
        <v>0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3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1</v>
      </c>
      <c r="CE216">
        <v>0</v>
      </c>
      <c r="CF216">
        <v>0</v>
      </c>
      <c r="CG216">
        <v>0</v>
      </c>
      <c r="CH216">
        <v>3</v>
      </c>
      <c r="CI216">
        <v>0</v>
      </c>
      <c r="CJ216">
        <v>0</v>
      </c>
      <c r="CK216">
        <v>0</v>
      </c>
      <c r="CL216">
        <v>1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3</v>
      </c>
    </row>
    <row r="217" spans="1:201" x14ac:dyDescent="0.3">
      <c r="A217" t="s">
        <v>271</v>
      </c>
      <c r="B217" t="s">
        <v>273</v>
      </c>
      <c r="C217" t="s">
        <v>204</v>
      </c>
      <c r="D217" s="1">
        <v>4973</v>
      </c>
      <c r="E217" s="1">
        <v>1236</v>
      </c>
      <c r="F217">
        <v>252</v>
      </c>
      <c r="G217">
        <v>759</v>
      </c>
      <c r="H217">
        <v>127</v>
      </c>
      <c r="I217">
        <v>441</v>
      </c>
      <c r="J217">
        <v>320</v>
      </c>
      <c r="K217">
        <v>36</v>
      </c>
      <c r="L217">
        <v>17</v>
      </c>
      <c r="M217">
        <v>130</v>
      </c>
      <c r="N217">
        <v>139</v>
      </c>
      <c r="O217">
        <v>36</v>
      </c>
      <c r="P217">
        <v>13</v>
      </c>
      <c r="Q217">
        <v>100</v>
      </c>
      <c r="R217">
        <v>63</v>
      </c>
      <c r="S217">
        <v>74</v>
      </c>
      <c r="T217">
        <v>253</v>
      </c>
      <c r="U217">
        <v>558</v>
      </c>
      <c r="V217">
        <v>9</v>
      </c>
      <c r="W217">
        <v>15</v>
      </c>
      <c r="X217">
        <v>37</v>
      </c>
      <c r="Y217">
        <v>15</v>
      </c>
      <c r="Z217">
        <v>84</v>
      </c>
      <c r="AA217">
        <v>1</v>
      </c>
      <c r="AB217">
        <v>32</v>
      </c>
      <c r="AC217">
        <v>8</v>
      </c>
      <c r="AD217">
        <v>10</v>
      </c>
      <c r="AE217">
        <v>1</v>
      </c>
      <c r="AF217">
        <v>7</v>
      </c>
      <c r="AG217">
        <v>2</v>
      </c>
      <c r="AH217">
        <v>0</v>
      </c>
      <c r="AI217">
        <v>11</v>
      </c>
      <c r="AJ217">
        <v>36</v>
      </c>
      <c r="AK217">
        <v>0</v>
      </c>
      <c r="AL217">
        <v>29</v>
      </c>
      <c r="AM217">
        <v>1</v>
      </c>
      <c r="AN217">
        <v>0</v>
      </c>
      <c r="AO217">
        <v>5</v>
      </c>
      <c r="AP217">
        <v>0</v>
      </c>
      <c r="AQ217">
        <v>9</v>
      </c>
      <c r="AR217">
        <v>2</v>
      </c>
      <c r="AS217">
        <v>4</v>
      </c>
      <c r="AT217">
        <v>0</v>
      </c>
      <c r="AU217">
        <v>3</v>
      </c>
      <c r="AV217">
        <v>1</v>
      </c>
      <c r="AW217">
        <v>1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1</v>
      </c>
      <c r="BF217">
        <v>3</v>
      </c>
      <c r="BG217">
        <v>1</v>
      </c>
      <c r="BH217">
        <v>0</v>
      </c>
      <c r="BI217">
        <v>30</v>
      </c>
      <c r="BJ217">
        <v>46</v>
      </c>
      <c r="BK217">
        <v>0</v>
      </c>
      <c r="BL217">
        <v>0</v>
      </c>
      <c r="BM217">
        <v>2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2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6</v>
      </c>
    </row>
    <row r="218" spans="1:201" x14ac:dyDescent="0.3">
      <c r="A218" t="s">
        <v>271</v>
      </c>
      <c r="B218" t="s">
        <v>274</v>
      </c>
      <c r="C218" t="s">
        <v>200</v>
      </c>
      <c r="D218" s="1">
        <v>2630</v>
      </c>
      <c r="E218">
        <v>610</v>
      </c>
      <c r="F218">
        <v>71</v>
      </c>
      <c r="G218">
        <v>52</v>
      </c>
      <c r="H218">
        <v>358</v>
      </c>
      <c r="I218">
        <v>113</v>
      </c>
      <c r="J218">
        <v>178</v>
      </c>
      <c r="K218">
        <v>464</v>
      </c>
      <c r="L218">
        <v>131</v>
      </c>
      <c r="M218">
        <v>227</v>
      </c>
      <c r="N218">
        <v>90</v>
      </c>
      <c r="O218">
        <v>15</v>
      </c>
      <c r="P218">
        <v>1</v>
      </c>
      <c r="Q218">
        <v>158</v>
      </c>
      <c r="R218">
        <v>44</v>
      </c>
      <c r="S218">
        <v>11</v>
      </c>
      <c r="T218">
        <v>0</v>
      </c>
      <c r="U218">
        <v>4</v>
      </c>
      <c r="V218">
        <v>51</v>
      </c>
      <c r="W218">
        <v>0</v>
      </c>
      <c r="X218">
        <v>0</v>
      </c>
      <c r="Y218">
        <v>20</v>
      </c>
      <c r="Z218">
        <v>6</v>
      </c>
      <c r="AA218">
        <v>0</v>
      </c>
      <c r="AB218">
        <v>0</v>
      </c>
      <c r="AC218">
        <v>0</v>
      </c>
      <c r="AD218">
        <v>6</v>
      </c>
      <c r="AE218">
        <v>8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5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5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</row>
    <row r="219" spans="1:201" x14ac:dyDescent="0.3">
      <c r="A219" t="s">
        <v>271</v>
      </c>
      <c r="B219" t="s">
        <v>274</v>
      </c>
      <c r="C219" t="s">
        <v>203</v>
      </c>
      <c r="D219" s="1">
        <v>1982</v>
      </c>
      <c r="E219">
        <v>320</v>
      </c>
      <c r="F219">
        <v>44</v>
      </c>
      <c r="G219">
        <v>19</v>
      </c>
      <c r="H219">
        <v>317</v>
      </c>
      <c r="I219">
        <v>92</v>
      </c>
      <c r="J219">
        <v>139</v>
      </c>
      <c r="K219">
        <v>442</v>
      </c>
      <c r="L219">
        <v>128</v>
      </c>
      <c r="M219">
        <v>112</v>
      </c>
      <c r="N219">
        <v>79</v>
      </c>
      <c r="O219">
        <v>8</v>
      </c>
      <c r="P219">
        <v>1</v>
      </c>
      <c r="Q219">
        <v>148</v>
      </c>
      <c r="R219">
        <v>42</v>
      </c>
      <c r="S219">
        <v>2</v>
      </c>
      <c r="T219">
        <v>0</v>
      </c>
      <c r="U219">
        <v>1</v>
      </c>
      <c r="V219">
        <v>42</v>
      </c>
      <c r="W219">
        <v>0</v>
      </c>
      <c r="X219">
        <v>0</v>
      </c>
      <c r="Y219">
        <v>19</v>
      </c>
      <c r="Z219">
        <v>6</v>
      </c>
      <c r="AA219">
        <v>0</v>
      </c>
      <c r="AB219">
        <v>0</v>
      </c>
      <c r="AC219">
        <v>0</v>
      </c>
      <c r="AD219">
        <v>5</v>
      </c>
      <c r="AE219">
        <v>4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5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5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</row>
    <row r="220" spans="1:201" x14ac:dyDescent="0.3">
      <c r="A220" t="s">
        <v>271</v>
      </c>
      <c r="B220" t="s">
        <v>274</v>
      </c>
      <c r="C220" t="s">
        <v>204</v>
      </c>
      <c r="D220">
        <v>648</v>
      </c>
      <c r="E220">
        <v>290</v>
      </c>
      <c r="F220">
        <v>27</v>
      </c>
      <c r="G220">
        <v>33</v>
      </c>
      <c r="H220">
        <v>41</v>
      </c>
      <c r="I220">
        <v>21</v>
      </c>
      <c r="J220">
        <v>39</v>
      </c>
      <c r="K220">
        <v>22</v>
      </c>
      <c r="L220">
        <v>3</v>
      </c>
      <c r="M220">
        <v>115</v>
      </c>
      <c r="N220">
        <v>11</v>
      </c>
      <c r="O220">
        <v>7</v>
      </c>
      <c r="P220">
        <v>0</v>
      </c>
      <c r="Q220">
        <v>10</v>
      </c>
      <c r="R220">
        <v>2</v>
      </c>
      <c r="S220">
        <v>9</v>
      </c>
      <c r="T220">
        <v>0</v>
      </c>
      <c r="U220">
        <v>3</v>
      </c>
      <c r="V220">
        <v>9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4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</row>
    <row r="221" spans="1:201" x14ac:dyDescent="0.3">
      <c r="A221" t="s">
        <v>271</v>
      </c>
      <c r="B221" t="s">
        <v>275</v>
      </c>
      <c r="C221" t="s">
        <v>200</v>
      </c>
      <c r="D221" s="1">
        <v>7618</v>
      </c>
      <c r="E221" s="1">
        <v>1795</v>
      </c>
      <c r="F221">
        <v>589</v>
      </c>
      <c r="G221" s="1">
        <v>1500</v>
      </c>
      <c r="H221">
        <v>413</v>
      </c>
      <c r="I221">
        <v>248</v>
      </c>
      <c r="J221">
        <v>487</v>
      </c>
      <c r="K221">
        <v>502</v>
      </c>
      <c r="L221">
        <v>157</v>
      </c>
      <c r="M221">
        <v>387</v>
      </c>
      <c r="N221">
        <v>221</v>
      </c>
      <c r="O221">
        <v>165</v>
      </c>
      <c r="P221">
        <v>50</v>
      </c>
      <c r="Q221">
        <v>350</v>
      </c>
      <c r="R221">
        <v>71</v>
      </c>
      <c r="S221">
        <v>127</v>
      </c>
      <c r="T221">
        <v>35</v>
      </c>
      <c r="U221">
        <v>13</v>
      </c>
      <c r="V221">
        <v>82</v>
      </c>
      <c r="W221">
        <v>25</v>
      </c>
      <c r="X221">
        <v>68</v>
      </c>
      <c r="Y221">
        <v>5</v>
      </c>
      <c r="Z221">
        <v>21</v>
      </c>
      <c r="AA221">
        <v>5</v>
      </c>
      <c r="AB221">
        <v>56</v>
      </c>
      <c r="AC221">
        <v>12</v>
      </c>
      <c r="AD221">
        <v>44</v>
      </c>
      <c r="AE221">
        <v>2</v>
      </c>
      <c r="AF221">
        <v>11</v>
      </c>
      <c r="AG221">
        <v>4</v>
      </c>
      <c r="AH221">
        <v>3</v>
      </c>
      <c r="AI221">
        <v>15</v>
      </c>
      <c r="AJ221">
        <v>1</v>
      </c>
      <c r="AK221">
        <v>40</v>
      </c>
      <c r="AL221">
        <v>2</v>
      </c>
      <c r="AM221">
        <v>3</v>
      </c>
      <c r="AN221">
        <v>5</v>
      </c>
      <c r="AO221">
        <v>0</v>
      </c>
      <c r="AP221">
        <v>8</v>
      </c>
      <c r="AQ221">
        <v>11</v>
      </c>
      <c r="AR221">
        <v>13</v>
      </c>
      <c r="AS221">
        <v>1</v>
      </c>
      <c r="AT221">
        <v>1</v>
      </c>
      <c r="AU221">
        <v>3</v>
      </c>
      <c r="AV221">
        <v>5</v>
      </c>
      <c r="AW221">
        <v>1</v>
      </c>
      <c r="AX221">
        <v>5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1</v>
      </c>
      <c r="BF221">
        <v>8</v>
      </c>
      <c r="BG221">
        <v>2</v>
      </c>
      <c r="BH221">
        <v>1</v>
      </c>
      <c r="BI221">
        <v>11</v>
      </c>
      <c r="BJ221">
        <v>0</v>
      </c>
      <c r="BK221">
        <v>1</v>
      </c>
      <c r="BL221">
        <v>5</v>
      </c>
      <c r="BM221">
        <v>0</v>
      </c>
      <c r="BN221">
        <v>1</v>
      </c>
      <c r="BO221">
        <v>0</v>
      </c>
      <c r="BP221">
        <v>4</v>
      </c>
      <c r="BQ221">
        <v>0</v>
      </c>
      <c r="BR221">
        <v>0</v>
      </c>
      <c r="BS221">
        <v>0</v>
      </c>
      <c r="BT221">
        <v>0</v>
      </c>
      <c r="BU221">
        <v>3</v>
      </c>
      <c r="BV221">
        <v>3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</v>
      </c>
      <c r="CR221">
        <v>0</v>
      </c>
      <c r="CS221">
        <v>2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5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1</v>
      </c>
      <c r="EW221">
        <v>0</v>
      </c>
      <c r="EX221">
        <v>1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</row>
    <row r="222" spans="1:201" x14ac:dyDescent="0.3">
      <c r="A222" t="s">
        <v>271</v>
      </c>
      <c r="B222" t="s">
        <v>275</v>
      </c>
      <c r="C222" t="s">
        <v>203</v>
      </c>
      <c r="D222" s="1">
        <v>4370</v>
      </c>
      <c r="E222">
        <v>924</v>
      </c>
      <c r="F222">
        <v>322</v>
      </c>
      <c r="G222">
        <v>590</v>
      </c>
      <c r="H222">
        <v>312</v>
      </c>
      <c r="I222">
        <v>180</v>
      </c>
      <c r="J222">
        <v>333</v>
      </c>
      <c r="K222">
        <v>423</v>
      </c>
      <c r="L222">
        <v>132</v>
      </c>
      <c r="M222">
        <v>227</v>
      </c>
      <c r="N222">
        <v>85</v>
      </c>
      <c r="O222">
        <v>86</v>
      </c>
      <c r="P222">
        <v>31</v>
      </c>
      <c r="Q222">
        <v>290</v>
      </c>
      <c r="R222">
        <v>60</v>
      </c>
      <c r="S222">
        <v>51</v>
      </c>
      <c r="T222">
        <v>13</v>
      </c>
      <c r="U222">
        <v>7</v>
      </c>
      <c r="V222">
        <v>56</v>
      </c>
      <c r="W222">
        <v>7</v>
      </c>
      <c r="X222">
        <v>54</v>
      </c>
      <c r="Y222">
        <v>0</v>
      </c>
      <c r="Z222">
        <v>6</v>
      </c>
      <c r="AA222">
        <v>4</v>
      </c>
      <c r="AB222">
        <v>42</v>
      </c>
      <c r="AC222">
        <v>7</v>
      </c>
      <c r="AD222">
        <v>7</v>
      </c>
      <c r="AE222">
        <v>2</v>
      </c>
      <c r="AF222">
        <v>8</v>
      </c>
      <c r="AG222">
        <v>3</v>
      </c>
      <c r="AH222">
        <v>1</v>
      </c>
      <c r="AI222">
        <v>13</v>
      </c>
      <c r="AJ222">
        <v>1</v>
      </c>
      <c r="AK222">
        <v>24</v>
      </c>
      <c r="AL222">
        <v>0</v>
      </c>
      <c r="AM222">
        <v>0</v>
      </c>
      <c r="AN222">
        <v>3</v>
      </c>
      <c r="AO222">
        <v>0</v>
      </c>
      <c r="AP222">
        <v>8</v>
      </c>
      <c r="AQ222">
        <v>5</v>
      </c>
      <c r="AR222">
        <v>8</v>
      </c>
      <c r="AS222">
        <v>1</v>
      </c>
      <c r="AT222">
        <v>0</v>
      </c>
      <c r="AU222">
        <v>1</v>
      </c>
      <c r="AV222">
        <v>4</v>
      </c>
      <c r="AW222">
        <v>0</v>
      </c>
      <c r="AX222">
        <v>5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1</v>
      </c>
      <c r="BF222">
        <v>5</v>
      </c>
      <c r="BG222">
        <v>2</v>
      </c>
      <c r="BH222">
        <v>0</v>
      </c>
      <c r="BI222">
        <v>9</v>
      </c>
      <c r="BJ222">
        <v>0</v>
      </c>
      <c r="BK222">
        <v>1</v>
      </c>
      <c r="BL222">
        <v>5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5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1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</row>
    <row r="223" spans="1:201" x14ac:dyDescent="0.3">
      <c r="A223" t="s">
        <v>271</v>
      </c>
      <c r="B223" t="s">
        <v>275</v>
      </c>
      <c r="C223" t="s">
        <v>204</v>
      </c>
      <c r="D223" s="1">
        <v>3248</v>
      </c>
      <c r="E223">
        <v>871</v>
      </c>
      <c r="F223">
        <v>267</v>
      </c>
      <c r="G223">
        <v>910</v>
      </c>
      <c r="H223">
        <v>101</v>
      </c>
      <c r="I223">
        <v>68</v>
      </c>
      <c r="J223">
        <v>154</v>
      </c>
      <c r="K223">
        <v>79</v>
      </c>
      <c r="L223">
        <v>25</v>
      </c>
      <c r="M223">
        <v>160</v>
      </c>
      <c r="N223">
        <v>136</v>
      </c>
      <c r="O223">
        <v>79</v>
      </c>
      <c r="P223">
        <v>19</v>
      </c>
      <c r="Q223">
        <v>60</v>
      </c>
      <c r="R223">
        <v>11</v>
      </c>
      <c r="S223">
        <v>76</v>
      </c>
      <c r="T223">
        <v>22</v>
      </c>
      <c r="U223">
        <v>6</v>
      </c>
      <c r="V223">
        <v>26</v>
      </c>
      <c r="W223">
        <v>18</v>
      </c>
      <c r="X223">
        <v>14</v>
      </c>
      <c r="Y223">
        <v>5</v>
      </c>
      <c r="Z223">
        <v>15</v>
      </c>
      <c r="AA223">
        <v>1</v>
      </c>
      <c r="AB223">
        <v>14</v>
      </c>
      <c r="AC223">
        <v>5</v>
      </c>
      <c r="AD223">
        <v>37</v>
      </c>
      <c r="AE223">
        <v>0</v>
      </c>
      <c r="AF223">
        <v>3</v>
      </c>
      <c r="AG223">
        <v>1</v>
      </c>
      <c r="AH223">
        <v>2</v>
      </c>
      <c r="AI223">
        <v>2</v>
      </c>
      <c r="AJ223">
        <v>0</v>
      </c>
      <c r="AK223">
        <v>16</v>
      </c>
      <c r="AL223">
        <v>2</v>
      </c>
      <c r="AM223">
        <v>3</v>
      </c>
      <c r="AN223">
        <v>2</v>
      </c>
      <c r="AO223">
        <v>0</v>
      </c>
      <c r="AP223">
        <v>0</v>
      </c>
      <c r="AQ223">
        <v>6</v>
      </c>
      <c r="AR223">
        <v>5</v>
      </c>
      <c r="AS223">
        <v>0</v>
      </c>
      <c r="AT223">
        <v>1</v>
      </c>
      <c r="AU223">
        <v>2</v>
      </c>
      <c r="AV223">
        <v>1</v>
      </c>
      <c r="AW223">
        <v>1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</v>
      </c>
      <c r="BG223">
        <v>0</v>
      </c>
      <c r="BH223">
        <v>1</v>
      </c>
      <c r="BI223">
        <v>2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3</v>
      </c>
      <c r="BQ223">
        <v>0</v>
      </c>
      <c r="BR223">
        <v>0</v>
      </c>
      <c r="BS223">
        <v>0</v>
      </c>
      <c r="BT223">
        <v>0</v>
      </c>
      <c r="BU223">
        <v>2</v>
      </c>
      <c r="BV223">
        <v>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2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1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</row>
    <row r="224" spans="1:201" x14ac:dyDescent="0.3">
      <c r="A224" t="s">
        <v>271</v>
      </c>
      <c r="B224" t="s">
        <v>276</v>
      </c>
      <c r="C224" t="s">
        <v>200</v>
      </c>
      <c r="D224" s="1">
        <v>4256</v>
      </c>
      <c r="E224" s="1">
        <v>1423</v>
      </c>
      <c r="F224">
        <v>111</v>
      </c>
      <c r="G224">
        <v>184</v>
      </c>
      <c r="H224">
        <v>471</v>
      </c>
      <c r="I224">
        <v>53</v>
      </c>
      <c r="J224">
        <v>418</v>
      </c>
      <c r="K224">
        <v>258</v>
      </c>
      <c r="L224">
        <v>144</v>
      </c>
      <c r="M224">
        <v>114</v>
      </c>
      <c r="N224">
        <v>137</v>
      </c>
      <c r="O224">
        <v>179</v>
      </c>
      <c r="P224">
        <v>32</v>
      </c>
      <c r="Q224">
        <v>163</v>
      </c>
      <c r="R224">
        <v>125</v>
      </c>
      <c r="S224">
        <v>25</v>
      </c>
      <c r="T224">
        <v>52</v>
      </c>
      <c r="U224">
        <v>10</v>
      </c>
      <c r="V224">
        <v>22</v>
      </c>
      <c r="W224">
        <v>28</v>
      </c>
      <c r="X224">
        <v>9</v>
      </c>
      <c r="Y224">
        <v>26</v>
      </c>
      <c r="Z224">
        <v>16</v>
      </c>
      <c r="AA224">
        <v>0</v>
      </c>
      <c r="AB224">
        <v>1</v>
      </c>
      <c r="AC224">
        <v>3</v>
      </c>
      <c r="AD224">
        <v>11</v>
      </c>
      <c r="AE224">
        <v>35</v>
      </c>
      <c r="AF224">
        <v>1</v>
      </c>
      <c r="AG224">
        <v>3</v>
      </c>
      <c r="AH224">
        <v>2</v>
      </c>
      <c r="AI224">
        <v>22</v>
      </c>
      <c r="AJ224">
        <v>0</v>
      </c>
      <c r="AK224">
        <v>5</v>
      </c>
      <c r="AL224">
        <v>1</v>
      </c>
      <c r="AM224">
        <v>0</v>
      </c>
      <c r="AN224">
        <v>3</v>
      </c>
      <c r="AO224">
        <v>25</v>
      </c>
      <c r="AP224">
        <v>35</v>
      </c>
      <c r="AQ224">
        <v>12</v>
      </c>
      <c r="AR224">
        <v>3</v>
      </c>
      <c r="AS224">
        <v>5</v>
      </c>
      <c r="AT224">
        <v>1</v>
      </c>
      <c r="AU224">
        <v>0</v>
      </c>
      <c r="AV224">
        <v>1</v>
      </c>
      <c r="AW224">
        <v>1</v>
      </c>
      <c r="AX224">
        <v>21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8</v>
      </c>
      <c r="BF224">
        <v>3</v>
      </c>
      <c r="BG224">
        <v>0</v>
      </c>
      <c r="BH224">
        <v>0</v>
      </c>
      <c r="BI224">
        <v>17</v>
      </c>
      <c r="BJ224">
        <v>0</v>
      </c>
      <c r="BK224">
        <v>2</v>
      </c>
      <c r="BL224">
        <v>2</v>
      </c>
      <c r="BM224">
        <v>0</v>
      </c>
      <c r="BN224">
        <v>2</v>
      </c>
      <c r="BO224">
        <v>0</v>
      </c>
      <c r="BP224">
        <v>1</v>
      </c>
      <c r="BQ224">
        <v>4</v>
      </c>
      <c r="BR224">
        <v>0</v>
      </c>
      <c r="BS224">
        <v>0</v>
      </c>
      <c r="BT224">
        <v>1</v>
      </c>
      <c r="BU224">
        <v>0</v>
      </c>
      <c r="BV224">
        <v>0</v>
      </c>
      <c r="BW224">
        <v>0</v>
      </c>
      <c r="BX224">
        <v>1</v>
      </c>
      <c r="BY224">
        <v>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2</v>
      </c>
      <c r="CN224">
        <v>0</v>
      </c>
      <c r="CO224">
        <v>0</v>
      </c>
      <c r="CP224">
        <v>0</v>
      </c>
      <c r="CQ224">
        <v>0</v>
      </c>
      <c r="CR224">
        <v>2</v>
      </c>
      <c r="CS224">
        <v>3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1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5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2</v>
      </c>
      <c r="FD224">
        <v>1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3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</row>
    <row r="225" spans="1:201" x14ac:dyDescent="0.3">
      <c r="A225" t="s">
        <v>271</v>
      </c>
      <c r="B225" t="s">
        <v>276</v>
      </c>
      <c r="C225" t="s">
        <v>203</v>
      </c>
      <c r="D225" s="1">
        <v>2803</v>
      </c>
      <c r="E225">
        <v>818</v>
      </c>
      <c r="F225">
        <v>63</v>
      </c>
      <c r="G225">
        <v>75</v>
      </c>
      <c r="H225">
        <v>392</v>
      </c>
      <c r="I225">
        <v>47</v>
      </c>
      <c r="J225">
        <v>286</v>
      </c>
      <c r="K225">
        <v>238</v>
      </c>
      <c r="L225">
        <v>123</v>
      </c>
      <c r="M225">
        <v>72</v>
      </c>
      <c r="N225">
        <v>82</v>
      </c>
      <c r="O225">
        <v>84</v>
      </c>
      <c r="P225">
        <v>18</v>
      </c>
      <c r="Q225">
        <v>138</v>
      </c>
      <c r="R225">
        <v>108</v>
      </c>
      <c r="S225">
        <v>4</v>
      </c>
      <c r="T225">
        <v>24</v>
      </c>
      <c r="U225">
        <v>5</v>
      </c>
      <c r="V225">
        <v>20</v>
      </c>
      <c r="W225">
        <v>13</v>
      </c>
      <c r="X225">
        <v>4</v>
      </c>
      <c r="Y225">
        <v>17</v>
      </c>
      <c r="Z225">
        <v>7</v>
      </c>
      <c r="AA225">
        <v>0</v>
      </c>
      <c r="AB225">
        <v>1</v>
      </c>
      <c r="AC225">
        <v>1</v>
      </c>
      <c r="AD225">
        <v>2</v>
      </c>
      <c r="AE225">
        <v>25</v>
      </c>
      <c r="AF225">
        <v>1</v>
      </c>
      <c r="AG225">
        <v>2</v>
      </c>
      <c r="AH225">
        <v>1</v>
      </c>
      <c r="AI225">
        <v>16</v>
      </c>
      <c r="AJ225">
        <v>0</v>
      </c>
      <c r="AK225">
        <v>2</v>
      </c>
      <c r="AL225">
        <v>1</v>
      </c>
      <c r="AM225">
        <v>0</v>
      </c>
      <c r="AN225">
        <v>3</v>
      </c>
      <c r="AO225">
        <v>22</v>
      </c>
      <c r="AP225">
        <v>15</v>
      </c>
      <c r="AQ225">
        <v>8</v>
      </c>
      <c r="AR225">
        <v>2</v>
      </c>
      <c r="AS225">
        <v>5</v>
      </c>
      <c r="AT225">
        <v>0</v>
      </c>
      <c r="AU225">
        <v>0</v>
      </c>
      <c r="AV225">
        <v>1</v>
      </c>
      <c r="AW225">
        <v>1</v>
      </c>
      <c r="AX225">
        <v>21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4</v>
      </c>
      <c r="BF225">
        <v>1</v>
      </c>
      <c r="BG225">
        <v>0</v>
      </c>
      <c r="BH225">
        <v>0</v>
      </c>
      <c r="BI225">
        <v>13</v>
      </c>
      <c r="BJ225">
        <v>0</v>
      </c>
      <c r="BK225">
        <v>2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4</v>
      </c>
      <c r="BR225">
        <v>0</v>
      </c>
      <c r="BS225">
        <v>0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2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1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2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1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</row>
    <row r="226" spans="1:201" x14ac:dyDescent="0.3">
      <c r="A226" t="s">
        <v>271</v>
      </c>
      <c r="B226" t="s">
        <v>276</v>
      </c>
      <c r="C226" t="s">
        <v>204</v>
      </c>
      <c r="D226" s="1">
        <v>1453</v>
      </c>
      <c r="E226">
        <v>605</v>
      </c>
      <c r="F226">
        <v>48</v>
      </c>
      <c r="G226">
        <v>109</v>
      </c>
      <c r="H226">
        <v>79</v>
      </c>
      <c r="I226">
        <v>6</v>
      </c>
      <c r="J226">
        <v>132</v>
      </c>
      <c r="K226">
        <v>20</v>
      </c>
      <c r="L226">
        <v>21</v>
      </c>
      <c r="M226">
        <v>42</v>
      </c>
      <c r="N226">
        <v>55</v>
      </c>
      <c r="O226">
        <v>95</v>
      </c>
      <c r="P226">
        <v>14</v>
      </c>
      <c r="Q226">
        <v>25</v>
      </c>
      <c r="R226">
        <v>17</v>
      </c>
      <c r="S226">
        <v>21</v>
      </c>
      <c r="T226">
        <v>28</v>
      </c>
      <c r="U226">
        <v>5</v>
      </c>
      <c r="V226">
        <v>2</v>
      </c>
      <c r="W226">
        <v>15</v>
      </c>
      <c r="X226">
        <v>5</v>
      </c>
      <c r="Y226">
        <v>9</v>
      </c>
      <c r="Z226">
        <v>9</v>
      </c>
      <c r="AA226">
        <v>0</v>
      </c>
      <c r="AB226">
        <v>0</v>
      </c>
      <c r="AC226">
        <v>2</v>
      </c>
      <c r="AD226">
        <v>9</v>
      </c>
      <c r="AE226">
        <v>10</v>
      </c>
      <c r="AF226">
        <v>0</v>
      </c>
      <c r="AG226">
        <v>1</v>
      </c>
      <c r="AH226">
        <v>1</v>
      </c>
      <c r="AI226">
        <v>6</v>
      </c>
      <c r="AJ226">
        <v>0</v>
      </c>
      <c r="AK226">
        <v>3</v>
      </c>
      <c r="AL226">
        <v>0</v>
      </c>
      <c r="AM226">
        <v>0</v>
      </c>
      <c r="AN226">
        <v>0</v>
      </c>
      <c r="AO226">
        <v>3</v>
      </c>
      <c r="AP226">
        <v>20</v>
      </c>
      <c r="AQ226">
        <v>4</v>
      </c>
      <c r="AR226">
        <v>1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4</v>
      </c>
      <c r="BF226">
        <v>2</v>
      </c>
      <c r="BG226">
        <v>0</v>
      </c>
      <c r="BH226">
        <v>0</v>
      </c>
      <c r="BI226">
        <v>4</v>
      </c>
      <c r="BJ226">
        <v>0</v>
      </c>
      <c r="BK226">
        <v>0</v>
      </c>
      <c r="BL226">
        <v>2</v>
      </c>
      <c r="BM226">
        <v>0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2</v>
      </c>
      <c r="CS226">
        <v>2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1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3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2</v>
      </c>
      <c r="FD226">
        <v>1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2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</row>
    <row r="227" spans="1:201" x14ac:dyDescent="0.3">
      <c r="A227" t="s">
        <v>271</v>
      </c>
      <c r="B227" t="s">
        <v>277</v>
      </c>
      <c r="C227" t="s">
        <v>200</v>
      </c>
      <c r="D227" s="1">
        <v>1216</v>
      </c>
      <c r="E227">
        <v>400</v>
      </c>
      <c r="F227">
        <v>90</v>
      </c>
      <c r="G227">
        <v>55</v>
      </c>
      <c r="H227">
        <v>113</v>
      </c>
      <c r="I227">
        <v>71</v>
      </c>
      <c r="J227">
        <v>145</v>
      </c>
      <c r="K227">
        <v>8</v>
      </c>
      <c r="L227">
        <v>23</v>
      </c>
      <c r="M227">
        <v>57</v>
      </c>
      <c r="N227">
        <v>95</v>
      </c>
      <c r="O227">
        <v>9</v>
      </c>
      <c r="P227">
        <v>3</v>
      </c>
      <c r="Q227">
        <v>33</v>
      </c>
      <c r="R227">
        <v>10</v>
      </c>
      <c r="S227">
        <v>10</v>
      </c>
      <c r="T227">
        <v>10</v>
      </c>
      <c r="U227">
        <v>1</v>
      </c>
      <c r="V227">
        <v>3</v>
      </c>
      <c r="W227">
        <v>10</v>
      </c>
      <c r="X227">
        <v>1</v>
      </c>
      <c r="Y227">
        <v>21</v>
      </c>
      <c r="Z227">
        <v>2</v>
      </c>
      <c r="AA227">
        <v>0</v>
      </c>
      <c r="AB227">
        <v>5</v>
      </c>
      <c r="AC227">
        <v>1</v>
      </c>
      <c r="AD227">
        <v>8</v>
      </c>
      <c r="AE227">
        <v>1</v>
      </c>
      <c r="AF227">
        <v>2</v>
      </c>
      <c r="AG227">
        <v>2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6</v>
      </c>
      <c r="AP227">
        <v>9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3</v>
      </c>
      <c r="AW227">
        <v>0</v>
      </c>
      <c r="AX227">
        <v>0</v>
      </c>
      <c r="AY227">
        <v>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3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</row>
    <row r="228" spans="1:201" x14ac:dyDescent="0.3">
      <c r="A228" t="s">
        <v>271</v>
      </c>
      <c r="B228" t="s">
        <v>277</v>
      </c>
      <c r="C228" t="s">
        <v>203</v>
      </c>
      <c r="D228">
        <v>708</v>
      </c>
      <c r="E228">
        <v>204</v>
      </c>
      <c r="F228">
        <v>48</v>
      </c>
      <c r="G228">
        <v>19</v>
      </c>
      <c r="H228">
        <v>100</v>
      </c>
      <c r="I228">
        <v>55</v>
      </c>
      <c r="J228">
        <v>90</v>
      </c>
      <c r="K228">
        <v>5</v>
      </c>
      <c r="L228">
        <v>23</v>
      </c>
      <c r="M228">
        <v>29</v>
      </c>
      <c r="N228">
        <v>49</v>
      </c>
      <c r="O228">
        <v>3</v>
      </c>
      <c r="P228">
        <v>3</v>
      </c>
      <c r="Q228">
        <v>31</v>
      </c>
      <c r="R228">
        <v>6</v>
      </c>
      <c r="S228">
        <v>2</v>
      </c>
      <c r="T228">
        <v>8</v>
      </c>
      <c r="U228">
        <v>0</v>
      </c>
      <c r="V228">
        <v>2</v>
      </c>
      <c r="W228">
        <v>5</v>
      </c>
      <c r="X228">
        <v>1</v>
      </c>
      <c r="Y228">
        <v>2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1</v>
      </c>
      <c r="AF228">
        <v>1</v>
      </c>
      <c r="AG228">
        <v>1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6</v>
      </c>
      <c r="AP228">
        <v>6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2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1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</row>
    <row r="229" spans="1:201" x14ac:dyDescent="0.3">
      <c r="A229" t="s">
        <v>271</v>
      </c>
      <c r="B229" t="s">
        <v>277</v>
      </c>
      <c r="C229" t="s">
        <v>204</v>
      </c>
      <c r="D229">
        <v>508</v>
      </c>
      <c r="E229">
        <v>196</v>
      </c>
      <c r="F229">
        <v>42</v>
      </c>
      <c r="G229">
        <v>36</v>
      </c>
      <c r="H229">
        <v>13</v>
      </c>
      <c r="I229">
        <v>16</v>
      </c>
      <c r="J229">
        <v>55</v>
      </c>
      <c r="K229">
        <v>3</v>
      </c>
      <c r="L229">
        <v>0</v>
      </c>
      <c r="M229">
        <v>28</v>
      </c>
      <c r="N229">
        <v>46</v>
      </c>
      <c r="O229">
        <v>6</v>
      </c>
      <c r="P229">
        <v>0</v>
      </c>
      <c r="Q229">
        <v>2</v>
      </c>
      <c r="R229">
        <v>4</v>
      </c>
      <c r="S229">
        <v>8</v>
      </c>
      <c r="T229">
        <v>2</v>
      </c>
      <c r="U229">
        <v>1</v>
      </c>
      <c r="V229">
        <v>1</v>
      </c>
      <c r="W229">
        <v>5</v>
      </c>
      <c r="X229">
        <v>0</v>
      </c>
      <c r="Y229">
        <v>19</v>
      </c>
      <c r="Z229">
        <v>2</v>
      </c>
      <c r="AA229">
        <v>0</v>
      </c>
      <c r="AB229">
        <v>4</v>
      </c>
      <c r="AC229">
        <v>1</v>
      </c>
      <c r="AD229">
        <v>7</v>
      </c>
      <c r="AE229">
        <v>0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3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2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1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</row>
    <row r="230" spans="1:201" x14ac:dyDescent="0.3">
      <c r="A230" t="s">
        <v>271</v>
      </c>
      <c r="B230" t="s">
        <v>278</v>
      </c>
      <c r="C230" t="s">
        <v>200</v>
      </c>
      <c r="D230">
        <v>412</v>
      </c>
      <c r="E230">
        <v>96</v>
      </c>
      <c r="F230">
        <v>18</v>
      </c>
      <c r="G230">
        <v>20</v>
      </c>
      <c r="H230">
        <v>77</v>
      </c>
      <c r="I230">
        <v>3</v>
      </c>
      <c r="J230">
        <v>79</v>
      </c>
      <c r="K230">
        <v>4</v>
      </c>
      <c r="L230">
        <v>14</v>
      </c>
      <c r="M230">
        <v>25</v>
      </c>
      <c r="N230">
        <v>27</v>
      </c>
      <c r="O230">
        <v>1</v>
      </c>
      <c r="P230">
        <v>1</v>
      </c>
      <c r="Q230">
        <v>0</v>
      </c>
      <c r="R230">
        <v>4</v>
      </c>
      <c r="S230">
        <v>19</v>
      </c>
      <c r="T230">
        <v>0</v>
      </c>
      <c r="U230">
        <v>0</v>
      </c>
      <c r="V230">
        <v>0</v>
      </c>
      <c r="W230">
        <v>3</v>
      </c>
      <c r="X230">
        <v>3</v>
      </c>
      <c r="Y230">
        <v>5</v>
      </c>
      <c r="Z230">
        <v>0</v>
      </c>
      <c r="AA230">
        <v>0</v>
      </c>
      <c r="AB230">
        <v>10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</row>
    <row r="231" spans="1:201" x14ac:dyDescent="0.3">
      <c r="A231" t="s">
        <v>271</v>
      </c>
      <c r="B231" t="s">
        <v>278</v>
      </c>
      <c r="C231" t="s">
        <v>203</v>
      </c>
      <c r="D231">
        <v>204</v>
      </c>
      <c r="E231">
        <v>31</v>
      </c>
      <c r="F231">
        <v>6</v>
      </c>
      <c r="G231">
        <v>5</v>
      </c>
      <c r="H231">
        <v>64</v>
      </c>
      <c r="I231">
        <v>3</v>
      </c>
      <c r="J231">
        <v>32</v>
      </c>
      <c r="K231">
        <v>3</v>
      </c>
      <c r="L231">
        <v>13</v>
      </c>
      <c r="M231">
        <v>13</v>
      </c>
      <c r="N231">
        <v>13</v>
      </c>
      <c r="O231">
        <v>0</v>
      </c>
      <c r="P231">
        <v>0</v>
      </c>
      <c r="Q231">
        <v>0</v>
      </c>
      <c r="R231">
        <v>4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3</v>
      </c>
      <c r="Y231">
        <v>2</v>
      </c>
      <c r="Z231">
        <v>0</v>
      </c>
      <c r="AA231">
        <v>0</v>
      </c>
      <c r="AB231">
        <v>8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</row>
    <row r="232" spans="1:201" x14ac:dyDescent="0.3">
      <c r="A232" t="s">
        <v>271</v>
      </c>
      <c r="B232" t="s">
        <v>278</v>
      </c>
      <c r="C232" t="s">
        <v>204</v>
      </c>
      <c r="D232">
        <v>208</v>
      </c>
      <c r="E232">
        <v>65</v>
      </c>
      <c r="F232">
        <v>12</v>
      </c>
      <c r="G232">
        <v>15</v>
      </c>
      <c r="H232">
        <v>13</v>
      </c>
      <c r="I232">
        <v>0</v>
      </c>
      <c r="J232">
        <v>47</v>
      </c>
      <c r="K232">
        <v>1</v>
      </c>
      <c r="L232">
        <v>1</v>
      </c>
      <c r="M232">
        <v>12</v>
      </c>
      <c r="N232">
        <v>14</v>
      </c>
      <c r="O232">
        <v>1</v>
      </c>
      <c r="P232">
        <v>1</v>
      </c>
      <c r="Q232">
        <v>0</v>
      </c>
      <c r="R232">
        <v>0</v>
      </c>
      <c r="S232">
        <v>19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3</v>
      </c>
      <c r="Z232">
        <v>0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</row>
    <row r="233" spans="1:201" x14ac:dyDescent="0.3">
      <c r="A233" t="s">
        <v>271</v>
      </c>
      <c r="B233" t="s">
        <v>279</v>
      </c>
      <c r="C233" t="s">
        <v>200</v>
      </c>
      <c r="D233" s="1">
        <v>2295</v>
      </c>
      <c r="E233">
        <v>854</v>
      </c>
      <c r="F233">
        <v>77</v>
      </c>
      <c r="G233">
        <v>134</v>
      </c>
      <c r="H233">
        <v>142</v>
      </c>
      <c r="I233">
        <v>60</v>
      </c>
      <c r="J233">
        <v>198</v>
      </c>
      <c r="K233">
        <v>78</v>
      </c>
      <c r="L233">
        <v>35</v>
      </c>
      <c r="M233">
        <v>175</v>
      </c>
      <c r="N233">
        <v>89</v>
      </c>
      <c r="O233">
        <v>25</v>
      </c>
      <c r="P233">
        <v>21</v>
      </c>
      <c r="Q233">
        <v>25</v>
      </c>
      <c r="R233">
        <v>5</v>
      </c>
      <c r="S233">
        <v>16</v>
      </c>
      <c r="T233">
        <v>4</v>
      </c>
      <c r="U233">
        <v>0</v>
      </c>
      <c r="V233">
        <v>22</v>
      </c>
      <c r="W233">
        <v>10</v>
      </c>
      <c r="X233">
        <v>1</v>
      </c>
      <c r="Y233">
        <v>267</v>
      </c>
      <c r="Z233">
        <v>0</v>
      </c>
      <c r="AA233">
        <v>0</v>
      </c>
      <c r="AB233">
        <v>19</v>
      </c>
      <c r="AC233">
        <v>1</v>
      </c>
      <c r="AD233">
        <v>4</v>
      </c>
      <c r="AE233">
        <v>0</v>
      </c>
      <c r="AF233">
        <v>2</v>
      </c>
      <c r="AG233">
        <v>0</v>
      </c>
      <c r="AH233">
        <v>1</v>
      </c>
      <c r="AI233">
        <v>0</v>
      </c>
      <c r="AJ233">
        <v>0</v>
      </c>
      <c r="AK233">
        <v>6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2</v>
      </c>
      <c r="AS233">
        <v>2</v>
      </c>
      <c r="AT233">
        <v>0</v>
      </c>
      <c r="AU233">
        <v>0</v>
      </c>
      <c r="AV233">
        <v>0</v>
      </c>
      <c r="AW233">
        <v>2</v>
      </c>
      <c r="AX233">
        <v>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3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1</v>
      </c>
      <c r="BQ233">
        <v>0</v>
      </c>
      <c r="BR233">
        <v>0</v>
      </c>
      <c r="BS233">
        <v>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6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2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1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</row>
    <row r="234" spans="1:201" x14ac:dyDescent="0.3">
      <c r="A234" t="s">
        <v>271</v>
      </c>
      <c r="B234" t="s">
        <v>279</v>
      </c>
      <c r="C234" t="s">
        <v>203</v>
      </c>
      <c r="D234" s="1">
        <v>1245</v>
      </c>
      <c r="E234">
        <v>405</v>
      </c>
      <c r="F234">
        <v>33</v>
      </c>
      <c r="G234">
        <v>67</v>
      </c>
      <c r="H234">
        <v>120</v>
      </c>
      <c r="I234">
        <v>41</v>
      </c>
      <c r="J234">
        <v>108</v>
      </c>
      <c r="K234">
        <v>52</v>
      </c>
      <c r="L234">
        <v>33</v>
      </c>
      <c r="M234">
        <v>83</v>
      </c>
      <c r="N234">
        <v>44</v>
      </c>
      <c r="O234">
        <v>10</v>
      </c>
      <c r="P234">
        <v>10</v>
      </c>
      <c r="Q234">
        <v>21</v>
      </c>
      <c r="R234">
        <v>5</v>
      </c>
      <c r="S234">
        <v>3</v>
      </c>
      <c r="T234">
        <v>0</v>
      </c>
      <c r="U234">
        <v>0</v>
      </c>
      <c r="V234">
        <v>16</v>
      </c>
      <c r="W234">
        <v>5</v>
      </c>
      <c r="X234">
        <v>1</v>
      </c>
      <c r="Y234">
        <v>160</v>
      </c>
      <c r="Z234">
        <v>0</v>
      </c>
      <c r="AA234">
        <v>0</v>
      </c>
      <c r="AB234">
        <v>7</v>
      </c>
      <c r="AC234">
        <v>0</v>
      </c>
      <c r="AD234">
        <v>2</v>
      </c>
      <c r="AE234">
        <v>0</v>
      </c>
      <c r="AF234">
        <v>1</v>
      </c>
      <c r="AG234">
        <v>0</v>
      </c>
      <c r="AH234">
        <v>1</v>
      </c>
      <c r="AI234">
        <v>0</v>
      </c>
      <c r="AJ234">
        <v>0</v>
      </c>
      <c r="AK234">
        <v>3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2</v>
      </c>
      <c r="AX234">
        <v>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2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3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</row>
    <row r="235" spans="1:201" x14ac:dyDescent="0.3">
      <c r="A235" t="s">
        <v>271</v>
      </c>
      <c r="B235" t="s">
        <v>279</v>
      </c>
      <c r="C235" t="s">
        <v>204</v>
      </c>
      <c r="D235" s="1">
        <v>1050</v>
      </c>
      <c r="E235">
        <v>449</v>
      </c>
      <c r="F235">
        <v>44</v>
      </c>
      <c r="G235">
        <v>67</v>
      </c>
      <c r="H235">
        <v>22</v>
      </c>
      <c r="I235">
        <v>19</v>
      </c>
      <c r="J235">
        <v>90</v>
      </c>
      <c r="K235">
        <v>26</v>
      </c>
      <c r="L235">
        <v>2</v>
      </c>
      <c r="M235">
        <v>92</v>
      </c>
      <c r="N235">
        <v>45</v>
      </c>
      <c r="O235">
        <v>15</v>
      </c>
      <c r="P235">
        <v>11</v>
      </c>
      <c r="Q235">
        <v>4</v>
      </c>
      <c r="R235">
        <v>0</v>
      </c>
      <c r="S235">
        <v>13</v>
      </c>
      <c r="T235">
        <v>4</v>
      </c>
      <c r="U235">
        <v>0</v>
      </c>
      <c r="V235">
        <v>6</v>
      </c>
      <c r="W235">
        <v>5</v>
      </c>
      <c r="X235">
        <v>0</v>
      </c>
      <c r="Y235">
        <v>107</v>
      </c>
      <c r="Z235">
        <v>0</v>
      </c>
      <c r="AA235">
        <v>0</v>
      </c>
      <c r="AB235">
        <v>12</v>
      </c>
      <c r="AC235">
        <v>1</v>
      </c>
      <c r="AD235">
        <v>2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2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3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</row>
    <row r="236" spans="1:201" x14ac:dyDescent="0.3">
      <c r="A236" t="s">
        <v>271</v>
      </c>
      <c r="B236" t="s">
        <v>280</v>
      </c>
      <c r="C236" t="s">
        <v>200</v>
      </c>
      <c r="D236" s="1">
        <v>2897</v>
      </c>
      <c r="E236">
        <v>435</v>
      </c>
      <c r="F236">
        <v>43</v>
      </c>
      <c r="G236">
        <v>44</v>
      </c>
      <c r="H236">
        <v>338</v>
      </c>
      <c r="I236">
        <v>145</v>
      </c>
      <c r="J236">
        <v>283</v>
      </c>
      <c r="K236">
        <v>284</v>
      </c>
      <c r="L236">
        <v>92</v>
      </c>
      <c r="M236">
        <v>224</v>
      </c>
      <c r="N236">
        <v>83</v>
      </c>
      <c r="O236">
        <v>11</v>
      </c>
      <c r="P236">
        <v>1</v>
      </c>
      <c r="Q236">
        <v>202</v>
      </c>
      <c r="R236">
        <v>125</v>
      </c>
      <c r="S236">
        <v>16</v>
      </c>
      <c r="T236">
        <v>8</v>
      </c>
      <c r="U236">
        <v>29</v>
      </c>
      <c r="V236">
        <v>112</v>
      </c>
      <c r="W236">
        <v>6</v>
      </c>
      <c r="X236">
        <v>5</v>
      </c>
      <c r="Y236">
        <v>388</v>
      </c>
      <c r="Z236">
        <v>0</v>
      </c>
      <c r="AA236">
        <v>0</v>
      </c>
      <c r="AB236">
        <v>0</v>
      </c>
      <c r="AC236">
        <v>1</v>
      </c>
      <c r="AD236">
        <v>5</v>
      </c>
      <c r="AE236">
        <v>2</v>
      </c>
      <c r="AF236">
        <v>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2</v>
      </c>
      <c r="AQ236">
        <v>0</v>
      </c>
      <c r="AR236">
        <v>0</v>
      </c>
      <c r="AS236">
        <v>1</v>
      </c>
      <c r="AT236">
        <v>1</v>
      </c>
      <c r="AU236">
        <v>1</v>
      </c>
      <c r="AV236">
        <v>2</v>
      </c>
      <c r="AW236">
        <v>0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2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1</v>
      </c>
    </row>
    <row r="237" spans="1:201" x14ac:dyDescent="0.3">
      <c r="A237" t="s">
        <v>271</v>
      </c>
      <c r="B237" t="s">
        <v>280</v>
      </c>
      <c r="C237" t="s">
        <v>203</v>
      </c>
      <c r="D237" s="1">
        <v>2268</v>
      </c>
      <c r="E237">
        <v>266</v>
      </c>
      <c r="F237">
        <v>27</v>
      </c>
      <c r="G237">
        <v>13</v>
      </c>
      <c r="H237">
        <v>296</v>
      </c>
      <c r="I237">
        <v>117</v>
      </c>
      <c r="J237">
        <v>215</v>
      </c>
      <c r="K237">
        <v>264</v>
      </c>
      <c r="L237">
        <v>91</v>
      </c>
      <c r="M237">
        <v>165</v>
      </c>
      <c r="N237">
        <v>53</v>
      </c>
      <c r="O237">
        <v>7</v>
      </c>
      <c r="P237">
        <v>0</v>
      </c>
      <c r="Q237">
        <v>174</v>
      </c>
      <c r="R237">
        <v>108</v>
      </c>
      <c r="S237">
        <v>0</v>
      </c>
      <c r="T237">
        <v>6</v>
      </c>
      <c r="U237">
        <v>14</v>
      </c>
      <c r="V237">
        <v>97</v>
      </c>
      <c r="W237">
        <v>5</v>
      </c>
      <c r="X237">
        <v>3</v>
      </c>
      <c r="Y237">
        <v>332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2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1</v>
      </c>
      <c r="AT237">
        <v>0</v>
      </c>
      <c r="AU237">
        <v>1</v>
      </c>
      <c r="AV237">
        <v>2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2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1</v>
      </c>
    </row>
    <row r="238" spans="1:201" x14ac:dyDescent="0.3">
      <c r="A238" t="s">
        <v>271</v>
      </c>
      <c r="B238" t="s">
        <v>280</v>
      </c>
      <c r="C238" t="s">
        <v>204</v>
      </c>
      <c r="D238">
        <v>629</v>
      </c>
      <c r="E238">
        <v>169</v>
      </c>
      <c r="F238">
        <v>16</v>
      </c>
      <c r="G238">
        <v>31</v>
      </c>
      <c r="H238">
        <v>42</v>
      </c>
      <c r="I238">
        <v>28</v>
      </c>
      <c r="J238">
        <v>68</v>
      </c>
      <c r="K238">
        <v>20</v>
      </c>
      <c r="L238">
        <v>1</v>
      </c>
      <c r="M238">
        <v>59</v>
      </c>
      <c r="N238">
        <v>30</v>
      </c>
      <c r="O238">
        <v>4</v>
      </c>
      <c r="P238">
        <v>1</v>
      </c>
      <c r="Q238">
        <v>28</v>
      </c>
      <c r="R238">
        <v>17</v>
      </c>
      <c r="S238">
        <v>16</v>
      </c>
      <c r="T238">
        <v>2</v>
      </c>
      <c r="U238">
        <v>15</v>
      </c>
      <c r="V238">
        <v>15</v>
      </c>
      <c r="W238">
        <v>1</v>
      </c>
      <c r="X238">
        <v>2</v>
      </c>
      <c r="Y238">
        <v>56</v>
      </c>
      <c r="Z238">
        <v>0</v>
      </c>
      <c r="AA238">
        <v>0</v>
      </c>
      <c r="AB238">
        <v>0</v>
      </c>
      <c r="AC238">
        <v>0</v>
      </c>
      <c r="AD238">
        <v>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</row>
    <row r="239" spans="1:201" x14ac:dyDescent="0.3">
      <c r="A239" t="s">
        <v>271</v>
      </c>
      <c r="B239" t="s">
        <v>281</v>
      </c>
      <c r="C239" t="s">
        <v>200</v>
      </c>
      <c r="D239" s="1">
        <v>2193</v>
      </c>
      <c r="E239">
        <v>926</v>
      </c>
      <c r="F239">
        <v>71</v>
      </c>
      <c r="G239">
        <v>152</v>
      </c>
      <c r="H239">
        <v>198</v>
      </c>
      <c r="I239">
        <v>36</v>
      </c>
      <c r="J239">
        <v>50</v>
      </c>
      <c r="K239">
        <v>44</v>
      </c>
      <c r="L239">
        <v>58</v>
      </c>
      <c r="M239">
        <v>85</v>
      </c>
      <c r="N239">
        <v>63</v>
      </c>
      <c r="O239">
        <v>42</v>
      </c>
      <c r="P239">
        <v>33</v>
      </c>
      <c r="Q239">
        <v>39</v>
      </c>
      <c r="R239">
        <v>29</v>
      </c>
      <c r="S239">
        <v>43</v>
      </c>
      <c r="T239">
        <v>13</v>
      </c>
      <c r="U239">
        <v>5</v>
      </c>
      <c r="V239">
        <v>14</v>
      </c>
      <c r="W239">
        <v>21</v>
      </c>
      <c r="X239">
        <v>11</v>
      </c>
      <c r="Y239">
        <v>163</v>
      </c>
      <c r="Z239">
        <v>6</v>
      </c>
      <c r="AA239">
        <v>0</v>
      </c>
      <c r="AB239">
        <v>29</v>
      </c>
      <c r="AC239">
        <v>8</v>
      </c>
      <c r="AD239">
        <v>14</v>
      </c>
      <c r="AE239">
        <v>1</v>
      </c>
      <c r="AF239">
        <v>2</v>
      </c>
      <c r="AG239">
        <v>0</v>
      </c>
      <c r="AH239">
        <v>2</v>
      </c>
      <c r="AI239">
        <v>2</v>
      </c>
      <c r="AJ239">
        <v>1</v>
      </c>
      <c r="AK239">
        <v>1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1</v>
      </c>
      <c r="AR239">
        <v>1</v>
      </c>
      <c r="AS239">
        <v>0</v>
      </c>
      <c r="AT239">
        <v>0</v>
      </c>
      <c r="AU239">
        <v>7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6</v>
      </c>
      <c r="BF239">
        <v>4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2</v>
      </c>
      <c r="BM239">
        <v>1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1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1</v>
      </c>
    </row>
    <row r="240" spans="1:201" x14ac:dyDescent="0.3">
      <c r="A240" t="s">
        <v>271</v>
      </c>
      <c r="B240" t="s">
        <v>281</v>
      </c>
      <c r="C240" t="s">
        <v>203</v>
      </c>
      <c r="D240" s="1">
        <v>1103</v>
      </c>
      <c r="E240">
        <v>403</v>
      </c>
      <c r="F240">
        <v>30</v>
      </c>
      <c r="G240">
        <v>48</v>
      </c>
      <c r="H240">
        <v>157</v>
      </c>
      <c r="I240">
        <v>26</v>
      </c>
      <c r="J240">
        <v>31</v>
      </c>
      <c r="K240">
        <v>36</v>
      </c>
      <c r="L240">
        <v>51</v>
      </c>
      <c r="M240">
        <v>25</v>
      </c>
      <c r="N240">
        <v>18</v>
      </c>
      <c r="O240">
        <v>16</v>
      </c>
      <c r="P240">
        <v>19</v>
      </c>
      <c r="Q240">
        <v>31</v>
      </c>
      <c r="R240">
        <v>23</v>
      </c>
      <c r="S240">
        <v>4</v>
      </c>
      <c r="T240">
        <v>7</v>
      </c>
      <c r="U240">
        <v>2</v>
      </c>
      <c r="V240">
        <v>10</v>
      </c>
      <c r="W240">
        <v>11</v>
      </c>
      <c r="X240">
        <v>8</v>
      </c>
      <c r="Y240">
        <v>93</v>
      </c>
      <c r="Z240">
        <v>5</v>
      </c>
      <c r="AA240">
        <v>0</v>
      </c>
      <c r="AB240">
        <v>17</v>
      </c>
      <c r="AC240">
        <v>6</v>
      </c>
      <c r="AD240">
        <v>4</v>
      </c>
      <c r="AE240">
        <v>1</v>
      </c>
      <c r="AF240">
        <v>2</v>
      </c>
      <c r="AG240">
        <v>0</v>
      </c>
      <c r="AH240">
        <v>1</v>
      </c>
      <c r="AI240">
        <v>1</v>
      </c>
      <c r="AJ240">
        <v>1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3</v>
      </c>
      <c r="BF240">
        <v>2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1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1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</row>
    <row r="241" spans="1:201" x14ac:dyDescent="0.3">
      <c r="A241" t="s">
        <v>271</v>
      </c>
      <c r="B241" t="s">
        <v>281</v>
      </c>
      <c r="C241" t="s">
        <v>204</v>
      </c>
      <c r="D241" s="1">
        <v>1090</v>
      </c>
      <c r="E241">
        <v>523</v>
      </c>
      <c r="F241">
        <v>41</v>
      </c>
      <c r="G241">
        <v>104</v>
      </c>
      <c r="H241">
        <v>41</v>
      </c>
      <c r="I241">
        <v>10</v>
      </c>
      <c r="J241">
        <v>19</v>
      </c>
      <c r="K241">
        <v>8</v>
      </c>
      <c r="L241">
        <v>7</v>
      </c>
      <c r="M241">
        <v>60</v>
      </c>
      <c r="N241">
        <v>45</v>
      </c>
      <c r="O241">
        <v>26</v>
      </c>
      <c r="P241">
        <v>14</v>
      </c>
      <c r="Q241">
        <v>8</v>
      </c>
      <c r="R241">
        <v>6</v>
      </c>
      <c r="S241">
        <v>39</v>
      </c>
      <c r="T241">
        <v>6</v>
      </c>
      <c r="U241">
        <v>3</v>
      </c>
      <c r="V241">
        <v>4</v>
      </c>
      <c r="W241">
        <v>10</v>
      </c>
      <c r="X241">
        <v>3</v>
      </c>
      <c r="Y241">
        <v>70</v>
      </c>
      <c r="Z241">
        <v>1</v>
      </c>
      <c r="AA241">
        <v>0</v>
      </c>
      <c r="AB241">
        <v>12</v>
      </c>
      <c r="AC241">
        <v>2</v>
      </c>
      <c r="AD241">
        <v>10</v>
      </c>
      <c r="AE241">
        <v>0</v>
      </c>
      <c r="AF241">
        <v>0</v>
      </c>
      <c r="AG241">
        <v>0</v>
      </c>
      <c r="AH241">
        <v>1</v>
      </c>
      <c r="AI241">
        <v>1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1</v>
      </c>
      <c r="AR241">
        <v>1</v>
      </c>
      <c r="AS241">
        <v>0</v>
      </c>
      <c r="AT241">
        <v>0</v>
      </c>
      <c r="AU241">
        <v>4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3</v>
      </c>
      <c r="BF241">
        <v>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1</v>
      </c>
    </row>
    <row r="242" spans="1:201" x14ac:dyDescent="0.3">
      <c r="A242" t="s">
        <v>271</v>
      </c>
      <c r="B242" t="s">
        <v>282</v>
      </c>
      <c r="C242" t="s">
        <v>200</v>
      </c>
      <c r="D242" s="1">
        <v>1365</v>
      </c>
      <c r="E242">
        <v>598</v>
      </c>
      <c r="F242">
        <v>16</v>
      </c>
      <c r="G242">
        <v>43</v>
      </c>
      <c r="H242">
        <v>46</v>
      </c>
      <c r="I242">
        <v>5</v>
      </c>
      <c r="J242">
        <v>59</v>
      </c>
      <c r="K242">
        <v>309</v>
      </c>
      <c r="L242">
        <v>8</v>
      </c>
      <c r="M242">
        <v>86</v>
      </c>
      <c r="N242">
        <v>72</v>
      </c>
      <c r="O242">
        <v>5</v>
      </c>
      <c r="P242">
        <v>2</v>
      </c>
      <c r="Q242">
        <v>11</v>
      </c>
      <c r="R242">
        <v>2</v>
      </c>
      <c r="S242">
        <v>13</v>
      </c>
      <c r="T242">
        <v>0</v>
      </c>
      <c r="U242">
        <v>0</v>
      </c>
      <c r="V242">
        <v>0</v>
      </c>
      <c r="W242">
        <v>5</v>
      </c>
      <c r="X242">
        <v>3</v>
      </c>
      <c r="Y242">
        <v>45</v>
      </c>
      <c r="Z242">
        <v>1</v>
      </c>
      <c r="AA242">
        <v>1</v>
      </c>
      <c r="AB242">
        <v>0</v>
      </c>
      <c r="AC242">
        <v>0</v>
      </c>
      <c r="AD242">
        <v>1</v>
      </c>
      <c r="AE242">
        <v>4</v>
      </c>
      <c r="AF242">
        <v>4</v>
      </c>
      <c r="AG242">
        <v>0</v>
      </c>
      <c r="AH242">
        <v>22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</row>
    <row r="243" spans="1:201" x14ac:dyDescent="0.3">
      <c r="A243" t="s">
        <v>271</v>
      </c>
      <c r="B243" t="s">
        <v>282</v>
      </c>
      <c r="C243" t="s">
        <v>203</v>
      </c>
      <c r="D243" s="1">
        <v>1067</v>
      </c>
      <c r="E243">
        <v>499</v>
      </c>
      <c r="F243">
        <v>6</v>
      </c>
      <c r="G243">
        <v>23</v>
      </c>
      <c r="H243">
        <v>37</v>
      </c>
      <c r="I243">
        <v>3</v>
      </c>
      <c r="J243">
        <v>33</v>
      </c>
      <c r="K243">
        <v>307</v>
      </c>
      <c r="L243">
        <v>8</v>
      </c>
      <c r="M243">
        <v>30</v>
      </c>
      <c r="N243">
        <v>52</v>
      </c>
      <c r="O243">
        <v>3</v>
      </c>
      <c r="P243">
        <v>0</v>
      </c>
      <c r="Q243">
        <v>11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2</v>
      </c>
      <c r="X243">
        <v>3</v>
      </c>
      <c r="Y243">
        <v>32</v>
      </c>
      <c r="Z243">
        <v>1</v>
      </c>
      <c r="AA243">
        <v>1</v>
      </c>
      <c r="AB243">
        <v>0</v>
      </c>
      <c r="AC243">
        <v>0</v>
      </c>
      <c r="AD243">
        <v>0</v>
      </c>
      <c r="AE243">
        <v>4</v>
      </c>
      <c r="AF243">
        <v>1</v>
      </c>
      <c r="AG243">
        <v>0</v>
      </c>
      <c r="AH243">
        <v>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</row>
    <row r="244" spans="1:201" x14ac:dyDescent="0.3">
      <c r="A244" t="s">
        <v>271</v>
      </c>
      <c r="B244" t="s">
        <v>282</v>
      </c>
      <c r="C244" t="s">
        <v>204</v>
      </c>
      <c r="D244">
        <v>298</v>
      </c>
      <c r="E244">
        <v>99</v>
      </c>
      <c r="F244">
        <v>10</v>
      </c>
      <c r="G244">
        <v>20</v>
      </c>
      <c r="H244">
        <v>9</v>
      </c>
      <c r="I244">
        <v>2</v>
      </c>
      <c r="J244">
        <v>26</v>
      </c>
      <c r="K244">
        <v>2</v>
      </c>
      <c r="L244">
        <v>0</v>
      </c>
      <c r="M244">
        <v>56</v>
      </c>
      <c r="N244">
        <v>20</v>
      </c>
      <c r="O244">
        <v>2</v>
      </c>
      <c r="P244">
        <v>2</v>
      </c>
      <c r="Q244">
        <v>0</v>
      </c>
      <c r="R244">
        <v>1</v>
      </c>
      <c r="S244">
        <v>12</v>
      </c>
      <c r="T244">
        <v>0</v>
      </c>
      <c r="U244">
        <v>0</v>
      </c>
      <c r="V244">
        <v>0</v>
      </c>
      <c r="W244">
        <v>3</v>
      </c>
      <c r="X244">
        <v>0</v>
      </c>
      <c r="Y244">
        <v>13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3</v>
      </c>
      <c r="AG244">
        <v>0</v>
      </c>
      <c r="AH244">
        <v>14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</row>
    <row r="245" spans="1:201" x14ac:dyDescent="0.3">
      <c r="A245" t="s">
        <v>271</v>
      </c>
      <c r="B245" t="s">
        <v>283</v>
      </c>
      <c r="C245" t="s">
        <v>200</v>
      </c>
      <c r="D245">
        <v>250</v>
      </c>
      <c r="E245">
        <v>123</v>
      </c>
      <c r="F245">
        <v>6</v>
      </c>
      <c r="G245">
        <v>9</v>
      </c>
      <c r="H245">
        <v>8</v>
      </c>
      <c r="I245">
        <v>43</v>
      </c>
      <c r="J245">
        <v>26</v>
      </c>
      <c r="K245">
        <v>0</v>
      </c>
      <c r="L245">
        <v>3</v>
      </c>
      <c r="M245">
        <v>4</v>
      </c>
      <c r="N245">
        <v>5</v>
      </c>
      <c r="O245">
        <v>2</v>
      </c>
      <c r="P245">
        <v>1</v>
      </c>
      <c r="Q245">
        <v>6</v>
      </c>
      <c r="R245">
        <v>0</v>
      </c>
      <c r="S245">
        <v>7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2</v>
      </c>
      <c r="Z245">
        <v>0</v>
      </c>
      <c r="AA245">
        <v>0</v>
      </c>
      <c r="AB245">
        <v>0</v>
      </c>
      <c r="AC245">
        <v>0</v>
      </c>
      <c r="AD245">
        <v>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</row>
    <row r="246" spans="1:201" x14ac:dyDescent="0.3">
      <c r="A246" t="s">
        <v>271</v>
      </c>
      <c r="B246" t="s">
        <v>283</v>
      </c>
      <c r="C246" t="s">
        <v>203</v>
      </c>
      <c r="D246">
        <v>119</v>
      </c>
      <c r="E246">
        <v>44</v>
      </c>
      <c r="F246">
        <v>4</v>
      </c>
      <c r="G246">
        <v>0</v>
      </c>
      <c r="H246">
        <v>7</v>
      </c>
      <c r="I246">
        <v>31</v>
      </c>
      <c r="J246">
        <v>21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1</v>
      </c>
      <c r="Q246">
        <v>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</row>
    <row r="247" spans="1:201" x14ac:dyDescent="0.3">
      <c r="A247" t="s">
        <v>271</v>
      </c>
      <c r="B247" t="s">
        <v>283</v>
      </c>
      <c r="C247" t="s">
        <v>204</v>
      </c>
      <c r="D247">
        <v>131</v>
      </c>
      <c r="E247">
        <v>79</v>
      </c>
      <c r="F247">
        <v>2</v>
      </c>
      <c r="G247">
        <v>9</v>
      </c>
      <c r="H247">
        <v>1</v>
      </c>
      <c r="I247">
        <v>12</v>
      </c>
      <c r="J247">
        <v>5</v>
      </c>
      <c r="K247">
        <v>0</v>
      </c>
      <c r="L247">
        <v>0</v>
      </c>
      <c r="M247">
        <v>4</v>
      </c>
      <c r="N247">
        <v>5</v>
      </c>
      <c r="O247">
        <v>2</v>
      </c>
      <c r="P247">
        <v>0</v>
      </c>
      <c r="Q247">
        <v>0</v>
      </c>
      <c r="R247">
        <v>0</v>
      </c>
      <c r="S247">
        <v>7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</row>
    <row r="248" spans="1:201" x14ac:dyDescent="0.3">
      <c r="A248" t="s">
        <v>271</v>
      </c>
      <c r="B248" t="s">
        <v>284</v>
      </c>
      <c r="C248" t="s">
        <v>200</v>
      </c>
      <c r="D248" s="1">
        <v>1532</v>
      </c>
      <c r="E248">
        <v>544</v>
      </c>
      <c r="F248">
        <v>37</v>
      </c>
      <c r="G248">
        <v>77</v>
      </c>
      <c r="H248">
        <v>206</v>
      </c>
      <c r="I248">
        <v>92</v>
      </c>
      <c r="J248">
        <v>96</v>
      </c>
      <c r="K248">
        <v>19</v>
      </c>
      <c r="L248">
        <v>58</v>
      </c>
      <c r="M248">
        <v>92</v>
      </c>
      <c r="N248">
        <v>81</v>
      </c>
      <c r="O248">
        <v>46</v>
      </c>
      <c r="P248">
        <v>7</v>
      </c>
      <c r="Q248">
        <v>38</v>
      </c>
      <c r="R248">
        <v>12</v>
      </c>
      <c r="S248">
        <v>16</v>
      </c>
      <c r="T248">
        <v>4</v>
      </c>
      <c r="U248">
        <v>5</v>
      </c>
      <c r="V248">
        <v>9</v>
      </c>
      <c r="W248">
        <v>5</v>
      </c>
      <c r="X248">
        <v>2</v>
      </c>
      <c r="Y248">
        <v>7</v>
      </c>
      <c r="Z248">
        <v>1</v>
      </c>
      <c r="AA248">
        <v>0</v>
      </c>
      <c r="AB248">
        <v>40</v>
      </c>
      <c r="AC248">
        <v>4</v>
      </c>
      <c r="AD248">
        <v>16</v>
      </c>
      <c r="AE248">
        <v>0</v>
      </c>
      <c r="AF248">
        <v>2</v>
      </c>
      <c r="AG248">
        <v>1</v>
      </c>
      <c r="AH248">
        <v>2</v>
      </c>
      <c r="AI248">
        <v>2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4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</row>
    <row r="249" spans="1:201" x14ac:dyDescent="0.3">
      <c r="A249" t="s">
        <v>271</v>
      </c>
      <c r="B249" t="s">
        <v>284</v>
      </c>
      <c r="C249" t="s">
        <v>203</v>
      </c>
      <c r="D249">
        <v>889</v>
      </c>
      <c r="E249">
        <v>248</v>
      </c>
      <c r="F249">
        <v>21</v>
      </c>
      <c r="G249">
        <v>25</v>
      </c>
      <c r="H249">
        <v>162</v>
      </c>
      <c r="I249">
        <v>69</v>
      </c>
      <c r="J249">
        <v>83</v>
      </c>
      <c r="K249">
        <v>17</v>
      </c>
      <c r="L249">
        <v>55</v>
      </c>
      <c r="M249">
        <v>50</v>
      </c>
      <c r="N249">
        <v>48</v>
      </c>
      <c r="O249">
        <v>17</v>
      </c>
      <c r="P249">
        <v>4</v>
      </c>
      <c r="Q249">
        <v>17</v>
      </c>
      <c r="R249">
        <v>9</v>
      </c>
      <c r="S249">
        <v>1</v>
      </c>
      <c r="T249">
        <v>2</v>
      </c>
      <c r="U249">
        <v>1</v>
      </c>
      <c r="V249">
        <v>9</v>
      </c>
      <c r="W249">
        <v>3</v>
      </c>
      <c r="X249">
        <v>2</v>
      </c>
      <c r="Y249">
        <v>4</v>
      </c>
      <c r="Z249">
        <v>1</v>
      </c>
      <c r="AA249">
        <v>0</v>
      </c>
      <c r="AB249">
        <v>22</v>
      </c>
      <c r="AC249">
        <v>2</v>
      </c>
      <c r="AD249">
        <v>5</v>
      </c>
      <c r="AE249">
        <v>0</v>
      </c>
      <c r="AF249">
        <v>2</v>
      </c>
      <c r="AG249">
        <v>1</v>
      </c>
      <c r="AH249">
        <v>0</v>
      </c>
      <c r="AI249">
        <v>2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</row>
    <row r="250" spans="1:201" x14ac:dyDescent="0.3">
      <c r="A250" t="s">
        <v>271</v>
      </c>
      <c r="B250" t="s">
        <v>284</v>
      </c>
      <c r="C250" t="s">
        <v>204</v>
      </c>
      <c r="D250">
        <v>643</v>
      </c>
      <c r="E250">
        <v>296</v>
      </c>
      <c r="F250">
        <v>16</v>
      </c>
      <c r="G250">
        <v>52</v>
      </c>
      <c r="H250">
        <v>44</v>
      </c>
      <c r="I250">
        <v>23</v>
      </c>
      <c r="J250">
        <v>13</v>
      </c>
      <c r="K250">
        <v>2</v>
      </c>
      <c r="L250">
        <v>3</v>
      </c>
      <c r="M250">
        <v>42</v>
      </c>
      <c r="N250">
        <v>33</v>
      </c>
      <c r="O250">
        <v>29</v>
      </c>
      <c r="P250">
        <v>3</v>
      </c>
      <c r="Q250">
        <v>21</v>
      </c>
      <c r="R250">
        <v>3</v>
      </c>
      <c r="S250">
        <v>15</v>
      </c>
      <c r="T250">
        <v>2</v>
      </c>
      <c r="U250">
        <v>4</v>
      </c>
      <c r="V250">
        <v>0</v>
      </c>
      <c r="W250">
        <v>2</v>
      </c>
      <c r="X250">
        <v>0</v>
      </c>
      <c r="Y250">
        <v>3</v>
      </c>
      <c r="Z250">
        <v>0</v>
      </c>
      <c r="AA250">
        <v>0</v>
      </c>
      <c r="AB250">
        <v>18</v>
      </c>
      <c r="AC250">
        <v>2</v>
      </c>
      <c r="AD250">
        <v>11</v>
      </c>
      <c r="AE250">
        <v>0</v>
      </c>
      <c r="AF250">
        <v>0</v>
      </c>
      <c r="AG250">
        <v>0</v>
      </c>
      <c r="AH250">
        <v>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</row>
    <row r="251" spans="1:201" x14ac:dyDescent="0.3">
      <c r="A251" t="s">
        <v>271</v>
      </c>
      <c r="B251" t="s">
        <v>285</v>
      </c>
      <c r="C251" t="s">
        <v>200</v>
      </c>
      <c r="D251" s="1">
        <v>4355</v>
      </c>
      <c r="E251" s="1">
        <v>1176</v>
      </c>
      <c r="F251">
        <v>144</v>
      </c>
      <c r="G251">
        <v>168</v>
      </c>
      <c r="H251">
        <v>551</v>
      </c>
      <c r="I251">
        <v>373</v>
      </c>
      <c r="J251">
        <v>212</v>
      </c>
      <c r="K251">
        <v>341</v>
      </c>
      <c r="L251">
        <v>160</v>
      </c>
      <c r="M251">
        <v>144</v>
      </c>
      <c r="N251">
        <v>144</v>
      </c>
      <c r="O251">
        <v>100</v>
      </c>
      <c r="P251">
        <v>12</v>
      </c>
      <c r="Q251">
        <v>317</v>
      </c>
      <c r="R251">
        <v>178</v>
      </c>
      <c r="S251">
        <v>21</v>
      </c>
      <c r="T251">
        <v>24</v>
      </c>
      <c r="U251">
        <v>99</v>
      </c>
      <c r="V251">
        <v>50</v>
      </c>
      <c r="W251">
        <v>16</v>
      </c>
      <c r="X251">
        <v>25</v>
      </c>
      <c r="Y251">
        <v>6</v>
      </c>
      <c r="Z251">
        <v>42</v>
      </c>
      <c r="AA251">
        <v>1</v>
      </c>
      <c r="AB251">
        <v>2</v>
      </c>
      <c r="AC251">
        <v>1</v>
      </c>
      <c r="AD251">
        <v>3</v>
      </c>
      <c r="AE251">
        <v>3</v>
      </c>
      <c r="AF251">
        <v>4</v>
      </c>
      <c r="AG251">
        <v>6</v>
      </c>
      <c r="AH251">
        <v>0</v>
      </c>
      <c r="AI251">
        <v>3</v>
      </c>
      <c r="AJ251">
        <v>4</v>
      </c>
      <c r="AK251">
        <v>0</v>
      </c>
      <c r="AL251">
        <v>8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5</v>
      </c>
      <c r="AS251">
        <v>0</v>
      </c>
      <c r="AT251">
        <v>0</v>
      </c>
      <c r="AU251">
        <v>0</v>
      </c>
      <c r="AV251">
        <v>3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3</v>
      </c>
      <c r="BK251">
        <v>0</v>
      </c>
      <c r="BL251">
        <v>0</v>
      </c>
      <c r="BM251">
        <v>1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1</v>
      </c>
    </row>
    <row r="252" spans="1:201" x14ac:dyDescent="0.3">
      <c r="A252" t="s">
        <v>271</v>
      </c>
      <c r="B252" t="s">
        <v>285</v>
      </c>
      <c r="C252" t="s">
        <v>203</v>
      </c>
      <c r="D252" s="1">
        <v>3117</v>
      </c>
      <c r="E252">
        <v>646</v>
      </c>
      <c r="F252">
        <v>84</v>
      </c>
      <c r="G252">
        <v>61</v>
      </c>
      <c r="H252">
        <v>480</v>
      </c>
      <c r="I252">
        <v>310</v>
      </c>
      <c r="J252">
        <v>177</v>
      </c>
      <c r="K252">
        <v>324</v>
      </c>
      <c r="L252">
        <v>143</v>
      </c>
      <c r="M252">
        <v>113</v>
      </c>
      <c r="N252">
        <v>98</v>
      </c>
      <c r="O252">
        <v>48</v>
      </c>
      <c r="P252">
        <v>9</v>
      </c>
      <c r="Q252">
        <v>275</v>
      </c>
      <c r="R252">
        <v>143</v>
      </c>
      <c r="S252">
        <v>3</v>
      </c>
      <c r="T252">
        <v>13</v>
      </c>
      <c r="U252">
        <v>55</v>
      </c>
      <c r="V252">
        <v>47</v>
      </c>
      <c r="W252">
        <v>8</v>
      </c>
      <c r="X252">
        <v>23</v>
      </c>
      <c r="Y252">
        <v>0</v>
      </c>
      <c r="Z252">
        <v>26</v>
      </c>
      <c r="AA252">
        <v>0</v>
      </c>
      <c r="AB252">
        <v>1</v>
      </c>
      <c r="AC252">
        <v>0</v>
      </c>
      <c r="AD252">
        <v>0</v>
      </c>
      <c r="AE252">
        <v>2</v>
      </c>
      <c r="AF252">
        <v>2</v>
      </c>
      <c r="AG252">
        <v>5</v>
      </c>
      <c r="AH252">
        <v>0</v>
      </c>
      <c r="AI252">
        <v>3</v>
      </c>
      <c r="AJ252">
        <v>4</v>
      </c>
      <c r="AK252">
        <v>0</v>
      </c>
      <c r="AL252">
        <v>2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3</v>
      </c>
      <c r="AS252">
        <v>0</v>
      </c>
      <c r="AT252">
        <v>0</v>
      </c>
      <c r="AU252">
        <v>0</v>
      </c>
      <c r="AV252">
        <v>2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0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1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1</v>
      </c>
    </row>
    <row r="253" spans="1:201" x14ac:dyDescent="0.3">
      <c r="A253" t="s">
        <v>271</v>
      </c>
      <c r="B253" t="s">
        <v>285</v>
      </c>
      <c r="C253" t="s">
        <v>204</v>
      </c>
      <c r="D253" s="1">
        <v>1238</v>
      </c>
      <c r="E253">
        <v>530</v>
      </c>
      <c r="F253">
        <v>60</v>
      </c>
      <c r="G253">
        <v>107</v>
      </c>
      <c r="H253">
        <v>71</v>
      </c>
      <c r="I253">
        <v>63</v>
      </c>
      <c r="J253">
        <v>35</v>
      </c>
      <c r="K253">
        <v>17</v>
      </c>
      <c r="L253">
        <v>17</v>
      </c>
      <c r="M253">
        <v>31</v>
      </c>
      <c r="N253">
        <v>46</v>
      </c>
      <c r="O253">
        <v>52</v>
      </c>
      <c r="P253">
        <v>3</v>
      </c>
      <c r="Q253">
        <v>42</v>
      </c>
      <c r="R253">
        <v>35</v>
      </c>
      <c r="S253">
        <v>18</v>
      </c>
      <c r="T253">
        <v>11</v>
      </c>
      <c r="U253">
        <v>44</v>
      </c>
      <c r="V253">
        <v>3</v>
      </c>
      <c r="W253">
        <v>8</v>
      </c>
      <c r="X253">
        <v>2</v>
      </c>
      <c r="Y253">
        <v>6</v>
      </c>
      <c r="Z253">
        <v>16</v>
      </c>
      <c r="AA253">
        <v>1</v>
      </c>
      <c r="AB253">
        <v>1</v>
      </c>
      <c r="AC253">
        <v>1</v>
      </c>
      <c r="AD253">
        <v>3</v>
      </c>
      <c r="AE253">
        <v>1</v>
      </c>
      <c r="AF253">
        <v>2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6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2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</row>
    <row r="254" spans="1:201" x14ac:dyDescent="0.3">
      <c r="A254" t="s">
        <v>271</v>
      </c>
      <c r="B254" t="s">
        <v>286</v>
      </c>
      <c r="C254" t="s">
        <v>200</v>
      </c>
      <c r="D254">
        <v>569</v>
      </c>
      <c r="E254">
        <v>207</v>
      </c>
      <c r="F254">
        <v>33</v>
      </c>
      <c r="G254">
        <v>46</v>
      </c>
      <c r="H254">
        <v>106</v>
      </c>
      <c r="I254">
        <v>15</v>
      </c>
      <c r="J254">
        <v>28</v>
      </c>
      <c r="K254">
        <v>11</v>
      </c>
      <c r="L254">
        <v>2</v>
      </c>
      <c r="M254">
        <v>22</v>
      </c>
      <c r="N254">
        <v>16</v>
      </c>
      <c r="O254">
        <v>3</v>
      </c>
      <c r="P254">
        <v>8</v>
      </c>
      <c r="Q254">
        <v>1</v>
      </c>
      <c r="R254">
        <v>5</v>
      </c>
      <c r="S254">
        <v>18</v>
      </c>
      <c r="T254">
        <v>3</v>
      </c>
      <c r="U254">
        <v>2</v>
      </c>
      <c r="V254">
        <v>0</v>
      </c>
      <c r="W254">
        <v>3</v>
      </c>
      <c r="X254">
        <v>0</v>
      </c>
      <c r="Y254">
        <v>8</v>
      </c>
      <c r="Z254">
        <v>0</v>
      </c>
      <c r="AA254">
        <v>2</v>
      </c>
      <c r="AB254">
        <v>7</v>
      </c>
      <c r="AC254">
        <v>5</v>
      </c>
      <c r="AD254">
        <v>6</v>
      </c>
      <c r="AE254">
        <v>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2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</row>
    <row r="255" spans="1:201" x14ac:dyDescent="0.3">
      <c r="A255" t="s">
        <v>271</v>
      </c>
      <c r="B255" t="s">
        <v>286</v>
      </c>
      <c r="C255" t="s">
        <v>203</v>
      </c>
      <c r="D255">
        <v>287</v>
      </c>
      <c r="E255">
        <v>85</v>
      </c>
      <c r="F255">
        <v>19</v>
      </c>
      <c r="G255">
        <v>9</v>
      </c>
      <c r="H255">
        <v>95</v>
      </c>
      <c r="I255">
        <v>11</v>
      </c>
      <c r="J255">
        <v>17</v>
      </c>
      <c r="K255">
        <v>8</v>
      </c>
      <c r="L255">
        <v>2</v>
      </c>
      <c r="M255">
        <v>7</v>
      </c>
      <c r="N255">
        <v>3</v>
      </c>
      <c r="O255">
        <v>0</v>
      </c>
      <c r="P255">
        <v>4</v>
      </c>
      <c r="Q255">
        <v>1</v>
      </c>
      <c r="R255">
        <v>5</v>
      </c>
      <c r="S255">
        <v>1</v>
      </c>
      <c r="T255">
        <v>1</v>
      </c>
      <c r="U255">
        <v>2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1</v>
      </c>
      <c r="AB255">
        <v>3</v>
      </c>
      <c r="AC255">
        <v>2</v>
      </c>
      <c r="AD255">
        <v>1</v>
      </c>
      <c r="AE255">
        <v>3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2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</row>
    <row r="256" spans="1:201" x14ac:dyDescent="0.3">
      <c r="A256" t="s">
        <v>271</v>
      </c>
      <c r="B256" t="s">
        <v>286</v>
      </c>
      <c r="C256" t="s">
        <v>204</v>
      </c>
      <c r="D256">
        <v>282</v>
      </c>
      <c r="E256">
        <v>122</v>
      </c>
      <c r="F256">
        <v>14</v>
      </c>
      <c r="G256">
        <v>37</v>
      </c>
      <c r="H256">
        <v>11</v>
      </c>
      <c r="I256">
        <v>4</v>
      </c>
      <c r="J256">
        <v>11</v>
      </c>
      <c r="K256">
        <v>3</v>
      </c>
      <c r="L256">
        <v>0</v>
      </c>
      <c r="M256">
        <v>15</v>
      </c>
      <c r="N256">
        <v>13</v>
      </c>
      <c r="O256">
        <v>3</v>
      </c>
      <c r="P256">
        <v>4</v>
      </c>
      <c r="Q256">
        <v>0</v>
      </c>
      <c r="R256">
        <v>0</v>
      </c>
      <c r="S256">
        <v>17</v>
      </c>
      <c r="T256">
        <v>2</v>
      </c>
      <c r="U256">
        <v>0</v>
      </c>
      <c r="V256">
        <v>0</v>
      </c>
      <c r="W256">
        <v>3</v>
      </c>
      <c r="X256">
        <v>0</v>
      </c>
      <c r="Y256">
        <v>7</v>
      </c>
      <c r="Z256">
        <v>0</v>
      </c>
      <c r="AA256">
        <v>1</v>
      </c>
      <c r="AB256">
        <v>4</v>
      </c>
      <c r="AC256">
        <v>3</v>
      </c>
      <c r="AD256">
        <v>5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</row>
    <row r="257" spans="1:201" x14ac:dyDescent="0.3">
      <c r="A257" t="s">
        <v>271</v>
      </c>
      <c r="B257" t="s">
        <v>287</v>
      </c>
      <c r="C257" t="s">
        <v>200</v>
      </c>
      <c r="D257">
        <v>156</v>
      </c>
      <c r="E257">
        <v>18</v>
      </c>
      <c r="F257">
        <v>13</v>
      </c>
      <c r="G257">
        <v>9</v>
      </c>
      <c r="H257">
        <v>0</v>
      </c>
      <c r="I257">
        <v>0</v>
      </c>
      <c r="J257">
        <v>0</v>
      </c>
      <c r="K257">
        <v>76</v>
      </c>
      <c r="L257">
        <v>19</v>
      </c>
      <c r="M257">
        <v>5</v>
      </c>
      <c r="N257">
        <v>1</v>
      </c>
      <c r="O257">
        <v>1</v>
      </c>
      <c r="P257">
        <v>1</v>
      </c>
      <c r="Q257">
        <v>6</v>
      </c>
      <c r="R257">
        <v>0</v>
      </c>
      <c r="S257">
        <v>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</row>
    <row r="258" spans="1:201" x14ac:dyDescent="0.3">
      <c r="A258" t="s">
        <v>271</v>
      </c>
      <c r="B258" t="s">
        <v>287</v>
      </c>
      <c r="C258" t="s">
        <v>203</v>
      </c>
      <c r="D258">
        <v>126</v>
      </c>
      <c r="E258">
        <v>15</v>
      </c>
      <c r="F258">
        <v>2</v>
      </c>
      <c r="G258">
        <v>5</v>
      </c>
      <c r="H258">
        <v>0</v>
      </c>
      <c r="I258">
        <v>0</v>
      </c>
      <c r="J258">
        <v>0</v>
      </c>
      <c r="K258">
        <v>76</v>
      </c>
      <c r="L258">
        <v>19</v>
      </c>
      <c r="M258">
        <v>0</v>
      </c>
      <c r="N258">
        <v>0</v>
      </c>
      <c r="O258">
        <v>0</v>
      </c>
      <c r="P258">
        <v>1</v>
      </c>
      <c r="Q258">
        <v>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</row>
    <row r="259" spans="1:201" x14ac:dyDescent="0.3">
      <c r="A259" t="s">
        <v>271</v>
      </c>
      <c r="B259" t="s">
        <v>287</v>
      </c>
      <c r="C259" t="s">
        <v>204</v>
      </c>
      <c r="D259">
        <v>30</v>
      </c>
      <c r="E259">
        <v>3</v>
      </c>
      <c r="F259">
        <v>11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5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</row>
    <row r="260" spans="1:201" x14ac:dyDescent="0.3">
      <c r="A260" t="s">
        <v>271</v>
      </c>
      <c r="B260" t="s">
        <v>288</v>
      </c>
      <c r="C260" t="s">
        <v>200</v>
      </c>
      <c r="D260" s="1">
        <v>1763</v>
      </c>
      <c r="E260">
        <v>814</v>
      </c>
      <c r="F260">
        <v>26</v>
      </c>
      <c r="G260">
        <v>71</v>
      </c>
      <c r="H260">
        <v>17</v>
      </c>
      <c r="I260">
        <v>5</v>
      </c>
      <c r="J260">
        <v>16</v>
      </c>
      <c r="K260">
        <v>650</v>
      </c>
      <c r="L260">
        <v>5</v>
      </c>
      <c r="M260">
        <v>29</v>
      </c>
      <c r="N260">
        <v>16</v>
      </c>
      <c r="O260">
        <v>2</v>
      </c>
      <c r="P260">
        <v>9</v>
      </c>
      <c r="Q260">
        <v>15</v>
      </c>
      <c r="R260">
        <v>1</v>
      </c>
      <c r="S260">
        <v>8</v>
      </c>
      <c r="T260">
        <v>8</v>
      </c>
      <c r="U260">
        <v>1</v>
      </c>
      <c r="V260">
        <v>2</v>
      </c>
      <c r="W260">
        <v>2</v>
      </c>
      <c r="X260">
        <v>1</v>
      </c>
      <c r="Y260">
        <v>5</v>
      </c>
      <c r="Z260">
        <v>2</v>
      </c>
      <c r="AA260">
        <v>0</v>
      </c>
      <c r="AB260">
        <v>0</v>
      </c>
      <c r="AC260">
        <v>4</v>
      </c>
      <c r="AD260">
        <v>6</v>
      </c>
      <c r="AE260">
        <v>45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</row>
    <row r="261" spans="1:201" x14ac:dyDescent="0.3">
      <c r="A261" t="s">
        <v>271</v>
      </c>
      <c r="B261" t="s">
        <v>288</v>
      </c>
      <c r="C261" t="s">
        <v>203</v>
      </c>
      <c r="D261" s="1">
        <v>1539</v>
      </c>
      <c r="E261">
        <v>727</v>
      </c>
      <c r="F261">
        <v>10</v>
      </c>
      <c r="G261">
        <v>43</v>
      </c>
      <c r="H261">
        <v>14</v>
      </c>
      <c r="I261">
        <v>5</v>
      </c>
      <c r="J261">
        <v>13</v>
      </c>
      <c r="K261">
        <v>636</v>
      </c>
      <c r="L261">
        <v>5</v>
      </c>
      <c r="M261">
        <v>1</v>
      </c>
      <c r="N261">
        <v>10</v>
      </c>
      <c r="O261">
        <v>0</v>
      </c>
      <c r="P261">
        <v>5</v>
      </c>
      <c r="Q261">
        <v>15</v>
      </c>
      <c r="R261">
        <v>0</v>
      </c>
      <c r="S261">
        <v>0</v>
      </c>
      <c r="T261">
        <v>0</v>
      </c>
      <c r="U261">
        <v>0</v>
      </c>
      <c r="V261">
        <v>2</v>
      </c>
      <c r="W261">
        <v>1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3</v>
      </c>
      <c r="AD261">
        <v>2</v>
      </c>
      <c r="AE261">
        <v>45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</row>
    <row r="262" spans="1:201" x14ac:dyDescent="0.3">
      <c r="A262" t="s">
        <v>271</v>
      </c>
      <c r="B262" t="s">
        <v>288</v>
      </c>
      <c r="C262" t="s">
        <v>204</v>
      </c>
      <c r="D262">
        <v>224</v>
      </c>
      <c r="E262">
        <v>87</v>
      </c>
      <c r="F262">
        <v>16</v>
      </c>
      <c r="G262">
        <v>28</v>
      </c>
      <c r="H262">
        <v>3</v>
      </c>
      <c r="I262">
        <v>0</v>
      </c>
      <c r="J262">
        <v>3</v>
      </c>
      <c r="K262">
        <v>14</v>
      </c>
      <c r="L262">
        <v>0</v>
      </c>
      <c r="M262">
        <v>28</v>
      </c>
      <c r="N262">
        <v>6</v>
      </c>
      <c r="O262">
        <v>2</v>
      </c>
      <c r="P262">
        <v>4</v>
      </c>
      <c r="Q262">
        <v>0</v>
      </c>
      <c r="R262">
        <v>1</v>
      </c>
      <c r="S262">
        <v>8</v>
      </c>
      <c r="T262">
        <v>8</v>
      </c>
      <c r="U262">
        <v>1</v>
      </c>
      <c r="V262">
        <v>0</v>
      </c>
      <c r="W262">
        <v>1</v>
      </c>
      <c r="X262">
        <v>1</v>
      </c>
      <c r="Y262">
        <v>5</v>
      </c>
      <c r="Z262">
        <v>0</v>
      </c>
      <c r="AA262">
        <v>0</v>
      </c>
      <c r="AB262">
        <v>0</v>
      </c>
      <c r="AC262">
        <v>1</v>
      </c>
      <c r="AD262">
        <v>4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</row>
    <row r="263" spans="1:201" x14ac:dyDescent="0.3">
      <c r="A263" t="s">
        <v>271</v>
      </c>
      <c r="B263" t="s">
        <v>289</v>
      </c>
      <c r="C263" t="s">
        <v>200</v>
      </c>
      <c r="D263">
        <v>893</v>
      </c>
      <c r="E263">
        <v>209</v>
      </c>
      <c r="F263">
        <v>41</v>
      </c>
      <c r="G263">
        <v>43</v>
      </c>
      <c r="H263">
        <v>238</v>
      </c>
      <c r="I263">
        <v>26</v>
      </c>
      <c r="J263">
        <v>141</v>
      </c>
      <c r="K263">
        <v>22</v>
      </c>
      <c r="L263">
        <v>45</v>
      </c>
      <c r="M263">
        <v>13</v>
      </c>
      <c r="N263">
        <v>42</v>
      </c>
      <c r="O263">
        <v>4</v>
      </c>
      <c r="P263">
        <v>2</v>
      </c>
      <c r="Q263">
        <v>24</v>
      </c>
      <c r="R263">
        <v>3</v>
      </c>
      <c r="S263">
        <v>7</v>
      </c>
      <c r="T263">
        <v>2</v>
      </c>
      <c r="U263">
        <v>1</v>
      </c>
      <c r="V263">
        <v>3</v>
      </c>
      <c r="W263">
        <v>3</v>
      </c>
      <c r="X263">
        <v>5</v>
      </c>
      <c r="Y263">
        <v>6</v>
      </c>
      <c r="Z263">
        <v>1</v>
      </c>
      <c r="AA263">
        <v>0</v>
      </c>
      <c r="AB263">
        <v>0</v>
      </c>
      <c r="AC263">
        <v>0</v>
      </c>
      <c r="AD263">
        <v>2</v>
      </c>
      <c r="AE263">
        <v>0</v>
      </c>
      <c r="AF263">
        <v>1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3</v>
      </c>
      <c r="AQ263">
        <v>0</v>
      </c>
      <c r="AR263">
        <v>2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</row>
    <row r="264" spans="1:201" x14ac:dyDescent="0.3">
      <c r="A264" t="s">
        <v>271</v>
      </c>
      <c r="B264" t="s">
        <v>289</v>
      </c>
      <c r="C264" t="s">
        <v>203</v>
      </c>
      <c r="D264">
        <v>574</v>
      </c>
      <c r="E264">
        <v>78</v>
      </c>
      <c r="F264">
        <v>23</v>
      </c>
      <c r="G264">
        <v>4</v>
      </c>
      <c r="H264">
        <v>208</v>
      </c>
      <c r="I264">
        <v>15</v>
      </c>
      <c r="J264">
        <v>101</v>
      </c>
      <c r="K264">
        <v>18</v>
      </c>
      <c r="L264">
        <v>45</v>
      </c>
      <c r="M264">
        <v>5</v>
      </c>
      <c r="N264">
        <v>29</v>
      </c>
      <c r="O264">
        <v>3</v>
      </c>
      <c r="P264">
        <v>1</v>
      </c>
      <c r="Q264">
        <v>23</v>
      </c>
      <c r="R264">
        <v>3</v>
      </c>
      <c r="S264">
        <v>3</v>
      </c>
      <c r="T264">
        <v>2</v>
      </c>
      <c r="U264">
        <v>1</v>
      </c>
      <c r="V264">
        <v>1</v>
      </c>
      <c r="W264">
        <v>0</v>
      </c>
      <c r="X264">
        <v>4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</row>
    <row r="265" spans="1:201" x14ac:dyDescent="0.3">
      <c r="A265" t="s">
        <v>271</v>
      </c>
      <c r="B265" t="s">
        <v>289</v>
      </c>
      <c r="C265" t="s">
        <v>204</v>
      </c>
      <c r="D265">
        <v>319</v>
      </c>
      <c r="E265">
        <v>131</v>
      </c>
      <c r="F265">
        <v>18</v>
      </c>
      <c r="G265">
        <v>39</v>
      </c>
      <c r="H265">
        <v>30</v>
      </c>
      <c r="I265">
        <v>11</v>
      </c>
      <c r="J265">
        <v>40</v>
      </c>
      <c r="K265">
        <v>4</v>
      </c>
      <c r="L265">
        <v>0</v>
      </c>
      <c r="M265">
        <v>8</v>
      </c>
      <c r="N265">
        <v>13</v>
      </c>
      <c r="O265">
        <v>1</v>
      </c>
      <c r="P265">
        <v>1</v>
      </c>
      <c r="Q265">
        <v>1</v>
      </c>
      <c r="R265">
        <v>0</v>
      </c>
      <c r="S265">
        <v>4</v>
      </c>
      <c r="T265">
        <v>0</v>
      </c>
      <c r="U265">
        <v>0</v>
      </c>
      <c r="V265">
        <v>2</v>
      </c>
      <c r="W265">
        <v>3</v>
      </c>
      <c r="X265">
        <v>1</v>
      </c>
      <c r="Y265">
        <v>6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2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</row>
    <row r="266" spans="1:201" x14ac:dyDescent="0.3">
      <c r="A266" t="s">
        <v>271</v>
      </c>
      <c r="B266" t="s">
        <v>290</v>
      </c>
      <c r="C266" t="s">
        <v>200</v>
      </c>
      <c r="D266" s="1">
        <v>1394</v>
      </c>
      <c r="E266">
        <v>337</v>
      </c>
      <c r="F266">
        <v>12</v>
      </c>
      <c r="G266">
        <v>19</v>
      </c>
      <c r="H266">
        <v>167</v>
      </c>
      <c r="I266">
        <v>7</v>
      </c>
      <c r="J266">
        <v>474</v>
      </c>
      <c r="K266">
        <v>1</v>
      </c>
      <c r="L266">
        <v>33</v>
      </c>
      <c r="M266">
        <v>186</v>
      </c>
      <c r="N266">
        <v>15</v>
      </c>
      <c r="O266">
        <v>0</v>
      </c>
      <c r="P266">
        <v>8</v>
      </c>
      <c r="Q266">
        <v>12</v>
      </c>
      <c r="R266">
        <v>19</v>
      </c>
      <c r="S266">
        <v>7</v>
      </c>
      <c r="T266">
        <v>0</v>
      </c>
      <c r="U266">
        <v>0</v>
      </c>
      <c r="V266">
        <v>2</v>
      </c>
      <c r="W266">
        <v>5</v>
      </c>
      <c r="X266">
        <v>1</v>
      </c>
      <c r="Y266">
        <v>68</v>
      </c>
      <c r="Z266">
        <v>6</v>
      </c>
      <c r="AA266">
        <v>1</v>
      </c>
      <c r="AB266">
        <v>0</v>
      </c>
      <c r="AC266">
        <v>1</v>
      </c>
      <c r="AD266">
        <v>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4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0</v>
      </c>
      <c r="CI266">
        <v>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2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</row>
    <row r="267" spans="1:201" x14ac:dyDescent="0.3">
      <c r="A267" t="s">
        <v>271</v>
      </c>
      <c r="B267" t="s">
        <v>290</v>
      </c>
      <c r="C267" t="s">
        <v>203</v>
      </c>
      <c r="D267">
        <v>716</v>
      </c>
      <c r="E267">
        <v>168</v>
      </c>
      <c r="F267">
        <v>9</v>
      </c>
      <c r="G267">
        <v>1</v>
      </c>
      <c r="H267">
        <v>114</v>
      </c>
      <c r="I267">
        <v>4</v>
      </c>
      <c r="J267">
        <v>209</v>
      </c>
      <c r="K267">
        <v>1</v>
      </c>
      <c r="L267">
        <v>33</v>
      </c>
      <c r="M267">
        <v>92</v>
      </c>
      <c r="N267">
        <v>6</v>
      </c>
      <c r="O267">
        <v>0</v>
      </c>
      <c r="P267">
        <v>3</v>
      </c>
      <c r="Q267">
        <v>11</v>
      </c>
      <c r="R267">
        <v>19</v>
      </c>
      <c r="S267">
        <v>0</v>
      </c>
      <c r="T267">
        <v>0</v>
      </c>
      <c r="U267">
        <v>0</v>
      </c>
      <c r="V267">
        <v>2</v>
      </c>
      <c r="W267">
        <v>3</v>
      </c>
      <c r="X267">
        <v>1</v>
      </c>
      <c r="Y267">
        <v>30</v>
      </c>
      <c r="Z267">
        <v>3</v>
      </c>
      <c r="AA267">
        <v>1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2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</row>
    <row r="268" spans="1:201" x14ac:dyDescent="0.3">
      <c r="A268" t="s">
        <v>271</v>
      </c>
      <c r="B268" t="s">
        <v>290</v>
      </c>
      <c r="C268" t="s">
        <v>204</v>
      </c>
      <c r="D268">
        <v>678</v>
      </c>
      <c r="E268">
        <v>169</v>
      </c>
      <c r="F268">
        <v>3</v>
      </c>
      <c r="G268">
        <v>18</v>
      </c>
      <c r="H268">
        <v>53</v>
      </c>
      <c r="I268">
        <v>3</v>
      </c>
      <c r="J268">
        <v>265</v>
      </c>
      <c r="K268">
        <v>0</v>
      </c>
      <c r="L268">
        <v>0</v>
      </c>
      <c r="M268">
        <v>94</v>
      </c>
      <c r="N268">
        <v>9</v>
      </c>
      <c r="O268">
        <v>0</v>
      </c>
      <c r="P268">
        <v>5</v>
      </c>
      <c r="Q268">
        <v>1</v>
      </c>
      <c r="R268">
        <v>0</v>
      </c>
      <c r="S268">
        <v>7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38</v>
      </c>
      <c r="Z268">
        <v>3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2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2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</row>
    <row r="269" spans="1:201" x14ac:dyDescent="0.3">
      <c r="A269" t="s">
        <v>271</v>
      </c>
      <c r="B269" t="s">
        <v>291</v>
      </c>
      <c r="C269" t="s">
        <v>200</v>
      </c>
      <c r="D269">
        <v>310</v>
      </c>
      <c r="E269">
        <v>98</v>
      </c>
      <c r="F269">
        <v>10</v>
      </c>
      <c r="G269">
        <v>11</v>
      </c>
      <c r="H269">
        <v>26</v>
      </c>
      <c r="I269">
        <v>1</v>
      </c>
      <c r="J269">
        <v>46</v>
      </c>
      <c r="K269">
        <v>0</v>
      </c>
      <c r="L269">
        <v>8</v>
      </c>
      <c r="M269">
        <v>24</v>
      </c>
      <c r="N269">
        <v>13</v>
      </c>
      <c r="O269">
        <v>3</v>
      </c>
      <c r="P269">
        <v>1</v>
      </c>
      <c r="Q269">
        <v>1</v>
      </c>
      <c r="R269">
        <v>2</v>
      </c>
      <c r="S269">
        <v>5</v>
      </c>
      <c r="T269">
        <v>0</v>
      </c>
      <c r="U269">
        <v>0</v>
      </c>
      <c r="V269">
        <v>0</v>
      </c>
      <c r="W269">
        <v>2</v>
      </c>
      <c r="X269">
        <v>1</v>
      </c>
      <c r="Y269">
        <v>48</v>
      </c>
      <c r="Z269">
        <v>0</v>
      </c>
      <c r="AA269">
        <v>0</v>
      </c>
      <c r="AB269">
        <v>7</v>
      </c>
      <c r="AC269">
        <v>0</v>
      </c>
      <c r="AD269">
        <v>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</row>
    <row r="270" spans="1:201" x14ac:dyDescent="0.3">
      <c r="A270" t="s">
        <v>271</v>
      </c>
      <c r="B270" t="s">
        <v>291</v>
      </c>
      <c r="C270" t="s">
        <v>203</v>
      </c>
      <c r="D270">
        <v>142</v>
      </c>
      <c r="E270">
        <v>30</v>
      </c>
      <c r="F270">
        <v>3</v>
      </c>
      <c r="G270">
        <v>2</v>
      </c>
      <c r="H270">
        <v>26</v>
      </c>
      <c r="I270">
        <v>0</v>
      </c>
      <c r="J270">
        <v>18</v>
      </c>
      <c r="K270">
        <v>0</v>
      </c>
      <c r="L270">
        <v>8</v>
      </c>
      <c r="M270">
        <v>5</v>
      </c>
      <c r="N270">
        <v>7</v>
      </c>
      <c r="O270">
        <v>3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30</v>
      </c>
      <c r="Z270">
        <v>0</v>
      </c>
      <c r="AA270">
        <v>0</v>
      </c>
      <c r="AB270">
        <v>2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</row>
    <row r="271" spans="1:201" x14ac:dyDescent="0.3">
      <c r="A271" t="s">
        <v>271</v>
      </c>
      <c r="B271" t="s">
        <v>291</v>
      </c>
      <c r="C271" t="s">
        <v>204</v>
      </c>
      <c r="D271">
        <v>168</v>
      </c>
      <c r="E271">
        <v>68</v>
      </c>
      <c r="F271">
        <v>7</v>
      </c>
      <c r="G271">
        <v>9</v>
      </c>
      <c r="H271">
        <v>0</v>
      </c>
      <c r="I271">
        <v>1</v>
      </c>
      <c r="J271">
        <v>28</v>
      </c>
      <c r="K271">
        <v>0</v>
      </c>
      <c r="L271">
        <v>0</v>
      </c>
      <c r="M271">
        <v>19</v>
      </c>
      <c r="N271">
        <v>6</v>
      </c>
      <c r="O271">
        <v>0</v>
      </c>
      <c r="P271">
        <v>0</v>
      </c>
      <c r="Q271">
        <v>0</v>
      </c>
      <c r="R271">
        <v>1</v>
      </c>
      <c r="S271">
        <v>4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18</v>
      </c>
      <c r="Z271">
        <v>0</v>
      </c>
      <c r="AA271">
        <v>0</v>
      </c>
      <c r="AB271">
        <v>5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</row>
    <row r="272" spans="1:201" x14ac:dyDescent="0.3">
      <c r="A272" t="s">
        <v>271</v>
      </c>
      <c r="B272" t="s">
        <v>292</v>
      </c>
      <c r="C272" t="s">
        <v>200</v>
      </c>
      <c r="D272" s="1">
        <v>5996</v>
      </c>
      <c r="E272">
        <v>975</v>
      </c>
      <c r="F272">
        <v>242</v>
      </c>
      <c r="G272">
        <v>352</v>
      </c>
      <c r="H272">
        <v>506</v>
      </c>
      <c r="I272">
        <v>153</v>
      </c>
      <c r="J272">
        <v>263</v>
      </c>
      <c r="K272">
        <v>812</v>
      </c>
      <c r="L272">
        <v>408</v>
      </c>
      <c r="M272">
        <v>466</v>
      </c>
      <c r="N272">
        <v>223</v>
      </c>
      <c r="O272">
        <v>23</v>
      </c>
      <c r="P272">
        <v>500</v>
      </c>
      <c r="Q272">
        <v>259</v>
      </c>
      <c r="R272">
        <v>89</v>
      </c>
      <c r="S272">
        <v>17</v>
      </c>
      <c r="T272">
        <v>20</v>
      </c>
      <c r="U272">
        <v>4</v>
      </c>
      <c r="V272">
        <v>161</v>
      </c>
      <c r="W272">
        <v>14</v>
      </c>
      <c r="X272">
        <v>44</v>
      </c>
      <c r="Y272">
        <v>8</v>
      </c>
      <c r="Z272">
        <v>12</v>
      </c>
      <c r="AA272">
        <v>0</v>
      </c>
      <c r="AB272">
        <v>160</v>
      </c>
      <c r="AC272">
        <v>3</v>
      </c>
      <c r="AD272">
        <v>12</v>
      </c>
      <c r="AE272">
        <v>21</v>
      </c>
      <c r="AF272">
        <v>2</v>
      </c>
      <c r="AG272">
        <v>8</v>
      </c>
      <c r="AH272">
        <v>5</v>
      </c>
      <c r="AI272">
        <v>30</v>
      </c>
      <c r="AJ272">
        <v>0</v>
      </c>
      <c r="AK272">
        <v>1</v>
      </c>
      <c r="AL272">
        <v>0</v>
      </c>
      <c r="AM272">
        <v>0</v>
      </c>
      <c r="AN272">
        <v>1</v>
      </c>
      <c r="AO272">
        <v>2</v>
      </c>
      <c r="AP272">
        <v>82</v>
      </c>
      <c r="AQ272">
        <v>18</v>
      </c>
      <c r="AR272">
        <v>0</v>
      </c>
      <c r="AS272">
        <v>0</v>
      </c>
      <c r="AT272">
        <v>0</v>
      </c>
      <c r="AU272">
        <v>1</v>
      </c>
      <c r="AV272">
        <v>2</v>
      </c>
      <c r="AW272">
        <v>0</v>
      </c>
      <c r="AX272">
        <v>47</v>
      </c>
      <c r="AY272">
        <v>2</v>
      </c>
      <c r="AZ272">
        <v>0</v>
      </c>
      <c r="BA272">
        <v>0</v>
      </c>
      <c r="BB272">
        <v>1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2</v>
      </c>
      <c r="BI272">
        <v>3</v>
      </c>
      <c r="BJ272">
        <v>0</v>
      </c>
      <c r="BK272">
        <v>0</v>
      </c>
      <c r="BL272">
        <v>0</v>
      </c>
      <c r="BM272">
        <v>2</v>
      </c>
      <c r="BN272">
        <v>0</v>
      </c>
      <c r="BO272">
        <v>6</v>
      </c>
      <c r="BP272">
        <v>3</v>
      </c>
      <c r="BQ272">
        <v>9</v>
      </c>
      <c r="BR272">
        <v>0</v>
      </c>
      <c r="BS272">
        <v>0</v>
      </c>
      <c r="BT272">
        <v>4</v>
      </c>
      <c r="BU272">
        <v>0</v>
      </c>
      <c r="BV272">
        <v>0</v>
      </c>
      <c r="BW272">
        <v>0</v>
      </c>
      <c r="BX272">
        <v>2</v>
      </c>
      <c r="BY272">
        <v>0</v>
      </c>
      <c r="BZ272">
        <v>0</v>
      </c>
      <c r="CA272">
        <v>0</v>
      </c>
      <c r="CB272">
        <v>9</v>
      </c>
      <c r="CC272">
        <v>1</v>
      </c>
      <c r="CD272">
        <v>0</v>
      </c>
      <c r="CE272">
        <v>0</v>
      </c>
      <c r="CF272">
        <v>1</v>
      </c>
      <c r="CG272">
        <v>0</v>
      </c>
      <c r="CH272">
        <v>0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1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</row>
    <row r="273" spans="1:201" x14ac:dyDescent="0.3">
      <c r="A273" t="s">
        <v>271</v>
      </c>
      <c r="B273" t="s">
        <v>292</v>
      </c>
      <c r="C273" t="s">
        <v>203</v>
      </c>
      <c r="D273" s="1">
        <v>4174</v>
      </c>
      <c r="E273">
        <v>544</v>
      </c>
      <c r="F273">
        <v>133</v>
      </c>
      <c r="G273">
        <v>152</v>
      </c>
      <c r="H273">
        <v>418</v>
      </c>
      <c r="I273">
        <v>124</v>
      </c>
      <c r="J273">
        <v>193</v>
      </c>
      <c r="K273">
        <v>708</v>
      </c>
      <c r="L273">
        <v>376</v>
      </c>
      <c r="M273">
        <v>220</v>
      </c>
      <c r="N273">
        <v>129</v>
      </c>
      <c r="O273">
        <v>13</v>
      </c>
      <c r="P273">
        <v>351</v>
      </c>
      <c r="Q273">
        <v>236</v>
      </c>
      <c r="R273">
        <v>84</v>
      </c>
      <c r="S273">
        <v>1</v>
      </c>
      <c r="T273">
        <v>11</v>
      </c>
      <c r="U273">
        <v>1</v>
      </c>
      <c r="V273">
        <v>142</v>
      </c>
      <c r="W273">
        <v>7</v>
      </c>
      <c r="X273">
        <v>40</v>
      </c>
      <c r="Y273">
        <v>1</v>
      </c>
      <c r="Z273">
        <v>11</v>
      </c>
      <c r="AA273">
        <v>0</v>
      </c>
      <c r="AB273">
        <v>83</v>
      </c>
      <c r="AC273">
        <v>2</v>
      </c>
      <c r="AD273">
        <v>6</v>
      </c>
      <c r="AE273">
        <v>20</v>
      </c>
      <c r="AF273">
        <v>1</v>
      </c>
      <c r="AG273">
        <v>7</v>
      </c>
      <c r="AH273">
        <v>4</v>
      </c>
      <c r="AI273">
        <v>25</v>
      </c>
      <c r="AJ273">
        <v>0</v>
      </c>
      <c r="AK273">
        <v>1</v>
      </c>
      <c r="AL273">
        <v>0</v>
      </c>
      <c r="AM273">
        <v>0</v>
      </c>
      <c r="AN273">
        <v>1</v>
      </c>
      <c r="AO273">
        <v>1</v>
      </c>
      <c r="AP273">
        <v>57</v>
      </c>
      <c r="AQ273">
        <v>5</v>
      </c>
      <c r="AR273">
        <v>0</v>
      </c>
      <c r="AS273">
        <v>0</v>
      </c>
      <c r="AT273">
        <v>0</v>
      </c>
      <c r="AU273">
        <v>1</v>
      </c>
      <c r="AV273">
        <v>1</v>
      </c>
      <c r="AW273">
        <v>0</v>
      </c>
      <c r="AX273">
        <v>36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3</v>
      </c>
      <c r="BJ273">
        <v>0</v>
      </c>
      <c r="BK273">
        <v>0</v>
      </c>
      <c r="BL273">
        <v>0</v>
      </c>
      <c r="BM273">
        <v>2</v>
      </c>
      <c r="BN273">
        <v>0</v>
      </c>
      <c r="BO273">
        <v>3</v>
      </c>
      <c r="BP273">
        <v>1</v>
      </c>
      <c r="BQ273">
        <v>6</v>
      </c>
      <c r="BR273">
        <v>0</v>
      </c>
      <c r="BS273">
        <v>0</v>
      </c>
      <c r="BT273">
        <v>3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6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</row>
    <row r="274" spans="1:201" x14ac:dyDescent="0.3">
      <c r="A274" t="s">
        <v>271</v>
      </c>
      <c r="B274" t="s">
        <v>292</v>
      </c>
      <c r="C274" t="s">
        <v>204</v>
      </c>
      <c r="D274" s="1">
        <v>1822</v>
      </c>
      <c r="E274">
        <v>431</v>
      </c>
      <c r="F274">
        <v>109</v>
      </c>
      <c r="G274">
        <v>200</v>
      </c>
      <c r="H274">
        <v>88</v>
      </c>
      <c r="I274">
        <v>29</v>
      </c>
      <c r="J274">
        <v>70</v>
      </c>
      <c r="K274">
        <v>104</v>
      </c>
      <c r="L274">
        <v>32</v>
      </c>
      <c r="M274">
        <v>246</v>
      </c>
      <c r="N274">
        <v>94</v>
      </c>
      <c r="O274">
        <v>10</v>
      </c>
      <c r="P274">
        <v>149</v>
      </c>
      <c r="Q274">
        <v>23</v>
      </c>
      <c r="R274">
        <v>5</v>
      </c>
      <c r="S274">
        <v>16</v>
      </c>
      <c r="T274">
        <v>9</v>
      </c>
      <c r="U274">
        <v>3</v>
      </c>
      <c r="V274">
        <v>19</v>
      </c>
      <c r="W274">
        <v>7</v>
      </c>
      <c r="X274">
        <v>4</v>
      </c>
      <c r="Y274">
        <v>7</v>
      </c>
      <c r="Z274">
        <v>1</v>
      </c>
      <c r="AA274">
        <v>0</v>
      </c>
      <c r="AB274">
        <v>77</v>
      </c>
      <c r="AC274">
        <v>1</v>
      </c>
      <c r="AD274">
        <v>6</v>
      </c>
      <c r="AE274">
        <v>1</v>
      </c>
      <c r="AF274">
        <v>1</v>
      </c>
      <c r="AG274">
        <v>1</v>
      </c>
      <c r="AH274">
        <v>1</v>
      </c>
      <c r="AI274">
        <v>5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25</v>
      </c>
      <c r="AQ274">
        <v>13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11</v>
      </c>
      <c r="AY274">
        <v>2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2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3</v>
      </c>
      <c r="BP274">
        <v>2</v>
      </c>
      <c r="BQ274">
        <v>3</v>
      </c>
      <c r="BR274">
        <v>0</v>
      </c>
      <c r="BS274">
        <v>0</v>
      </c>
      <c r="BT274">
        <v>1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3</v>
      </c>
      <c r="CC274">
        <v>0</v>
      </c>
      <c r="CD274">
        <v>0</v>
      </c>
      <c r="CE274">
        <v>0</v>
      </c>
      <c r="CF274">
        <v>1</v>
      </c>
      <c r="CG274">
        <v>0</v>
      </c>
      <c r="CH274">
        <v>0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1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</row>
    <row r="275" spans="1:201" x14ac:dyDescent="0.3">
      <c r="A275" t="s">
        <v>271</v>
      </c>
      <c r="B275" t="s">
        <v>293</v>
      </c>
      <c r="C275" t="s">
        <v>200</v>
      </c>
      <c r="D275" s="1">
        <v>4529</v>
      </c>
      <c r="E275" s="1">
        <v>1995</v>
      </c>
      <c r="F275">
        <v>148</v>
      </c>
      <c r="G275">
        <v>276</v>
      </c>
      <c r="H275">
        <v>67</v>
      </c>
      <c r="I275">
        <v>83</v>
      </c>
      <c r="J275">
        <v>138</v>
      </c>
      <c r="K275">
        <v>689</v>
      </c>
      <c r="L275">
        <v>46</v>
      </c>
      <c r="M275">
        <v>190</v>
      </c>
      <c r="N275">
        <v>102</v>
      </c>
      <c r="O275">
        <v>25</v>
      </c>
      <c r="P275">
        <v>87</v>
      </c>
      <c r="Q275">
        <v>121</v>
      </c>
      <c r="R275">
        <v>35</v>
      </c>
      <c r="S275">
        <v>42</v>
      </c>
      <c r="T275">
        <v>12</v>
      </c>
      <c r="U275">
        <v>6</v>
      </c>
      <c r="V275">
        <v>62</v>
      </c>
      <c r="W275">
        <v>37</v>
      </c>
      <c r="X275">
        <v>101</v>
      </c>
      <c r="Y275">
        <v>7</v>
      </c>
      <c r="Z275">
        <v>18</v>
      </c>
      <c r="AA275">
        <v>13</v>
      </c>
      <c r="AB275">
        <v>5</v>
      </c>
      <c r="AC275">
        <v>9</v>
      </c>
      <c r="AD275">
        <v>20</v>
      </c>
      <c r="AE275">
        <v>5</v>
      </c>
      <c r="AF275">
        <v>12</v>
      </c>
      <c r="AG275">
        <v>14</v>
      </c>
      <c r="AH275">
        <v>4</v>
      </c>
      <c r="AI275">
        <v>9</v>
      </c>
      <c r="AJ275">
        <v>2</v>
      </c>
      <c r="AK275">
        <v>6</v>
      </c>
      <c r="AL275">
        <v>4</v>
      </c>
      <c r="AM275">
        <v>6</v>
      </c>
      <c r="AN275">
        <v>3</v>
      </c>
      <c r="AO275">
        <v>0</v>
      </c>
      <c r="AP275">
        <v>53</v>
      </c>
      <c r="AQ275">
        <v>5</v>
      </c>
      <c r="AR275">
        <v>6</v>
      </c>
      <c r="AS275">
        <v>2</v>
      </c>
      <c r="AT275">
        <v>1</v>
      </c>
      <c r="AU275">
        <v>20</v>
      </c>
      <c r="AV275">
        <v>2</v>
      </c>
      <c r="AW275">
        <v>3</v>
      </c>
      <c r="AX275">
        <v>0</v>
      </c>
      <c r="AY275">
        <v>5</v>
      </c>
      <c r="AZ275">
        <v>0</v>
      </c>
      <c r="BA275">
        <v>1</v>
      </c>
      <c r="BB275">
        <v>0</v>
      </c>
      <c r="BC275">
        <v>1</v>
      </c>
      <c r="BD275">
        <v>6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1</v>
      </c>
      <c r="BR275">
        <v>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2</v>
      </c>
      <c r="CA275">
        <v>1</v>
      </c>
      <c r="CB275">
        <v>2</v>
      </c>
      <c r="CC275">
        <v>1</v>
      </c>
      <c r="CD275">
        <v>0</v>
      </c>
      <c r="CE275">
        <v>1</v>
      </c>
      <c r="CF275">
        <v>2</v>
      </c>
      <c r="CG275">
        <v>1</v>
      </c>
      <c r="CH275">
        <v>0</v>
      </c>
      <c r="CI275">
        <v>0</v>
      </c>
      <c r="CJ275">
        <v>1</v>
      </c>
      <c r="CK275">
        <v>3</v>
      </c>
      <c r="CL275">
        <v>2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1</v>
      </c>
      <c r="EA275">
        <v>0</v>
      </c>
      <c r="EB275">
        <v>1</v>
      </c>
      <c r="EC275">
        <v>0</v>
      </c>
      <c r="ED275">
        <v>0</v>
      </c>
      <c r="EE275">
        <v>0</v>
      </c>
      <c r="EF275">
        <v>0</v>
      </c>
      <c r="EG275">
        <v>1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1</v>
      </c>
    </row>
    <row r="276" spans="1:201" x14ac:dyDescent="0.3">
      <c r="A276" t="s">
        <v>271</v>
      </c>
      <c r="B276" t="s">
        <v>293</v>
      </c>
      <c r="C276" t="s">
        <v>203</v>
      </c>
      <c r="D276" s="1">
        <v>3195</v>
      </c>
      <c r="E276" s="1">
        <v>1464</v>
      </c>
      <c r="F276">
        <v>84</v>
      </c>
      <c r="G276">
        <v>145</v>
      </c>
      <c r="H276">
        <v>53</v>
      </c>
      <c r="I276">
        <v>59</v>
      </c>
      <c r="J276">
        <v>96</v>
      </c>
      <c r="K276">
        <v>656</v>
      </c>
      <c r="L276">
        <v>43</v>
      </c>
      <c r="M276">
        <v>73</v>
      </c>
      <c r="N276">
        <v>19</v>
      </c>
      <c r="O276">
        <v>11</v>
      </c>
      <c r="P276">
        <v>57</v>
      </c>
      <c r="Q276">
        <v>107</v>
      </c>
      <c r="R276">
        <v>29</v>
      </c>
      <c r="S276">
        <v>6</v>
      </c>
      <c r="T276">
        <v>3</v>
      </c>
      <c r="U276">
        <v>4</v>
      </c>
      <c r="V276">
        <v>53</v>
      </c>
      <c r="W276">
        <v>19</v>
      </c>
      <c r="X276">
        <v>59</v>
      </c>
      <c r="Y276">
        <v>0</v>
      </c>
      <c r="Z276">
        <v>16</v>
      </c>
      <c r="AA276">
        <v>7</v>
      </c>
      <c r="AB276">
        <v>1</v>
      </c>
      <c r="AC276">
        <v>6</v>
      </c>
      <c r="AD276">
        <v>7</v>
      </c>
      <c r="AE276">
        <v>5</v>
      </c>
      <c r="AF276">
        <v>7</v>
      </c>
      <c r="AG276">
        <v>11</v>
      </c>
      <c r="AH276">
        <v>3</v>
      </c>
      <c r="AI276">
        <v>5</v>
      </c>
      <c r="AJ276">
        <v>1</v>
      </c>
      <c r="AK276">
        <v>3</v>
      </c>
      <c r="AL276">
        <v>2</v>
      </c>
      <c r="AM276">
        <v>2</v>
      </c>
      <c r="AN276">
        <v>2</v>
      </c>
      <c r="AO276">
        <v>0</v>
      </c>
      <c r="AP276">
        <v>34</v>
      </c>
      <c r="AQ276">
        <v>1</v>
      </c>
      <c r="AR276">
        <v>2</v>
      </c>
      <c r="AS276">
        <v>0</v>
      </c>
      <c r="AT276">
        <v>1</v>
      </c>
      <c r="AU276">
        <v>11</v>
      </c>
      <c r="AV276">
        <v>1</v>
      </c>
      <c r="AW276">
        <v>2</v>
      </c>
      <c r="AX276">
        <v>0</v>
      </c>
      <c r="AY276">
        <v>4</v>
      </c>
      <c r="AZ276">
        <v>0</v>
      </c>
      <c r="BA276">
        <v>1</v>
      </c>
      <c r="BB276">
        <v>0</v>
      </c>
      <c r="BC276">
        <v>1</v>
      </c>
      <c r="BD276">
        <v>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2</v>
      </c>
      <c r="CA276">
        <v>1</v>
      </c>
      <c r="CB276">
        <v>1</v>
      </c>
      <c r="CC276">
        <v>1</v>
      </c>
      <c r="CD276">
        <v>0</v>
      </c>
      <c r="CE276">
        <v>1</v>
      </c>
      <c r="CF276">
        <v>1</v>
      </c>
      <c r="CG276">
        <v>1</v>
      </c>
      <c r="CH276">
        <v>0</v>
      </c>
      <c r="CI276">
        <v>0</v>
      </c>
      <c r="CJ276">
        <v>0</v>
      </c>
      <c r="CK276">
        <v>2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1</v>
      </c>
      <c r="EC276">
        <v>0</v>
      </c>
      <c r="ED276">
        <v>0</v>
      </c>
      <c r="EE276">
        <v>0</v>
      </c>
      <c r="EF276">
        <v>0</v>
      </c>
      <c r="EG276">
        <v>1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</row>
    <row r="277" spans="1:201" x14ac:dyDescent="0.3">
      <c r="A277" t="s">
        <v>271</v>
      </c>
      <c r="B277" t="s">
        <v>293</v>
      </c>
      <c r="C277" t="s">
        <v>204</v>
      </c>
      <c r="D277" s="1">
        <v>1334</v>
      </c>
      <c r="E277">
        <v>531</v>
      </c>
      <c r="F277">
        <v>64</v>
      </c>
      <c r="G277">
        <v>131</v>
      </c>
      <c r="H277">
        <v>14</v>
      </c>
      <c r="I277">
        <v>24</v>
      </c>
      <c r="J277">
        <v>42</v>
      </c>
      <c r="K277">
        <v>33</v>
      </c>
      <c r="L277">
        <v>3</v>
      </c>
      <c r="M277">
        <v>117</v>
      </c>
      <c r="N277">
        <v>83</v>
      </c>
      <c r="O277">
        <v>14</v>
      </c>
      <c r="P277">
        <v>30</v>
      </c>
      <c r="Q277">
        <v>14</v>
      </c>
      <c r="R277">
        <v>6</v>
      </c>
      <c r="S277">
        <v>36</v>
      </c>
      <c r="T277">
        <v>9</v>
      </c>
      <c r="U277">
        <v>2</v>
      </c>
      <c r="V277">
        <v>9</v>
      </c>
      <c r="W277">
        <v>18</v>
      </c>
      <c r="X277">
        <v>42</v>
      </c>
      <c r="Y277">
        <v>7</v>
      </c>
      <c r="Z277">
        <v>2</v>
      </c>
      <c r="AA277">
        <v>6</v>
      </c>
      <c r="AB277">
        <v>4</v>
      </c>
      <c r="AC277">
        <v>3</v>
      </c>
      <c r="AD277">
        <v>13</v>
      </c>
      <c r="AE277">
        <v>0</v>
      </c>
      <c r="AF277">
        <v>5</v>
      </c>
      <c r="AG277">
        <v>3</v>
      </c>
      <c r="AH277">
        <v>1</v>
      </c>
      <c r="AI277">
        <v>4</v>
      </c>
      <c r="AJ277">
        <v>1</v>
      </c>
      <c r="AK277">
        <v>3</v>
      </c>
      <c r="AL277">
        <v>2</v>
      </c>
      <c r="AM277">
        <v>4</v>
      </c>
      <c r="AN277">
        <v>1</v>
      </c>
      <c r="AO277">
        <v>0</v>
      </c>
      <c r="AP277">
        <v>19</v>
      </c>
      <c r="AQ277">
        <v>4</v>
      </c>
      <c r="AR277">
        <v>4</v>
      </c>
      <c r="AS277">
        <v>2</v>
      </c>
      <c r="AT277">
        <v>0</v>
      </c>
      <c r="AU277">
        <v>9</v>
      </c>
      <c r="AV277">
        <v>1</v>
      </c>
      <c r="AW277">
        <v>1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1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0</v>
      </c>
      <c r="CD277">
        <v>0</v>
      </c>
      <c r="CE277">
        <v>0</v>
      </c>
      <c r="CF277">
        <v>1</v>
      </c>
      <c r="CG277">
        <v>0</v>
      </c>
      <c r="CH277">
        <v>0</v>
      </c>
      <c r="CI277">
        <v>0</v>
      </c>
      <c r="CJ277">
        <v>1</v>
      </c>
      <c r="CK277">
        <v>1</v>
      </c>
      <c r="CL277">
        <v>2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1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1</v>
      </c>
    </row>
    <row r="278" spans="1:201" x14ac:dyDescent="0.3">
      <c r="A278" t="s">
        <v>271</v>
      </c>
      <c r="B278" t="s">
        <v>294</v>
      </c>
      <c r="C278" t="s">
        <v>200</v>
      </c>
      <c r="D278" s="1">
        <v>3417</v>
      </c>
      <c r="E278" s="1">
        <v>1561</v>
      </c>
      <c r="F278">
        <v>140</v>
      </c>
      <c r="G278">
        <v>242</v>
      </c>
      <c r="H278">
        <v>94</v>
      </c>
      <c r="I278">
        <v>62</v>
      </c>
      <c r="J278">
        <v>83</v>
      </c>
      <c r="K278">
        <v>304</v>
      </c>
      <c r="L278">
        <v>40</v>
      </c>
      <c r="M278">
        <v>103</v>
      </c>
      <c r="N278">
        <v>106</v>
      </c>
      <c r="O278">
        <v>75</v>
      </c>
      <c r="P278">
        <v>118</v>
      </c>
      <c r="Q278">
        <v>53</v>
      </c>
      <c r="R278">
        <v>1</v>
      </c>
      <c r="S278">
        <v>73</v>
      </c>
      <c r="T278">
        <v>26</v>
      </c>
      <c r="U278">
        <v>10</v>
      </c>
      <c r="V278">
        <v>27</v>
      </c>
      <c r="W278">
        <v>39</v>
      </c>
      <c r="X278">
        <v>17</v>
      </c>
      <c r="Y278">
        <v>13</v>
      </c>
      <c r="Z278">
        <v>8</v>
      </c>
      <c r="AA278">
        <v>5</v>
      </c>
      <c r="AB278">
        <v>9</v>
      </c>
      <c r="AC278">
        <v>11</v>
      </c>
      <c r="AD278">
        <v>31</v>
      </c>
      <c r="AE278">
        <v>1</v>
      </c>
      <c r="AF278">
        <v>12</v>
      </c>
      <c r="AG278">
        <v>4</v>
      </c>
      <c r="AH278">
        <v>8</v>
      </c>
      <c r="AI278">
        <v>1</v>
      </c>
      <c r="AJ278">
        <v>0</v>
      </c>
      <c r="AK278">
        <v>10</v>
      </c>
      <c r="AL278">
        <v>2</v>
      </c>
      <c r="AM278">
        <v>1</v>
      </c>
      <c r="AN278">
        <v>1</v>
      </c>
      <c r="AO278">
        <v>0</v>
      </c>
      <c r="AP278">
        <v>1</v>
      </c>
      <c r="AQ278">
        <v>7</v>
      </c>
      <c r="AR278">
        <v>3</v>
      </c>
      <c r="AS278">
        <v>24</v>
      </c>
      <c r="AT278">
        <v>1</v>
      </c>
      <c r="AU278">
        <v>1</v>
      </c>
      <c r="AV278">
        <v>2</v>
      </c>
      <c r="AW278">
        <v>2</v>
      </c>
      <c r="AX278">
        <v>0</v>
      </c>
      <c r="AY278">
        <v>2</v>
      </c>
      <c r="AZ278">
        <v>2</v>
      </c>
      <c r="BA278">
        <v>0</v>
      </c>
      <c r="BB278">
        <v>0</v>
      </c>
      <c r="BC278">
        <v>3</v>
      </c>
      <c r="BD278">
        <v>0</v>
      </c>
      <c r="BE278">
        <v>4</v>
      </c>
      <c r="BF278">
        <v>6</v>
      </c>
      <c r="BG278">
        <v>10</v>
      </c>
      <c r="BH278">
        <v>2</v>
      </c>
      <c r="BI278">
        <v>1</v>
      </c>
      <c r="BJ278">
        <v>7</v>
      </c>
      <c r="BK278">
        <v>1</v>
      </c>
      <c r="BL278">
        <v>5</v>
      </c>
      <c r="BM278">
        <v>2</v>
      </c>
      <c r="BN278">
        <v>0</v>
      </c>
      <c r="BO278">
        <v>1</v>
      </c>
      <c r="BP278">
        <v>1</v>
      </c>
      <c r="BQ278">
        <v>1</v>
      </c>
      <c r="BR278">
        <v>3</v>
      </c>
      <c r="BS278">
        <v>1</v>
      </c>
      <c r="BT278">
        <v>0</v>
      </c>
      <c r="BU278">
        <v>0</v>
      </c>
      <c r="BV278">
        <v>3</v>
      </c>
      <c r="BW278">
        <v>1</v>
      </c>
      <c r="BX278">
        <v>0</v>
      </c>
      <c r="BY278">
        <v>8</v>
      </c>
      <c r="BZ278">
        <v>1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2</v>
      </c>
      <c r="CJ278">
        <v>1</v>
      </c>
      <c r="CK278">
        <v>0</v>
      </c>
      <c r="CL278">
        <v>1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1</v>
      </c>
      <c r="CX278">
        <v>0</v>
      </c>
      <c r="CY278">
        <v>0</v>
      </c>
      <c r="CZ278">
        <v>0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2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1</v>
      </c>
      <c r="EA278">
        <v>2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</v>
      </c>
      <c r="EN278">
        <v>1</v>
      </c>
      <c r="EO278">
        <v>1</v>
      </c>
      <c r="EP278">
        <v>0</v>
      </c>
      <c r="EQ278">
        <v>1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1</v>
      </c>
      <c r="FH278">
        <v>1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1</v>
      </c>
    </row>
    <row r="279" spans="1:201" x14ac:dyDescent="0.3">
      <c r="A279" t="s">
        <v>271</v>
      </c>
      <c r="B279" t="s">
        <v>294</v>
      </c>
      <c r="C279" t="s">
        <v>203</v>
      </c>
      <c r="D279" s="1">
        <v>1961</v>
      </c>
      <c r="E279">
        <v>903</v>
      </c>
      <c r="F279">
        <v>69</v>
      </c>
      <c r="G279">
        <v>95</v>
      </c>
      <c r="H279">
        <v>78</v>
      </c>
      <c r="I279">
        <v>43</v>
      </c>
      <c r="J279">
        <v>56</v>
      </c>
      <c r="K279">
        <v>266</v>
      </c>
      <c r="L279">
        <v>36</v>
      </c>
      <c r="M279">
        <v>17</v>
      </c>
      <c r="N279">
        <v>47</v>
      </c>
      <c r="O279">
        <v>31</v>
      </c>
      <c r="P279">
        <v>60</v>
      </c>
      <c r="Q279">
        <v>40</v>
      </c>
      <c r="R279">
        <v>1</v>
      </c>
      <c r="S279">
        <v>19</v>
      </c>
      <c r="T279">
        <v>9</v>
      </c>
      <c r="U279">
        <v>1</v>
      </c>
      <c r="V279">
        <v>23</v>
      </c>
      <c r="W279">
        <v>23</v>
      </c>
      <c r="X279">
        <v>12</v>
      </c>
      <c r="Y279">
        <v>9</v>
      </c>
      <c r="Z279">
        <v>2</v>
      </c>
      <c r="AA279">
        <v>3</v>
      </c>
      <c r="AB279">
        <v>8</v>
      </c>
      <c r="AC279">
        <v>6</v>
      </c>
      <c r="AD279">
        <v>10</v>
      </c>
      <c r="AE279">
        <v>0</v>
      </c>
      <c r="AF279">
        <v>11</v>
      </c>
      <c r="AG279">
        <v>3</v>
      </c>
      <c r="AH279">
        <v>5</v>
      </c>
      <c r="AI279">
        <v>0</v>
      </c>
      <c r="AJ279">
        <v>0</v>
      </c>
      <c r="AK279">
        <v>6</v>
      </c>
      <c r="AL279">
        <v>0</v>
      </c>
      <c r="AM279">
        <v>0</v>
      </c>
      <c r="AN279">
        <v>1</v>
      </c>
      <c r="AO279">
        <v>0</v>
      </c>
      <c r="AP279">
        <v>1</v>
      </c>
      <c r="AQ279">
        <v>1</v>
      </c>
      <c r="AR279">
        <v>2</v>
      </c>
      <c r="AS279">
        <v>11</v>
      </c>
      <c r="AT279">
        <v>1</v>
      </c>
      <c r="AU279">
        <v>1</v>
      </c>
      <c r="AV279">
        <v>1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2</v>
      </c>
      <c r="BD279">
        <v>0</v>
      </c>
      <c r="BE279">
        <v>4</v>
      </c>
      <c r="BF279">
        <v>3</v>
      </c>
      <c r="BG279">
        <v>6</v>
      </c>
      <c r="BH279">
        <v>0</v>
      </c>
      <c r="BI279">
        <v>0</v>
      </c>
      <c r="BJ279">
        <v>7</v>
      </c>
      <c r="BK279">
        <v>1</v>
      </c>
      <c r="BL279">
        <v>4</v>
      </c>
      <c r="BM279">
        <v>1</v>
      </c>
      <c r="BN279">
        <v>0</v>
      </c>
      <c r="BO279">
        <v>0</v>
      </c>
      <c r="BP279">
        <v>1</v>
      </c>
      <c r="BQ279">
        <v>0</v>
      </c>
      <c r="BR279">
        <v>1</v>
      </c>
      <c r="BS279">
        <v>1</v>
      </c>
      <c r="BT279">
        <v>0</v>
      </c>
      <c r="BU279">
        <v>0</v>
      </c>
      <c r="BV279">
        <v>1</v>
      </c>
      <c r="BW279">
        <v>1</v>
      </c>
      <c r="BX279">
        <v>0</v>
      </c>
      <c r="BY279">
        <v>7</v>
      </c>
      <c r="BZ279">
        <v>1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1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1</v>
      </c>
      <c r="FH279">
        <v>1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</row>
    <row r="280" spans="1:201" x14ac:dyDescent="0.3">
      <c r="A280" t="s">
        <v>271</v>
      </c>
      <c r="B280" t="s">
        <v>294</v>
      </c>
      <c r="C280" t="s">
        <v>204</v>
      </c>
      <c r="D280" s="1">
        <v>1456</v>
      </c>
      <c r="E280">
        <v>658</v>
      </c>
      <c r="F280">
        <v>71</v>
      </c>
      <c r="G280">
        <v>147</v>
      </c>
      <c r="H280">
        <v>16</v>
      </c>
      <c r="I280">
        <v>19</v>
      </c>
      <c r="J280">
        <v>27</v>
      </c>
      <c r="K280">
        <v>38</v>
      </c>
      <c r="L280">
        <v>4</v>
      </c>
      <c r="M280">
        <v>86</v>
      </c>
      <c r="N280">
        <v>59</v>
      </c>
      <c r="O280">
        <v>44</v>
      </c>
      <c r="P280">
        <v>58</v>
      </c>
      <c r="Q280">
        <v>13</v>
      </c>
      <c r="R280">
        <v>0</v>
      </c>
      <c r="S280">
        <v>54</v>
      </c>
      <c r="T280">
        <v>17</v>
      </c>
      <c r="U280">
        <v>9</v>
      </c>
      <c r="V280">
        <v>4</v>
      </c>
      <c r="W280">
        <v>16</v>
      </c>
      <c r="X280">
        <v>5</v>
      </c>
      <c r="Y280">
        <v>4</v>
      </c>
      <c r="Z280">
        <v>6</v>
      </c>
      <c r="AA280">
        <v>2</v>
      </c>
      <c r="AB280">
        <v>1</v>
      </c>
      <c r="AC280">
        <v>5</v>
      </c>
      <c r="AD280">
        <v>21</v>
      </c>
      <c r="AE280">
        <v>1</v>
      </c>
      <c r="AF280">
        <v>1</v>
      </c>
      <c r="AG280">
        <v>1</v>
      </c>
      <c r="AH280">
        <v>3</v>
      </c>
      <c r="AI280">
        <v>1</v>
      </c>
      <c r="AJ280">
        <v>0</v>
      </c>
      <c r="AK280">
        <v>4</v>
      </c>
      <c r="AL280">
        <v>2</v>
      </c>
      <c r="AM280">
        <v>1</v>
      </c>
      <c r="AN280">
        <v>0</v>
      </c>
      <c r="AO280">
        <v>0</v>
      </c>
      <c r="AP280">
        <v>0</v>
      </c>
      <c r="AQ280">
        <v>6</v>
      </c>
      <c r="AR280">
        <v>1</v>
      </c>
      <c r="AS280">
        <v>13</v>
      </c>
      <c r="AT280">
        <v>0</v>
      </c>
      <c r="AU280">
        <v>0</v>
      </c>
      <c r="AV280">
        <v>1</v>
      </c>
      <c r="AW280">
        <v>2</v>
      </c>
      <c r="AX280">
        <v>0</v>
      </c>
      <c r="AY280">
        <v>1</v>
      </c>
      <c r="AZ280">
        <v>1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3</v>
      </c>
      <c r="BG280">
        <v>4</v>
      </c>
      <c r="BH280">
        <v>2</v>
      </c>
      <c r="BI280">
        <v>1</v>
      </c>
      <c r="BJ280">
        <v>0</v>
      </c>
      <c r="BK280">
        <v>0</v>
      </c>
      <c r="BL280">
        <v>1</v>
      </c>
      <c r="BM280">
        <v>1</v>
      </c>
      <c r="BN280">
        <v>0</v>
      </c>
      <c r="BO280">
        <v>1</v>
      </c>
      <c r="BP280">
        <v>0</v>
      </c>
      <c r="BQ280">
        <v>1</v>
      </c>
      <c r="BR280">
        <v>2</v>
      </c>
      <c r="BS280">
        <v>0</v>
      </c>
      <c r="BT280">
        <v>0</v>
      </c>
      <c r="BU280">
        <v>0</v>
      </c>
      <c r="BV280">
        <v>2</v>
      </c>
      <c r="BW280">
        <v>0</v>
      </c>
      <c r="BX280">
        <v>0</v>
      </c>
      <c r="BY280">
        <v>1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2</v>
      </c>
      <c r="CJ280">
        <v>0</v>
      </c>
      <c r="CK280">
        <v>0</v>
      </c>
      <c r="CL280">
        <v>1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1</v>
      </c>
      <c r="EA280">
        <v>1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</v>
      </c>
      <c r="EN280">
        <v>1</v>
      </c>
      <c r="EO280">
        <v>1</v>
      </c>
      <c r="EP280">
        <v>0</v>
      </c>
      <c r="EQ280">
        <v>1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1</v>
      </c>
    </row>
    <row r="281" spans="1:201" x14ac:dyDescent="0.3">
      <c r="A281" t="s">
        <v>295</v>
      </c>
      <c r="B281" t="s">
        <v>200</v>
      </c>
      <c r="C281" t="s">
        <v>200</v>
      </c>
      <c r="D281" s="1">
        <v>28421</v>
      </c>
      <c r="E281" s="1">
        <v>8724</v>
      </c>
      <c r="F281">
        <v>942</v>
      </c>
      <c r="G281" s="1">
        <v>3508</v>
      </c>
      <c r="H281" s="1">
        <v>1057</v>
      </c>
      <c r="I281" s="1">
        <v>2162</v>
      </c>
      <c r="J281" s="1">
        <v>1808</v>
      </c>
      <c r="K281">
        <v>756</v>
      </c>
      <c r="L281">
        <v>818</v>
      </c>
      <c r="M281">
        <v>971</v>
      </c>
      <c r="N281">
        <v>629</v>
      </c>
      <c r="O281">
        <v>791</v>
      </c>
      <c r="P281">
        <v>310</v>
      </c>
      <c r="Q281">
        <v>626</v>
      </c>
      <c r="R281">
        <v>223</v>
      </c>
      <c r="S281">
        <v>365</v>
      </c>
      <c r="T281">
        <v>717</v>
      </c>
      <c r="U281" s="1">
        <v>1153</v>
      </c>
      <c r="V281">
        <v>390</v>
      </c>
      <c r="W281">
        <v>187</v>
      </c>
      <c r="X281">
        <v>395</v>
      </c>
      <c r="Y281">
        <v>77</v>
      </c>
      <c r="Z281">
        <v>230</v>
      </c>
      <c r="AA281">
        <v>56</v>
      </c>
      <c r="AB281">
        <v>41</v>
      </c>
      <c r="AC281">
        <v>69</v>
      </c>
      <c r="AD281">
        <v>174</v>
      </c>
      <c r="AE281">
        <v>49</v>
      </c>
      <c r="AF281">
        <v>69</v>
      </c>
      <c r="AG281">
        <v>108</v>
      </c>
      <c r="AH281">
        <v>25</v>
      </c>
      <c r="AI281">
        <v>44</v>
      </c>
      <c r="AJ281">
        <v>101</v>
      </c>
      <c r="AK281">
        <v>78</v>
      </c>
      <c r="AL281">
        <v>190</v>
      </c>
      <c r="AM281">
        <v>9</v>
      </c>
      <c r="AN281">
        <v>22</v>
      </c>
      <c r="AO281">
        <v>36</v>
      </c>
      <c r="AP281">
        <v>30</v>
      </c>
      <c r="AQ281">
        <v>25</v>
      </c>
      <c r="AR281">
        <v>23</v>
      </c>
      <c r="AS281">
        <v>19</v>
      </c>
      <c r="AT281">
        <v>7</v>
      </c>
      <c r="AU281">
        <v>30</v>
      </c>
      <c r="AV281">
        <v>21</v>
      </c>
      <c r="AW281">
        <v>13</v>
      </c>
      <c r="AX281">
        <v>2</v>
      </c>
      <c r="AY281">
        <v>15</v>
      </c>
      <c r="AZ281">
        <v>5</v>
      </c>
      <c r="BA281">
        <v>3</v>
      </c>
      <c r="BB281">
        <v>8</v>
      </c>
      <c r="BC281">
        <v>2</v>
      </c>
      <c r="BD281">
        <v>1</v>
      </c>
      <c r="BE281">
        <v>32</v>
      </c>
      <c r="BF281">
        <v>9</v>
      </c>
      <c r="BG281">
        <v>3</v>
      </c>
      <c r="BH281">
        <v>2</v>
      </c>
      <c r="BI281">
        <v>6</v>
      </c>
      <c r="BJ281">
        <v>10</v>
      </c>
      <c r="BK281">
        <v>0</v>
      </c>
      <c r="BL281">
        <v>62</v>
      </c>
      <c r="BM281">
        <v>5</v>
      </c>
      <c r="BN281">
        <v>2</v>
      </c>
      <c r="BO281">
        <v>0</v>
      </c>
      <c r="BP281">
        <v>6</v>
      </c>
      <c r="BQ281">
        <v>2</v>
      </c>
      <c r="BR281">
        <v>0</v>
      </c>
      <c r="BS281">
        <v>12</v>
      </c>
      <c r="BT281">
        <v>23</v>
      </c>
      <c r="BU281">
        <v>3</v>
      </c>
      <c r="BV281">
        <v>5</v>
      </c>
      <c r="BW281">
        <v>4</v>
      </c>
      <c r="BX281">
        <v>15</v>
      </c>
      <c r="BY281">
        <v>2</v>
      </c>
      <c r="BZ281">
        <v>1</v>
      </c>
      <c r="CA281">
        <v>1</v>
      </c>
      <c r="CB281">
        <v>10</v>
      </c>
      <c r="CC281">
        <v>7</v>
      </c>
      <c r="CD281">
        <v>2</v>
      </c>
      <c r="CE281">
        <v>2</v>
      </c>
      <c r="CF281">
        <v>0</v>
      </c>
      <c r="CG281">
        <v>4</v>
      </c>
      <c r="CH281">
        <v>1</v>
      </c>
      <c r="CI281">
        <v>1</v>
      </c>
      <c r="CJ281">
        <v>2</v>
      </c>
      <c r="CK281">
        <v>0</v>
      </c>
      <c r="CL281">
        <v>2</v>
      </c>
      <c r="CM281">
        <v>1</v>
      </c>
      <c r="CN281">
        <v>0</v>
      </c>
      <c r="CO281">
        <v>0</v>
      </c>
      <c r="CP281">
        <v>2</v>
      </c>
      <c r="CQ281">
        <v>3</v>
      </c>
      <c r="CR281">
        <v>3</v>
      </c>
      <c r="CS281">
        <v>1</v>
      </c>
      <c r="CT281">
        <v>4</v>
      </c>
      <c r="CU281">
        <v>1</v>
      </c>
      <c r="CV281">
        <v>0</v>
      </c>
      <c r="CW281">
        <v>0</v>
      </c>
      <c r="CX281">
        <v>1</v>
      </c>
      <c r="CY281">
        <v>1</v>
      </c>
      <c r="CZ281">
        <v>4</v>
      </c>
      <c r="DA281">
        <v>0</v>
      </c>
      <c r="DB281">
        <v>0</v>
      </c>
      <c r="DC281">
        <v>1</v>
      </c>
      <c r="DD281">
        <v>2</v>
      </c>
      <c r="DE281">
        <v>4</v>
      </c>
      <c r="DF281">
        <v>1</v>
      </c>
      <c r="DG281">
        <v>1</v>
      </c>
      <c r="DH281">
        <v>1</v>
      </c>
      <c r="DI281">
        <v>2</v>
      </c>
      <c r="DJ281">
        <v>3</v>
      </c>
      <c r="DK281">
        <v>3</v>
      </c>
      <c r="DL281">
        <v>1</v>
      </c>
      <c r="DM281">
        <v>0</v>
      </c>
      <c r="DN281">
        <v>0</v>
      </c>
      <c r="DO281">
        <v>2</v>
      </c>
      <c r="DP281">
        <v>1</v>
      </c>
      <c r="DQ281">
        <v>1</v>
      </c>
      <c r="DR281">
        <v>1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1</v>
      </c>
      <c r="EI281">
        <v>0</v>
      </c>
      <c r="EJ281">
        <v>1</v>
      </c>
      <c r="EK281">
        <v>1</v>
      </c>
      <c r="EL281">
        <v>0</v>
      </c>
      <c r="EM281">
        <v>0</v>
      </c>
      <c r="EN281">
        <v>0</v>
      </c>
      <c r="EO281">
        <v>1</v>
      </c>
      <c r="EP281">
        <v>0</v>
      </c>
      <c r="EQ281">
        <v>0</v>
      </c>
      <c r="ER281">
        <v>0</v>
      </c>
      <c r="ES281">
        <v>0</v>
      </c>
      <c r="ET281">
        <v>1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1</v>
      </c>
      <c r="FD281">
        <v>0</v>
      </c>
      <c r="FE281">
        <v>1</v>
      </c>
      <c r="FF281">
        <v>1</v>
      </c>
      <c r="FG281">
        <v>0</v>
      </c>
      <c r="FH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1</v>
      </c>
      <c r="FR281">
        <v>0</v>
      </c>
      <c r="FS281">
        <v>0</v>
      </c>
      <c r="FT281">
        <v>1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1</v>
      </c>
      <c r="GK281">
        <v>1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12</v>
      </c>
    </row>
    <row r="282" spans="1:201" x14ac:dyDescent="0.3">
      <c r="A282" t="s">
        <v>295</v>
      </c>
      <c r="B282" t="s">
        <v>200</v>
      </c>
      <c r="C282" t="s">
        <v>203</v>
      </c>
      <c r="D282" s="1">
        <f>D285+D288+D291+D294+D297</f>
        <v>15924</v>
      </c>
      <c r="E282" s="1">
        <f t="shared" ref="E282:BP282" si="32">E285+E288+E291+E294+E297</f>
        <v>4035</v>
      </c>
      <c r="F282" s="1">
        <f t="shared" si="32"/>
        <v>514</v>
      </c>
      <c r="G282" s="1">
        <f t="shared" si="32"/>
        <v>1637</v>
      </c>
      <c r="H282" s="1">
        <f t="shared" si="32"/>
        <v>743</v>
      </c>
      <c r="I282" s="1">
        <f t="shared" si="32"/>
        <v>1415</v>
      </c>
      <c r="J282" s="1">
        <f t="shared" si="32"/>
        <v>1376</v>
      </c>
      <c r="K282" s="1">
        <f t="shared" si="32"/>
        <v>682</v>
      </c>
      <c r="L282" s="1">
        <f t="shared" si="32"/>
        <v>750</v>
      </c>
      <c r="M282" s="1">
        <f t="shared" si="32"/>
        <v>522</v>
      </c>
      <c r="N282" s="1">
        <f t="shared" si="32"/>
        <v>334</v>
      </c>
      <c r="O282" s="1">
        <f t="shared" si="32"/>
        <v>343</v>
      </c>
      <c r="P282" s="1">
        <f t="shared" si="32"/>
        <v>160</v>
      </c>
      <c r="Q282" s="1">
        <f t="shared" si="32"/>
        <v>532</v>
      </c>
      <c r="R282" s="1">
        <f t="shared" si="32"/>
        <v>177</v>
      </c>
      <c r="S282" s="1">
        <f t="shared" si="32"/>
        <v>34</v>
      </c>
      <c r="T282" s="1">
        <f t="shared" si="32"/>
        <v>396</v>
      </c>
      <c r="U282" s="1">
        <f t="shared" si="32"/>
        <v>601</v>
      </c>
      <c r="V282" s="1">
        <f t="shared" si="32"/>
        <v>294</v>
      </c>
      <c r="W282" s="1">
        <f t="shared" si="32"/>
        <v>97</v>
      </c>
      <c r="X282" s="1">
        <f t="shared" si="32"/>
        <v>264</v>
      </c>
      <c r="Y282" s="1">
        <f t="shared" si="32"/>
        <v>16</v>
      </c>
      <c r="Z282" s="1">
        <f t="shared" si="32"/>
        <v>123</v>
      </c>
      <c r="AA282" s="1">
        <f t="shared" si="32"/>
        <v>24</v>
      </c>
      <c r="AB282" s="1">
        <f t="shared" si="32"/>
        <v>24</v>
      </c>
      <c r="AC282" s="1">
        <f t="shared" si="32"/>
        <v>41</v>
      </c>
      <c r="AD282" s="1">
        <f t="shared" si="32"/>
        <v>47</v>
      </c>
      <c r="AE282" s="1">
        <f t="shared" si="32"/>
        <v>47</v>
      </c>
      <c r="AF282" s="1">
        <f t="shared" si="32"/>
        <v>43</v>
      </c>
      <c r="AG282" s="1">
        <f t="shared" si="32"/>
        <v>89</v>
      </c>
      <c r="AH282" s="1">
        <f t="shared" si="32"/>
        <v>16</v>
      </c>
      <c r="AI282" s="1">
        <f t="shared" si="32"/>
        <v>25</v>
      </c>
      <c r="AJ282" s="1">
        <f t="shared" si="32"/>
        <v>56</v>
      </c>
      <c r="AK282" s="1">
        <f t="shared" si="32"/>
        <v>54</v>
      </c>
      <c r="AL282" s="1">
        <f t="shared" si="32"/>
        <v>78</v>
      </c>
      <c r="AM282" s="1">
        <f t="shared" si="32"/>
        <v>2</v>
      </c>
      <c r="AN282" s="1">
        <f t="shared" si="32"/>
        <v>13</v>
      </c>
      <c r="AO282" s="1">
        <f t="shared" si="32"/>
        <v>29</v>
      </c>
      <c r="AP282" s="1">
        <f t="shared" si="32"/>
        <v>26</v>
      </c>
      <c r="AQ282" s="1">
        <f t="shared" si="32"/>
        <v>10</v>
      </c>
      <c r="AR282" s="1">
        <f t="shared" si="32"/>
        <v>16</v>
      </c>
      <c r="AS282" s="1">
        <f t="shared" si="32"/>
        <v>10</v>
      </c>
      <c r="AT282" s="1">
        <f t="shared" si="32"/>
        <v>3</v>
      </c>
      <c r="AU282" s="1">
        <f t="shared" si="32"/>
        <v>14</v>
      </c>
      <c r="AV282" s="1">
        <f t="shared" si="32"/>
        <v>18</v>
      </c>
      <c r="AW282" s="1">
        <f t="shared" si="32"/>
        <v>4</v>
      </c>
      <c r="AX282" s="1">
        <f t="shared" si="32"/>
        <v>2</v>
      </c>
      <c r="AY282" s="1">
        <f t="shared" si="32"/>
        <v>6</v>
      </c>
      <c r="AZ282" s="1">
        <f t="shared" si="32"/>
        <v>2</v>
      </c>
      <c r="BA282" s="1">
        <f t="shared" si="32"/>
        <v>1</v>
      </c>
      <c r="BB282" s="1">
        <f t="shared" si="32"/>
        <v>5</v>
      </c>
      <c r="BC282" s="1">
        <f t="shared" si="32"/>
        <v>1</v>
      </c>
      <c r="BD282" s="1">
        <f t="shared" si="32"/>
        <v>0</v>
      </c>
      <c r="BE282" s="1">
        <f t="shared" si="32"/>
        <v>19</v>
      </c>
      <c r="BF282" s="1">
        <f t="shared" si="32"/>
        <v>6</v>
      </c>
      <c r="BG282" s="1">
        <f t="shared" si="32"/>
        <v>3</v>
      </c>
      <c r="BH282" s="1">
        <f t="shared" si="32"/>
        <v>0</v>
      </c>
      <c r="BI282" s="1">
        <f t="shared" si="32"/>
        <v>2</v>
      </c>
      <c r="BJ282" s="1">
        <f t="shared" si="32"/>
        <v>7</v>
      </c>
      <c r="BK282" s="1">
        <f t="shared" si="32"/>
        <v>0</v>
      </c>
      <c r="BL282" s="1">
        <f t="shared" si="32"/>
        <v>48</v>
      </c>
      <c r="BM282" s="1">
        <f t="shared" si="32"/>
        <v>3</v>
      </c>
      <c r="BN282" s="1">
        <f t="shared" si="32"/>
        <v>1</v>
      </c>
      <c r="BO282" s="1">
        <f t="shared" si="32"/>
        <v>0</v>
      </c>
      <c r="BP282" s="1">
        <f t="shared" si="32"/>
        <v>2</v>
      </c>
      <c r="BQ282" s="1">
        <f t="shared" ref="BQ282:EB282" si="33">BQ285+BQ288+BQ291+BQ294+BQ297</f>
        <v>2</v>
      </c>
      <c r="BR282" s="1">
        <f t="shared" si="33"/>
        <v>0</v>
      </c>
      <c r="BS282" s="1">
        <f t="shared" si="33"/>
        <v>9</v>
      </c>
      <c r="BT282" s="1">
        <f t="shared" si="33"/>
        <v>17</v>
      </c>
      <c r="BU282" s="1">
        <f t="shared" si="33"/>
        <v>0</v>
      </c>
      <c r="BV282" s="1">
        <f t="shared" si="33"/>
        <v>0</v>
      </c>
      <c r="BW282" s="1">
        <f t="shared" si="33"/>
        <v>1</v>
      </c>
      <c r="BX282" s="1">
        <f t="shared" si="33"/>
        <v>12</v>
      </c>
      <c r="BY282" s="1">
        <f t="shared" si="33"/>
        <v>1</v>
      </c>
      <c r="BZ282" s="1">
        <f t="shared" si="33"/>
        <v>0</v>
      </c>
      <c r="CA282" s="1">
        <f t="shared" si="33"/>
        <v>1</v>
      </c>
      <c r="CB282" s="1">
        <f t="shared" si="33"/>
        <v>4</v>
      </c>
      <c r="CC282" s="1">
        <f t="shared" si="33"/>
        <v>4</v>
      </c>
      <c r="CD282" s="1">
        <f t="shared" si="33"/>
        <v>0</v>
      </c>
      <c r="CE282" s="1">
        <f t="shared" si="33"/>
        <v>1</v>
      </c>
      <c r="CF282" s="1">
        <f t="shared" si="33"/>
        <v>0</v>
      </c>
      <c r="CG282" s="1">
        <f t="shared" si="33"/>
        <v>1</v>
      </c>
      <c r="CH282" s="1">
        <f t="shared" si="33"/>
        <v>0</v>
      </c>
      <c r="CI282" s="1">
        <f t="shared" si="33"/>
        <v>0</v>
      </c>
      <c r="CJ282" s="1">
        <f t="shared" si="33"/>
        <v>0</v>
      </c>
      <c r="CK282" s="1">
        <f t="shared" si="33"/>
        <v>0</v>
      </c>
      <c r="CL282" s="1">
        <f t="shared" si="33"/>
        <v>0</v>
      </c>
      <c r="CM282" s="1">
        <f t="shared" si="33"/>
        <v>0</v>
      </c>
      <c r="CN282" s="1">
        <f t="shared" si="33"/>
        <v>0</v>
      </c>
      <c r="CO282" s="1">
        <f t="shared" si="33"/>
        <v>0</v>
      </c>
      <c r="CP282" s="1">
        <f t="shared" si="33"/>
        <v>1</v>
      </c>
      <c r="CQ282" s="1">
        <f t="shared" si="33"/>
        <v>0</v>
      </c>
      <c r="CR282" s="1">
        <f t="shared" si="33"/>
        <v>3</v>
      </c>
      <c r="CS282" s="1">
        <f t="shared" si="33"/>
        <v>0</v>
      </c>
      <c r="CT282" s="1">
        <f t="shared" si="33"/>
        <v>2</v>
      </c>
      <c r="CU282" s="1">
        <f t="shared" si="33"/>
        <v>0</v>
      </c>
      <c r="CV282" s="1">
        <f t="shared" si="33"/>
        <v>0</v>
      </c>
      <c r="CW282" s="1">
        <f t="shared" si="33"/>
        <v>0</v>
      </c>
      <c r="CX282" s="1">
        <f t="shared" si="33"/>
        <v>1</v>
      </c>
      <c r="CY282" s="1">
        <f t="shared" si="33"/>
        <v>0</v>
      </c>
      <c r="CZ282" s="1">
        <f t="shared" si="33"/>
        <v>0</v>
      </c>
      <c r="DA282" s="1">
        <f t="shared" si="33"/>
        <v>0</v>
      </c>
      <c r="DB282" s="1">
        <f t="shared" si="33"/>
        <v>0</v>
      </c>
      <c r="DC282" s="1">
        <f t="shared" si="33"/>
        <v>1</v>
      </c>
      <c r="DD282" s="1">
        <f t="shared" si="33"/>
        <v>2</v>
      </c>
      <c r="DE282" s="1">
        <f t="shared" si="33"/>
        <v>3</v>
      </c>
      <c r="DF282" s="1">
        <f t="shared" si="33"/>
        <v>0</v>
      </c>
      <c r="DG282" s="1">
        <f t="shared" si="33"/>
        <v>0</v>
      </c>
      <c r="DH282" s="1">
        <f t="shared" si="33"/>
        <v>0</v>
      </c>
      <c r="DI282" s="1">
        <f t="shared" si="33"/>
        <v>1</v>
      </c>
      <c r="DJ282" s="1">
        <f t="shared" si="33"/>
        <v>1</v>
      </c>
      <c r="DK282" s="1">
        <f t="shared" si="33"/>
        <v>1</v>
      </c>
      <c r="DL282" s="1">
        <f t="shared" si="33"/>
        <v>0</v>
      </c>
      <c r="DM282" s="1">
        <f t="shared" si="33"/>
        <v>0</v>
      </c>
      <c r="DN282" s="1">
        <f t="shared" si="33"/>
        <v>0</v>
      </c>
      <c r="DO282" s="1">
        <f t="shared" si="33"/>
        <v>1</v>
      </c>
      <c r="DP282" s="1">
        <f t="shared" si="33"/>
        <v>0</v>
      </c>
      <c r="DQ282" s="1">
        <f t="shared" si="33"/>
        <v>0</v>
      </c>
      <c r="DR282" s="1">
        <f t="shared" si="33"/>
        <v>0</v>
      </c>
      <c r="DS282" s="1">
        <f t="shared" si="33"/>
        <v>0</v>
      </c>
      <c r="DT282" s="1">
        <f t="shared" si="33"/>
        <v>0</v>
      </c>
      <c r="DU282" s="1">
        <f t="shared" si="33"/>
        <v>0</v>
      </c>
      <c r="DV282" s="1">
        <f t="shared" si="33"/>
        <v>0</v>
      </c>
      <c r="DW282" s="1">
        <f t="shared" si="33"/>
        <v>0</v>
      </c>
      <c r="DX282" s="1">
        <f t="shared" si="33"/>
        <v>0</v>
      </c>
      <c r="DY282" s="1">
        <f t="shared" si="33"/>
        <v>0</v>
      </c>
      <c r="DZ282" s="1">
        <f t="shared" si="33"/>
        <v>0</v>
      </c>
      <c r="EA282" s="1">
        <f t="shared" si="33"/>
        <v>0</v>
      </c>
      <c r="EB282" s="1">
        <f t="shared" si="33"/>
        <v>0</v>
      </c>
      <c r="EC282" s="1">
        <f t="shared" ref="EC282:GN282" si="34">EC285+EC288+EC291+EC294+EC297</f>
        <v>0</v>
      </c>
      <c r="ED282" s="1">
        <f t="shared" si="34"/>
        <v>0</v>
      </c>
      <c r="EE282" s="1">
        <f t="shared" si="34"/>
        <v>0</v>
      </c>
      <c r="EF282" s="1">
        <f t="shared" si="34"/>
        <v>0</v>
      </c>
      <c r="EG282" s="1">
        <f t="shared" si="34"/>
        <v>0</v>
      </c>
      <c r="EH282" s="1">
        <f t="shared" si="34"/>
        <v>0</v>
      </c>
      <c r="EI282" s="1">
        <f t="shared" si="34"/>
        <v>0</v>
      </c>
      <c r="EJ282" s="1">
        <f t="shared" si="34"/>
        <v>0</v>
      </c>
      <c r="EK282" s="1">
        <f t="shared" si="34"/>
        <v>1</v>
      </c>
      <c r="EL282" s="1">
        <f t="shared" si="34"/>
        <v>0</v>
      </c>
      <c r="EM282" s="1">
        <f t="shared" si="34"/>
        <v>0</v>
      </c>
      <c r="EN282" s="1">
        <f t="shared" si="34"/>
        <v>0</v>
      </c>
      <c r="EO282" s="1">
        <f t="shared" si="34"/>
        <v>0</v>
      </c>
      <c r="EP282" s="1">
        <f t="shared" si="34"/>
        <v>0</v>
      </c>
      <c r="EQ282" s="1">
        <f t="shared" si="34"/>
        <v>0</v>
      </c>
      <c r="ER282" s="1">
        <f t="shared" si="34"/>
        <v>0</v>
      </c>
      <c r="ES282" s="1">
        <f t="shared" si="34"/>
        <v>0</v>
      </c>
      <c r="ET282" s="1">
        <f t="shared" si="34"/>
        <v>0</v>
      </c>
      <c r="EU282" s="1">
        <f t="shared" si="34"/>
        <v>0</v>
      </c>
      <c r="EV282" s="1">
        <f t="shared" si="34"/>
        <v>0</v>
      </c>
      <c r="EW282" s="1">
        <f t="shared" si="34"/>
        <v>0</v>
      </c>
      <c r="EX282" s="1">
        <f t="shared" si="34"/>
        <v>0</v>
      </c>
      <c r="EY282" s="1">
        <f t="shared" si="34"/>
        <v>0</v>
      </c>
      <c r="EZ282" s="1">
        <f t="shared" si="34"/>
        <v>0</v>
      </c>
      <c r="FA282" s="1">
        <f t="shared" si="34"/>
        <v>0</v>
      </c>
      <c r="FB282" s="1">
        <f t="shared" si="34"/>
        <v>0</v>
      </c>
      <c r="FC282" s="1">
        <f t="shared" si="34"/>
        <v>1</v>
      </c>
      <c r="FD282" s="1">
        <f t="shared" si="34"/>
        <v>0</v>
      </c>
      <c r="FE282" s="1">
        <f t="shared" si="34"/>
        <v>0</v>
      </c>
      <c r="FF282" s="1">
        <f t="shared" si="34"/>
        <v>1</v>
      </c>
      <c r="FG282" s="1">
        <f t="shared" si="34"/>
        <v>0</v>
      </c>
      <c r="FH282" s="1">
        <f t="shared" si="34"/>
        <v>1</v>
      </c>
      <c r="FI282" s="1">
        <f t="shared" si="34"/>
        <v>0</v>
      </c>
      <c r="FJ282" s="1">
        <f t="shared" si="34"/>
        <v>0</v>
      </c>
      <c r="FK282" s="1">
        <f t="shared" si="34"/>
        <v>0</v>
      </c>
      <c r="FL282" s="1">
        <f t="shared" si="34"/>
        <v>0</v>
      </c>
      <c r="FM282" s="1">
        <f t="shared" si="34"/>
        <v>0</v>
      </c>
      <c r="FN282" s="1">
        <f t="shared" si="34"/>
        <v>0</v>
      </c>
      <c r="FO282" s="1">
        <f t="shared" si="34"/>
        <v>0</v>
      </c>
      <c r="FP282" s="1">
        <f t="shared" si="34"/>
        <v>0</v>
      </c>
      <c r="FQ282" s="1">
        <f t="shared" si="34"/>
        <v>1</v>
      </c>
      <c r="FR282" s="1">
        <f t="shared" si="34"/>
        <v>0</v>
      </c>
      <c r="FS282" s="1">
        <f t="shared" si="34"/>
        <v>0</v>
      </c>
      <c r="FT282" s="1">
        <f t="shared" si="34"/>
        <v>0</v>
      </c>
      <c r="FU282" s="1">
        <f t="shared" si="34"/>
        <v>0</v>
      </c>
      <c r="FV282" s="1">
        <f t="shared" si="34"/>
        <v>0</v>
      </c>
      <c r="FW282" s="1">
        <f t="shared" si="34"/>
        <v>0</v>
      </c>
      <c r="FX282" s="1">
        <f t="shared" si="34"/>
        <v>0</v>
      </c>
      <c r="FY282" s="1">
        <f t="shared" si="34"/>
        <v>0</v>
      </c>
      <c r="FZ282" s="1">
        <f t="shared" si="34"/>
        <v>0</v>
      </c>
      <c r="GA282" s="1">
        <f t="shared" si="34"/>
        <v>0</v>
      </c>
      <c r="GB282" s="1">
        <f t="shared" si="34"/>
        <v>0</v>
      </c>
      <c r="GC282" s="1">
        <f t="shared" si="34"/>
        <v>0</v>
      </c>
      <c r="GD282" s="1">
        <f t="shared" si="34"/>
        <v>0</v>
      </c>
      <c r="GE282" s="1">
        <f t="shared" si="34"/>
        <v>0</v>
      </c>
      <c r="GF282" s="1">
        <f t="shared" si="34"/>
        <v>0</v>
      </c>
      <c r="GG282" s="1">
        <f t="shared" si="34"/>
        <v>0</v>
      </c>
      <c r="GH282" s="1">
        <f t="shared" si="34"/>
        <v>0</v>
      </c>
      <c r="GI282" s="1">
        <f t="shared" si="34"/>
        <v>0</v>
      </c>
      <c r="GJ282" s="1">
        <f t="shared" si="34"/>
        <v>1</v>
      </c>
      <c r="GK282" s="1">
        <f t="shared" si="34"/>
        <v>0</v>
      </c>
      <c r="GL282" s="1">
        <f t="shared" si="34"/>
        <v>0</v>
      </c>
      <c r="GM282" s="1">
        <f t="shared" si="34"/>
        <v>0</v>
      </c>
      <c r="GN282" s="1">
        <f t="shared" si="34"/>
        <v>0</v>
      </c>
      <c r="GO282" s="1">
        <f t="shared" ref="GO282:GS282" si="35">GO285+GO288+GO291+GO294+GO297</f>
        <v>0</v>
      </c>
      <c r="GP282" s="1">
        <f t="shared" si="35"/>
        <v>0</v>
      </c>
      <c r="GQ282" s="1">
        <f t="shared" si="35"/>
        <v>0</v>
      </c>
      <c r="GR282" s="1">
        <f t="shared" si="35"/>
        <v>0</v>
      </c>
      <c r="GS282" s="1">
        <f t="shared" si="35"/>
        <v>6</v>
      </c>
    </row>
    <row r="283" spans="1:201" x14ac:dyDescent="0.3">
      <c r="A283" t="s">
        <v>295</v>
      </c>
      <c r="B283" t="s">
        <v>200</v>
      </c>
      <c r="C283" t="s">
        <v>204</v>
      </c>
      <c r="D283" s="1">
        <f>D286+D289+D292+D295+D298</f>
        <v>12497</v>
      </c>
      <c r="E283" s="1">
        <f t="shared" ref="E283:BP283" si="36">E286+E289+E292+E295+E298</f>
        <v>4689</v>
      </c>
      <c r="F283" s="1">
        <f t="shared" si="36"/>
        <v>428</v>
      </c>
      <c r="G283" s="1">
        <f t="shared" si="36"/>
        <v>1871</v>
      </c>
      <c r="H283" s="1">
        <f t="shared" si="36"/>
        <v>314</v>
      </c>
      <c r="I283" s="1">
        <f t="shared" si="36"/>
        <v>747</v>
      </c>
      <c r="J283" s="1">
        <f t="shared" si="36"/>
        <v>432</v>
      </c>
      <c r="K283" s="1">
        <f t="shared" si="36"/>
        <v>74</v>
      </c>
      <c r="L283" s="1">
        <f t="shared" si="36"/>
        <v>68</v>
      </c>
      <c r="M283" s="1">
        <f t="shared" si="36"/>
        <v>449</v>
      </c>
      <c r="N283" s="1">
        <f t="shared" si="36"/>
        <v>295</v>
      </c>
      <c r="O283" s="1">
        <f t="shared" si="36"/>
        <v>448</v>
      </c>
      <c r="P283" s="1">
        <f t="shared" si="36"/>
        <v>150</v>
      </c>
      <c r="Q283" s="1">
        <f t="shared" si="36"/>
        <v>94</v>
      </c>
      <c r="R283" s="1">
        <f t="shared" si="36"/>
        <v>46</v>
      </c>
      <c r="S283" s="1">
        <f t="shared" si="36"/>
        <v>331</v>
      </c>
      <c r="T283" s="1">
        <f t="shared" si="36"/>
        <v>321</v>
      </c>
      <c r="U283" s="1">
        <f t="shared" si="36"/>
        <v>552</v>
      </c>
      <c r="V283" s="1">
        <f t="shared" si="36"/>
        <v>96</v>
      </c>
      <c r="W283" s="1">
        <f t="shared" si="36"/>
        <v>90</v>
      </c>
      <c r="X283" s="1">
        <f t="shared" si="36"/>
        <v>131</v>
      </c>
      <c r="Y283" s="1">
        <f t="shared" si="36"/>
        <v>61</v>
      </c>
      <c r="Z283" s="1">
        <f t="shared" si="36"/>
        <v>107</v>
      </c>
      <c r="AA283" s="1">
        <f t="shared" si="36"/>
        <v>32</v>
      </c>
      <c r="AB283" s="1">
        <f t="shared" si="36"/>
        <v>17</v>
      </c>
      <c r="AC283" s="1">
        <f t="shared" si="36"/>
        <v>28</v>
      </c>
      <c r="AD283" s="1">
        <f t="shared" si="36"/>
        <v>127</v>
      </c>
      <c r="AE283" s="1">
        <f t="shared" si="36"/>
        <v>2</v>
      </c>
      <c r="AF283" s="1">
        <f t="shared" si="36"/>
        <v>26</v>
      </c>
      <c r="AG283" s="1">
        <f t="shared" si="36"/>
        <v>19</v>
      </c>
      <c r="AH283" s="1">
        <f t="shared" si="36"/>
        <v>9</v>
      </c>
      <c r="AI283" s="1">
        <f t="shared" si="36"/>
        <v>19</v>
      </c>
      <c r="AJ283" s="1">
        <f t="shared" si="36"/>
        <v>45</v>
      </c>
      <c r="AK283" s="1">
        <f t="shared" si="36"/>
        <v>24</v>
      </c>
      <c r="AL283" s="1">
        <f t="shared" si="36"/>
        <v>112</v>
      </c>
      <c r="AM283" s="1">
        <f t="shared" si="36"/>
        <v>7</v>
      </c>
      <c r="AN283" s="1">
        <f t="shared" si="36"/>
        <v>9</v>
      </c>
      <c r="AO283" s="1">
        <f t="shared" si="36"/>
        <v>7</v>
      </c>
      <c r="AP283" s="1">
        <f t="shared" si="36"/>
        <v>4</v>
      </c>
      <c r="AQ283" s="1">
        <f t="shared" si="36"/>
        <v>15</v>
      </c>
      <c r="AR283" s="1">
        <f t="shared" si="36"/>
        <v>7</v>
      </c>
      <c r="AS283" s="1">
        <f t="shared" si="36"/>
        <v>9</v>
      </c>
      <c r="AT283" s="1">
        <f t="shared" si="36"/>
        <v>4</v>
      </c>
      <c r="AU283" s="1">
        <f t="shared" si="36"/>
        <v>16</v>
      </c>
      <c r="AV283" s="1">
        <f t="shared" si="36"/>
        <v>3</v>
      </c>
      <c r="AW283" s="1">
        <f t="shared" si="36"/>
        <v>9</v>
      </c>
      <c r="AX283" s="1">
        <f t="shared" si="36"/>
        <v>0</v>
      </c>
      <c r="AY283" s="1">
        <f t="shared" si="36"/>
        <v>9</v>
      </c>
      <c r="AZ283" s="1">
        <f t="shared" si="36"/>
        <v>3</v>
      </c>
      <c r="BA283" s="1">
        <f t="shared" si="36"/>
        <v>2</v>
      </c>
      <c r="BB283" s="1">
        <f t="shared" si="36"/>
        <v>3</v>
      </c>
      <c r="BC283" s="1">
        <f t="shared" si="36"/>
        <v>1</v>
      </c>
      <c r="BD283" s="1">
        <f t="shared" si="36"/>
        <v>1</v>
      </c>
      <c r="BE283" s="1">
        <f t="shared" si="36"/>
        <v>13</v>
      </c>
      <c r="BF283" s="1">
        <f t="shared" si="36"/>
        <v>3</v>
      </c>
      <c r="BG283" s="1">
        <f t="shared" si="36"/>
        <v>0</v>
      </c>
      <c r="BH283" s="1">
        <f t="shared" si="36"/>
        <v>2</v>
      </c>
      <c r="BI283" s="1">
        <f t="shared" si="36"/>
        <v>4</v>
      </c>
      <c r="BJ283" s="1">
        <f t="shared" si="36"/>
        <v>3</v>
      </c>
      <c r="BK283" s="1">
        <f t="shared" si="36"/>
        <v>0</v>
      </c>
      <c r="BL283" s="1">
        <f t="shared" si="36"/>
        <v>14</v>
      </c>
      <c r="BM283" s="1">
        <f t="shared" si="36"/>
        <v>2</v>
      </c>
      <c r="BN283" s="1">
        <f t="shared" si="36"/>
        <v>1</v>
      </c>
      <c r="BO283" s="1">
        <f t="shared" si="36"/>
        <v>0</v>
      </c>
      <c r="BP283" s="1">
        <f t="shared" si="36"/>
        <v>4</v>
      </c>
      <c r="BQ283" s="1">
        <f t="shared" ref="BQ283:EB283" si="37">BQ286+BQ289+BQ292+BQ295+BQ298</f>
        <v>0</v>
      </c>
      <c r="BR283" s="1">
        <f t="shared" si="37"/>
        <v>0</v>
      </c>
      <c r="BS283" s="1">
        <f t="shared" si="37"/>
        <v>3</v>
      </c>
      <c r="BT283" s="1">
        <f t="shared" si="37"/>
        <v>6</v>
      </c>
      <c r="BU283" s="1">
        <f t="shared" si="37"/>
        <v>3</v>
      </c>
      <c r="BV283" s="1">
        <f t="shared" si="37"/>
        <v>5</v>
      </c>
      <c r="BW283" s="1">
        <f t="shared" si="37"/>
        <v>3</v>
      </c>
      <c r="BX283" s="1">
        <f t="shared" si="37"/>
        <v>3</v>
      </c>
      <c r="BY283" s="1">
        <f t="shared" si="37"/>
        <v>1</v>
      </c>
      <c r="BZ283" s="1">
        <f t="shared" si="37"/>
        <v>1</v>
      </c>
      <c r="CA283" s="1">
        <f t="shared" si="37"/>
        <v>0</v>
      </c>
      <c r="CB283" s="1">
        <f t="shared" si="37"/>
        <v>6</v>
      </c>
      <c r="CC283" s="1">
        <f t="shared" si="37"/>
        <v>3</v>
      </c>
      <c r="CD283" s="1">
        <f t="shared" si="37"/>
        <v>2</v>
      </c>
      <c r="CE283" s="1">
        <f t="shared" si="37"/>
        <v>1</v>
      </c>
      <c r="CF283" s="1">
        <f t="shared" si="37"/>
        <v>0</v>
      </c>
      <c r="CG283" s="1">
        <f t="shared" si="37"/>
        <v>3</v>
      </c>
      <c r="CH283" s="1">
        <f t="shared" si="37"/>
        <v>1</v>
      </c>
      <c r="CI283" s="1">
        <f t="shared" si="37"/>
        <v>1</v>
      </c>
      <c r="CJ283" s="1">
        <f t="shared" si="37"/>
        <v>2</v>
      </c>
      <c r="CK283" s="1">
        <f t="shared" si="37"/>
        <v>0</v>
      </c>
      <c r="CL283" s="1">
        <f t="shared" si="37"/>
        <v>2</v>
      </c>
      <c r="CM283" s="1">
        <f t="shared" si="37"/>
        <v>1</v>
      </c>
      <c r="CN283" s="1">
        <f t="shared" si="37"/>
        <v>0</v>
      </c>
      <c r="CO283" s="1">
        <f t="shared" si="37"/>
        <v>0</v>
      </c>
      <c r="CP283" s="1">
        <f t="shared" si="37"/>
        <v>1</v>
      </c>
      <c r="CQ283" s="1">
        <f t="shared" si="37"/>
        <v>3</v>
      </c>
      <c r="CR283" s="1">
        <f t="shared" si="37"/>
        <v>0</v>
      </c>
      <c r="CS283" s="1">
        <f t="shared" si="37"/>
        <v>1</v>
      </c>
      <c r="CT283" s="1">
        <f t="shared" si="37"/>
        <v>2</v>
      </c>
      <c r="CU283" s="1">
        <f t="shared" si="37"/>
        <v>1</v>
      </c>
      <c r="CV283" s="1">
        <f t="shared" si="37"/>
        <v>0</v>
      </c>
      <c r="CW283" s="1">
        <f t="shared" si="37"/>
        <v>0</v>
      </c>
      <c r="CX283" s="1">
        <f t="shared" si="37"/>
        <v>0</v>
      </c>
      <c r="CY283" s="1">
        <f t="shared" si="37"/>
        <v>1</v>
      </c>
      <c r="CZ283" s="1">
        <f t="shared" si="37"/>
        <v>4</v>
      </c>
      <c r="DA283" s="1">
        <f t="shared" si="37"/>
        <v>0</v>
      </c>
      <c r="DB283" s="1">
        <f t="shared" si="37"/>
        <v>0</v>
      </c>
      <c r="DC283" s="1">
        <f t="shared" si="37"/>
        <v>0</v>
      </c>
      <c r="DD283" s="1">
        <f t="shared" si="37"/>
        <v>0</v>
      </c>
      <c r="DE283" s="1">
        <f t="shared" si="37"/>
        <v>1</v>
      </c>
      <c r="DF283" s="1">
        <f t="shared" si="37"/>
        <v>1</v>
      </c>
      <c r="DG283" s="1">
        <f t="shared" si="37"/>
        <v>1</v>
      </c>
      <c r="DH283" s="1">
        <f t="shared" si="37"/>
        <v>1</v>
      </c>
      <c r="DI283" s="1">
        <f t="shared" si="37"/>
        <v>1</v>
      </c>
      <c r="DJ283" s="1">
        <f t="shared" si="37"/>
        <v>2</v>
      </c>
      <c r="DK283" s="1">
        <f t="shared" si="37"/>
        <v>2</v>
      </c>
      <c r="DL283" s="1">
        <f t="shared" si="37"/>
        <v>1</v>
      </c>
      <c r="DM283" s="1">
        <f t="shared" si="37"/>
        <v>0</v>
      </c>
      <c r="DN283" s="1">
        <f t="shared" si="37"/>
        <v>0</v>
      </c>
      <c r="DO283" s="1">
        <f t="shared" si="37"/>
        <v>1</v>
      </c>
      <c r="DP283" s="1">
        <f t="shared" si="37"/>
        <v>1</v>
      </c>
      <c r="DQ283" s="1">
        <f t="shared" si="37"/>
        <v>1</v>
      </c>
      <c r="DR283" s="1">
        <f t="shared" si="37"/>
        <v>1</v>
      </c>
      <c r="DS283" s="1">
        <f t="shared" si="37"/>
        <v>0</v>
      </c>
      <c r="DT283" s="1">
        <f t="shared" si="37"/>
        <v>0</v>
      </c>
      <c r="DU283" s="1">
        <f t="shared" si="37"/>
        <v>0</v>
      </c>
      <c r="DV283" s="1">
        <f t="shared" si="37"/>
        <v>0</v>
      </c>
      <c r="DW283" s="1">
        <f t="shared" si="37"/>
        <v>0</v>
      </c>
      <c r="DX283" s="1">
        <f t="shared" si="37"/>
        <v>0</v>
      </c>
      <c r="DY283" s="1">
        <f t="shared" si="37"/>
        <v>1</v>
      </c>
      <c r="DZ283" s="1">
        <f t="shared" si="37"/>
        <v>0</v>
      </c>
      <c r="EA283" s="1">
        <f t="shared" si="37"/>
        <v>0</v>
      </c>
      <c r="EB283" s="1">
        <f t="shared" si="37"/>
        <v>0</v>
      </c>
      <c r="EC283" s="1">
        <f t="shared" ref="EC283:GN283" si="38">EC286+EC289+EC292+EC295+EC298</f>
        <v>0</v>
      </c>
      <c r="ED283" s="1">
        <f t="shared" si="38"/>
        <v>0</v>
      </c>
      <c r="EE283" s="1">
        <f t="shared" si="38"/>
        <v>0</v>
      </c>
      <c r="EF283" s="1">
        <f t="shared" si="38"/>
        <v>0</v>
      </c>
      <c r="EG283" s="1">
        <f t="shared" si="38"/>
        <v>0</v>
      </c>
      <c r="EH283" s="1">
        <f t="shared" si="38"/>
        <v>1</v>
      </c>
      <c r="EI283" s="1">
        <f t="shared" si="38"/>
        <v>0</v>
      </c>
      <c r="EJ283" s="1">
        <f t="shared" si="38"/>
        <v>1</v>
      </c>
      <c r="EK283" s="1">
        <f t="shared" si="38"/>
        <v>0</v>
      </c>
      <c r="EL283" s="1">
        <f t="shared" si="38"/>
        <v>0</v>
      </c>
      <c r="EM283" s="1">
        <f t="shared" si="38"/>
        <v>0</v>
      </c>
      <c r="EN283" s="1">
        <f t="shared" si="38"/>
        <v>0</v>
      </c>
      <c r="EO283" s="1">
        <f t="shared" si="38"/>
        <v>1</v>
      </c>
      <c r="EP283" s="1">
        <f t="shared" si="38"/>
        <v>0</v>
      </c>
      <c r="EQ283" s="1">
        <f t="shared" si="38"/>
        <v>0</v>
      </c>
      <c r="ER283" s="1">
        <f t="shared" si="38"/>
        <v>0</v>
      </c>
      <c r="ES283" s="1">
        <f t="shared" si="38"/>
        <v>0</v>
      </c>
      <c r="ET283" s="1">
        <f t="shared" si="38"/>
        <v>1</v>
      </c>
      <c r="EU283" s="1">
        <f t="shared" si="38"/>
        <v>0</v>
      </c>
      <c r="EV283" s="1">
        <f t="shared" si="38"/>
        <v>0</v>
      </c>
      <c r="EW283" s="1">
        <f t="shared" si="38"/>
        <v>0</v>
      </c>
      <c r="EX283" s="1">
        <f t="shared" si="38"/>
        <v>0</v>
      </c>
      <c r="EY283" s="1">
        <f t="shared" si="38"/>
        <v>0</v>
      </c>
      <c r="EZ283" s="1">
        <f t="shared" si="38"/>
        <v>0</v>
      </c>
      <c r="FA283" s="1">
        <f t="shared" si="38"/>
        <v>0</v>
      </c>
      <c r="FB283" s="1">
        <f t="shared" si="38"/>
        <v>0</v>
      </c>
      <c r="FC283" s="1">
        <f t="shared" si="38"/>
        <v>0</v>
      </c>
      <c r="FD283" s="1">
        <f t="shared" si="38"/>
        <v>0</v>
      </c>
      <c r="FE283" s="1">
        <f t="shared" si="38"/>
        <v>1</v>
      </c>
      <c r="FF283" s="1">
        <f t="shared" si="38"/>
        <v>0</v>
      </c>
      <c r="FG283" s="1">
        <f t="shared" si="38"/>
        <v>0</v>
      </c>
      <c r="FH283" s="1">
        <f t="shared" si="38"/>
        <v>0</v>
      </c>
      <c r="FI283" s="1">
        <f t="shared" si="38"/>
        <v>0</v>
      </c>
      <c r="FJ283" s="1">
        <f t="shared" si="38"/>
        <v>0</v>
      </c>
      <c r="FK283" s="1">
        <f t="shared" si="38"/>
        <v>0</v>
      </c>
      <c r="FL283" s="1">
        <f t="shared" si="38"/>
        <v>0</v>
      </c>
      <c r="FM283" s="1">
        <f t="shared" si="38"/>
        <v>0</v>
      </c>
      <c r="FN283" s="1">
        <f t="shared" si="38"/>
        <v>0</v>
      </c>
      <c r="FO283" s="1">
        <f t="shared" si="38"/>
        <v>0</v>
      </c>
      <c r="FP283" s="1">
        <f t="shared" si="38"/>
        <v>0</v>
      </c>
      <c r="FQ283" s="1">
        <f t="shared" si="38"/>
        <v>0</v>
      </c>
      <c r="FR283" s="1">
        <f t="shared" si="38"/>
        <v>0</v>
      </c>
      <c r="FS283" s="1">
        <f t="shared" si="38"/>
        <v>0</v>
      </c>
      <c r="FT283" s="1">
        <f t="shared" si="38"/>
        <v>1</v>
      </c>
      <c r="FU283" s="1">
        <f t="shared" si="38"/>
        <v>0</v>
      </c>
      <c r="FV283" s="1">
        <f t="shared" si="38"/>
        <v>0</v>
      </c>
      <c r="FW283" s="1">
        <f t="shared" si="38"/>
        <v>0</v>
      </c>
      <c r="FX283" s="1">
        <f t="shared" si="38"/>
        <v>0</v>
      </c>
      <c r="FY283" s="1">
        <f t="shared" si="38"/>
        <v>0</v>
      </c>
      <c r="FZ283" s="1">
        <f t="shared" si="38"/>
        <v>0</v>
      </c>
      <c r="GA283" s="1">
        <f t="shared" si="38"/>
        <v>0</v>
      </c>
      <c r="GB283" s="1">
        <f t="shared" si="38"/>
        <v>0</v>
      </c>
      <c r="GC283" s="1">
        <f t="shared" si="38"/>
        <v>0</v>
      </c>
      <c r="GD283" s="1">
        <f t="shared" si="38"/>
        <v>0</v>
      </c>
      <c r="GE283" s="1">
        <f t="shared" si="38"/>
        <v>0</v>
      </c>
      <c r="GF283" s="1">
        <f t="shared" si="38"/>
        <v>0</v>
      </c>
      <c r="GG283" s="1">
        <f t="shared" si="38"/>
        <v>0</v>
      </c>
      <c r="GH283" s="1">
        <f t="shared" si="38"/>
        <v>0</v>
      </c>
      <c r="GI283" s="1">
        <f t="shared" si="38"/>
        <v>0</v>
      </c>
      <c r="GJ283" s="1">
        <f t="shared" si="38"/>
        <v>0</v>
      </c>
      <c r="GK283" s="1">
        <f t="shared" si="38"/>
        <v>1</v>
      </c>
      <c r="GL283" s="1">
        <f t="shared" si="38"/>
        <v>0</v>
      </c>
      <c r="GM283" s="1">
        <f t="shared" si="38"/>
        <v>0</v>
      </c>
      <c r="GN283" s="1">
        <f t="shared" si="38"/>
        <v>0</v>
      </c>
      <c r="GO283" s="1">
        <f t="shared" ref="GO283:GS283" si="39">GO286+GO289+GO292+GO295+GO298</f>
        <v>0</v>
      </c>
      <c r="GP283" s="1">
        <f t="shared" si="39"/>
        <v>0</v>
      </c>
      <c r="GQ283" s="1">
        <f t="shared" si="39"/>
        <v>0</v>
      </c>
      <c r="GR283" s="1">
        <f t="shared" si="39"/>
        <v>0</v>
      </c>
      <c r="GS283" s="1">
        <f t="shared" si="39"/>
        <v>6</v>
      </c>
    </row>
    <row r="284" spans="1:201" x14ac:dyDescent="0.3">
      <c r="A284" t="s">
        <v>295</v>
      </c>
      <c r="B284" t="s">
        <v>296</v>
      </c>
      <c r="C284" t="s">
        <v>200</v>
      </c>
      <c r="D284" s="1">
        <v>16146</v>
      </c>
      <c r="E284" s="1">
        <v>4649</v>
      </c>
      <c r="F284">
        <v>504</v>
      </c>
      <c r="G284" s="1">
        <v>1845</v>
      </c>
      <c r="H284">
        <v>718</v>
      </c>
      <c r="I284" s="1">
        <v>1427</v>
      </c>
      <c r="J284" s="1">
        <v>1311</v>
      </c>
      <c r="K284">
        <v>539</v>
      </c>
      <c r="L284">
        <v>448</v>
      </c>
      <c r="M284">
        <v>673</v>
      </c>
      <c r="N284">
        <v>387</v>
      </c>
      <c r="O284">
        <v>283</v>
      </c>
      <c r="P284">
        <v>51</v>
      </c>
      <c r="Q284">
        <v>508</v>
      </c>
      <c r="R284">
        <v>95</v>
      </c>
      <c r="S284">
        <v>124</v>
      </c>
      <c r="T284">
        <v>512</v>
      </c>
      <c r="U284">
        <v>956</v>
      </c>
      <c r="V284">
        <v>165</v>
      </c>
      <c r="W284">
        <v>31</v>
      </c>
      <c r="X284">
        <v>127</v>
      </c>
      <c r="Y284">
        <v>32</v>
      </c>
      <c r="Z284">
        <v>169</v>
      </c>
      <c r="AA284">
        <v>3</v>
      </c>
      <c r="AB284">
        <v>27</v>
      </c>
      <c r="AC284">
        <v>16</v>
      </c>
      <c r="AD284">
        <v>38</v>
      </c>
      <c r="AE284">
        <v>45</v>
      </c>
      <c r="AF284">
        <v>16</v>
      </c>
      <c r="AG284">
        <v>22</v>
      </c>
      <c r="AH284">
        <v>5</v>
      </c>
      <c r="AI284">
        <v>7</v>
      </c>
      <c r="AJ284">
        <v>101</v>
      </c>
      <c r="AK284">
        <v>23</v>
      </c>
      <c r="AL284">
        <v>169</v>
      </c>
      <c r="AM284">
        <v>5</v>
      </c>
      <c r="AN284">
        <v>3</v>
      </c>
      <c r="AO284">
        <v>21</v>
      </c>
      <c r="AP284">
        <v>2</v>
      </c>
      <c r="AQ284">
        <v>9</v>
      </c>
      <c r="AR284">
        <v>1</v>
      </c>
      <c r="AS284">
        <v>3</v>
      </c>
      <c r="AT284">
        <v>1</v>
      </c>
      <c r="AU284">
        <v>2</v>
      </c>
      <c r="AV284">
        <v>8</v>
      </c>
      <c r="AW284">
        <v>3</v>
      </c>
      <c r="AX284">
        <v>0</v>
      </c>
      <c r="AY284">
        <v>2</v>
      </c>
      <c r="AZ284">
        <v>0</v>
      </c>
      <c r="BA284">
        <v>1</v>
      </c>
      <c r="BB284">
        <v>0</v>
      </c>
      <c r="BC284">
        <v>0</v>
      </c>
      <c r="BD284">
        <v>0</v>
      </c>
      <c r="BE284">
        <v>9</v>
      </c>
      <c r="BF284">
        <v>1</v>
      </c>
      <c r="BG284">
        <v>1</v>
      </c>
      <c r="BH284">
        <v>1</v>
      </c>
      <c r="BI284">
        <v>0</v>
      </c>
      <c r="BJ284">
        <v>9</v>
      </c>
      <c r="BK284">
        <v>0</v>
      </c>
      <c r="BL284">
        <v>1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2</v>
      </c>
      <c r="BW284">
        <v>1</v>
      </c>
      <c r="BX284">
        <v>11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1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0</v>
      </c>
      <c r="CP284">
        <v>1</v>
      </c>
      <c r="CQ284">
        <v>0</v>
      </c>
      <c r="CR284">
        <v>0</v>
      </c>
      <c r="CS284">
        <v>0</v>
      </c>
      <c r="CT284">
        <v>0</v>
      </c>
      <c r="CU284">
        <v>1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3</v>
      </c>
      <c r="DF284">
        <v>0</v>
      </c>
      <c r="DG284">
        <v>0</v>
      </c>
      <c r="DH284">
        <v>0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1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1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1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11</v>
      </c>
    </row>
    <row r="285" spans="1:201" x14ac:dyDescent="0.3">
      <c r="A285" t="s">
        <v>295</v>
      </c>
      <c r="B285" t="s">
        <v>296</v>
      </c>
      <c r="C285" t="s">
        <v>203</v>
      </c>
      <c r="D285" s="1">
        <v>9696</v>
      </c>
      <c r="E285" s="1">
        <v>2258</v>
      </c>
      <c r="F285">
        <v>280</v>
      </c>
      <c r="G285">
        <v>942</v>
      </c>
      <c r="H285">
        <v>529</v>
      </c>
      <c r="I285">
        <v>868</v>
      </c>
      <c r="J285" s="1">
        <v>1055</v>
      </c>
      <c r="K285">
        <v>521</v>
      </c>
      <c r="L285">
        <v>423</v>
      </c>
      <c r="M285">
        <v>431</v>
      </c>
      <c r="N285">
        <v>225</v>
      </c>
      <c r="O285">
        <v>130</v>
      </c>
      <c r="P285">
        <v>19</v>
      </c>
      <c r="Q285">
        <v>440</v>
      </c>
      <c r="R285">
        <v>88</v>
      </c>
      <c r="S285">
        <v>11</v>
      </c>
      <c r="T285">
        <v>287</v>
      </c>
      <c r="U285">
        <v>482</v>
      </c>
      <c r="V285">
        <v>151</v>
      </c>
      <c r="W285">
        <v>14</v>
      </c>
      <c r="X285">
        <v>113</v>
      </c>
      <c r="Y285">
        <v>11</v>
      </c>
      <c r="Z285">
        <v>84</v>
      </c>
      <c r="AA285">
        <v>1</v>
      </c>
      <c r="AB285">
        <v>18</v>
      </c>
      <c r="AC285">
        <v>11</v>
      </c>
      <c r="AD285">
        <v>9</v>
      </c>
      <c r="AE285">
        <v>44</v>
      </c>
      <c r="AF285">
        <v>12</v>
      </c>
      <c r="AG285">
        <v>18</v>
      </c>
      <c r="AH285">
        <v>4</v>
      </c>
      <c r="AI285">
        <v>3</v>
      </c>
      <c r="AJ285">
        <v>56</v>
      </c>
      <c r="AK285">
        <v>17</v>
      </c>
      <c r="AL285">
        <v>74</v>
      </c>
      <c r="AM285">
        <v>2</v>
      </c>
      <c r="AN285">
        <v>2</v>
      </c>
      <c r="AO285">
        <v>15</v>
      </c>
      <c r="AP285">
        <v>2</v>
      </c>
      <c r="AQ285">
        <v>2</v>
      </c>
      <c r="AR285">
        <v>0</v>
      </c>
      <c r="AS285">
        <v>2</v>
      </c>
      <c r="AT285">
        <v>0</v>
      </c>
      <c r="AU285">
        <v>1</v>
      </c>
      <c r="AV285">
        <v>6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5</v>
      </c>
      <c r="BF285">
        <v>1</v>
      </c>
      <c r="BG285">
        <v>1</v>
      </c>
      <c r="BH285">
        <v>0</v>
      </c>
      <c r="BI285">
        <v>0</v>
      </c>
      <c r="BJ285">
        <v>7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8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2</v>
      </c>
      <c r="DF285">
        <v>0</v>
      </c>
      <c r="DG285">
        <v>0</v>
      </c>
      <c r="DH285">
        <v>0</v>
      </c>
      <c r="DI285">
        <v>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1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6</v>
      </c>
    </row>
    <row r="286" spans="1:201" x14ac:dyDescent="0.3">
      <c r="A286" t="s">
        <v>295</v>
      </c>
      <c r="B286" t="s">
        <v>296</v>
      </c>
      <c r="C286" t="s">
        <v>204</v>
      </c>
      <c r="D286" s="1">
        <v>6450</v>
      </c>
      <c r="E286" s="1">
        <v>2391</v>
      </c>
      <c r="F286">
        <v>224</v>
      </c>
      <c r="G286">
        <v>903</v>
      </c>
      <c r="H286">
        <v>189</v>
      </c>
      <c r="I286">
        <v>559</v>
      </c>
      <c r="J286">
        <v>256</v>
      </c>
      <c r="K286">
        <v>18</v>
      </c>
      <c r="L286">
        <v>25</v>
      </c>
      <c r="M286">
        <v>242</v>
      </c>
      <c r="N286">
        <v>162</v>
      </c>
      <c r="O286">
        <v>153</v>
      </c>
      <c r="P286">
        <v>32</v>
      </c>
      <c r="Q286">
        <v>68</v>
      </c>
      <c r="R286">
        <v>7</v>
      </c>
      <c r="S286">
        <v>113</v>
      </c>
      <c r="T286">
        <v>225</v>
      </c>
      <c r="U286">
        <v>474</v>
      </c>
      <c r="V286">
        <v>14</v>
      </c>
      <c r="W286">
        <v>17</v>
      </c>
      <c r="X286">
        <v>14</v>
      </c>
      <c r="Y286">
        <v>21</v>
      </c>
      <c r="Z286">
        <v>85</v>
      </c>
      <c r="AA286">
        <v>2</v>
      </c>
      <c r="AB286">
        <v>9</v>
      </c>
      <c r="AC286">
        <v>5</v>
      </c>
      <c r="AD286">
        <v>29</v>
      </c>
      <c r="AE286">
        <v>1</v>
      </c>
      <c r="AF286">
        <v>4</v>
      </c>
      <c r="AG286">
        <v>4</v>
      </c>
      <c r="AH286">
        <v>1</v>
      </c>
      <c r="AI286">
        <v>4</v>
      </c>
      <c r="AJ286">
        <v>45</v>
      </c>
      <c r="AK286">
        <v>6</v>
      </c>
      <c r="AL286">
        <v>95</v>
      </c>
      <c r="AM286">
        <v>3</v>
      </c>
      <c r="AN286">
        <v>1</v>
      </c>
      <c r="AO286">
        <v>6</v>
      </c>
      <c r="AP286">
        <v>0</v>
      </c>
      <c r="AQ286">
        <v>7</v>
      </c>
      <c r="AR286">
        <v>1</v>
      </c>
      <c r="AS286">
        <v>1</v>
      </c>
      <c r="AT286">
        <v>1</v>
      </c>
      <c r="AU286">
        <v>1</v>
      </c>
      <c r="AV286">
        <v>2</v>
      </c>
      <c r="AW286">
        <v>2</v>
      </c>
      <c r="AX286">
        <v>0</v>
      </c>
      <c r="AY286">
        <v>2</v>
      </c>
      <c r="AZ286">
        <v>0</v>
      </c>
      <c r="BA286">
        <v>1</v>
      </c>
      <c r="BB286">
        <v>0</v>
      </c>
      <c r="BC286">
        <v>0</v>
      </c>
      <c r="BD286">
        <v>0</v>
      </c>
      <c r="BE286">
        <v>4</v>
      </c>
      <c r="BF286">
        <v>0</v>
      </c>
      <c r="BG286">
        <v>0</v>
      </c>
      <c r="BH286">
        <v>1</v>
      </c>
      <c r="BI286">
        <v>0</v>
      </c>
      <c r="BJ286">
        <v>2</v>
      </c>
      <c r="BK286">
        <v>0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2</v>
      </c>
      <c r="BW286">
        <v>1</v>
      </c>
      <c r="BX286">
        <v>3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1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1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1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1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5</v>
      </c>
    </row>
    <row r="287" spans="1:201" x14ac:dyDescent="0.3">
      <c r="A287" t="s">
        <v>295</v>
      </c>
      <c r="B287" t="s">
        <v>297</v>
      </c>
      <c r="C287" t="s">
        <v>200</v>
      </c>
      <c r="D287" s="1">
        <v>1749</v>
      </c>
      <c r="E287">
        <v>875</v>
      </c>
      <c r="F287">
        <v>52</v>
      </c>
      <c r="G287">
        <v>176</v>
      </c>
      <c r="H287">
        <v>26</v>
      </c>
      <c r="I287">
        <v>29</v>
      </c>
      <c r="J287">
        <v>89</v>
      </c>
      <c r="K287">
        <v>5</v>
      </c>
      <c r="L287">
        <v>25</v>
      </c>
      <c r="M287">
        <v>45</v>
      </c>
      <c r="N287">
        <v>46</v>
      </c>
      <c r="O287">
        <v>45</v>
      </c>
      <c r="P287">
        <v>67</v>
      </c>
      <c r="Q287">
        <v>26</v>
      </c>
      <c r="R287">
        <v>1</v>
      </c>
      <c r="S287">
        <v>54</v>
      </c>
      <c r="T287">
        <v>4</v>
      </c>
      <c r="U287">
        <v>3</v>
      </c>
      <c r="V287">
        <v>8</v>
      </c>
      <c r="W287">
        <v>22</v>
      </c>
      <c r="X287">
        <v>2</v>
      </c>
      <c r="Y287">
        <v>12</v>
      </c>
      <c r="Z287">
        <v>11</v>
      </c>
      <c r="AA287">
        <v>1</v>
      </c>
      <c r="AB287">
        <v>1</v>
      </c>
      <c r="AC287">
        <v>9</v>
      </c>
      <c r="AD287">
        <v>48</v>
      </c>
      <c r="AE287">
        <v>0</v>
      </c>
      <c r="AF287">
        <v>18</v>
      </c>
      <c r="AG287">
        <v>3</v>
      </c>
      <c r="AH287">
        <v>3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6</v>
      </c>
      <c r="AO287">
        <v>0</v>
      </c>
      <c r="AP287">
        <v>0</v>
      </c>
      <c r="AQ287">
        <v>3</v>
      </c>
      <c r="AR287">
        <v>4</v>
      </c>
      <c r="AS287">
        <v>2</v>
      </c>
      <c r="AT287">
        <v>1</v>
      </c>
      <c r="AU287">
        <v>1</v>
      </c>
      <c r="AV287">
        <v>0</v>
      </c>
      <c r="AW287">
        <v>1</v>
      </c>
      <c r="AX287">
        <v>0</v>
      </c>
      <c r="AY287">
        <v>3</v>
      </c>
      <c r="AZ287">
        <v>0</v>
      </c>
      <c r="BA287">
        <v>0</v>
      </c>
      <c r="BB287">
        <v>4</v>
      </c>
      <c r="BC287">
        <v>1</v>
      </c>
      <c r="BD287">
        <v>0</v>
      </c>
      <c r="BE287">
        <v>0</v>
      </c>
      <c r="BF287">
        <v>5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4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2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1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1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</row>
    <row r="288" spans="1:201" x14ac:dyDescent="0.3">
      <c r="A288" t="s">
        <v>295</v>
      </c>
      <c r="B288" t="s">
        <v>297</v>
      </c>
      <c r="C288" t="s">
        <v>203</v>
      </c>
      <c r="D288">
        <v>727</v>
      </c>
      <c r="E288">
        <v>339</v>
      </c>
      <c r="F288">
        <v>26</v>
      </c>
      <c r="G288">
        <v>56</v>
      </c>
      <c r="H288">
        <v>13</v>
      </c>
      <c r="I288">
        <v>17</v>
      </c>
      <c r="J288">
        <v>63</v>
      </c>
      <c r="K288">
        <v>1</v>
      </c>
      <c r="L288">
        <v>22</v>
      </c>
      <c r="M288">
        <v>5</v>
      </c>
      <c r="N288">
        <v>24</v>
      </c>
      <c r="O288">
        <v>17</v>
      </c>
      <c r="P288">
        <v>39</v>
      </c>
      <c r="Q288">
        <v>25</v>
      </c>
      <c r="R288">
        <v>1</v>
      </c>
      <c r="S288">
        <v>5</v>
      </c>
      <c r="T288">
        <v>0</v>
      </c>
      <c r="U288">
        <v>2</v>
      </c>
      <c r="V288">
        <v>5</v>
      </c>
      <c r="W288">
        <v>10</v>
      </c>
      <c r="X288">
        <v>2</v>
      </c>
      <c r="Y288">
        <v>1</v>
      </c>
      <c r="Z288">
        <v>4</v>
      </c>
      <c r="AA288">
        <v>0</v>
      </c>
      <c r="AB288">
        <v>0</v>
      </c>
      <c r="AC288">
        <v>4</v>
      </c>
      <c r="AD288">
        <v>12</v>
      </c>
      <c r="AE288">
        <v>0</v>
      </c>
      <c r="AF288">
        <v>9</v>
      </c>
      <c r="AG288">
        <v>2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</v>
      </c>
      <c r="AO288">
        <v>0</v>
      </c>
      <c r="AP288">
        <v>0</v>
      </c>
      <c r="AQ288">
        <v>2</v>
      </c>
      <c r="AR288">
        <v>3</v>
      </c>
      <c r="AS288">
        <v>0</v>
      </c>
      <c r="AT288">
        <v>1</v>
      </c>
      <c r="AU288">
        <v>1</v>
      </c>
      <c r="AV288">
        <v>0</v>
      </c>
      <c r="AW288">
        <v>0</v>
      </c>
      <c r="AX288">
        <v>0</v>
      </c>
      <c r="AY288">
        <v>2</v>
      </c>
      <c r="AZ288">
        <v>0</v>
      </c>
      <c r="BA288">
        <v>0</v>
      </c>
      <c r="BB288">
        <v>3</v>
      </c>
      <c r="BC288">
        <v>1</v>
      </c>
      <c r="BD288">
        <v>0</v>
      </c>
      <c r="BE288">
        <v>0</v>
      </c>
      <c r="BF288">
        <v>3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2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</row>
    <row r="289" spans="1:201" x14ac:dyDescent="0.3">
      <c r="A289" t="s">
        <v>295</v>
      </c>
      <c r="B289" t="s">
        <v>297</v>
      </c>
      <c r="C289" t="s">
        <v>204</v>
      </c>
      <c r="D289" s="1">
        <v>1022</v>
      </c>
      <c r="E289">
        <v>536</v>
      </c>
      <c r="F289">
        <v>26</v>
      </c>
      <c r="G289">
        <v>120</v>
      </c>
      <c r="H289">
        <v>13</v>
      </c>
      <c r="I289">
        <v>12</v>
      </c>
      <c r="J289">
        <v>26</v>
      </c>
      <c r="K289">
        <v>4</v>
      </c>
      <c r="L289">
        <v>3</v>
      </c>
      <c r="M289">
        <v>40</v>
      </c>
      <c r="N289">
        <v>22</v>
      </c>
      <c r="O289">
        <v>28</v>
      </c>
      <c r="P289">
        <v>28</v>
      </c>
      <c r="Q289">
        <v>1</v>
      </c>
      <c r="R289">
        <v>0</v>
      </c>
      <c r="S289">
        <v>49</v>
      </c>
      <c r="T289">
        <v>4</v>
      </c>
      <c r="U289">
        <v>1</v>
      </c>
      <c r="V289">
        <v>3</v>
      </c>
      <c r="W289">
        <v>12</v>
      </c>
      <c r="X289">
        <v>0</v>
      </c>
      <c r="Y289">
        <v>11</v>
      </c>
      <c r="Z289">
        <v>7</v>
      </c>
      <c r="AA289">
        <v>1</v>
      </c>
      <c r="AB289">
        <v>1</v>
      </c>
      <c r="AC289">
        <v>5</v>
      </c>
      <c r="AD289">
        <v>36</v>
      </c>
      <c r="AE289">
        <v>0</v>
      </c>
      <c r="AF289">
        <v>9</v>
      </c>
      <c r="AG289">
        <v>1</v>
      </c>
      <c r="AH289">
        <v>2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4</v>
      </c>
      <c r="AO289">
        <v>0</v>
      </c>
      <c r="AP289">
        <v>0</v>
      </c>
      <c r="AQ289">
        <v>1</v>
      </c>
      <c r="AR289">
        <v>1</v>
      </c>
      <c r="AS289">
        <v>2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1</v>
      </c>
      <c r="AZ289">
        <v>0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2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1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</row>
    <row r="290" spans="1:201" x14ac:dyDescent="0.3">
      <c r="A290" t="s">
        <v>295</v>
      </c>
      <c r="B290" t="s">
        <v>298</v>
      </c>
      <c r="C290" t="s">
        <v>200</v>
      </c>
      <c r="D290" s="1">
        <v>1930</v>
      </c>
      <c r="E290">
        <v>782</v>
      </c>
      <c r="F290">
        <v>45</v>
      </c>
      <c r="G290">
        <v>242</v>
      </c>
      <c r="H290">
        <v>51</v>
      </c>
      <c r="I290">
        <v>86</v>
      </c>
      <c r="J290">
        <v>63</v>
      </c>
      <c r="K290">
        <v>15</v>
      </c>
      <c r="L290">
        <v>29</v>
      </c>
      <c r="M290">
        <v>19</v>
      </c>
      <c r="N290">
        <v>27</v>
      </c>
      <c r="O290">
        <v>199</v>
      </c>
      <c r="P290">
        <v>39</v>
      </c>
      <c r="Q290">
        <v>3</v>
      </c>
      <c r="R290">
        <v>28</v>
      </c>
      <c r="S290">
        <v>30</v>
      </c>
      <c r="T290">
        <v>24</v>
      </c>
      <c r="U290">
        <v>27</v>
      </c>
      <c r="V290">
        <v>46</v>
      </c>
      <c r="W290">
        <v>34</v>
      </c>
      <c r="X290">
        <v>24</v>
      </c>
      <c r="Y290">
        <v>4</v>
      </c>
      <c r="Z290">
        <v>3</v>
      </c>
      <c r="AA290">
        <v>3</v>
      </c>
      <c r="AB290">
        <v>1</v>
      </c>
      <c r="AC290">
        <v>8</v>
      </c>
      <c r="AD290">
        <v>16</v>
      </c>
      <c r="AE290">
        <v>2</v>
      </c>
      <c r="AF290">
        <v>7</v>
      </c>
      <c r="AG290">
        <v>5</v>
      </c>
      <c r="AH290">
        <v>3</v>
      </c>
      <c r="AI290">
        <v>5</v>
      </c>
      <c r="AJ290">
        <v>0</v>
      </c>
      <c r="AK290">
        <v>5</v>
      </c>
      <c r="AL290">
        <v>0</v>
      </c>
      <c r="AM290">
        <v>0</v>
      </c>
      <c r="AN290">
        <v>2</v>
      </c>
      <c r="AO290">
        <v>5</v>
      </c>
      <c r="AP290">
        <v>4</v>
      </c>
      <c r="AQ290">
        <v>3</v>
      </c>
      <c r="AR290">
        <v>10</v>
      </c>
      <c r="AS290">
        <v>0</v>
      </c>
      <c r="AT290">
        <v>0</v>
      </c>
      <c r="AU290">
        <v>3</v>
      </c>
      <c r="AV290">
        <v>0</v>
      </c>
      <c r="AW290">
        <v>1</v>
      </c>
      <c r="AX290">
        <v>0</v>
      </c>
      <c r="AY290">
        <v>1</v>
      </c>
      <c r="AZ290">
        <v>0</v>
      </c>
      <c r="BA290">
        <v>1</v>
      </c>
      <c r="BB290">
        <v>3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6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3</v>
      </c>
      <c r="BT290">
        <v>0</v>
      </c>
      <c r="BU290">
        <v>0</v>
      </c>
      <c r="BV290">
        <v>2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2</v>
      </c>
      <c r="CD290">
        <v>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1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1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1</v>
      </c>
    </row>
    <row r="291" spans="1:201" x14ac:dyDescent="0.3">
      <c r="A291" t="s">
        <v>295</v>
      </c>
      <c r="B291" t="s">
        <v>298</v>
      </c>
      <c r="C291" t="s">
        <v>203</v>
      </c>
      <c r="D291" s="1">
        <v>1065</v>
      </c>
      <c r="E291">
        <v>424</v>
      </c>
      <c r="F291">
        <v>25</v>
      </c>
      <c r="G291">
        <v>123</v>
      </c>
      <c r="H291">
        <v>22</v>
      </c>
      <c r="I291">
        <v>72</v>
      </c>
      <c r="J291">
        <v>52</v>
      </c>
      <c r="K291">
        <v>10</v>
      </c>
      <c r="L291">
        <v>24</v>
      </c>
      <c r="M291">
        <v>5</v>
      </c>
      <c r="N291">
        <v>18</v>
      </c>
      <c r="O291">
        <v>84</v>
      </c>
      <c r="P291">
        <v>26</v>
      </c>
      <c r="Q291">
        <v>2</v>
      </c>
      <c r="R291">
        <v>20</v>
      </c>
      <c r="S291">
        <v>2</v>
      </c>
      <c r="T291">
        <v>12</v>
      </c>
      <c r="U291">
        <v>14</v>
      </c>
      <c r="V291">
        <v>33</v>
      </c>
      <c r="W291">
        <v>17</v>
      </c>
      <c r="X291">
        <v>14</v>
      </c>
      <c r="Y291">
        <v>0</v>
      </c>
      <c r="Z291">
        <v>1</v>
      </c>
      <c r="AA291">
        <v>2</v>
      </c>
      <c r="AB291">
        <v>1</v>
      </c>
      <c r="AC291">
        <v>6</v>
      </c>
      <c r="AD291">
        <v>6</v>
      </c>
      <c r="AE291">
        <v>2</v>
      </c>
      <c r="AF291">
        <v>5</v>
      </c>
      <c r="AG291">
        <v>1</v>
      </c>
      <c r="AH291">
        <v>3</v>
      </c>
      <c r="AI291">
        <v>2</v>
      </c>
      <c r="AJ291">
        <v>0</v>
      </c>
      <c r="AK291">
        <v>3</v>
      </c>
      <c r="AL291">
        <v>0</v>
      </c>
      <c r="AM291">
        <v>0</v>
      </c>
      <c r="AN291">
        <v>1</v>
      </c>
      <c r="AO291">
        <v>5</v>
      </c>
      <c r="AP291">
        <v>3</v>
      </c>
      <c r="AQ291">
        <v>1</v>
      </c>
      <c r="AR291">
        <v>8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6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2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1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1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</row>
    <row r="292" spans="1:201" x14ac:dyDescent="0.3">
      <c r="A292" t="s">
        <v>295</v>
      </c>
      <c r="B292" t="s">
        <v>298</v>
      </c>
      <c r="C292" t="s">
        <v>204</v>
      </c>
      <c r="D292">
        <v>865</v>
      </c>
      <c r="E292">
        <v>358</v>
      </c>
      <c r="F292">
        <v>20</v>
      </c>
      <c r="G292">
        <v>119</v>
      </c>
      <c r="H292">
        <v>29</v>
      </c>
      <c r="I292">
        <v>14</v>
      </c>
      <c r="J292">
        <v>11</v>
      </c>
      <c r="K292">
        <v>5</v>
      </c>
      <c r="L292">
        <v>5</v>
      </c>
      <c r="M292">
        <v>14</v>
      </c>
      <c r="N292">
        <v>9</v>
      </c>
      <c r="O292">
        <v>115</v>
      </c>
      <c r="P292">
        <v>13</v>
      </c>
      <c r="Q292">
        <v>1</v>
      </c>
      <c r="R292">
        <v>8</v>
      </c>
      <c r="S292">
        <v>28</v>
      </c>
      <c r="T292">
        <v>12</v>
      </c>
      <c r="U292">
        <v>13</v>
      </c>
      <c r="V292">
        <v>13</v>
      </c>
      <c r="W292">
        <v>17</v>
      </c>
      <c r="X292">
        <v>10</v>
      </c>
      <c r="Y292">
        <v>4</v>
      </c>
      <c r="Z292">
        <v>2</v>
      </c>
      <c r="AA292">
        <v>1</v>
      </c>
      <c r="AB292">
        <v>0</v>
      </c>
      <c r="AC292">
        <v>2</v>
      </c>
      <c r="AD292">
        <v>10</v>
      </c>
      <c r="AE292">
        <v>0</v>
      </c>
      <c r="AF292">
        <v>2</v>
      </c>
      <c r="AG292">
        <v>4</v>
      </c>
      <c r="AH292">
        <v>0</v>
      </c>
      <c r="AI292">
        <v>3</v>
      </c>
      <c r="AJ292">
        <v>0</v>
      </c>
      <c r="AK292">
        <v>2</v>
      </c>
      <c r="AL292">
        <v>0</v>
      </c>
      <c r="AM292">
        <v>0</v>
      </c>
      <c r="AN292">
        <v>1</v>
      </c>
      <c r="AO292">
        <v>0</v>
      </c>
      <c r="AP292">
        <v>1</v>
      </c>
      <c r="AQ292">
        <v>2</v>
      </c>
      <c r="AR292">
        <v>2</v>
      </c>
      <c r="AS292">
        <v>0</v>
      </c>
      <c r="AT292">
        <v>0</v>
      </c>
      <c r="AU292">
        <v>2</v>
      </c>
      <c r="AV292">
        <v>0</v>
      </c>
      <c r="AW292">
        <v>1</v>
      </c>
      <c r="AX292">
        <v>0</v>
      </c>
      <c r="AY292">
        <v>1</v>
      </c>
      <c r="AZ292">
        <v>0</v>
      </c>
      <c r="BA292">
        <v>1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0</v>
      </c>
      <c r="BU292">
        <v>0</v>
      </c>
      <c r="BV292">
        <v>2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1</v>
      </c>
    </row>
    <row r="293" spans="1:201" x14ac:dyDescent="0.3">
      <c r="A293" t="s">
        <v>295</v>
      </c>
      <c r="B293" t="s">
        <v>299</v>
      </c>
      <c r="C293" t="s">
        <v>200</v>
      </c>
      <c r="D293" s="1">
        <v>5680</v>
      </c>
      <c r="E293" s="1">
        <v>1421</v>
      </c>
      <c r="F293">
        <v>211</v>
      </c>
      <c r="G293">
        <v>832</v>
      </c>
      <c r="H293">
        <v>115</v>
      </c>
      <c r="I293">
        <v>524</v>
      </c>
      <c r="J293">
        <v>208</v>
      </c>
      <c r="K293">
        <v>169</v>
      </c>
      <c r="L293">
        <v>136</v>
      </c>
      <c r="M293">
        <v>172</v>
      </c>
      <c r="N293">
        <v>87</v>
      </c>
      <c r="O293">
        <v>169</v>
      </c>
      <c r="P293">
        <v>93</v>
      </c>
      <c r="Q293">
        <v>48</v>
      </c>
      <c r="R293">
        <v>91</v>
      </c>
      <c r="S293">
        <v>108</v>
      </c>
      <c r="T293">
        <v>98</v>
      </c>
      <c r="U293">
        <v>141</v>
      </c>
      <c r="V293">
        <v>161</v>
      </c>
      <c r="W293">
        <v>61</v>
      </c>
      <c r="X293">
        <v>234</v>
      </c>
      <c r="Y293">
        <v>23</v>
      </c>
      <c r="Z293">
        <v>34</v>
      </c>
      <c r="AA293">
        <v>47</v>
      </c>
      <c r="AB293">
        <v>12</v>
      </c>
      <c r="AC293">
        <v>24</v>
      </c>
      <c r="AD293">
        <v>22</v>
      </c>
      <c r="AE293">
        <v>2</v>
      </c>
      <c r="AF293">
        <v>18</v>
      </c>
      <c r="AG293">
        <v>44</v>
      </c>
      <c r="AH293">
        <v>13</v>
      </c>
      <c r="AI293">
        <v>28</v>
      </c>
      <c r="AJ293">
        <v>0</v>
      </c>
      <c r="AK293">
        <v>39</v>
      </c>
      <c r="AL293">
        <v>19</v>
      </c>
      <c r="AM293">
        <v>3</v>
      </c>
      <c r="AN293">
        <v>8</v>
      </c>
      <c r="AO293">
        <v>3</v>
      </c>
      <c r="AP293">
        <v>10</v>
      </c>
      <c r="AQ293">
        <v>9</v>
      </c>
      <c r="AR293">
        <v>8</v>
      </c>
      <c r="AS293">
        <v>7</v>
      </c>
      <c r="AT293">
        <v>4</v>
      </c>
      <c r="AU293">
        <v>24</v>
      </c>
      <c r="AV293">
        <v>12</v>
      </c>
      <c r="AW293">
        <v>7</v>
      </c>
      <c r="AX293">
        <v>2</v>
      </c>
      <c r="AY293">
        <v>9</v>
      </c>
      <c r="AZ293">
        <v>5</v>
      </c>
      <c r="BA293">
        <v>1</v>
      </c>
      <c r="BB293">
        <v>0</v>
      </c>
      <c r="BC293">
        <v>1</v>
      </c>
      <c r="BD293">
        <v>1</v>
      </c>
      <c r="BE293">
        <v>22</v>
      </c>
      <c r="BF293">
        <v>2</v>
      </c>
      <c r="BG293">
        <v>0</v>
      </c>
      <c r="BH293">
        <v>1</v>
      </c>
      <c r="BI293">
        <v>4</v>
      </c>
      <c r="BJ293">
        <v>1</v>
      </c>
      <c r="BK293">
        <v>0</v>
      </c>
      <c r="BL293">
        <v>53</v>
      </c>
      <c r="BM293">
        <v>4</v>
      </c>
      <c r="BN293">
        <v>2</v>
      </c>
      <c r="BO293">
        <v>0</v>
      </c>
      <c r="BP293">
        <v>6</v>
      </c>
      <c r="BQ293">
        <v>2</v>
      </c>
      <c r="BR293">
        <v>0</v>
      </c>
      <c r="BS293">
        <v>2</v>
      </c>
      <c r="BT293">
        <v>0</v>
      </c>
      <c r="BU293">
        <v>2</v>
      </c>
      <c r="BV293">
        <v>1</v>
      </c>
      <c r="BW293">
        <v>3</v>
      </c>
      <c r="BX293">
        <v>3</v>
      </c>
      <c r="BY293">
        <v>0</v>
      </c>
      <c r="BZ293">
        <v>1</v>
      </c>
      <c r="CA293">
        <v>1</v>
      </c>
      <c r="CB293">
        <v>4</v>
      </c>
      <c r="CC293">
        <v>3</v>
      </c>
      <c r="CD293">
        <v>0</v>
      </c>
      <c r="CE293">
        <v>1</v>
      </c>
      <c r="CF293">
        <v>0</v>
      </c>
      <c r="CG293">
        <v>2</v>
      </c>
      <c r="CH293">
        <v>1</v>
      </c>
      <c r="CI293">
        <v>1</v>
      </c>
      <c r="CJ293">
        <v>1</v>
      </c>
      <c r="CK293">
        <v>0</v>
      </c>
      <c r="CL293">
        <v>1</v>
      </c>
      <c r="CM293">
        <v>1</v>
      </c>
      <c r="CN293">
        <v>0</v>
      </c>
      <c r="CO293">
        <v>0</v>
      </c>
      <c r="CP293">
        <v>0</v>
      </c>
      <c r="CQ293">
        <v>3</v>
      </c>
      <c r="CR293">
        <v>3</v>
      </c>
      <c r="CS293">
        <v>1</v>
      </c>
      <c r="CT293">
        <v>3</v>
      </c>
      <c r="CU293">
        <v>0</v>
      </c>
      <c r="CV293">
        <v>0</v>
      </c>
      <c r="CW293">
        <v>0</v>
      </c>
      <c r="CX293">
        <v>1</v>
      </c>
      <c r="CY293">
        <v>0</v>
      </c>
      <c r="CZ293">
        <v>4</v>
      </c>
      <c r="DA293">
        <v>0</v>
      </c>
      <c r="DB293">
        <v>0</v>
      </c>
      <c r="DC293">
        <v>1</v>
      </c>
      <c r="DD293">
        <v>2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3</v>
      </c>
      <c r="DK293">
        <v>3</v>
      </c>
      <c r="DL293">
        <v>1</v>
      </c>
      <c r="DM293">
        <v>0</v>
      </c>
      <c r="DN293">
        <v>0</v>
      </c>
      <c r="DO293">
        <v>0</v>
      </c>
      <c r="DP293">
        <v>1</v>
      </c>
      <c r="DQ293">
        <v>1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1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1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1</v>
      </c>
      <c r="FD293">
        <v>0</v>
      </c>
      <c r="FE293">
        <v>1</v>
      </c>
      <c r="FF293">
        <v>1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</row>
    <row r="294" spans="1:201" x14ac:dyDescent="0.3">
      <c r="A294" t="s">
        <v>295</v>
      </c>
      <c r="B294" t="s">
        <v>299</v>
      </c>
      <c r="C294" t="s">
        <v>203</v>
      </c>
      <c r="D294" s="1">
        <v>2907</v>
      </c>
      <c r="E294">
        <v>607</v>
      </c>
      <c r="F294">
        <v>107</v>
      </c>
      <c r="G294">
        <v>359</v>
      </c>
      <c r="H294">
        <v>86</v>
      </c>
      <c r="I294">
        <v>384</v>
      </c>
      <c r="J294">
        <v>103</v>
      </c>
      <c r="K294">
        <v>125</v>
      </c>
      <c r="L294">
        <v>112</v>
      </c>
      <c r="M294">
        <v>60</v>
      </c>
      <c r="N294">
        <v>24</v>
      </c>
      <c r="O294">
        <v>69</v>
      </c>
      <c r="P294">
        <v>46</v>
      </c>
      <c r="Q294">
        <v>35</v>
      </c>
      <c r="R294">
        <v>62</v>
      </c>
      <c r="S294">
        <v>12</v>
      </c>
      <c r="T294">
        <v>45</v>
      </c>
      <c r="U294">
        <v>87</v>
      </c>
      <c r="V294">
        <v>96</v>
      </c>
      <c r="W294">
        <v>34</v>
      </c>
      <c r="X294">
        <v>132</v>
      </c>
      <c r="Y294">
        <v>4</v>
      </c>
      <c r="Z294">
        <v>22</v>
      </c>
      <c r="AA294">
        <v>20</v>
      </c>
      <c r="AB294">
        <v>5</v>
      </c>
      <c r="AC294">
        <v>12</v>
      </c>
      <c r="AD294">
        <v>7</v>
      </c>
      <c r="AE294">
        <v>1</v>
      </c>
      <c r="AF294">
        <v>11</v>
      </c>
      <c r="AG294">
        <v>35</v>
      </c>
      <c r="AH294">
        <v>7</v>
      </c>
      <c r="AI294">
        <v>16</v>
      </c>
      <c r="AJ294">
        <v>0</v>
      </c>
      <c r="AK294">
        <v>27</v>
      </c>
      <c r="AL294">
        <v>4</v>
      </c>
      <c r="AM294">
        <v>0</v>
      </c>
      <c r="AN294">
        <v>5</v>
      </c>
      <c r="AO294">
        <v>2</v>
      </c>
      <c r="AP294">
        <v>7</v>
      </c>
      <c r="AQ294">
        <v>5</v>
      </c>
      <c r="AR294">
        <v>5</v>
      </c>
      <c r="AS294">
        <v>4</v>
      </c>
      <c r="AT294">
        <v>1</v>
      </c>
      <c r="AU294">
        <v>11</v>
      </c>
      <c r="AV294">
        <v>11</v>
      </c>
      <c r="AW294">
        <v>2</v>
      </c>
      <c r="AX294">
        <v>2</v>
      </c>
      <c r="AY294">
        <v>4</v>
      </c>
      <c r="AZ294">
        <v>2</v>
      </c>
      <c r="BA294">
        <v>1</v>
      </c>
      <c r="BB294">
        <v>0</v>
      </c>
      <c r="BC294">
        <v>0</v>
      </c>
      <c r="BD294">
        <v>0</v>
      </c>
      <c r="BE294">
        <v>13</v>
      </c>
      <c r="BF294">
        <v>1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41</v>
      </c>
      <c r="BM294">
        <v>2</v>
      </c>
      <c r="BN294">
        <v>1</v>
      </c>
      <c r="BO294">
        <v>0</v>
      </c>
      <c r="BP294">
        <v>2</v>
      </c>
      <c r="BQ294">
        <v>2</v>
      </c>
      <c r="BR294">
        <v>0</v>
      </c>
      <c r="BS294">
        <v>2</v>
      </c>
      <c r="BT294">
        <v>0</v>
      </c>
      <c r="BU294">
        <v>0</v>
      </c>
      <c r="BV294">
        <v>0</v>
      </c>
      <c r="BW294">
        <v>1</v>
      </c>
      <c r="BX294">
        <v>3</v>
      </c>
      <c r="BY294">
        <v>0</v>
      </c>
      <c r="BZ294">
        <v>0</v>
      </c>
      <c r="CA294">
        <v>1</v>
      </c>
      <c r="CB294">
        <v>0</v>
      </c>
      <c r="CC294">
        <v>2</v>
      </c>
      <c r="CD294">
        <v>0</v>
      </c>
      <c r="CE294">
        <v>1</v>
      </c>
      <c r="CF294">
        <v>0</v>
      </c>
      <c r="CG294">
        <v>1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3</v>
      </c>
      <c r="CS294">
        <v>0</v>
      </c>
      <c r="CT294">
        <v>2</v>
      </c>
      <c r="CU294">
        <v>0</v>
      </c>
      <c r="CV294">
        <v>0</v>
      </c>
      <c r="CW294">
        <v>0</v>
      </c>
      <c r="CX294">
        <v>1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2</v>
      </c>
      <c r="DE294">
        <v>1</v>
      </c>
      <c r="DF294">
        <v>0</v>
      </c>
      <c r="DG294">
        <v>0</v>
      </c>
      <c r="DH294">
        <v>0</v>
      </c>
      <c r="DI294">
        <v>0</v>
      </c>
      <c r="DJ294">
        <v>1</v>
      </c>
      <c r="DK294">
        <v>1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1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1</v>
      </c>
      <c r="FD294">
        <v>0</v>
      </c>
      <c r="FE294">
        <v>0</v>
      </c>
      <c r="FF294">
        <v>1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</row>
    <row r="295" spans="1:201" x14ac:dyDescent="0.3">
      <c r="A295" t="s">
        <v>295</v>
      </c>
      <c r="B295" t="s">
        <v>299</v>
      </c>
      <c r="C295" t="s">
        <v>204</v>
      </c>
      <c r="D295" s="1">
        <v>2773</v>
      </c>
      <c r="E295">
        <v>814</v>
      </c>
      <c r="F295">
        <v>104</v>
      </c>
      <c r="G295">
        <v>473</v>
      </c>
      <c r="H295">
        <v>29</v>
      </c>
      <c r="I295">
        <v>140</v>
      </c>
      <c r="J295">
        <v>105</v>
      </c>
      <c r="K295">
        <v>44</v>
      </c>
      <c r="L295">
        <v>24</v>
      </c>
      <c r="M295">
        <v>112</v>
      </c>
      <c r="N295">
        <v>63</v>
      </c>
      <c r="O295">
        <v>100</v>
      </c>
      <c r="P295">
        <v>47</v>
      </c>
      <c r="Q295">
        <v>13</v>
      </c>
      <c r="R295">
        <v>29</v>
      </c>
      <c r="S295">
        <v>96</v>
      </c>
      <c r="T295">
        <v>53</v>
      </c>
      <c r="U295">
        <v>54</v>
      </c>
      <c r="V295">
        <v>65</v>
      </c>
      <c r="W295">
        <v>27</v>
      </c>
      <c r="X295">
        <v>102</v>
      </c>
      <c r="Y295">
        <v>19</v>
      </c>
      <c r="Z295">
        <v>12</v>
      </c>
      <c r="AA295">
        <v>27</v>
      </c>
      <c r="AB295">
        <v>7</v>
      </c>
      <c r="AC295">
        <v>12</v>
      </c>
      <c r="AD295">
        <v>15</v>
      </c>
      <c r="AE295">
        <v>1</v>
      </c>
      <c r="AF295">
        <v>7</v>
      </c>
      <c r="AG295">
        <v>9</v>
      </c>
      <c r="AH295">
        <v>6</v>
      </c>
      <c r="AI295">
        <v>12</v>
      </c>
      <c r="AJ295">
        <v>0</v>
      </c>
      <c r="AK295">
        <v>12</v>
      </c>
      <c r="AL295">
        <v>15</v>
      </c>
      <c r="AM295">
        <v>3</v>
      </c>
      <c r="AN295">
        <v>3</v>
      </c>
      <c r="AO295">
        <v>1</v>
      </c>
      <c r="AP295">
        <v>3</v>
      </c>
      <c r="AQ295">
        <v>4</v>
      </c>
      <c r="AR295">
        <v>3</v>
      </c>
      <c r="AS295">
        <v>3</v>
      </c>
      <c r="AT295">
        <v>3</v>
      </c>
      <c r="AU295">
        <v>13</v>
      </c>
      <c r="AV295">
        <v>1</v>
      </c>
      <c r="AW295">
        <v>5</v>
      </c>
      <c r="AX295">
        <v>0</v>
      </c>
      <c r="AY295">
        <v>5</v>
      </c>
      <c r="AZ295">
        <v>3</v>
      </c>
      <c r="BA295">
        <v>0</v>
      </c>
      <c r="BB295">
        <v>0</v>
      </c>
      <c r="BC295">
        <v>1</v>
      </c>
      <c r="BD295">
        <v>1</v>
      </c>
      <c r="BE295">
        <v>9</v>
      </c>
      <c r="BF295">
        <v>1</v>
      </c>
      <c r="BG295">
        <v>0</v>
      </c>
      <c r="BH295">
        <v>1</v>
      </c>
      <c r="BI295">
        <v>3</v>
      </c>
      <c r="BJ295">
        <v>1</v>
      </c>
      <c r="BK295">
        <v>0</v>
      </c>
      <c r="BL295">
        <v>12</v>
      </c>
      <c r="BM295">
        <v>2</v>
      </c>
      <c r="BN295">
        <v>1</v>
      </c>
      <c r="BO295">
        <v>0</v>
      </c>
      <c r="BP295">
        <v>4</v>
      </c>
      <c r="BQ295">
        <v>0</v>
      </c>
      <c r="BR295">
        <v>0</v>
      </c>
      <c r="BS295">
        <v>0</v>
      </c>
      <c r="BT295">
        <v>0</v>
      </c>
      <c r="BU295">
        <v>2</v>
      </c>
      <c r="BV295">
        <v>1</v>
      </c>
      <c r="BW295">
        <v>2</v>
      </c>
      <c r="BX295">
        <v>0</v>
      </c>
      <c r="BY295">
        <v>0</v>
      </c>
      <c r="BZ295">
        <v>1</v>
      </c>
      <c r="CA295">
        <v>0</v>
      </c>
      <c r="CB295">
        <v>4</v>
      </c>
      <c r="CC295">
        <v>1</v>
      </c>
      <c r="CD295">
        <v>0</v>
      </c>
      <c r="CE295">
        <v>0</v>
      </c>
      <c r="CF295">
        <v>0</v>
      </c>
      <c r="CG295">
        <v>1</v>
      </c>
      <c r="CH295">
        <v>1</v>
      </c>
      <c r="CI295">
        <v>1</v>
      </c>
      <c r="CJ295">
        <v>1</v>
      </c>
      <c r="CK295">
        <v>0</v>
      </c>
      <c r="CL295">
        <v>1</v>
      </c>
      <c r="CM295">
        <v>1</v>
      </c>
      <c r="CN295">
        <v>0</v>
      </c>
      <c r="CO295">
        <v>0</v>
      </c>
      <c r="CP295">
        <v>0</v>
      </c>
      <c r="CQ295">
        <v>3</v>
      </c>
      <c r="CR295">
        <v>0</v>
      </c>
      <c r="CS295">
        <v>1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4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1</v>
      </c>
      <c r="DH295">
        <v>1</v>
      </c>
      <c r="DI295">
        <v>1</v>
      </c>
      <c r="DJ295">
        <v>2</v>
      </c>
      <c r="DK295">
        <v>2</v>
      </c>
      <c r="DL295">
        <v>1</v>
      </c>
      <c r="DM295">
        <v>0</v>
      </c>
      <c r="DN295">
        <v>0</v>
      </c>
      <c r="DO295">
        <v>0</v>
      </c>
      <c r="DP295">
        <v>1</v>
      </c>
      <c r="DQ295">
        <v>1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1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1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</row>
    <row r="296" spans="1:201" x14ac:dyDescent="0.3">
      <c r="A296" t="s">
        <v>295</v>
      </c>
      <c r="B296" t="s">
        <v>300</v>
      </c>
      <c r="C296" t="s">
        <v>200</v>
      </c>
      <c r="D296" s="1">
        <v>2916</v>
      </c>
      <c r="E296">
        <v>997</v>
      </c>
      <c r="F296">
        <v>130</v>
      </c>
      <c r="G296">
        <v>413</v>
      </c>
      <c r="H296">
        <v>147</v>
      </c>
      <c r="I296">
        <v>96</v>
      </c>
      <c r="J296">
        <v>137</v>
      </c>
      <c r="K296">
        <v>28</v>
      </c>
      <c r="L296">
        <v>180</v>
      </c>
      <c r="M296">
        <v>62</v>
      </c>
      <c r="N296">
        <v>82</v>
      </c>
      <c r="O296">
        <v>95</v>
      </c>
      <c r="P296">
        <v>60</v>
      </c>
      <c r="Q296">
        <v>41</v>
      </c>
      <c r="R296">
        <v>8</v>
      </c>
      <c r="S296">
        <v>49</v>
      </c>
      <c r="T296">
        <v>79</v>
      </c>
      <c r="U296">
        <v>26</v>
      </c>
      <c r="V296">
        <v>10</v>
      </c>
      <c r="W296">
        <v>39</v>
      </c>
      <c r="X296">
        <v>8</v>
      </c>
      <c r="Y296">
        <v>6</v>
      </c>
      <c r="Z296">
        <v>13</v>
      </c>
      <c r="AA296">
        <v>2</v>
      </c>
      <c r="AB296">
        <v>0</v>
      </c>
      <c r="AC296">
        <v>12</v>
      </c>
      <c r="AD296">
        <v>50</v>
      </c>
      <c r="AE296">
        <v>0</v>
      </c>
      <c r="AF296">
        <v>10</v>
      </c>
      <c r="AG296">
        <v>34</v>
      </c>
      <c r="AH296">
        <v>1</v>
      </c>
      <c r="AI296">
        <v>4</v>
      </c>
      <c r="AJ296">
        <v>0</v>
      </c>
      <c r="AK296">
        <v>11</v>
      </c>
      <c r="AL296">
        <v>1</v>
      </c>
      <c r="AM296">
        <v>1</v>
      </c>
      <c r="AN296">
        <v>3</v>
      </c>
      <c r="AO296">
        <v>7</v>
      </c>
      <c r="AP296">
        <v>14</v>
      </c>
      <c r="AQ296">
        <v>1</v>
      </c>
      <c r="AR296">
        <v>0</v>
      </c>
      <c r="AS296">
        <v>7</v>
      </c>
      <c r="AT296">
        <v>1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1</v>
      </c>
      <c r="BF296">
        <v>0</v>
      </c>
      <c r="BG296">
        <v>1</v>
      </c>
      <c r="BH296">
        <v>0</v>
      </c>
      <c r="BI296">
        <v>2</v>
      </c>
      <c r="BJ296">
        <v>0</v>
      </c>
      <c r="BK296">
        <v>0</v>
      </c>
      <c r="BL296">
        <v>2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2</v>
      </c>
      <c r="BT296">
        <v>23</v>
      </c>
      <c r="BU296">
        <v>1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6</v>
      </c>
      <c r="CC296">
        <v>2</v>
      </c>
      <c r="CD296">
        <v>0</v>
      </c>
      <c r="CE296">
        <v>1</v>
      </c>
      <c r="CF296">
        <v>0</v>
      </c>
      <c r="CG296">
        <v>1</v>
      </c>
      <c r="CH296">
        <v>0</v>
      </c>
      <c r="CI296">
        <v>0</v>
      </c>
      <c r="CJ296">
        <v>1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1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1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1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</row>
    <row r="297" spans="1:201" x14ac:dyDescent="0.3">
      <c r="A297" t="s">
        <v>295</v>
      </c>
      <c r="B297" t="s">
        <v>300</v>
      </c>
      <c r="C297" t="s">
        <v>203</v>
      </c>
      <c r="D297" s="1">
        <v>1529</v>
      </c>
      <c r="E297">
        <v>407</v>
      </c>
      <c r="F297">
        <v>76</v>
      </c>
      <c r="G297">
        <v>157</v>
      </c>
      <c r="H297">
        <v>93</v>
      </c>
      <c r="I297">
        <v>74</v>
      </c>
      <c r="J297">
        <v>103</v>
      </c>
      <c r="K297">
        <v>25</v>
      </c>
      <c r="L297">
        <v>169</v>
      </c>
      <c r="M297">
        <v>21</v>
      </c>
      <c r="N297">
        <v>43</v>
      </c>
      <c r="O297">
        <v>43</v>
      </c>
      <c r="P297">
        <v>30</v>
      </c>
      <c r="Q297">
        <v>30</v>
      </c>
      <c r="R297">
        <v>6</v>
      </c>
      <c r="S297">
        <v>4</v>
      </c>
      <c r="T297">
        <v>52</v>
      </c>
      <c r="U297">
        <v>16</v>
      </c>
      <c r="V297">
        <v>9</v>
      </c>
      <c r="W297">
        <v>22</v>
      </c>
      <c r="X297">
        <v>3</v>
      </c>
      <c r="Y297">
        <v>0</v>
      </c>
      <c r="Z297">
        <v>12</v>
      </c>
      <c r="AA297">
        <v>1</v>
      </c>
      <c r="AB297">
        <v>0</v>
      </c>
      <c r="AC297">
        <v>8</v>
      </c>
      <c r="AD297">
        <v>13</v>
      </c>
      <c r="AE297">
        <v>0</v>
      </c>
      <c r="AF297">
        <v>6</v>
      </c>
      <c r="AG297">
        <v>33</v>
      </c>
      <c r="AH297">
        <v>1</v>
      </c>
      <c r="AI297">
        <v>4</v>
      </c>
      <c r="AJ297">
        <v>0</v>
      </c>
      <c r="AK297">
        <v>7</v>
      </c>
      <c r="AL297">
        <v>0</v>
      </c>
      <c r="AM297">
        <v>0</v>
      </c>
      <c r="AN297">
        <v>3</v>
      </c>
      <c r="AO297">
        <v>7</v>
      </c>
      <c r="AP297">
        <v>14</v>
      </c>
      <c r="AQ297">
        <v>0</v>
      </c>
      <c r="AR297">
        <v>0</v>
      </c>
      <c r="AS297">
        <v>4</v>
      </c>
      <c r="AT297">
        <v>1</v>
      </c>
      <c r="AU297">
        <v>0</v>
      </c>
      <c r="AV297">
        <v>1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1</v>
      </c>
      <c r="BH297">
        <v>0</v>
      </c>
      <c r="BI297">
        <v>1</v>
      </c>
      <c r="BJ297">
        <v>0</v>
      </c>
      <c r="BK297">
        <v>0</v>
      </c>
      <c r="BL297">
        <v>1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2</v>
      </c>
      <c r="BT297">
        <v>17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0</v>
      </c>
      <c r="CB297">
        <v>4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1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</row>
    <row r="298" spans="1:201" x14ac:dyDescent="0.3">
      <c r="A298" t="s">
        <v>295</v>
      </c>
      <c r="B298" t="s">
        <v>300</v>
      </c>
      <c r="C298" t="s">
        <v>204</v>
      </c>
      <c r="D298" s="1">
        <v>1387</v>
      </c>
      <c r="E298">
        <v>590</v>
      </c>
      <c r="F298">
        <v>54</v>
      </c>
      <c r="G298">
        <v>256</v>
      </c>
      <c r="H298">
        <v>54</v>
      </c>
      <c r="I298">
        <v>22</v>
      </c>
      <c r="J298">
        <v>34</v>
      </c>
      <c r="K298">
        <v>3</v>
      </c>
      <c r="L298">
        <v>11</v>
      </c>
      <c r="M298">
        <v>41</v>
      </c>
      <c r="N298">
        <v>39</v>
      </c>
      <c r="O298">
        <v>52</v>
      </c>
      <c r="P298">
        <v>30</v>
      </c>
      <c r="Q298">
        <v>11</v>
      </c>
      <c r="R298">
        <v>2</v>
      </c>
      <c r="S298">
        <v>45</v>
      </c>
      <c r="T298">
        <v>27</v>
      </c>
      <c r="U298">
        <v>10</v>
      </c>
      <c r="V298">
        <v>1</v>
      </c>
      <c r="W298">
        <v>17</v>
      </c>
      <c r="X298">
        <v>5</v>
      </c>
      <c r="Y298">
        <v>6</v>
      </c>
      <c r="Z298">
        <v>1</v>
      </c>
      <c r="AA298">
        <v>1</v>
      </c>
      <c r="AB298">
        <v>0</v>
      </c>
      <c r="AC298">
        <v>4</v>
      </c>
      <c r="AD298">
        <v>37</v>
      </c>
      <c r="AE298">
        <v>0</v>
      </c>
      <c r="AF298">
        <v>4</v>
      </c>
      <c r="AG298">
        <v>1</v>
      </c>
      <c r="AH298">
        <v>0</v>
      </c>
      <c r="AI298">
        <v>0</v>
      </c>
      <c r="AJ298">
        <v>0</v>
      </c>
      <c r="AK298">
        <v>4</v>
      </c>
      <c r="AL298">
        <v>1</v>
      </c>
      <c r="AM298">
        <v>1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3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6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2</v>
      </c>
      <c r="CC298">
        <v>1</v>
      </c>
      <c r="CD298">
        <v>0</v>
      </c>
      <c r="CE298">
        <v>1</v>
      </c>
      <c r="CF298">
        <v>0</v>
      </c>
      <c r="CG298">
        <v>1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1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1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1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</row>
    <row r="299" spans="1:201" x14ac:dyDescent="0.3">
      <c r="A299" t="s">
        <v>301</v>
      </c>
      <c r="B299" t="s">
        <v>200</v>
      </c>
      <c r="C299" t="s">
        <v>200</v>
      </c>
      <c r="D299" s="1">
        <v>40024</v>
      </c>
      <c r="E299" s="1">
        <v>12312</v>
      </c>
      <c r="F299" s="1">
        <v>1448</v>
      </c>
      <c r="G299" s="1">
        <v>4095</v>
      </c>
      <c r="H299" s="1">
        <v>1239</v>
      </c>
      <c r="I299" s="1">
        <v>1751</v>
      </c>
      <c r="J299" s="1">
        <v>1301</v>
      </c>
      <c r="K299" s="1">
        <v>2126</v>
      </c>
      <c r="L299" s="1">
        <v>1284</v>
      </c>
      <c r="M299" s="1">
        <v>1749</v>
      </c>
      <c r="N299">
        <v>834</v>
      </c>
      <c r="O299" s="1">
        <v>1470</v>
      </c>
      <c r="P299" s="1">
        <v>1738</v>
      </c>
      <c r="Q299" s="1">
        <v>1505</v>
      </c>
      <c r="R299">
        <v>783</v>
      </c>
      <c r="S299">
        <v>700</v>
      </c>
      <c r="T299">
        <v>439</v>
      </c>
      <c r="U299">
        <v>347</v>
      </c>
      <c r="V299" s="1">
        <v>1149</v>
      </c>
      <c r="W299">
        <v>497</v>
      </c>
      <c r="X299">
        <v>423</v>
      </c>
      <c r="Y299">
        <v>127</v>
      </c>
      <c r="Z299">
        <v>262</v>
      </c>
      <c r="AA299">
        <v>215</v>
      </c>
      <c r="AB299">
        <v>37</v>
      </c>
      <c r="AC299">
        <v>144</v>
      </c>
      <c r="AD299">
        <v>254</v>
      </c>
      <c r="AE299">
        <v>25</v>
      </c>
      <c r="AF299">
        <v>133</v>
      </c>
      <c r="AG299">
        <v>98</v>
      </c>
      <c r="AH299">
        <v>63</v>
      </c>
      <c r="AI299">
        <v>86</v>
      </c>
      <c r="AJ299">
        <v>83</v>
      </c>
      <c r="AK299">
        <v>117</v>
      </c>
      <c r="AL299">
        <v>69</v>
      </c>
      <c r="AM299">
        <v>17</v>
      </c>
      <c r="AN299">
        <v>35</v>
      </c>
      <c r="AO299">
        <v>100</v>
      </c>
      <c r="AP299">
        <v>32</v>
      </c>
      <c r="AQ299">
        <v>35</v>
      </c>
      <c r="AR299">
        <v>38</v>
      </c>
      <c r="AS299">
        <v>41</v>
      </c>
      <c r="AT299">
        <v>25</v>
      </c>
      <c r="AU299">
        <v>28</v>
      </c>
      <c r="AV299">
        <v>57</v>
      </c>
      <c r="AW299">
        <v>25</v>
      </c>
      <c r="AX299">
        <v>4</v>
      </c>
      <c r="AY299">
        <v>43</v>
      </c>
      <c r="AZ299">
        <v>9</v>
      </c>
      <c r="BA299">
        <v>8</v>
      </c>
      <c r="BB299">
        <v>0</v>
      </c>
      <c r="BC299">
        <v>8</v>
      </c>
      <c r="BD299">
        <v>0</v>
      </c>
      <c r="BE299">
        <v>15</v>
      </c>
      <c r="BF299">
        <v>8</v>
      </c>
      <c r="BG299">
        <v>23</v>
      </c>
      <c r="BH299">
        <v>42</v>
      </c>
      <c r="BI299">
        <v>13</v>
      </c>
      <c r="BJ299">
        <v>12</v>
      </c>
      <c r="BK299">
        <v>2</v>
      </c>
      <c r="BL299">
        <v>16</v>
      </c>
      <c r="BM299">
        <v>12</v>
      </c>
      <c r="BN299">
        <v>15</v>
      </c>
      <c r="BO299">
        <v>4</v>
      </c>
      <c r="BP299">
        <v>31</v>
      </c>
      <c r="BQ299">
        <v>20</v>
      </c>
      <c r="BR299">
        <v>7</v>
      </c>
      <c r="BS299">
        <v>34</v>
      </c>
      <c r="BT299">
        <v>1</v>
      </c>
      <c r="BU299">
        <v>6</v>
      </c>
      <c r="BV299">
        <v>20</v>
      </c>
      <c r="BW299">
        <v>3</v>
      </c>
      <c r="BX299">
        <v>21</v>
      </c>
      <c r="BY299">
        <v>17</v>
      </c>
      <c r="BZ299">
        <v>12</v>
      </c>
      <c r="CA299">
        <v>0</v>
      </c>
      <c r="CB299">
        <v>4</v>
      </c>
      <c r="CC299">
        <v>10</v>
      </c>
      <c r="CD299">
        <v>9</v>
      </c>
      <c r="CE299">
        <v>7</v>
      </c>
      <c r="CF299">
        <v>2</v>
      </c>
      <c r="CG299">
        <v>7</v>
      </c>
      <c r="CH299">
        <v>9</v>
      </c>
      <c r="CI299">
        <v>11</v>
      </c>
      <c r="CJ299">
        <v>3</v>
      </c>
      <c r="CK299">
        <v>6</v>
      </c>
      <c r="CL299">
        <v>2</v>
      </c>
      <c r="CM299">
        <v>49</v>
      </c>
      <c r="CN299">
        <v>1</v>
      </c>
      <c r="CO299">
        <v>13</v>
      </c>
      <c r="CP299">
        <v>4</v>
      </c>
      <c r="CQ299">
        <v>1</v>
      </c>
      <c r="CR299">
        <v>2</v>
      </c>
      <c r="CS299">
        <v>7</v>
      </c>
      <c r="CT299">
        <v>3</v>
      </c>
      <c r="CU299">
        <v>5</v>
      </c>
      <c r="CV299">
        <v>3</v>
      </c>
      <c r="CW299">
        <v>3</v>
      </c>
      <c r="CX299">
        <v>0</v>
      </c>
      <c r="CY299">
        <v>0</v>
      </c>
      <c r="CZ299">
        <v>3</v>
      </c>
      <c r="DA299">
        <v>4</v>
      </c>
      <c r="DB299">
        <v>2</v>
      </c>
      <c r="DC299">
        <v>0</v>
      </c>
      <c r="DD299">
        <v>7</v>
      </c>
      <c r="DE299">
        <v>2</v>
      </c>
      <c r="DF299">
        <v>1</v>
      </c>
      <c r="DG299">
        <v>1</v>
      </c>
      <c r="DH299">
        <v>20</v>
      </c>
      <c r="DI299">
        <v>1</v>
      </c>
      <c r="DJ299">
        <v>0</v>
      </c>
      <c r="DK299">
        <v>0</v>
      </c>
      <c r="DL299">
        <v>6</v>
      </c>
      <c r="DM299">
        <v>5</v>
      </c>
      <c r="DN299">
        <v>2</v>
      </c>
      <c r="DO299">
        <v>7</v>
      </c>
      <c r="DP299">
        <v>6</v>
      </c>
      <c r="DQ299">
        <v>2</v>
      </c>
      <c r="DR299">
        <v>1</v>
      </c>
      <c r="DS299">
        <v>1</v>
      </c>
      <c r="DT299">
        <v>1</v>
      </c>
      <c r="DU299">
        <v>1</v>
      </c>
      <c r="DV299">
        <v>5</v>
      </c>
      <c r="DW299">
        <v>0</v>
      </c>
      <c r="DX299">
        <v>1</v>
      </c>
      <c r="DY299">
        <v>1</v>
      </c>
      <c r="DZ299">
        <v>2</v>
      </c>
      <c r="EA299">
        <v>2</v>
      </c>
      <c r="EB299">
        <v>1</v>
      </c>
      <c r="EC299">
        <v>1</v>
      </c>
      <c r="ED299">
        <v>1</v>
      </c>
      <c r="EE299">
        <v>1</v>
      </c>
      <c r="EF299">
        <v>1</v>
      </c>
      <c r="EG299">
        <v>2</v>
      </c>
      <c r="EH299">
        <v>0</v>
      </c>
      <c r="EI299">
        <v>0</v>
      </c>
      <c r="EJ299">
        <v>4</v>
      </c>
      <c r="EK299">
        <v>0</v>
      </c>
      <c r="EL299">
        <v>0</v>
      </c>
      <c r="EM299">
        <v>2</v>
      </c>
      <c r="EN299">
        <v>0</v>
      </c>
      <c r="EO299">
        <v>2</v>
      </c>
      <c r="EP299">
        <v>0</v>
      </c>
      <c r="EQ299">
        <v>2</v>
      </c>
      <c r="ER299">
        <v>1</v>
      </c>
      <c r="ES299">
        <v>1</v>
      </c>
      <c r="ET299">
        <v>2</v>
      </c>
      <c r="EU299">
        <v>3</v>
      </c>
      <c r="EV299">
        <v>2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3</v>
      </c>
      <c r="FD299">
        <v>1</v>
      </c>
      <c r="FE299">
        <v>0</v>
      </c>
      <c r="FF299">
        <v>0</v>
      </c>
      <c r="FG299">
        <v>0</v>
      </c>
      <c r="FH299">
        <v>0</v>
      </c>
      <c r="FI299">
        <v>1</v>
      </c>
      <c r="FJ299">
        <v>1</v>
      </c>
      <c r="FK299">
        <v>0</v>
      </c>
      <c r="FL299">
        <v>0</v>
      </c>
      <c r="FM299">
        <v>1</v>
      </c>
      <c r="FN299">
        <v>0</v>
      </c>
      <c r="FO299">
        <v>0</v>
      </c>
      <c r="FP299">
        <v>0</v>
      </c>
      <c r="FQ299">
        <v>1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3</v>
      </c>
    </row>
    <row r="300" spans="1:201" x14ac:dyDescent="0.3">
      <c r="A300" t="s">
        <v>301</v>
      </c>
      <c r="B300" t="s">
        <v>200</v>
      </c>
      <c r="C300" t="s">
        <v>203</v>
      </c>
      <c r="D300" s="1">
        <f>D303+D306+D309+D312+D315+D318+D321+D324+D327</f>
        <v>21700</v>
      </c>
      <c r="E300" s="1">
        <f t="shared" ref="E300:BP300" si="40">E303+E306+E309+E312+E315+E318+E321+E324+E327</f>
        <v>5682</v>
      </c>
      <c r="F300" s="1">
        <f t="shared" si="40"/>
        <v>823</v>
      </c>
      <c r="G300" s="1">
        <f t="shared" si="40"/>
        <v>1607</v>
      </c>
      <c r="H300" s="1">
        <f t="shared" si="40"/>
        <v>1010</v>
      </c>
      <c r="I300" s="1">
        <f t="shared" si="40"/>
        <v>1173</v>
      </c>
      <c r="J300" s="1">
        <f t="shared" si="40"/>
        <v>855</v>
      </c>
      <c r="K300" s="1">
        <f t="shared" si="40"/>
        <v>1879</v>
      </c>
      <c r="L300" s="1">
        <f t="shared" si="40"/>
        <v>854</v>
      </c>
      <c r="M300" s="1">
        <f t="shared" si="40"/>
        <v>799</v>
      </c>
      <c r="N300" s="1">
        <f t="shared" si="40"/>
        <v>274</v>
      </c>
      <c r="O300" s="1">
        <f t="shared" si="40"/>
        <v>684</v>
      </c>
      <c r="P300" s="1">
        <f t="shared" si="40"/>
        <v>960</v>
      </c>
      <c r="Q300" s="1">
        <f t="shared" si="40"/>
        <v>1209</v>
      </c>
      <c r="R300" s="1">
        <f t="shared" si="40"/>
        <v>581</v>
      </c>
      <c r="S300" s="1">
        <f t="shared" si="40"/>
        <v>76</v>
      </c>
      <c r="T300" s="1">
        <f t="shared" si="40"/>
        <v>168</v>
      </c>
      <c r="U300" s="1">
        <f t="shared" si="40"/>
        <v>166</v>
      </c>
      <c r="V300" s="1">
        <f t="shared" si="40"/>
        <v>926</v>
      </c>
      <c r="W300" s="1">
        <f t="shared" si="40"/>
        <v>234</v>
      </c>
      <c r="X300" s="1">
        <f t="shared" si="40"/>
        <v>276</v>
      </c>
      <c r="Y300" s="1">
        <f t="shared" si="40"/>
        <v>44</v>
      </c>
      <c r="Z300" s="1">
        <f t="shared" si="40"/>
        <v>130</v>
      </c>
      <c r="AA300" s="1">
        <f t="shared" si="40"/>
        <v>158</v>
      </c>
      <c r="AB300" s="1">
        <f t="shared" si="40"/>
        <v>7</v>
      </c>
      <c r="AC300" s="1">
        <f t="shared" si="40"/>
        <v>79</v>
      </c>
      <c r="AD300" s="1">
        <f t="shared" si="40"/>
        <v>72</v>
      </c>
      <c r="AE300" s="1">
        <f t="shared" si="40"/>
        <v>22</v>
      </c>
      <c r="AF300" s="1">
        <f t="shared" si="40"/>
        <v>83</v>
      </c>
      <c r="AG300" s="1">
        <f t="shared" si="40"/>
        <v>55</v>
      </c>
      <c r="AH300" s="1">
        <f t="shared" si="40"/>
        <v>37</v>
      </c>
      <c r="AI300" s="1">
        <f t="shared" si="40"/>
        <v>65</v>
      </c>
      <c r="AJ300" s="1">
        <f t="shared" si="40"/>
        <v>51</v>
      </c>
      <c r="AK300" s="1">
        <f t="shared" si="40"/>
        <v>69</v>
      </c>
      <c r="AL300" s="1">
        <f t="shared" si="40"/>
        <v>15</v>
      </c>
      <c r="AM300" s="1">
        <f t="shared" si="40"/>
        <v>2</v>
      </c>
      <c r="AN300" s="1">
        <f t="shared" si="40"/>
        <v>20</v>
      </c>
      <c r="AO300" s="1">
        <f t="shared" si="40"/>
        <v>63</v>
      </c>
      <c r="AP300" s="1">
        <f t="shared" si="40"/>
        <v>18</v>
      </c>
      <c r="AQ300" s="1">
        <f t="shared" si="40"/>
        <v>7</v>
      </c>
      <c r="AR300" s="1">
        <f t="shared" si="40"/>
        <v>26</v>
      </c>
      <c r="AS300" s="1">
        <f t="shared" si="40"/>
        <v>17</v>
      </c>
      <c r="AT300" s="1">
        <f t="shared" si="40"/>
        <v>9</v>
      </c>
      <c r="AU300" s="1">
        <f t="shared" si="40"/>
        <v>8</v>
      </c>
      <c r="AV300" s="1">
        <f t="shared" si="40"/>
        <v>44</v>
      </c>
      <c r="AW300" s="1">
        <f t="shared" si="40"/>
        <v>9</v>
      </c>
      <c r="AX300" s="1">
        <f t="shared" si="40"/>
        <v>3</v>
      </c>
      <c r="AY300" s="1">
        <f t="shared" si="40"/>
        <v>15</v>
      </c>
      <c r="AZ300" s="1">
        <f t="shared" si="40"/>
        <v>9</v>
      </c>
      <c r="BA300" s="1">
        <f t="shared" si="40"/>
        <v>4</v>
      </c>
      <c r="BB300" s="1">
        <f t="shared" si="40"/>
        <v>0</v>
      </c>
      <c r="BC300" s="1">
        <f t="shared" si="40"/>
        <v>4</v>
      </c>
      <c r="BD300" s="1">
        <f t="shared" si="40"/>
        <v>0</v>
      </c>
      <c r="BE300" s="1">
        <f t="shared" si="40"/>
        <v>10</v>
      </c>
      <c r="BF300" s="1">
        <f t="shared" si="40"/>
        <v>7</v>
      </c>
      <c r="BG300" s="1">
        <f t="shared" si="40"/>
        <v>17</v>
      </c>
      <c r="BH300" s="1">
        <f t="shared" si="40"/>
        <v>14</v>
      </c>
      <c r="BI300" s="1">
        <f t="shared" si="40"/>
        <v>7</v>
      </c>
      <c r="BJ300" s="1">
        <f t="shared" si="40"/>
        <v>5</v>
      </c>
      <c r="BK300" s="1">
        <f t="shared" si="40"/>
        <v>2</v>
      </c>
      <c r="BL300" s="1">
        <f t="shared" si="40"/>
        <v>10</v>
      </c>
      <c r="BM300" s="1">
        <f t="shared" si="40"/>
        <v>8</v>
      </c>
      <c r="BN300" s="1">
        <f t="shared" si="40"/>
        <v>6</v>
      </c>
      <c r="BO300" s="1">
        <f t="shared" si="40"/>
        <v>3</v>
      </c>
      <c r="BP300" s="1">
        <f t="shared" si="40"/>
        <v>23</v>
      </c>
      <c r="BQ300" s="1">
        <f t="shared" ref="BQ300:EB300" si="41">BQ303+BQ306+BQ309+BQ312+BQ315+BQ318+BQ321+BQ324+BQ327</f>
        <v>9</v>
      </c>
      <c r="BR300" s="1">
        <f t="shared" si="41"/>
        <v>5</v>
      </c>
      <c r="BS300" s="1">
        <f t="shared" si="41"/>
        <v>25</v>
      </c>
      <c r="BT300" s="1">
        <f t="shared" si="41"/>
        <v>0</v>
      </c>
      <c r="BU300" s="1">
        <f t="shared" si="41"/>
        <v>2</v>
      </c>
      <c r="BV300" s="1">
        <f t="shared" si="41"/>
        <v>7</v>
      </c>
      <c r="BW300" s="1">
        <f t="shared" si="41"/>
        <v>2</v>
      </c>
      <c r="BX300" s="1">
        <f t="shared" si="41"/>
        <v>14</v>
      </c>
      <c r="BY300" s="1">
        <f t="shared" si="41"/>
        <v>12</v>
      </c>
      <c r="BZ300" s="1">
        <f t="shared" si="41"/>
        <v>8</v>
      </c>
      <c r="CA300" s="1">
        <f t="shared" si="41"/>
        <v>0</v>
      </c>
      <c r="CB300" s="1">
        <f t="shared" si="41"/>
        <v>4</v>
      </c>
      <c r="CC300" s="1">
        <f t="shared" si="41"/>
        <v>3</v>
      </c>
      <c r="CD300" s="1">
        <f t="shared" si="41"/>
        <v>1</v>
      </c>
      <c r="CE300" s="1">
        <f t="shared" si="41"/>
        <v>0</v>
      </c>
      <c r="CF300" s="1">
        <f t="shared" si="41"/>
        <v>0</v>
      </c>
      <c r="CG300" s="1">
        <f t="shared" si="41"/>
        <v>1</v>
      </c>
      <c r="CH300" s="1">
        <f t="shared" si="41"/>
        <v>5</v>
      </c>
      <c r="CI300" s="1">
        <f t="shared" si="41"/>
        <v>3</v>
      </c>
      <c r="CJ300" s="1">
        <f t="shared" si="41"/>
        <v>3</v>
      </c>
      <c r="CK300" s="1">
        <f t="shared" si="41"/>
        <v>3</v>
      </c>
      <c r="CL300" s="1">
        <f t="shared" si="41"/>
        <v>0</v>
      </c>
      <c r="CM300" s="1">
        <f t="shared" si="41"/>
        <v>27</v>
      </c>
      <c r="CN300" s="1">
        <f t="shared" si="41"/>
        <v>0</v>
      </c>
      <c r="CO300" s="1">
        <f t="shared" si="41"/>
        <v>8</v>
      </c>
      <c r="CP300" s="1">
        <f t="shared" si="41"/>
        <v>2</v>
      </c>
      <c r="CQ300" s="1">
        <f t="shared" si="41"/>
        <v>1</v>
      </c>
      <c r="CR300" s="1">
        <f t="shared" si="41"/>
        <v>2</v>
      </c>
      <c r="CS300" s="1">
        <f t="shared" si="41"/>
        <v>1</v>
      </c>
      <c r="CT300" s="1">
        <f t="shared" si="41"/>
        <v>0</v>
      </c>
      <c r="CU300" s="1">
        <f t="shared" si="41"/>
        <v>1</v>
      </c>
      <c r="CV300" s="1">
        <f t="shared" si="41"/>
        <v>0</v>
      </c>
      <c r="CW300" s="1">
        <f t="shared" si="41"/>
        <v>1</v>
      </c>
      <c r="CX300" s="1">
        <f t="shared" si="41"/>
        <v>0</v>
      </c>
      <c r="CY300" s="1">
        <f t="shared" si="41"/>
        <v>0</v>
      </c>
      <c r="CZ300" s="1">
        <f t="shared" si="41"/>
        <v>0</v>
      </c>
      <c r="DA300" s="1">
        <f t="shared" si="41"/>
        <v>3</v>
      </c>
      <c r="DB300" s="1">
        <f t="shared" si="41"/>
        <v>2</v>
      </c>
      <c r="DC300" s="1">
        <f t="shared" si="41"/>
        <v>0</v>
      </c>
      <c r="DD300" s="1">
        <f t="shared" si="41"/>
        <v>2</v>
      </c>
      <c r="DE300" s="1">
        <f t="shared" si="41"/>
        <v>1</v>
      </c>
      <c r="DF300" s="1">
        <f t="shared" si="41"/>
        <v>0</v>
      </c>
      <c r="DG300" s="1">
        <f t="shared" si="41"/>
        <v>0</v>
      </c>
      <c r="DH300" s="1">
        <f t="shared" si="41"/>
        <v>11</v>
      </c>
      <c r="DI300" s="1">
        <f t="shared" si="41"/>
        <v>0</v>
      </c>
      <c r="DJ300" s="1">
        <f t="shared" si="41"/>
        <v>0</v>
      </c>
      <c r="DK300" s="1">
        <f t="shared" si="41"/>
        <v>0</v>
      </c>
      <c r="DL300" s="1">
        <f t="shared" si="41"/>
        <v>5</v>
      </c>
      <c r="DM300" s="1">
        <f t="shared" si="41"/>
        <v>1</v>
      </c>
      <c r="DN300" s="1">
        <f t="shared" si="41"/>
        <v>0</v>
      </c>
      <c r="DO300" s="1">
        <f t="shared" si="41"/>
        <v>1</v>
      </c>
      <c r="DP300" s="1">
        <f t="shared" si="41"/>
        <v>2</v>
      </c>
      <c r="DQ300" s="1">
        <f t="shared" si="41"/>
        <v>1</v>
      </c>
      <c r="DR300" s="1">
        <f t="shared" si="41"/>
        <v>1</v>
      </c>
      <c r="DS300" s="1">
        <f t="shared" si="41"/>
        <v>1</v>
      </c>
      <c r="DT300" s="1">
        <f t="shared" si="41"/>
        <v>0</v>
      </c>
      <c r="DU300" s="1">
        <f t="shared" si="41"/>
        <v>1</v>
      </c>
      <c r="DV300" s="1">
        <f t="shared" si="41"/>
        <v>2</v>
      </c>
      <c r="DW300" s="1">
        <f t="shared" si="41"/>
        <v>0</v>
      </c>
      <c r="DX300" s="1">
        <f t="shared" si="41"/>
        <v>0</v>
      </c>
      <c r="DY300" s="1">
        <f t="shared" si="41"/>
        <v>0</v>
      </c>
      <c r="DZ300" s="1">
        <f t="shared" si="41"/>
        <v>1</v>
      </c>
      <c r="EA300" s="1">
        <f t="shared" si="41"/>
        <v>0</v>
      </c>
      <c r="EB300" s="1">
        <f t="shared" si="41"/>
        <v>1</v>
      </c>
      <c r="EC300" s="1">
        <f t="shared" ref="EC300:GN300" si="42">EC303+EC306+EC309+EC312+EC315+EC318+EC321+EC324+EC327</f>
        <v>1</v>
      </c>
      <c r="ED300" s="1">
        <f t="shared" si="42"/>
        <v>1</v>
      </c>
      <c r="EE300" s="1">
        <f t="shared" si="42"/>
        <v>1</v>
      </c>
      <c r="EF300" s="1">
        <f t="shared" si="42"/>
        <v>1</v>
      </c>
      <c r="EG300" s="1">
        <f t="shared" si="42"/>
        <v>0</v>
      </c>
      <c r="EH300" s="1">
        <f t="shared" si="42"/>
        <v>0</v>
      </c>
      <c r="EI300" s="1">
        <f t="shared" si="42"/>
        <v>0</v>
      </c>
      <c r="EJ300" s="1">
        <f t="shared" si="42"/>
        <v>0</v>
      </c>
      <c r="EK300" s="1">
        <f t="shared" si="42"/>
        <v>0</v>
      </c>
      <c r="EL300" s="1">
        <f t="shared" si="42"/>
        <v>0</v>
      </c>
      <c r="EM300" s="1">
        <f t="shared" si="42"/>
        <v>2</v>
      </c>
      <c r="EN300" s="1">
        <f t="shared" si="42"/>
        <v>0</v>
      </c>
      <c r="EO300" s="1">
        <f t="shared" si="42"/>
        <v>1</v>
      </c>
      <c r="EP300" s="1">
        <f t="shared" si="42"/>
        <v>0</v>
      </c>
      <c r="EQ300" s="1">
        <f t="shared" si="42"/>
        <v>1</v>
      </c>
      <c r="ER300" s="1">
        <f t="shared" si="42"/>
        <v>1</v>
      </c>
      <c r="ES300" s="1">
        <f t="shared" si="42"/>
        <v>1</v>
      </c>
      <c r="ET300" s="1">
        <f t="shared" si="42"/>
        <v>0</v>
      </c>
      <c r="EU300" s="1">
        <f t="shared" si="42"/>
        <v>0</v>
      </c>
      <c r="EV300" s="1">
        <f t="shared" si="42"/>
        <v>2</v>
      </c>
      <c r="EW300" s="1">
        <f t="shared" si="42"/>
        <v>0</v>
      </c>
      <c r="EX300" s="1">
        <f t="shared" si="42"/>
        <v>0</v>
      </c>
      <c r="EY300" s="1">
        <f t="shared" si="42"/>
        <v>0</v>
      </c>
      <c r="EZ300" s="1">
        <f t="shared" si="42"/>
        <v>0</v>
      </c>
      <c r="FA300" s="1">
        <f t="shared" si="42"/>
        <v>0</v>
      </c>
      <c r="FB300" s="1">
        <f t="shared" si="42"/>
        <v>0</v>
      </c>
      <c r="FC300" s="1">
        <f t="shared" si="42"/>
        <v>3</v>
      </c>
      <c r="FD300" s="1">
        <f t="shared" si="42"/>
        <v>1</v>
      </c>
      <c r="FE300" s="1">
        <f t="shared" si="42"/>
        <v>0</v>
      </c>
      <c r="FF300" s="1">
        <f t="shared" si="42"/>
        <v>0</v>
      </c>
      <c r="FG300" s="1">
        <f t="shared" si="42"/>
        <v>0</v>
      </c>
      <c r="FH300" s="1">
        <f t="shared" si="42"/>
        <v>0</v>
      </c>
      <c r="FI300" s="1">
        <f t="shared" si="42"/>
        <v>1</v>
      </c>
      <c r="FJ300" s="1">
        <f t="shared" si="42"/>
        <v>1</v>
      </c>
      <c r="FK300" s="1">
        <f t="shared" si="42"/>
        <v>0</v>
      </c>
      <c r="FL300" s="1">
        <f t="shared" si="42"/>
        <v>0</v>
      </c>
      <c r="FM300" s="1">
        <f t="shared" si="42"/>
        <v>0</v>
      </c>
      <c r="FN300" s="1">
        <f t="shared" si="42"/>
        <v>0</v>
      </c>
      <c r="FO300" s="1">
        <f t="shared" si="42"/>
        <v>0</v>
      </c>
      <c r="FP300" s="1">
        <f t="shared" si="42"/>
        <v>0</v>
      </c>
      <c r="FQ300" s="1">
        <f t="shared" si="42"/>
        <v>0</v>
      </c>
      <c r="FR300" s="1">
        <f t="shared" si="42"/>
        <v>0</v>
      </c>
      <c r="FS300" s="1">
        <f t="shared" si="42"/>
        <v>0</v>
      </c>
      <c r="FT300" s="1">
        <f t="shared" si="42"/>
        <v>0</v>
      </c>
      <c r="FU300" s="1">
        <f t="shared" si="42"/>
        <v>0</v>
      </c>
      <c r="FV300" s="1">
        <f t="shared" si="42"/>
        <v>0</v>
      </c>
      <c r="FW300" s="1">
        <f t="shared" si="42"/>
        <v>0</v>
      </c>
      <c r="FX300" s="1">
        <f t="shared" si="42"/>
        <v>0</v>
      </c>
      <c r="FY300" s="1">
        <f t="shared" si="42"/>
        <v>0</v>
      </c>
      <c r="FZ300" s="1">
        <f t="shared" si="42"/>
        <v>0</v>
      </c>
      <c r="GA300" s="1">
        <f t="shared" si="42"/>
        <v>0</v>
      </c>
      <c r="GB300" s="1">
        <f t="shared" si="42"/>
        <v>0</v>
      </c>
      <c r="GC300" s="1">
        <f t="shared" si="42"/>
        <v>0</v>
      </c>
      <c r="GD300" s="1">
        <f t="shared" si="42"/>
        <v>0</v>
      </c>
      <c r="GE300" s="1">
        <f t="shared" si="42"/>
        <v>0</v>
      </c>
      <c r="GF300" s="1">
        <f t="shared" si="42"/>
        <v>0</v>
      </c>
      <c r="GG300" s="1">
        <f t="shared" si="42"/>
        <v>0</v>
      </c>
      <c r="GH300" s="1">
        <f t="shared" si="42"/>
        <v>0</v>
      </c>
      <c r="GI300" s="1">
        <f t="shared" si="42"/>
        <v>0</v>
      </c>
      <c r="GJ300" s="1">
        <f t="shared" si="42"/>
        <v>0</v>
      </c>
      <c r="GK300" s="1">
        <f t="shared" si="42"/>
        <v>0</v>
      </c>
      <c r="GL300" s="1">
        <f t="shared" si="42"/>
        <v>0</v>
      </c>
      <c r="GM300" s="1">
        <f t="shared" si="42"/>
        <v>0</v>
      </c>
      <c r="GN300" s="1">
        <f t="shared" si="42"/>
        <v>0</v>
      </c>
      <c r="GO300" s="1">
        <f t="shared" ref="GO300:GS300" si="43">GO303+GO306+GO309+GO312+GO315+GO318+GO321+GO324+GO327</f>
        <v>0</v>
      </c>
      <c r="GP300" s="1">
        <f t="shared" si="43"/>
        <v>0</v>
      </c>
      <c r="GQ300" s="1">
        <f t="shared" si="43"/>
        <v>0</v>
      </c>
      <c r="GR300" s="1">
        <f t="shared" si="43"/>
        <v>0</v>
      </c>
      <c r="GS300" s="1">
        <f t="shared" si="43"/>
        <v>3</v>
      </c>
    </row>
    <row r="301" spans="1:201" x14ac:dyDescent="0.3">
      <c r="A301" t="s">
        <v>301</v>
      </c>
      <c r="B301" t="s">
        <v>200</v>
      </c>
      <c r="C301" t="s">
        <v>204</v>
      </c>
      <c r="D301" s="1">
        <f>D304+D307+D310+D313+D316+D319+D322+D325+D328</f>
        <v>18324</v>
      </c>
      <c r="E301" s="1">
        <f t="shared" ref="E301:BP301" si="44">E304+E307+E310+E313+E316+E319+E322+E325+E328</f>
        <v>6630</v>
      </c>
      <c r="F301" s="1">
        <f t="shared" si="44"/>
        <v>625</v>
      </c>
      <c r="G301" s="1">
        <f t="shared" si="44"/>
        <v>2488</v>
      </c>
      <c r="H301" s="1">
        <f t="shared" si="44"/>
        <v>229</v>
      </c>
      <c r="I301" s="1">
        <f t="shared" si="44"/>
        <v>578</v>
      </c>
      <c r="J301" s="1">
        <f t="shared" si="44"/>
        <v>446</v>
      </c>
      <c r="K301" s="1">
        <f t="shared" si="44"/>
        <v>247</v>
      </c>
      <c r="L301" s="1">
        <f t="shared" si="44"/>
        <v>430</v>
      </c>
      <c r="M301" s="1">
        <f t="shared" si="44"/>
        <v>950</v>
      </c>
      <c r="N301" s="1">
        <f t="shared" si="44"/>
        <v>560</v>
      </c>
      <c r="O301" s="1">
        <f t="shared" si="44"/>
        <v>786</v>
      </c>
      <c r="P301" s="1">
        <f t="shared" si="44"/>
        <v>778</v>
      </c>
      <c r="Q301" s="1">
        <f t="shared" si="44"/>
        <v>296</v>
      </c>
      <c r="R301" s="1">
        <f t="shared" si="44"/>
        <v>202</v>
      </c>
      <c r="S301" s="1">
        <f t="shared" si="44"/>
        <v>624</v>
      </c>
      <c r="T301" s="1">
        <f t="shared" si="44"/>
        <v>271</v>
      </c>
      <c r="U301" s="1">
        <f t="shared" si="44"/>
        <v>181</v>
      </c>
      <c r="V301" s="1">
        <f t="shared" si="44"/>
        <v>223</v>
      </c>
      <c r="W301" s="1">
        <f t="shared" si="44"/>
        <v>263</v>
      </c>
      <c r="X301" s="1">
        <f t="shared" si="44"/>
        <v>147</v>
      </c>
      <c r="Y301" s="1">
        <f t="shared" si="44"/>
        <v>83</v>
      </c>
      <c r="Z301" s="1">
        <f t="shared" si="44"/>
        <v>132</v>
      </c>
      <c r="AA301" s="1">
        <f t="shared" si="44"/>
        <v>57</v>
      </c>
      <c r="AB301" s="1">
        <f t="shared" si="44"/>
        <v>30</v>
      </c>
      <c r="AC301" s="1">
        <f t="shared" si="44"/>
        <v>65</v>
      </c>
      <c r="AD301" s="1">
        <f t="shared" si="44"/>
        <v>182</v>
      </c>
      <c r="AE301" s="1">
        <f t="shared" si="44"/>
        <v>3</v>
      </c>
      <c r="AF301" s="1">
        <f t="shared" si="44"/>
        <v>50</v>
      </c>
      <c r="AG301" s="1">
        <f t="shared" si="44"/>
        <v>43</v>
      </c>
      <c r="AH301" s="1">
        <f t="shared" si="44"/>
        <v>26</v>
      </c>
      <c r="AI301" s="1">
        <f t="shared" si="44"/>
        <v>21</v>
      </c>
      <c r="AJ301" s="1">
        <f t="shared" si="44"/>
        <v>32</v>
      </c>
      <c r="AK301" s="1">
        <f t="shared" si="44"/>
        <v>48</v>
      </c>
      <c r="AL301" s="1">
        <f t="shared" si="44"/>
        <v>54</v>
      </c>
      <c r="AM301" s="1">
        <f t="shared" si="44"/>
        <v>15</v>
      </c>
      <c r="AN301" s="1">
        <f t="shared" si="44"/>
        <v>15</v>
      </c>
      <c r="AO301" s="1">
        <f t="shared" si="44"/>
        <v>37</v>
      </c>
      <c r="AP301" s="1">
        <f t="shared" si="44"/>
        <v>14</v>
      </c>
      <c r="AQ301" s="1">
        <f t="shared" si="44"/>
        <v>28</v>
      </c>
      <c r="AR301" s="1">
        <f t="shared" si="44"/>
        <v>12</v>
      </c>
      <c r="AS301" s="1">
        <f t="shared" si="44"/>
        <v>24</v>
      </c>
      <c r="AT301" s="1">
        <f t="shared" si="44"/>
        <v>16</v>
      </c>
      <c r="AU301" s="1">
        <f t="shared" si="44"/>
        <v>20</v>
      </c>
      <c r="AV301" s="1">
        <f t="shared" si="44"/>
        <v>13</v>
      </c>
      <c r="AW301" s="1">
        <f t="shared" si="44"/>
        <v>16</v>
      </c>
      <c r="AX301" s="1">
        <f t="shared" si="44"/>
        <v>1</v>
      </c>
      <c r="AY301" s="1">
        <f t="shared" si="44"/>
        <v>28</v>
      </c>
      <c r="AZ301" s="1">
        <f t="shared" si="44"/>
        <v>0</v>
      </c>
      <c r="BA301" s="1">
        <f t="shared" si="44"/>
        <v>4</v>
      </c>
      <c r="BB301" s="1">
        <f t="shared" si="44"/>
        <v>0</v>
      </c>
      <c r="BC301" s="1">
        <f t="shared" si="44"/>
        <v>4</v>
      </c>
      <c r="BD301" s="1">
        <f t="shared" si="44"/>
        <v>0</v>
      </c>
      <c r="BE301" s="1">
        <f t="shared" si="44"/>
        <v>5</v>
      </c>
      <c r="BF301" s="1">
        <f t="shared" si="44"/>
        <v>1</v>
      </c>
      <c r="BG301" s="1">
        <f t="shared" si="44"/>
        <v>6</v>
      </c>
      <c r="BH301" s="1">
        <f t="shared" si="44"/>
        <v>28</v>
      </c>
      <c r="BI301" s="1">
        <f t="shared" si="44"/>
        <v>6</v>
      </c>
      <c r="BJ301" s="1">
        <f t="shared" si="44"/>
        <v>7</v>
      </c>
      <c r="BK301" s="1">
        <f t="shared" si="44"/>
        <v>0</v>
      </c>
      <c r="BL301" s="1">
        <f t="shared" si="44"/>
        <v>6</v>
      </c>
      <c r="BM301" s="1">
        <f t="shared" si="44"/>
        <v>4</v>
      </c>
      <c r="BN301" s="1">
        <f t="shared" si="44"/>
        <v>9</v>
      </c>
      <c r="BO301" s="1">
        <f t="shared" si="44"/>
        <v>1</v>
      </c>
      <c r="BP301" s="1">
        <f t="shared" si="44"/>
        <v>8</v>
      </c>
      <c r="BQ301" s="1">
        <f t="shared" ref="BQ301:EB301" si="45">BQ304+BQ307+BQ310+BQ313+BQ316+BQ319+BQ322+BQ325+BQ328</f>
        <v>11</v>
      </c>
      <c r="BR301" s="1">
        <f t="shared" si="45"/>
        <v>2</v>
      </c>
      <c r="BS301" s="1">
        <f t="shared" si="45"/>
        <v>9</v>
      </c>
      <c r="BT301" s="1">
        <f t="shared" si="45"/>
        <v>1</v>
      </c>
      <c r="BU301" s="1">
        <f t="shared" si="45"/>
        <v>4</v>
      </c>
      <c r="BV301" s="1">
        <f t="shared" si="45"/>
        <v>13</v>
      </c>
      <c r="BW301" s="1">
        <f t="shared" si="45"/>
        <v>1</v>
      </c>
      <c r="BX301" s="1">
        <f t="shared" si="45"/>
        <v>7</v>
      </c>
      <c r="BY301" s="1">
        <f t="shared" si="45"/>
        <v>5</v>
      </c>
      <c r="BZ301" s="1">
        <f t="shared" si="45"/>
        <v>4</v>
      </c>
      <c r="CA301" s="1">
        <f t="shared" si="45"/>
        <v>0</v>
      </c>
      <c r="CB301" s="1">
        <f t="shared" si="45"/>
        <v>0</v>
      </c>
      <c r="CC301" s="1">
        <f t="shared" si="45"/>
        <v>7</v>
      </c>
      <c r="CD301" s="1">
        <f t="shared" si="45"/>
        <v>8</v>
      </c>
      <c r="CE301" s="1">
        <f t="shared" si="45"/>
        <v>7</v>
      </c>
      <c r="CF301" s="1">
        <f t="shared" si="45"/>
        <v>2</v>
      </c>
      <c r="CG301" s="1">
        <f t="shared" si="45"/>
        <v>6</v>
      </c>
      <c r="CH301" s="1">
        <f t="shared" si="45"/>
        <v>4</v>
      </c>
      <c r="CI301" s="1">
        <f t="shared" si="45"/>
        <v>8</v>
      </c>
      <c r="CJ301" s="1">
        <f t="shared" si="45"/>
        <v>0</v>
      </c>
      <c r="CK301" s="1">
        <f t="shared" si="45"/>
        <v>3</v>
      </c>
      <c r="CL301" s="1">
        <f t="shared" si="45"/>
        <v>2</v>
      </c>
      <c r="CM301" s="1">
        <f t="shared" si="45"/>
        <v>22</v>
      </c>
      <c r="CN301" s="1">
        <f t="shared" si="45"/>
        <v>1</v>
      </c>
      <c r="CO301" s="1">
        <f t="shared" si="45"/>
        <v>5</v>
      </c>
      <c r="CP301" s="1">
        <f t="shared" si="45"/>
        <v>2</v>
      </c>
      <c r="CQ301" s="1">
        <f t="shared" si="45"/>
        <v>0</v>
      </c>
      <c r="CR301" s="1">
        <f t="shared" si="45"/>
        <v>0</v>
      </c>
      <c r="CS301" s="1">
        <f t="shared" si="45"/>
        <v>6</v>
      </c>
      <c r="CT301" s="1">
        <f t="shared" si="45"/>
        <v>3</v>
      </c>
      <c r="CU301" s="1">
        <f t="shared" si="45"/>
        <v>4</v>
      </c>
      <c r="CV301" s="1">
        <f t="shared" si="45"/>
        <v>3</v>
      </c>
      <c r="CW301" s="1">
        <f t="shared" si="45"/>
        <v>2</v>
      </c>
      <c r="CX301" s="1">
        <f t="shared" si="45"/>
        <v>0</v>
      </c>
      <c r="CY301" s="1">
        <f t="shared" si="45"/>
        <v>0</v>
      </c>
      <c r="CZ301" s="1">
        <f t="shared" si="45"/>
        <v>3</v>
      </c>
      <c r="DA301" s="1">
        <f t="shared" si="45"/>
        <v>1</v>
      </c>
      <c r="DB301" s="1">
        <f t="shared" si="45"/>
        <v>0</v>
      </c>
      <c r="DC301" s="1">
        <f t="shared" si="45"/>
        <v>0</v>
      </c>
      <c r="DD301" s="1">
        <f t="shared" si="45"/>
        <v>5</v>
      </c>
      <c r="DE301" s="1">
        <f t="shared" si="45"/>
        <v>1</v>
      </c>
      <c r="DF301" s="1">
        <f t="shared" si="45"/>
        <v>1</v>
      </c>
      <c r="DG301" s="1">
        <f t="shared" si="45"/>
        <v>1</v>
      </c>
      <c r="DH301" s="1">
        <f t="shared" si="45"/>
        <v>9</v>
      </c>
      <c r="DI301" s="1">
        <f t="shared" si="45"/>
        <v>1</v>
      </c>
      <c r="DJ301" s="1">
        <f t="shared" si="45"/>
        <v>0</v>
      </c>
      <c r="DK301" s="1">
        <f t="shared" si="45"/>
        <v>0</v>
      </c>
      <c r="DL301" s="1">
        <f t="shared" si="45"/>
        <v>1</v>
      </c>
      <c r="DM301" s="1">
        <f t="shared" si="45"/>
        <v>4</v>
      </c>
      <c r="DN301" s="1">
        <f t="shared" si="45"/>
        <v>2</v>
      </c>
      <c r="DO301" s="1">
        <f t="shared" si="45"/>
        <v>6</v>
      </c>
      <c r="DP301" s="1">
        <f t="shared" si="45"/>
        <v>4</v>
      </c>
      <c r="DQ301" s="1">
        <f t="shared" si="45"/>
        <v>1</v>
      </c>
      <c r="DR301" s="1">
        <f t="shared" si="45"/>
        <v>0</v>
      </c>
      <c r="DS301" s="1">
        <f t="shared" si="45"/>
        <v>0</v>
      </c>
      <c r="DT301" s="1">
        <f t="shared" si="45"/>
        <v>1</v>
      </c>
      <c r="DU301" s="1">
        <f t="shared" si="45"/>
        <v>0</v>
      </c>
      <c r="DV301" s="1">
        <f t="shared" si="45"/>
        <v>3</v>
      </c>
      <c r="DW301" s="1">
        <f t="shared" si="45"/>
        <v>0</v>
      </c>
      <c r="DX301" s="1">
        <f t="shared" si="45"/>
        <v>1</v>
      </c>
      <c r="DY301" s="1">
        <f t="shared" si="45"/>
        <v>1</v>
      </c>
      <c r="DZ301" s="1">
        <f t="shared" si="45"/>
        <v>1</v>
      </c>
      <c r="EA301" s="1">
        <f t="shared" si="45"/>
        <v>2</v>
      </c>
      <c r="EB301" s="1">
        <f t="shared" si="45"/>
        <v>0</v>
      </c>
      <c r="EC301" s="1">
        <f t="shared" ref="EC301:GN301" si="46">EC304+EC307+EC310+EC313+EC316+EC319+EC322+EC325+EC328</f>
        <v>0</v>
      </c>
      <c r="ED301" s="1">
        <f t="shared" si="46"/>
        <v>0</v>
      </c>
      <c r="EE301" s="1">
        <f t="shared" si="46"/>
        <v>0</v>
      </c>
      <c r="EF301" s="1">
        <f t="shared" si="46"/>
        <v>0</v>
      </c>
      <c r="EG301" s="1">
        <f t="shared" si="46"/>
        <v>2</v>
      </c>
      <c r="EH301" s="1">
        <f t="shared" si="46"/>
        <v>0</v>
      </c>
      <c r="EI301" s="1">
        <f t="shared" si="46"/>
        <v>0</v>
      </c>
      <c r="EJ301" s="1">
        <f t="shared" si="46"/>
        <v>4</v>
      </c>
      <c r="EK301" s="1">
        <f t="shared" si="46"/>
        <v>0</v>
      </c>
      <c r="EL301" s="1">
        <f t="shared" si="46"/>
        <v>0</v>
      </c>
      <c r="EM301" s="1">
        <f t="shared" si="46"/>
        <v>0</v>
      </c>
      <c r="EN301" s="1">
        <f t="shared" si="46"/>
        <v>0</v>
      </c>
      <c r="EO301" s="1">
        <f t="shared" si="46"/>
        <v>1</v>
      </c>
      <c r="EP301" s="1">
        <f t="shared" si="46"/>
        <v>0</v>
      </c>
      <c r="EQ301" s="1">
        <f t="shared" si="46"/>
        <v>1</v>
      </c>
      <c r="ER301" s="1">
        <f t="shared" si="46"/>
        <v>0</v>
      </c>
      <c r="ES301" s="1">
        <f t="shared" si="46"/>
        <v>0</v>
      </c>
      <c r="ET301" s="1">
        <f t="shared" si="46"/>
        <v>2</v>
      </c>
      <c r="EU301" s="1">
        <f t="shared" si="46"/>
        <v>3</v>
      </c>
      <c r="EV301" s="1">
        <f t="shared" si="46"/>
        <v>0</v>
      </c>
      <c r="EW301" s="1">
        <f t="shared" si="46"/>
        <v>0</v>
      </c>
      <c r="EX301" s="1">
        <f t="shared" si="46"/>
        <v>0</v>
      </c>
      <c r="EY301" s="1">
        <f t="shared" si="46"/>
        <v>0</v>
      </c>
      <c r="EZ301" s="1">
        <f t="shared" si="46"/>
        <v>0</v>
      </c>
      <c r="FA301" s="1">
        <f t="shared" si="46"/>
        <v>0</v>
      </c>
      <c r="FB301" s="1">
        <f t="shared" si="46"/>
        <v>0</v>
      </c>
      <c r="FC301" s="1">
        <f t="shared" si="46"/>
        <v>0</v>
      </c>
      <c r="FD301" s="1">
        <f t="shared" si="46"/>
        <v>0</v>
      </c>
      <c r="FE301" s="1">
        <f t="shared" si="46"/>
        <v>0</v>
      </c>
      <c r="FF301" s="1">
        <f t="shared" si="46"/>
        <v>0</v>
      </c>
      <c r="FG301" s="1">
        <f t="shared" si="46"/>
        <v>0</v>
      </c>
      <c r="FH301" s="1">
        <f t="shared" si="46"/>
        <v>0</v>
      </c>
      <c r="FI301" s="1">
        <f t="shared" si="46"/>
        <v>0</v>
      </c>
      <c r="FJ301" s="1">
        <f t="shared" si="46"/>
        <v>0</v>
      </c>
      <c r="FK301" s="1">
        <f t="shared" si="46"/>
        <v>0</v>
      </c>
      <c r="FL301" s="1">
        <f t="shared" si="46"/>
        <v>0</v>
      </c>
      <c r="FM301" s="1">
        <f t="shared" si="46"/>
        <v>1</v>
      </c>
      <c r="FN301" s="1">
        <f t="shared" si="46"/>
        <v>0</v>
      </c>
      <c r="FO301" s="1">
        <f t="shared" si="46"/>
        <v>0</v>
      </c>
      <c r="FP301" s="1">
        <f t="shared" si="46"/>
        <v>0</v>
      </c>
      <c r="FQ301" s="1">
        <f t="shared" si="46"/>
        <v>1</v>
      </c>
      <c r="FR301" s="1">
        <f t="shared" si="46"/>
        <v>0</v>
      </c>
      <c r="FS301" s="1">
        <f t="shared" si="46"/>
        <v>0</v>
      </c>
      <c r="FT301" s="1">
        <f t="shared" si="46"/>
        <v>0</v>
      </c>
      <c r="FU301" s="1">
        <f t="shared" si="46"/>
        <v>0</v>
      </c>
      <c r="FV301" s="1">
        <f t="shared" si="46"/>
        <v>0</v>
      </c>
      <c r="FW301" s="1">
        <f t="shared" si="46"/>
        <v>0</v>
      </c>
      <c r="FX301" s="1">
        <f t="shared" si="46"/>
        <v>0</v>
      </c>
      <c r="FY301" s="1">
        <f t="shared" si="46"/>
        <v>0</v>
      </c>
      <c r="FZ301" s="1">
        <f t="shared" si="46"/>
        <v>0</v>
      </c>
      <c r="GA301" s="1">
        <f t="shared" si="46"/>
        <v>0</v>
      </c>
      <c r="GB301" s="1">
        <f t="shared" si="46"/>
        <v>0</v>
      </c>
      <c r="GC301" s="1">
        <f t="shared" si="46"/>
        <v>0</v>
      </c>
      <c r="GD301" s="1">
        <f t="shared" si="46"/>
        <v>0</v>
      </c>
      <c r="GE301" s="1">
        <f t="shared" si="46"/>
        <v>0</v>
      </c>
      <c r="GF301" s="1">
        <f t="shared" si="46"/>
        <v>0</v>
      </c>
      <c r="GG301" s="1">
        <f t="shared" si="46"/>
        <v>0</v>
      </c>
      <c r="GH301" s="1">
        <f t="shared" si="46"/>
        <v>0</v>
      </c>
      <c r="GI301" s="1">
        <f t="shared" si="46"/>
        <v>0</v>
      </c>
      <c r="GJ301" s="1">
        <f t="shared" si="46"/>
        <v>0</v>
      </c>
      <c r="GK301" s="1">
        <f t="shared" si="46"/>
        <v>0</v>
      </c>
      <c r="GL301" s="1">
        <f t="shared" si="46"/>
        <v>0</v>
      </c>
      <c r="GM301" s="1">
        <f t="shared" si="46"/>
        <v>0</v>
      </c>
      <c r="GN301" s="1">
        <f t="shared" si="46"/>
        <v>0</v>
      </c>
      <c r="GO301" s="1">
        <f t="shared" ref="GO301:GS301" si="47">GO304+GO307+GO310+GO313+GO316+GO319+GO322+GO325+GO328</f>
        <v>0</v>
      </c>
      <c r="GP301" s="1">
        <f t="shared" si="47"/>
        <v>0</v>
      </c>
      <c r="GQ301" s="1">
        <f t="shared" si="47"/>
        <v>0</v>
      </c>
      <c r="GR301" s="1">
        <f t="shared" si="47"/>
        <v>0</v>
      </c>
      <c r="GS301" s="1">
        <f t="shared" si="47"/>
        <v>0</v>
      </c>
    </row>
    <row r="302" spans="1:201" x14ac:dyDescent="0.3">
      <c r="A302" t="s">
        <v>301</v>
      </c>
      <c r="B302" t="s">
        <v>302</v>
      </c>
      <c r="C302" t="s">
        <v>200</v>
      </c>
      <c r="D302">
        <v>604</v>
      </c>
      <c r="E302">
        <v>86</v>
      </c>
      <c r="F302">
        <v>6</v>
      </c>
      <c r="G302">
        <v>23</v>
      </c>
      <c r="H302">
        <v>134</v>
      </c>
      <c r="I302">
        <v>6</v>
      </c>
      <c r="J302">
        <v>77</v>
      </c>
      <c r="K302">
        <v>40</v>
      </c>
      <c r="L302">
        <v>10</v>
      </c>
      <c r="M302">
        <v>25</v>
      </c>
      <c r="N302">
        <v>7</v>
      </c>
      <c r="O302">
        <v>1</v>
      </c>
      <c r="P302">
        <v>2</v>
      </c>
      <c r="Q302">
        <v>148</v>
      </c>
      <c r="R302">
        <v>10</v>
      </c>
      <c r="S302">
        <v>3</v>
      </c>
      <c r="T302">
        <v>2</v>
      </c>
      <c r="U302">
        <v>0</v>
      </c>
      <c r="V302" s="1">
        <v>0</v>
      </c>
      <c r="W302">
        <v>2</v>
      </c>
      <c r="X302">
        <v>0</v>
      </c>
      <c r="Y302">
        <v>16</v>
      </c>
      <c r="Z302">
        <v>0</v>
      </c>
      <c r="AA302">
        <v>0</v>
      </c>
      <c r="AB302">
        <v>0</v>
      </c>
      <c r="AC302">
        <v>0</v>
      </c>
      <c r="AD302">
        <v>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</row>
    <row r="303" spans="1:201" x14ac:dyDescent="0.3">
      <c r="A303" t="s">
        <v>301</v>
      </c>
      <c r="B303" t="s">
        <v>302</v>
      </c>
      <c r="C303" t="s">
        <v>203</v>
      </c>
      <c r="D303">
        <v>462</v>
      </c>
      <c r="E303">
        <v>39</v>
      </c>
      <c r="F303">
        <v>5</v>
      </c>
      <c r="G303">
        <v>10</v>
      </c>
      <c r="H303">
        <v>117</v>
      </c>
      <c r="I303">
        <v>6</v>
      </c>
      <c r="J303">
        <v>53</v>
      </c>
      <c r="K303">
        <v>39</v>
      </c>
      <c r="L303">
        <v>10</v>
      </c>
      <c r="M303">
        <v>18</v>
      </c>
      <c r="N303">
        <v>4</v>
      </c>
      <c r="O303">
        <v>1</v>
      </c>
      <c r="P303">
        <v>1</v>
      </c>
      <c r="Q303">
        <v>134</v>
      </c>
      <c r="R303">
        <v>10</v>
      </c>
      <c r="S303">
        <v>0</v>
      </c>
      <c r="T303">
        <v>1</v>
      </c>
      <c r="U303">
        <v>0</v>
      </c>
      <c r="V303" s="1">
        <v>0</v>
      </c>
      <c r="W303">
        <v>2</v>
      </c>
      <c r="X303">
        <v>0</v>
      </c>
      <c r="Y303">
        <v>10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</row>
    <row r="304" spans="1:201" x14ac:dyDescent="0.3">
      <c r="A304" t="s">
        <v>301</v>
      </c>
      <c r="B304" t="s">
        <v>302</v>
      </c>
      <c r="C304" t="s">
        <v>204</v>
      </c>
      <c r="D304">
        <v>142</v>
      </c>
      <c r="E304">
        <v>47</v>
      </c>
      <c r="F304">
        <v>1</v>
      </c>
      <c r="G304">
        <v>13</v>
      </c>
      <c r="H304">
        <v>17</v>
      </c>
      <c r="I304" s="1">
        <v>0</v>
      </c>
      <c r="J304">
        <v>24</v>
      </c>
      <c r="K304">
        <v>1</v>
      </c>
      <c r="L304" s="1">
        <v>0</v>
      </c>
      <c r="M304">
        <v>7</v>
      </c>
      <c r="N304">
        <v>3</v>
      </c>
      <c r="O304" s="1">
        <v>0</v>
      </c>
      <c r="P304">
        <v>1</v>
      </c>
      <c r="Q304">
        <v>14</v>
      </c>
      <c r="R304">
        <v>0</v>
      </c>
      <c r="S304">
        <v>3</v>
      </c>
      <c r="T304">
        <v>1</v>
      </c>
      <c r="U304">
        <v>0</v>
      </c>
      <c r="V304" s="1">
        <v>0</v>
      </c>
      <c r="W304">
        <v>0</v>
      </c>
      <c r="X304">
        <v>0</v>
      </c>
      <c r="Y304">
        <v>6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</row>
    <row r="305" spans="1:201" x14ac:dyDescent="0.3">
      <c r="A305" t="s">
        <v>301</v>
      </c>
      <c r="B305" t="s">
        <v>297</v>
      </c>
      <c r="C305" t="s">
        <v>200</v>
      </c>
      <c r="D305" s="1">
        <v>2377</v>
      </c>
      <c r="E305">
        <v>761</v>
      </c>
      <c r="F305">
        <v>56</v>
      </c>
      <c r="G305">
        <v>108</v>
      </c>
      <c r="H305">
        <v>13</v>
      </c>
      <c r="I305">
        <v>61</v>
      </c>
      <c r="J305">
        <v>21</v>
      </c>
      <c r="K305">
        <v>9</v>
      </c>
      <c r="L305">
        <v>93</v>
      </c>
      <c r="M305">
        <v>91</v>
      </c>
      <c r="N305">
        <v>41</v>
      </c>
      <c r="O305">
        <v>119</v>
      </c>
      <c r="P305">
        <v>617</v>
      </c>
      <c r="Q305">
        <v>20</v>
      </c>
      <c r="R305">
        <v>8</v>
      </c>
      <c r="S305">
        <v>36</v>
      </c>
      <c r="T305">
        <v>17</v>
      </c>
      <c r="U305">
        <v>6</v>
      </c>
      <c r="V305">
        <v>11</v>
      </c>
      <c r="W305">
        <v>79</v>
      </c>
      <c r="X305">
        <v>5</v>
      </c>
      <c r="Y305">
        <v>4</v>
      </c>
      <c r="Z305">
        <v>70</v>
      </c>
      <c r="AA305">
        <v>1</v>
      </c>
      <c r="AB305">
        <v>1</v>
      </c>
      <c r="AC305">
        <v>9</v>
      </c>
      <c r="AD305">
        <v>4</v>
      </c>
      <c r="AE305">
        <v>0</v>
      </c>
      <c r="AF305">
        <v>8</v>
      </c>
      <c r="AG305">
        <v>4</v>
      </c>
      <c r="AH305">
        <v>2</v>
      </c>
      <c r="AI305">
        <v>1</v>
      </c>
      <c r="AJ305">
        <v>0</v>
      </c>
      <c r="AK305">
        <v>21</v>
      </c>
      <c r="AL305">
        <v>2</v>
      </c>
      <c r="AM305">
        <v>2</v>
      </c>
      <c r="AN305">
        <v>3</v>
      </c>
      <c r="AO305">
        <v>0</v>
      </c>
      <c r="AP305">
        <v>0</v>
      </c>
      <c r="AQ305">
        <v>2</v>
      </c>
      <c r="AR305">
        <v>0</v>
      </c>
      <c r="AS305">
        <v>1</v>
      </c>
      <c r="AT305">
        <v>1</v>
      </c>
      <c r="AU305">
        <v>2</v>
      </c>
      <c r="AV305">
        <v>1</v>
      </c>
      <c r="AW305">
        <v>0</v>
      </c>
      <c r="AX305">
        <v>0</v>
      </c>
      <c r="AY305">
        <v>8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7</v>
      </c>
      <c r="BF305">
        <v>0</v>
      </c>
      <c r="BG305">
        <v>3</v>
      </c>
      <c r="BH305">
        <v>2</v>
      </c>
      <c r="BI305">
        <v>0</v>
      </c>
      <c r="BJ305">
        <v>0</v>
      </c>
      <c r="BK305">
        <v>0</v>
      </c>
      <c r="BL305">
        <v>2</v>
      </c>
      <c r="BM305">
        <v>0</v>
      </c>
      <c r="BN305">
        <v>3</v>
      </c>
      <c r="BO305">
        <v>0</v>
      </c>
      <c r="BP305">
        <v>1</v>
      </c>
      <c r="BQ305">
        <v>1</v>
      </c>
      <c r="BR305">
        <v>0</v>
      </c>
      <c r="BS305">
        <v>2</v>
      </c>
      <c r="BT305">
        <v>0</v>
      </c>
      <c r="BU305">
        <v>0</v>
      </c>
      <c r="BV305">
        <v>1</v>
      </c>
      <c r="BW305">
        <v>0</v>
      </c>
      <c r="BX305">
        <v>4</v>
      </c>
      <c r="BY305">
        <v>1</v>
      </c>
      <c r="BZ305">
        <v>0</v>
      </c>
      <c r="CA305">
        <v>0</v>
      </c>
      <c r="CB305">
        <v>0</v>
      </c>
      <c r="CC305">
        <v>2</v>
      </c>
      <c r="CD305">
        <v>0</v>
      </c>
      <c r="CE305">
        <v>0</v>
      </c>
      <c r="CF305">
        <v>0</v>
      </c>
      <c r="CG305">
        <v>0</v>
      </c>
      <c r="CH305">
        <v>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2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15</v>
      </c>
      <c r="DI305">
        <v>0</v>
      </c>
      <c r="DJ305">
        <v>0</v>
      </c>
      <c r="DK305">
        <v>0</v>
      </c>
      <c r="DL305">
        <v>1</v>
      </c>
      <c r="DM305">
        <v>1</v>
      </c>
      <c r="DN305">
        <v>0</v>
      </c>
      <c r="DO305">
        <v>1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1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1</v>
      </c>
      <c r="EU305">
        <v>1</v>
      </c>
      <c r="EV305">
        <v>1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</row>
    <row r="306" spans="1:201" x14ac:dyDescent="0.3">
      <c r="A306" t="s">
        <v>301</v>
      </c>
      <c r="B306" t="s">
        <v>297</v>
      </c>
      <c r="C306" t="s">
        <v>203</v>
      </c>
      <c r="D306" s="1">
        <v>1071</v>
      </c>
      <c r="E306">
        <v>328</v>
      </c>
      <c r="F306">
        <v>31</v>
      </c>
      <c r="G306">
        <v>39</v>
      </c>
      <c r="H306">
        <v>6</v>
      </c>
      <c r="I306">
        <v>44</v>
      </c>
      <c r="J306">
        <v>4</v>
      </c>
      <c r="K306">
        <v>2</v>
      </c>
      <c r="L306">
        <v>26</v>
      </c>
      <c r="M306">
        <v>6</v>
      </c>
      <c r="N306">
        <v>5</v>
      </c>
      <c r="O306">
        <v>58</v>
      </c>
      <c r="P306">
        <v>342</v>
      </c>
      <c r="Q306">
        <v>12</v>
      </c>
      <c r="R306">
        <v>5</v>
      </c>
      <c r="S306">
        <v>0</v>
      </c>
      <c r="T306">
        <v>6</v>
      </c>
      <c r="U306">
        <v>1</v>
      </c>
      <c r="V306">
        <v>8</v>
      </c>
      <c r="W306">
        <v>37</v>
      </c>
      <c r="X306">
        <v>2</v>
      </c>
      <c r="Y306">
        <v>0</v>
      </c>
      <c r="Z306">
        <v>55</v>
      </c>
      <c r="AA306">
        <v>1</v>
      </c>
      <c r="AB306">
        <v>0</v>
      </c>
      <c r="AC306">
        <v>4</v>
      </c>
      <c r="AD306">
        <v>2</v>
      </c>
      <c r="AE306">
        <v>0</v>
      </c>
      <c r="AF306">
        <v>4</v>
      </c>
      <c r="AG306">
        <v>3</v>
      </c>
      <c r="AH306">
        <v>0</v>
      </c>
      <c r="AI306">
        <v>1</v>
      </c>
      <c r="AJ306">
        <v>0</v>
      </c>
      <c r="AK306">
        <v>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0</v>
      </c>
      <c r="BA306">
        <v>1</v>
      </c>
      <c r="BB306">
        <v>0</v>
      </c>
      <c r="BC306">
        <v>1</v>
      </c>
      <c r="BD306">
        <v>0</v>
      </c>
      <c r="BE306">
        <v>5</v>
      </c>
      <c r="BF306">
        <v>0</v>
      </c>
      <c r="BG306">
        <v>2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2</v>
      </c>
      <c r="BT306">
        <v>0</v>
      </c>
      <c r="BU306">
        <v>0</v>
      </c>
      <c r="BV306">
        <v>1</v>
      </c>
      <c r="BW306">
        <v>0</v>
      </c>
      <c r="BX306">
        <v>4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8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1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</row>
    <row r="307" spans="1:201" x14ac:dyDescent="0.3">
      <c r="A307" t="s">
        <v>301</v>
      </c>
      <c r="B307" t="s">
        <v>297</v>
      </c>
      <c r="C307" t="s">
        <v>204</v>
      </c>
      <c r="D307" s="1">
        <v>1306</v>
      </c>
      <c r="E307">
        <v>433</v>
      </c>
      <c r="F307">
        <v>25</v>
      </c>
      <c r="G307">
        <v>69</v>
      </c>
      <c r="H307">
        <v>7</v>
      </c>
      <c r="I307">
        <v>17</v>
      </c>
      <c r="J307">
        <v>17</v>
      </c>
      <c r="K307">
        <v>7</v>
      </c>
      <c r="L307">
        <v>67</v>
      </c>
      <c r="M307">
        <v>85</v>
      </c>
      <c r="N307">
        <v>36</v>
      </c>
      <c r="O307">
        <v>61</v>
      </c>
      <c r="P307">
        <v>275</v>
      </c>
      <c r="Q307">
        <v>8</v>
      </c>
      <c r="R307">
        <v>3</v>
      </c>
      <c r="S307">
        <v>36</v>
      </c>
      <c r="T307">
        <v>11</v>
      </c>
      <c r="U307">
        <v>5</v>
      </c>
      <c r="V307">
        <v>3</v>
      </c>
      <c r="W307">
        <v>42</v>
      </c>
      <c r="X307">
        <v>3</v>
      </c>
      <c r="Y307">
        <v>4</v>
      </c>
      <c r="Z307">
        <v>15</v>
      </c>
      <c r="AA307">
        <v>0</v>
      </c>
      <c r="AB307">
        <v>1</v>
      </c>
      <c r="AC307">
        <v>5</v>
      </c>
      <c r="AD307">
        <v>2</v>
      </c>
      <c r="AE307">
        <v>0</v>
      </c>
      <c r="AF307">
        <v>4</v>
      </c>
      <c r="AG307">
        <v>1</v>
      </c>
      <c r="AH307">
        <v>2</v>
      </c>
      <c r="AI307">
        <v>0</v>
      </c>
      <c r="AJ307">
        <v>0</v>
      </c>
      <c r="AK307">
        <v>13</v>
      </c>
      <c r="AL307">
        <v>2</v>
      </c>
      <c r="AM307">
        <v>2</v>
      </c>
      <c r="AN307">
        <v>3</v>
      </c>
      <c r="AO307">
        <v>0</v>
      </c>
      <c r="AP307">
        <v>0</v>
      </c>
      <c r="AQ307">
        <v>1</v>
      </c>
      <c r="AR307">
        <v>0</v>
      </c>
      <c r="AS307">
        <v>1</v>
      </c>
      <c r="AT307">
        <v>1</v>
      </c>
      <c r="AU307">
        <v>2</v>
      </c>
      <c r="AV307">
        <v>1</v>
      </c>
      <c r="AW307">
        <v>0</v>
      </c>
      <c r="AX307">
        <v>0</v>
      </c>
      <c r="AY307">
        <v>6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2</v>
      </c>
      <c r="BF307">
        <v>0</v>
      </c>
      <c r="BG307">
        <v>1</v>
      </c>
      <c r="BH307">
        <v>2</v>
      </c>
      <c r="BI307">
        <v>0</v>
      </c>
      <c r="BJ307">
        <v>0</v>
      </c>
      <c r="BK307">
        <v>0</v>
      </c>
      <c r="BL307">
        <v>2</v>
      </c>
      <c r="BM307">
        <v>0</v>
      </c>
      <c r="BN307">
        <v>3</v>
      </c>
      <c r="BO307">
        <v>0</v>
      </c>
      <c r="BP307">
        <v>1</v>
      </c>
      <c r="BQ307">
        <v>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2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7</v>
      </c>
      <c r="DI307">
        <v>0</v>
      </c>
      <c r="DJ307">
        <v>0</v>
      </c>
      <c r="DK307">
        <v>0</v>
      </c>
      <c r="DL307">
        <v>1</v>
      </c>
      <c r="DM307">
        <v>1</v>
      </c>
      <c r="DN307">
        <v>0</v>
      </c>
      <c r="DO307">
        <v>1</v>
      </c>
      <c r="DP307">
        <v>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1</v>
      </c>
      <c r="EU307">
        <v>1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</row>
    <row r="308" spans="1:201" x14ac:dyDescent="0.3">
      <c r="A308" t="s">
        <v>301</v>
      </c>
      <c r="B308" t="s">
        <v>303</v>
      </c>
      <c r="C308" t="s">
        <v>200</v>
      </c>
      <c r="D308" s="1">
        <v>13795</v>
      </c>
      <c r="E308" s="1">
        <v>5786</v>
      </c>
      <c r="F308">
        <v>371</v>
      </c>
      <c r="G308" s="1">
        <v>1286</v>
      </c>
      <c r="H308">
        <v>339</v>
      </c>
      <c r="I308">
        <v>478</v>
      </c>
      <c r="J308">
        <v>381</v>
      </c>
      <c r="K308">
        <v>839</v>
      </c>
      <c r="L308">
        <v>614</v>
      </c>
      <c r="M308">
        <v>640</v>
      </c>
      <c r="N308">
        <v>200</v>
      </c>
      <c r="O308">
        <v>686</v>
      </c>
      <c r="P308">
        <v>155</v>
      </c>
      <c r="Q308">
        <v>390</v>
      </c>
      <c r="R308">
        <v>268</v>
      </c>
      <c r="S308">
        <v>154</v>
      </c>
      <c r="T308">
        <v>77</v>
      </c>
      <c r="U308">
        <v>45</v>
      </c>
      <c r="V308">
        <v>422</v>
      </c>
      <c r="W308">
        <v>56</v>
      </c>
      <c r="X308">
        <v>38</v>
      </c>
      <c r="Y308">
        <v>23</v>
      </c>
      <c r="Z308">
        <v>27</v>
      </c>
      <c r="AA308">
        <v>91</v>
      </c>
      <c r="AB308">
        <v>12</v>
      </c>
      <c r="AC308">
        <v>27</v>
      </c>
      <c r="AD308">
        <v>60</v>
      </c>
      <c r="AE308">
        <v>12</v>
      </c>
      <c r="AF308">
        <v>16</v>
      </c>
      <c r="AG308">
        <v>9</v>
      </c>
      <c r="AH308">
        <v>16</v>
      </c>
      <c r="AI308">
        <v>4</v>
      </c>
      <c r="AJ308">
        <v>7</v>
      </c>
      <c r="AK308">
        <v>2</v>
      </c>
      <c r="AL308">
        <v>23</v>
      </c>
      <c r="AM308">
        <v>3</v>
      </c>
      <c r="AN308">
        <v>5</v>
      </c>
      <c r="AO308">
        <v>45</v>
      </c>
      <c r="AP308">
        <v>9</v>
      </c>
      <c r="AQ308">
        <v>5</v>
      </c>
      <c r="AR308">
        <v>10</v>
      </c>
      <c r="AS308">
        <v>5</v>
      </c>
      <c r="AT308">
        <v>3</v>
      </c>
      <c r="AU308">
        <v>4</v>
      </c>
      <c r="AV308">
        <v>10</v>
      </c>
      <c r="AW308">
        <v>7</v>
      </c>
      <c r="AX308">
        <v>0</v>
      </c>
      <c r="AY308">
        <v>8</v>
      </c>
      <c r="AZ308">
        <v>6</v>
      </c>
      <c r="BA308">
        <v>3</v>
      </c>
      <c r="BB308">
        <v>0</v>
      </c>
      <c r="BC308">
        <v>3</v>
      </c>
      <c r="BD308">
        <v>0</v>
      </c>
      <c r="BE308">
        <v>0</v>
      </c>
      <c r="BF308">
        <v>0</v>
      </c>
      <c r="BG308">
        <v>7</v>
      </c>
      <c r="BH308">
        <v>21</v>
      </c>
      <c r="BI308">
        <v>1</v>
      </c>
      <c r="BJ308">
        <v>2</v>
      </c>
      <c r="BK308">
        <v>0</v>
      </c>
      <c r="BL308">
        <v>2</v>
      </c>
      <c r="BM308">
        <v>1</v>
      </c>
      <c r="BN308">
        <v>7</v>
      </c>
      <c r="BO308">
        <v>2</v>
      </c>
      <c r="BP308">
        <v>0</v>
      </c>
      <c r="BQ308">
        <v>2</v>
      </c>
      <c r="BR308">
        <v>2</v>
      </c>
      <c r="BS308">
        <v>7</v>
      </c>
      <c r="BT308">
        <v>0</v>
      </c>
      <c r="BU308">
        <v>0</v>
      </c>
      <c r="BV308">
        <v>3</v>
      </c>
      <c r="BW308">
        <v>0</v>
      </c>
      <c r="BX308">
        <v>0</v>
      </c>
      <c r="BY308">
        <v>0</v>
      </c>
      <c r="BZ308">
        <v>8</v>
      </c>
      <c r="CA308">
        <v>0</v>
      </c>
      <c r="CB308">
        <v>0</v>
      </c>
      <c r="CC308">
        <v>3</v>
      </c>
      <c r="CD308">
        <v>2</v>
      </c>
      <c r="CE308">
        <v>1</v>
      </c>
      <c r="CF308">
        <v>0</v>
      </c>
      <c r="CG308">
        <v>1</v>
      </c>
      <c r="CH308">
        <v>0</v>
      </c>
      <c r="CI308">
        <v>7</v>
      </c>
      <c r="CJ308">
        <v>1</v>
      </c>
      <c r="CK308">
        <v>4</v>
      </c>
      <c r="CL308">
        <v>0</v>
      </c>
      <c r="CM308">
        <v>7</v>
      </c>
      <c r="CN308">
        <v>0</v>
      </c>
      <c r="CO308">
        <v>0</v>
      </c>
      <c r="CP308">
        <v>0</v>
      </c>
      <c r="CQ308">
        <v>0</v>
      </c>
      <c r="CR308">
        <v>1</v>
      </c>
      <c r="CS308">
        <v>2</v>
      </c>
      <c r="CT308">
        <v>2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3</v>
      </c>
      <c r="DA308">
        <v>1</v>
      </c>
      <c r="DB308">
        <v>0</v>
      </c>
      <c r="DC308">
        <v>0</v>
      </c>
      <c r="DD308">
        <v>1</v>
      </c>
      <c r="DE308">
        <v>0</v>
      </c>
      <c r="DF308">
        <v>1</v>
      </c>
      <c r="DG308">
        <v>1</v>
      </c>
      <c r="DH308">
        <v>0</v>
      </c>
      <c r="DI308">
        <v>0</v>
      </c>
      <c r="DJ308">
        <v>0</v>
      </c>
      <c r="DK308">
        <v>0</v>
      </c>
      <c r="DL308">
        <v>1</v>
      </c>
      <c r="DM308">
        <v>2</v>
      </c>
      <c r="DN308">
        <v>0</v>
      </c>
      <c r="DO308">
        <v>1</v>
      </c>
      <c r="DP308">
        <v>0</v>
      </c>
      <c r="DQ308">
        <v>0</v>
      </c>
      <c r="DR308">
        <v>1</v>
      </c>
      <c r="DS308">
        <v>0</v>
      </c>
      <c r="DT308">
        <v>0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1</v>
      </c>
      <c r="EK308">
        <v>0</v>
      </c>
      <c r="EL308">
        <v>0</v>
      </c>
      <c r="EM308">
        <v>0</v>
      </c>
      <c r="EN308">
        <v>0</v>
      </c>
      <c r="EO308">
        <v>1</v>
      </c>
      <c r="EP308">
        <v>0</v>
      </c>
      <c r="EQ308">
        <v>1</v>
      </c>
      <c r="ER308">
        <v>0</v>
      </c>
      <c r="ES308">
        <v>0</v>
      </c>
      <c r="ET308">
        <v>0</v>
      </c>
      <c r="EU308">
        <v>0</v>
      </c>
      <c r="EV308">
        <v>1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1</v>
      </c>
      <c r="FE308">
        <v>0</v>
      </c>
      <c r="FF308">
        <v>0</v>
      </c>
      <c r="FG308">
        <v>0</v>
      </c>
      <c r="FH308">
        <v>0</v>
      </c>
      <c r="FI308">
        <v>1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</row>
    <row r="309" spans="1:201" x14ac:dyDescent="0.3">
      <c r="A309" t="s">
        <v>301</v>
      </c>
      <c r="B309" t="s">
        <v>303</v>
      </c>
      <c r="C309" t="s">
        <v>203</v>
      </c>
      <c r="D309" s="1">
        <v>7649</v>
      </c>
      <c r="E309" s="1">
        <v>2717</v>
      </c>
      <c r="F309">
        <v>208</v>
      </c>
      <c r="G309">
        <v>591</v>
      </c>
      <c r="H309">
        <v>279</v>
      </c>
      <c r="I309">
        <v>336</v>
      </c>
      <c r="J309">
        <v>270</v>
      </c>
      <c r="K309">
        <v>752</v>
      </c>
      <c r="L309">
        <v>416</v>
      </c>
      <c r="M309">
        <v>357</v>
      </c>
      <c r="N309">
        <v>52</v>
      </c>
      <c r="O309">
        <v>316</v>
      </c>
      <c r="P309">
        <v>88</v>
      </c>
      <c r="Q309">
        <v>300</v>
      </c>
      <c r="R309">
        <v>207</v>
      </c>
      <c r="S309">
        <v>27</v>
      </c>
      <c r="T309">
        <v>28</v>
      </c>
      <c r="U309">
        <v>26</v>
      </c>
      <c r="V309">
        <v>342</v>
      </c>
      <c r="W309">
        <v>25</v>
      </c>
      <c r="X309">
        <v>20</v>
      </c>
      <c r="Y309">
        <v>14</v>
      </c>
      <c r="Z309">
        <v>11</v>
      </c>
      <c r="AA309">
        <v>77</v>
      </c>
      <c r="AB309">
        <v>2</v>
      </c>
      <c r="AC309">
        <v>12</v>
      </c>
      <c r="AD309">
        <v>18</v>
      </c>
      <c r="AE309">
        <v>12</v>
      </c>
      <c r="AF309">
        <v>10</v>
      </c>
      <c r="AG309">
        <v>4</v>
      </c>
      <c r="AH309">
        <v>9</v>
      </c>
      <c r="AI309">
        <v>4</v>
      </c>
      <c r="AJ309">
        <v>5</v>
      </c>
      <c r="AK309">
        <v>2</v>
      </c>
      <c r="AL309">
        <v>3</v>
      </c>
      <c r="AM309">
        <v>1</v>
      </c>
      <c r="AN309">
        <v>4</v>
      </c>
      <c r="AO309">
        <v>28</v>
      </c>
      <c r="AP309">
        <v>4</v>
      </c>
      <c r="AQ309">
        <v>1</v>
      </c>
      <c r="AR309">
        <v>6</v>
      </c>
      <c r="AS309">
        <v>0</v>
      </c>
      <c r="AT309">
        <v>2</v>
      </c>
      <c r="AU309">
        <v>1</v>
      </c>
      <c r="AV309">
        <v>6</v>
      </c>
      <c r="AW309">
        <v>2</v>
      </c>
      <c r="AX309">
        <v>0</v>
      </c>
      <c r="AY309">
        <v>2</v>
      </c>
      <c r="AZ309">
        <v>6</v>
      </c>
      <c r="BA309">
        <v>1</v>
      </c>
      <c r="BB309">
        <v>0</v>
      </c>
      <c r="BC309">
        <v>1</v>
      </c>
      <c r="BD309">
        <v>0</v>
      </c>
      <c r="BE309">
        <v>0</v>
      </c>
      <c r="BF309">
        <v>0</v>
      </c>
      <c r="BG309">
        <v>4</v>
      </c>
      <c r="BH309">
        <v>6</v>
      </c>
      <c r="BI309">
        <v>0</v>
      </c>
      <c r="BJ309">
        <v>0</v>
      </c>
      <c r="BK309">
        <v>0</v>
      </c>
      <c r="BL309">
        <v>2</v>
      </c>
      <c r="BM309">
        <v>0</v>
      </c>
      <c r="BN309">
        <v>3</v>
      </c>
      <c r="BO309">
        <v>1</v>
      </c>
      <c r="BP309">
        <v>0</v>
      </c>
      <c r="BQ309">
        <v>0</v>
      </c>
      <c r="BR309">
        <v>2</v>
      </c>
      <c r="BS309">
        <v>5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6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</v>
      </c>
      <c r="CJ309">
        <v>1</v>
      </c>
      <c r="CK309">
        <v>2</v>
      </c>
      <c r="CL309">
        <v>0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</v>
      </c>
      <c r="DB309">
        <v>0</v>
      </c>
      <c r="DC309">
        <v>0</v>
      </c>
      <c r="DD309">
        <v>1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1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1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1</v>
      </c>
      <c r="FE309">
        <v>0</v>
      </c>
      <c r="FF309">
        <v>0</v>
      </c>
      <c r="FG309">
        <v>0</v>
      </c>
      <c r="FH309">
        <v>0</v>
      </c>
      <c r="FI309">
        <v>1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</row>
    <row r="310" spans="1:201" x14ac:dyDescent="0.3">
      <c r="A310" t="s">
        <v>301</v>
      </c>
      <c r="B310" t="s">
        <v>303</v>
      </c>
      <c r="C310" t="s">
        <v>204</v>
      </c>
      <c r="D310" s="1">
        <v>6146</v>
      </c>
      <c r="E310" s="1">
        <v>3069</v>
      </c>
      <c r="F310">
        <v>163</v>
      </c>
      <c r="G310">
        <v>695</v>
      </c>
      <c r="H310">
        <v>60</v>
      </c>
      <c r="I310">
        <v>142</v>
      </c>
      <c r="J310">
        <v>111</v>
      </c>
      <c r="K310">
        <v>87</v>
      </c>
      <c r="L310">
        <v>198</v>
      </c>
      <c r="M310">
        <v>283</v>
      </c>
      <c r="N310">
        <v>148</v>
      </c>
      <c r="O310">
        <v>370</v>
      </c>
      <c r="P310">
        <v>67</v>
      </c>
      <c r="Q310">
        <v>90</v>
      </c>
      <c r="R310">
        <v>61</v>
      </c>
      <c r="S310">
        <v>127</v>
      </c>
      <c r="T310">
        <v>49</v>
      </c>
      <c r="U310">
        <v>19</v>
      </c>
      <c r="V310">
        <v>80</v>
      </c>
      <c r="W310">
        <v>31</v>
      </c>
      <c r="X310">
        <v>18</v>
      </c>
      <c r="Y310">
        <v>9</v>
      </c>
      <c r="Z310">
        <v>16</v>
      </c>
      <c r="AA310">
        <v>14</v>
      </c>
      <c r="AB310">
        <v>10</v>
      </c>
      <c r="AC310">
        <v>15</v>
      </c>
      <c r="AD310">
        <v>42</v>
      </c>
      <c r="AE310">
        <v>0</v>
      </c>
      <c r="AF310">
        <v>6</v>
      </c>
      <c r="AG310">
        <v>5</v>
      </c>
      <c r="AH310">
        <v>7</v>
      </c>
      <c r="AI310">
        <v>0</v>
      </c>
      <c r="AJ310">
        <v>2</v>
      </c>
      <c r="AK310">
        <v>0</v>
      </c>
      <c r="AL310">
        <v>20</v>
      </c>
      <c r="AM310">
        <v>2</v>
      </c>
      <c r="AN310">
        <v>1</v>
      </c>
      <c r="AO310">
        <v>17</v>
      </c>
      <c r="AP310">
        <v>5</v>
      </c>
      <c r="AQ310">
        <v>4</v>
      </c>
      <c r="AR310">
        <v>4</v>
      </c>
      <c r="AS310">
        <v>5</v>
      </c>
      <c r="AT310">
        <v>1</v>
      </c>
      <c r="AU310">
        <v>3</v>
      </c>
      <c r="AV310">
        <v>4</v>
      </c>
      <c r="AW310">
        <v>5</v>
      </c>
      <c r="AX310">
        <v>0</v>
      </c>
      <c r="AY310">
        <v>6</v>
      </c>
      <c r="AZ310">
        <v>0</v>
      </c>
      <c r="BA310">
        <v>2</v>
      </c>
      <c r="BB310">
        <v>0</v>
      </c>
      <c r="BC310">
        <v>2</v>
      </c>
      <c r="BD310">
        <v>0</v>
      </c>
      <c r="BE310">
        <v>0</v>
      </c>
      <c r="BF310">
        <v>0</v>
      </c>
      <c r="BG310">
        <v>3</v>
      </c>
      <c r="BH310">
        <v>15</v>
      </c>
      <c r="BI310">
        <v>1</v>
      </c>
      <c r="BJ310">
        <v>2</v>
      </c>
      <c r="BK310">
        <v>0</v>
      </c>
      <c r="BL310">
        <v>0</v>
      </c>
      <c r="BM310">
        <v>1</v>
      </c>
      <c r="BN310">
        <v>4</v>
      </c>
      <c r="BO310">
        <v>1</v>
      </c>
      <c r="BP310">
        <v>0</v>
      </c>
      <c r="BQ310">
        <v>2</v>
      </c>
      <c r="BR310">
        <v>0</v>
      </c>
      <c r="BS310">
        <v>2</v>
      </c>
      <c r="BT310">
        <v>0</v>
      </c>
      <c r="BU310">
        <v>0</v>
      </c>
      <c r="BV310">
        <v>3</v>
      </c>
      <c r="BW310">
        <v>0</v>
      </c>
      <c r="BX310">
        <v>0</v>
      </c>
      <c r="BY310">
        <v>0</v>
      </c>
      <c r="BZ310">
        <v>2</v>
      </c>
      <c r="CA310">
        <v>0</v>
      </c>
      <c r="CB310">
        <v>0</v>
      </c>
      <c r="CC310">
        <v>2</v>
      </c>
      <c r="CD310">
        <v>2</v>
      </c>
      <c r="CE310">
        <v>1</v>
      </c>
      <c r="CF310">
        <v>0</v>
      </c>
      <c r="CG310">
        <v>1</v>
      </c>
      <c r="CH310">
        <v>0</v>
      </c>
      <c r="CI310">
        <v>6</v>
      </c>
      <c r="CJ310">
        <v>0</v>
      </c>
      <c r="CK310">
        <v>2</v>
      </c>
      <c r="CL310">
        <v>0</v>
      </c>
      <c r="CM310">
        <v>6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2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3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1</v>
      </c>
      <c r="DG310">
        <v>1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2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1</v>
      </c>
      <c r="EK310">
        <v>0</v>
      </c>
      <c r="EL310">
        <v>0</v>
      </c>
      <c r="EM310">
        <v>0</v>
      </c>
      <c r="EN310">
        <v>0</v>
      </c>
      <c r="EO310">
        <v>1</v>
      </c>
      <c r="EP310">
        <v>0</v>
      </c>
      <c r="EQ310">
        <v>1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</row>
    <row r="311" spans="1:201" x14ac:dyDescent="0.3">
      <c r="A311" t="s">
        <v>301</v>
      </c>
      <c r="B311" t="s">
        <v>304</v>
      </c>
      <c r="C311" t="s">
        <v>200</v>
      </c>
      <c r="D311" s="1">
        <v>8070</v>
      </c>
      <c r="E311" s="1">
        <v>1461</v>
      </c>
      <c r="F311">
        <v>411</v>
      </c>
      <c r="G311">
        <v>566</v>
      </c>
      <c r="H311">
        <v>471</v>
      </c>
      <c r="I311">
        <v>583</v>
      </c>
      <c r="J311">
        <v>499</v>
      </c>
      <c r="K311">
        <v>764</v>
      </c>
      <c r="L311">
        <v>197</v>
      </c>
      <c r="M311">
        <v>426</v>
      </c>
      <c r="N311">
        <v>236</v>
      </c>
      <c r="O311">
        <v>132</v>
      </c>
      <c r="P311">
        <v>38</v>
      </c>
      <c r="Q311">
        <v>679</v>
      </c>
      <c r="R311">
        <v>253</v>
      </c>
      <c r="S311">
        <v>88</v>
      </c>
      <c r="T311">
        <v>151</v>
      </c>
      <c r="U311">
        <v>224</v>
      </c>
      <c r="V311">
        <v>248</v>
      </c>
      <c r="W311">
        <v>11</v>
      </c>
      <c r="X311">
        <v>84</v>
      </c>
      <c r="Y311">
        <v>15</v>
      </c>
      <c r="Z311">
        <v>28</v>
      </c>
      <c r="AA311">
        <v>14</v>
      </c>
      <c r="AB311">
        <v>3</v>
      </c>
      <c r="AC311">
        <v>12</v>
      </c>
      <c r="AD311">
        <v>33</v>
      </c>
      <c r="AE311">
        <v>5</v>
      </c>
      <c r="AF311">
        <v>9</v>
      </c>
      <c r="AG311">
        <v>10</v>
      </c>
      <c r="AH311">
        <v>8</v>
      </c>
      <c r="AI311">
        <v>61</v>
      </c>
      <c r="AJ311">
        <v>67</v>
      </c>
      <c r="AK311">
        <v>6</v>
      </c>
      <c r="AL311">
        <v>27</v>
      </c>
      <c r="AM311">
        <v>0</v>
      </c>
      <c r="AN311">
        <v>2</v>
      </c>
      <c r="AO311">
        <v>22</v>
      </c>
      <c r="AP311">
        <v>22</v>
      </c>
      <c r="AQ311">
        <v>8</v>
      </c>
      <c r="AR311">
        <v>3</v>
      </c>
      <c r="AS311">
        <v>2</v>
      </c>
      <c r="AT311">
        <v>0</v>
      </c>
      <c r="AU311">
        <v>8</v>
      </c>
      <c r="AV311">
        <v>33</v>
      </c>
      <c r="AW311">
        <v>1</v>
      </c>
      <c r="AX311">
        <v>2</v>
      </c>
      <c r="AY311">
        <v>2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1</v>
      </c>
      <c r="BG311">
        <v>1</v>
      </c>
      <c r="BH311">
        <v>1</v>
      </c>
      <c r="BI311">
        <v>5</v>
      </c>
      <c r="BJ311">
        <v>5</v>
      </c>
      <c r="BK311">
        <v>0</v>
      </c>
      <c r="BL311">
        <v>0</v>
      </c>
      <c r="BM311">
        <v>1</v>
      </c>
      <c r="BN311">
        <v>2</v>
      </c>
      <c r="BO311">
        <v>1</v>
      </c>
      <c r="BP311">
        <v>23</v>
      </c>
      <c r="BQ311">
        <v>4</v>
      </c>
      <c r="BR311">
        <v>0</v>
      </c>
      <c r="BS311">
        <v>1</v>
      </c>
      <c r="BT311">
        <v>0</v>
      </c>
      <c r="BU311">
        <v>0</v>
      </c>
      <c r="BV311">
        <v>2</v>
      </c>
      <c r="BW311">
        <v>0</v>
      </c>
      <c r="BX311">
        <v>14</v>
      </c>
      <c r="BY311">
        <v>0</v>
      </c>
      <c r="BZ311">
        <v>1</v>
      </c>
      <c r="CA311">
        <v>0</v>
      </c>
      <c r="CB311">
        <v>3</v>
      </c>
      <c r="CC311">
        <v>2</v>
      </c>
      <c r="CD311">
        <v>0</v>
      </c>
      <c r="CE311">
        <v>0</v>
      </c>
      <c r="CF311">
        <v>0</v>
      </c>
      <c r="CG311">
        <v>0</v>
      </c>
      <c r="CH311">
        <v>7</v>
      </c>
      <c r="CI311">
        <v>1</v>
      </c>
      <c r="CJ311">
        <v>0</v>
      </c>
      <c r="CK311">
        <v>0</v>
      </c>
      <c r="CL311">
        <v>0</v>
      </c>
      <c r="CM311">
        <v>42</v>
      </c>
      <c r="CN311">
        <v>0</v>
      </c>
      <c r="CO311">
        <v>12</v>
      </c>
      <c r="CP311">
        <v>0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2</v>
      </c>
      <c r="DI311">
        <v>0</v>
      </c>
      <c r="DJ311">
        <v>0</v>
      </c>
      <c r="DK311">
        <v>0</v>
      </c>
      <c r="DL311">
        <v>0</v>
      </c>
      <c r="DM311">
        <v>2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3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1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1</v>
      </c>
      <c r="EK311">
        <v>0</v>
      </c>
      <c r="EL311">
        <v>0</v>
      </c>
      <c r="EM311">
        <v>2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1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2</v>
      </c>
    </row>
    <row r="312" spans="1:201" x14ac:dyDescent="0.3">
      <c r="A312" t="s">
        <v>301</v>
      </c>
      <c r="B312" t="s">
        <v>304</v>
      </c>
      <c r="C312" t="s">
        <v>203</v>
      </c>
      <c r="D312" s="1">
        <v>5409</v>
      </c>
      <c r="E312">
        <v>814</v>
      </c>
      <c r="F312">
        <v>249</v>
      </c>
      <c r="G312">
        <v>224</v>
      </c>
      <c r="H312">
        <v>415</v>
      </c>
      <c r="I312">
        <v>350</v>
      </c>
      <c r="J312">
        <v>381</v>
      </c>
      <c r="K312">
        <v>708</v>
      </c>
      <c r="L312">
        <v>184</v>
      </c>
      <c r="M312">
        <v>280</v>
      </c>
      <c r="N312">
        <v>134</v>
      </c>
      <c r="O312">
        <v>65</v>
      </c>
      <c r="P312">
        <v>23</v>
      </c>
      <c r="Q312">
        <v>588</v>
      </c>
      <c r="R312">
        <v>188</v>
      </c>
      <c r="S312">
        <v>11</v>
      </c>
      <c r="T312">
        <v>72</v>
      </c>
      <c r="U312">
        <v>109</v>
      </c>
      <c r="V312">
        <v>208</v>
      </c>
      <c r="W312">
        <v>4</v>
      </c>
      <c r="X312">
        <v>66</v>
      </c>
      <c r="Y312">
        <v>3</v>
      </c>
      <c r="Z312">
        <v>13</v>
      </c>
      <c r="AA312">
        <v>10</v>
      </c>
      <c r="AB312">
        <v>1</v>
      </c>
      <c r="AC312">
        <v>8</v>
      </c>
      <c r="AD312">
        <v>7</v>
      </c>
      <c r="AE312">
        <v>5</v>
      </c>
      <c r="AF312">
        <v>5</v>
      </c>
      <c r="AG312">
        <v>4</v>
      </c>
      <c r="AH312">
        <v>7</v>
      </c>
      <c r="AI312">
        <v>52</v>
      </c>
      <c r="AJ312">
        <v>42</v>
      </c>
      <c r="AK312">
        <v>4</v>
      </c>
      <c r="AL312">
        <v>12</v>
      </c>
      <c r="AM312">
        <v>0</v>
      </c>
      <c r="AN312">
        <v>2</v>
      </c>
      <c r="AO312">
        <v>10</v>
      </c>
      <c r="AP312">
        <v>13</v>
      </c>
      <c r="AQ312">
        <v>1</v>
      </c>
      <c r="AR312">
        <v>2</v>
      </c>
      <c r="AS312">
        <v>1</v>
      </c>
      <c r="AT312">
        <v>0</v>
      </c>
      <c r="AU312">
        <v>3</v>
      </c>
      <c r="AV312">
        <v>27</v>
      </c>
      <c r="AW312">
        <v>1</v>
      </c>
      <c r="AX312">
        <v>2</v>
      </c>
      <c r="AY312">
        <v>2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1</v>
      </c>
      <c r="BH312">
        <v>1</v>
      </c>
      <c r="BI312">
        <v>5</v>
      </c>
      <c r="BJ312">
        <v>2</v>
      </c>
      <c r="BK312">
        <v>0</v>
      </c>
      <c r="BL312">
        <v>0</v>
      </c>
      <c r="BM312">
        <v>1</v>
      </c>
      <c r="BN312">
        <v>1</v>
      </c>
      <c r="BO312">
        <v>1</v>
      </c>
      <c r="BP312">
        <v>18</v>
      </c>
      <c r="BQ312">
        <v>3</v>
      </c>
      <c r="BR312">
        <v>0</v>
      </c>
      <c r="BS312">
        <v>1</v>
      </c>
      <c r="BT312">
        <v>0</v>
      </c>
      <c r="BU312">
        <v>0</v>
      </c>
      <c r="BV312">
        <v>2</v>
      </c>
      <c r="BW312">
        <v>0</v>
      </c>
      <c r="BX312">
        <v>8</v>
      </c>
      <c r="BY312">
        <v>0</v>
      </c>
      <c r="BZ312">
        <v>1</v>
      </c>
      <c r="CA312">
        <v>0</v>
      </c>
      <c r="CB312">
        <v>3</v>
      </c>
      <c r="CC312">
        <v>2</v>
      </c>
      <c r="CD312">
        <v>0</v>
      </c>
      <c r="CE312">
        <v>0</v>
      </c>
      <c r="CF312">
        <v>0</v>
      </c>
      <c r="CG312">
        <v>0</v>
      </c>
      <c r="CH312">
        <v>4</v>
      </c>
      <c r="CI312">
        <v>1</v>
      </c>
      <c r="CJ312">
        <v>0</v>
      </c>
      <c r="CK312">
        <v>0</v>
      </c>
      <c r="CL312">
        <v>0</v>
      </c>
      <c r="CM312">
        <v>26</v>
      </c>
      <c r="CN312">
        <v>0</v>
      </c>
      <c r="CO312">
        <v>8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2</v>
      </c>
      <c r="DI312">
        <v>0</v>
      </c>
      <c r="DJ312">
        <v>0</v>
      </c>
      <c r="DK312">
        <v>0</v>
      </c>
      <c r="DL312">
        <v>0</v>
      </c>
      <c r="DM312">
        <v>1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1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1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2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2</v>
      </c>
    </row>
    <row r="313" spans="1:201" x14ac:dyDescent="0.3">
      <c r="A313" t="s">
        <v>301</v>
      </c>
      <c r="B313" t="s">
        <v>304</v>
      </c>
      <c r="C313" t="s">
        <v>204</v>
      </c>
      <c r="D313" s="1">
        <v>2661</v>
      </c>
      <c r="E313">
        <v>647</v>
      </c>
      <c r="F313">
        <v>162</v>
      </c>
      <c r="G313">
        <v>342</v>
      </c>
      <c r="H313">
        <v>56</v>
      </c>
      <c r="I313">
        <v>233</v>
      </c>
      <c r="J313">
        <v>118</v>
      </c>
      <c r="K313">
        <v>56</v>
      </c>
      <c r="L313">
        <v>13</v>
      </c>
      <c r="M313">
        <v>146</v>
      </c>
      <c r="N313">
        <v>102</v>
      </c>
      <c r="O313">
        <v>67</v>
      </c>
      <c r="P313">
        <v>15</v>
      </c>
      <c r="Q313">
        <v>91</v>
      </c>
      <c r="R313">
        <v>65</v>
      </c>
      <c r="S313">
        <v>77</v>
      </c>
      <c r="T313">
        <v>79</v>
      </c>
      <c r="U313">
        <v>115</v>
      </c>
      <c r="V313">
        <v>40</v>
      </c>
      <c r="W313">
        <v>7</v>
      </c>
      <c r="X313">
        <v>18</v>
      </c>
      <c r="Y313">
        <v>12</v>
      </c>
      <c r="Z313">
        <v>15</v>
      </c>
      <c r="AA313">
        <v>4</v>
      </c>
      <c r="AB313">
        <v>2</v>
      </c>
      <c r="AC313">
        <v>4</v>
      </c>
      <c r="AD313">
        <v>26</v>
      </c>
      <c r="AE313">
        <v>0</v>
      </c>
      <c r="AF313">
        <v>4</v>
      </c>
      <c r="AG313">
        <v>6</v>
      </c>
      <c r="AH313">
        <v>1</v>
      </c>
      <c r="AI313">
        <v>9</v>
      </c>
      <c r="AJ313">
        <v>25</v>
      </c>
      <c r="AK313">
        <v>2</v>
      </c>
      <c r="AL313">
        <v>15</v>
      </c>
      <c r="AM313">
        <v>0</v>
      </c>
      <c r="AN313">
        <v>0</v>
      </c>
      <c r="AO313">
        <v>12</v>
      </c>
      <c r="AP313">
        <v>9</v>
      </c>
      <c r="AQ313">
        <v>7</v>
      </c>
      <c r="AR313">
        <v>1</v>
      </c>
      <c r="AS313">
        <v>1</v>
      </c>
      <c r="AT313">
        <v>0</v>
      </c>
      <c r="AU313">
        <v>5</v>
      </c>
      <c r="AV313">
        <v>6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3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5</v>
      </c>
      <c r="BQ313">
        <v>1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6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3</v>
      </c>
      <c r="CI313">
        <v>0</v>
      </c>
      <c r="CJ313">
        <v>0</v>
      </c>
      <c r="CK313">
        <v>0</v>
      </c>
      <c r="CL313">
        <v>0</v>
      </c>
      <c r="CM313">
        <v>16</v>
      </c>
      <c r="CN313">
        <v>0</v>
      </c>
      <c r="CO313">
        <v>4</v>
      </c>
      <c r="CP313">
        <v>0</v>
      </c>
      <c r="CQ313">
        <v>0</v>
      </c>
      <c r="CR313">
        <v>0</v>
      </c>
      <c r="CS313">
        <v>1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2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1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1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</row>
    <row r="314" spans="1:201" x14ac:dyDescent="0.3">
      <c r="A314" t="s">
        <v>301</v>
      </c>
      <c r="B314" t="s">
        <v>298</v>
      </c>
      <c r="C314" t="s">
        <v>200</v>
      </c>
      <c r="D314" s="1">
        <v>2110</v>
      </c>
      <c r="E314">
        <v>525</v>
      </c>
      <c r="F314">
        <v>154</v>
      </c>
      <c r="G314">
        <v>358</v>
      </c>
      <c r="H314">
        <v>17</v>
      </c>
      <c r="I314">
        <v>60</v>
      </c>
      <c r="J314">
        <v>44</v>
      </c>
      <c r="K314">
        <v>14</v>
      </c>
      <c r="L314">
        <v>27</v>
      </c>
      <c r="M314">
        <v>119</v>
      </c>
      <c r="N314">
        <v>80</v>
      </c>
      <c r="O314">
        <v>29</v>
      </c>
      <c r="P314">
        <v>163</v>
      </c>
      <c r="Q314">
        <v>11</v>
      </c>
      <c r="R314">
        <v>9</v>
      </c>
      <c r="S314">
        <v>90</v>
      </c>
      <c r="T314">
        <v>54</v>
      </c>
      <c r="U314">
        <v>11</v>
      </c>
      <c r="V314">
        <v>8</v>
      </c>
      <c r="W314">
        <v>45</v>
      </c>
      <c r="X314">
        <v>21</v>
      </c>
      <c r="Y314">
        <v>26</v>
      </c>
      <c r="Z314">
        <v>66</v>
      </c>
      <c r="AA314">
        <v>14</v>
      </c>
      <c r="AB314">
        <v>1</v>
      </c>
      <c r="AC314">
        <v>9</v>
      </c>
      <c r="AD314">
        <v>24</v>
      </c>
      <c r="AE314">
        <v>0</v>
      </c>
      <c r="AF314">
        <v>30</v>
      </c>
      <c r="AG314">
        <v>10</v>
      </c>
      <c r="AH314">
        <v>2</v>
      </c>
      <c r="AI314">
        <v>7</v>
      </c>
      <c r="AJ314">
        <v>5</v>
      </c>
      <c r="AK314">
        <v>0</v>
      </c>
      <c r="AL314">
        <v>3</v>
      </c>
      <c r="AM314">
        <v>2</v>
      </c>
      <c r="AN314">
        <v>3</v>
      </c>
      <c r="AO314">
        <v>0</v>
      </c>
      <c r="AP314">
        <v>0</v>
      </c>
      <c r="AQ314">
        <v>3</v>
      </c>
      <c r="AR314">
        <v>5</v>
      </c>
      <c r="AS314">
        <v>9</v>
      </c>
      <c r="AT314">
        <v>1</v>
      </c>
      <c r="AU314">
        <v>0</v>
      </c>
      <c r="AV314">
        <v>0</v>
      </c>
      <c r="AW314">
        <v>3</v>
      </c>
      <c r="AX314">
        <v>0</v>
      </c>
      <c r="AY314">
        <v>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3</v>
      </c>
      <c r="BF314">
        <v>0</v>
      </c>
      <c r="BG314">
        <v>1</v>
      </c>
      <c r="BH314">
        <v>2</v>
      </c>
      <c r="BI314">
        <v>3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1</v>
      </c>
      <c r="BP314">
        <v>0</v>
      </c>
      <c r="BQ314">
        <v>3</v>
      </c>
      <c r="BR314">
        <v>0</v>
      </c>
      <c r="BS314">
        <v>3</v>
      </c>
      <c r="BT314">
        <v>1</v>
      </c>
      <c r="BU314">
        <v>1</v>
      </c>
      <c r="BV314">
        <v>0</v>
      </c>
      <c r="BW314">
        <v>0</v>
      </c>
      <c r="BX314">
        <v>0</v>
      </c>
      <c r="BY314">
        <v>5</v>
      </c>
      <c r="BZ314">
        <v>1</v>
      </c>
      <c r="CA314">
        <v>0</v>
      </c>
      <c r="CB314">
        <v>1</v>
      </c>
      <c r="CC314">
        <v>0</v>
      </c>
      <c r="CD314">
        <v>2</v>
      </c>
      <c r="CE314">
        <v>0</v>
      </c>
      <c r="CF314">
        <v>0</v>
      </c>
      <c r="CG314">
        <v>1</v>
      </c>
      <c r="CH314">
        <v>0</v>
      </c>
      <c r="CI314">
        <v>1</v>
      </c>
      <c r="CJ314">
        <v>1</v>
      </c>
      <c r="CK314">
        <v>0</v>
      </c>
      <c r="CL314">
        <v>0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0</v>
      </c>
      <c r="CU314">
        <v>0</v>
      </c>
      <c r="CV314">
        <v>2</v>
      </c>
      <c r="CW314">
        <v>0</v>
      </c>
      <c r="CX314">
        <v>0</v>
      </c>
      <c r="CY314">
        <v>0</v>
      </c>
      <c r="CZ314">
        <v>0</v>
      </c>
      <c r="DA314">
        <v>1</v>
      </c>
      <c r="DB314">
        <v>1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1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1</v>
      </c>
      <c r="EA314">
        <v>0</v>
      </c>
      <c r="EB314">
        <v>0</v>
      </c>
      <c r="EC314">
        <v>0</v>
      </c>
      <c r="ED314">
        <v>0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2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1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</row>
    <row r="315" spans="1:201" x14ac:dyDescent="0.3">
      <c r="A315" t="s">
        <v>301</v>
      </c>
      <c r="B315" t="s">
        <v>298</v>
      </c>
      <c r="C315" t="s">
        <v>203</v>
      </c>
      <c r="D315">
        <v>727</v>
      </c>
      <c r="E315">
        <v>138</v>
      </c>
      <c r="F315">
        <v>81</v>
      </c>
      <c r="G315">
        <v>104</v>
      </c>
      <c r="H315">
        <v>11</v>
      </c>
      <c r="I315">
        <v>28</v>
      </c>
      <c r="J315">
        <v>4</v>
      </c>
      <c r="K315">
        <v>3</v>
      </c>
      <c r="L315">
        <v>24</v>
      </c>
      <c r="M315">
        <v>8</v>
      </c>
      <c r="N315">
        <v>4</v>
      </c>
      <c r="O315">
        <v>10</v>
      </c>
      <c r="P315">
        <v>93</v>
      </c>
      <c r="Q315">
        <v>6</v>
      </c>
      <c r="R315">
        <v>9</v>
      </c>
      <c r="S315">
        <v>10</v>
      </c>
      <c r="T315">
        <v>15</v>
      </c>
      <c r="U315">
        <v>5</v>
      </c>
      <c r="V315">
        <v>6</v>
      </c>
      <c r="W315">
        <v>23</v>
      </c>
      <c r="X315">
        <v>12</v>
      </c>
      <c r="Y315">
        <v>1</v>
      </c>
      <c r="Z315">
        <v>43</v>
      </c>
      <c r="AA315">
        <v>10</v>
      </c>
      <c r="AB315">
        <v>0</v>
      </c>
      <c r="AC315">
        <v>5</v>
      </c>
      <c r="AD315">
        <v>6</v>
      </c>
      <c r="AE315">
        <v>0</v>
      </c>
      <c r="AF315">
        <v>20</v>
      </c>
      <c r="AG315">
        <v>5</v>
      </c>
      <c r="AH315">
        <v>2</v>
      </c>
      <c r="AI315">
        <v>2</v>
      </c>
      <c r="AJ315">
        <v>2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4</v>
      </c>
      <c r="AS315">
        <v>5</v>
      </c>
      <c r="AT315">
        <v>1</v>
      </c>
      <c r="AU315">
        <v>0</v>
      </c>
      <c r="AV315">
        <v>0</v>
      </c>
      <c r="AW315">
        <v>1</v>
      </c>
      <c r="AX315">
        <v>0</v>
      </c>
      <c r="AY315">
        <v>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</v>
      </c>
      <c r="BF315">
        <v>0</v>
      </c>
      <c r="BG315">
        <v>1</v>
      </c>
      <c r="BH315">
        <v>0</v>
      </c>
      <c r="BI315">
        <v>1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1</v>
      </c>
      <c r="BP315">
        <v>0</v>
      </c>
      <c r="BQ315">
        <v>2</v>
      </c>
      <c r="BR315">
        <v>0</v>
      </c>
      <c r="BS315">
        <v>2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3</v>
      </c>
      <c r="BZ315">
        <v>1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1</v>
      </c>
      <c r="CH315">
        <v>0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1</v>
      </c>
      <c r="DB315">
        <v>1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1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1</v>
      </c>
      <c r="EA315">
        <v>0</v>
      </c>
      <c r="EB315">
        <v>0</v>
      </c>
      <c r="EC315">
        <v>0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</row>
    <row r="316" spans="1:201" x14ac:dyDescent="0.3">
      <c r="A316" t="s">
        <v>301</v>
      </c>
      <c r="B316" t="s">
        <v>298</v>
      </c>
      <c r="C316" t="s">
        <v>204</v>
      </c>
      <c r="D316" s="1">
        <v>1383</v>
      </c>
      <c r="E316">
        <v>387</v>
      </c>
      <c r="F316">
        <v>73</v>
      </c>
      <c r="G316">
        <v>254</v>
      </c>
      <c r="H316">
        <v>6</v>
      </c>
      <c r="I316">
        <v>32</v>
      </c>
      <c r="J316">
        <v>40</v>
      </c>
      <c r="K316">
        <v>11</v>
      </c>
      <c r="L316">
        <v>3</v>
      </c>
      <c r="M316">
        <v>111</v>
      </c>
      <c r="N316">
        <v>76</v>
      </c>
      <c r="O316">
        <v>19</v>
      </c>
      <c r="P316">
        <v>70</v>
      </c>
      <c r="Q316">
        <v>5</v>
      </c>
      <c r="R316">
        <v>0</v>
      </c>
      <c r="S316">
        <v>80</v>
      </c>
      <c r="T316">
        <v>39</v>
      </c>
      <c r="U316">
        <v>6</v>
      </c>
      <c r="V316">
        <v>2</v>
      </c>
      <c r="W316">
        <v>22</v>
      </c>
      <c r="X316">
        <v>9</v>
      </c>
      <c r="Y316">
        <v>25</v>
      </c>
      <c r="Z316">
        <v>23</v>
      </c>
      <c r="AA316">
        <v>4</v>
      </c>
      <c r="AB316">
        <v>1</v>
      </c>
      <c r="AC316">
        <v>4</v>
      </c>
      <c r="AD316">
        <v>18</v>
      </c>
      <c r="AE316">
        <v>0</v>
      </c>
      <c r="AF316">
        <v>10</v>
      </c>
      <c r="AG316">
        <v>5</v>
      </c>
      <c r="AH316">
        <v>0</v>
      </c>
      <c r="AI316">
        <v>5</v>
      </c>
      <c r="AJ316">
        <v>3</v>
      </c>
      <c r="AK316">
        <v>0</v>
      </c>
      <c r="AL316">
        <v>3</v>
      </c>
      <c r="AM316">
        <v>2</v>
      </c>
      <c r="AN316">
        <v>2</v>
      </c>
      <c r="AO316">
        <v>0</v>
      </c>
      <c r="AP316">
        <v>0</v>
      </c>
      <c r="AQ316">
        <v>3</v>
      </c>
      <c r="AR316">
        <v>1</v>
      </c>
      <c r="AS316">
        <v>4</v>
      </c>
      <c r="AT316">
        <v>0</v>
      </c>
      <c r="AU316">
        <v>0</v>
      </c>
      <c r="AV316">
        <v>0</v>
      </c>
      <c r="AW316">
        <v>2</v>
      </c>
      <c r="AX316">
        <v>0</v>
      </c>
      <c r="AY316">
        <v>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0</v>
      </c>
      <c r="BG316">
        <v>0</v>
      </c>
      <c r="BH316">
        <v>2</v>
      </c>
      <c r="BI316">
        <v>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1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2</v>
      </c>
      <c r="BZ316">
        <v>0</v>
      </c>
      <c r="CA316">
        <v>0</v>
      </c>
      <c r="CB316">
        <v>0</v>
      </c>
      <c r="CC316">
        <v>0</v>
      </c>
      <c r="CD316">
        <v>2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0</v>
      </c>
      <c r="CK316">
        <v>0</v>
      </c>
      <c r="CL316">
        <v>0</v>
      </c>
      <c r="CM316">
        <v>0</v>
      </c>
      <c r="CN316">
        <v>1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2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2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1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</row>
    <row r="317" spans="1:201" x14ac:dyDescent="0.3">
      <c r="A317" t="s">
        <v>301</v>
      </c>
      <c r="B317" t="s">
        <v>299</v>
      </c>
      <c r="C317" t="s">
        <v>200</v>
      </c>
      <c r="D317" s="1">
        <v>7430</v>
      </c>
      <c r="E317" s="1">
        <v>2274</v>
      </c>
      <c r="F317">
        <v>175</v>
      </c>
      <c r="G317" s="1">
        <v>1154</v>
      </c>
      <c r="H317">
        <v>190</v>
      </c>
      <c r="I317">
        <v>297</v>
      </c>
      <c r="J317">
        <v>125</v>
      </c>
      <c r="K317">
        <v>232</v>
      </c>
      <c r="L317">
        <v>267</v>
      </c>
      <c r="M317">
        <v>207</v>
      </c>
      <c r="N317">
        <v>153</v>
      </c>
      <c r="O317">
        <v>452</v>
      </c>
      <c r="P317">
        <v>134</v>
      </c>
      <c r="Q317">
        <v>198</v>
      </c>
      <c r="R317">
        <v>100</v>
      </c>
      <c r="S317">
        <v>183</v>
      </c>
      <c r="T317">
        <v>55</v>
      </c>
      <c r="U317">
        <v>43</v>
      </c>
      <c r="V317">
        <v>206</v>
      </c>
      <c r="W317">
        <v>65</v>
      </c>
      <c r="X317">
        <v>154</v>
      </c>
      <c r="Y317">
        <v>31</v>
      </c>
      <c r="Z317">
        <v>53</v>
      </c>
      <c r="AA317">
        <v>80</v>
      </c>
      <c r="AB317">
        <v>13</v>
      </c>
      <c r="AC317">
        <v>26</v>
      </c>
      <c r="AD317">
        <v>47</v>
      </c>
      <c r="AE317">
        <v>6</v>
      </c>
      <c r="AF317">
        <v>9</v>
      </c>
      <c r="AG317">
        <v>40</v>
      </c>
      <c r="AH317">
        <v>22</v>
      </c>
      <c r="AI317">
        <v>6</v>
      </c>
      <c r="AJ317">
        <v>3</v>
      </c>
      <c r="AK317">
        <v>88</v>
      </c>
      <c r="AL317">
        <v>6</v>
      </c>
      <c r="AM317">
        <v>4</v>
      </c>
      <c r="AN317">
        <v>11</v>
      </c>
      <c r="AO317">
        <v>27</v>
      </c>
      <c r="AP317">
        <v>1</v>
      </c>
      <c r="AQ317">
        <v>10</v>
      </c>
      <c r="AR317">
        <v>20</v>
      </c>
      <c r="AS317">
        <v>5</v>
      </c>
      <c r="AT317">
        <v>17</v>
      </c>
      <c r="AU317">
        <v>13</v>
      </c>
      <c r="AV317">
        <v>11</v>
      </c>
      <c r="AW317">
        <v>9</v>
      </c>
      <c r="AX317">
        <v>2</v>
      </c>
      <c r="AY317">
        <v>13</v>
      </c>
      <c r="AZ317">
        <v>0</v>
      </c>
      <c r="BA317">
        <v>2</v>
      </c>
      <c r="BB317">
        <v>0</v>
      </c>
      <c r="BC317">
        <v>2</v>
      </c>
      <c r="BD317">
        <v>0</v>
      </c>
      <c r="BE317">
        <v>5</v>
      </c>
      <c r="BF317">
        <v>7</v>
      </c>
      <c r="BG317">
        <v>3</v>
      </c>
      <c r="BH317">
        <v>13</v>
      </c>
      <c r="BI317">
        <v>2</v>
      </c>
      <c r="BJ317">
        <v>5</v>
      </c>
      <c r="BK317">
        <v>1</v>
      </c>
      <c r="BL317">
        <v>12</v>
      </c>
      <c r="BM317">
        <v>8</v>
      </c>
      <c r="BN317">
        <v>2</v>
      </c>
      <c r="BO317">
        <v>0</v>
      </c>
      <c r="BP317">
        <v>6</v>
      </c>
      <c r="BQ317">
        <v>10</v>
      </c>
      <c r="BR317">
        <v>3</v>
      </c>
      <c r="BS317">
        <v>13</v>
      </c>
      <c r="BT317">
        <v>0</v>
      </c>
      <c r="BU317">
        <v>5</v>
      </c>
      <c r="BV317">
        <v>5</v>
      </c>
      <c r="BW317">
        <v>3</v>
      </c>
      <c r="BX317">
        <v>3</v>
      </c>
      <c r="BY317">
        <v>11</v>
      </c>
      <c r="BZ317">
        <v>2</v>
      </c>
      <c r="CA317">
        <v>0</v>
      </c>
      <c r="CB317">
        <v>0</v>
      </c>
      <c r="CC317">
        <v>2</v>
      </c>
      <c r="CD317">
        <v>2</v>
      </c>
      <c r="CE317">
        <v>4</v>
      </c>
      <c r="CF317">
        <v>2</v>
      </c>
      <c r="CG317">
        <v>2</v>
      </c>
      <c r="CH317">
        <v>1</v>
      </c>
      <c r="CI317">
        <v>2</v>
      </c>
      <c r="CJ317">
        <v>1</v>
      </c>
      <c r="CK317">
        <v>1</v>
      </c>
      <c r="CL317">
        <v>0</v>
      </c>
      <c r="CM317">
        <v>0</v>
      </c>
      <c r="CN317">
        <v>0</v>
      </c>
      <c r="CO317">
        <v>1</v>
      </c>
      <c r="CP317">
        <v>2</v>
      </c>
      <c r="CQ317">
        <v>1</v>
      </c>
      <c r="CR317">
        <v>1</v>
      </c>
      <c r="CS317">
        <v>0</v>
      </c>
      <c r="CT317">
        <v>1</v>
      </c>
      <c r="CU317">
        <v>5</v>
      </c>
      <c r="CV317">
        <v>1</v>
      </c>
      <c r="CW317">
        <v>1</v>
      </c>
      <c r="CX317">
        <v>0</v>
      </c>
      <c r="CY317">
        <v>0</v>
      </c>
      <c r="CZ317">
        <v>0</v>
      </c>
      <c r="DA317">
        <v>2</v>
      </c>
      <c r="DB317">
        <v>1</v>
      </c>
      <c r="DC317">
        <v>0</v>
      </c>
      <c r="DD317">
        <v>6</v>
      </c>
      <c r="DE317">
        <v>2</v>
      </c>
      <c r="DF317">
        <v>0</v>
      </c>
      <c r="DG317">
        <v>0</v>
      </c>
      <c r="DH317">
        <v>2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</v>
      </c>
      <c r="DO317">
        <v>2</v>
      </c>
      <c r="DP317">
        <v>3</v>
      </c>
      <c r="DQ317">
        <v>1</v>
      </c>
      <c r="DR317">
        <v>0</v>
      </c>
      <c r="DS317">
        <v>1</v>
      </c>
      <c r="DT317">
        <v>1</v>
      </c>
      <c r="DU317">
        <v>1</v>
      </c>
      <c r="DV317">
        <v>1</v>
      </c>
      <c r="DW317">
        <v>0</v>
      </c>
      <c r="DX317">
        <v>1</v>
      </c>
      <c r="DY317">
        <v>1</v>
      </c>
      <c r="DZ317">
        <v>0</v>
      </c>
      <c r="EA317">
        <v>2</v>
      </c>
      <c r="EB317">
        <v>0</v>
      </c>
      <c r="EC317">
        <v>1</v>
      </c>
      <c r="ED317">
        <v>1</v>
      </c>
      <c r="EE317">
        <v>0</v>
      </c>
      <c r="EF317">
        <v>1</v>
      </c>
      <c r="EG317">
        <v>2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1</v>
      </c>
      <c r="EP317">
        <v>0</v>
      </c>
      <c r="EQ317">
        <v>1</v>
      </c>
      <c r="ER317">
        <v>0</v>
      </c>
      <c r="ES317">
        <v>1</v>
      </c>
      <c r="ET317">
        <v>0</v>
      </c>
      <c r="EU317">
        <v>2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1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1</v>
      </c>
    </row>
    <row r="318" spans="1:201" x14ac:dyDescent="0.3">
      <c r="A318" t="s">
        <v>301</v>
      </c>
      <c r="B318" t="s">
        <v>299</v>
      </c>
      <c r="C318" t="s">
        <v>203</v>
      </c>
      <c r="D318" s="1">
        <v>3541</v>
      </c>
      <c r="E318" s="1">
        <v>1047</v>
      </c>
      <c r="F318">
        <v>93</v>
      </c>
      <c r="G318">
        <v>460</v>
      </c>
      <c r="H318">
        <v>121</v>
      </c>
      <c r="I318">
        <v>208</v>
      </c>
      <c r="J318">
        <v>65</v>
      </c>
      <c r="K318">
        <v>175</v>
      </c>
      <c r="L318">
        <v>130</v>
      </c>
      <c r="M318">
        <v>46</v>
      </c>
      <c r="N318">
        <v>58</v>
      </c>
      <c r="O318">
        <v>218</v>
      </c>
      <c r="P318">
        <v>75</v>
      </c>
      <c r="Q318">
        <v>117</v>
      </c>
      <c r="R318">
        <v>62</v>
      </c>
      <c r="S318">
        <v>16</v>
      </c>
      <c r="T318">
        <v>18</v>
      </c>
      <c r="U318">
        <v>16</v>
      </c>
      <c r="V318">
        <v>137</v>
      </c>
      <c r="W318">
        <v>25</v>
      </c>
      <c r="X318">
        <v>82</v>
      </c>
      <c r="Y318">
        <v>16</v>
      </c>
      <c r="Z318">
        <v>5</v>
      </c>
      <c r="AA318">
        <v>53</v>
      </c>
      <c r="AB318">
        <v>1</v>
      </c>
      <c r="AC318">
        <v>14</v>
      </c>
      <c r="AD318">
        <v>16</v>
      </c>
      <c r="AE318">
        <v>4</v>
      </c>
      <c r="AF318">
        <v>3</v>
      </c>
      <c r="AG318">
        <v>19</v>
      </c>
      <c r="AH318">
        <v>12</v>
      </c>
      <c r="AI318">
        <v>1</v>
      </c>
      <c r="AJ318">
        <v>2</v>
      </c>
      <c r="AK318">
        <v>55</v>
      </c>
      <c r="AL318">
        <v>0</v>
      </c>
      <c r="AM318">
        <v>0</v>
      </c>
      <c r="AN318">
        <v>7</v>
      </c>
      <c r="AO318">
        <v>19</v>
      </c>
      <c r="AP318">
        <v>1</v>
      </c>
      <c r="AQ318">
        <v>3</v>
      </c>
      <c r="AR318">
        <v>14</v>
      </c>
      <c r="AS318">
        <v>1</v>
      </c>
      <c r="AT318">
        <v>5</v>
      </c>
      <c r="AU318">
        <v>4</v>
      </c>
      <c r="AV318">
        <v>9</v>
      </c>
      <c r="AW318">
        <v>3</v>
      </c>
      <c r="AX318">
        <v>1</v>
      </c>
      <c r="AY318">
        <v>5</v>
      </c>
      <c r="AZ318">
        <v>0</v>
      </c>
      <c r="BA318">
        <v>2</v>
      </c>
      <c r="BB318">
        <v>0</v>
      </c>
      <c r="BC318">
        <v>1</v>
      </c>
      <c r="BD318">
        <v>0</v>
      </c>
      <c r="BE318">
        <v>3</v>
      </c>
      <c r="BF318">
        <v>6</v>
      </c>
      <c r="BG318">
        <v>3</v>
      </c>
      <c r="BH318">
        <v>6</v>
      </c>
      <c r="BI318">
        <v>1</v>
      </c>
      <c r="BJ318">
        <v>3</v>
      </c>
      <c r="BK318">
        <v>1</v>
      </c>
      <c r="BL318">
        <v>8</v>
      </c>
      <c r="BM318">
        <v>5</v>
      </c>
      <c r="BN318">
        <v>1</v>
      </c>
      <c r="BO318">
        <v>0</v>
      </c>
      <c r="BP318">
        <v>4</v>
      </c>
      <c r="BQ318">
        <v>4</v>
      </c>
      <c r="BR318">
        <v>2</v>
      </c>
      <c r="BS318">
        <v>8</v>
      </c>
      <c r="BT318">
        <v>0</v>
      </c>
      <c r="BU318">
        <v>2</v>
      </c>
      <c r="BV318">
        <v>1</v>
      </c>
      <c r="BW318">
        <v>2</v>
      </c>
      <c r="BX318">
        <v>2</v>
      </c>
      <c r="BY318">
        <v>8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2</v>
      </c>
      <c r="CQ318">
        <v>1</v>
      </c>
      <c r="CR318">
        <v>1</v>
      </c>
      <c r="CS318">
        <v>0</v>
      </c>
      <c r="CT318">
        <v>0</v>
      </c>
      <c r="CU318">
        <v>1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</v>
      </c>
      <c r="DB318">
        <v>1</v>
      </c>
      <c r="DC318">
        <v>0</v>
      </c>
      <c r="DD318">
        <v>1</v>
      </c>
      <c r="DE318">
        <v>1</v>
      </c>
      <c r="DF318">
        <v>0</v>
      </c>
      <c r="DG318">
        <v>0</v>
      </c>
      <c r="DH318">
        <v>1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1</v>
      </c>
      <c r="DQ318">
        <v>1</v>
      </c>
      <c r="DR318">
        <v>0</v>
      </c>
      <c r="DS318">
        <v>1</v>
      </c>
      <c r="DT318">
        <v>0</v>
      </c>
      <c r="DU318">
        <v>1</v>
      </c>
      <c r="DV318">
        <v>1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1</v>
      </c>
      <c r="ED318">
        <v>1</v>
      </c>
      <c r="EE318">
        <v>0</v>
      </c>
      <c r="EF318">
        <v>1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1</v>
      </c>
      <c r="EP318">
        <v>0</v>
      </c>
      <c r="EQ318">
        <v>1</v>
      </c>
      <c r="ER318">
        <v>0</v>
      </c>
      <c r="ES318">
        <v>1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1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1</v>
      </c>
    </row>
    <row r="319" spans="1:201" x14ac:dyDescent="0.3">
      <c r="A319" t="s">
        <v>301</v>
      </c>
      <c r="B319" t="s">
        <v>299</v>
      </c>
      <c r="C319" t="s">
        <v>204</v>
      </c>
      <c r="D319" s="1">
        <v>3889</v>
      </c>
      <c r="E319" s="1">
        <v>1227</v>
      </c>
      <c r="F319">
        <v>82</v>
      </c>
      <c r="G319">
        <v>694</v>
      </c>
      <c r="H319">
        <v>69</v>
      </c>
      <c r="I319">
        <v>89</v>
      </c>
      <c r="J319">
        <v>60</v>
      </c>
      <c r="K319">
        <v>57</v>
      </c>
      <c r="L319">
        <v>137</v>
      </c>
      <c r="M319">
        <v>161</v>
      </c>
      <c r="N319">
        <v>95</v>
      </c>
      <c r="O319">
        <v>234</v>
      </c>
      <c r="P319">
        <v>59</v>
      </c>
      <c r="Q319">
        <v>81</v>
      </c>
      <c r="R319">
        <v>38</v>
      </c>
      <c r="S319">
        <v>167</v>
      </c>
      <c r="T319">
        <v>37</v>
      </c>
      <c r="U319">
        <v>27</v>
      </c>
      <c r="V319">
        <v>69</v>
      </c>
      <c r="W319">
        <v>40</v>
      </c>
      <c r="X319">
        <v>72</v>
      </c>
      <c r="Y319">
        <v>15</v>
      </c>
      <c r="Z319">
        <v>48</v>
      </c>
      <c r="AA319">
        <v>27</v>
      </c>
      <c r="AB319">
        <v>12</v>
      </c>
      <c r="AC319">
        <v>12</v>
      </c>
      <c r="AD319">
        <v>31</v>
      </c>
      <c r="AE319">
        <v>2</v>
      </c>
      <c r="AF319">
        <v>6</v>
      </c>
      <c r="AG319">
        <v>21</v>
      </c>
      <c r="AH319">
        <v>10</v>
      </c>
      <c r="AI319">
        <v>5</v>
      </c>
      <c r="AJ319">
        <v>1</v>
      </c>
      <c r="AK319">
        <v>33</v>
      </c>
      <c r="AL319">
        <v>6</v>
      </c>
      <c r="AM319">
        <v>4</v>
      </c>
      <c r="AN319">
        <v>4</v>
      </c>
      <c r="AO319">
        <v>8</v>
      </c>
      <c r="AP319">
        <v>0</v>
      </c>
      <c r="AQ319">
        <v>7</v>
      </c>
      <c r="AR319">
        <v>6</v>
      </c>
      <c r="AS319">
        <v>4</v>
      </c>
      <c r="AT319">
        <v>12</v>
      </c>
      <c r="AU319">
        <v>9</v>
      </c>
      <c r="AV319">
        <v>2</v>
      </c>
      <c r="AW319">
        <v>6</v>
      </c>
      <c r="AX319">
        <v>1</v>
      </c>
      <c r="AY319">
        <v>8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2</v>
      </c>
      <c r="BF319">
        <v>1</v>
      </c>
      <c r="BG319">
        <v>0</v>
      </c>
      <c r="BH319">
        <v>7</v>
      </c>
      <c r="BI319">
        <v>1</v>
      </c>
      <c r="BJ319">
        <v>2</v>
      </c>
      <c r="BK319">
        <v>0</v>
      </c>
      <c r="BL319">
        <v>4</v>
      </c>
      <c r="BM319">
        <v>3</v>
      </c>
      <c r="BN319">
        <v>1</v>
      </c>
      <c r="BO319">
        <v>0</v>
      </c>
      <c r="BP319">
        <v>2</v>
      </c>
      <c r="BQ319">
        <v>6</v>
      </c>
      <c r="BR319">
        <v>1</v>
      </c>
      <c r="BS319">
        <v>5</v>
      </c>
      <c r="BT319">
        <v>0</v>
      </c>
      <c r="BU319">
        <v>3</v>
      </c>
      <c r="BV319">
        <v>4</v>
      </c>
      <c r="BW319">
        <v>1</v>
      </c>
      <c r="BX319">
        <v>1</v>
      </c>
      <c r="BY319">
        <v>3</v>
      </c>
      <c r="BZ319">
        <v>2</v>
      </c>
      <c r="CA319">
        <v>0</v>
      </c>
      <c r="CB319">
        <v>0</v>
      </c>
      <c r="CC319">
        <v>2</v>
      </c>
      <c r="CD319">
        <v>2</v>
      </c>
      <c r="CE319">
        <v>4</v>
      </c>
      <c r="CF319">
        <v>2</v>
      </c>
      <c r="CG319">
        <v>2</v>
      </c>
      <c r="CH319">
        <v>1</v>
      </c>
      <c r="CI319">
        <v>1</v>
      </c>
      <c r="CJ319">
        <v>0</v>
      </c>
      <c r="CK319">
        <v>1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4</v>
      </c>
      <c r="CV319">
        <v>1</v>
      </c>
      <c r="CW319">
        <v>1</v>
      </c>
      <c r="CX319">
        <v>0</v>
      </c>
      <c r="CY319">
        <v>0</v>
      </c>
      <c r="CZ319">
        <v>0</v>
      </c>
      <c r="DA319">
        <v>1</v>
      </c>
      <c r="DB319">
        <v>0</v>
      </c>
      <c r="DC319">
        <v>0</v>
      </c>
      <c r="DD319">
        <v>5</v>
      </c>
      <c r="DE319">
        <v>1</v>
      </c>
      <c r="DF319">
        <v>0</v>
      </c>
      <c r="DG319">
        <v>0</v>
      </c>
      <c r="DH319">
        <v>1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1</v>
      </c>
      <c r="DP319">
        <v>2</v>
      </c>
      <c r="DQ319">
        <v>0</v>
      </c>
      <c r="DR319">
        <v>0</v>
      </c>
      <c r="DS319">
        <v>0</v>
      </c>
      <c r="DT319">
        <v>1</v>
      </c>
      <c r="DU319">
        <v>0</v>
      </c>
      <c r="DV319">
        <v>0</v>
      </c>
      <c r="DW319">
        <v>0</v>
      </c>
      <c r="DX319">
        <v>1</v>
      </c>
      <c r="DY319">
        <v>1</v>
      </c>
      <c r="DZ319">
        <v>0</v>
      </c>
      <c r="EA319">
        <v>2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2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2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</row>
    <row r="320" spans="1:201" x14ac:dyDescent="0.3">
      <c r="A320" t="s">
        <v>301</v>
      </c>
      <c r="B320" t="s">
        <v>300</v>
      </c>
      <c r="C320" t="s">
        <v>200</v>
      </c>
      <c r="D320" s="1">
        <v>2844</v>
      </c>
      <c r="E320">
        <v>854</v>
      </c>
      <c r="F320">
        <v>164</v>
      </c>
      <c r="G320">
        <v>254</v>
      </c>
      <c r="H320">
        <v>40</v>
      </c>
      <c r="I320">
        <v>208</v>
      </c>
      <c r="J320">
        <v>104</v>
      </c>
      <c r="K320">
        <v>209</v>
      </c>
      <c r="L320">
        <v>63</v>
      </c>
      <c r="M320">
        <v>134</v>
      </c>
      <c r="N320">
        <v>53</v>
      </c>
      <c r="O320">
        <v>30</v>
      </c>
      <c r="P320">
        <v>25</v>
      </c>
      <c r="Q320">
        <v>56</v>
      </c>
      <c r="R320">
        <v>102</v>
      </c>
      <c r="S320">
        <v>36</v>
      </c>
      <c r="T320">
        <v>40</v>
      </c>
      <c r="U320">
        <v>4</v>
      </c>
      <c r="V320">
        <v>250</v>
      </c>
      <c r="W320">
        <v>29</v>
      </c>
      <c r="X320">
        <v>99</v>
      </c>
      <c r="Y320">
        <v>5</v>
      </c>
      <c r="Z320">
        <v>11</v>
      </c>
      <c r="AA320">
        <v>1</v>
      </c>
      <c r="AB320">
        <v>3</v>
      </c>
      <c r="AC320">
        <v>10</v>
      </c>
      <c r="AD320">
        <v>12</v>
      </c>
      <c r="AE320">
        <v>1</v>
      </c>
      <c r="AF320">
        <v>2</v>
      </c>
      <c r="AG320">
        <v>14</v>
      </c>
      <c r="AH320">
        <v>1</v>
      </c>
      <c r="AI320">
        <v>3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6</v>
      </c>
      <c r="AP320">
        <v>0</v>
      </c>
      <c r="AQ320">
        <v>2</v>
      </c>
      <c r="AR320">
        <v>0</v>
      </c>
      <c r="AS320">
        <v>1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3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7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3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</row>
    <row r="321" spans="1:201" x14ac:dyDescent="0.3">
      <c r="A321" t="s">
        <v>301</v>
      </c>
      <c r="B321" t="s">
        <v>300</v>
      </c>
      <c r="C321" t="s">
        <v>203</v>
      </c>
      <c r="D321" s="1">
        <v>1685</v>
      </c>
      <c r="E321">
        <v>391</v>
      </c>
      <c r="F321">
        <v>94</v>
      </c>
      <c r="G321">
        <v>73</v>
      </c>
      <c r="H321">
        <v>36</v>
      </c>
      <c r="I321">
        <v>162</v>
      </c>
      <c r="J321">
        <v>62</v>
      </c>
      <c r="K321">
        <v>193</v>
      </c>
      <c r="L321">
        <v>57</v>
      </c>
      <c r="M321">
        <v>65</v>
      </c>
      <c r="N321">
        <v>11</v>
      </c>
      <c r="O321">
        <v>12</v>
      </c>
      <c r="P321">
        <v>12</v>
      </c>
      <c r="Q321">
        <v>51</v>
      </c>
      <c r="R321">
        <v>80</v>
      </c>
      <c r="S321">
        <v>1</v>
      </c>
      <c r="T321">
        <v>21</v>
      </c>
      <c r="U321">
        <v>2</v>
      </c>
      <c r="V321">
        <v>221</v>
      </c>
      <c r="W321">
        <v>12</v>
      </c>
      <c r="X321">
        <v>83</v>
      </c>
      <c r="Y321">
        <v>0</v>
      </c>
      <c r="Z321">
        <v>2</v>
      </c>
      <c r="AA321">
        <v>1</v>
      </c>
      <c r="AB321">
        <v>2</v>
      </c>
      <c r="AC321">
        <v>4</v>
      </c>
      <c r="AD321">
        <v>6</v>
      </c>
      <c r="AE321">
        <v>1</v>
      </c>
      <c r="AF321">
        <v>1</v>
      </c>
      <c r="AG321">
        <v>14</v>
      </c>
      <c r="AH321">
        <v>1</v>
      </c>
      <c r="AI321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6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3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3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</row>
    <row r="322" spans="1:201" x14ac:dyDescent="0.3">
      <c r="A322" t="s">
        <v>301</v>
      </c>
      <c r="B322" t="s">
        <v>300</v>
      </c>
      <c r="C322" t="s">
        <v>204</v>
      </c>
      <c r="D322" s="1">
        <v>1159</v>
      </c>
      <c r="E322">
        <v>463</v>
      </c>
      <c r="F322">
        <v>70</v>
      </c>
      <c r="G322">
        <v>181</v>
      </c>
      <c r="H322">
        <v>4</v>
      </c>
      <c r="I322">
        <v>46</v>
      </c>
      <c r="J322">
        <v>42</v>
      </c>
      <c r="K322">
        <v>16</v>
      </c>
      <c r="L322">
        <v>6</v>
      </c>
      <c r="M322">
        <v>69</v>
      </c>
      <c r="N322">
        <v>42</v>
      </c>
      <c r="O322">
        <v>18</v>
      </c>
      <c r="P322">
        <v>13</v>
      </c>
      <c r="Q322">
        <v>5</v>
      </c>
      <c r="R322">
        <v>22</v>
      </c>
      <c r="S322">
        <v>35</v>
      </c>
      <c r="T322">
        <v>19</v>
      </c>
      <c r="U322">
        <v>2</v>
      </c>
      <c r="V322">
        <v>29</v>
      </c>
      <c r="W322">
        <v>17</v>
      </c>
      <c r="X322">
        <v>16</v>
      </c>
      <c r="Y322">
        <v>5</v>
      </c>
      <c r="Z322">
        <v>9</v>
      </c>
      <c r="AA322">
        <v>0</v>
      </c>
      <c r="AB322">
        <v>1</v>
      </c>
      <c r="AC322">
        <v>6</v>
      </c>
      <c r="AD322">
        <v>6</v>
      </c>
      <c r="AE322">
        <v>0</v>
      </c>
      <c r="AF322">
        <v>1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2</v>
      </c>
      <c r="AR322">
        <v>0</v>
      </c>
      <c r="AS322">
        <v>1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4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1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3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</row>
    <row r="323" spans="1:201" x14ac:dyDescent="0.3">
      <c r="A323" t="s">
        <v>301</v>
      </c>
      <c r="B323" t="s">
        <v>305</v>
      </c>
      <c r="C323" t="s">
        <v>200</v>
      </c>
      <c r="D323" s="1">
        <v>1798</v>
      </c>
      <c r="E323">
        <v>400</v>
      </c>
      <c r="F323">
        <v>82</v>
      </c>
      <c r="G323">
        <v>238</v>
      </c>
      <c r="H323">
        <v>13</v>
      </c>
      <c r="I323">
        <v>24</v>
      </c>
      <c r="J323">
        <v>38</v>
      </c>
      <c r="K323">
        <v>14</v>
      </c>
      <c r="L323">
        <v>7</v>
      </c>
      <c r="M323">
        <v>70</v>
      </c>
      <c r="N323">
        <v>38</v>
      </c>
      <c r="O323">
        <v>9</v>
      </c>
      <c r="P323">
        <v>382</v>
      </c>
      <c r="Q323">
        <v>1</v>
      </c>
      <c r="R323">
        <v>2</v>
      </c>
      <c r="S323">
        <v>70</v>
      </c>
      <c r="T323">
        <v>33</v>
      </c>
      <c r="U323">
        <v>9</v>
      </c>
      <c r="V323">
        <v>2</v>
      </c>
      <c r="W323">
        <v>93</v>
      </c>
      <c r="X323">
        <v>9</v>
      </c>
      <c r="Y323">
        <v>6</v>
      </c>
      <c r="Z323">
        <v>5</v>
      </c>
      <c r="AA323">
        <v>7</v>
      </c>
      <c r="AB323">
        <v>2</v>
      </c>
      <c r="AC323">
        <v>40</v>
      </c>
      <c r="AD323">
        <v>65</v>
      </c>
      <c r="AE323">
        <v>0</v>
      </c>
      <c r="AF323">
        <v>53</v>
      </c>
      <c r="AG323">
        <v>3</v>
      </c>
      <c r="AH323">
        <v>4</v>
      </c>
      <c r="AI323">
        <v>4</v>
      </c>
      <c r="AJ323">
        <v>0</v>
      </c>
      <c r="AK323">
        <v>0</v>
      </c>
      <c r="AL323">
        <v>3</v>
      </c>
      <c r="AM323">
        <v>4</v>
      </c>
      <c r="AN323">
        <v>10</v>
      </c>
      <c r="AO323">
        <v>0</v>
      </c>
      <c r="AP323">
        <v>0</v>
      </c>
      <c r="AQ323">
        <v>4</v>
      </c>
      <c r="AR323">
        <v>0</v>
      </c>
      <c r="AS323">
        <v>12</v>
      </c>
      <c r="AT323">
        <v>2</v>
      </c>
      <c r="AU323">
        <v>0</v>
      </c>
      <c r="AV323">
        <v>2</v>
      </c>
      <c r="AW323">
        <v>3</v>
      </c>
      <c r="AX323">
        <v>0</v>
      </c>
      <c r="AY323">
        <v>5</v>
      </c>
      <c r="AZ323">
        <v>0</v>
      </c>
      <c r="BA323">
        <v>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5</v>
      </c>
      <c r="BH323">
        <v>1</v>
      </c>
      <c r="BI323">
        <v>0</v>
      </c>
      <c r="BJ323">
        <v>0</v>
      </c>
      <c r="BK323">
        <v>1</v>
      </c>
      <c r="BL323">
        <v>0</v>
      </c>
      <c r="BM323">
        <v>1</v>
      </c>
      <c r="BN323">
        <v>1</v>
      </c>
      <c r="BO323">
        <v>0</v>
      </c>
      <c r="BP323">
        <v>1</v>
      </c>
      <c r="BQ323">
        <v>0</v>
      </c>
      <c r="BR323">
        <v>0</v>
      </c>
      <c r="BS323">
        <v>6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1</v>
      </c>
      <c r="CE323">
        <v>2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2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0</v>
      </c>
      <c r="DK323">
        <v>0</v>
      </c>
      <c r="DL323">
        <v>3</v>
      </c>
      <c r="DM323">
        <v>0</v>
      </c>
      <c r="DN323">
        <v>0</v>
      </c>
      <c r="DO323">
        <v>0</v>
      </c>
      <c r="DP323">
        <v>1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</row>
    <row r="324" spans="1:201" x14ac:dyDescent="0.3">
      <c r="A324" t="s">
        <v>301</v>
      </c>
      <c r="B324" t="s">
        <v>305</v>
      </c>
      <c r="C324" t="s">
        <v>203</v>
      </c>
      <c r="D324">
        <v>709</v>
      </c>
      <c r="E324">
        <v>143</v>
      </c>
      <c r="F324">
        <v>45</v>
      </c>
      <c r="G324">
        <v>68</v>
      </c>
      <c r="H324">
        <v>8</v>
      </c>
      <c r="I324">
        <v>15</v>
      </c>
      <c r="J324">
        <v>12</v>
      </c>
      <c r="K324">
        <v>3</v>
      </c>
      <c r="L324">
        <v>4</v>
      </c>
      <c r="M324">
        <v>9</v>
      </c>
      <c r="N324">
        <v>1</v>
      </c>
      <c r="O324">
        <v>2</v>
      </c>
      <c r="P324">
        <v>197</v>
      </c>
      <c r="Q324">
        <v>1</v>
      </c>
      <c r="R324">
        <v>2</v>
      </c>
      <c r="S324">
        <v>10</v>
      </c>
      <c r="T324">
        <v>5</v>
      </c>
      <c r="U324">
        <v>4</v>
      </c>
      <c r="V324">
        <v>2</v>
      </c>
      <c r="W324">
        <v>51</v>
      </c>
      <c r="X324">
        <v>6</v>
      </c>
      <c r="Y324">
        <v>0</v>
      </c>
      <c r="Z324">
        <v>1</v>
      </c>
      <c r="AA324">
        <v>4</v>
      </c>
      <c r="AB324">
        <v>0</v>
      </c>
      <c r="AC324">
        <v>26</v>
      </c>
      <c r="AD324">
        <v>13</v>
      </c>
      <c r="AE324">
        <v>0</v>
      </c>
      <c r="AF324">
        <v>34</v>
      </c>
      <c r="AG324">
        <v>1</v>
      </c>
      <c r="AH324">
        <v>3</v>
      </c>
      <c r="AI324">
        <v>3</v>
      </c>
      <c r="AJ324">
        <v>0</v>
      </c>
      <c r="AK324">
        <v>0</v>
      </c>
      <c r="AL324">
        <v>0</v>
      </c>
      <c r="AM324">
        <v>0</v>
      </c>
      <c r="AN324">
        <v>5</v>
      </c>
      <c r="AO324">
        <v>0</v>
      </c>
      <c r="AP324">
        <v>0</v>
      </c>
      <c r="AQ324">
        <v>1</v>
      </c>
      <c r="AR324">
        <v>0</v>
      </c>
      <c r="AS324">
        <v>7</v>
      </c>
      <c r="AT324">
        <v>1</v>
      </c>
      <c r="AU324">
        <v>0</v>
      </c>
      <c r="AV324">
        <v>2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4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1</v>
      </c>
      <c r="BN324">
        <v>1</v>
      </c>
      <c r="BO324">
        <v>0</v>
      </c>
      <c r="BP324">
        <v>1</v>
      </c>
      <c r="BQ324">
        <v>0</v>
      </c>
      <c r="BR324">
        <v>0</v>
      </c>
      <c r="BS324">
        <v>5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1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3</v>
      </c>
      <c r="DM324">
        <v>0</v>
      </c>
      <c r="DN324">
        <v>0</v>
      </c>
      <c r="DO324">
        <v>0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</row>
    <row r="325" spans="1:201" x14ac:dyDescent="0.3">
      <c r="A325" t="s">
        <v>301</v>
      </c>
      <c r="B325" t="s">
        <v>305</v>
      </c>
      <c r="C325" t="s">
        <v>204</v>
      </c>
      <c r="D325" s="1">
        <v>1089</v>
      </c>
      <c r="E325">
        <v>257</v>
      </c>
      <c r="F325">
        <v>37</v>
      </c>
      <c r="G325">
        <v>170</v>
      </c>
      <c r="H325">
        <v>5</v>
      </c>
      <c r="I325">
        <v>9</v>
      </c>
      <c r="J325">
        <v>26</v>
      </c>
      <c r="K325">
        <v>11</v>
      </c>
      <c r="L325">
        <v>3</v>
      </c>
      <c r="M325">
        <v>61</v>
      </c>
      <c r="N325">
        <v>37</v>
      </c>
      <c r="O325">
        <v>7</v>
      </c>
      <c r="P325">
        <v>185</v>
      </c>
      <c r="Q325">
        <v>0</v>
      </c>
      <c r="R325">
        <v>0</v>
      </c>
      <c r="S325">
        <v>60</v>
      </c>
      <c r="T325">
        <v>28</v>
      </c>
      <c r="U325">
        <v>5</v>
      </c>
      <c r="V325">
        <v>0</v>
      </c>
      <c r="W325">
        <v>42</v>
      </c>
      <c r="X325">
        <v>3</v>
      </c>
      <c r="Y325">
        <v>6</v>
      </c>
      <c r="Z325">
        <v>4</v>
      </c>
      <c r="AA325">
        <v>3</v>
      </c>
      <c r="AB325">
        <v>2</v>
      </c>
      <c r="AC325">
        <v>14</v>
      </c>
      <c r="AD325">
        <v>52</v>
      </c>
      <c r="AE325">
        <v>0</v>
      </c>
      <c r="AF325">
        <v>19</v>
      </c>
      <c r="AG325">
        <v>2</v>
      </c>
      <c r="AH325">
        <v>1</v>
      </c>
      <c r="AI325">
        <v>1</v>
      </c>
      <c r="AJ325">
        <v>0</v>
      </c>
      <c r="AK325">
        <v>0</v>
      </c>
      <c r="AL325">
        <v>3</v>
      </c>
      <c r="AM325">
        <v>4</v>
      </c>
      <c r="AN325">
        <v>5</v>
      </c>
      <c r="AO325">
        <v>0</v>
      </c>
      <c r="AP325">
        <v>0</v>
      </c>
      <c r="AQ325">
        <v>3</v>
      </c>
      <c r="AR325">
        <v>0</v>
      </c>
      <c r="AS325">
        <v>5</v>
      </c>
      <c r="AT325">
        <v>1</v>
      </c>
      <c r="AU325">
        <v>0</v>
      </c>
      <c r="AV325">
        <v>0</v>
      </c>
      <c r="AW325">
        <v>2</v>
      </c>
      <c r="AX325">
        <v>0</v>
      </c>
      <c r="AY325">
        <v>4</v>
      </c>
      <c r="AZ325">
        <v>0</v>
      </c>
      <c r="BA325">
        <v>2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2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2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</row>
    <row r="326" spans="1:201" x14ac:dyDescent="0.3">
      <c r="A326" t="s">
        <v>301</v>
      </c>
      <c r="B326" t="s">
        <v>306</v>
      </c>
      <c r="C326" t="s">
        <v>200</v>
      </c>
      <c r="D326">
        <v>996</v>
      </c>
      <c r="E326">
        <v>165</v>
      </c>
      <c r="F326">
        <v>29</v>
      </c>
      <c r="G326">
        <v>108</v>
      </c>
      <c r="H326">
        <v>22</v>
      </c>
      <c r="I326">
        <v>34</v>
      </c>
      <c r="J326">
        <v>12</v>
      </c>
      <c r="K326">
        <v>5</v>
      </c>
      <c r="L326">
        <v>6</v>
      </c>
      <c r="M326">
        <v>37</v>
      </c>
      <c r="N326">
        <v>26</v>
      </c>
      <c r="O326">
        <v>12</v>
      </c>
      <c r="P326">
        <v>222</v>
      </c>
      <c r="Q326">
        <v>2</v>
      </c>
      <c r="R326">
        <v>31</v>
      </c>
      <c r="S326">
        <v>40</v>
      </c>
      <c r="T326">
        <v>10</v>
      </c>
      <c r="U326">
        <v>5</v>
      </c>
      <c r="V326">
        <v>2</v>
      </c>
      <c r="W326">
        <v>117</v>
      </c>
      <c r="X326">
        <v>13</v>
      </c>
      <c r="Y326">
        <v>1</v>
      </c>
      <c r="Z326">
        <v>2</v>
      </c>
      <c r="AA326">
        <v>7</v>
      </c>
      <c r="AB326">
        <v>2</v>
      </c>
      <c r="AC326">
        <v>11</v>
      </c>
      <c r="AD326">
        <v>7</v>
      </c>
      <c r="AE326">
        <v>1</v>
      </c>
      <c r="AF326">
        <v>6</v>
      </c>
      <c r="AG326">
        <v>8</v>
      </c>
      <c r="AH326">
        <v>7</v>
      </c>
      <c r="AI326">
        <v>0</v>
      </c>
      <c r="AJ326">
        <v>0</v>
      </c>
      <c r="AK326">
        <v>0</v>
      </c>
      <c r="AL326">
        <v>4</v>
      </c>
      <c r="AM326">
        <v>2</v>
      </c>
      <c r="AN326">
        <v>1</v>
      </c>
      <c r="AO326">
        <v>0</v>
      </c>
      <c r="AP326">
        <v>0</v>
      </c>
      <c r="AQ326">
        <v>1</v>
      </c>
      <c r="AR326">
        <v>0</v>
      </c>
      <c r="AS326">
        <v>6</v>
      </c>
      <c r="AT326">
        <v>1</v>
      </c>
      <c r="AU326">
        <v>0</v>
      </c>
      <c r="AV326">
        <v>0</v>
      </c>
      <c r="AW326">
        <v>2</v>
      </c>
      <c r="AX326">
        <v>0</v>
      </c>
      <c r="AY326">
        <v>2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0</v>
      </c>
      <c r="BG326">
        <v>3</v>
      </c>
      <c r="BH326">
        <v>2</v>
      </c>
      <c r="BI326">
        <v>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2</v>
      </c>
      <c r="BT326">
        <v>0</v>
      </c>
      <c r="BU326">
        <v>0</v>
      </c>
      <c r="BV326">
        <v>2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2</v>
      </c>
      <c r="CE326">
        <v>0</v>
      </c>
      <c r="CF326">
        <v>0</v>
      </c>
      <c r="CG326">
        <v>2</v>
      </c>
      <c r="CH326">
        <v>0</v>
      </c>
      <c r="CI326">
        <v>0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2</v>
      </c>
      <c r="DP326">
        <v>1</v>
      </c>
      <c r="DQ326">
        <v>1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1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3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1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</row>
    <row r="327" spans="1:201" x14ac:dyDescent="0.3">
      <c r="A327" t="s">
        <v>301</v>
      </c>
      <c r="B327" t="s">
        <v>306</v>
      </c>
      <c r="C327" t="s">
        <v>203</v>
      </c>
      <c r="D327">
        <v>447</v>
      </c>
      <c r="E327">
        <v>65</v>
      </c>
      <c r="F327">
        <v>17</v>
      </c>
      <c r="G327">
        <v>38</v>
      </c>
      <c r="H327">
        <v>17</v>
      </c>
      <c r="I327">
        <v>24</v>
      </c>
      <c r="J327">
        <v>4</v>
      </c>
      <c r="K327">
        <v>4</v>
      </c>
      <c r="L327">
        <v>3</v>
      </c>
      <c r="M327">
        <v>10</v>
      </c>
      <c r="N327">
        <v>5</v>
      </c>
      <c r="O327">
        <v>2</v>
      </c>
      <c r="P327">
        <v>129</v>
      </c>
      <c r="Q327">
        <v>0</v>
      </c>
      <c r="R327">
        <v>18</v>
      </c>
      <c r="S327">
        <v>1</v>
      </c>
      <c r="T327">
        <v>2</v>
      </c>
      <c r="U327">
        <v>3</v>
      </c>
      <c r="V327">
        <v>2</v>
      </c>
      <c r="W327">
        <v>55</v>
      </c>
      <c r="X327">
        <v>5</v>
      </c>
      <c r="Y327">
        <v>0</v>
      </c>
      <c r="Z327">
        <v>0</v>
      </c>
      <c r="AA327">
        <v>2</v>
      </c>
      <c r="AB327">
        <v>1</v>
      </c>
      <c r="AC327">
        <v>6</v>
      </c>
      <c r="AD327">
        <v>3</v>
      </c>
      <c r="AE327">
        <v>0</v>
      </c>
      <c r="AF327">
        <v>6</v>
      </c>
      <c r="AG327">
        <v>5</v>
      </c>
      <c r="AH327">
        <v>3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3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2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2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1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3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</row>
    <row r="328" spans="1:201" x14ac:dyDescent="0.3">
      <c r="A328" t="s">
        <v>301</v>
      </c>
      <c r="B328" t="s">
        <v>306</v>
      </c>
      <c r="C328" t="s">
        <v>204</v>
      </c>
      <c r="D328">
        <v>549</v>
      </c>
      <c r="E328">
        <v>100</v>
      </c>
      <c r="F328">
        <v>12</v>
      </c>
      <c r="G328">
        <v>70</v>
      </c>
      <c r="H328">
        <v>5</v>
      </c>
      <c r="I328">
        <v>10</v>
      </c>
      <c r="J328">
        <v>8</v>
      </c>
      <c r="K328">
        <v>1</v>
      </c>
      <c r="L328">
        <v>3</v>
      </c>
      <c r="M328">
        <v>27</v>
      </c>
      <c r="N328">
        <v>21</v>
      </c>
      <c r="O328">
        <v>10</v>
      </c>
      <c r="P328">
        <v>93</v>
      </c>
      <c r="Q328">
        <v>2</v>
      </c>
      <c r="R328">
        <v>13</v>
      </c>
      <c r="S328">
        <v>39</v>
      </c>
      <c r="T328">
        <v>8</v>
      </c>
      <c r="U328">
        <v>2</v>
      </c>
      <c r="V328">
        <v>0</v>
      </c>
      <c r="W328">
        <v>62</v>
      </c>
      <c r="X328">
        <v>8</v>
      </c>
      <c r="Y328">
        <v>1</v>
      </c>
      <c r="Z328">
        <v>2</v>
      </c>
      <c r="AA328">
        <v>5</v>
      </c>
      <c r="AB328">
        <v>1</v>
      </c>
      <c r="AC328">
        <v>5</v>
      </c>
      <c r="AD328">
        <v>4</v>
      </c>
      <c r="AE328">
        <v>1</v>
      </c>
      <c r="AF328">
        <v>0</v>
      </c>
      <c r="AG328">
        <v>3</v>
      </c>
      <c r="AH328">
        <v>4</v>
      </c>
      <c r="AI328">
        <v>0</v>
      </c>
      <c r="AJ328">
        <v>0</v>
      </c>
      <c r="AK328">
        <v>0</v>
      </c>
      <c r="AL328">
        <v>4</v>
      </c>
      <c r="AM328">
        <v>1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3</v>
      </c>
      <c r="AT328">
        <v>1</v>
      </c>
      <c r="AU328">
        <v>0</v>
      </c>
      <c r="AV328">
        <v>0</v>
      </c>
      <c r="AW328">
        <v>1</v>
      </c>
      <c r="AX328">
        <v>0</v>
      </c>
      <c r="AY328">
        <v>2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2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2</v>
      </c>
      <c r="CE328">
        <v>0</v>
      </c>
      <c r="CF328">
        <v>0</v>
      </c>
      <c r="CG328">
        <v>2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2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1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</row>
    <row r="329" spans="1:201" x14ac:dyDescent="0.3">
      <c r="A329" t="s">
        <v>307</v>
      </c>
      <c r="B329" t="s">
        <v>200</v>
      </c>
      <c r="C329" t="s">
        <v>200</v>
      </c>
      <c r="D329" s="1">
        <v>28364</v>
      </c>
      <c r="E329" s="1">
        <v>11626</v>
      </c>
      <c r="F329" s="1">
        <v>1066</v>
      </c>
      <c r="G329" s="1">
        <v>3833</v>
      </c>
      <c r="H329">
        <v>591</v>
      </c>
      <c r="I329">
        <v>972</v>
      </c>
      <c r="J329">
        <v>404</v>
      </c>
      <c r="K329">
        <v>660</v>
      </c>
      <c r="L329">
        <v>376</v>
      </c>
      <c r="M329">
        <v>664</v>
      </c>
      <c r="N329">
        <v>450</v>
      </c>
      <c r="O329" s="1">
        <v>1044</v>
      </c>
      <c r="P329">
        <v>585</v>
      </c>
      <c r="Q329">
        <v>173</v>
      </c>
      <c r="R329">
        <v>622</v>
      </c>
      <c r="S329">
        <v>463</v>
      </c>
      <c r="T329">
        <v>408</v>
      </c>
      <c r="U329">
        <v>343</v>
      </c>
      <c r="V329">
        <v>398</v>
      </c>
      <c r="W329">
        <v>282</v>
      </c>
      <c r="X329">
        <v>637</v>
      </c>
      <c r="Y329">
        <v>72</v>
      </c>
      <c r="Z329">
        <v>302</v>
      </c>
      <c r="AA329">
        <v>173</v>
      </c>
      <c r="AB329">
        <v>66</v>
      </c>
      <c r="AC329">
        <v>126</v>
      </c>
      <c r="AD329">
        <v>206</v>
      </c>
      <c r="AE329">
        <v>6</v>
      </c>
      <c r="AF329">
        <v>118</v>
      </c>
      <c r="AG329">
        <v>135</v>
      </c>
      <c r="AH329">
        <v>106</v>
      </c>
      <c r="AI329">
        <v>53</v>
      </c>
      <c r="AJ329">
        <v>4</v>
      </c>
      <c r="AK329">
        <v>66</v>
      </c>
      <c r="AL329">
        <v>44</v>
      </c>
      <c r="AM329">
        <v>35</v>
      </c>
      <c r="AN329">
        <v>43</v>
      </c>
      <c r="AO329">
        <v>39</v>
      </c>
      <c r="AP329">
        <v>35</v>
      </c>
      <c r="AQ329">
        <v>33</v>
      </c>
      <c r="AR329">
        <v>124</v>
      </c>
      <c r="AS329">
        <v>36</v>
      </c>
      <c r="AT329">
        <v>37</v>
      </c>
      <c r="AU329">
        <v>55</v>
      </c>
      <c r="AV329">
        <v>76</v>
      </c>
      <c r="AW329">
        <v>27</v>
      </c>
      <c r="AX329">
        <v>22</v>
      </c>
      <c r="AY329">
        <v>45</v>
      </c>
      <c r="AZ329">
        <v>29</v>
      </c>
      <c r="BA329">
        <v>24</v>
      </c>
      <c r="BB329">
        <v>19</v>
      </c>
      <c r="BC329">
        <v>20</v>
      </c>
      <c r="BD329">
        <v>1</v>
      </c>
      <c r="BE329">
        <v>7</v>
      </c>
      <c r="BF329">
        <v>32</v>
      </c>
      <c r="BG329">
        <v>23</v>
      </c>
      <c r="BH329">
        <v>30</v>
      </c>
      <c r="BI329">
        <v>15</v>
      </c>
      <c r="BJ329">
        <v>15</v>
      </c>
      <c r="BK329">
        <v>3</v>
      </c>
      <c r="BL329">
        <v>26</v>
      </c>
      <c r="BM329">
        <v>20</v>
      </c>
      <c r="BN329">
        <v>14</v>
      </c>
      <c r="BO329">
        <v>12</v>
      </c>
      <c r="BP329">
        <v>20</v>
      </c>
      <c r="BQ329">
        <v>9</v>
      </c>
      <c r="BR329">
        <v>17</v>
      </c>
      <c r="BS329">
        <v>9</v>
      </c>
      <c r="BT329">
        <v>7</v>
      </c>
      <c r="BU329">
        <v>53</v>
      </c>
      <c r="BV329">
        <v>11</v>
      </c>
      <c r="BW329">
        <v>14</v>
      </c>
      <c r="BX329">
        <v>4</v>
      </c>
      <c r="BY329">
        <v>6</v>
      </c>
      <c r="BZ329">
        <v>8</v>
      </c>
      <c r="CA329">
        <v>11</v>
      </c>
      <c r="CB329">
        <v>2</v>
      </c>
      <c r="CC329">
        <v>11</v>
      </c>
      <c r="CD329">
        <v>12</v>
      </c>
      <c r="CE329">
        <v>9</v>
      </c>
      <c r="CF329">
        <v>8</v>
      </c>
      <c r="CG329">
        <v>8</v>
      </c>
      <c r="CH329">
        <v>0</v>
      </c>
      <c r="CI329">
        <v>8</v>
      </c>
      <c r="CJ329">
        <v>7</v>
      </c>
      <c r="CK329">
        <v>4</v>
      </c>
      <c r="CL329">
        <v>7</v>
      </c>
      <c r="CM329">
        <v>1</v>
      </c>
      <c r="CN329">
        <v>4</v>
      </c>
      <c r="CO329">
        <v>0</v>
      </c>
      <c r="CP329">
        <v>1</v>
      </c>
      <c r="CQ329">
        <v>5</v>
      </c>
      <c r="CR329">
        <v>0</v>
      </c>
      <c r="CS329">
        <v>1</v>
      </c>
      <c r="CT329">
        <v>3</v>
      </c>
      <c r="CU329">
        <v>5</v>
      </c>
      <c r="CV329">
        <v>1</v>
      </c>
      <c r="CW329">
        <v>6</v>
      </c>
      <c r="CX329">
        <v>3</v>
      </c>
      <c r="CY329">
        <v>0</v>
      </c>
      <c r="CZ329">
        <v>1</v>
      </c>
      <c r="DA329">
        <v>11</v>
      </c>
      <c r="DB329">
        <v>0</v>
      </c>
      <c r="DC329">
        <v>0</v>
      </c>
      <c r="DD329">
        <v>8</v>
      </c>
      <c r="DE329">
        <v>2</v>
      </c>
      <c r="DF329">
        <v>1</v>
      </c>
      <c r="DG329">
        <v>4</v>
      </c>
      <c r="DH329">
        <v>1</v>
      </c>
      <c r="DI329">
        <v>16</v>
      </c>
      <c r="DJ329">
        <v>1</v>
      </c>
      <c r="DK329">
        <v>5</v>
      </c>
      <c r="DL329">
        <v>1</v>
      </c>
      <c r="DM329">
        <v>3</v>
      </c>
      <c r="DN329">
        <v>5</v>
      </c>
      <c r="DO329">
        <v>2</v>
      </c>
      <c r="DP329">
        <v>2</v>
      </c>
      <c r="DQ329">
        <v>2</v>
      </c>
      <c r="DR329">
        <v>1</v>
      </c>
      <c r="DS329">
        <v>0</v>
      </c>
      <c r="DT329">
        <v>4</v>
      </c>
      <c r="DU329">
        <v>0</v>
      </c>
      <c r="DV329">
        <v>1</v>
      </c>
      <c r="DW329">
        <v>0</v>
      </c>
      <c r="DX329">
        <v>1</v>
      </c>
      <c r="DY329">
        <v>5</v>
      </c>
      <c r="DZ329">
        <v>2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0</v>
      </c>
      <c r="EG329">
        <v>0</v>
      </c>
      <c r="EH329">
        <v>0</v>
      </c>
      <c r="EI329">
        <v>1</v>
      </c>
      <c r="EJ329">
        <v>0</v>
      </c>
      <c r="EK329">
        <v>2</v>
      </c>
      <c r="EL329">
        <v>1</v>
      </c>
      <c r="EM329">
        <v>0</v>
      </c>
      <c r="EN329">
        <v>2</v>
      </c>
      <c r="EO329">
        <v>0</v>
      </c>
      <c r="EP329">
        <v>0</v>
      </c>
      <c r="EQ329">
        <v>2</v>
      </c>
      <c r="ER329">
        <v>1</v>
      </c>
      <c r="ES329">
        <v>0</v>
      </c>
      <c r="ET329">
        <v>1</v>
      </c>
      <c r="EU329">
        <v>0</v>
      </c>
      <c r="EV329">
        <v>1</v>
      </c>
      <c r="EW329">
        <v>0</v>
      </c>
      <c r="EX329">
        <v>6</v>
      </c>
      <c r="EY329">
        <v>0</v>
      </c>
      <c r="EZ329">
        <v>0</v>
      </c>
      <c r="FA329">
        <v>0</v>
      </c>
      <c r="FB329">
        <v>1</v>
      </c>
      <c r="FC329">
        <v>0</v>
      </c>
      <c r="FD329">
        <v>1</v>
      </c>
      <c r="FE329">
        <v>0</v>
      </c>
      <c r="FF329">
        <v>1</v>
      </c>
      <c r="FG329">
        <v>0</v>
      </c>
      <c r="FH329">
        <v>1</v>
      </c>
      <c r="FI329">
        <v>2</v>
      </c>
      <c r="FJ329">
        <v>0</v>
      </c>
      <c r="FK329">
        <v>0</v>
      </c>
      <c r="FL329">
        <v>7</v>
      </c>
      <c r="FM329">
        <v>0</v>
      </c>
      <c r="FN329">
        <v>1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1</v>
      </c>
      <c r="GG329">
        <v>0</v>
      </c>
      <c r="GH329">
        <v>1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1</v>
      </c>
    </row>
    <row r="330" spans="1:201" x14ac:dyDescent="0.3">
      <c r="A330" t="s">
        <v>307</v>
      </c>
      <c r="B330" t="s">
        <v>200</v>
      </c>
      <c r="C330" t="s">
        <v>203</v>
      </c>
      <c r="D330" s="1">
        <f>D333+D336+D339+D342+D345</f>
        <v>13498</v>
      </c>
      <c r="E330" s="1">
        <f t="shared" ref="E330:BP330" si="48">E333+E336+E339+E342+E345</f>
        <v>5150</v>
      </c>
      <c r="F330" s="1">
        <f t="shared" si="48"/>
        <v>609</v>
      </c>
      <c r="G330" s="1">
        <f t="shared" si="48"/>
        <v>1575</v>
      </c>
      <c r="H330" s="1">
        <f t="shared" si="48"/>
        <v>422</v>
      </c>
      <c r="I330" s="1">
        <f t="shared" si="48"/>
        <v>683</v>
      </c>
      <c r="J330" s="1">
        <f t="shared" si="48"/>
        <v>211</v>
      </c>
      <c r="K330" s="1">
        <f t="shared" si="48"/>
        <v>375</v>
      </c>
      <c r="L330" s="1">
        <f t="shared" si="48"/>
        <v>202</v>
      </c>
      <c r="M330" s="1">
        <f t="shared" si="48"/>
        <v>203</v>
      </c>
      <c r="N330" s="1">
        <f t="shared" si="48"/>
        <v>120</v>
      </c>
      <c r="O330" s="1">
        <f t="shared" si="48"/>
        <v>489</v>
      </c>
      <c r="P330" s="1">
        <f t="shared" si="48"/>
        <v>306</v>
      </c>
      <c r="Q330" s="1">
        <f t="shared" si="48"/>
        <v>113</v>
      </c>
      <c r="R330" s="1">
        <f t="shared" si="48"/>
        <v>454</v>
      </c>
      <c r="S330" s="1">
        <f t="shared" si="48"/>
        <v>72</v>
      </c>
      <c r="T330" s="1">
        <f t="shared" si="48"/>
        <v>156</v>
      </c>
      <c r="U330" s="1">
        <f t="shared" si="48"/>
        <v>174</v>
      </c>
      <c r="V330" s="1">
        <f t="shared" si="48"/>
        <v>263</v>
      </c>
      <c r="W330" s="1">
        <f t="shared" si="48"/>
        <v>137</v>
      </c>
      <c r="X330" s="1">
        <f t="shared" si="48"/>
        <v>320</v>
      </c>
      <c r="Y330" s="1">
        <f t="shared" si="48"/>
        <v>37</v>
      </c>
      <c r="Z330" s="1">
        <f t="shared" si="48"/>
        <v>138</v>
      </c>
      <c r="AA330" s="1">
        <f t="shared" si="48"/>
        <v>99</v>
      </c>
      <c r="AB330" s="1">
        <f t="shared" si="48"/>
        <v>28</v>
      </c>
      <c r="AC330" s="1">
        <f t="shared" si="48"/>
        <v>71</v>
      </c>
      <c r="AD330" s="1">
        <f t="shared" si="48"/>
        <v>53</v>
      </c>
      <c r="AE330" s="1">
        <f t="shared" si="48"/>
        <v>5</v>
      </c>
      <c r="AF330" s="1">
        <f t="shared" si="48"/>
        <v>88</v>
      </c>
      <c r="AG330" s="1">
        <f t="shared" si="48"/>
        <v>70</v>
      </c>
      <c r="AH330" s="1">
        <f t="shared" si="48"/>
        <v>66</v>
      </c>
      <c r="AI330" s="1">
        <f t="shared" si="48"/>
        <v>36</v>
      </c>
      <c r="AJ330" s="1">
        <f t="shared" si="48"/>
        <v>1</v>
      </c>
      <c r="AK330" s="1">
        <f t="shared" si="48"/>
        <v>42</v>
      </c>
      <c r="AL330" s="1">
        <f t="shared" si="48"/>
        <v>9</v>
      </c>
      <c r="AM330" s="1">
        <f t="shared" si="48"/>
        <v>8</v>
      </c>
      <c r="AN330" s="1">
        <f t="shared" si="48"/>
        <v>28</v>
      </c>
      <c r="AO330" s="1">
        <f t="shared" si="48"/>
        <v>19</v>
      </c>
      <c r="AP330" s="1">
        <f t="shared" si="48"/>
        <v>23</v>
      </c>
      <c r="AQ330" s="1">
        <f t="shared" si="48"/>
        <v>14</v>
      </c>
      <c r="AR330" s="1">
        <f t="shared" si="48"/>
        <v>80</v>
      </c>
      <c r="AS330" s="1">
        <f t="shared" si="48"/>
        <v>17</v>
      </c>
      <c r="AT330" s="1">
        <f t="shared" si="48"/>
        <v>26</v>
      </c>
      <c r="AU330" s="1">
        <f t="shared" si="48"/>
        <v>26</v>
      </c>
      <c r="AV330" s="1">
        <f t="shared" si="48"/>
        <v>55</v>
      </c>
      <c r="AW330" s="1">
        <f t="shared" si="48"/>
        <v>18</v>
      </c>
      <c r="AX330" s="1">
        <f t="shared" si="48"/>
        <v>21</v>
      </c>
      <c r="AY330" s="1">
        <f t="shared" si="48"/>
        <v>22</v>
      </c>
      <c r="AZ330" s="1">
        <f t="shared" si="48"/>
        <v>18</v>
      </c>
      <c r="BA330" s="1">
        <f t="shared" si="48"/>
        <v>8</v>
      </c>
      <c r="BB330" s="1">
        <f t="shared" si="48"/>
        <v>10</v>
      </c>
      <c r="BC330" s="1">
        <f t="shared" si="48"/>
        <v>11</v>
      </c>
      <c r="BD330" s="1">
        <f t="shared" si="48"/>
        <v>1</v>
      </c>
      <c r="BE330" s="1">
        <f t="shared" si="48"/>
        <v>6</v>
      </c>
      <c r="BF330" s="1">
        <f t="shared" si="48"/>
        <v>17</v>
      </c>
      <c r="BG330" s="1">
        <f t="shared" si="48"/>
        <v>15</v>
      </c>
      <c r="BH330" s="1">
        <f t="shared" si="48"/>
        <v>16</v>
      </c>
      <c r="BI330" s="1">
        <f t="shared" si="48"/>
        <v>7</v>
      </c>
      <c r="BJ330" s="1">
        <f t="shared" si="48"/>
        <v>10</v>
      </c>
      <c r="BK330" s="1">
        <f t="shared" si="48"/>
        <v>3</v>
      </c>
      <c r="BL330" s="1">
        <f t="shared" si="48"/>
        <v>15</v>
      </c>
      <c r="BM330" s="1">
        <f t="shared" si="48"/>
        <v>14</v>
      </c>
      <c r="BN330" s="1">
        <f t="shared" si="48"/>
        <v>7</v>
      </c>
      <c r="BO330" s="1">
        <f t="shared" si="48"/>
        <v>4</v>
      </c>
      <c r="BP330" s="1">
        <f t="shared" si="48"/>
        <v>15</v>
      </c>
      <c r="BQ330" s="1">
        <f t="shared" ref="BQ330:EB330" si="49">BQ333+BQ336+BQ339+BQ342+BQ345</f>
        <v>3</v>
      </c>
      <c r="BR330" s="1">
        <f t="shared" si="49"/>
        <v>13</v>
      </c>
      <c r="BS330" s="1">
        <f t="shared" si="49"/>
        <v>5</v>
      </c>
      <c r="BT330" s="1">
        <f t="shared" si="49"/>
        <v>4</v>
      </c>
      <c r="BU330" s="1">
        <f t="shared" si="49"/>
        <v>37</v>
      </c>
      <c r="BV330" s="1">
        <f t="shared" si="49"/>
        <v>4</v>
      </c>
      <c r="BW330" s="1">
        <f t="shared" si="49"/>
        <v>4</v>
      </c>
      <c r="BX330" s="1">
        <f t="shared" si="49"/>
        <v>3</v>
      </c>
      <c r="BY330" s="1">
        <f t="shared" si="49"/>
        <v>3</v>
      </c>
      <c r="BZ330" s="1">
        <f t="shared" si="49"/>
        <v>8</v>
      </c>
      <c r="CA330" s="1">
        <f t="shared" si="49"/>
        <v>8</v>
      </c>
      <c r="CB330" s="1">
        <f t="shared" si="49"/>
        <v>2</v>
      </c>
      <c r="CC330" s="1">
        <f t="shared" si="49"/>
        <v>7</v>
      </c>
      <c r="CD330" s="1">
        <f t="shared" si="49"/>
        <v>1</v>
      </c>
      <c r="CE330" s="1">
        <f t="shared" si="49"/>
        <v>7</v>
      </c>
      <c r="CF330" s="1">
        <f t="shared" si="49"/>
        <v>4</v>
      </c>
      <c r="CG330" s="1">
        <f t="shared" si="49"/>
        <v>3</v>
      </c>
      <c r="CH330" s="1">
        <f t="shared" si="49"/>
        <v>0</v>
      </c>
      <c r="CI330" s="1">
        <f t="shared" si="49"/>
        <v>6</v>
      </c>
      <c r="CJ330" s="1">
        <f t="shared" si="49"/>
        <v>3</v>
      </c>
      <c r="CK330" s="1">
        <f t="shared" si="49"/>
        <v>1</v>
      </c>
      <c r="CL330" s="1">
        <f t="shared" si="49"/>
        <v>2</v>
      </c>
      <c r="CM330" s="1">
        <f t="shared" si="49"/>
        <v>0</v>
      </c>
      <c r="CN330" s="1">
        <f t="shared" si="49"/>
        <v>3</v>
      </c>
      <c r="CO330" s="1">
        <f t="shared" si="49"/>
        <v>0</v>
      </c>
      <c r="CP330" s="1">
        <f t="shared" si="49"/>
        <v>0</v>
      </c>
      <c r="CQ330" s="1">
        <f t="shared" si="49"/>
        <v>3</v>
      </c>
      <c r="CR330" s="1">
        <f t="shared" si="49"/>
        <v>0</v>
      </c>
      <c r="CS330" s="1">
        <f t="shared" si="49"/>
        <v>0</v>
      </c>
      <c r="CT330" s="1">
        <f t="shared" si="49"/>
        <v>1</v>
      </c>
      <c r="CU330" s="1">
        <f t="shared" si="49"/>
        <v>3</v>
      </c>
      <c r="CV330" s="1">
        <f t="shared" si="49"/>
        <v>0</v>
      </c>
      <c r="CW330" s="1">
        <f t="shared" si="49"/>
        <v>3</v>
      </c>
      <c r="CX330" s="1">
        <f t="shared" si="49"/>
        <v>2</v>
      </c>
      <c r="CY330" s="1">
        <f t="shared" si="49"/>
        <v>0</v>
      </c>
      <c r="CZ330" s="1">
        <f t="shared" si="49"/>
        <v>0</v>
      </c>
      <c r="DA330" s="1">
        <f t="shared" si="49"/>
        <v>3</v>
      </c>
      <c r="DB330" s="1">
        <f t="shared" si="49"/>
        <v>0</v>
      </c>
      <c r="DC330" s="1">
        <f t="shared" si="49"/>
        <v>0</v>
      </c>
      <c r="DD330" s="1">
        <f t="shared" si="49"/>
        <v>2</v>
      </c>
      <c r="DE330" s="1">
        <f t="shared" si="49"/>
        <v>1</v>
      </c>
      <c r="DF330" s="1">
        <f t="shared" si="49"/>
        <v>0</v>
      </c>
      <c r="DG330" s="1">
        <f t="shared" si="49"/>
        <v>2</v>
      </c>
      <c r="DH330" s="1">
        <f t="shared" si="49"/>
        <v>1</v>
      </c>
      <c r="DI330" s="1">
        <f t="shared" si="49"/>
        <v>4</v>
      </c>
      <c r="DJ330" s="1">
        <f t="shared" si="49"/>
        <v>0</v>
      </c>
      <c r="DK330" s="1">
        <f t="shared" si="49"/>
        <v>0</v>
      </c>
      <c r="DL330" s="1">
        <f t="shared" si="49"/>
        <v>1</v>
      </c>
      <c r="DM330" s="1">
        <f t="shared" si="49"/>
        <v>1</v>
      </c>
      <c r="DN330" s="1">
        <f t="shared" si="49"/>
        <v>2</v>
      </c>
      <c r="DO330" s="1">
        <f t="shared" si="49"/>
        <v>1</v>
      </c>
      <c r="DP330" s="1">
        <f t="shared" si="49"/>
        <v>1</v>
      </c>
      <c r="DQ330" s="1">
        <f t="shared" si="49"/>
        <v>2</v>
      </c>
      <c r="DR330" s="1">
        <f t="shared" si="49"/>
        <v>0</v>
      </c>
      <c r="DS330" s="1">
        <f t="shared" si="49"/>
        <v>0</v>
      </c>
      <c r="DT330" s="1">
        <f t="shared" si="49"/>
        <v>2</v>
      </c>
      <c r="DU330" s="1">
        <f t="shared" si="49"/>
        <v>0</v>
      </c>
      <c r="DV330" s="1">
        <f t="shared" si="49"/>
        <v>1</v>
      </c>
      <c r="DW330" s="1">
        <f t="shared" si="49"/>
        <v>0</v>
      </c>
      <c r="DX330" s="1">
        <f t="shared" si="49"/>
        <v>1</v>
      </c>
      <c r="DY330" s="1">
        <f t="shared" si="49"/>
        <v>3</v>
      </c>
      <c r="DZ330" s="1">
        <f t="shared" si="49"/>
        <v>1</v>
      </c>
      <c r="EA330" s="1">
        <f t="shared" si="49"/>
        <v>0</v>
      </c>
      <c r="EB330" s="1">
        <f t="shared" si="49"/>
        <v>0</v>
      </c>
      <c r="EC330" s="1">
        <f t="shared" ref="EC330:GN330" si="50">EC333+EC336+EC339+EC342+EC345</f>
        <v>0</v>
      </c>
      <c r="ED330" s="1">
        <f t="shared" si="50"/>
        <v>1</v>
      </c>
      <c r="EE330" s="1">
        <f t="shared" si="50"/>
        <v>0</v>
      </c>
      <c r="EF330" s="1">
        <f t="shared" si="50"/>
        <v>0</v>
      </c>
      <c r="EG330" s="1">
        <f t="shared" si="50"/>
        <v>0</v>
      </c>
      <c r="EH330" s="1">
        <f t="shared" si="50"/>
        <v>0</v>
      </c>
      <c r="EI330" s="1">
        <f t="shared" si="50"/>
        <v>1</v>
      </c>
      <c r="EJ330" s="1">
        <f t="shared" si="50"/>
        <v>0</v>
      </c>
      <c r="EK330" s="1">
        <f t="shared" si="50"/>
        <v>1</v>
      </c>
      <c r="EL330" s="1">
        <f t="shared" si="50"/>
        <v>1</v>
      </c>
      <c r="EM330" s="1">
        <f t="shared" si="50"/>
        <v>0</v>
      </c>
      <c r="EN330" s="1">
        <f t="shared" si="50"/>
        <v>0</v>
      </c>
      <c r="EO330" s="1">
        <f t="shared" si="50"/>
        <v>0</v>
      </c>
      <c r="EP330" s="1">
        <f t="shared" si="50"/>
        <v>0</v>
      </c>
      <c r="EQ330" s="1">
        <f t="shared" si="50"/>
        <v>1</v>
      </c>
      <c r="ER330" s="1">
        <f t="shared" si="50"/>
        <v>0</v>
      </c>
      <c r="ES330" s="1">
        <f t="shared" si="50"/>
        <v>0</v>
      </c>
      <c r="ET330" s="1">
        <f t="shared" si="50"/>
        <v>0</v>
      </c>
      <c r="EU330" s="1">
        <f t="shared" si="50"/>
        <v>0</v>
      </c>
      <c r="EV330" s="1">
        <f t="shared" si="50"/>
        <v>1</v>
      </c>
      <c r="EW330" s="1">
        <f t="shared" si="50"/>
        <v>0</v>
      </c>
      <c r="EX330" s="1">
        <f t="shared" si="50"/>
        <v>2</v>
      </c>
      <c r="EY330" s="1">
        <f t="shared" si="50"/>
        <v>0</v>
      </c>
      <c r="EZ330" s="1">
        <f t="shared" si="50"/>
        <v>0</v>
      </c>
      <c r="FA330" s="1">
        <f t="shared" si="50"/>
        <v>0</v>
      </c>
      <c r="FB330" s="1">
        <f t="shared" si="50"/>
        <v>1</v>
      </c>
      <c r="FC330" s="1">
        <f t="shared" si="50"/>
        <v>0</v>
      </c>
      <c r="FD330" s="1">
        <f t="shared" si="50"/>
        <v>1</v>
      </c>
      <c r="FE330" s="1">
        <f t="shared" si="50"/>
        <v>0</v>
      </c>
      <c r="FF330" s="1">
        <f t="shared" si="50"/>
        <v>0</v>
      </c>
      <c r="FG330" s="1">
        <f t="shared" si="50"/>
        <v>0</v>
      </c>
      <c r="FH330" s="1">
        <f t="shared" si="50"/>
        <v>0</v>
      </c>
      <c r="FI330" s="1">
        <f t="shared" si="50"/>
        <v>0</v>
      </c>
      <c r="FJ330" s="1">
        <f t="shared" si="50"/>
        <v>0</v>
      </c>
      <c r="FK330" s="1">
        <f t="shared" si="50"/>
        <v>0</v>
      </c>
      <c r="FL330" s="1">
        <f t="shared" si="50"/>
        <v>3</v>
      </c>
      <c r="FM330" s="1">
        <f t="shared" si="50"/>
        <v>0</v>
      </c>
      <c r="FN330" s="1">
        <f t="shared" si="50"/>
        <v>0</v>
      </c>
      <c r="FO330" s="1">
        <f t="shared" si="50"/>
        <v>0</v>
      </c>
      <c r="FP330" s="1">
        <f t="shared" si="50"/>
        <v>0</v>
      </c>
      <c r="FQ330" s="1">
        <f t="shared" si="50"/>
        <v>0</v>
      </c>
      <c r="FR330" s="1">
        <f t="shared" si="50"/>
        <v>0</v>
      </c>
      <c r="FS330" s="1">
        <f t="shared" si="50"/>
        <v>0</v>
      </c>
      <c r="FT330" s="1">
        <f t="shared" si="50"/>
        <v>0</v>
      </c>
      <c r="FU330" s="1">
        <f t="shared" si="50"/>
        <v>0</v>
      </c>
      <c r="FV330" s="1">
        <f t="shared" si="50"/>
        <v>0</v>
      </c>
      <c r="FW330" s="1">
        <f t="shared" si="50"/>
        <v>0</v>
      </c>
      <c r="FX330" s="1">
        <f t="shared" si="50"/>
        <v>0</v>
      </c>
      <c r="FY330" s="1">
        <f t="shared" si="50"/>
        <v>0</v>
      </c>
      <c r="FZ330" s="1">
        <f t="shared" si="50"/>
        <v>0</v>
      </c>
      <c r="GA330" s="1">
        <f t="shared" si="50"/>
        <v>0</v>
      </c>
      <c r="GB330" s="1">
        <f t="shared" si="50"/>
        <v>0</v>
      </c>
      <c r="GC330" s="1">
        <f t="shared" si="50"/>
        <v>0</v>
      </c>
      <c r="GD330" s="1">
        <f t="shared" si="50"/>
        <v>0</v>
      </c>
      <c r="GE330" s="1">
        <f t="shared" si="50"/>
        <v>0</v>
      </c>
      <c r="GF330" s="1">
        <f t="shared" si="50"/>
        <v>1</v>
      </c>
      <c r="GG330" s="1">
        <f t="shared" si="50"/>
        <v>0</v>
      </c>
      <c r="GH330" s="1">
        <f t="shared" si="50"/>
        <v>1</v>
      </c>
      <c r="GI330" s="1">
        <f t="shared" si="50"/>
        <v>0</v>
      </c>
      <c r="GJ330" s="1">
        <f t="shared" si="50"/>
        <v>0</v>
      </c>
      <c r="GK330" s="1">
        <f t="shared" si="50"/>
        <v>0</v>
      </c>
      <c r="GL330" s="1">
        <f t="shared" si="50"/>
        <v>0</v>
      </c>
      <c r="GM330" s="1">
        <f t="shared" si="50"/>
        <v>0</v>
      </c>
      <c r="GN330" s="1">
        <f t="shared" si="50"/>
        <v>0</v>
      </c>
      <c r="GO330" s="1">
        <f t="shared" ref="GO330:GS330" si="51">GO333+GO336+GO339+GO342+GO345</f>
        <v>0</v>
      </c>
      <c r="GP330" s="1">
        <f t="shared" si="51"/>
        <v>0</v>
      </c>
      <c r="GQ330" s="1">
        <f t="shared" si="51"/>
        <v>0</v>
      </c>
      <c r="GR330" s="1">
        <f t="shared" si="51"/>
        <v>0</v>
      </c>
      <c r="GS330" s="1">
        <f t="shared" si="51"/>
        <v>0</v>
      </c>
    </row>
    <row r="331" spans="1:201" x14ac:dyDescent="0.3">
      <c r="A331" t="s">
        <v>307</v>
      </c>
      <c r="B331" t="s">
        <v>200</v>
      </c>
      <c r="C331" t="s">
        <v>204</v>
      </c>
      <c r="D331" s="1">
        <f>D334+D337+D340+D343+D346</f>
        <v>14866</v>
      </c>
      <c r="E331" s="1">
        <f t="shared" ref="E331:BP331" si="52">E334+E337+E340+E343+E346</f>
        <v>6476</v>
      </c>
      <c r="F331" s="1">
        <f t="shared" si="52"/>
        <v>457</v>
      </c>
      <c r="G331" s="1">
        <f t="shared" si="52"/>
        <v>2258</v>
      </c>
      <c r="H331" s="1">
        <f t="shared" si="52"/>
        <v>169</v>
      </c>
      <c r="I331" s="1">
        <f t="shared" si="52"/>
        <v>289</v>
      </c>
      <c r="J331" s="1">
        <f t="shared" si="52"/>
        <v>193</v>
      </c>
      <c r="K331" s="1">
        <f t="shared" si="52"/>
        <v>285</v>
      </c>
      <c r="L331" s="1">
        <f t="shared" si="52"/>
        <v>174</v>
      </c>
      <c r="M331" s="1">
        <f t="shared" si="52"/>
        <v>461</v>
      </c>
      <c r="N331" s="1">
        <f t="shared" si="52"/>
        <v>330</v>
      </c>
      <c r="O331" s="1">
        <f t="shared" si="52"/>
        <v>555</v>
      </c>
      <c r="P331" s="1">
        <f t="shared" si="52"/>
        <v>279</v>
      </c>
      <c r="Q331" s="1">
        <f t="shared" si="52"/>
        <v>60</v>
      </c>
      <c r="R331" s="1">
        <f t="shared" si="52"/>
        <v>168</v>
      </c>
      <c r="S331" s="1">
        <f t="shared" si="52"/>
        <v>391</v>
      </c>
      <c r="T331" s="1">
        <f t="shared" si="52"/>
        <v>252</v>
      </c>
      <c r="U331" s="1">
        <f t="shared" si="52"/>
        <v>169</v>
      </c>
      <c r="V331" s="1">
        <f t="shared" si="52"/>
        <v>135</v>
      </c>
      <c r="W331" s="1">
        <f t="shared" si="52"/>
        <v>145</v>
      </c>
      <c r="X331" s="1">
        <f t="shared" si="52"/>
        <v>317</v>
      </c>
      <c r="Y331" s="1">
        <f t="shared" si="52"/>
        <v>35</v>
      </c>
      <c r="Z331" s="1">
        <f t="shared" si="52"/>
        <v>164</v>
      </c>
      <c r="AA331" s="1">
        <f t="shared" si="52"/>
        <v>74</v>
      </c>
      <c r="AB331" s="1">
        <f t="shared" si="52"/>
        <v>38</v>
      </c>
      <c r="AC331" s="1">
        <f t="shared" si="52"/>
        <v>55</v>
      </c>
      <c r="AD331" s="1">
        <f t="shared" si="52"/>
        <v>153</v>
      </c>
      <c r="AE331" s="1">
        <f t="shared" si="52"/>
        <v>1</v>
      </c>
      <c r="AF331" s="1">
        <f t="shared" si="52"/>
        <v>30</v>
      </c>
      <c r="AG331" s="1">
        <f t="shared" si="52"/>
        <v>65</v>
      </c>
      <c r="AH331" s="1">
        <f t="shared" si="52"/>
        <v>40</v>
      </c>
      <c r="AI331" s="1">
        <f t="shared" si="52"/>
        <v>17</v>
      </c>
      <c r="AJ331" s="1">
        <f t="shared" si="52"/>
        <v>3</v>
      </c>
      <c r="AK331" s="1">
        <f t="shared" si="52"/>
        <v>24</v>
      </c>
      <c r="AL331" s="1">
        <f t="shared" si="52"/>
        <v>35</v>
      </c>
      <c r="AM331" s="1">
        <f t="shared" si="52"/>
        <v>27</v>
      </c>
      <c r="AN331" s="1">
        <f t="shared" si="52"/>
        <v>15</v>
      </c>
      <c r="AO331" s="1">
        <f t="shared" si="52"/>
        <v>20</v>
      </c>
      <c r="AP331" s="1">
        <f t="shared" si="52"/>
        <v>12</v>
      </c>
      <c r="AQ331" s="1">
        <f t="shared" si="52"/>
        <v>19</v>
      </c>
      <c r="AR331" s="1">
        <f t="shared" si="52"/>
        <v>44</v>
      </c>
      <c r="AS331" s="1">
        <f t="shared" si="52"/>
        <v>19</v>
      </c>
      <c r="AT331" s="1">
        <f t="shared" si="52"/>
        <v>11</v>
      </c>
      <c r="AU331" s="1">
        <f t="shared" si="52"/>
        <v>29</v>
      </c>
      <c r="AV331" s="1">
        <f t="shared" si="52"/>
        <v>21</v>
      </c>
      <c r="AW331" s="1">
        <f t="shared" si="52"/>
        <v>9</v>
      </c>
      <c r="AX331" s="1">
        <f t="shared" si="52"/>
        <v>1</v>
      </c>
      <c r="AY331" s="1">
        <f t="shared" si="52"/>
        <v>23</v>
      </c>
      <c r="AZ331" s="1">
        <f t="shared" si="52"/>
        <v>11</v>
      </c>
      <c r="BA331" s="1">
        <f t="shared" si="52"/>
        <v>16</v>
      </c>
      <c r="BB331" s="1">
        <f t="shared" si="52"/>
        <v>9</v>
      </c>
      <c r="BC331" s="1">
        <f t="shared" si="52"/>
        <v>9</v>
      </c>
      <c r="BD331" s="1">
        <f t="shared" si="52"/>
        <v>0</v>
      </c>
      <c r="BE331" s="1">
        <f t="shared" si="52"/>
        <v>1</v>
      </c>
      <c r="BF331" s="1">
        <f t="shared" si="52"/>
        <v>15</v>
      </c>
      <c r="BG331" s="1">
        <f t="shared" si="52"/>
        <v>8</v>
      </c>
      <c r="BH331" s="1">
        <f t="shared" si="52"/>
        <v>14</v>
      </c>
      <c r="BI331" s="1">
        <f t="shared" si="52"/>
        <v>8</v>
      </c>
      <c r="BJ331" s="1">
        <f t="shared" si="52"/>
        <v>5</v>
      </c>
      <c r="BK331" s="1">
        <f t="shared" si="52"/>
        <v>0</v>
      </c>
      <c r="BL331" s="1">
        <f t="shared" si="52"/>
        <v>11</v>
      </c>
      <c r="BM331" s="1">
        <f t="shared" si="52"/>
        <v>6</v>
      </c>
      <c r="BN331" s="1">
        <f t="shared" si="52"/>
        <v>7</v>
      </c>
      <c r="BO331" s="1">
        <f t="shared" si="52"/>
        <v>8</v>
      </c>
      <c r="BP331" s="1">
        <f t="shared" si="52"/>
        <v>5</v>
      </c>
      <c r="BQ331" s="1">
        <f t="shared" ref="BQ331:EB331" si="53">BQ334+BQ337+BQ340+BQ343+BQ346</f>
        <v>6</v>
      </c>
      <c r="BR331" s="1">
        <f t="shared" si="53"/>
        <v>4</v>
      </c>
      <c r="BS331" s="1">
        <f t="shared" si="53"/>
        <v>4</v>
      </c>
      <c r="BT331" s="1">
        <f t="shared" si="53"/>
        <v>3</v>
      </c>
      <c r="BU331" s="1">
        <f t="shared" si="53"/>
        <v>16</v>
      </c>
      <c r="BV331" s="1">
        <f t="shared" si="53"/>
        <v>7</v>
      </c>
      <c r="BW331" s="1">
        <f t="shared" si="53"/>
        <v>10</v>
      </c>
      <c r="BX331" s="1">
        <f t="shared" si="53"/>
        <v>1</v>
      </c>
      <c r="BY331" s="1">
        <f t="shared" si="53"/>
        <v>3</v>
      </c>
      <c r="BZ331" s="1">
        <f t="shared" si="53"/>
        <v>0</v>
      </c>
      <c r="CA331" s="1">
        <f t="shared" si="53"/>
        <v>3</v>
      </c>
      <c r="CB331" s="1">
        <f t="shared" si="53"/>
        <v>0</v>
      </c>
      <c r="CC331" s="1">
        <f t="shared" si="53"/>
        <v>4</v>
      </c>
      <c r="CD331" s="1">
        <f t="shared" si="53"/>
        <v>11</v>
      </c>
      <c r="CE331" s="1">
        <f t="shared" si="53"/>
        <v>2</v>
      </c>
      <c r="CF331" s="1">
        <f t="shared" si="53"/>
        <v>4</v>
      </c>
      <c r="CG331" s="1">
        <f t="shared" si="53"/>
        <v>5</v>
      </c>
      <c r="CH331" s="1">
        <f t="shared" si="53"/>
        <v>0</v>
      </c>
      <c r="CI331" s="1">
        <f t="shared" si="53"/>
        <v>2</v>
      </c>
      <c r="CJ331" s="1">
        <f t="shared" si="53"/>
        <v>4</v>
      </c>
      <c r="CK331" s="1">
        <f t="shared" si="53"/>
        <v>3</v>
      </c>
      <c r="CL331" s="1">
        <f t="shared" si="53"/>
        <v>5</v>
      </c>
      <c r="CM331" s="1">
        <f t="shared" si="53"/>
        <v>1</v>
      </c>
      <c r="CN331" s="1">
        <f t="shared" si="53"/>
        <v>1</v>
      </c>
      <c r="CO331" s="1">
        <f t="shared" si="53"/>
        <v>0</v>
      </c>
      <c r="CP331" s="1">
        <f t="shared" si="53"/>
        <v>1</v>
      </c>
      <c r="CQ331" s="1">
        <f t="shared" si="53"/>
        <v>2</v>
      </c>
      <c r="CR331" s="1">
        <f t="shared" si="53"/>
        <v>0</v>
      </c>
      <c r="CS331" s="1">
        <f t="shared" si="53"/>
        <v>1</v>
      </c>
      <c r="CT331" s="1">
        <f t="shared" si="53"/>
        <v>2</v>
      </c>
      <c r="CU331" s="1">
        <f t="shared" si="53"/>
        <v>2</v>
      </c>
      <c r="CV331" s="1">
        <f t="shared" si="53"/>
        <v>1</v>
      </c>
      <c r="CW331" s="1">
        <f t="shared" si="53"/>
        <v>3</v>
      </c>
      <c r="CX331" s="1">
        <f t="shared" si="53"/>
        <v>1</v>
      </c>
      <c r="CY331" s="1">
        <f t="shared" si="53"/>
        <v>0</v>
      </c>
      <c r="CZ331" s="1">
        <f t="shared" si="53"/>
        <v>1</v>
      </c>
      <c r="DA331" s="1">
        <f t="shared" si="53"/>
        <v>8</v>
      </c>
      <c r="DB331" s="1">
        <f t="shared" si="53"/>
        <v>0</v>
      </c>
      <c r="DC331" s="1">
        <f t="shared" si="53"/>
        <v>0</v>
      </c>
      <c r="DD331" s="1">
        <f t="shared" si="53"/>
        <v>6</v>
      </c>
      <c r="DE331" s="1">
        <f t="shared" si="53"/>
        <v>1</v>
      </c>
      <c r="DF331" s="1">
        <f t="shared" si="53"/>
        <v>1</v>
      </c>
      <c r="DG331" s="1">
        <f t="shared" si="53"/>
        <v>2</v>
      </c>
      <c r="DH331" s="1">
        <f t="shared" si="53"/>
        <v>0</v>
      </c>
      <c r="DI331" s="1">
        <f t="shared" si="53"/>
        <v>12</v>
      </c>
      <c r="DJ331" s="1">
        <f t="shared" si="53"/>
        <v>1</v>
      </c>
      <c r="DK331" s="1">
        <f t="shared" si="53"/>
        <v>5</v>
      </c>
      <c r="DL331" s="1">
        <f t="shared" si="53"/>
        <v>0</v>
      </c>
      <c r="DM331" s="1">
        <f t="shared" si="53"/>
        <v>2</v>
      </c>
      <c r="DN331" s="1">
        <f t="shared" si="53"/>
        <v>3</v>
      </c>
      <c r="DO331" s="1">
        <f t="shared" si="53"/>
        <v>1</v>
      </c>
      <c r="DP331" s="1">
        <f t="shared" si="53"/>
        <v>1</v>
      </c>
      <c r="DQ331" s="1">
        <f t="shared" si="53"/>
        <v>0</v>
      </c>
      <c r="DR331" s="1">
        <f t="shared" si="53"/>
        <v>1</v>
      </c>
      <c r="DS331" s="1">
        <f t="shared" si="53"/>
        <v>0</v>
      </c>
      <c r="DT331" s="1">
        <f t="shared" si="53"/>
        <v>2</v>
      </c>
      <c r="DU331" s="1">
        <f t="shared" si="53"/>
        <v>0</v>
      </c>
      <c r="DV331" s="1">
        <f t="shared" si="53"/>
        <v>0</v>
      </c>
      <c r="DW331" s="1">
        <f t="shared" si="53"/>
        <v>0</v>
      </c>
      <c r="DX331" s="1">
        <f t="shared" si="53"/>
        <v>0</v>
      </c>
      <c r="DY331" s="1">
        <f t="shared" si="53"/>
        <v>2</v>
      </c>
      <c r="DZ331" s="1">
        <f t="shared" si="53"/>
        <v>1</v>
      </c>
      <c r="EA331" s="1">
        <f t="shared" si="53"/>
        <v>1</v>
      </c>
      <c r="EB331" s="1">
        <f t="shared" si="53"/>
        <v>1</v>
      </c>
      <c r="EC331" s="1">
        <f t="shared" ref="EC331:GN331" si="54">EC334+EC337+EC340+EC343+EC346</f>
        <v>1</v>
      </c>
      <c r="ED331" s="1">
        <f t="shared" si="54"/>
        <v>0</v>
      </c>
      <c r="EE331" s="1">
        <f t="shared" si="54"/>
        <v>1</v>
      </c>
      <c r="EF331" s="1">
        <f t="shared" si="54"/>
        <v>0</v>
      </c>
      <c r="EG331" s="1">
        <f t="shared" si="54"/>
        <v>0</v>
      </c>
      <c r="EH331" s="1">
        <f t="shared" si="54"/>
        <v>0</v>
      </c>
      <c r="EI331" s="1">
        <f t="shared" si="54"/>
        <v>0</v>
      </c>
      <c r="EJ331" s="1">
        <f t="shared" si="54"/>
        <v>0</v>
      </c>
      <c r="EK331" s="1">
        <f t="shared" si="54"/>
        <v>1</v>
      </c>
      <c r="EL331" s="1">
        <f t="shared" si="54"/>
        <v>0</v>
      </c>
      <c r="EM331" s="1">
        <f t="shared" si="54"/>
        <v>0</v>
      </c>
      <c r="EN331" s="1">
        <f t="shared" si="54"/>
        <v>2</v>
      </c>
      <c r="EO331" s="1">
        <f t="shared" si="54"/>
        <v>0</v>
      </c>
      <c r="EP331" s="1">
        <f t="shared" si="54"/>
        <v>0</v>
      </c>
      <c r="EQ331" s="1">
        <f t="shared" si="54"/>
        <v>1</v>
      </c>
      <c r="ER331" s="1">
        <f t="shared" si="54"/>
        <v>1</v>
      </c>
      <c r="ES331" s="1">
        <f t="shared" si="54"/>
        <v>0</v>
      </c>
      <c r="ET331" s="1">
        <f t="shared" si="54"/>
        <v>1</v>
      </c>
      <c r="EU331" s="1">
        <f t="shared" si="54"/>
        <v>0</v>
      </c>
      <c r="EV331" s="1">
        <f t="shared" si="54"/>
        <v>0</v>
      </c>
      <c r="EW331" s="1">
        <f t="shared" si="54"/>
        <v>0</v>
      </c>
      <c r="EX331" s="1">
        <f t="shared" si="54"/>
        <v>4</v>
      </c>
      <c r="EY331" s="1">
        <f t="shared" si="54"/>
        <v>0</v>
      </c>
      <c r="EZ331" s="1">
        <f t="shared" si="54"/>
        <v>0</v>
      </c>
      <c r="FA331" s="1">
        <f t="shared" si="54"/>
        <v>0</v>
      </c>
      <c r="FB331" s="1">
        <f t="shared" si="54"/>
        <v>0</v>
      </c>
      <c r="FC331" s="1">
        <f t="shared" si="54"/>
        <v>0</v>
      </c>
      <c r="FD331" s="1">
        <f t="shared" si="54"/>
        <v>0</v>
      </c>
      <c r="FE331" s="1">
        <f t="shared" si="54"/>
        <v>0</v>
      </c>
      <c r="FF331" s="1">
        <f t="shared" si="54"/>
        <v>1</v>
      </c>
      <c r="FG331" s="1">
        <f t="shared" si="54"/>
        <v>0</v>
      </c>
      <c r="FH331" s="1">
        <f t="shared" si="54"/>
        <v>1</v>
      </c>
      <c r="FI331" s="1">
        <f t="shared" si="54"/>
        <v>2</v>
      </c>
      <c r="FJ331" s="1">
        <f t="shared" si="54"/>
        <v>0</v>
      </c>
      <c r="FK331" s="1">
        <f t="shared" si="54"/>
        <v>0</v>
      </c>
      <c r="FL331" s="1">
        <f t="shared" si="54"/>
        <v>4</v>
      </c>
      <c r="FM331" s="1">
        <f t="shared" si="54"/>
        <v>0</v>
      </c>
      <c r="FN331" s="1">
        <f t="shared" si="54"/>
        <v>1</v>
      </c>
      <c r="FO331" s="1">
        <f t="shared" si="54"/>
        <v>0</v>
      </c>
      <c r="FP331" s="1">
        <f t="shared" si="54"/>
        <v>0</v>
      </c>
      <c r="FQ331" s="1">
        <f t="shared" si="54"/>
        <v>0</v>
      </c>
      <c r="FR331" s="1">
        <f t="shared" si="54"/>
        <v>0</v>
      </c>
      <c r="FS331" s="1">
        <f t="shared" si="54"/>
        <v>0</v>
      </c>
      <c r="FT331" s="1">
        <f t="shared" si="54"/>
        <v>0</v>
      </c>
      <c r="FU331" s="1">
        <f t="shared" si="54"/>
        <v>0</v>
      </c>
      <c r="FV331" s="1">
        <f t="shared" si="54"/>
        <v>0</v>
      </c>
      <c r="FW331" s="1">
        <f t="shared" si="54"/>
        <v>0</v>
      </c>
      <c r="FX331" s="1">
        <f t="shared" si="54"/>
        <v>0</v>
      </c>
      <c r="FY331" s="1">
        <f t="shared" si="54"/>
        <v>0</v>
      </c>
      <c r="FZ331" s="1">
        <f t="shared" si="54"/>
        <v>0</v>
      </c>
      <c r="GA331" s="1">
        <f t="shared" si="54"/>
        <v>0</v>
      </c>
      <c r="GB331" s="1">
        <f t="shared" si="54"/>
        <v>0</v>
      </c>
      <c r="GC331" s="1">
        <f t="shared" si="54"/>
        <v>0</v>
      </c>
      <c r="GD331" s="1">
        <f t="shared" si="54"/>
        <v>0</v>
      </c>
      <c r="GE331" s="1">
        <f t="shared" si="54"/>
        <v>0</v>
      </c>
      <c r="GF331" s="1">
        <f t="shared" si="54"/>
        <v>0</v>
      </c>
      <c r="GG331" s="1">
        <f t="shared" si="54"/>
        <v>0</v>
      </c>
      <c r="GH331" s="1">
        <f t="shared" si="54"/>
        <v>0</v>
      </c>
      <c r="GI331" s="1">
        <f t="shared" si="54"/>
        <v>0</v>
      </c>
      <c r="GJ331" s="1">
        <f t="shared" si="54"/>
        <v>0</v>
      </c>
      <c r="GK331" s="1">
        <f t="shared" si="54"/>
        <v>0</v>
      </c>
      <c r="GL331" s="1">
        <f t="shared" si="54"/>
        <v>0</v>
      </c>
      <c r="GM331" s="1">
        <f t="shared" si="54"/>
        <v>0</v>
      </c>
      <c r="GN331" s="1">
        <f t="shared" si="54"/>
        <v>0</v>
      </c>
      <c r="GO331" s="1">
        <f t="shared" ref="GO331:GS331" si="55">GO334+GO337+GO340+GO343+GO346</f>
        <v>0</v>
      </c>
      <c r="GP331" s="1">
        <f t="shared" si="55"/>
        <v>0</v>
      </c>
      <c r="GQ331" s="1">
        <f t="shared" si="55"/>
        <v>0</v>
      </c>
      <c r="GR331" s="1">
        <f t="shared" si="55"/>
        <v>0</v>
      </c>
      <c r="GS331" s="1">
        <f t="shared" si="55"/>
        <v>1</v>
      </c>
    </row>
    <row r="332" spans="1:201" x14ac:dyDescent="0.3">
      <c r="A332" t="s">
        <v>307</v>
      </c>
      <c r="B332" t="s">
        <v>308</v>
      </c>
      <c r="C332" t="s">
        <v>200</v>
      </c>
      <c r="D332" s="1">
        <v>3725</v>
      </c>
      <c r="E332" s="1">
        <v>1832</v>
      </c>
      <c r="F332">
        <v>193</v>
      </c>
      <c r="G332">
        <v>261</v>
      </c>
      <c r="H332">
        <v>204</v>
      </c>
      <c r="I332">
        <v>94</v>
      </c>
      <c r="J332">
        <v>139</v>
      </c>
      <c r="K332">
        <v>191</v>
      </c>
      <c r="L332">
        <v>41</v>
      </c>
      <c r="M332">
        <v>141</v>
      </c>
      <c r="N332">
        <v>74</v>
      </c>
      <c r="O332">
        <v>121</v>
      </c>
      <c r="P332">
        <v>18</v>
      </c>
      <c r="Q332">
        <v>57</v>
      </c>
      <c r="R332">
        <v>40</v>
      </c>
      <c r="S332">
        <v>42</v>
      </c>
      <c r="T332">
        <v>19</v>
      </c>
      <c r="U332">
        <v>11</v>
      </c>
      <c r="V332">
        <v>24</v>
      </c>
      <c r="W332">
        <v>12</v>
      </c>
      <c r="X332">
        <v>9</v>
      </c>
      <c r="Y332">
        <v>28</v>
      </c>
      <c r="Z332">
        <v>19</v>
      </c>
      <c r="AA332">
        <v>2</v>
      </c>
      <c r="AB332">
        <v>2</v>
      </c>
      <c r="AC332">
        <v>5</v>
      </c>
      <c r="AD332">
        <v>10</v>
      </c>
      <c r="AE332">
        <v>2</v>
      </c>
      <c r="AF332">
        <v>2</v>
      </c>
      <c r="AG332">
        <v>21</v>
      </c>
      <c r="AH332">
        <v>2</v>
      </c>
      <c r="AI332">
        <v>1</v>
      </c>
      <c r="AJ332">
        <v>0</v>
      </c>
      <c r="AK332">
        <v>4</v>
      </c>
      <c r="AL332">
        <v>4</v>
      </c>
      <c r="AM332">
        <v>3</v>
      </c>
      <c r="AN332">
        <v>0</v>
      </c>
      <c r="AO332">
        <v>5</v>
      </c>
      <c r="AP332">
        <v>27</v>
      </c>
      <c r="AQ332">
        <v>0</v>
      </c>
      <c r="AR332">
        <v>8</v>
      </c>
      <c r="AS332">
        <v>10</v>
      </c>
      <c r="AT332">
        <v>1</v>
      </c>
      <c r="AU332">
        <v>2</v>
      </c>
      <c r="AV332">
        <v>4</v>
      </c>
      <c r="AW332">
        <v>3</v>
      </c>
      <c r="AX332">
        <v>0</v>
      </c>
      <c r="AY332">
        <v>1</v>
      </c>
      <c r="AZ332">
        <v>4</v>
      </c>
      <c r="BA332">
        <v>1</v>
      </c>
      <c r="BB332">
        <v>2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2</v>
      </c>
      <c r="BI332">
        <v>3</v>
      </c>
      <c r="BJ332">
        <v>1</v>
      </c>
      <c r="BK332">
        <v>0</v>
      </c>
      <c r="BL332">
        <v>1</v>
      </c>
      <c r="BM332">
        <v>0</v>
      </c>
      <c r="BN332">
        <v>1</v>
      </c>
      <c r="BO332">
        <v>0</v>
      </c>
      <c r="BP332">
        <v>0</v>
      </c>
      <c r="BQ332">
        <v>1</v>
      </c>
      <c r="BR332">
        <v>1</v>
      </c>
      <c r="BS332">
        <v>0</v>
      </c>
      <c r="BT332">
        <v>2</v>
      </c>
      <c r="BU332">
        <v>2</v>
      </c>
      <c r="BV332">
        <v>1</v>
      </c>
      <c r="BW332">
        <v>1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1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1</v>
      </c>
      <c r="DN332">
        <v>1</v>
      </c>
      <c r="DO332">
        <v>0</v>
      </c>
      <c r="DP332">
        <v>0</v>
      </c>
      <c r="DQ332">
        <v>1</v>
      </c>
      <c r="DR332">
        <v>1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1</v>
      </c>
    </row>
    <row r="333" spans="1:201" x14ac:dyDescent="0.3">
      <c r="A333" t="s">
        <v>307</v>
      </c>
      <c r="B333" t="s">
        <v>308</v>
      </c>
      <c r="C333" t="s">
        <v>203</v>
      </c>
      <c r="D333" s="1">
        <v>1975</v>
      </c>
      <c r="E333">
        <v>857</v>
      </c>
      <c r="F333">
        <v>110</v>
      </c>
      <c r="G333">
        <v>75</v>
      </c>
      <c r="H333">
        <v>160</v>
      </c>
      <c r="I333">
        <v>73</v>
      </c>
      <c r="J333">
        <v>97</v>
      </c>
      <c r="K333">
        <v>174</v>
      </c>
      <c r="L333">
        <v>37</v>
      </c>
      <c r="M333">
        <v>54</v>
      </c>
      <c r="N333">
        <v>25</v>
      </c>
      <c r="O333">
        <v>67</v>
      </c>
      <c r="P333">
        <v>11</v>
      </c>
      <c r="Q333">
        <v>48</v>
      </c>
      <c r="R333">
        <v>30</v>
      </c>
      <c r="S333">
        <v>4</v>
      </c>
      <c r="T333">
        <v>5</v>
      </c>
      <c r="U333">
        <v>8</v>
      </c>
      <c r="V333">
        <v>22</v>
      </c>
      <c r="W333">
        <v>5</v>
      </c>
      <c r="X333">
        <v>5</v>
      </c>
      <c r="Y333">
        <v>17</v>
      </c>
      <c r="Z333">
        <v>15</v>
      </c>
      <c r="AA333">
        <v>2</v>
      </c>
      <c r="AB333">
        <v>0</v>
      </c>
      <c r="AC333">
        <v>2</v>
      </c>
      <c r="AD333">
        <v>2</v>
      </c>
      <c r="AE333">
        <v>2</v>
      </c>
      <c r="AF333">
        <v>1</v>
      </c>
      <c r="AG333">
        <v>12</v>
      </c>
      <c r="AH333">
        <v>2</v>
      </c>
      <c r="AI333">
        <v>0</v>
      </c>
      <c r="AJ333">
        <v>0</v>
      </c>
      <c r="AK333">
        <v>3</v>
      </c>
      <c r="AL333">
        <v>1</v>
      </c>
      <c r="AM333">
        <v>1</v>
      </c>
      <c r="AN333">
        <v>0</v>
      </c>
      <c r="AO333">
        <v>1</v>
      </c>
      <c r="AP333">
        <v>18</v>
      </c>
      <c r="AQ333">
        <v>0</v>
      </c>
      <c r="AR333">
        <v>6</v>
      </c>
      <c r="AS333">
        <v>5</v>
      </c>
      <c r="AT333">
        <v>0</v>
      </c>
      <c r="AU333">
        <v>1</v>
      </c>
      <c r="AV333">
        <v>2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1</v>
      </c>
      <c r="BI333">
        <v>2</v>
      </c>
      <c r="BJ333">
        <v>1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1</v>
      </c>
      <c r="BR333">
        <v>0</v>
      </c>
      <c r="BS333">
        <v>0</v>
      </c>
      <c r="BT333">
        <v>2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1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1</v>
      </c>
      <c r="DN333">
        <v>1</v>
      </c>
      <c r="DO333">
        <v>0</v>
      </c>
      <c r="DP333">
        <v>0</v>
      </c>
      <c r="DQ333">
        <v>1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</row>
    <row r="334" spans="1:201" x14ac:dyDescent="0.3">
      <c r="A334" t="s">
        <v>307</v>
      </c>
      <c r="B334" t="s">
        <v>308</v>
      </c>
      <c r="C334" t="s">
        <v>204</v>
      </c>
      <c r="D334" s="1">
        <v>1750</v>
      </c>
      <c r="E334">
        <v>975</v>
      </c>
      <c r="F334">
        <v>83</v>
      </c>
      <c r="G334">
        <v>186</v>
      </c>
      <c r="H334">
        <v>44</v>
      </c>
      <c r="I334">
        <v>21</v>
      </c>
      <c r="J334">
        <v>42</v>
      </c>
      <c r="K334">
        <v>17</v>
      </c>
      <c r="L334">
        <v>4</v>
      </c>
      <c r="M334">
        <v>87</v>
      </c>
      <c r="N334">
        <v>49</v>
      </c>
      <c r="O334">
        <v>54</v>
      </c>
      <c r="P334">
        <v>7</v>
      </c>
      <c r="Q334">
        <v>9</v>
      </c>
      <c r="R334">
        <v>10</v>
      </c>
      <c r="S334">
        <v>38</v>
      </c>
      <c r="T334">
        <v>14</v>
      </c>
      <c r="U334">
        <v>3</v>
      </c>
      <c r="V334">
        <v>2</v>
      </c>
      <c r="W334">
        <v>7</v>
      </c>
      <c r="X334">
        <v>4</v>
      </c>
      <c r="Y334">
        <v>11</v>
      </c>
      <c r="Z334">
        <v>4</v>
      </c>
      <c r="AA334">
        <v>0</v>
      </c>
      <c r="AB334">
        <v>2</v>
      </c>
      <c r="AC334">
        <v>3</v>
      </c>
      <c r="AD334">
        <v>8</v>
      </c>
      <c r="AE334">
        <v>0</v>
      </c>
      <c r="AF334">
        <v>1</v>
      </c>
      <c r="AG334">
        <v>9</v>
      </c>
      <c r="AH334">
        <v>0</v>
      </c>
      <c r="AI334">
        <v>1</v>
      </c>
      <c r="AJ334">
        <v>0</v>
      </c>
      <c r="AK334">
        <v>1</v>
      </c>
      <c r="AL334">
        <v>3</v>
      </c>
      <c r="AM334">
        <v>2</v>
      </c>
      <c r="AN334">
        <v>0</v>
      </c>
      <c r="AO334">
        <v>4</v>
      </c>
      <c r="AP334">
        <v>9</v>
      </c>
      <c r="AQ334">
        <v>0</v>
      </c>
      <c r="AR334">
        <v>2</v>
      </c>
      <c r="AS334">
        <v>5</v>
      </c>
      <c r="AT334">
        <v>1</v>
      </c>
      <c r="AU334">
        <v>1</v>
      </c>
      <c r="AV334">
        <v>2</v>
      </c>
      <c r="AW334">
        <v>3</v>
      </c>
      <c r="AX334">
        <v>0</v>
      </c>
      <c r="AY334">
        <v>1</v>
      </c>
      <c r="AZ334">
        <v>3</v>
      </c>
      <c r="BA334">
        <v>1</v>
      </c>
      <c r="BB334">
        <v>2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2</v>
      </c>
      <c r="BV334">
        <v>1</v>
      </c>
      <c r="BW334">
        <v>1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1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1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1</v>
      </c>
    </row>
    <row r="335" spans="1:201" x14ac:dyDescent="0.3">
      <c r="A335" t="s">
        <v>307</v>
      </c>
      <c r="B335" t="s">
        <v>298</v>
      </c>
      <c r="C335" t="s">
        <v>200</v>
      </c>
      <c r="D335" s="1">
        <v>7606</v>
      </c>
      <c r="E335" s="1">
        <v>3090</v>
      </c>
      <c r="F335">
        <v>150</v>
      </c>
      <c r="G335" s="1">
        <v>1244</v>
      </c>
      <c r="H335">
        <v>165</v>
      </c>
      <c r="I335">
        <v>416</v>
      </c>
      <c r="J335">
        <v>63</v>
      </c>
      <c r="K335">
        <v>163</v>
      </c>
      <c r="L335">
        <v>58</v>
      </c>
      <c r="M335">
        <v>116</v>
      </c>
      <c r="N335">
        <v>66</v>
      </c>
      <c r="O335">
        <v>307</v>
      </c>
      <c r="P335">
        <v>98</v>
      </c>
      <c r="Q335">
        <v>15</v>
      </c>
      <c r="R335">
        <v>338</v>
      </c>
      <c r="S335">
        <v>83</v>
      </c>
      <c r="T335">
        <v>193</v>
      </c>
      <c r="U335">
        <v>125</v>
      </c>
      <c r="V335">
        <v>67</v>
      </c>
      <c r="W335">
        <v>50</v>
      </c>
      <c r="X335">
        <v>175</v>
      </c>
      <c r="Y335">
        <v>8</v>
      </c>
      <c r="Z335">
        <v>134</v>
      </c>
      <c r="AA335">
        <v>67</v>
      </c>
      <c r="AB335">
        <v>9</v>
      </c>
      <c r="AC335">
        <v>20</v>
      </c>
      <c r="AD335">
        <v>24</v>
      </c>
      <c r="AE335">
        <v>1</v>
      </c>
      <c r="AF335">
        <v>35</v>
      </c>
      <c r="AG335">
        <v>22</v>
      </c>
      <c r="AH335">
        <v>10</v>
      </c>
      <c r="AI335">
        <v>6</v>
      </c>
      <c r="AJ335">
        <v>1</v>
      </c>
      <c r="AK335">
        <v>35</v>
      </c>
      <c r="AL335">
        <v>5</v>
      </c>
      <c r="AM335">
        <v>7</v>
      </c>
      <c r="AN335">
        <v>9</v>
      </c>
      <c r="AO335">
        <v>6</v>
      </c>
      <c r="AP335">
        <v>6</v>
      </c>
      <c r="AQ335">
        <v>16</v>
      </c>
      <c r="AR335">
        <v>20</v>
      </c>
      <c r="AS335">
        <v>7</v>
      </c>
      <c r="AT335">
        <v>4</v>
      </c>
      <c r="AU335">
        <v>2</v>
      </c>
      <c r="AV335">
        <v>5</v>
      </c>
      <c r="AW335">
        <v>4</v>
      </c>
      <c r="AX335">
        <v>2</v>
      </c>
      <c r="AY335">
        <v>15</v>
      </c>
      <c r="AZ335">
        <v>19</v>
      </c>
      <c r="BA335">
        <v>2</v>
      </c>
      <c r="BB335">
        <v>0</v>
      </c>
      <c r="BC335">
        <v>5</v>
      </c>
      <c r="BD335">
        <v>0</v>
      </c>
      <c r="BE335">
        <v>2</v>
      </c>
      <c r="BF335">
        <v>5</v>
      </c>
      <c r="BG335">
        <v>2</v>
      </c>
      <c r="BH335">
        <v>4</v>
      </c>
      <c r="BI335">
        <v>4</v>
      </c>
      <c r="BJ335">
        <v>0</v>
      </c>
      <c r="BK335">
        <v>0</v>
      </c>
      <c r="BL335">
        <v>15</v>
      </c>
      <c r="BM335">
        <v>9</v>
      </c>
      <c r="BN335">
        <v>0</v>
      </c>
      <c r="BO335">
        <v>1</v>
      </c>
      <c r="BP335">
        <v>0</v>
      </c>
      <c r="BQ335">
        <v>1</v>
      </c>
      <c r="BR335">
        <v>1</v>
      </c>
      <c r="BS335">
        <v>2</v>
      </c>
      <c r="BT335">
        <v>3</v>
      </c>
      <c r="BU335">
        <v>4</v>
      </c>
      <c r="BV335">
        <v>3</v>
      </c>
      <c r="BW335">
        <v>2</v>
      </c>
      <c r="BX335">
        <v>1</v>
      </c>
      <c r="BY335">
        <v>0</v>
      </c>
      <c r="BZ335">
        <v>1</v>
      </c>
      <c r="CA335">
        <v>3</v>
      </c>
      <c r="CB335">
        <v>0</v>
      </c>
      <c r="CC335">
        <v>1</v>
      </c>
      <c r="CD335">
        <v>6</v>
      </c>
      <c r="CE335">
        <v>1</v>
      </c>
      <c r="CF335">
        <v>1</v>
      </c>
      <c r="CG335">
        <v>0</v>
      </c>
      <c r="CH335">
        <v>0</v>
      </c>
      <c r="CI335">
        <v>0</v>
      </c>
      <c r="CJ335">
        <v>3</v>
      </c>
      <c r="CK335">
        <v>2</v>
      </c>
      <c r="CL335">
        <v>2</v>
      </c>
      <c r="CM335">
        <v>0</v>
      </c>
      <c r="CN335">
        <v>1</v>
      </c>
      <c r="CO335">
        <v>0</v>
      </c>
      <c r="CP335">
        <v>1</v>
      </c>
      <c r="CQ335">
        <v>1</v>
      </c>
      <c r="CR335">
        <v>0</v>
      </c>
      <c r="CS335">
        <v>1</v>
      </c>
      <c r="CT335">
        <v>0</v>
      </c>
      <c r="CU335">
        <v>0</v>
      </c>
      <c r="CV335">
        <v>0</v>
      </c>
      <c r="CW335">
        <v>3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1</v>
      </c>
      <c r="DE335">
        <v>1</v>
      </c>
      <c r="DF335">
        <v>1</v>
      </c>
      <c r="DG335">
        <v>3</v>
      </c>
      <c r="DH335">
        <v>0</v>
      </c>
      <c r="DI335">
        <v>4</v>
      </c>
      <c r="DJ335">
        <v>1</v>
      </c>
      <c r="DK335">
        <v>1</v>
      </c>
      <c r="DL335">
        <v>0</v>
      </c>
      <c r="DM335">
        <v>1</v>
      </c>
      <c r="DN335">
        <v>2</v>
      </c>
      <c r="DO335">
        <v>0</v>
      </c>
      <c r="DP335">
        <v>1</v>
      </c>
      <c r="DQ335">
        <v>0</v>
      </c>
      <c r="DR335">
        <v>0</v>
      </c>
      <c r="DS335">
        <v>0</v>
      </c>
      <c r="DT335">
        <v>3</v>
      </c>
      <c r="DU335">
        <v>0</v>
      </c>
      <c r="DV335">
        <v>0</v>
      </c>
      <c r="DW335">
        <v>0</v>
      </c>
      <c r="DX335">
        <v>1</v>
      </c>
      <c r="DY335">
        <v>0</v>
      </c>
      <c r="DZ335">
        <v>1</v>
      </c>
      <c r="EA335">
        <v>0</v>
      </c>
      <c r="EB335">
        <v>1</v>
      </c>
      <c r="EC335">
        <v>1</v>
      </c>
      <c r="ED335">
        <v>0</v>
      </c>
      <c r="EE335">
        <v>1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1</v>
      </c>
      <c r="FI335">
        <v>0</v>
      </c>
      <c r="FJ335">
        <v>0</v>
      </c>
      <c r="FK335">
        <v>0</v>
      </c>
      <c r="FL335">
        <v>7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</row>
    <row r="336" spans="1:201" x14ac:dyDescent="0.3">
      <c r="A336" t="s">
        <v>307</v>
      </c>
      <c r="B336" t="s">
        <v>298</v>
      </c>
      <c r="C336" t="s">
        <v>203</v>
      </c>
      <c r="D336" s="1">
        <v>3578</v>
      </c>
      <c r="E336" s="1">
        <v>1358</v>
      </c>
      <c r="F336">
        <v>88</v>
      </c>
      <c r="G336">
        <v>554</v>
      </c>
      <c r="H336">
        <v>119</v>
      </c>
      <c r="I336">
        <v>319</v>
      </c>
      <c r="J336">
        <v>22</v>
      </c>
      <c r="K336">
        <v>41</v>
      </c>
      <c r="L336">
        <v>26</v>
      </c>
      <c r="M336">
        <v>20</v>
      </c>
      <c r="N336">
        <v>7</v>
      </c>
      <c r="O336">
        <v>148</v>
      </c>
      <c r="P336">
        <v>55</v>
      </c>
      <c r="Q336">
        <v>10</v>
      </c>
      <c r="R336">
        <v>250</v>
      </c>
      <c r="S336">
        <v>6</v>
      </c>
      <c r="T336">
        <v>59</v>
      </c>
      <c r="U336">
        <v>46</v>
      </c>
      <c r="V336">
        <v>55</v>
      </c>
      <c r="W336">
        <v>20</v>
      </c>
      <c r="X336">
        <v>67</v>
      </c>
      <c r="Y336">
        <v>5</v>
      </c>
      <c r="Z336">
        <v>63</v>
      </c>
      <c r="AA336">
        <v>33</v>
      </c>
      <c r="AB336">
        <v>4</v>
      </c>
      <c r="AC336">
        <v>11</v>
      </c>
      <c r="AD336">
        <v>12</v>
      </c>
      <c r="AE336">
        <v>1</v>
      </c>
      <c r="AF336">
        <v>25</v>
      </c>
      <c r="AG336">
        <v>14</v>
      </c>
      <c r="AH336">
        <v>5</v>
      </c>
      <c r="AI336">
        <v>5</v>
      </c>
      <c r="AJ336">
        <v>0</v>
      </c>
      <c r="AK336">
        <v>21</v>
      </c>
      <c r="AL336">
        <v>1</v>
      </c>
      <c r="AM336">
        <v>2</v>
      </c>
      <c r="AN336">
        <v>5</v>
      </c>
      <c r="AO336">
        <v>6</v>
      </c>
      <c r="AP336">
        <v>3</v>
      </c>
      <c r="AQ336">
        <v>7</v>
      </c>
      <c r="AR336">
        <v>9</v>
      </c>
      <c r="AS336">
        <v>2</v>
      </c>
      <c r="AT336">
        <v>2</v>
      </c>
      <c r="AU336">
        <v>0</v>
      </c>
      <c r="AV336">
        <v>3</v>
      </c>
      <c r="AW336">
        <v>3</v>
      </c>
      <c r="AX336">
        <v>2</v>
      </c>
      <c r="AY336">
        <v>4</v>
      </c>
      <c r="AZ336">
        <v>12</v>
      </c>
      <c r="BA336">
        <v>1</v>
      </c>
      <c r="BB336">
        <v>0</v>
      </c>
      <c r="BC336">
        <v>3</v>
      </c>
      <c r="BD336">
        <v>0</v>
      </c>
      <c r="BE336">
        <v>2</v>
      </c>
      <c r="BF336">
        <v>3</v>
      </c>
      <c r="BG336">
        <v>1</v>
      </c>
      <c r="BH336">
        <v>0</v>
      </c>
      <c r="BI336">
        <v>1</v>
      </c>
      <c r="BJ336">
        <v>0</v>
      </c>
      <c r="BK336">
        <v>0</v>
      </c>
      <c r="BL336">
        <v>10</v>
      </c>
      <c r="BM336">
        <v>6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1</v>
      </c>
      <c r="BU336">
        <v>0</v>
      </c>
      <c r="BV336">
        <v>1</v>
      </c>
      <c r="BW336">
        <v>0</v>
      </c>
      <c r="BX336">
        <v>1</v>
      </c>
      <c r="BY336">
        <v>0</v>
      </c>
      <c r="BZ336">
        <v>1</v>
      </c>
      <c r="CA336">
        <v>2</v>
      </c>
      <c r="CB336">
        <v>0</v>
      </c>
      <c r="CC336">
        <v>0</v>
      </c>
      <c r="CD336">
        <v>0</v>
      </c>
      <c r="CE336">
        <v>1</v>
      </c>
      <c r="CF336">
        <v>1</v>
      </c>
      <c r="CG336">
        <v>0</v>
      </c>
      <c r="CH336">
        <v>0</v>
      </c>
      <c r="CI336">
        <v>0</v>
      </c>
      <c r="CJ336">
        <v>0</v>
      </c>
      <c r="CK336">
        <v>1</v>
      </c>
      <c r="CL336">
        <v>1</v>
      </c>
      <c r="CM336">
        <v>0</v>
      </c>
      <c r="CN336">
        <v>1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0</v>
      </c>
      <c r="DG336">
        <v>1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1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2</v>
      </c>
      <c r="DU336">
        <v>0</v>
      </c>
      <c r="DV336">
        <v>0</v>
      </c>
      <c r="DW336">
        <v>0</v>
      </c>
      <c r="DX336">
        <v>1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3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</row>
    <row r="337" spans="1:201" x14ac:dyDescent="0.3">
      <c r="A337" t="s">
        <v>307</v>
      </c>
      <c r="B337" t="s">
        <v>298</v>
      </c>
      <c r="C337" t="s">
        <v>204</v>
      </c>
      <c r="D337" s="1">
        <v>4028</v>
      </c>
      <c r="E337" s="1">
        <v>1732</v>
      </c>
      <c r="F337">
        <v>62</v>
      </c>
      <c r="G337">
        <v>690</v>
      </c>
      <c r="H337">
        <v>46</v>
      </c>
      <c r="I337">
        <v>97</v>
      </c>
      <c r="J337">
        <v>41</v>
      </c>
      <c r="K337">
        <v>122</v>
      </c>
      <c r="L337">
        <v>32</v>
      </c>
      <c r="M337">
        <v>96</v>
      </c>
      <c r="N337">
        <v>59</v>
      </c>
      <c r="O337">
        <v>159</v>
      </c>
      <c r="P337">
        <v>43</v>
      </c>
      <c r="Q337">
        <v>5</v>
      </c>
      <c r="R337">
        <v>88</v>
      </c>
      <c r="S337">
        <v>77</v>
      </c>
      <c r="T337">
        <v>134</v>
      </c>
      <c r="U337">
        <v>79</v>
      </c>
      <c r="V337">
        <v>12</v>
      </c>
      <c r="W337">
        <v>30</v>
      </c>
      <c r="X337">
        <v>108</v>
      </c>
      <c r="Y337">
        <v>3</v>
      </c>
      <c r="Z337">
        <v>71</v>
      </c>
      <c r="AA337">
        <v>34</v>
      </c>
      <c r="AB337">
        <v>5</v>
      </c>
      <c r="AC337">
        <v>9</v>
      </c>
      <c r="AD337">
        <v>12</v>
      </c>
      <c r="AE337">
        <v>0</v>
      </c>
      <c r="AF337">
        <v>10</v>
      </c>
      <c r="AG337">
        <v>8</v>
      </c>
      <c r="AH337">
        <v>5</v>
      </c>
      <c r="AI337">
        <v>1</v>
      </c>
      <c r="AJ337">
        <v>1</v>
      </c>
      <c r="AK337">
        <v>14</v>
      </c>
      <c r="AL337">
        <v>4</v>
      </c>
      <c r="AM337">
        <v>5</v>
      </c>
      <c r="AN337">
        <v>4</v>
      </c>
      <c r="AO337">
        <v>0</v>
      </c>
      <c r="AP337">
        <v>3</v>
      </c>
      <c r="AQ337">
        <v>9</v>
      </c>
      <c r="AR337">
        <v>11</v>
      </c>
      <c r="AS337">
        <v>5</v>
      </c>
      <c r="AT337">
        <v>2</v>
      </c>
      <c r="AU337">
        <v>2</v>
      </c>
      <c r="AV337">
        <v>2</v>
      </c>
      <c r="AW337">
        <v>1</v>
      </c>
      <c r="AX337">
        <v>0</v>
      </c>
      <c r="AY337">
        <v>11</v>
      </c>
      <c r="AZ337">
        <v>7</v>
      </c>
      <c r="BA337">
        <v>1</v>
      </c>
      <c r="BB337">
        <v>0</v>
      </c>
      <c r="BC337">
        <v>2</v>
      </c>
      <c r="BD337">
        <v>0</v>
      </c>
      <c r="BE337">
        <v>0</v>
      </c>
      <c r="BF337">
        <v>2</v>
      </c>
      <c r="BG337">
        <v>1</v>
      </c>
      <c r="BH337">
        <v>4</v>
      </c>
      <c r="BI337">
        <v>3</v>
      </c>
      <c r="BJ337">
        <v>0</v>
      </c>
      <c r="BK337">
        <v>0</v>
      </c>
      <c r="BL337">
        <v>5</v>
      </c>
      <c r="BM337">
        <v>3</v>
      </c>
      <c r="BN337">
        <v>0</v>
      </c>
      <c r="BO337">
        <v>1</v>
      </c>
      <c r="BP337">
        <v>0</v>
      </c>
      <c r="BQ337">
        <v>1</v>
      </c>
      <c r="BR337">
        <v>1</v>
      </c>
      <c r="BS337">
        <v>1</v>
      </c>
      <c r="BT337">
        <v>2</v>
      </c>
      <c r="BU337">
        <v>4</v>
      </c>
      <c r="BV337">
        <v>2</v>
      </c>
      <c r="BW337">
        <v>2</v>
      </c>
      <c r="BX337">
        <v>0</v>
      </c>
      <c r="BY337">
        <v>0</v>
      </c>
      <c r="BZ337">
        <v>0</v>
      </c>
      <c r="CA337">
        <v>1</v>
      </c>
      <c r="CB337">
        <v>0</v>
      </c>
      <c r="CC337">
        <v>1</v>
      </c>
      <c r="CD337">
        <v>6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3</v>
      </c>
      <c r="CK337">
        <v>1</v>
      </c>
      <c r="CL337">
        <v>1</v>
      </c>
      <c r="CM337">
        <v>0</v>
      </c>
      <c r="CN337">
        <v>0</v>
      </c>
      <c r="CO337">
        <v>0</v>
      </c>
      <c r="CP337">
        <v>1</v>
      </c>
      <c r="CQ337">
        <v>1</v>
      </c>
      <c r="CR337">
        <v>0</v>
      </c>
      <c r="CS337">
        <v>1</v>
      </c>
      <c r="CT337">
        <v>0</v>
      </c>
      <c r="CU337">
        <v>0</v>
      </c>
      <c r="CV337">
        <v>0</v>
      </c>
      <c r="CW337">
        <v>3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</v>
      </c>
      <c r="DF337">
        <v>1</v>
      </c>
      <c r="DG337">
        <v>2</v>
      </c>
      <c r="DH337">
        <v>0</v>
      </c>
      <c r="DI337">
        <v>4</v>
      </c>
      <c r="DJ337">
        <v>1</v>
      </c>
      <c r="DK337">
        <v>1</v>
      </c>
      <c r="DL337">
        <v>0</v>
      </c>
      <c r="DM337">
        <v>1</v>
      </c>
      <c r="DN337">
        <v>1</v>
      </c>
      <c r="DO337">
        <v>0</v>
      </c>
      <c r="DP337">
        <v>1</v>
      </c>
      <c r="DQ337">
        <v>0</v>
      </c>
      <c r="DR337">
        <v>0</v>
      </c>
      <c r="DS337">
        <v>0</v>
      </c>
      <c r="DT337">
        <v>1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1</v>
      </c>
      <c r="EA337">
        <v>0</v>
      </c>
      <c r="EB337">
        <v>1</v>
      </c>
      <c r="EC337">
        <v>1</v>
      </c>
      <c r="ED337">
        <v>0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1</v>
      </c>
      <c r="FI337">
        <v>0</v>
      </c>
      <c r="FJ337">
        <v>0</v>
      </c>
      <c r="FK337">
        <v>0</v>
      </c>
      <c r="FL337">
        <v>4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</row>
    <row r="338" spans="1:201" x14ac:dyDescent="0.3">
      <c r="A338" t="s">
        <v>307</v>
      </c>
      <c r="B338" t="s">
        <v>300</v>
      </c>
      <c r="C338" t="s">
        <v>200</v>
      </c>
      <c r="D338" s="1">
        <v>6170</v>
      </c>
      <c r="E338" s="1">
        <v>2948</v>
      </c>
      <c r="F338">
        <v>305</v>
      </c>
      <c r="G338">
        <v>961</v>
      </c>
      <c r="H338">
        <v>23</v>
      </c>
      <c r="I338">
        <v>161</v>
      </c>
      <c r="J338">
        <v>73</v>
      </c>
      <c r="K338">
        <v>24</v>
      </c>
      <c r="L338">
        <v>68</v>
      </c>
      <c r="M338">
        <v>125</v>
      </c>
      <c r="N338">
        <v>127</v>
      </c>
      <c r="O338">
        <v>139</v>
      </c>
      <c r="P338">
        <v>155</v>
      </c>
      <c r="Q338">
        <v>15</v>
      </c>
      <c r="R338">
        <v>25</v>
      </c>
      <c r="S338">
        <v>148</v>
      </c>
      <c r="T338">
        <v>66</v>
      </c>
      <c r="U338">
        <v>70</v>
      </c>
      <c r="V338">
        <v>35</v>
      </c>
      <c r="W338">
        <v>71</v>
      </c>
      <c r="X338">
        <v>57</v>
      </c>
      <c r="Y338">
        <v>20</v>
      </c>
      <c r="Z338">
        <v>75</v>
      </c>
      <c r="AA338">
        <v>15</v>
      </c>
      <c r="AB338">
        <v>10</v>
      </c>
      <c r="AC338">
        <v>46</v>
      </c>
      <c r="AD338">
        <v>93</v>
      </c>
      <c r="AE338">
        <v>0</v>
      </c>
      <c r="AF338">
        <v>24</v>
      </c>
      <c r="AG338">
        <v>23</v>
      </c>
      <c r="AH338">
        <v>16</v>
      </c>
      <c r="AI338">
        <v>8</v>
      </c>
      <c r="AJ338">
        <v>1</v>
      </c>
      <c r="AK338">
        <v>7</v>
      </c>
      <c r="AL338">
        <v>8</v>
      </c>
      <c r="AM338">
        <v>2</v>
      </c>
      <c r="AN338">
        <v>8</v>
      </c>
      <c r="AO338">
        <v>14</v>
      </c>
      <c r="AP338">
        <v>1</v>
      </c>
      <c r="AQ338">
        <v>9</v>
      </c>
      <c r="AR338">
        <v>5</v>
      </c>
      <c r="AS338">
        <v>9</v>
      </c>
      <c r="AT338">
        <v>7</v>
      </c>
      <c r="AU338">
        <v>10</v>
      </c>
      <c r="AV338">
        <v>6</v>
      </c>
      <c r="AW338">
        <v>7</v>
      </c>
      <c r="AX338">
        <v>14</v>
      </c>
      <c r="AY338">
        <v>5</v>
      </c>
      <c r="AZ338">
        <v>0</v>
      </c>
      <c r="BA338">
        <v>1</v>
      </c>
      <c r="BB338">
        <v>0</v>
      </c>
      <c r="BC338">
        <v>2</v>
      </c>
      <c r="BD338">
        <v>0</v>
      </c>
      <c r="BE338">
        <v>4</v>
      </c>
      <c r="BF338">
        <v>9</v>
      </c>
      <c r="BG338">
        <v>7</v>
      </c>
      <c r="BH338">
        <v>8</v>
      </c>
      <c r="BI338">
        <v>0</v>
      </c>
      <c r="BJ338">
        <v>5</v>
      </c>
      <c r="BK338">
        <v>1</v>
      </c>
      <c r="BL338">
        <v>6</v>
      </c>
      <c r="BM338">
        <v>9</v>
      </c>
      <c r="BN338">
        <v>4</v>
      </c>
      <c r="BO338">
        <v>2</v>
      </c>
      <c r="BP338">
        <v>3</v>
      </c>
      <c r="BQ338">
        <v>5</v>
      </c>
      <c r="BR338">
        <v>4</v>
      </c>
      <c r="BS338">
        <v>4</v>
      </c>
      <c r="BT338">
        <v>0</v>
      </c>
      <c r="BU338">
        <v>2</v>
      </c>
      <c r="BV338">
        <v>0</v>
      </c>
      <c r="BW338">
        <v>5</v>
      </c>
      <c r="BX338">
        <v>2</v>
      </c>
      <c r="BY338">
        <v>1</v>
      </c>
      <c r="BZ338">
        <v>1</v>
      </c>
      <c r="CA338">
        <v>1</v>
      </c>
      <c r="CB338">
        <v>1</v>
      </c>
      <c r="CC338">
        <v>2</v>
      </c>
      <c r="CD338">
        <v>1</v>
      </c>
      <c r="CE338">
        <v>3</v>
      </c>
      <c r="CF338">
        <v>0</v>
      </c>
      <c r="CG338">
        <v>4</v>
      </c>
      <c r="CH338">
        <v>0</v>
      </c>
      <c r="CI338">
        <v>0</v>
      </c>
      <c r="CJ338">
        <v>2</v>
      </c>
      <c r="CK338">
        <v>0</v>
      </c>
      <c r="CL338">
        <v>3</v>
      </c>
      <c r="CM338">
        <v>0</v>
      </c>
      <c r="CN338">
        <v>1</v>
      </c>
      <c r="CO338">
        <v>0</v>
      </c>
      <c r="CP338">
        <v>0</v>
      </c>
      <c r="CQ338">
        <v>2</v>
      </c>
      <c r="CR338">
        <v>0</v>
      </c>
      <c r="CS338">
        <v>0</v>
      </c>
      <c r="CT338">
        <v>1</v>
      </c>
      <c r="CU338">
        <v>1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4</v>
      </c>
      <c r="DB338">
        <v>0</v>
      </c>
      <c r="DC338">
        <v>0</v>
      </c>
      <c r="DD338">
        <v>4</v>
      </c>
      <c r="DE338">
        <v>0</v>
      </c>
      <c r="DF338">
        <v>0</v>
      </c>
      <c r="DG338">
        <v>0</v>
      </c>
      <c r="DH338">
        <v>1</v>
      </c>
      <c r="DI338">
        <v>2</v>
      </c>
      <c r="DJ338">
        <v>0</v>
      </c>
      <c r="DK338">
        <v>1</v>
      </c>
      <c r="DL338">
        <v>0</v>
      </c>
      <c r="DM338">
        <v>1</v>
      </c>
      <c r="DN338">
        <v>0</v>
      </c>
      <c r="DO338">
        <v>1</v>
      </c>
      <c r="DP338">
        <v>1</v>
      </c>
      <c r="DQ338">
        <v>1</v>
      </c>
      <c r="DR338">
        <v>0</v>
      </c>
      <c r="DS338">
        <v>0</v>
      </c>
      <c r="DT338">
        <v>1</v>
      </c>
      <c r="DU338">
        <v>0</v>
      </c>
      <c r="DV338">
        <v>1</v>
      </c>
      <c r="DW338">
        <v>0</v>
      </c>
      <c r="DX338">
        <v>0</v>
      </c>
      <c r="DY338">
        <v>4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1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1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</row>
    <row r="339" spans="1:201" x14ac:dyDescent="0.3">
      <c r="A339" t="s">
        <v>307</v>
      </c>
      <c r="B339" t="s">
        <v>300</v>
      </c>
      <c r="C339" t="s">
        <v>203</v>
      </c>
      <c r="D339" s="1">
        <v>2624</v>
      </c>
      <c r="E339" s="1">
        <v>1262</v>
      </c>
      <c r="F339">
        <v>170</v>
      </c>
      <c r="G339">
        <v>383</v>
      </c>
      <c r="H339">
        <v>13</v>
      </c>
      <c r="I339">
        <v>93</v>
      </c>
      <c r="J339">
        <v>21</v>
      </c>
      <c r="K339">
        <v>6</v>
      </c>
      <c r="L339">
        <v>27</v>
      </c>
      <c r="M339">
        <v>16</v>
      </c>
      <c r="N339">
        <v>22</v>
      </c>
      <c r="O339">
        <v>57</v>
      </c>
      <c r="P339">
        <v>78</v>
      </c>
      <c r="Q339">
        <v>11</v>
      </c>
      <c r="R339">
        <v>14</v>
      </c>
      <c r="S339">
        <v>31</v>
      </c>
      <c r="T339">
        <v>27</v>
      </c>
      <c r="U339">
        <v>41</v>
      </c>
      <c r="V339">
        <v>23</v>
      </c>
      <c r="W339">
        <v>38</v>
      </c>
      <c r="X339">
        <v>30</v>
      </c>
      <c r="Y339">
        <v>6</v>
      </c>
      <c r="Z339">
        <v>31</v>
      </c>
      <c r="AA339">
        <v>10</v>
      </c>
      <c r="AB339">
        <v>2</v>
      </c>
      <c r="AC339">
        <v>21</v>
      </c>
      <c r="AD339">
        <v>17</v>
      </c>
      <c r="AE339">
        <v>0</v>
      </c>
      <c r="AF339">
        <v>19</v>
      </c>
      <c r="AG339">
        <v>11</v>
      </c>
      <c r="AH339">
        <v>11</v>
      </c>
      <c r="AI339">
        <v>4</v>
      </c>
      <c r="AJ339">
        <v>0</v>
      </c>
      <c r="AK339">
        <v>2</v>
      </c>
      <c r="AL339">
        <v>5</v>
      </c>
      <c r="AM339">
        <v>0</v>
      </c>
      <c r="AN339">
        <v>5</v>
      </c>
      <c r="AO339">
        <v>5</v>
      </c>
      <c r="AP339">
        <v>1</v>
      </c>
      <c r="AQ339">
        <v>3</v>
      </c>
      <c r="AR339">
        <v>4</v>
      </c>
      <c r="AS339">
        <v>3</v>
      </c>
      <c r="AT339">
        <v>5</v>
      </c>
      <c r="AU339">
        <v>4</v>
      </c>
      <c r="AV339">
        <v>4</v>
      </c>
      <c r="AW339">
        <v>3</v>
      </c>
      <c r="AX339">
        <v>13</v>
      </c>
      <c r="AY339">
        <v>2</v>
      </c>
      <c r="AZ339">
        <v>0</v>
      </c>
      <c r="BA339">
        <v>0</v>
      </c>
      <c r="BB339">
        <v>0</v>
      </c>
      <c r="BC339">
        <v>2</v>
      </c>
      <c r="BD339">
        <v>0</v>
      </c>
      <c r="BE339">
        <v>3</v>
      </c>
      <c r="BF339">
        <v>6</v>
      </c>
      <c r="BG339">
        <v>5</v>
      </c>
      <c r="BH339">
        <v>4</v>
      </c>
      <c r="BI339">
        <v>0</v>
      </c>
      <c r="BJ339">
        <v>0</v>
      </c>
      <c r="BK339">
        <v>1</v>
      </c>
      <c r="BL339">
        <v>2</v>
      </c>
      <c r="BM339">
        <v>6</v>
      </c>
      <c r="BN339">
        <v>2</v>
      </c>
      <c r="BO339">
        <v>0</v>
      </c>
      <c r="BP339">
        <v>1</v>
      </c>
      <c r="BQ339">
        <v>2</v>
      </c>
      <c r="BR339">
        <v>4</v>
      </c>
      <c r="BS339">
        <v>2</v>
      </c>
      <c r="BT339">
        <v>0</v>
      </c>
      <c r="BU339">
        <v>1</v>
      </c>
      <c r="BV339">
        <v>0</v>
      </c>
      <c r="BW339">
        <v>3</v>
      </c>
      <c r="BX339">
        <v>2</v>
      </c>
      <c r="BY339">
        <v>1</v>
      </c>
      <c r="BZ339">
        <v>1</v>
      </c>
      <c r="CA339">
        <v>1</v>
      </c>
      <c r="CB339">
        <v>1</v>
      </c>
      <c r="CC339">
        <v>2</v>
      </c>
      <c r="CD339">
        <v>0</v>
      </c>
      <c r="CE339">
        <v>2</v>
      </c>
      <c r="CF339">
        <v>0</v>
      </c>
      <c r="CG339">
        <v>2</v>
      </c>
      <c r="CH339">
        <v>0</v>
      </c>
      <c r="CI339">
        <v>0</v>
      </c>
      <c r="CJ339">
        <v>2</v>
      </c>
      <c r="CK339">
        <v>0</v>
      </c>
      <c r="CL339">
        <v>1</v>
      </c>
      <c r="CM339">
        <v>0</v>
      </c>
      <c r="CN339">
        <v>0</v>
      </c>
      <c r="CO339">
        <v>0</v>
      </c>
      <c r="CP339">
        <v>0</v>
      </c>
      <c r="CQ339">
        <v>1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2</v>
      </c>
      <c r="DB339">
        <v>0</v>
      </c>
      <c r="DC339">
        <v>0</v>
      </c>
      <c r="DD339">
        <v>1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1</v>
      </c>
      <c r="DQ339">
        <v>1</v>
      </c>
      <c r="DR339">
        <v>0</v>
      </c>
      <c r="DS339">
        <v>0</v>
      </c>
      <c r="DT339">
        <v>0</v>
      </c>
      <c r="DU339">
        <v>0</v>
      </c>
      <c r="DV339">
        <v>1</v>
      </c>
      <c r="DW339">
        <v>0</v>
      </c>
      <c r="DX339">
        <v>0</v>
      </c>
      <c r="DY339">
        <v>2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1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</row>
    <row r="340" spans="1:201" x14ac:dyDescent="0.3">
      <c r="A340" t="s">
        <v>307</v>
      </c>
      <c r="B340" t="s">
        <v>300</v>
      </c>
      <c r="C340" t="s">
        <v>204</v>
      </c>
      <c r="D340" s="1">
        <v>3546</v>
      </c>
      <c r="E340" s="1">
        <v>1686</v>
      </c>
      <c r="F340">
        <v>135</v>
      </c>
      <c r="G340">
        <v>578</v>
      </c>
      <c r="H340">
        <v>10</v>
      </c>
      <c r="I340">
        <v>68</v>
      </c>
      <c r="J340">
        <v>52</v>
      </c>
      <c r="K340">
        <v>18</v>
      </c>
      <c r="L340">
        <v>41</v>
      </c>
      <c r="M340">
        <v>109</v>
      </c>
      <c r="N340">
        <v>105</v>
      </c>
      <c r="O340">
        <v>82</v>
      </c>
      <c r="P340">
        <v>77</v>
      </c>
      <c r="Q340">
        <v>4</v>
      </c>
      <c r="R340">
        <v>11</v>
      </c>
      <c r="S340">
        <v>117</v>
      </c>
      <c r="T340">
        <v>39</v>
      </c>
      <c r="U340">
        <v>29</v>
      </c>
      <c r="V340">
        <v>12</v>
      </c>
      <c r="W340">
        <v>33</v>
      </c>
      <c r="X340">
        <v>27</v>
      </c>
      <c r="Y340">
        <v>14</v>
      </c>
      <c r="Z340">
        <v>44</v>
      </c>
      <c r="AA340">
        <v>5</v>
      </c>
      <c r="AB340">
        <v>8</v>
      </c>
      <c r="AC340">
        <v>25</v>
      </c>
      <c r="AD340">
        <v>76</v>
      </c>
      <c r="AE340">
        <v>0</v>
      </c>
      <c r="AF340">
        <v>5</v>
      </c>
      <c r="AG340">
        <v>12</v>
      </c>
      <c r="AH340">
        <v>5</v>
      </c>
      <c r="AI340">
        <v>4</v>
      </c>
      <c r="AJ340">
        <v>1</v>
      </c>
      <c r="AK340">
        <v>5</v>
      </c>
      <c r="AL340">
        <v>3</v>
      </c>
      <c r="AM340">
        <v>2</v>
      </c>
      <c r="AN340">
        <v>3</v>
      </c>
      <c r="AO340">
        <v>9</v>
      </c>
      <c r="AP340">
        <v>0</v>
      </c>
      <c r="AQ340">
        <v>6</v>
      </c>
      <c r="AR340">
        <v>1</v>
      </c>
      <c r="AS340">
        <v>6</v>
      </c>
      <c r="AT340">
        <v>2</v>
      </c>
      <c r="AU340">
        <v>6</v>
      </c>
      <c r="AV340">
        <v>2</v>
      </c>
      <c r="AW340">
        <v>4</v>
      </c>
      <c r="AX340">
        <v>1</v>
      </c>
      <c r="AY340">
        <v>3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1</v>
      </c>
      <c r="BF340">
        <v>3</v>
      </c>
      <c r="BG340">
        <v>2</v>
      </c>
      <c r="BH340">
        <v>4</v>
      </c>
      <c r="BI340">
        <v>0</v>
      </c>
      <c r="BJ340">
        <v>5</v>
      </c>
      <c r="BK340">
        <v>0</v>
      </c>
      <c r="BL340">
        <v>4</v>
      </c>
      <c r="BM340">
        <v>3</v>
      </c>
      <c r="BN340">
        <v>2</v>
      </c>
      <c r="BO340">
        <v>2</v>
      </c>
      <c r="BP340">
        <v>2</v>
      </c>
      <c r="BQ340">
        <v>3</v>
      </c>
      <c r="BR340">
        <v>0</v>
      </c>
      <c r="BS340">
        <v>2</v>
      </c>
      <c r="BT340">
        <v>0</v>
      </c>
      <c r="BU340">
        <v>1</v>
      </c>
      <c r="BV340">
        <v>0</v>
      </c>
      <c r="BW340">
        <v>2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1</v>
      </c>
      <c r="CE340">
        <v>1</v>
      </c>
      <c r="CF340">
        <v>0</v>
      </c>
      <c r="CG340">
        <v>2</v>
      </c>
      <c r="CH340">
        <v>0</v>
      </c>
      <c r="CI340">
        <v>0</v>
      </c>
      <c r="CJ340">
        <v>0</v>
      </c>
      <c r="CK340">
        <v>0</v>
      </c>
      <c r="CL340">
        <v>2</v>
      </c>
      <c r="CM340">
        <v>0</v>
      </c>
      <c r="CN340">
        <v>1</v>
      </c>
      <c r="CO340">
        <v>0</v>
      </c>
      <c r="CP340">
        <v>0</v>
      </c>
      <c r="CQ340">
        <v>1</v>
      </c>
      <c r="CR340">
        <v>0</v>
      </c>
      <c r="CS340">
        <v>0</v>
      </c>
      <c r="CT340">
        <v>1</v>
      </c>
      <c r="CU340">
        <v>1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2</v>
      </c>
      <c r="DB340">
        <v>0</v>
      </c>
      <c r="DC340">
        <v>0</v>
      </c>
      <c r="DD340">
        <v>3</v>
      </c>
      <c r="DE340">
        <v>0</v>
      </c>
      <c r="DF340">
        <v>0</v>
      </c>
      <c r="DG340">
        <v>0</v>
      </c>
      <c r="DH340">
        <v>0</v>
      </c>
      <c r="DI340">
        <v>2</v>
      </c>
      <c r="DJ340">
        <v>0</v>
      </c>
      <c r="DK340">
        <v>1</v>
      </c>
      <c r="DL340">
        <v>0</v>
      </c>
      <c r="DM340">
        <v>1</v>
      </c>
      <c r="DN340">
        <v>0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1</v>
      </c>
      <c r="DU340">
        <v>0</v>
      </c>
      <c r="DV340">
        <v>0</v>
      </c>
      <c r="DW340">
        <v>0</v>
      </c>
      <c r="DX340">
        <v>0</v>
      </c>
      <c r="DY340">
        <v>2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1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</row>
    <row r="341" spans="1:201" x14ac:dyDescent="0.3">
      <c r="A341" t="s">
        <v>307</v>
      </c>
      <c r="B341" t="s">
        <v>309</v>
      </c>
      <c r="C341" t="s">
        <v>200</v>
      </c>
      <c r="D341" s="1">
        <v>9188</v>
      </c>
      <c r="E341" s="1">
        <v>3326</v>
      </c>
      <c r="F341">
        <v>244</v>
      </c>
      <c r="G341" s="1">
        <v>1117</v>
      </c>
      <c r="H341">
        <v>155</v>
      </c>
      <c r="I341">
        <v>242</v>
      </c>
      <c r="J341">
        <v>73</v>
      </c>
      <c r="K341">
        <v>274</v>
      </c>
      <c r="L341">
        <v>195</v>
      </c>
      <c r="M341">
        <v>180</v>
      </c>
      <c r="N341">
        <v>142</v>
      </c>
      <c r="O341">
        <v>356</v>
      </c>
      <c r="P341">
        <v>260</v>
      </c>
      <c r="Q341">
        <v>77</v>
      </c>
      <c r="R341">
        <v>209</v>
      </c>
      <c r="S341">
        <v>145</v>
      </c>
      <c r="T341">
        <v>87</v>
      </c>
      <c r="U341">
        <v>124</v>
      </c>
      <c r="V341">
        <v>265</v>
      </c>
      <c r="W341">
        <v>72</v>
      </c>
      <c r="X341">
        <v>394</v>
      </c>
      <c r="Y341">
        <v>6</v>
      </c>
      <c r="Z341">
        <v>69</v>
      </c>
      <c r="AA341">
        <v>84</v>
      </c>
      <c r="AB341">
        <v>45</v>
      </c>
      <c r="AC341">
        <v>43</v>
      </c>
      <c r="AD341">
        <v>61</v>
      </c>
      <c r="AE341">
        <v>1</v>
      </c>
      <c r="AF341">
        <v>49</v>
      </c>
      <c r="AG341">
        <v>55</v>
      </c>
      <c r="AH341">
        <v>76</v>
      </c>
      <c r="AI341">
        <v>38</v>
      </c>
      <c r="AJ341">
        <v>2</v>
      </c>
      <c r="AK341">
        <v>19</v>
      </c>
      <c r="AL341">
        <v>25</v>
      </c>
      <c r="AM341">
        <v>21</v>
      </c>
      <c r="AN341">
        <v>24</v>
      </c>
      <c r="AO341">
        <v>10</v>
      </c>
      <c r="AP341">
        <v>1</v>
      </c>
      <c r="AQ341">
        <v>8</v>
      </c>
      <c r="AR341">
        <v>90</v>
      </c>
      <c r="AS341">
        <v>10</v>
      </c>
      <c r="AT341">
        <v>25</v>
      </c>
      <c r="AU341">
        <v>38</v>
      </c>
      <c r="AV341">
        <v>61</v>
      </c>
      <c r="AW341">
        <v>13</v>
      </c>
      <c r="AX341">
        <v>0</v>
      </c>
      <c r="AY341">
        <v>21</v>
      </c>
      <c r="AZ341">
        <v>5</v>
      </c>
      <c r="BA341">
        <v>18</v>
      </c>
      <c r="BB341">
        <v>17</v>
      </c>
      <c r="BC341">
        <v>12</v>
      </c>
      <c r="BD341">
        <v>0</v>
      </c>
      <c r="BE341">
        <v>1</v>
      </c>
      <c r="BF341">
        <v>18</v>
      </c>
      <c r="BG341">
        <v>12</v>
      </c>
      <c r="BH341">
        <v>16</v>
      </c>
      <c r="BI341">
        <v>8</v>
      </c>
      <c r="BJ341">
        <v>9</v>
      </c>
      <c r="BK341">
        <v>2</v>
      </c>
      <c r="BL341">
        <v>4</v>
      </c>
      <c r="BM341">
        <v>2</v>
      </c>
      <c r="BN341">
        <v>9</v>
      </c>
      <c r="BO341">
        <v>9</v>
      </c>
      <c r="BP341">
        <v>17</v>
      </c>
      <c r="BQ341">
        <v>1</v>
      </c>
      <c r="BR341">
        <v>11</v>
      </c>
      <c r="BS341">
        <v>3</v>
      </c>
      <c r="BT341">
        <v>2</v>
      </c>
      <c r="BU341">
        <v>43</v>
      </c>
      <c r="BV341">
        <v>7</v>
      </c>
      <c r="BW341">
        <v>6</v>
      </c>
      <c r="BX341">
        <v>0</v>
      </c>
      <c r="BY341">
        <v>5</v>
      </c>
      <c r="BZ341">
        <v>6</v>
      </c>
      <c r="CA341">
        <v>6</v>
      </c>
      <c r="CB341">
        <v>1</v>
      </c>
      <c r="CC341">
        <v>7</v>
      </c>
      <c r="CD341">
        <v>4</v>
      </c>
      <c r="CE341">
        <v>5</v>
      </c>
      <c r="CF341">
        <v>7</v>
      </c>
      <c r="CG341">
        <v>3</v>
      </c>
      <c r="CH341">
        <v>0</v>
      </c>
      <c r="CI341">
        <v>8</v>
      </c>
      <c r="CJ341">
        <v>2</v>
      </c>
      <c r="CK341">
        <v>2</v>
      </c>
      <c r="CL341">
        <v>1</v>
      </c>
      <c r="CM341">
        <v>0</v>
      </c>
      <c r="CN341">
        <v>2</v>
      </c>
      <c r="CO341">
        <v>0</v>
      </c>
      <c r="CP341">
        <v>0</v>
      </c>
      <c r="CQ341">
        <v>2</v>
      </c>
      <c r="CR341">
        <v>0</v>
      </c>
      <c r="CS341">
        <v>0</v>
      </c>
      <c r="CT341">
        <v>2</v>
      </c>
      <c r="CU341">
        <v>4</v>
      </c>
      <c r="CV341">
        <v>1</v>
      </c>
      <c r="CW341">
        <v>3</v>
      </c>
      <c r="CX341">
        <v>1</v>
      </c>
      <c r="CY341">
        <v>0</v>
      </c>
      <c r="CZ341">
        <v>1</v>
      </c>
      <c r="DA341">
        <v>6</v>
      </c>
      <c r="DB341">
        <v>0</v>
      </c>
      <c r="DC341">
        <v>0</v>
      </c>
      <c r="DD341">
        <v>3</v>
      </c>
      <c r="DE341">
        <v>1</v>
      </c>
      <c r="DF341">
        <v>0</v>
      </c>
      <c r="DG341">
        <v>0</v>
      </c>
      <c r="DH341">
        <v>0</v>
      </c>
      <c r="DI341">
        <v>10</v>
      </c>
      <c r="DJ341">
        <v>0</v>
      </c>
      <c r="DK341">
        <v>2</v>
      </c>
      <c r="DL341">
        <v>1</v>
      </c>
      <c r="DM341">
        <v>0</v>
      </c>
      <c r="DN341">
        <v>1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1</v>
      </c>
      <c r="DZ341">
        <v>1</v>
      </c>
      <c r="EA341">
        <v>1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0</v>
      </c>
      <c r="EH341">
        <v>0</v>
      </c>
      <c r="EI341">
        <v>1</v>
      </c>
      <c r="EJ341">
        <v>0</v>
      </c>
      <c r="EK341">
        <v>1</v>
      </c>
      <c r="EL341">
        <v>1</v>
      </c>
      <c r="EM341">
        <v>0</v>
      </c>
      <c r="EN341">
        <v>2</v>
      </c>
      <c r="EO341">
        <v>0</v>
      </c>
      <c r="EP341">
        <v>0</v>
      </c>
      <c r="EQ341">
        <v>2</v>
      </c>
      <c r="ER341">
        <v>1</v>
      </c>
      <c r="ES341">
        <v>0</v>
      </c>
      <c r="ET341">
        <v>1</v>
      </c>
      <c r="EU341">
        <v>0</v>
      </c>
      <c r="EV341">
        <v>1</v>
      </c>
      <c r="EW341">
        <v>0</v>
      </c>
      <c r="EX341">
        <v>6</v>
      </c>
      <c r="EY341">
        <v>0</v>
      </c>
      <c r="EZ341">
        <v>0</v>
      </c>
      <c r="FA341">
        <v>0</v>
      </c>
      <c r="FB341">
        <v>1</v>
      </c>
      <c r="FC341">
        <v>0</v>
      </c>
      <c r="FD341">
        <v>1</v>
      </c>
      <c r="FE341">
        <v>0</v>
      </c>
      <c r="FF341">
        <v>0</v>
      </c>
      <c r="FG341">
        <v>0</v>
      </c>
      <c r="FH341">
        <v>0</v>
      </c>
      <c r="FI341">
        <v>1</v>
      </c>
      <c r="FJ341">
        <v>0</v>
      </c>
      <c r="FK341">
        <v>0</v>
      </c>
      <c r="FL341">
        <v>0</v>
      </c>
      <c r="FM341">
        <v>0</v>
      </c>
      <c r="FN341">
        <v>1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1</v>
      </c>
      <c r="GG341">
        <v>0</v>
      </c>
      <c r="GH341">
        <v>1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</row>
    <row r="342" spans="1:201" x14ac:dyDescent="0.3">
      <c r="A342" t="s">
        <v>307</v>
      </c>
      <c r="B342" t="s">
        <v>309</v>
      </c>
      <c r="C342" t="s">
        <v>203</v>
      </c>
      <c r="D342" s="1">
        <v>4668</v>
      </c>
      <c r="E342" s="1">
        <v>1556</v>
      </c>
      <c r="F342">
        <v>138</v>
      </c>
      <c r="G342">
        <v>491</v>
      </c>
      <c r="H342">
        <v>96</v>
      </c>
      <c r="I342">
        <v>164</v>
      </c>
      <c r="J342">
        <v>46</v>
      </c>
      <c r="K342">
        <v>150</v>
      </c>
      <c r="L342">
        <v>99</v>
      </c>
      <c r="M342">
        <v>100</v>
      </c>
      <c r="N342">
        <v>61</v>
      </c>
      <c r="O342">
        <v>160</v>
      </c>
      <c r="P342">
        <v>139</v>
      </c>
      <c r="Q342">
        <v>40</v>
      </c>
      <c r="R342">
        <v>150</v>
      </c>
      <c r="S342">
        <v>27</v>
      </c>
      <c r="T342">
        <v>39</v>
      </c>
      <c r="U342">
        <v>72</v>
      </c>
      <c r="V342">
        <v>160</v>
      </c>
      <c r="W342">
        <v>31</v>
      </c>
      <c r="X342">
        <v>217</v>
      </c>
      <c r="Y342">
        <v>4</v>
      </c>
      <c r="Z342">
        <v>27</v>
      </c>
      <c r="AA342">
        <v>51</v>
      </c>
      <c r="AB342">
        <v>22</v>
      </c>
      <c r="AC342">
        <v>32</v>
      </c>
      <c r="AD342">
        <v>17</v>
      </c>
      <c r="AE342">
        <v>0</v>
      </c>
      <c r="AF342">
        <v>39</v>
      </c>
      <c r="AG342">
        <v>24</v>
      </c>
      <c r="AH342">
        <v>46</v>
      </c>
      <c r="AI342">
        <v>27</v>
      </c>
      <c r="AJ342">
        <v>1</v>
      </c>
      <c r="AK342">
        <v>16</v>
      </c>
      <c r="AL342">
        <v>2</v>
      </c>
      <c r="AM342">
        <v>5</v>
      </c>
      <c r="AN342">
        <v>17</v>
      </c>
      <c r="AO342">
        <v>6</v>
      </c>
      <c r="AP342">
        <v>1</v>
      </c>
      <c r="AQ342">
        <v>4</v>
      </c>
      <c r="AR342">
        <v>61</v>
      </c>
      <c r="AS342">
        <v>7</v>
      </c>
      <c r="AT342">
        <v>19</v>
      </c>
      <c r="AU342">
        <v>21</v>
      </c>
      <c r="AV342">
        <v>46</v>
      </c>
      <c r="AW342">
        <v>12</v>
      </c>
      <c r="AX342">
        <v>0</v>
      </c>
      <c r="AY342">
        <v>13</v>
      </c>
      <c r="AZ342">
        <v>4</v>
      </c>
      <c r="BA342">
        <v>6</v>
      </c>
      <c r="BB342">
        <v>10</v>
      </c>
      <c r="BC342">
        <v>5</v>
      </c>
      <c r="BD342">
        <v>0</v>
      </c>
      <c r="BE342">
        <v>1</v>
      </c>
      <c r="BF342">
        <v>8</v>
      </c>
      <c r="BG342">
        <v>7</v>
      </c>
      <c r="BH342">
        <v>11</v>
      </c>
      <c r="BI342">
        <v>4</v>
      </c>
      <c r="BJ342">
        <v>9</v>
      </c>
      <c r="BK342">
        <v>2</v>
      </c>
      <c r="BL342">
        <v>2</v>
      </c>
      <c r="BM342">
        <v>2</v>
      </c>
      <c r="BN342">
        <v>5</v>
      </c>
      <c r="BO342">
        <v>4</v>
      </c>
      <c r="BP342">
        <v>14</v>
      </c>
      <c r="BQ342">
        <v>0</v>
      </c>
      <c r="BR342">
        <v>9</v>
      </c>
      <c r="BS342">
        <v>2</v>
      </c>
      <c r="BT342">
        <v>1</v>
      </c>
      <c r="BU342">
        <v>36</v>
      </c>
      <c r="BV342">
        <v>3</v>
      </c>
      <c r="BW342">
        <v>1</v>
      </c>
      <c r="BX342">
        <v>0</v>
      </c>
      <c r="BY342">
        <v>2</v>
      </c>
      <c r="BZ342">
        <v>6</v>
      </c>
      <c r="CA342">
        <v>4</v>
      </c>
      <c r="CB342">
        <v>1</v>
      </c>
      <c r="CC342">
        <v>5</v>
      </c>
      <c r="CD342">
        <v>1</v>
      </c>
      <c r="CE342">
        <v>4</v>
      </c>
      <c r="CF342">
        <v>3</v>
      </c>
      <c r="CG342">
        <v>1</v>
      </c>
      <c r="CH342">
        <v>0</v>
      </c>
      <c r="CI342">
        <v>6</v>
      </c>
      <c r="CJ342">
        <v>1</v>
      </c>
      <c r="CK342">
        <v>0</v>
      </c>
      <c r="CL342">
        <v>0</v>
      </c>
      <c r="CM342">
        <v>0</v>
      </c>
      <c r="CN342">
        <v>2</v>
      </c>
      <c r="CO342">
        <v>0</v>
      </c>
      <c r="CP342">
        <v>0</v>
      </c>
      <c r="CQ342">
        <v>2</v>
      </c>
      <c r="CR342">
        <v>0</v>
      </c>
      <c r="CS342">
        <v>0</v>
      </c>
      <c r="CT342">
        <v>1</v>
      </c>
      <c r="CU342">
        <v>3</v>
      </c>
      <c r="CV342">
        <v>0</v>
      </c>
      <c r="CW342">
        <v>3</v>
      </c>
      <c r="CX342">
        <v>0</v>
      </c>
      <c r="CY342">
        <v>0</v>
      </c>
      <c r="CZ342">
        <v>0</v>
      </c>
      <c r="DA342">
        <v>1</v>
      </c>
      <c r="DB342">
        <v>0</v>
      </c>
      <c r="DC342">
        <v>0</v>
      </c>
      <c r="DD342">
        <v>0</v>
      </c>
      <c r="DE342">
        <v>1</v>
      </c>
      <c r="DF342">
        <v>0</v>
      </c>
      <c r="DG342">
        <v>0</v>
      </c>
      <c r="DH342">
        <v>0</v>
      </c>
      <c r="DI342">
        <v>4</v>
      </c>
      <c r="DJ342">
        <v>0</v>
      </c>
      <c r="DK342">
        <v>0</v>
      </c>
      <c r="DL342">
        <v>1</v>
      </c>
      <c r="DM342">
        <v>0</v>
      </c>
      <c r="DN342">
        <v>0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1</v>
      </c>
      <c r="DZ342">
        <v>1</v>
      </c>
      <c r="EA342">
        <v>0</v>
      </c>
      <c r="EB342">
        <v>0</v>
      </c>
      <c r="EC342">
        <v>0</v>
      </c>
      <c r="ED342">
        <v>1</v>
      </c>
      <c r="EE342">
        <v>0</v>
      </c>
      <c r="EF342">
        <v>0</v>
      </c>
      <c r="EG342">
        <v>0</v>
      </c>
      <c r="EH342">
        <v>0</v>
      </c>
      <c r="EI342">
        <v>1</v>
      </c>
      <c r="EJ342">
        <v>0</v>
      </c>
      <c r="EK342">
        <v>0</v>
      </c>
      <c r="EL342">
        <v>1</v>
      </c>
      <c r="EM342">
        <v>0</v>
      </c>
      <c r="EN342">
        <v>0</v>
      </c>
      <c r="EO342">
        <v>0</v>
      </c>
      <c r="EP342">
        <v>0</v>
      </c>
      <c r="EQ342">
        <v>1</v>
      </c>
      <c r="ER342">
        <v>0</v>
      </c>
      <c r="ES342">
        <v>0</v>
      </c>
      <c r="ET342">
        <v>0</v>
      </c>
      <c r="EU342">
        <v>0</v>
      </c>
      <c r="EV342">
        <v>1</v>
      </c>
      <c r="EW342">
        <v>0</v>
      </c>
      <c r="EX342">
        <v>2</v>
      </c>
      <c r="EY342">
        <v>0</v>
      </c>
      <c r="EZ342">
        <v>0</v>
      </c>
      <c r="FA342">
        <v>0</v>
      </c>
      <c r="FB342">
        <v>1</v>
      </c>
      <c r="FC342">
        <v>0</v>
      </c>
      <c r="FD342">
        <v>1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1</v>
      </c>
      <c r="GG342">
        <v>0</v>
      </c>
      <c r="GH342">
        <v>1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</row>
    <row r="343" spans="1:201" x14ac:dyDescent="0.3">
      <c r="A343" t="s">
        <v>307</v>
      </c>
      <c r="B343" t="s">
        <v>309</v>
      </c>
      <c r="C343" t="s">
        <v>204</v>
      </c>
      <c r="D343" s="1">
        <v>4520</v>
      </c>
      <c r="E343" s="1">
        <v>1770</v>
      </c>
      <c r="F343">
        <v>106</v>
      </c>
      <c r="G343">
        <v>626</v>
      </c>
      <c r="H343">
        <v>59</v>
      </c>
      <c r="I343">
        <v>78</v>
      </c>
      <c r="J343">
        <v>27</v>
      </c>
      <c r="K343">
        <v>124</v>
      </c>
      <c r="L343">
        <v>96</v>
      </c>
      <c r="M343">
        <v>80</v>
      </c>
      <c r="N343">
        <v>81</v>
      </c>
      <c r="O343">
        <v>196</v>
      </c>
      <c r="P343">
        <v>121</v>
      </c>
      <c r="Q343">
        <v>37</v>
      </c>
      <c r="R343">
        <v>59</v>
      </c>
      <c r="S343">
        <v>118</v>
      </c>
      <c r="T343">
        <v>48</v>
      </c>
      <c r="U343">
        <v>52</v>
      </c>
      <c r="V343">
        <v>105</v>
      </c>
      <c r="W343">
        <v>41</v>
      </c>
      <c r="X343">
        <v>177</v>
      </c>
      <c r="Y343">
        <v>2</v>
      </c>
      <c r="Z343">
        <v>42</v>
      </c>
      <c r="AA343">
        <v>33</v>
      </c>
      <c r="AB343">
        <v>23</v>
      </c>
      <c r="AC343">
        <v>11</v>
      </c>
      <c r="AD343">
        <v>44</v>
      </c>
      <c r="AE343">
        <v>1</v>
      </c>
      <c r="AF343">
        <v>10</v>
      </c>
      <c r="AG343">
        <v>31</v>
      </c>
      <c r="AH343">
        <v>30</v>
      </c>
      <c r="AI343">
        <v>11</v>
      </c>
      <c r="AJ343">
        <v>1</v>
      </c>
      <c r="AK343">
        <v>3</v>
      </c>
      <c r="AL343">
        <v>23</v>
      </c>
      <c r="AM343">
        <v>16</v>
      </c>
      <c r="AN343">
        <v>7</v>
      </c>
      <c r="AO343">
        <v>4</v>
      </c>
      <c r="AP343">
        <v>0</v>
      </c>
      <c r="AQ343">
        <v>4</v>
      </c>
      <c r="AR343">
        <v>29</v>
      </c>
      <c r="AS343">
        <v>3</v>
      </c>
      <c r="AT343">
        <v>6</v>
      </c>
      <c r="AU343">
        <v>17</v>
      </c>
      <c r="AV343">
        <v>15</v>
      </c>
      <c r="AW343">
        <v>1</v>
      </c>
      <c r="AX343">
        <v>0</v>
      </c>
      <c r="AY343">
        <v>8</v>
      </c>
      <c r="AZ343">
        <v>1</v>
      </c>
      <c r="BA343">
        <v>12</v>
      </c>
      <c r="BB343">
        <v>7</v>
      </c>
      <c r="BC343">
        <v>7</v>
      </c>
      <c r="BD343">
        <v>0</v>
      </c>
      <c r="BE343">
        <v>0</v>
      </c>
      <c r="BF343">
        <v>10</v>
      </c>
      <c r="BG343">
        <v>5</v>
      </c>
      <c r="BH343">
        <v>5</v>
      </c>
      <c r="BI343">
        <v>4</v>
      </c>
      <c r="BJ343">
        <v>0</v>
      </c>
      <c r="BK343">
        <v>0</v>
      </c>
      <c r="BL343">
        <v>2</v>
      </c>
      <c r="BM343">
        <v>0</v>
      </c>
      <c r="BN343">
        <v>4</v>
      </c>
      <c r="BO343">
        <v>5</v>
      </c>
      <c r="BP343">
        <v>3</v>
      </c>
      <c r="BQ343">
        <v>1</v>
      </c>
      <c r="BR343">
        <v>2</v>
      </c>
      <c r="BS343">
        <v>1</v>
      </c>
      <c r="BT343">
        <v>1</v>
      </c>
      <c r="BU343">
        <v>7</v>
      </c>
      <c r="BV343">
        <v>4</v>
      </c>
      <c r="BW343">
        <v>5</v>
      </c>
      <c r="BX343">
        <v>0</v>
      </c>
      <c r="BY343">
        <v>3</v>
      </c>
      <c r="BZ343">
        <v>0</v>
      </c>
      <c r="CA343">
        <v>2</v>
      </c>
      <c r="CB343">
        <v>0</v>
      </c>
      <c r="CC343">
        <v>2</v>
      </c>
      <c r="CD343">
        <v>3</v>
      </c>
      <c r="CE343">
        <v>1</v>
      </c>
      <c r="CF343">
        <v>4</v>
      </c>
      <c r="CG343">
        <v>2</v>
      </c>
      <c r="CH343">
        <v>0</v>
      </c>
      <c r="CI343">
        <v>2</v>
      </c>
      <c r="CJ343">
        <v>1</v>
      </c>
      <c r="CK343">
        <v>2</v>
      </c>
      <c r="CL343">
        <v>1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1</v>
      </c>
      <c r="CU343">
        <v>1</v>
      </c>
      <c r="CV343">
        <v>1</v>
      </c>
      <c r="CW343">
        <v>0</v>
      </c>
      <c r="CX343">
        <v>1</v>
      </c>
      <c r="CY343">
        <v>0</v>
      </c>
      <c r="CZ343">
        <v>1</v>
      </c>
      <c r="DA343">
        <v>5</v>
      </c>
      <c r="DB343">
        <v>0</v>
      </c>
      <c r="DC343">
        <v>0</v>
      </c>
      <c r="DD343">
        <v>3</v>
      </c>
      <c r="DE343">
        <v>0</v>
      </c>
      <c r="DF343">
        <v>0</v>
      </c>
      <c r="DG343">
        <v>0</v>
      </c>
      <c r="DH343">
        <v>0</v>
      </c>
      <c r="DI343">
        <v>6</v>
      </c>
      <c r="DJ343">
        <v>0</v>
      </c>
      <c r="DK343">
        <v>2</v>
      </c>
      <c r="DL343">
        <v>0</v>
      </c>
      <c r="DM343">
        <v>0</v>
      </c>
      <c r="DN343">
        <v>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1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1</v>
      </c>
      <c r="EL343">
        <v>0</v>
      </c>
      <c r="EM343">
        <v>0</v>
      </c>
      <c r="EN343">
        <v>2</v>
      </c>
      <c r="EO343">
        <v>0</v>
      </c>
      <c r="EP343">
        <v>0</v>
      </c>
      <c r="EQ343">
        <v>1</v>
      </c>
      <c r="ER343">
        <v>1</v>
      </c>
      <c r="ES343">
        <v>0</v>
      </c>
      <c r="ET343">
        <v>1</v>
      </c>
      <c r="EU343">
        <v>0</v>
      </c>
      <c r="EV343">
        <v>0</v>
      </c>
      <c r="EW343">
        <v>0</v>
      </c>
      <c r="EX343">
        <v>4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1</v>
      </c>
      <c r="FJ343">
        <v>0</v>
      </c>
      <c r="FK343">
        <v>0</v>
      </c>
      <c r="FL343">
        <v>0</v>
      </c>
      <c r="FM343">
        <v>0</v>
      </c>
      <c r="FN343">
        <v>1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</row>
    <row r="344" spans="1:201" x14ac:dyDescent="0.3">
      <c r="A344" t="s">
        <v>307</v>
      </c>
      <c r="B344" t="s">
        <v>306</v>
      </c>
      <c r="C344" t="s">
        <v>200</v>
      </c>
      <c r="D344" s="1">
        <v>1675</v>
      </c>
      <c r="E344">
        <v>430</v>
      </c>
      <c r="F344">
        <v>174</v>
      </c>
      <c r="G344">
        <v>250</v>
      </c>
      <c r="H344">
        <v>44</v>
      </c>
      <c r="I344">
        <v>59</v>
      </c>
      <c r="J344">
        <v>56</v>
      </c>
      <c r="K344">
        <v>8</v>
      </c>
      <c r="L344">
        <v>14</v>
      </c>
      <c r="M344">
        <v>102</v>
      </c>
      <c r="N344">
        <v>41</v>
      </c>
      <c r="O344">
        <v>121</v>
      </c>
      <c r="P344">
        <v>54</v>
      </c>
      <c r="Q344">
        <v>9</v>
      </c>
      <c r="R344">
        <v>10</v>
      </c>
      <c r="S344">
        <v>45</v>
      </c>
      <c r="T344">
        <v>43</v>
      </c>
      <c r="U344">
        <v>13</v>
      </c>
      <c r="V344">
        <v>7</v>
      </c>
      <c r="W344">
        <v>77</v>
      </c>
      <c r="X344">
        <v>2</v>
      </c>
      <c r="Y344">
        <v>10</v>
      </c>
      <c r="Z344">
        <v>5</v>
      </c>
      <c r="AA344">
        <v>5</v>
      </c>
      <c r="AB344">
        <v>0</v>
      </c>
      <c r="AC344">
        <v>12</v>
      </c>
      <c r="AD344">
        <v>18</v>
      </c>
      <c r="AE344">
        <v>2</v>
      </c>
      <c r="AF344">
        <v>8</v>
      </c>
      <c r="AG344">
        <v>14</v>
      </c>
      <c r="AH344">
        <v>2</v>
      </c>
      <c r="AI344">
        <v>0</v>
      </c>
      <c r="AJ344">
        <v>0</v>
      </c>
      <c r="AK344">
        <v>1</v>
      </c>
      <c r="AL344">
        <v>2</v>
      </c>
      <c r="AM344">
        <v>2</v>
      </c>
      <c r="AN344">
        <v>2</v>
      </c>
      <c r="AO344">
        <v>4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3</v>
      </c>
      <c r="AV344">
        <v>0</v>
      </c>
      <c r="AW344">
        <v>0</v>
      </c>
      <c r="AX344">
        <v>6</v>
      </c>
      <c r="AY344">
        <v>3</v>
      </c>
      <c r="AZ344">
        <v>1</v>
      </c>
      <c r="BA344">
        <v>2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2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</v>
      </c>
      <c r="BS344">
        <v>0</v>
      </c>
      <c r="BT344">
        <v>0</v>
      </c>
      <c r="BU344">
        <v>2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0</v>
      </c>
      <c r="CC344">
        <v>0</v>
      </c>
      <c r="CD344">
        <v>1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1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1</v>
      </c>
      <c r="DL344">
        <v>0</v>
      </c>
      <c r="DM344">
        <v>0</v>
      </c>
      <c r="DN344">
        <v>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1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</row>
    <row r="345" spans="1:201" x14ac:dyDescent="0.3">
      <c r="A345" t="s">
        <v>307</v>
      </c>
      <c r="B345" t="s">
        <v>306</v>
      </c>
      <c r="C345" t="s">
        <v>203</v>
      </c>
      <c r="D345">
        <v>653</v>
      </c>
      <c r="E345">
        <v>117</v>
      </c>
      <c r="F345">
        <v>103</v>
      </c>
      <c r="G345">
        <v>72</v>
      </c>
      <c r="H345">
        <v>34</v>
      </c>
      <c r="I345">
        <v>34</v>
      </c>
      <c r="J345">
        <v>25</v>
      </c>
      <c r="K345">
        <v>4</v>
      </c>
      <c r="L345">
        <v>13</v>
      </c>
      <c r="M345">
        <v>13</v>
      </c>
      <c r="N345">
        <v>5</v>
      </c>
      <c r="O345">
        <v>57</v>
      </c>
      <c r="P345">
        <v>23</v>
      </c>
      <c r="Q345">
        <v>4</v>
      </c>
      <c r="R345">
        <v>10</v>
      </c>
      <c r="S345">
        <v>4</v>
      </c>
      <c r="T345">
        <v>26</v>
      </c>
      <c r="U345">
        <v>7</v>
      </c>
      <c r="V345">
        <v>3</v>
      </c>
      <c r="W345">
        <v>43</v>
      </c>
      <c r="X345">
        <v>1</v>
      </c>
      <c r="Y345">
        <v>5</v>
      </c>
      <c r="Z345">
        <v>2</v>
      </c>
      <c r="AA345">
        <v>3</v>
      </c>
      <c r="AB345">
        <v>0</v>
      </c>
      <c r="AC345">
        <v>5</v>
      </c>
      <c r="AD345">
        <v>5</v>
      </c>
      <c r="AE345">
        <v>2</v>
      </c>
      <c r="AF345">
        <v>4</v>
      </c>
      <c r="AG345">
        <v>9</v>
      </c>
      <c r="AH345">
        <v>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6</v>
      </c>
      <c r="AY345">
        <v>3</v>
      </c>
      <c r="AZ345">
        <v>1</v>
      </c>
      <c r="BA345">
        <v>1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2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1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</row>
    <row r="346" spans="1:201" x14ac:dyDescent="0.3">
      <c r="A346" t="s">
        <v>307</v>
      </c>
      <c r="B346" t="s">
        <v>306</v>
      </c>
      <c r="C346" t="s">
        <v>204</v>
      </c>
      <c r="D346" s="1">
        <v>1022</v>
      </c>
      <c r="E346">
        <v>313</v>
      </c>
      <c r="F346">
        <v>71</v>
      </c>
      <c r="G346">
        <v>178</v>
      </c>
      <c r="H346">
        <v>10</v>
      </c>
      <c r="I346">
        <v>25</v>
      </c>
      <c r="J346">
        <v>31</v>
      </c>
      <c r="K346">
        <v>4</v>
      </c>
      <c r="L346">
        <v>1</v>
      </c>
      <c r="M346">
        <v>89</v>
      </c>
      <c r="N346">
        <v>36</v>
      </c>
      <c r="O346">
        <v>64</v>
      </c>
      <c r="P346">
        <v>31</v>
      </c>
      <c r="Q346">
        <v>5</v>
      </c>
      <c r="R346">
        <v>0</v>
      </c>
      <c r="S346">
        <v>41</v>
      </c>
      <c r="T346">
        <v>17</v>
      </c>
      <c r="U346">
        <v>6</v>
      </c>
      <c r="V346">
        <v>4</v>
      </c>
      <c r="W346">
        <v>34</v>
      </c>
      <c r="X346">
        <v>1</v>
      </c>
      <c r="Y346">
        <v>5</v>
      </c>
      <c r="Z346">
        <v>3</v>
      </c>
      <c r="AA346">
        <v>2</v>
      </c>
      <c r="AB346">
        <v>0</v>
      </c>
      <c r="AC346">
        <v>7</v>
      </c>
      <c r="AD346">
        <v>13</v>
      </c>
      <c r="AE346">
        <v>0</v>
      </c>
      <c r="AF346">
        <v>4</v>
      </c>
      <c r="AG346">
        <v>5</v>
      </c>
      <c r="AH346">
        <v>0</v>
      </c>
      <c r="AI346">
        <v>0</v>
      </c>
      <c r="AJ346">
        <v>0</v>
      </c>
      <c r="AK346">
        <v>1</v>
      </c>
      <c r="AL346">
        <v>2</v>
      </c>
      <c r="AM346">
        <v>2</v>
      </c>
      <c r="AN346">
        <v>1</v>
      </c>
      <c r="AO346">
        <v>3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2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1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1</v>
      </c>
      <c r="DL346">
        <v>0</v>
      </c>
      <c r="DM346">
        <v>0</v>
      </c>
      <c r="DN346">
        <v>1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1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</row>
    <row r="347" spans="1:201" x14ac:dyDescent="0.3">
      <c r="A347" t="s">
        <v>310</v>
      </c>
      <c r="B347" t="s">
        <v>200</v>
      </c>
      <c r="C347" t="s">
        <v>200</v>
      </c>
      <c r="D347" s="1">
        <v>60929</v>
      </c>
      <c r="E347" s="1">
        <v>17408</v>
      </c>
      <c r="F347" s="1">
        <v>1873</v>
      </c>
      <c r="G347" s="1">
        <v>8442</v>
      </c>
      <c r="H347" s="1">
        <v>3867</v>
      </c>
      <c r="I347" s="1">
        <v>2582</v>
      </c>
      <c r="J347" s="1">
        <v>1576</v>
      </c>
      <c r="K347" s="1">
        <v>4058</v>
      </c>
      <c r="L347" s="1">
        <v>2427</v>
      </c>
      <c r="M347" s="1">
        <v>2255</v>
      </c>
      <c r="N347">
        <v>738</v>
      </c>
      <c r="O347">
        <v>785</v>
      </c>
      <c r="P347" s="1">
        <v>1350</v>
      </c>
      <c r="Q347" s="1">
        <v>1333</v>
      </c>
      <c r="R347" s="1">
        <v>1808</v>
      </c>
      <c r="S347" s="1">
        <v>1665</v>
      </c>
      <c r="T347" s="1">
        <v>1377</v>
      </c>
      <c r="U347">
        <v>365</v>
      </c>
      <c r="V347" s="1">
        <v>1109</v>
      </c>
      <c r="W347" s="1">
        <v>1239</v>
      </c>
      <c r="X347">
        <v>554</v>
      </c>
      <c r="Y347">
        <v>182</v>
      </c>
      <c r="Z347">
        <v>238</v>
      </c>
      <c r="AA347">
        <v>205</v>
      </c>
      <c r="AB347">
        <v>93</v>
      </c>
      <c r="AC347">
        <v>317</v>
      </c>
      <c r="AD347">
        <v>283</v>
      </c>
      <c r="AE347">
        <v>124</v>
      </c>
      <c r="AF347">
        <v>267</v>
      </c>
      <c r="AG347">
        <v>101</v>
      </c>
      <c r="AH347">
        <v>147</v>
      </c>
      <c r="AI347">
        <v>54</v>
      </c>
      <c r="AJ347">
        <v>214</v>
      </c>
      <c r="AK347">
        <v>47</v>
      </c>
      <c r="AL347">
        <v>116</v>
      </c>
      <c r="AM347">
        <v>59</v>
      </c>
      <c r="AN347">
        <v>117</v>
      </c>
      <c r="AO347">
        <v>45</v>
      </c>
      <c r="AP347">
        <v>21</v>
      </c>
      <c r="AQ347">
        <v>80</v>
      </c>
      <c r="AR347">
        <v>60</v>
      </c>
      <c r="AS347">
        <v>66</v>
      </c>
      <c r="AT347">
        <v>77</v>
      </c>
      <c r="AU347">
        <v>86</v>
      </c>
      <c r="AV347">
        <v>20</v>
      </c>
      <c r="AW347">
        <v>47</v>
      </c>
      <c r="AX347">
        <v>2</v>
      </c>
      <c r="AY347">
        <v>77</v>
      </c>
      <c r="AZ347">
        <v>1</v>
      </c>
      <c r="BA347">
        <v>32</v>
      </c>
      <c r="BB347">
        <v>16</v>
      </c>
      <c r="BC347">
        <v>35</v>
      </c>
      <c r="BD347">
        <v>3</v>
      </c>
      <c r="BE347">
        <v>12</v>
      </c>
      <c r="BF347">
        <v>8</v>
      </c>
      <c r="BG347">
        <v>43</v>
      </c>
      <c r="BH347">
        <v>33</v>
      </c>
      <c r="BI347">
        <v>22</v>
      </c>
      <c r="BJ347">
        <v>12</v>
      </c>
      <c r="BK347">
        <v>26</v>
      </c>
      <c r="BL347">
        <v>18</v>
      </c>
      <c r="BM347">
        <v>11</v>
      </c>
      <c r="BN347">
        <v>40</v>
      </c>
      <c r="BO347">
        <v>4</v>
      </c>
      <c r="BP347">
        <v>12</v>
      </c>
      <c r="BQ347">
        <v>15</v>
      </c>
      <c r="BR347">
        <v>18</v>
      </c>
      <c r="BS347">
        <v>36</v>
      </c>
      <c r="BT347">
        <v>8</v>
      </c>
      <c r="BU347">
        <v>25</v>
      </c>
      <c r="BV347">
        <v>32</v>
      </c>
      <c r="BW347">
        <v>16</v>
      </c>
      <c r="BX347">
        <v>1</v>
      </c>
      <c r="BY347">
        <v>13</v>
      </c>
      <c r="BZ347">
        <v>12</v>
      </c>
      <c r="CA347">
        <v>12</v>
      </c>
      <c r="CB347">
        <v>6</v>
      </c>
      <c r="CC347">
        <v>10</v>
      </c>
      <c r="CD347">
        <v>24</v>
      </c>
      <c r="CE347">
        <v>5</v>
      </c>
      <c r="CF347">
        <v>47</v>
      </c>
      <c r="CG347">
        <v>16</v>
      </c>
      <c r="CH347">
        <v>2</v>
      </c>
      <c r="CI347">
        <v>9</v>
      </c>
      <c r="CJ347">
        <v>14</v>
      </c>
      <c r="CK347">
        <v>9</v>
      </c>
      <c r="CL347">
        <v>7</v>
      </c>
      <c r="CM347">
        <v>0</v>
      </c>
      <c r="CN347">
        <v>1</v>
      </c>
      <c r="CO347">
        <v>0</v>
      </c>
      <c r="CP347">
        <v>10</v>
      </c>
      <c r="CQ347">
        <v>20</v>
      </c>
      <c r="CR347">
        <v>2</v>
      </c>
      <c r="CS347">
        <v>8</v>
      </c>
      <c r="CT347">
        <v>7</v>
      </c>
      <c r="CU347">
        <v>61</v>
      </c>
      <c r="CV347">
        <v>10</v>
      </c>
      <c r="CW347">
        <v>10</v>
      </c>
      <c r="CX347">
        <v>1</v>
      </c>
      <c r="CY347">
        <v>0</v>
      </c>
      <c r="CZ347">
        <v>5</v>
      </c>
      <c r="DA347">
        <v>2</v>
      </c>
      <c r="DB347">
        <v>4</v>
      </c>
      <c r="DC347">
        <v>0</v>
      </c>
      <c r="DD347">
        <v>6</v>
      </c>
      <c r="DE347">
        <v>0</v>
      </c>
      <c r="DF347">
        <v>1</v>
      </c>
      <c r="DG347">
        <v>3</v>
      </c>
      <c r="DH347">
        <v>1</v>
      </c>
      <c r="DI347">
        <v>4</v>
      </c>
      <c r="DJ347">
        <v>7</v>
      </c>
      <c r="DK347">
        <v>4</v>
      </c>
      <c r="DL347">
        <v>7</v>
      </c>
      <c r="DM347">
        <v>6</v>
      </c>
      <c r="DN347">
        <v>4</v>
      </c>
      <c r="DO347">
        <v>4</v>
      </c>
      <c r="DP347">
        <v>7</v>
      </c>
      <c r="DQ347">
        <v>10</v>
      </c>
      <c r="DR347">
        <v>5</v>
      </c>
      <c r="DS347">
        <v>3</v>
      </c>
      <c r="DT347">
        <v>2</v>
      </c>
      <c r="DU347">
        <v>0</v>
      </c>
      <c r="DV347">
        <v>7</v>
      </c>
      <c r="DW347">
        <v>7</v>
      </c>
      <c r="DX347">
        <v>0</v>
      </c>
      <c r="DY347">
        <v>3</v>
      </c>
      <c r="DZ347">
        <v>2</v>
      </c>
      <c r="EA347">
        <v>3</v>
      </c>
      <c r="EB347">
        <v>2</v>
      </c>
      <c r="EC347">
        <v>1</v>
      </c>
      <c r="ED347">
        <v>3</v>
      </c>
      <c r="EE347">
        <v>4</v>
      </c>
      <c r="EF347">
        <v>5</v>
      </c>
      <c r="EG347">
        <v>2</v>
      </c>
      <c r="EH347">
        <v>4</v>
      </c>
      <c r="EI347">
        <v>1</v>
      </c>
      <c r="EJ347">
        <v>4</v>
      </c>
      <c r="EK347">
        <v>2</v>
      </c>
      <c r="EL347">
        <v>0</v>
      </c>
      <c r="EM347">
        <v>1</v>
      </c>
      <c r="EN347">
        <v>0</v>
      </c>
      <c r="EO347">
        <v>1</v>
      </c>
      <c r="EP347">
        <v>1</v>
      </c>
      <c r="EQ347">
        <v>0</v>
      </c>
      <c r="ER347">
        <v>4</v>
      </c>
      <c r="ES347">
        <v>3</v>
      </c>
      <c r="ET347">
        <v>1</v>
      </c>
      <c r="EU347">
        <v>2</v>
      </c>
      <c r="EV347">
        <v>0</v>
      </c>
      <c r="EW347">
        <v>3</v>
      </c>
      <c r="EX347">
        <v>0</v>
      </c>
      <c r="EY347">
        <v>1</v>
      </c>
      <c r="EZ347">
        <v>7</v>
      </c>
      <c r="FA347">
        <v>0</v>
      </c>
      <c r="FB347">
        <v>0</v>
      </c>
      <c r="FC347">
        <v>2</v>
      </c>
      <c r="FD347">
        <v>5</v>
      </c>
      <c r="FE347">
        <v>1</v>
      </c>
      <c r="FF347">
        <v>2</v>
      </c>
      <c r="FG347">
        <v>0</v>
      </c>
      <c r="FH347">
        <v>2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1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1</v>
      </c>
      <c r="FZ347">
        <v>0</v>
      </c>
      <c r="GA347">
        <v>0</v>
      </c>
      <c r="GB347">
        <v>0</v>
      </c>
      <c r="GC347">
        <v>1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1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3</v>
      </c>
    </row>
    <row r="348" spans="1:201" x14ac:dyDescent="0.3">
      <c r="A348" t="s">
        <v>310</v>
      </c>
      <c r="B348" t="s">
        <v>200</v>
      </c>
      <c r="C348" t="s">
        <v>203</v>
      </c>
      <c r="D348" s="1">
        <f>D351+D354+D357+D360+D363+D366+D369+D372+D375+D378+D381+D384+D387+D390+D393+D396</f>
        <v>34654</v>
      </c>
      <c r="E348" s="1">
        <f t="shared" ref="E348:BP348" si="56">E351+E354+E357+E360+E363+E366+E369+E372+E375+E378+E381+E384+E387+E390+E393+E396</f>
        <v>9012</v>
      </c>
      <c r="F348" s="1">
        <f t="shared" si="56"/>
        <v>982</v>
      </c>
      <c r="G348" s="1">
        <f t="shared" si="56"/>
        <v>3340</v>
      </c>
      <c r="H348" s="1">
        <f t="shared" si="56"/>
        <v>2671</v>
      </c>
      <c r="I348" s="1">
        <f t="shared" si="56"/>
        <v>1972</v>
      </c>
      <c r="J348" s="1">
        <f t="shared" si="56"/>
        <v>1210</v>
      </c>
      <c r="K348" s="1">
        <f t="shared" si="56"/>
        <v>3564</v>
      </c>
      <c r="L348" s="1">
        <f t="shared" si="56"/>
        <v>1859</v>
      </c>
      <c r="M348" s="1">
        <f t="shared" si="56"/>
        <v>1254</v>
      </c>
      <c r="N348" s="1">
        <f t="shared" si="56"/>
        <v>309</v>
      </c>
      <c r="O348" s="1">
        <f t="shared" si="56"/>
        <v>321</v>
      </c>
      <c r="P348" s="1">
        <f t="shared" si="56"/>
        <v>730</v>
      </c>
      <c r="Q348" s="1">
        <f t="shared" si="56"/>
        <v>1086</v>
      </c>
      <c r="R348" s="1">
        <f t="shared" si="56"/>
        <v>1500</v>
      </c>
      <c r="S348" s="1">
        <f t="shared" si="56"/>
        <v>329</v>
      </c>
      <c r="T348" s="1">
        <f t="shared" si="56"/>
        <v>510</v>
      </c>
      <c r="U348" s="1">
        <f t="shared" si="56"/>
        <v>132</v>
      </c>
      <c r="V348" s="1">
        <f t="shared" si="56"/>
        <v>903</v>
      </c>
      <c r="W348" s="1">
        <f t="shared" si="56"/>
        <v>616</v>
      </c>
      <c r="X348" s="1">
        <f t="shared" si="56"/>
        <v>332</v>
      </c>
      <c r="Y348" s="1">
        <f t="shared" si="56"/>
        <v>86</v>
      </c>
      <c r="Z348" s="1">
        <f t="shared" si="56"/>
        <v>124</v>
      </c>
      <c r="AA348" s="1">
        <f t="shared" si="56"/>
        <v>87</v>
      </c>
      <c r="AB348" s="1">
        <f t="shared" si="56"/>
        <v>34</v>
      </c>
      <c r="AC348" s="1">
        <f t="shared" si="56"/>
        <v>203</v>
      </c>
      <c r="AD348" s="1">
        <f t="shared" si="56"/>
        <v>88</v>
      </c>
      <c r="AE348" s="1">
        <f t="shared" si="56"/>
        <v>108</v>
      </c>
      <c r="AF348" s="1">
        <f t="shared" si="56"/>
        <v>198</v>
      </c>
      <c r="AG348" s="1">
        <f t="shared" si="56"/>
        <v>35</v>
      </c>
      <c r="AH348" s="1">
        <f t="shared" si="56"/>
        <v>74</v>
      </c>
      <c r="AI348" s="1">
        <f t="shared" si="56"/>
        <v>26</v>
      </c>
      <c r="AJ348" s="1">
        <f t="shared" si="56"/>
        <v>98</v>
      </c>
      <c r="AK348" s="1">
        <f t="shared" si="56"/>
        <v>32</v>
      </c>
      <c r="AL348" s="1">
        <f t="shared" si="56"/>
        <v>28</v>
      </c>
      <c r="AM348" s="1">
        <f t="shared" si="56"/>
        <v>13</v>
      </c>
      <c r="AN348" s="1">
        <f t="shared" si="56"/>
        <v>69</v>
      </c>
      <c r="AO348" s="1">
        <f t="shared" si="56"/>
        <v>21</v>
      </c>
      <c r="AP348" s="1">
        <f t="shared" si="56"/>
        <v>15</v>
      </c>
      <c r="AQ348" s="1">
        <f t="shared" si="56"/>
        <v>20</v>
      </c>
      <c r="AR348" s="1">
        <f t="shared" si="56"/>
        <v>43</v>
      </c>
      <c r="AS348" s="1">
        <f t="shared" si="56"/>
        <v>25</v>
      </c>
      <c r="AT348" s="1">
        <f t="shared" si="56"/>
        <v>38</v>
      </c>
      <c r="AU348" s="1">
        <f t="shared" si="56"/>
        <v>36</v>
      </c>
      <c r="AV348" s="1">
        <f t="shared" si="56"/>
        <v>13</v>
      </c>
      <c r="AW348" s="1">
        <f t="shared" si="56"/>
        <v>27</v>
      </c>
      <c r="AX348" s="1">
        <f t="shared" si="56"/>
        <v>1</v>
      </c>
      <c r="AY348" s="1">
        <f t="shared" si="56"/>
        <v>22</v>
      </c>
      <c r="AZ348" s="1">
        <f t="shared" si="56"/>
        <v>0</v>
      </c>
      <c r="BA348" s="1">
        <f t="shared" si="56"/>
        <v>15</v>
      </c>
      <c r="BB348" s="1">
        <f t="shared" si="56"/>
        <v>8</v>
      </c>
      <c r="BC348" s="1">
        <f t="shared" si="56"/>
        <v>20</v>
      </c>
      <c r="BD348" s="1">
        <f t="shared" si="56"/>
        <v>2</v>
      </c>
      <c r="BE348" s="1">
        <f t="shared" si="56"/>
        <v>7</v>
      </c>
      <c r="BF348" s="1">
        <f t="shared" si="56"/>
        <v>4</v>
      </c>
      <c r="BG348" s="1">
        <f t="shared" si="56"/>
        <v>30</v>
      </c>
      <c r="BH348" s="1">
        <f t="shared" si="56"/>
        <v>9</v>
      </c>
      <c r="BI348" s="1">
        <f t="shared" si="56"/>
        <v>10</v>
      </c>
      <c r="BJ348" s="1">
        <f t="shared" si="56"/>
        <v>3</v>
      </c>
      <c r="BK348" s="1">
        <f t="shared" si="56"/>
        <v>20</v>
      </c>
      <c r="BL348" s="1">
        <f t="shared" si="56"/>
        <v>8</v>
      </c>
      <c r="BM348" s="1">
        <f t="shared" si="56"/>
        <v>4</v>
      </c>
      <c r="BN348" s="1">
        <f t="shared" si="56"/>
        <v>16</v>
      </c>
      <c r="BO348" s="1">
        <f t="shared" si="56"/>
        <v>2</v>
      </c>
      <c r="BP348" s="1">
        <f t="shared" si="56"/>
        <v>6</v>
      </c>
      <c r="BQ348" s="1">
        <f t="shared" ref="BQ348:EB348" si="57">BQ351+BQ354+BQ357+BQ360+BQ363+BQ366+BQ369+BQ372+BQ375+BQ378+BQ381+BQ384+BQ387+BQ390+BQ393+BQ396</f>
        <v>4</v>
      </c>
      <c r="BR348" s="1">
        <f t="shared" si="57"/>
        <v>12</v>
      </c>
      <c r="BS348" s="1">
        <f t="shared" si="57"/>
        <v>26</v>
      </c>
      <c r="BT348" s="1">
        <f t="shared" si="57"/>
        <v>5</v>
      </c>
      <c r="BU348" s="1">
        <f t="shared" si="57"/>
        <v>7</v>
      </c>
      <c r="BV348" s="1">
        <f t="shared" si="57"/>
        <v>4</v>
      </c>
      <c r="BW348" s="1">
        <f t="shared" si="57"/>
        <v>8</v>
      </c>
      <c r="BX348" s="1">
        <f t="shared" si="57"/>
        <v>1</v>
      </c>
      <c r="BY348" s="1">
        <f t="shared" si="57"/>
        <v>6</v>
      </c>
      <c r="BZ348" s="1">
        <f t="shared" si="57"/>
        <v>9</v>
      </c>
      <c r="CA348" s="1">
        <f t="shared" si="57"/>
        <v>8</v>
      </c>
      <c r="CB348" s="1">
        <f t="shared" si="57"/>
        <v>2</v>
      </c>
      <c r="CC348" s="1">
        <f t="shared" si="57"/>
        <v>3</v>
      </c>
      <c r="CD348" s="1">
        <f t="shared" si="57"/>
        <v>4</v>
      </c>
      <c r="CE348" s="1">
        <f t="shared" si="57"/>
        <v>2</v>
      </c>
      <c r="CF348" s="1">
        <f t="shared" si="57"/>
        <v>28</v>
      </c>
      <c r="CG348" s="1">
        <f t="shared" si="57"/>
        <v>5</v>
      </c>
      <c r="CH348" s="1">
        <f t="shared" si="57"/>
        <v>1</v>
      </c>
      <c r="CI348" s="1">
        <f t="shared" si="57"/>
        <v>3</v>
      </c>
      <c r="CJ348" s="1">
        <f t="shared" si="57"/>
        <v>8</v>
      </c>
      <c r="CK348" s="1">
        <f t="shared" si="57"/>
        <v>3</v>
      </c>
      <c r="CL348" s="1">
        <f t="shared" si="57"/>
        <v>2</v>
      </c>
      <c r="CM348" s="1">
        <f t="shared" si="57"/>
        <v>0</v>
      </c>
      <c r="CN348" s="1">
        <f t="shared" si="57"/>
        <v>1</v>
      </c>
      <c r="CO348" s="1">
        <f t="shared" si="57"/>
        <v>0</v>
      </c>
      <c r="CP348" s="1">
        <f t="shared" si="57"/>
        <v>6</v>
      </c>
      <c r="CQ348" s="1">
        <f t="shared" si="57"/>
        <v>13</v>
      </c>
      <c r="CR348" s="1">
        <f t="shared" si="57"/>
        <v>1</v>
      </c>
      <c r="CS348" s="1">
        <f t="shared" si="57"/>
        <v>2</v>
      </c>
      <c r="CT348" s="1">
        <f t="shared" si="57"/>
        <v>3</v>
      </c>
      <c r="CU348" s="1">
        <f t="shared" si="57"/>
        <v>40</v>
      </c>
      <c r="CV348" s="1">
        <f t="shared" si="57"/>
        <v>4</v>
      </c>
      <c r="CW348" s="1">
        <f t="shared" si="57"/>
        <v>4</v>
      </c>
      <c r="CX348" s="1">
        <f t="shared" si="57"/>
        <v>1</v>
      </c>
      <c r="CY348" s="1">
        <f t="shared" si="57"/>
        <v>0</v>
      </c>
      <c r="CZ348" s="1">
        <f t="shared" si="57"/>
        <v>2</v>
      </c>
      <c r="DA348" s="1">
        <f t="shared" si="57"/>
        <v>1</v>
      </c>
      <c r="DB348" s="1">
        <f t="shared" si="57"/>
        <v>3</v>
      </c>
      <c r="DC348" s="1">
        <f t="shared" si="57"/>
        <v>0</v>
      </c>
      <c r="DD348" s="1">
        <f t="shared" si="57"/>
        <v>6</v>
      </c>
      <c r="DE348" s="1">
        <f t="shared" si="57"/>
        <v>0</v>
      </c>
      <c r="DF348" s="1">
        <f t="shared" si="57"/>
        <v>0</v>
      </c>
      <c r="DG348" s="1">
        <f t="shared" si="57"/>
        <v>1</v>
      </c>
      <c r="DH348" s="1">
        <f t="shared" si="57"/>
        <v>0</v>
      </c>
      <c r="DI348" s="1">
        <f t="shared" si="57"/>
        <v>1</v>
      </c>
      <c r="DJ348" s="1">
        <f t="shared" si="57"/>
        <v>4</v>
      </c>
      <c r="DK348" s="1">
        <f t="shared" si="57"/>
        <v>1</v>
      </c>
      <c r="DL348" s="1">
        <f t="shared" si="57"/>
        <v>5</v>
      </c>
      <c r="DM348" s="1">
        <f t="shared" si="57"/>
        <v>1</v>
      </c>
      <c r="DN348" s="1">
        <f t="shared" si="57"/>
        <v>0</v>
      </c>
      <c r="DO348" s="1">
        <f t="shared" si="57"/>
        <v>1</v>
      </c>
      <c r="DP348" s="1">
        <f t="shared" si="57"/>
        <v>2</v>
      </c>
      <c r="DQ348" s="1">
        <f t="shared" si="57"/>
        <v>7</v>
      </c>
      <c r="DR348" s="1">
        <f t="shared" si="57"/>
        <v>4</v>
      </c>
      <c r="DS348" s="1">
        <f t="shared" si="57"/>
        <v>1</v>
      </c>
      <c r="DT348" s="1">
        <f t="shared" si="57"/>
        <v>1</v>
      </c>
      <c r="DU348" s="1">
        <f t="shared" si="57"/>
        <v>0</v>
      </c>
      <c r="DV348" s="1">
        <f t="shared" si="57"/>
        <v>0</v>
      </c>
      <c r="DW348" s="1">
        <f t="shared" si="57"/>
        <v>2</v>
      </c>
      <c r="DX348" s="1">
        <f t="shared" si="57"/>
        <v>0</v>
      </c>
      <c r="DY348" s="1">
        <f t="shared" si="57"/>
        <v>0</v>
      </c>
      <c r="DZ348" s="1">
        <f t="shared" si="57"/>
        <v>0</v>
      </c>
      <c r="EA348" s="1">
        <f t="shared" si="57"/>
        <v>0</v>
      </c>
      <c r="EB348" s="1">
        <f t="shared" si="57"/>
        <v>1</v>
      </c>
      <c r="EC348" s="1">
        <f t="shared" ref="EC348:GN348" si="58">EC351+EC354+EC357+EC360+EC363+EC366+EC369+EC372+EC375+EC378+EC381+EC384+EC387+EC390+EC393+EC396</f>
        <v>0</v>
      </c>
      <c r="ED348" s="1">
        <f t="shared" si="58"/>
        <v>0</v>
      </c>
      <c r="EE348" s="1">
        <f t="shared" si="58"/>
        <v>1</v>
      </c>
      <c r="EF348" s="1">
        <f t="shared" si="58"/>
        <v>3</v>
      </c>
      <c r="EG348" s="1">
        <f t="shared" si="58"/>
        <v>0</v>
      </c>
      <c r="EH348" s="1">
        <f t="shared" si="58"/>
        <v>2</v>
      </c>
      <c r="EI348" s="1">
        <f t="shared" si="58"/>
        <v>0</v>
      </c>
      <c r="EJ348" s="1">
        <f t="shared" si="58"/>
        <v>0</v>
      </c>
      <c r="EK348" s="1">
        <f t="shared" si="58"/>
        <v>0</v>
      </c>
      <c r="EL348" s="1">
        <f t="shared" si="58"/>
        <v>0</v>
      </c>
      <c r="EM348" s="1">
        <f t="shared" si="58"/>
        <v>1</v>
      </c>
      <c r="EN348" s="1">
        <f t="shared" si="58"/>
        <v>0</v>
      </c>
      <c r="EO348" s="1">
        <f t="shared" si="58"/>
        <v>0</v>
      </c>
      <c r="EP348" s="1">
        <f t="shared" si="58"/>
        <v>1</v>
      </c>
      <c r="EQ348" s="1">
        <f t="shared" si="58"/>
        <v>0</v>
      </c>
      <c r="ER348" s="1">
        <f t="shared" si="58"/>
        <v>0</v>
      </c>
      <c r="ES348" s="1">
        <f t="shared" si="58"/>
        <v>0</v>
      </c>
      <c r="ET348" s="1">
        <f t="shared" si="58"/>
        <v>0</v>
      </c>
      <c r="EU348" s="1">
        <f t="shared" si="58"/>
        <v>1</v>
      </c>
      <c r="EV348" s="1">
        <f t="shared" si="58"/>
        <v>0</v>
      </c>
      <c r="EW348" s="1">
        <f t="shared" si="58"/>
        <v>0</v>
      </c>
      <c r="EX348" s="1">
        <f t="shared" si="58"/>
        <v>0</v>
      </c>
      <c r="EY348" s="1">
        <f t="shared" si="58"/>
        <v>0</v>
      </c>
      <c r="EZ348" s="1">
        <f t="shared" si="58"/>
        <v>4</v>
      </c>
      <c r="FA348" s="1">
        <f t="shared" si="58"/>
        <v>0</v>
      </c>
      <c r="FB348" s="1">
        <f t="shared" si="58"/>
        <v>0</v>
      </c>
      <c r="FC348" s="1">
        <f t="shared" si="58"/>
        <v>1</v>
      </c>
      <c r="FD348" s="1">
        <f t="shared" si="58"/>
        <v>5</v>
      </c>
      <c r="FE348" s="1">
        <f t="shared" si="58"/>
        <v>0</v>
      </c>
      <c r="FF348" s="1">
        <f t="shared" si="58"/>
        <v>2</v>
      </c>
      <c r="FG348" s="1">
        <f t="shared" si="58"/>
        <v>0</v>
      </c>
      <c r="FH348" s="1">
        <f t="shared" si="58"/>
        <v>2</v>
      </c>
      <c r="FI348" s="1">
        <f t="shared" si="58"/>
        <v>0</v>
      </c>
      <c r="FJ348" s="1">
        <f t="shared" si="58"/>
        <v>0</v>
      </c>
      <c r="FK348" s="1">
        <f t="shared" si="58"/>
        <v>0</v>
      </c>
      <c r="FL348" s="1">
        <f t="shared" si="58"/>
        <v>0</v>
      </c>
      <c r="FM348" s="1">
        <f t="shared" si="58"/>
        <v>0</v>
      </c>
      <c r="FN348" s="1">
        <f t="shared" si="58"/>
        <v>0</v>
      </c>
      <c r="FO348" s="1">
        <f t="shared" si="58"/>
        <v>0</v>
      </c>
      <c r="FP348" s="1">
        <f t="shared" si="58"/>
        <v>0</v>
      </c>
      <c r="FQ348" s="1">
        <f t="shared" si="58"/>
        <v>0</v>
      </c>
      <c r="FR348" s="1">
        <f t="shared" si="58"/>
        <v>0</v>
      </c>
      <c r="FS348" s="1">
        <f t="shared" si="58"/>
        <v>0</v>
      </c>
      <c r="FT348" s="1">
        <f t="shared" si="58"/>
        <v>0</v>
      </c>
      <c r="FU348" s="1">
        <f t="shared" si="58"/>
        <v>0</v>
      </c>
      <c r="FV348" s="1">
        <f t="shared" si="58"/>
        <v>0</v>
      </c>
      <c r="FW348" s="1">
        <f t="shared" si="58"/>
        <v>0</v>
      </c>
      <c r="FX348" s="1">
        <f t="shared" si="58"/>
        <v>0</v>
      </c>
      <c r="FY348" s="1">
        <f t="shared" si="58"/>
        <v>0</v>
      </c>
      <c r="FZ348" s="1">
        <f t="shared" si="58"/>
        <v>0</v>
      </c>
      <c r="GA348" s="1">
        <f t="shared" si="58"/>
        <v>0</v>
      </c>
      <c r="GB348" s="1">
        <f t="shared" si="58"/>
        <v>0</v>
      </c>
      <c r="GC348" s="1">
        <f t="shared" si="58"/>
        <v>0</v>
      </c>
      <c r="GD348" s="1">
        <f t="shared" si="58"/>
        <v>0</v>
      </c>
      <c r="GE348" s="1">
        <f t="shared" si="58"/>
        <v>0</v>
      </c>
      <c r="GF348" s="1">
        <f t="shared" si="58"/>
        <v>0</v>
      </c>
      <c r="GG348" s="1">
        <f t="shared" si="58"/>
        <v>0</v>
      </c>
      <c r="GH348" s="1">
        <f t="shared" si="58"/>
        <v>0</v>
      </c>
      <c r="GI348" s="1">
        <f t="shared" si="58"/>
        <v>1</v>
      </c>
      <c r="GJ348" s="1">
        <f t="shared" si="58"/>
        <v>0</v>
      </c>
      <c r="GK348" s="1">
        <f t="shared" si="58"/>
        <v>0</v>
      </c>
      <c r="GL348" s="1">
        <f t="shared" si="58"/>
        <v>0</v>
      </c>
      <c r="GM348" s="1">
        <f t="shared" si="58"/>
        <v>0</v>
      </c>
      <c r="GN348" s="1">
        <f t="shared" si="58"/>
        <v>0</v>
      </c>
      <c r="GO348" s="1">
        <f t="shared" ref="GO348:GS348" si="59">GO351+GO354+GO357+GO360+GO363+GO366+GO369+GO372+GO375+GO378+GO381+GO384+GO387+GO390+GO393+GO396</f>
        <v>0</v>
      </c>
      <c r="GP348" s="1">
        <f t="shared" si="59"/>
        <v>0</v>
      </c>
      <c r="GQ348" s="1">
        <f t="shared" si="59"/>
        <v>0</v>
      </c>
      <c r="GR348" s="1">
        <f t="shared" si="59"/>
        <v>0</v>
      </c>
      <c r="GS348" s="1">
        <f t="shared" si="59"/>
        <v>0</v>
      </c>
    </row>
    <row r="349" spans="1:201" x14ac:dyDescent="0.3">
      <c r="A349" t="s">
        <v>310</v>
      </c>
      <c r="B349" t="s">
        <v>200</v>
      </c>
      <c r="C349" t="s">
        <v>204</v>
      </c>
      <c r="D349" s="1">
        <f>D352+D355+D358+D361+D364+D367+D370+D373+D376+D379+D382+D385+D388+D391+D394+D397</f>
        <v>26275</v>
      </c>
      <c r="E349" s="1">
        <f t="shared" ref="E349:BP349" si="60">E352+E355+E358+E361+E364+E367+E370+E373+E376+E379+E382+E385+E388+E391+E394+E397</f>
        <v>8396</v>
      </c>
      <c r="F349" s="1">
        <f t="shared" si="60"/>
        <v>891</v>
      </c>
      <c r="G349" s="1">
        <f t="shared" si="60"/>
        <v>5102</v>
      </c>
      <c r="H349" s="1">
        <f t="shared" si="60"/>
        <v>1196</v>
      </c>
      <c r="I349" s="1">
        <f t="shared" si="60"/>
        <v>610</v>
      </c>
      <c r="J349" s="1">
        <f t="shared" si="60"/>
        <v>366</v>
      </c>
      <c r="K349" s="1">
        <f t="shared" si="60"/>
        <v>494</v>
      </c>
      <c r="L349" s="1">
        <f t="shared" si="60"/>
        <v>568</v>
      </c>
      <c r="M349" s="1">
        <f t="shared" si="60"/>
        <v>1001</v>
      </c>
      <c r="N349" s="1">
        <f t="shared" si="60"/>
        <v>429</v>
      </c>
      <c r="O349" s="1">
        <f t="shared" si="60"/>
        <v>464</v>
      </c>
      <c r="P349" s="1">
        <f t="shared" si="60"/>
        <v>620</v>
      </c>
      <c r="Q349" s="1">
        <f t="shared" si="60"/>
        <v>247</v>
      </c>
      <c r="R349" s="1">
        <f t="shared" si="60"/>
        <v>308</v>
      </c>
      <c r="S349" s="1">
        <f t="shared" si="60"/>
        <v>1336</v>
      </c>
      <c r="T349" s="1">
        <f t="shared" si="60"/>
        <v>867</v>
      </c>
      <c r="U349" s="1">
        <f t="shared" si="60"/>
        <v>233</v>
      </c>
      <c r="V349" s="1">
        <f t="shared" si="60"/>
        <v>206</v>
      </c>
      <c r="W349" s="1">
        <f t="shared" si="60"/>
        <v>623</v>
      </c>
      <c r="X349" s="1">
        <f t="shared" si="60"/>
        <v>222</v>
      </c>
      <c r="Y349" s="1">
        <f t="shared" si="60"/>
        <v>96</v>
      </c>
      <c r="Z349" s="1">
        <f t="shared" si="60"/>
        <v>114</v>
      </c>
      <c r="AA349" s="1">
        <f t="shared" si="60"/>
        <v>118</v>
      </c>
      <c r="AB349" s="1">
        <f t="shared" si="60"/>
        <v>59</v>
      </c>
      <c r="AC349" s="1">
        <f t="shared" si="60"/>
        <v>114</v>
      </c>
      <c r="AD349" s="1">
        <f t="shared" si="60"/>
        <v>195</v>
      </c>
      <c r="AE349" s="1">
        <f t="shared" si="60"/>
        <v>16</v>
      </c>
      <c r="AF349" s="1">
        <f t="shared" si="60"/>
        <v>69</v>
      </c>
      <c r="AG349" s="1">
        <f t="shared" si="60"/>
        <v>66</v>
      </c>
      <c r="AH349" s="1">
        <f t="shared" si="60"/>
        <v>73</v>
      </c>
      <c r="AI349" s="1">
        <f t="shared" si="60"/>
        <v>28</v>
      </c>
      <c r="AJ349" s="1">
        <f t="shared" si="60"/>
        <v>116</v>
      </c>
      <c r="AK349" s="1">
        <f t="shared" si="60"/>
        <v>15</v>
      </c>
      <c r="AL349" s="1">
        <f t="shared" si="60"/>
        <v>88</v>
      </c>
      <c r="AM349" s="1">
        <f t="shared" si="60"/>
        <v>46</v>
      </c>
      <c r="AN349" s="1">
        <f t="shared" si="60"/>
        <v>48</v>
      </c>
      <c r="AO349" s="1">
        <f t="shared" si="60"/>
        <v>24</v>
      </c>
      <c r="AP349" s="1">
        <f t="shared" si="60"/>
        <v>6</v>
      </c>
      <c r="AQ349" s="1">
        <f t="shared" si="60"/>
        <v>60</v>
      </c>
      <c r="AR349" s="1">
        <f t="shared" si="60"/>
        <v>17</v>
      </c>
      <c r="AS349" s="1">
        <f t="shared" si="60"/>
        <v>41</v>
      </c>
      <c r="AT349" s="1">
        <f t="shared" si="60"/>
        <v>39</v>
      </c>
      <c r="AU349" s="1">
        <f t="shared" si="60"/>
        <v>50</v>
      </c>
      <c r="AV349" s="1">
        <f t="shared" si="60"/>
        <v>7</v>
      </c>
      <c r="AW349" s="1">
        <f t="shared" si="60"/>
        <v>20</v>
      </c>
      <c r="AX349" s="1">
        <f t="shared" si="60"/>
        <v>1</v>
      </c>
      <c r="AY349" s="1">
        <f t="shared" si="60"/>
        <v>55</v>
      </c>
      <c r="AZ349" s="1">
        <f t="shared" si="60"/>
        <v>1</v>
      </c>
      <c r="BA349" s="1">
        <f t="shared" si="60"/>
        <v>17</v>
      </c>
      <c r="BB349" s="1">
        <f t="shared" si="60"/>
        <v>8</v>
      </c>
      <c r="BC349" s="1">
        <f t="shared" si="60"/>
        <v>15</v>
      </c>
      <c r="BD349" s="1">
        <f t="shared" si="60"/>
        <v>1</v>
      </c>
      <c r="BE349" s="1">
        <f t="shared" si="60"/>
        <v>5</v>
      </c>
      <c r="BF349" s="1">
        <f t="shared" si="60"/>
        <v>4</v>
      </c>
      <c r="BG349" s="1">
        <f t="shared" si="60"/>
        <v>13</v>
      </c>
      <c r="BH349" s="1">
        <f t="shared" si="60"/>
        <v>24</v>
      </c>
      <c r="BI349" s="1">
        <f t="shared" si="60"/>
        <v>12</v>
      </c>
      <c r="BJ349" s="1">
        <f t="shared" si="60"/>
        <v>9</v>
      </c>
      <c r="BK349" s="1">
        <f t="shared" si="60"/>
        <v>6</v>
      </c>
      <c r="BL349" s="1">
        <f t="shared" si="60"/>
        <v>10</v>
      </c>
      <c r="BM349" s="1">
        <f t="shared" si="60"/>
        <v>7</v>
      </c>
      <c r="BN349" s="1">
        <f t="shared" si="60"/>
        <v>24</v>
      </c>
      <c r="BO349" s="1">
        <f t="shared" si="60"/>
        <v>2</v>
      </c>
      <c r="BP349" s="1">
        <f t="shared" si="60"/>
        <v>6</v>
      </c>
      <c r="BQ349" s="1">
        <f t="shared" ref="BQ349:EB349" si="61">BQ352+BQ355+BQ358+BQ361+BQ364+BQ367+BQ370+BQ373+BQ376+BQ379+BQ382+BQ385+BQ388+BQ391+BQ394+BQ397</f>
        <v>11</v>
      </c>
      <c r="BR349" s="1">
        <f t="shared" si="61"/>
        <v>6</v>
      </c>
      <c r="BS349" s="1">
        <f t="shared" si="61"/>
        <v>10</v>
      </c>
      <c r="BT349" s="1">
        <f t="shared" si="61"/>
        <v>3</v>
      </c>
      <c r="BU349" s="1">
        <f t="shared" si="61"/>
        <v>18</v>
      </c>
      <c r="BV349" s="1">
        <f t="shared" si="61"/>
        <v>28</v>
      </c>
      <c r="BW349" s="1">
        <f t="shared" si="61"/>
        <v>8</v>
      </c>
      <c r="BX349" s="1">
        <f t="shared" si="61"/>
        <v>0</v>
      </c>
      <c r="BY349" s="1">
        <f t="shared" si="61"/>
        <v>7</v>
      </c>
      <c r="BZ349" s="1">
        <f t="shared" si="61"/>
        <v>3</v>
      </c>
      <c r="CA349" s="1">
        <f t="shared" si="61"/>
        <v>4</v>
      </c>
      <c r="CB349" s="1">
        <f t="shared" si="61"/>
        <v>4</v>
      </c>
      <c r="CC349" s="1">
        <f t="shared" si="61"/>
        <v>7</v>
      </c>
      <c r="CD349" s="1">
        <f t="shared" si="61"/>
        <v>20</v>
      </c>
      <c r="CE349" s="1">
        <f t="shared" si="61"/>
        <v>3</v>
      </c>
      <c r="CF349" s="1">
        <f t="shared" si="61"/>
        <v>19</v>
      </c>
      <c r="CG349" s="1">
        <f t="shared" si="61"/>
        <v>11</v>
      </c>
      <c r="CH349" s="1">
        <f t="shared" si="61"/>
        <v>1</v>
      </c>
      <c r="CI349" s="1">
        <f t="shared" si="61"/>
        <v>6</v>
      </c>
      <c r="CJ349" s="1">
        <f t="shared" si="61"/>
        <v>6</v>
      </c>
      <c r="CK349" s="1">
        <f t="shared" si="61"/>
        <v>6</v>
      </c>
      <c r="CL349" s="1">
        <f t="shared" si="61"/>
        <v>5</v>
      </c>
      <c r="CM349" s="1">
        <f t="shared" si="61"/>
        <v>0</v>
      </c>
      <c r="CN349" s="1">
        <f t="shared" si="61"/>
        <v>0</v>
      </c>
      <c r="CO349" s="1">
        <f t="shared" si="61"/>
        <v>0</v>
      </c>
      <c r="CP349" s="1">
        <f t="shared" si="61"/>
        <v>4</v>
      </c>
      <c r="CQ349" s="1">
        <f t="shared" si="61"/>
        <v>7</v>
      </c>
      <c r="CR349" s="1">
        <f t="shared" si="61"/>
        <v>1</v>
      </c>
      <c r="CS349" s="1">
        <f t="shared" si="61"/>
        <v>6</v>
      </c>
      <c r="CT349" s="1">
        <f t="shared" si="61"/>
        <v>4</v>
      </c>
      <c r="CU349" s="1">
        <f t="shared" si="61"/>
        <v>21</v>
      </c>
      <c r="CV349" s="1">
        <f t="shared" si="61"/>
        <v>6</v>
      </c>
      <c r="CW349" s="1">
        <f t="shared" si="61"/>
        <v>6</v>
      </c>
      <c r="CX349" s="1">
        <f t="shared" si="61"/>
        <v>0</v>
      </c>
      <c r="CY349" s="1">
        <f t="shared" si="61"/>
        <v>0</v>
      </c>
      <c r="CZ349" s="1">
        <f t="shared" si="61"/>
        <v>3</v>
      </c>
      <c r="DA349" s="1">
        <f t="shared" si="61"/>
        <v>1</v>
      </c>
      <c r="DB349" s="1">
        <f t="shared" si="61"/>
        <v>1</v>
      </c>
      <c r="DC349" s="1">
        <f t="shared" si="61"/>
        <v>0</v>
      </c>
      <c r="DD349" s="1">
        <f t="shared" si="61"/>
        <v>0</v>
      </c>
      <c r="DE349" s="1">
        <f t="shared" si="61"/>
        <v>0</v>
      </c>
      <c r="DF349" s="1">
        <f t="shared" si="61"/>
        <v>1</v>
      </c>
      <c r="DG349" s="1">
        <f t="shared" si="61"/>
        <v>2</v>
      </c>
      <c r="DH349" s="1">
        <f t="shared" si="61"/>
        <v>1</v>
      </c>
      <c r="DI349" s="1">
        <f t="shared" si="61"/>
        <v>3</v>
      </c>
      <c r="DJ349" s="1">
        <f t="shared" si="61"/>
        <v>3</v>
      </c>
      <c r="DK349" s="1">
        <f t="shared" si="61"/>
        <v>3</v>
      </c>
      <c r="DL349" s="1">
        <f t="shared" si="61"/>
        <v>2</v>
      </c>
      <c r="DM349" s="1">
        <f t="shared" si="61"/>
        <v>5</v>
      </c>
      <c r="DN349" s="1">
        <f t="shared" si="61"/>
        <v>4</v>
      </c>
      <c r="DO349" s="1">
        <f t="shared" si="61"/>
        <v>3</v>
      </c>
      <c r="DP349" s="1">
        <f t="shared" si="61"/>
        <v>5</v>
      </c>
      <c r="DQ349" s="1">
        <f t="shared" si="61"/>
        <v>3</v>
      </c>
      <c r="DR349" s="1">
        <f t="shared" si="61"/>
        <v>1</v>
      </c>
      <c r="DS349" s="1">
        <f t="shared" si="61"/>
        <v>2</v>
      </c>
      <c r="DT349" s="1">
        <f t="shared" si="61"/>
        <v>1</v>
      </c>
      <c r="DU349" s="1">
        <f t="shared" si="61"/>
        <v>0</v>
      </c>
      <c r="DV349" s="1">
        <f t="shared" si="61"/>
        <v>7</v>
      </c>
      <c r="DW349" s="1">
        <f t="shared" si="61"/>
        <v>5</v>
      </c>
      <c r="DX349" s="1">
        <f t="shared" si="61"/>
        <v>0</v>
      </c>
      <c r="DY349" s="1">
        <f t="shared" si="61"/>
        <v>3</v>
      </c>
      <c r="DZ349" s="1">
        <f t="shared" si="61"/>
        <v>2</v>
      </c>
      <c r="EA349" s="1">
        <f t="shared" si="61"/>
        <v>3</v>
      </c>
      <c r="EB349" s="1">
        <f t="shared" si="61"/>
        <v>1</v>
      </c>
      <c r="EC349" s="1">
        <f t="shared" ref="EC349:GN349" si="62">EC352+EC355+EC358+EC361+EC364+EC367+EC370+EC373+EC376+EC379+EC382+EC385+EC388+EC391+EC394+EC397</f>
        <v>1</v>
      </c>
      <c r="ED349" s="1">
        <f t="shared" si="62"/>
        <v>3</v>
      </c>
      <c r="EE349" s="1">
        <f t="shared" si="62"/>
        <v>3</v>
      </c>
      <c r="EF349" s="1">
        <f t="shared" si="62"/>
        <v>2</v>
      </c>
      <c r="EG349" s="1">
        <f t="shared" si="62"/>
        <v>2</v>
      </c>
      <c r="EH349" s="1">
        <f t="shared" si="62"/>
        <v>2</v>
      </c>
      <c r="EI349" s="1">
        <f t="shared" si="62"/>
        <v>1</v>
      </c>
      <c r="EJ349" s="1">
        <f t="shared" si="62"/>
        <v>4</v>
      </c>
      <c r="EK349" s="1">
        <f t="shared" si="62"/>
        <v>2</v>
      </c>
      <c r="EL349" s="1">
        <f t="shared" si="62"/>
        <v>0</v>
      </c>
      <c r="EM349" s="1">
        <f t="shared" si="62"/>
        <v>0</v>
      </c>
      <c r="EN349" s="1">
        <f t="shared" si="62"/>
        <v>0</v>
      </c>
      <c r="EO349" s="1">
        <f t="shared" si="62"/>
        <v>1</v>
      </c>
      <c r="EP349" s="1">
        <f t="shared" si="62"/>
        <v>0</v>
      </c>
      <c r="EQ349" s="1">
        <f t="shared" si="62"/>
        <v>0</v>
      </c>
      <c r="ER349" s="1">
        <f t="shared" si="62"/>
        <v>4</v>
      </c>
      <c r="ES349" s="1">
        <f t="shared" si="62"/>
        <v>3</v>
      </c>
      <c r="ET349" s="1">
        <f t="shared" si="62"/>
        <v>1</v>
      </c>
      <c r="EU349" s="1">
        <f t="shared" si="62"/>
        <v>1</v>
      </c>
      <c r="EV349" s="1">
        <f t="shared" si="62"/>
        <v>0</v>
      </c>
      <c r="EW349" s="1">
        <f t="shared" si="62"/>
        <v>3</v>
      </c>
      <c r="EX349" s="1">
        <f t="shared" si="62"/>
        <v>0</v>
      </c>
      <c r="EY349" s="1">
        <f t="shared" si="62"/>
        <v>1</v>
      </c>
      <c r="EZ349" s="1">
        <f t="shared" si="62"/>
        <v>3</v>
      </c>
      <c r="FA349" s="1">
        <f t="shared" si="62"/>
        <v>0</v>
      </c>
      <c r="FB349" s="1">
        <f t="shared" si="62"/>
        <v>0</v>
      </c>
      <c r="FC349" s="1">
        <f t="shared" si="62"/>
        <v>1</v>
      </c>
      <c r="FD349" s="1">
        <f t="shared" si="62"/>
        <v>0</v>
      </c>
      <c r="FE349" s="1">
        <f t="shared" si="62"/>
        <v>1</v>
      </c>
      <c r="FF349" s="1">
        <f t="shared" si="62"/>
        <v>0</v>
      </c>
      <c r="FG349" s="1">
        <f t="shared" si="62"/>
        <v>0</v>
      </c>
      <c r="FH349" s="1">
        <f t="shared" si="62"/>
        <v>0</v>
      </c>
      <c r="FI349" s="1">
        <f t="shared" si="62"/>
        <v>0</v>
      </c>
      <c r="FJ349" s="1">
        <f t="shared" si="62"/>
        <v>0</v>
      </c>
      <c r="FK349" s="1">
        <f t="shared" si="62"/>
        <v>0</v>
      </c>
      <c r="FL349" s="1">
        <f t="shared" si="62"/>
        <v>0</v>
      </c>
      <c r="FM349" s="1">
        <f t="shared" si="62"/>
        <v>0</v>
      </c>
      <c r="FN349" s="1">
        <f t="shared" si="62"/>
        <v>0</v>
      </c>
      <c r="FO349" s="1">
        <f t="shared" si="62"/>
        <v>0</v>
      </c>
      <c r="FP349" s="1">
        <f t="shared" si="62"/>
        <v>1</v>
      </c>
      <c r="FQ349" s="1">
        <f t="shared" si="62"/>
        <v>0</v>
      </c>
      <c r="FR349" s="1">
        <f t="shared" si="62"/>
        <v>0</v>
      </c>
      <c r="FS349" s="1">
        <f t="shared" si="62"/>
        <v>0</v>
      </c>
      <c r="FT349" s="1">
        <f t="shared" si="62"/>
        <v>0</v>
      </c>
      <c r="FU349" s="1">
        <f t="shared" si="62"/>
        <v>0</v>
      </c>
      <c r="FV349" s="1">
        <f t="shared" si="62"/>
        <v>0</v>
      </c>
      <c r="FW349" s="1">
        <f t="shared" si="62"/>
        <v>0</v>
      </c>
      <c r="FX349" s="1">
        <f t="shared" si="62"/>
        <v>0</v>
      </c>
      <c r="FY349" s="1">
        <f t="shared" si="62"/>
        <v>1</v>
      </c>
      <c r="FZ349" s="1">
        <f t="shared" si="62"/>
        <v>0</v>
      </c>
      <c r="GA349" s="1">
        <f t="shared" si="62"/>
        <v>0</v>
      </c>
      <c r="GB349" s="1">
        <f t="shared" si="62"/>
        <v>0</v>
      </c>
      <c r="GC349" s="1">
        <f t="shared" si="62"/>
        <v>1</v>
      </c>
      <c r="GD349" s="1">
        <f t="shared" si="62"/>
        <v>0</v>
      </c>
      <c r="GE349" s="1">
        <f t="shared" si="62"/>
        <v>0</v>
      </c>
      <c r="GF349" s="1">
        <f t="shared" si="62"/>
        <v>0</v>
      </c>
      <c r="GG349" s="1">
        <f t="shared" si="62"/>
        <v>0</v>
      </c>
      <c r="GH349" s="1">
        <f t="shared" si="62"/>
        <v>0</v>
      </c>
      <c r="GI349" s="1">
        <f t="shared" si="62"/>
        <v>0</v>
      </c>
      <c r="GJ349" s="1">
        <f t="shared" si="62"/>
        <v>0</v>
      </c>
      <c r="GK349" s="1">
        <f t="shared" si="62"/>
        <v>0</v>
      </c>
      <c r="GL349" s="1">
        <f t="shared" si="62"/>
        <v>0</v>
      </c>
      <c r="GM349" s="1">
        <f t="shared" si="62"/>
        <v>0</v>
      </c>
      <c r="GN349" s="1">
        <f t="shared" si="62"/>
        <v>0</v>
      </c>
      <c r="GO349" s="1">
        <f t="shared" ref="GO349:GS349" si="63">GO352+GO355+GO358+GO361+GO364+GO367+GO370+GO373+GO376+GO379+GO382+GO385+GO388+GO391+GO394+GO397</f>
        <v>0</v>
      </c>
      <c r="GP349" s="1">
        <f t="shared" si="63"/>
        <v>0</v>
      </c>
      <c r="GQ349" s="1">
        <f t="shared" si="63"/>
        <v>0</v>
      </c>
      <c r="GR349" s="1">
        <f t="shared" si="63"/>
        <v>0</v>
      </c>
      <c r="GS349" s="1">
        <f t="shared" si="63"/>
        <v>3</v>
      </c>
    </row>
    <row r="350" spans="1:201" x14ac:dyDescent="0.3">
      <c r="A350" t="s">
        <v>310</v>
      </c>
      <c r="B350" t="s">
        <v>311</v>
      </c>
      <c r="C350" t="s">
        <v>200</v>
      </c>
      <c r="D350" s="1">
        <v>7144</v>
      </c>
      <c r="E350" s="1">
        <v>1689</v>
      </c>
      <c r="F350">
        <v>159</v>
      </c>
      <c r="G350">
        <v>330</v>
      </c>
      <c r="H350">
        <v>518</v>
      </c>
      <c r="I350">
        <v>522</v>
      </c>
      <c r="J350">
        <v>490</v>
      </c>
      <c r="K350">
        <v>831</v>
      </c>
      <c r="L350">
        <v>363</v>
      </c>
      <c r="M350">
        <v>462</v>
      </c>
      <c r="N350">
        <v>116</v>
      </c>
      <c r="O350">
        <v>32</v>
      </c>
      <c r="P350">
        <v>33</v>
      </c>
      <c r="Q350">
        <v>543</v>
      </c>
      <c r="R350">
        <v>376</v>
      </c>
      <c r="S350">
        <v>77</v>
      </c>
      <c r="T350">
        <v>33</v>
      </c>
      <c r="U350">
        <v>8</v>
      </c>
      <c r="V350">
        <v>208</v>
      </c>
      <c r="W350">
        <v>19</v>
      </c>
      <c r="X350">
        <v>59</v>
      </c>
      <c r="Y350">
        <v>22</v>
      </c>
      <c r="Z350">
        <v>32</v>
      </c>
      <c r="AA350">
        <v>1</v>
      </c>
      <c r="AB350">
        <v>11</v>
      </c>
      <c r="AC350">
        <v>19</v>
      </c>
      <c r="AD350">
        <v>35</v>
      </c>
      <c r="AE350">
        <v>62</v>
      </c>
      <c r="AF350">
        <v>7</v>
      </c>
      <c r="AG350">
        <v>6</v>
      </c>
      <c r="AH350">
        <v>2</v>
      </c>
      <c r="AI350">
        <v>4</v>
      </c>
      <c r="AJ350">
        <v>5</v>
      </c>
      <c r="AK350">
        <v>3</v>
      </c>
      <c r="AL350">
        <v>4</v>
      </c>
      <c r="AM350">
        <v>2</v>
      </c>
      <c r="AN350">
        <v>5</v>
      </c>
      <c r="AO350">
        <v>0</v>
      </c>
      <c r="AP350">
        <v>9</v>
      </c>
      <c r="AQ350">
        <v>4</v>
      </c>
      <c r="AR350">
        <v>0</v>
      </c>
      <c r="AS350">
        <v>8</v>
      </c>
      <c r="AT350">
        <v>2</v>
      </c>
      <c r="AU350">
        <v>2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4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2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3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2</v>
      </c>
      <c r="CG350">
        <v>2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0</v>
      </c>
      <c r="CZ350">
        <v>0</v>
      </c>
      <c r="DA350">
        <v>1</v>
      </c>
      <c r="DB350">
        <v>4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2</v>
      </c>
      <c r="DN350">
        <v>0</v>
      </c>
      <c r="DO350">
        <v>0</v>
      </c>
      <c r="DP350">
        <v>0</v>
      </c>
      <c r="DQ350">
        <v>1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5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</row>
    <row r="351" spans="1:201" x14ac:dyDescent="0.3">
      <c r="A351" t="s">
        <v>310</v>
      </c>
      <c r="B351" t="s">
        <v>311</v>
      </c>
      <c r="C351" t="s">
        <v>203</v>
      </c>
      <c r="D351" s="1">
        <v>6117</v>
      </c>
      <c r="E351" s="1">
        <v>1400</v>
      </c>
      <c r="F351">
        <v>98</v>
      </c>
      <c r="G351">
        <v>185</v>
      </c>
      <c r="H351">
        <v>485</v>
      </c>
      <c r="I351">
        <v>483</v>
      </c>
      <c r="J351">
        <v>447</v>
      </c>
      <c r="K351">
        <v>811</v>
      </c>
      <c r="L351">
        <v>348</v>
      </c>
      <c r="M351">
        <v>414</v>
      </c>
      <c r="N351">
        <v>95</v>
      </c>
      <c r="O351">
        <v>21</v>
      </c>
      <c r="P351">
        <v>19</v>
      </c>
      <c r="Q351">
        <v>512</v>
      </c>
      <c r="R351">
        <v>332</v>
      </c>
      <c r="S351">
        <v>19</v>
      </c>
      <c r="T351">
        <v>17</v>
      </c>
      <c r="U351">
        <v>5</v>
      </c>
      <c r="V351">
        <v>189</v>
      </c>
      <c r="W351">
        <v>7</v>
      </c>
      <c r="X351">
        <v>42</v>
      </c>
      <c r="Y351">
        <v>14</v>
      </c>
      <c r="Z351">
        <v>26</v>
      </c>
      <c r="AA351">
        <v>0</v>
      </c>
      <c r="AB351">
        <v>6</v>
      </c>
      <c r="AC351">
        <v>12</v>
      </c>
      <c r="AD351">
        <v>15</v>
      </c>
      <c r="AE351">
        <v>62</v>
      </c>
      <c r="AF351">
        <v>6</v>
      </c>
      <c r="AG351">
        <v>2</v>
      </c>
      <c r="AH351">
        <v>1</v>
      </c>
      <c r="AI351">
        <v>1</v>
      </c>
      <c r="AJ351">
        <v>3</v>
      </c>
      <c r="AK351">
        <v>2</v>
      </c>
      <c r="AL351">
        <v>1</v>
      </c>
      <c r="AM351">
        <v>1</v>
      </c>
      <c r="AN351">
        <v>5</v>
      </c>
      <c r="AO351">
        <v>0</v>
      </c>
      <c r="AP351">
        <v>7</v>
      </c>
      <c r="AQ351">
        <v>0</v>
      </c>
      <c r="AR351">
        <v>0</v>
      </c>
      <c r="AS351">
        <v>6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1</v>
      </c>
      <c r="AZ351">
        <v>0</v>
      </c>
      <c r="BA351">
        <v>3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1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1</v>
      </c>
      <c r="CG351">
        <v>1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1</v>
      </c>
      <c r="DB351">
        <v>3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2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</row>
    <row r="352" spans="1:201" x14ac:dyDescent="0.3">
      <c r="A352" t="s">
        <v>310</v>
      </c>
      <c r="B352" t="s">
        <v>311</v>
      </c>
      <c r="C352" t="s">
        <v>204</v>
      </c>
      <c r="D352" s="1">
        <v>1027</v>
      </c>
      <c r="E352">
        <v>289</v>
      </c>
      <c r="F352">
        <v>61</v>
      </c>
      <c r="G352">
        <v>145</v>
      </c>
      <c r="H352">
        <v>33</v>
      </c>
      <c r="I352">
        <v>39</v>
      </c>
      <c r="J352">
        <v>43</v>
      </c>
      <c r="K352">
        <v>20</v>
      </c>
      <c r="L352">
        <v>15</v>
      </c>
      <c r="M352">
        <v>48</v>
      </c>
      <c r="N352">
        <v>21</v>
      </c>
      <c r="O352">
        <v>11</v>
      </c>
      <c r="P352">
        <v>14</v>
      </c>
      <c r="Q352">
        <v>31</v>
      </c>
      <c r="R352">
        <v>44</v>
      </c>
      <c r="S352">
        <v>58</v>
      </c>
      <c r="T352">
        <v>16</v>
      </c>
      <c r="U352">
        <v>3</v>
      </c>
      <c r="V352">
        <v>19</v>
      </c>
      <c r="W352">
        <v>12</v>
      </c>
      <c r="X352">
        <v>17</v>
      </c>
      <c r="Y352">
        <v>8</v>
      </c>
      <c r="Z352">
        <v>6</v>
      </c>
      <c r="AA352">
        <v>1</v>
      </c>
      <c r="AB352">
        <v>5</v>
      </c>
      <c r="AC352">
        <v>7</v>
      </c>
      <c r="AD352">
        <v>20</v>
      </c>
      <c r="AE352">
        <v>0</v>
      </c>
      <c r="AF352">
        <v>1</v>
      </c>
      <c r="AG352">
        <v>4</v>
      </c>
      <c r="AH352">
        <v>1</v>
      </c>
      <c r="AI352">
        <v>3</v>
      </c>
      <c r="AJ352">
        <v>2</v>
      </c>
      <c r="AK352">
        <v>1</v>
      </c>
      <c r="AL352">
        <v>3</v>
      </c>
      <c r="AM352">
        <v>1</v>
      </c>
      <c r="AN352">
        <v>0</v>
      </c>
      <c r="AO352">
        <v>0</v>
      </c>
      <c r="AP352">
        <v>2</v>
      </c>
      <c r="AQ352">
        <v>4</v>
      </c>
      <c r="AR352">
        <v>0</v>
      </c>
      <c r="AS352">
        <v>2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2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1</v>
      </c>
      <c r="CG352">
        <v>1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1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2</v>
      </c>
      <c r="DN352">
        <v>0</v>
      </c>
      <c r="DO352">
        <v>0</v>
      </c>
      <c r="DP352">
        <v>0</v>
      </c>
      <c r="DQ352">
        <v>1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3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</row>
    <row r="353" spans="1:201" x14ac:dyDescent="0.3">
      <c r="A353" t="s">
        <v>310</v>
      </c>
      <c r="B353" t="s">
        <v>312</v>
      </c>
      <c r="C353" t="s">
        <v>200</v>
      </c>
      <c r="D353" s="1">
        <v>5133</v>
      </c>
      <c r="E353" s="1">
        <v>1075</v>
      </c>
      <c r="F353">
        <v>85</v>
      </c>
      <c r="G353" s="1">
        <v>1254</v>
      </c>
      <c r="H353">
        <v>138</v>
      </c>
      <c r="I353">
        <v>331</v>
      </c>
      <c r="J353">
        <v>62</v>
      </c>
      <c r="K353">
        <v>122</v>
      </c>
      <c r="L353">
        <v>210</v>
      </c>
      <c r="M353">
        <v>48</v>
      </c>
      <c r="N353">
        <v>50</v>
      </c>
      <c r="O353">
        <v>137</v>
      </c>
      <c r="P353">
        <v>72</v>
      </c>
      <c r="Q353">
        <v>68</v>
      </c>
      <c r="R353">
        <v>80</v>
      </c>
      <c r="S353">
        <v>207</v>
      </c>
      <c r="T353">
        <v>114</v>
      </c>
      <c r="U353">
        <v>137</v>
      </c>
      <c r="V353">
        <v>71</v>
      </c>
      <c r="W353">
        <v>64</v>
      </c>
      <c r="X353">
        <v>163</v>
      </c>
      <c r="Y353">
        <v>7</v>
      </c>
      <c r="Z353">
        <v>49</v>
      </c>
      <c r="AA353">
        <v>53</v>
      </c>
      <c r="AB353">
        <v>14</v>
      </c>
      <c r="AC353">
        <v>16</v>
      </c>
      <c r="AD353">
        <v>13</v>
      </c>
      <c r="AE353">
        <v>5</v>
      </c>
      <c r="AF353">
        <v>18</v>
      </c>
      <c r="AG353">
        <v>25</v>
      </c>
      <c r="AH353">
        <v>51</v>
      </c>
      <c r="AI353">
        <v>17</v>
      </c>
      <c r="AJ353">
        <v>1</v>
      </c>
      <c r="AK353">
        <v>21</v>
      </c>
      <c r="AL353">
        <v>17</v>
      </c>
      <c r="AM353">
        <v>7</v>
      </c>
      <c r="AN353">
        <v>4</v>
      </c>
      <c r="AO353">
        <v>11</v>
      </c>
      <c r="AP353">
        <v>0</v>
      </c>
      <c r="AQ353">
        <v>12</v>
      </c>
      <c r="AR353">
        <v>27</v>
      </c>
      <c r="AS353">
        <v>8</v>
      </c>
      <c r="AT353">
        <v>21</v>
      </c>
      <c r="AU353">
        <v>41</v>
      </c>
      <c r="AV353">
        <v>3</v>
      </c>
      <c r="AW353">
        <v>10</v>
      </c>
      <c r="AX353">
        <v>1</v>
      </c>
      <c r="AY353">
        <v>20</v>
      </c>
      <c r="AZ353">
        <v>0</v>
      </c>
      <c r="BA353">
        <v>1</v>
      </c>
      <c r="BB353">
        <v>0</v>
      </c>
      <c r="BC353">
        <v>9</v>
      </c>
      <c r="BD353">
        <v>1</v>
      </c>
      <c r="BE353">
        <v>3</v>
      </c>
      <c r="BF353">
        <v>2</v>
      </c>
      <c r="BG353">
        <v>4</v>
      </c>
      <c r="BH353">
        <v>8</v>
      </c>
      <c r="BI353">
        <v>6</v>
      </c>
      <c r="BJ353">
        <v>7</v>
      </c>
      <c r="BK353">
        <v>3</v>
      </c>
      <c r="BL353">
        <v>8</v>
      </c>
      <c r="BM353">
        <v>2</v>
      </c>
      <c r="BN353">
        <v>2</v>
      </c>
      <c r="BO353">
        <v>1</v>
      </c>
      <c r="BP353">
        <v>0</v>
      </c>
      <c r="BQ353">
        <v>3</v>
      </c>
      <c r="BR353">
        <v>2</v>
      </c>
      <c r="BS353">
        <v>2</v>
      </c>
      <c r="BT353">
        <v>5</v>
      </c>
      <c r="BU353">
        <v>8</v>
      </c>
      <c r="BV353">
        <v>4</v>
      </c>
      <c r="BW353">
        <v>6</v>
      </c>
      <c r="BX353">
        <v>1</v>
      </c>
      <c r="BY353">
        <v>1</v>
      </c>
      <c r="BZ353">
        <v>0</v>
      </c>
      <c r="CA353">
        <v>3</v>
      </c>
      <c r="CB353">
        <v>1</v>
      </c>
      <c r="CC353">
        <v>0</v>
      </c>
      <c r="CD353">
        <v>1</v>
      </c>
      <c r="CE353">
        <v>3</v>
      </c>
      <c r="CF353">
        <v>10</v>
      </c>
      <c r="CG353">
        <v>3</v>
      </c>
      <c r="CH353">
        <v>0</v>
      </c>
      <c r="CI353">
        <v>4</v>
      </c>
      <c r="CJ353">
        <v>0</v>
      </c>
      <c r="CK353">
        <v>3</v>
      </c>
      <c r="CL353">
        <v>3</v>
      </c>
      <c r="CM353">
        <v>0</v>
      </c>
      <c r="CN353">
        <v>0</v>
      </c>
      <c r="CO353">
        <v>0</v>
      </c>
      <c r="CP353">
        <v>2</v>
      </c>
      <c r="CQ353">
        <v>0</v>
      </c>
      <c r="CR353">
        <v>1</v>
      </c>
      <c r="CS353">
        <v>1</v>
      </c>
      <c r="CT353">
        <v>1</v>
      </c>
      <c r="CU353">
        <v>1</v>
      </c>
      <c r="CV353">
        <v>2</v>
      </c>
      <c r="CW353">
        <v>3</v>
      </c>
      <c r="CX353">
        <v>0</v>
      </c>
      <c r="CY353">
        <v>0</v>
      </c>
      <c r="CZ353">
        <v>1</v>
      </c>
      <c r="DA353">
        <v>0</v>
      </c>
      <c r="DB353">
        <v>0</v>
      </c>
      <c r="DC353">
        <v>0</v>
      </c>
      <c r="DD353">
        <v>2</v>
      </c>
      <c r="DE353">
        <v>0</v>
      </c>
      <c r="DF353">
        <v>1</v>
      </c>
      <c r="DG353">
        <v>1</v>
      </c>
      <c r="DH353">
        <v>0</v>
      </c>
      <c r="DI353">
        <v>1</v>
      </c>
      <c r="DJ353">
        <v>1</v>
      </c>
      <c r="DK353">
        <v>4</v>
      </c>
      <c r="DL353">
        <v>2</v>
      </c>
      <c r="DM353">
        <v>0</v>
      </c>
      <c r="DN353">
        <v>2</v>
      </c>
      <c r="DO353">
        <v>0</v>
      </c>
      <c r="DP353">
        <v>3</v>
      </c>
      <c r="DQ353">
        <v>4</v>
      </c>
      <c r="DR353">
        <v>2</v>
      </c>
      <c r="DS353">
        <v>0</v>
      </c>
      <c r="DT353">
        <v>1</v>
      </c>
      <c r="DU353">
        <v>0</v>
      </c>
      <c r="DV353">
        <v>4</v>
      </c>
      <c r="DW353">
        <v>0</v>
      </c>
      <c r="DX353">
        <v>0</v>
      </c>
      <c r="DY353">
        <v>0</v>
      </c>
      <c r="DZ353">
        <v>0</v>
      </c>
      <c r="EA353">
        <v>1</v>
      </c>
      <c r="EB353">
        <v>0</v>
      </c>
      <c r="EC353">
        <v>0</v>
      </c>
      <c r="ED353">
        <v>2</v>
      </c>
      <c r="EE353">
        <v>1</v>
      </c>
      <c r="EF353">
        <v>0</v>
      </c>
      <c r="EG353">
        <v>0</v>
      </c>
      <c r="EH353">
        <v>0</v>
      </c>
      <c r="EI353">
        <v>0</v>
      </c>
      <c r="EJ353">
        <v>1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1</v>
      </c>
      <c r="EU353">
        <v>1</v>
      </c>
      <c r="EV353">
        <v>0</v>
      </c>
      <c r="EW353">
        <v>2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2</v>
      </c>
      <c r="FD353">
        <v>0</v>
      </c>
      <c r="FE353">
        <v>0</v>
      </c>
      <c r="FF353">
        <v>0</v>
      </c>
      <c r="FG353">
        <v>0</v>
      </c>
      <c r="FH353">
        <v>2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</row>
    <row r="354" spans="1:201" x14ac:dyDescent="0.3">
      <c r="A354" t="s">
        <v>310</v>
      </c>
      <c r="B354" t="s">
        <v>312</v>
      </c>
      <c r="C354" t="s">
        <v>203</v>
      </c>
      <c r="D354" s="1">
        <v>2033</v>
      </c>
      <c r="E354">
        <v>396</v>
      </c>
      <c r="F354">
        <v>34</v>
      </c>
      <c r="G354">
        <v>434</v>
      </c>
      <c r="H354">
        <v>91</v>
      </c>
      <c r="I354">
        <v>221</v>
      </c>
      <c r="J354">
        <v>32</v>
      </c>
      <c r="K354">
        <v>58</v>
      </c>
      <c r="L354">
        <v>74</v>
      </c>
      <c r="M354">
        <v>8</v>
      </c>
      <c r="N354">
        <v>6</v>
      </c>
      <c r="O354">
        <v>53</v>
      </c>
      <c r="P354">
        <v>32</v>
      </c>
      <c r="Q354">
        <v>24</v>
      </c>
      <c r="R354">
        <v>58</v>
      </c>
      <c r="S354">
        <v>27</v>
      </c>
      <c r="T354">
        <v>26</v>
      </c>
      <c r="U354">
        <v>54</v>
      </c>
      <c r="V354">
        <v>53</v>
      </c>
      <c r="W354">
        <v>20</v>
      </c>
      <c r="X354">
        <v>85</v>
      </c>
      <c r="Y354">
        <v>2</v>
      </c>
      <c r="Z354">
        <v>19</v>
      </c>
      <c r="AA354">
        <v>21</v>
      </c>
      <c r="AB354">
        <v>1</v>
      </c>
      <c r="AC354">
        <v>10</v>
      </c>
      <c r="AD354">
        <v>4</v>
      </c>
      <c r="AE354">
        <v>1</v>
      </c>
      <c r="AF354">
        <v>11</v>
      </c>
      <c r="AG354">
        <v>4</v>
      </c>
      <c r="AH354">
        <v>19</v>
      </c>
      <c r="AI354">
        <v>6</v>
      </c>
      <c r="AJ354">
        <v>0</v>
      </c>
      <c r="AK354">
        <v>14</v>
      </c>
      <c r="AL354">
        <v>3</v>
      </c>
      <c r="AM354">
        <v>2</v>
      </c>
      <c r="AN354">
        <v>3</v>
      </c>
      <c r="AO354">
        <v>5</v>
      </c>
      <c r="AP354">
        <v>0</v>
      </c>
      <c r="AQ354">
        <v>6</v>
      </c>
      <c r="AR354">
        <v>21</v>
      </c>
      <c r="AS354">
        <v>3</v>
      </c>
      <c r="AT354">
        <v>5</v>
      </c>
      <c r="AU354">
        <v>19</v>
      </c>
      <c r="AV354">
        <v>0</v>
      </c>
      <c r="AW354">
        <v>6</v>
      </c>
      <c r="AX354">
        <v>0</v>
      </c>
      <c r="AY354">
        <v>2</v>
      </c>
      <c r="AZ354">
        <v>0</v>
      </c>
      <c r="BA354">
        <v>0</v>
      </c>
      <c r="BB354">
        <v>0</v>
      </c>
      <c r="BC354">
        <v>3</v>
      </c>
      <c r="BD354">
        <v>0</v>
      </c>
      <c r="BE354">
        <v>1</v>
      </c>
      <c r="BF354">
        <v>0</v>
      </c>
      <c r="BG354">
        <v>3</v>
      </c>
      <c r="BH354">
        <v>1</v>
      </c>
      <c r="BI354">
        <v>1</v>
      </c>
      <c r="BJ354">
        <v>1</v>
      </c>
      <c r="BK354">
        <v>3</v>
      </c>
      <c r="BL354">
        <v>3</v>
      </c>
      <c r="BM354">
        <v>1</v>
      </c>
      <c r="BN354">
        <v>1</v>
      </c>
      <c r="BO354">
        <v>0</v>
      </c>
      <c r="BP354">
        <v>0</v>
      </c>
      <c r="BQ354">
        <v>0</v>
      </c>
      <c r="BR354">
        <v>1</v>
      </c>
      <c r="BS354">
        <v>1</v>
      </c>
      <c r="BT354">
        <v>2</v>
      </c>
      <c r="BU354">
        <v>3</v>
      </c>
      <c r="BV354">
        <v>1</v>
      </c>
      <c r="BW354">
        <v>2</v>
      </c>
      <c r="BX354">
        <v>1</v>
      </c>
      <c r="BY354">
        <v>1</v>
      </c>
      <c r="BZ354">
        <v>0</v>
      </c>
      <c r="CA354">
        <v>2</v>
      </c>
      <c r="CB354">
        <v>0</v>
      </c>
      <c r="CC354">
        <v>0</v>
      </c>
      <c r="CD354">
        <v>0</v>
      </c>
      <c r="CE354">
        <v>1</v>
      </c>
      <c r="CF354">
        <v>4</v>
      </c>
      <c r="CG354">
        <v>2</v>
      </c>
      <c r="CH354">
        <v>0</v>
      </c>
      <c r="CI354">
        <v>2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2</v>
      </c>
      <c r="CQ354">
        <v>0</v>
      </c>
      <c r="CR354">
        <v>0</v>
      </c>
      <c r="CS354">
        <v>1</v>
      </c>
      <c r="CT354">
        <v>1</v>
      </c>
      <c r="CU354">
        <v>0</v>
      </c>
      <c r="CV354">
        <v>1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2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1</v>
      </c>
      <c r="DL354">
        <v>1</v>
      </c>
      <c r="DM354">
        <v>0</v>
      </c>
      <c r="DN354">
        <v>0</v>
      </c>
      <c r="DO354">
        <v>0</v>
      </c>
      <c r="DP354">
        <v>0</v>
      </c>
      <c r="DQ354">
        <v>3</v>
      </c>
      <c r="DR354">
        <v>2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1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1</v>
      </c>
      <c r="FD354">
        <v>0</v>
      </c>
      <c r="FE354">
        <v>0</v>
      </c>
      <c r="FF354">
        <v>0</v>
      </c>
      <c r="FG354">
        <v>0</v>
      </c>
      <c r="FH354">
        <v>2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</row>
    <row r="355" spans="1:201" x14ac:dyDescent="0.3">
      <c r="A355" t="s">
        <v>310</v>
      </c>
      <c r="B355" t="s">
        <v>312</v>
      </c>
      <c r="C355" t="s">
        <v>204</v>
      </c>
      <c r="D355" s="1">
        <v>3100</v>
      </c>
      <c r="E355">
        <v>679</v>
      </c>
      <c r="F355">
        <v>51</v>
      </c>
      <c r="G355">
        <v>820</v>
      </c>
      <c r="H355">
        <v>47</v>
      </c>
      <c r="I355">
        <v>110</v>
      </c>
      <c r="J355">
        <v>30</v>
      </c>
      <c r="K355">
        <v>64</v>
      </c>
      <c r="L355">
        <v>136</v>
      </c>
      <c r="M355">
        <v>40</v>
      </c>
      <c r="N355">
        <v>44</v>
      </c>
      <c r="O355">
        <v>84</v>
      </c>
      <c r="P355">
        <v>40</v>
      </c>
      <c r="Q355">
        <v>44</v>
      </c>
      <c r="R355">
        <v>22</v>
      </c>
      <c r="S355">
        <v>180</v>
      </c>
      <c r="T355">
        <v>88</v>
      </c>
      <c r="U355">
        <v>83</v>
      </c>
      <c r="V355">
        <v>18</v>
      </c>
      <c r="W355">
        <v>44</v>
      </c>
      <c r="X355">
        <v>78</v>
      </c>
      <c r="Y355">
        <v>5</v>
      </c>
      <c r="Z355">
        <v>30</v>
      </c>
      <c r="AA355">
        <v>32</v>
      </c>
      <c r="AB355">
        <v>13</v>
      </c>
      <c r="AC355">
        <v>6</v>
      </c>
      <c r="AD355">
        <v>9</v>
      </c>
      <c r="AE355">
        <v>4</v>
      </c>
      <c r="AF355">
        <v>7</v>
      </c>
      <c r="AG355">
        <v>21</v>
      </c>
      <c r="AH355">
        <v>32</v>
      </c>
      <c r="AI355">
        <v>11</v>
      </c>
      <c r="AJ355">
        <v>1</v>
      </c>
      <c r="AK355">
        <v>7</v>
      </c>
      <c r="AL355">
        <v>14</v>
      </c>
      <c r="AM355">
        <v>5</v>
      </c>
      <c r="AN355">
        <v>1</v>
      </c>
      <c r="AO355">
        <v>6</v>
      </c>
      <c r="AP355">
        <v>0</v>
      </c>
      <c r="AQ355">
        <v>6</v>
      </c>
      <c r="AR355">
        <v>6</v>
      </c>
      <c r="AS355">
        <v>5</v>
      </c>
      <c r="AT355">
        <v>16</v>
      </c>
      <c r="AU355">
        <v>22</v>
      </c>
      <c r="AV355">
        <v>3</v>
      </c>
      <c r="AW355">
        <v>4</v>
      </c>
      <c r="AX355">
        <v>1</v>
      </c>
      <c r="AY355">
        <v>18</v>
      </c>
      <c r="AZ355">
        <v>0</v>
      </c>
      <c r="BA355">
        <v>1</v>
      </c>
      <c r="BB355">
        <v>0</v>
      </c>
      <c r="BC355">
        <v>6</v>
      </c>
      <c r="BD355">
        <v>1</v>
      </c>
      <c r="BE355">
        <v>2</v>
      </c>
      <c r="BF355">
        <v>2</v>
      </c>
      <c r="BG355">
        <v>1</v>
      </c>
      <c r="BH355">
        <v>7</v>
      </c>
      <c r="BI355">
        <v>5</v>
      </c>
      <c r="BJ355">
        <v>6</v>
      </c>
      <c r="BK355">
        <v>0</v>
      </c>
      <c r="BL355">
        <v>5</v>
      </c>
      <c r="BM355">
        <v>1</v>
      </c>
      <c r="BN355">
        <v>1</v>
      </c>
      <c r="BO355">
        <v>1</v>
      </c>
      <c r="BP355">
        <v>0</v>
      </c>
      <c r="BQ355">
        <v>3</v>
      </c>
      <c r="BR355">
        <v>1</v>
      </c>
      <c r="BS355">
        <v>1</v>
      </c>
      <c r="BT355">
        <v>3</v>
      </c>
      <c r="BU355">
        <v>5</v>
      </c>
      <c r="BV355">
        <v>3</v>
      </c>
      <c r="BW355">
        <v>4</v>
      </c>
      <c r="BX355">
        <v>0</v>
      </c>
      <c r="BY355">
        <v>0</v>
      </c>
      <c r="BZ355">
        <v>0</v>
      </c>
      <c r="CA355">
        <v>1</v>
      </c>
      <c r="CB355">
        <v>1</v>
      </c>
      <c r="CC355">
        <v>0</v>
      </c>
      <c r="CD355">
        <v>1</v>
      </c>
      <c r="CE355">
        <v>2</v>
      </c>
      <c r="CF355">
        <v>6</v>
      </c>
      <c r="CG355">
        <v>1</v>
      </c>
      <c r="CH355">
        <v>0</v>
      </c>
      <c r="CI355">
        <v>2</v>
      </c>
      <c r="CJ355">
        <v>0</v>
      </c>
      <c r="CK355">
        <v>3</v>
      </c>
      <c r="CL355">
        <v>3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1</v>
      </c>
      <c r="CV355">
        <v>1</v>
      </c>
      <c r="CW355">
        <v>2</v>
      </c>
      <c r="CX355">
        <v>0</v>
      </c>
      <c r="CY355">
        <v>0</v>
      </c>
      <c r="CZ355">
        <v>1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1</v>
      </c>
      <c r="DG355">
        <v>1</v>
      </c>
      <c r="DH355">
        <v>0</v>
      </c>
      <c r="DI355">
        <v>1</v>
      </c>
      <c r="DJ355">
        <v>1</v>
      </c>
      <c r="DK355">
        <v>3</v>
      </c>
      <c r="DL355">
        <v>1</v>
      </c>
      <c r="DM355">
        <v>0</v>
      </c>
      <c r="DN355">
        <v>2</v>
      </c>
      <c r="DO355">
        <v>0</v>
      </c>
      <c r="DP355">
        <v>3</v>
      </c>
      <c r="DQ355">
        <v>1</v>
      </c>
      <c r="DR355">
        <v>0</v>
      </c>
      <c r="DS355">
        <v>0</v>
      </c>
      <c r="DT355">
        <v>1</v>
      </c>
      <c r="DU355">
        <v>0</v>
      </c>
      <c r="DV355">
        <v>4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0</v>
      </c>
      <c r="EC355">
        <v>0</v>
      </c>
      <c r="ED355">
        <v>2</v>
      </c>
      <c r="EE355">
        <v>1</v>
      </c>
      <c r="EF355">
        <v>0</v>
      </c>
      <c r="EG355">
        <v>0</v>
      </c>
      <c r="EH355">
        <v>0</v>
      </c>
      <c r="EI355">
        <v>0</v>
      </c>
      <c r="EJ355">
        <v>1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1</v>
      </c>
      <c r="EU355">
        <v>0</v>
      </c>
      <c r="EV355">
        <v>0</v>
      </c>
      <c r="EW355">
        <v>2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1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</row>
    <row r="356" spans="1:201" x14ac:dyDescent="0.3">
      <c r="A356" t="s">
        <v>310</v>
      </c>
      <c r="B356" t="s">
        <v>313</v>
      </c>
      <c r="C356" t="s">
        <v>200</v>
      </c>
      <c r="D356" s="1">
        <v>3150</v>
      </c>
      <c r="E356">
        <v>693</v>
      </c>
      <c r="F356">
        <v>104</v>
      </c>
      <c r="G356">
        <v>228</v>
      </c>
      <c r="H356">
        <v>279</v>
      </c>
      <c r="I356">
        <v>98</v>
      </c>
      <c r="J356">
        <v>157</v>
      </c>
      <c r="K356">
        <v>381</v>
      </c>
      <c r="L356">
        <v>145</v>
      </c>
      <c r="M356">
        <v>151</v>
      </c>
      <c r="N356">
        <v>116</v>
      </c>
      <c r="O356">
        <v>19</v>
      </c>
      <c r="P356">
        <v>46</v>
      </c>
      <c r="Q356">
        <v>206</v>
      </c>
      <c r="R356">
        <v>45</v>
      </c>
      <c r="S356">
        <v>89</v>
      </c>
      <c r="T356">
        <v>46</v>
      </c>
      <c r="U356">
        <v>3</v>
      </c>
      <c r="V356">
        <v>97</v>
      </c>
      <c r="W356">
        <v>14</v>
      </c>
      <c r="X356">
        <v>18</v>
      </c>
      <c r="Y356">
        <v>27</v>
      </c>
      <c r="Z356">
        <v>7</v>
      </c>
      <c r="AA356">
        <v>10</v>
      </c>
      <c r="AB356">
        <v>0</v>
      </c>
      <c r="AC356">
        <v>15</v>
      </c>
      <c r="AD356">
        <v>26</v>
      </c>
      <c r="AE356">
        <v>7</v>
      </c>
      <c r="AF356">
        <v>20</v>
      </c>
      <c r="AG356">
        <v>3</v>
      </c>
      <c r="AH356">
        <v>3</v>
      </c>
      <c r="AI356">
        <v>1</v>
      </c>
      <c r="AJ356">
        <v>10</v>
      </c>
      <c r="AK356">
        <v>0</v>
      </c>
      <c r="AL356">
        <v>15</v>
      </c>
      <c r="AM356">
        <v>2</v>
      </c>
      <c r="AN356">
        <v>3</v>
      </c>
      <c r="AO356">
        <v>0</v>
      </c>
      <c r="AP356">
        <v>9</v>
      </c>
      <c r="AQ356">
        <v>2</v>
      </c>
      <c r="AR356">
        <v>0</v>
      </c>
      <c r="AS356">
        <v>4</v>
      </c>
      <c r="AT356">
        <v>2</v>
      </c>
      <c r="AU356">
        <v>5</v>
      </c>
      <c r="AV356">
        <v>0</v>
      </c>
      <c r="AW356">
        <v>2</v>
      </c>
      <c r="AX356">
        <v>0</v>
      </c>
      <c r="AY356">
        <v>1</v>
      </c>
      <c r="AZ356">
        <v>0</v>
      </c>
      <c r="BA356">
        <v>1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4</v>
      </c>
      <c r="BH356">
        <v>2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2</v>
      </c>
      <c r="BO356">
        <v>0</v>
      </c>
      <c r="BP356">
        <v>3</v>
      </c>
      <c r="BQ356">
        <v>2</v>
      </c>
      <c r="BR356">
        <v>1</v>
      </c>
      <c r="BS356">
        <v>3</v>
      </c>
      <c r="BT356">
        <v>0</v>
      </c>
      <c r="BU356">
        <v>0</v>
      </c>
      <c r="BV356">
        <v>0</v>
      </c>
      <c r="BW356">
        <v>1</v>
      </c>
      <c r="BX356">
        <v>0</v>
      </c>
      <c r="BY356">
        <v>1</v>
      </c>
      <c r="BZ356">
        <v>1</v>
      </c>
      <c r="CA356">
        <v>1</v>
      </c>
      <c r="CB356">
        <v>0</v>
      </c>
      <c r="CC356">
        <v>0</v>
      </c>
      <c r="CD356">
        <v>4</v>
      </c>
      <c r="CE356">
        <v>0</v>
      </c>
      <c r="CF356">
        <v>1</v>
      </c>
      <c r="CG356">
        <v>0</v>
      </c>
      <c r="CH356">
        <v>0</v>
      </c>
      <c r="CI356">
        <v>0</v>
      </c>
      <c r="CJ356">
        <v>5</v>
      </c>
      <c r="CK356">
        <v>2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2</v>
      </c>
      <c r="CR356">
        <v>0</v>
      </c>
      <c r="CS356">
        <v>0</v>
      </c>
      <c r="CT356">
        <v>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1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1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1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1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</row>
    <row r="357" spans="1:201" x14ac:dyDescent="0.3">
      <c r="A357" t="s">
        <v>310</v>
      </c>
      <c r="B357" t="s">
        <v>313</v>
      </c>
      <c r="C357" t="s">
        <v>203</v>
      </c>
      <c r="D357" s="1">
        <v>2236</v>
      </c>
      <c r="E357">
        <v>487</v>
      </c>
      <c r="F357">
        <v>62</v>
      </c>
      <c r="G357">
        <v>74</v>
      </c>
      <c r="H357">
        <v>234</v>
      </c>
      <c r="I357">
        <v>77</v>
      </c>
      <c r="J357">
        <v>120</v>
      </c>
      <c r="K357">
        <v>354</v>
      </c>
      <c r="L357">
        <v>140</v>
      </c>
      <c r="M357">
        <v>99</v>
      </c>
      <c r="N357">
        <v>67</v>
      </c>
      <c r="O357">
        <v>7</v>
      </c>
      <c r="P357">
        <v>29</v>
      </c>
      <c r="Q357">
        <v>186</v>
      </c>
      <c r="R357">
        <v>45</v>
      </c>
      <c r="S357">
        <v>19</v>
      </c>
      <c r="T357">
        <v>12</v>
      </c>
      <c r="U357">
        <v>1</v>
      </c>
      <c r="V357">
        <v>88</v>
      </c>
      <c r="W357">
        <v>4</v>
      </c>
      <c r="X357">
        <v>12</v>
      </c>
      <c r="Y357">
        <v>18</v>
      </c>
      <c r="Z357">
        <v>5</v>
      </c>
      <c r="AA357">
        <v>6</v>
      </c>
      <c r="AB357">
        <v>0</v>
      </c>
      <c r="AC357">
        <v>12</v>
      </c>
      <c r="AD357">
        <v>9</v>
      </c>
      <c r="AE357">
        <v>7</v>
      </c>
      <c r="AF357">
        <v>13</v>
      </c>
      <c r="AG357">
        <v>1</v>
      </c>
      <c r="AH357">
        <v>3</v>
      </c>
      <c r="AI357">
        <v>1</v>
      </c>
      <c r="AJ357">
        <v>6</v>
      </c>
      <c r="AK357">
        <v>0</v>
      </c>
      <c r="AL357">
        <v>3</v>
      </c>
      <c r="AM357">
        <v>0</v>
      </c>
      <c r="AN357">
        <v>2</v>
      </c>
      <c r="AO357">
        <v>0</v>
      </c>
      <c r="AP357">
        <v>5</v>
      </c>
      <c r="AQ357">
        <v>0</v>
      </c>
      <c r="AR357">
        <v>0</v>
      </c>
      <c r="AS357">
        <v>1</v>
      </c>
      <c r="AT357">
        <v>2</v>
      </c>
      <c r="AU357">
        <v>2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2</v>
      </c>
      <c r="BO357">
        <v>0</v>
      </c>
      <c r="BP357">
        <v>2</v>
      </c>
      <c r="BQ357">
        <v>2</v>
      </c>
      <c r="BR357">
        <v>0</v>
      </c>
      <c r="BS357">
        <v>2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1</v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1</v>
      </c>
      <c r="CG357">
        <v>0</v>
      </c>
      <c r="CH357">
        <v>0</v>
      </c>
      <c r="CI357">
        <v>0</v>
      </c>
      <c r="CJ357">
        <v>4</v>
      </c>
      <c r="CK357">
        <v>2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1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1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</row>
    <row r="358" spans="1:201" x14ac:dyDescent="0.3">
      <c r="A358" t="s">
        <v>310</v>
      </c>
      <c r="B358" t="s">
        <v>313</v>
      </c>
      <c r="C358" t="s">
        <v>204</v>
      </c>
      <c r="D358">
        <v>914</v>
      </c>
      <c r="E358">
        <v>206</v>
      </c>
      <c r="F358">
        <v>42</v>
      </c>
      <c r="G358">
        <v>154</v>
      </c>
      <c r="H358">
        <v>45</v>
      </c>
      <c r="I358">
        <v>21</v>
      </c>
      <c r="J358">
        <v>37</v>
      </c>
      <c r="K358">
        <v>27</v>
      </c>
      <c r="L358">
        <v>5</v>
      </c>
      <c r="M358">
        <v>52</v>
      </c>
      <c r="N358">
        <v>49</v>
      </c>
      <c r="O358">
        <v>12</v>
      </c>
      <c r="P358">
        <v>17</v>
      </c>
      <c r="Q358">
        <v>20</v>
      </c>
      <c r="R358">
        <v>0</v>
      </c>
      <c r="S358">
        <v>70</v>
      </c>
      <c r="T358">
        <v>34</v>
      </c>
      <c r="U358">
        <v>2</v>
      </c>
      <c r="V358">
        <v>9</v>
      </c>
      <c r="W358">
        <v>10</v>
      </c>
      <c r="X358">
        <v>6</v>
      </c>
      <c r="Y358">
        <v>9</v>
      </c>
      <c r="Z358">
        <v>2</v>
      </c>
      <c r="AA358">
        <v>4</v>
      </c>
      <c r="AB358">
        <v>0</v>
      </c>
      <c r="AC358">
        <v>3</v>
      </c>
      <c r="AD358">
        <v>17</v>
      </c>
      <c r="AE358">
        <v>0</v>
      </c>
      <c r="AF358">
        <v>7</v>
      </c>
      <c r="AG358">
        <v>2</v>
      </c>
      <c r="AH358">
        <v>0</v>
      </c>
      <c r="AI358">
        <v>0</v>
      </c>
      <c r="AJ358">
        <v>4</v>
      </c>
      <c r="AK358">
        <v>0</v>
      </c>
      <c r="AL358">
        <v>12</v>
      </c>
      <c r="AM358">
        <v>2</v>
      </c>
      <c r="AN358">
        <v>1</v>
      </c>
      <c r="AO358">
        <v>0</v>
      </c>
      <c r="AP358">
        <v>4</v>
      </c>
      <c r="AQ358">
        <v>2</v>
      </c>
      <c r="AR358">
        <v>0</v>
      </c>
      <c r="AS358">
        <v>3</v>
      </c>
      <c r="AT358">
        <v>0</v>
      </c>
      <c r="AU358">
        <v>3</v>
      </c>
      <c r="AV358">
        <v>0</v>
      </c>
      <c r="AW358">
        <v>1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</v>
      </c>
      <c r="BQ358">
        <v>0</v>
      </c>
      <c r="BR358">
        <v>1</v>
      </c>
      <c r="BS358">
        <v>1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1</v>
      </c>
      <c r="BZ358">
        <v>0</v>
      </c>
      <c r="CA358">
        <v>0</v>
      </c>
      <c r="CB358">
        <v>0</v>
      </c>
      <c r="CC358">
        <v>0</v>
      </c>
      <c r="CD358">
        <v>4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1</v>
      </c>
      <c r="CR358">
        <v>0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1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1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1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</row>
    <row r="359" spans="1:201" x14ac:dyDescent="0.3">
      <c r="A359" t="s">
        <v>310</v>
      </c>
      <c r="B359" t="s">
        <v>297</v>
      </c>
      <c r="C359" t="s">
        <v>200</v>
      </c>
      <c r="D359" s="1">
        <v>8068</v>
      </c>
      <c r="E359" s="1">
        <v>1782</v>
      </c>
      <c r="F359">
        <v>94</v>
      </c>
      <c r="G359" s="1">
        <v>1493</v>
      </c>
      <c r="H359" s="1">
        <v>1622</v>
      </c>
      <c r="I359">
        <v>259</v>
      </c>
      <c r="J359">
        <v>34</v>
      </c>
      <c r="K359">
        <v>210</v>
      </c>
      <c r="L359">
        <v>351</v>
      </c>
      <c r="M359">
        <v>57</v>
      </c>
      <c r="N359">
        <v>28</v>
      </c>
      <c r="O359">
        <v>129</v>
      </c>
      <c r="P359">
        <v>92</v>
      </c>
      <c r="Q359">
        <v>68</v>
      </c>
      <c r="R359">
        <v>775</v>
      </c>
      <c r="S359">
        <v>195</v>
      </c>
      <c r="T359">
        <v>91</v>
      </c>
      <c r="U359">
        <v>37</v>
      </c>
      <c r="V359">
        <v>119</v>
      </c>
      <c r="W359">
        <v>141</v>
      </c>
      <c r="X359">
        <v>108</v>
      </c>
      <c r="Y359">
        <v>20</v>
      </c>
      <c r="Z359">
        <v>15</v>
      </c>
      <c r="AA359">
        <v>18</v>
      </c>
      <c r="AB359">
        <v>9</v>
      </c>
      <c r="AC359">
        <v>21</v>
      </c>
      <c r="AD359">
        <v>17</v>
      </c>
      <c r="AE359">
        <v>1</v>
      </c>
      <c r="AF359">
        <v>30</v>
      </c>
      <c r="AG359">
        <v>12</v>
      </c>
      <c r="AH359">
        <v>9</v>
      </c>
      <c r="AI359">
        <v>4</v>
      </c>
      <c r="AJ359">
        <v>17</v>
      </c>
      <c r="AK359">
        <v>3</v>
      </c>
      <c r="AL359">
        <v>5</v>
      </c>
      <c r="AM359">
        <v>2</v>
      </c>
      <c r="AN359">
        <v>12</v>
      </c>
      <c r="AO359">
        <v>3</v>
      </c>
      <c r="AP359">
        <v>0</v>
      </c>
      <c r="AQ359">
        <v>10</v>
      </c>
      <c r="AR359">
        <v>12</v>
      </c>
      <c r="AS359">
        <v>8</v>
      </c>
      <c r="AT359">
        <v>8</v>
      </c>
      <c r="AU359">
        <v>11</v>
      </c>
      <c r="AV359">
        <v>6</v>
      </c>
      <c r="AW359">
        <v>2</v>
      </c>
      <c r="AX359">
        <v>0</v>
      </c>
      <c r="AY359">
        <v>8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2</v>
      </c>
      <c r="BF359">
        <v>6</v>
      </c>
      <c r="BG359">
        <v>3</v>
      </c>
      <c r="BH359">
        <v>4</v>
      </c>
      <c r="BI359">
        <v>5</v>
      </c>
      <c r="BJ359">
        <v>0</v>
      </c>
      <c r="BK359">
        <v>17</v>
      </c>
      <c r="BL359">
        <v>3</v>
      </c>
      <c r="BM359">
        <v>1</v>
      </c>
      <c r="BN359">
        <v>14</v>
      </c>
      <c r="BO359">
        <v>0</v>
      </c>
      <c r="BP359">
        <v>0</v>
      </c>
      <c r="BQ359">
        <v>3</v>
      </c>
      <c r="BR359">
        <v>0</v>
      </c>
      <c r="BS359">
        <v>1</v>
      </c>
      <c r="BT359">
        <v>0</v>
      </c>
      <c r="BU359">
        <v>5</v>
      </c>
      <c r="BV359">
        <v>1</v>
      </c>
      <c r="BW359">
        <v>2</v>
      </c>
      <c r="BX359">
        <v>0</v>
      </c>
      <c r="BY359">
        <v>3</v>
      </c>
      <c r="BZ359">
        <v>3</v>
      </c>
      <c r="CA359">
        <v>1</v>
      </c>
      <c r="CB359">
        <v>3</v>
      </c>
      <c r="CC359">
        <v>0</v>
      </c>
      <c r="CD359">
        <v>3</v>
      </c>
      <c r="CE359">
        <v>1</v>
      </c>
      <c r="CF359">
        <v>1</v>
      </c>
      <c r="CG359">
        <v>1</v>
      </c>
      <c r="CH359">
        <v>0</v>
      </c>
      <c r="CI359">
        <v>0</v>
      </c>
      <c r="CJ359">
        <v>1</v>
      </c>
      <c r="CK359">
        <v>0</v>
      </c>
      <c r="CL359">
        <v>1</v>
      </c>
      <c r="CM359">
        <v>0</v>
      </c>
      <c r="CN359">
        <v>0</v>
      </c>
      <c r="CO359">
        <v>0</v>
      </c>
      <c r="CP359">
        <v>1</v>
      </c>
      <c r="CQ359">
        <v>1</v>
      </c>
      <c r="CR359">
        <v>1</v>
      </c>
      <c r="CS359">
        <v>1</v>
      </c>
      <c r="CT359">
        <v>2</v>
      </c>
      <c r="CU359">
        <v>1</v>
      </c>
      <c r="CV359">
        <v>1</v>
      </c>
      <c r="CW359">
        <v>0</v>
      </c>
      <c r="CX359">
        <v>0</v>
      </c>
      <c r="CY359">
        <v>0</v>
      </c>
      <c r="CZ359">
        <v>1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</v>
      </c>
      <c r="DH359">
        <v>1</v>
      </c>
      <c r="DI359">
        <v>0</v>
      </c>
      <c r="DJ359">
        <v>1</v>
      </c>
      <c r="DK359">
        <v>0</v>
      </c>
      <c r="DL359">
        <v>1</v>
      </c>
      <c r="DM359">
        <v>0</v>
      </c>
      <c r="DN359">
        <v>0</v>
      </c>
      <c r="DO359">
        <v>1</v>
      </c>
      <c r="DP359">
        <v>0</v>
      </c>
      <c r="DQ359">
        <v>1</v>
      </c>
      <c r="DR359">
        <v>1</v>
      </c>
      <c r="DS359">
        <v>0</v>
      </c>
      <c r="DT359">
        <v>0</v>
      </c>
      <c r="DU359">
        <v>0</v>
      </c>
      <c r="DV359">
        <v>1</v>
      </c>
      <c r="DW359">
        <v>0</v>
      </c>
      <c r="DX359">
        <v>0</v>
      </c>
      <c r="DY359">
        <v>0</v>
      </c>
      <c r="DZ359">
        <v>0</v>
      </c>
      <c r="EA359">
        <v>2</v>
      </c>
      <c r="EB359">
        <v>1</v>
      </c>
      <c r="EC359">
        <v>1</v>
      </c>
      <c r="ED359">
        <v>1</v>
      </c>
      <c r="EE359">
        <v>0</v>
      </c>
      <c r="EF359">
        <v>1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1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1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5</v>
      </c>
      <c r="FE359">
        <v>0</v>
      </c>
      <c r="FF359">
        <v>1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1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1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</row>
    <row r="360" spans="1:201" x14ac:dyDescent="0.3">
      <c r="A360" t="s">
        <v>310</v>
      </c>
      <c r="B360" t="s">
        <v>297</v>
      </c>
      <c r="C360" t="s">
        <v>203</v>
      </c>
      <c r="D360" s="1">
        <v>4289</v>
      </c>
      <c r="E360">
        <v>938</v>
      </c>
      <c r="F360">
        <v>47</v>
      </c>
      <c r="G360">
        <v>649</v>
      </c>
      <c r="H360">
        <v>993</v>
      </c>
      <c r="I360">
        <v>188</v>
      </c>
      <c r="J360">
        <v>17</v>
      </c>
      <c r="K360">
        <v>106</v>
      </c>
      <c r="L360">
        <v>113</v>
      </c>
      <c r="M360">
        <v>17</v>
      </c>
      <c r="N360">
        <v>1</v>
      </c>
      <c r="O360">
        <v>49</v>
      </c>
      <c r="P360">
        <v>51</v>
      </c>
      <c r="Q360">
        <v>20</v>
      </c>
      <c r="R360">
        <v>646</v>
      </c>
      <c r="S360">
        <v>28</v>
      </c>
      <c r="T360">
        <v>32</v>
      </c>
      <c r="U360">
        <v>10</v>
      </c>
      <c r="V360">
        <v>82</v>
      </c>
      <c r="W360">
        <v>51</v>
      </c>
      <c r="X360">
        <v>58</v>
      </c>
      <c r="Y360">
        <v>8</v>
      </c>
      <c r="Z360">
        <v>5</v>
      </c>
      <c r="AA360">
        <v>8</v>
      </c>
      <c r="AB360">
        <v>4</v>
      </c>
      <c r="AC360">
        <v>15</v>
      </c>
      <c r="AD360">
        <v>5</v>
      </c>
      <c r="AE360">
        <v>0</v>
      </c>
      <c r="AF360">
        <v>23</v>
      </c>
      <c r="AG360">
        <v>5</v>
      </c>
      <c r="AH360">
        <v>3</v>
      </c>
      <c r="AI360">
        <v>4</v>
      </c>
      <c r="AJ360">
        <v>8</v>
      </c>
      <c r="AK360">
        <v>3</v>
      </c>
      <c r="AL360">
        <v>0</v>
      </c>
      <c r="AM360">
        <v>1</v>
      </c>
      <c r="AN360">
        <v>9</v>
      </c>
      <c r="AO360">
        <v>1</v>
      </c>
      <c r="AP360">
        <v>0</v>
      </c>
      <c r="AQ360">
        <v>3</v>
      </c>
      <c r="AR360">
        <v>8</v>
      </c>
      <c r="AS360">
        <v>4</v>
      </c>
      <c r="AT360">
        <v>3</v>
      </c>
      <c r="AU360">
        <v>6</v>
      </c>
      <c r="AV360">
        <v>6</v>
      </c>
      <c r="AW360">
        <v>0</v>
      </c>
      <c r="AX360">
        <v>0</v>
      </c>
      <c r="AY360">
        <v>4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2</v>
      </c>
      <c r="BF360">
        <v>4</v>
      </c>
      <c r="BG360">
        <v>2</v>
      </c>
      <c r="BH360">
        <v>0</v>
      </c>
      <c r="BI360">
        <v>2</v>
      </c>
      <c r="BJ360">
        <v>0</v>
      </c>
      <c r="BK360">
        <v>12</v>
      </c>
      <c r="BL360">
        <v>3</v>
      </c>
      <c r="BM360">
        <v>1</v>
      </c>
      <c r="BN360">
        <v>4</v>
      </c>
      <c r="BO360">
        <v>0</v>
      </c>
      <c r="BP360">
        <v>0</v>
      </c>
      <c r="BQ360">
        <v>2</v>
      </c>
      <c r="BR360">
        <v>0</v>
      </c>
      <c r="BS360">
        <v>1</v>
      </c>
      <c r="BT360">
        <v>0</v>
      </c>
      <c r="BU360">
        <v>0</v>
      </c>
      <c r="BV360">
        <v>0</v>
      </c>
      <c r="BW360">
        <v>1</v>
      </c>
      <c r="BX360">
        <v>0</v>
      </c>
      <c r="BY360">
        <v>1</v>
      </c>
      <c r="BZ360">
        <v>1</v>
      </c>
      <c r="CA360">
        <v>1</v>
      </c>
      <c r="CB360">
        <v>1</v>
      </c>
      <c r="CC360">
        <v>0</v>
      </c>
      <c r="CD360">
        <v>0</v>
      </c>
      <c r="CE360">
        <v>0</v>
      </c>
      <c r="CF360">
        <v>1</v>
      </c>
      <c r="CG360">
        <v>0</v>
      </c>
      <c r="CH360">
        <v>0</v>
      </c>
      <c r="CI360">
        <v>0</v>
      </c>
      <c r="CJ360">
        <v>1</v>
      </c>
      <c r="CK360">
        <v>0</v>
      </c>
      <c r="CL360">
        <v>1</v>
      </c>
      <c r="CM360">
        <v>0</v>
      </c>
      <c r="CN360">
        <v>0</v>
      </c>
      <c r="CO360">
        <v>0</v>
      </c>
      <c r="CP360">
        <v>1</v>
      </c>
      <c r="CQ360">
        <v>0</v>
      </c>
      <c r="CR360">
        <v>1</v>
      </c>
      <c r="CS360">
        <v>0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1</v>
      </c>
      <c r="DK360">
        <v>0</v>
      </c>
      <c r="DL360">
        <v>1</v>
      </c>
      <c r="DM360">
        <v>0</v>
      </c>
      <c r="DN360">
        <v>0</v>
      </c>
      <c r="DO360">
        <v>0</v>
      </c>
      <c r="DP360">
        <v>0</v>
      </c>
      <c r="DQ360">
        <v>1</v>
      </c>
      <c r="DR360">
        <v>1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1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5</v>
      </c>
      <c r="FE360">
        <v>0</v>
      </c>
      <c r="FF360">
        <v>1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1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</row>
    <row r="361" spans="1:201" x14ac:dyDescent="0.3">
      <c r="A361" t="s">
        <v>310</v>
      </c>
      <c r="B361" t="s">
        <v>297</v>
      </c>
      <c r="C361" t="s">
        <v>204</v>
      </c>
      <c r="D361" s="1">
        <v>3779</v>
      </c>
      <c r="E361">
        <v>844</v>
      </c>
      <c r="F361">
        <v>47</v>
      </c>
      <c r="G361">
        <v>844</v>
      </c>
      <c r="H361">
        <v>629</v>
      </c>
      <c r="I361">
        <v>71</v>
      </c>
      <c r="J361">
        <v>17</v>
      </c>
      <c r="K361">
        <v>104</v>
      </c>
      <c r="L361">
        <v>238</v>
      </c>
      <c r="M361">
        <v>40</v>
      </c>
      <c r="N361">
        <v>27</v>
      </c>
      <c r="O361">
        <v>80</v>
      </c>
      <c r="P361">
        <v>41</v>
      </c>
      <c r="Q361">
        <v>48</v>
      </c>
      <c r="R361">
        <v>129</v>
      </c>
      <c r="S361">
        <v>167</v>
      </c>
      <c r="T361">
        <v>59</v>
      </c>
      <c r="U361">
        <v>27</v>
      </c>
      <c r="V361">
        <v>37</v>
      </c>
      <c r="W361">
        <v>90</v>
      </c>
      <c r="X361">
        <v>50</v>
      </c>
      <c r="Y361">
        <v>12</v>
      </c>
      <c r="Z361">
        <v>10</v>
      </c>
      <c r="AA361">
        <v>10</v>
      </c>
      <c r="AB361">
        <v>5</v>
      </c>
      <c r="AC361">
        <v>6</v>
      </c>
      <c r="AD361">
        <v>12</v>
      </c>
      <c r="AE361">
        <v>1</v>
      </c>
      <c r="AF361">
        <v>7</v>
      </c>
      <c r="AG361">
        <v>7</v>
      </c>
      <c r="AH361">
        <v>6</v>
      </c>
      <c r="AI361">
        <v>0</v>
      </c>
      <c r="AJ361">
        <v>9</v>
      </c>
      <c r="AK361">
        <v>0</v>
      </c>
      <c r="AL361">
        <v>5</v>
      </c>
      <c r="AM361">
        <v>1</v>
      </c>
      <c r="AN361">
        <v>3</v>
      </c>
      <c r="AO361">
        <v>2</v>
      </c>
      <c r="AP361">
        <v>0</v>
      </c>
      <c r="AQ361">
        <v>7</v>
      </c>
      <c r="AR361">
        <v>4</v>
      </c>
      <c r="AS361">
        <v>4</v>
      </c>
      <c r="AT361">
        <v>5</v>
      </c>
      <c r="AU361">
        <v>5</v>
      </c>
      <c r="AV361">
        <v>0</v>
      </c>
      <c r="AW361">
        <v>2</v>
      </c>
      <c r="AX361">
        <v>0</v>
      </c>
      <c r="AY361">
        <v>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2</v>
      </c>
      <c r="BG361">
        <v>1</v>
      </c>
      <c r="BH361">
        <v>4</v>
      </c>
      <c r="BI361">
        <v>3</v>
      </c>
      <c r="BJ361">
        <v>0</v>
      </c>
      <c r="BK361">
        <v>5</v>
      </c>
      <c r="BL361">
        <v>0</v>
      </c>
      <c r="BM361">
        <v>0</v>
      </c>
      <c r="BN361">
        <v>10</v>
      </c>
      <c r="BO361">
        <v>0</v>
      </c>
      <c r="BP361">
        <v>0</v>
      </c>
      <c r="BQ361">
        <v>1</v>
      </c>
      <c r="BR361">
        <v>0</v>
      </c>
      <c r="BS361">
        <v>0</v>
      </c>
      <c r="BT361">
        <v>0</v>
      </c>
      <c r="BU361">
        <v>5</v>
      </c>
      <c r="BV361">
        <v>1</v>
      </c>
      <c r="BW361">
        <v>1</v>
      </c>
      <c r="BX361">
        <v>0</v>
      </c>
      <c r="BY361">
        <v>2</v>
      </c>
      <c r="BZ361">
        <v>2</v>
      </c>
      <c r="CA361">
        <v>0</v>
      </c>
      <c r="CB361">
        <v>2</v>
      </c>
      <c r="CC361">
        <v>0</v>
      </c>
      <c r="CD361">
        <v>3</v>
      </c>
      <c r="CE361">
        <v>1</v>
      </c>
      <c r="CF361">
        <v>0</v>
      </c>
      <c r="CG361">
        <v>1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1</v>
      </c>
      <c r="CR361">
        <v>0</v>
      </c>
      <c r="CS361">
        <v>1</v>
      </c>
      <c r="CT361">
        <v>2</v>
      </c>
      <c r="CU361">
        <v>0</v>
      </c>
      <c r="CV361">
        <v>1</v>
      </c>
      <c r="CW361">
        <v>0</v>
      </c>
      <c r="CX361">
        <v>0</v>
      </c>
      <c r="CY361">
        <v>0</v>
      </c>
      <c r="CZ361">
        <v>1</v>
      </c>
      <c r="DA361">
        <v>1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</v>
      </c>
      <c r="DH361">
        <v>1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1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1</v>
      </c>
      <c r="DW361">
        <v>0</v>
      </c>
      <c r="DX361">
        <v>0</v>
      </c>
      <c r="DY361">
        <v>0</v>
      </c>
      <c r="DZ361">
        <v>0</v>
      </c>
      <c r="EA361">
        <v>2</v>
      </c>
      <c r="EB361">
        <v>1</v>
      </c>
      <c r="EC361">
        <v>1</v>
      </c>
      <c r="ED361">
        <v>1</v>
      </c>
      <c r="EE361">
        <v>0</v>
      </c>
      <c r="EF361">
        <v>1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1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1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</row>
    <row r="362" spans="1:201" x14ac:dyDescent="0.3">
      <c r="A362" t="s">
        <v>310</v>
      </c>
      <c r="B362" t="s">
        <v>298</v>
      </c>
      <c r="C362" t="s">
        <v>200</v>
      </c>
      <c r="D362" s="1">
        <v>1978</v>
      </c>
      <c r="E362">
        <v>203</v>
      </c>
      <c r="F362">
        <v>80</v>
      </c>
      <c r="G362">
        <v>228</v>
      </c>
      <c r="H362">
        <v>23</v>
      </c>
      <c r="I362">
        <v>58</v>
      </c>
      <c r="J362">
        <v>21</v>
      </c>
      <c r="K362">
        <v>103</v>
      </c>
      <c r="L362">
        <v>216</v>
      </c>
      <c r="M362">
        <v>245</v>
      </c>
      <c r="N362">
        <v>14</v>
      </c>
      <c r="O362">
        <v>17</v>
      </c>
      <c r="P362">
        <v>27</v>
      </c>
      <c r="Q362">
        <v>2</v>
      </c>
      <c r="R362">
        <v>10</v>
      </c>
      <c r="S362">
        <v>76</v>
      </c>
      <c r="T362">
        <v>233</v>
      </c>
      <c r="U362">
        <v>35</v>
      </c>
      <c r="V362">
        <v>17</v>
      </c>
      <c r="W362">
        <v>257</v>
      </c>
      <c r="X362">
        <v>3</v>
      </c>
      <c r="Y362">
        <v>3</v>
      </c>
      <c r="Z362">
        <v>10</v>
      </c>
      <c r="AA362">
        <v>3</v>
      </c>
      <c r="AB362">
        <v>0</v>
      </c>
      <c r="AC362">
        <v>1</v>
      </c>
      <c r="AD362">
        <v>0</v>
      </c>
      <c r="AE362">
        <v>0</v>
      </c>
      <c r="AF362">
        <v>1</v>
      </c>
      <c r="AG362">
        <v>3</v>
      </c>
      <c r="AH362">
        <v>2</v>
      </c>
      <c r="AI362">
        <v>0</v>
      </c>
      <c r="AJ362">
        <v>48</v>
      </c>
      <c r="AK362">
        <v>0</v>
      </c>
      <c r="AL362">
        <v>7</v>
      </c>
      <c r="AM362">
        <v>7</v>
      </c>
      <c r="AN362">
        <v>1</v>
      </c>
      <c r="AO362">
        <v>6</v>
      </c>
      <c r="AP362">
        <v>0</v>
      </c>
      <c r="AQ362">
        <v>1</v>
      </c>
      <c r="AR362">
        <v>0</v>
      </c>
      <c r="AS362">
        <v>2</v>
      </c>
      <c r="AT362">
        <v>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</v>
      </c>
      <c r="BR362">
        <v>0</v>
      </c>
      <c r="BS362">
        <v>1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1</v>
      </c>
      <c r="CR362">
        <v>0</v>
      </c>
      <c r="CS362">
        <v>2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1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1</v>
      </c>
      <c r="DS362">
        <v>0</v>
      </c>
      <c r="DT362">
        <v>1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2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1</v>
      </c>
    </row>
    <row r="363" spans="1:201" x14ac:dyDescent="0.3">
      <c r="A363" t="s">
        <v>310</v>
      </c>
      <c r="B363" t="s">
        <v>298</v>
      </c>
      <c r="C363" t="s">
        <v>203</v>
      </c>
      <c r="D363">
        <v>922</v>
      </c>
      <c r="E363">
        <v>54</v>
      </c>
      <c r="F363">
        <v>40</v>
      </c>
      <c r="G363">
        <v>82</v>
      </c>
      <c r="H363">
        <v>9</v>
      </c>
      <c r="I363">
        <v>37</v>
      </c>
      <c r="J363">
        <v>15</v>
      </c>
      <c r="K363">
        <v>98</v>
      </c>
      <c r="L363">
        <v>213</v>
      </c>
      <c r="M363">
        <v>17</v>
      </c>
      <c r="N363">
        <v>2</v>
      </c>
      <c r="O363">
        <v>7</v>
      </c>
      <c r="P363">
        <v>10</v>
      </c>
      <c r="Q363">
        <v>1</v>
      </c>
      <c r="R363">
        <v>6</v>
      </c>
      <c r="S363">
        <v>27</v>
      </c>
      <c r="T363">
        <v>97</v>
      </c>
      <c r="U363">
        <v>16</v>
      </c>
      <c r="V363">
        <v>16</v>
      </c>
      <c r="W363">
        <v>134</v>
      </c>
      <c r="X363">
        <v>1</v>
      </c>
      <c r="Y363">
        <v>0</v>
      </c>
      <c r="Z363">
        <v>3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1</v>
      </c>
      <c r="AG363">
        <v>2</v>
      </c>
      <c r="AH363">
        <v>2</v>
      </c>
      <c r="AI363">
        <v>0</v>
      </c>
      <c r="AJ363">
        <v>18</v>
      </c>
      <c r="AK363">
        <v>0</v>
      </c>
      <c r="AL363">
        <v>1</v>
      </c>
      <c r="AM363">
        <v>5</v>
      </c>
      <c r="AN363">
        <v>1</v>
      </c>
      <c r="AO363">
        <v>3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1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</row>
    <row r="364" spans="1:201" x14ac:dyDescent="0.3">
      <c r="A364" t="s">
        <v>310</v>
      </c>
      <c r="B364" t="s">
        <v>298</v>
      </c>
      <c r="C364" t="s">
        <v>204</v>
      </c>
      <c r="D364" s="1">
        <v>1056</v>
      </c>
      <c r="E364">
        <v>149</v>
      </c>
      <c r="F364">
        <v>40</v>
      </c>
      <c r="G364">
        <v>146</v>
      </c>
      <c r="H364">
        <v>14</v>
      </c>
      <c r="I364">
        <v>21</v>
      </c>
      <c r="J364">
        <v>6</v>
      </c>
      <c r="K364">
        <v>5</v>
      </c>
      <c r="L364">
        <v>3</v>
      </c>
      <c r="M364">
        <v>228</v>
      </c>
      <c r="N364">
        <v>12</v>
      </c>
      <c r="O364">
        <v>10</v>
      </c>
      <c r="P364">
        <v>17</v>
      </c>
      <c r="Q364">
        <v>1</v>
      </c>
      <c r="R364">
        <v>4</v>
      </c>
      <c r="S364">
        <v>49</v>
      </c>
      <c r="T364">
        <v>136</v>
      </c>
      <c r="U364">
        <v>19</v>
      </c>
      <c r="V364">
        <v>1</v>
      </c>
      <c r="W364">
        <v>123</v>
      </c>
      <c r="X364">
        <v>2</v>
      </c>
      <c r="Y364">
        <v>3</v>
      </c>
      <c r="Z364">
        <v>7</v>
      </c>
      <c r="AA364">
        <v>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30</v>
      </c>
      <c r="AK364">
        <v>0</v>
      </c>
      <c r="AL364">
        <v>6</v>
      </c>
      <c r="AM364">
        <v>2</v>
      </c>
      <c r="AN364">
        <v>0</v>
      </c>
      <c r="AO364">
        <v>3</v>
      </c>
      <c r="AP364">
        <v>0</v>
      </c>
      <c r="AQ364">
        <v>1</v>
      </c>
      <c r="AR364">
        <v>0</v>
      </c>
      <c r="AS364">
        <v>2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1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1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1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2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1</v>
      </c>
    </row>
    <row r="365" spans="1:201" x14ac:dyDescent="0.3">
      <c r="A365" t="s">
        <v>310</v>
      </c>
      <c r="B365" t="s">
        <v>314</v>
      </c>
      <c r="C365" t="s">
        <v>200</v>
      </c>
      <c r="D365" s="1">
        <v>1114</v>
      </c>
      <c r="E365">
        <v>238</v>
      </c>
      <c r="F365">
        <v>92</v>
      </c>
      <c r="G365">
        <v>253</v>
      </c>
      <c r="H365">
        <v>1</v>
      </c>
      <c r="I365">
        <v>19</v>
      </c>
      <c r="J365">
        <v>11</v>
      </c>
      <c r="K365">
        <v>26</v>
      </c>
      <c r="L365">
        <v>33</v>
      </c>
      <c r="M365">
        <v>45</v>
      </c>
      <c r="N365">
        <v>31</v>
      </c>
      <c r="O365">
        <v>18</v>
      </c>
      <c r="P365">
        <v>78</v>
      </c>
      <c r="Q365">
        <v>4</v>
      </c>
      <c r="R365">
        <v>1</v>
      </c>
      <c r="S365">
        <v>61</v>
      </c>
      <c r="T365">
        <v>14</v>
      </c>
      <c r="U365">
        <v>1</v>
      </c>
      <c r="V365">
        <v>7</v>
      </c>
      <c r="W365">
        <v>41</v>
      </c>
      <c r="X365">
        <v>1</v>
      </c>
      <c r="Y365">
        <v>2</v>
      </c>
      <c r="Z365">
        <v>7</v>
      </c>
      <c r="AA365">
        <v>5</v>
      </c>
      <c r="AB365">
        <v>1</v>
      </c>
      <c r="AC365">
        <v>30</v>
      </c>
      <c r="AD365">
        <v>28</v>
      </c>
      <c r="AE365">
        <v>1</v>
      </c>
      <c r="AF365">
        <v>11</v>
      </c>
      <c r="AG365">
        <v>0</v>
      </c>
      <c r="AH365">
        <v>6</v>
      </c>
      <c r="AI365">
        <v>1</v>
      </c>
      <c r="AJ365">
        <v>6</v>
      </c>
      <c r="AK365">
        <v>0</v>
      </c>
      <c r="AL365">
        <v>1</v>
      </c>
      <c r="AM365">
        <v>2</v>
      </c>
      <c r="AN365">
        <v>3</v>
      </c>
      <c r="AO365">
        <v>2</v>
      </c>
      <c r="AP365">
        <v>0</v>
      </c>
      <c r="AQ365">
        <v>1</v>
      </c>
      <c r="AR365">
        <v>0</v>
      </c>
      <c r="AS365">
        <v>1</v>
      </c>
      <c r="AT365">
        <v>0</v>
      </c>
      <c r="AU365">
        <v>3</v>
      </c>
      <c r="AV365">
        <v>0</v>
      </c>
      <c r="AW365">
        <v>3</v>
      </c>
      <c r="AX365">
        <v>0</v>
      </c>
      <c r="AY365">
        <v>3</v>
      </c>
      <c r="AZ365">
        <v>0</v>
      </c>
      <c r="BA365">
        <v>1</v>
      </c>
      <c r="BB365">
        <v>0</v>
      </c>
      <c r="BC365">
        <v>2</v>
      </c>
      <c r="BD365">
        <v>0</v>
      </c>
      <c r="BE365">
        <v>0</v>
      </c>
      <c r="BF365">
        <v>0</v>
      </c>
      <c r="BG365">
        <v>0</v>
      </c>
      <c r="BH365">
        <v>2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3</v>
      </c>
      <c r="BS365">
        <v>3</v>
      </c>
      <c r="BT365">
        <v>0</v>
      </c>
      <c r="BU365">
        <v>0</v>
      </c>
      <c r="BV365">
        <v>0</v>
      </c>
      <c r="BW365">
        <v>1</v>
      </c>
      <c r="BX365">
        <v>0</v>
      </c>
      <c r="BY365">
        <v>0</v>
      </c>
      <c r="BZ365">
        <v>0</v>
      </c>
      <c r="CA365">
        <v>1</v>
      </c>
      <c r="CB365">
        <v>0</v>
      </c>
      <c r="CC365">
        <v>0</v>
      </c>
      <c r="CD365">
        <v>2</v>
      </c>
      <c r="CE365">
        <v>0</v>
      </c>
      <c r="CF365">
        <v>0</v>
      </c>
      <c r="CG365">
        <v>1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1</v>
      </c>
      <c r="CW365">
        <v>1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1</v>
      </c>
      <c r="EF365">
        <v>0</v>
      </c>
      <c r="EG365">
        <v>0</v>
      </c>
      <c r="EH365">
        <v>0</v>
      </c>
      <c r="EI365">
        <v>0</v>
      </c>
      <c r="EJ365">
        <v>1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</row>
    <row r="366" spans="1:201" x14ac:dyDescent="0.3">
      <c r="A366" t="s">
        <v>310</v>
      </c>
      <c r="B366" t="s">
        <v>314</v>
      </c>
      <c r="C366" t="s">
        <v>203</v>
      </c>
      <c r="D366">
        <v>418</v>
      </c>
      <c r="E366">
        <v>85</v>
      </c>
      <c r="F366">
        <v>45</v>
      </c>
      <c r="G366">
        <v>83</v>
      </c>
      <c r="H366">
        <v>1</v>
      </c>
      <c r="I366">
        <v>9</v>
      </c>
      <c r="J366">
        <v>2</v>
      </c>
      <c r="K366">
        <v>13</v>
      </c>
      <c r="L366">
        <v>29</v>
      </c>
      <c r="M366">
        <v>3</v>
      </c>
      <c r="N366">
        <v>8</v>
      </c>
      <c r="O366">
        <v>8</v>
      </c>
      <c r="P366">
        <v>37</v>
      </c>
      <c r="Q366">
        <v>2</v>
      </c>
      <c r="R366">
        <v>1</v>
      </c>
      <c r="S366">
        <v>10</v>
      </c>
      <c r="T366">
        <v>2</v>
      </c>
      <c r="U366">
        <v>0</v>
      </c>
      <c r="V366">
        <v>6</v>
      </c>
      <c r="W366">
        <v>20</v>
      </c>
      <c r="X366">
        <v>1</v>
      </c>
      <c r="Y366">
        <v>0</v>
      </c>
      <c r="Z366">
        <v>2</v>
      </c>
      <c r="AA366">
        <v>1</v>
      </c>
      <c r="AB366">
        <v>0</v>
      </c>
      <c r="AC366">
        <v>12</v>
      </c>
      <c r="AD366">
        <v>7</v>
      </c>
      <c r="AE366">
        <v>1</v>
      </c>
      <c r="AF366">
        <v>7</v>
      </c>
      <c r="AG366">
        <v>0</v>
      </c>
      <c r="AH366">
        <v>2</v>
      </c>
      <c r="AI366">
        <v>0</v>
      </c>
      <c r="AJ366">
        <v>4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3</v>
      </c>
      <c r="AV366">
        <v>0</v>
      </c>
      <c r="AW366">
        <v>1</v>
      </c>
      <c r="AX366">
        <v>0</v>
      </c>
      <c r="AY366">
        <v>1</v>
      </c>
      <c r="AZ366">
        <v>0</v>
      </c>
      <c r="BA366">
        <v>1</v>
      </c>
      <c r="BB366">
        <v>0</v>
      </c>
      <c r="BC366">
        <v>2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3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1</v>
      </c>
      <c r="CW366">
        <v>1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</row>
    <row r="367" spans="1:201" x14ac:dyDescent="0.3">
      <c r="A367" t="s">
        <v>310</v>
      </c>
      <c r="B367" t="s">
        <v>314</v>
      </c>
      <c r="C367" t="s">
        <v>204</v>
      </c>
      <c r="D367">
        <v>696</v>
      </c>
      <c r="E367">
        <v>153</v>
      </c>
      <c r="F367">
        <v>47</v>
      </c>
      <c r="G367">
        <v>170</v>
      </c>
      <c r="H367">
        <v>0</v>
      </c>
      <c r="I367">
        <v>10</v>
      </c>
      <c r="J367">
        <v>9</v>
      </c>
      <c r="K367">
        <v>13</v>
      </c>
      <c r="L367">
        <v>4</v>
      </c>
      <c r="M367">
        <v>42</v>
      </c>
      <c r="N367">
        <v>23</v>
      </c>
      <c r="O367">
        <v>10</v>
      </c>
      <c r="P367">
        <v>41</v>
      </c>
      <c r="Q367">
        <v>2</v>
      </c>
      <c r="R367">
        <v>0</v>
      </c>
      <c r="S367">
        <v>51</v>
      </c>
      <c r="T367">
        <v>12</v>
      </c>
      <c r="U367">
        <v>1</v>
      </c>
      <c r="V367">
        <v>1</v>
      </c>
      <c r="W367">
        <v>21</v>
      </c>
      <c r="X367">
        <v>0</v>
      </c>
      <c r="Y367">
        <v>2</v>
      </c>
      <c r="Z367">
        <v>5</v>
      </c>
      <c r="AA367">
        <v>4</v>
      </c>
      <c r="AB367">
        <v>1</v>
      </c>
      <c r="AC367">
        <v>18</v>
      </c>
      <c r="AD367">
        <v>21</v>
      </c>
      <c r="AE367">
        <v>0</v>
      </c>
      <c r="AF367">
        <v>4</v>
      </c>
      <c r="AG367">
        <v>0</v>
      </c>
      <c r="AH367">
        <v>4</v>
      </c>
      <c r="AI367">
        <v>1</v>
      </c>
      <c r="AJ367">
        <v>2</v>
      </c>
      <c r="AK367">
        <v>0</v>
      </c>
      <c r="AL367">
        <v>1</v>
      </c>
      <c r="AM367">
        <v>2</v>
      </c>
      <c r="AN367">
        <v>3</v>
      </c>
      <c r="AO367">
        <v>1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2</v>
      </c>
      <c r="AX367">
        <v>0</v>
      </c>
      <c r="AY367">
        <v>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2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1</v>
      </c>
      <c r="CB367">
        <v>0</v>
      </c>
      <c r="CC367">
        <v>0</v>
      </c>
      <c r="CD367">
        <v>2</v>
      </c>
      <c r="CE367">
        <v>0</v>
      </c>
      <c r="CF367">
        <v>0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1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1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</row>
    <row r="368" spans="1:201" x14ac:dyDescent="0.3">
      <c r="A368" t="s">
        <v>310</v>
      </c>
      <c r="B368" t="s">
        <v>315</v>
      </c>
      <c r="C368" t="s">
        <v>200</v>
      </c>
      <c r="D368" s="1">
        <v>3616</v>
      </c>
      <c r="E368" s="1">
        <v>1154</v>
      </c>
      <c r="F368">
        <v>161</v>
      </c>
      <c r="G368">
        <v>471</v>
      </c>
      <c r="H368">
        <v>333</v>
      </c>
      <c r="I368">
        <v>127</v>
      </c>
      <c r="J368">
        <v>14</v>
      </c>
      <c r="K368">
        <v>50</v>
      </c>
      <c r="L368">
        <v>43</v>
      </c>
      <c r="M368">
        <v>89</v>
      </c>
      <c r="N368">
        <v>45</v>
      </c>
      <c r="O368">
        <v>50</v>
      </c>
      <c r="P368">
        <v>116</v>
      </c>
      <c r="Q368">
        <v>47</v>
      </c>
      <c r="R368">
        <v>210</v>
      </c>
      <c r="S368">
        <v>163</v>
      </c>
      <c r="T368">
        <v>90</v>
      </c>
      <c r="U368">
        <v>33</v>
      </c>
      <c r="V368">
        <v>20</v>
      </c>
      <c r="W368">
        <v>90</v>
      </c>
      <c r="X368">
        <v>4</v>
      </c>
      <c r="Y368">
        <v>11</v>
      </c>
      <c r="Z368">
        <v>26</v>
      </c>
      <c r="AA368">
        <v>23</v>
      </c>
      <c r="AB368">
        <v>9</v>
      </c>
      <c r="AC368">
        <v>34</v>
      </c>
      <c r="AD368">
        <v>23</v>
      </c>
      <c r="AE368">
        <v>0</v>
      </c>
      <c r="AF368">
        <v>27</v>
      </c>
      <c r="AG368">
        <v>6</v>
      </c>
      <c r="AH368">
        <v>6</v>
      </c>
      <c r="AI368">
        <v>1</v>
      </c>
      <c r="AJ368">
        <v>10</v>
      </c>
      <c r="AK368">
        <v>3</v>
      </c>
      <c r="AL368">
        <v>4</v>
      </c>
      <c r="AM368">
        <v>9</v>
      </c>
      <c r="AN368">
        <v>7</v>
      </c>
      <c r="AO368">
        <v>12</v>
      </c>
      <c r="AP368">
        <v>0</v>
      </c>
      <c r="AQ368">
        <v>9</v>
      </c>
      <c r="AR368">
        <v>6</v>
      </c>
      <c r="AS368">
        <v>6</v>
      </c>
      <c r="AT368">
        <v>4</v>
      </c>
      <c r="AU368">
        <v>0</v>
      </c>
      <c r="AV368">
        <v>3</v>
      </c>
      <c r="AW368">
        <v>6</v>
      </c>
      <c r="AX368">
        <v>0</v>
      </c>
      <c r="AY368">
        <v>4</v>
      </c>
      <c r="AZ368">
        <v>0</v>
      </c>
      <c r="BA368">
        <v>1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2</v>
      </c>
      <c r="BH368">
        <v>2</v>
      </c>
      <c r="BI368">
        <v>3</v>
      </c>
      <c r="BJ368">
        <v>2</v>
      </c>
      <c r="BK368">
        <v>1</v>
      </c>
      <c r="BL368">
        <v>2</v>
      </c>
      <c r="BM368">
        <v>1</v>
      </c>
      <c r="BN368">
        <v>3</v>
      </c>
      <c r="BO368">
        <v>1</v>
      </c>
      <c r="BP368">
        <v>0</v>
      </c>
      <c r="BQ368">
        <v>1</v>
      </c>
      <c r="BR368">
        <v>0</v>
      </c>
      <c r="BS368">
        <v>3</v>
      </c>
      <c r="BT368">
        <v>0</v>
      </c>
      <c r="BU368">
        <v>0</v>
      </c>
      <c r="BV368">
        <v>10</v>
      </c>
      <c r="BW368">
        <v>1</v>
      </c>
      <c r="BX368">
        <v>0</v>
      </c>
      <c r="BY368">
        <v>0</v>
      </c>
      <c r="BZ368">
        <v>0</v>
      </c>
      <c r="CA368">
        <v>1</v>
      </c>
      <c r="CB368">
        <v>1</v>
      </c>
      <c r="CC368">
        <v>2</v>
      </c>
      <c r="CD368">
        <v>2</v>
      </c>
      <c r="CE368">
        <v>0</v>
      </c>
      <c r="CF368">
        <v>4</v>
      </c>
      <c r="CG368">
        <v>2</v>
      </c>
      <c r="CH368">
        <v>1</v>
      </c>
      <c r="CI368">
        <v>0</v>
      </c>
      <c r="CJ368">
        <v>0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2</v>
      </c>
      <c r="CQ368">
        <v>0</v>
      </c>
      <c r="CR368">
        <v>0</v>
      </c>
      <c r="CS368">
        <v>0</v>
      </c>
      <c r="CT368">
        <v>1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1</v>
      </c>
      <c r="EF368">
        <v>3</v>
      </c>
      <c r="EG368">
        <v>0</v>
      </c>
      <c r="EH368">
        <v>0</v>
      </c>
      <c r="EI368">
        <v>0</v>
      </c>
      <c r="EJ368">
        <v>0</v>
      </c>
      <c r="EK368">
        <v>1</v>
      </c>
      <c r="EL368">
        <v>0</v>
      </c>
      <c r="EM368">
        <v>0</v>
      </c>
      <c r="EN368">
        <v>0</v>
      </c>
      <c r="EO368">
        <v>0</v>
      </c>
      <c r="EP368">
        <v>1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</row>
    <row r="369" spans="1:201" x14ac:dyDescent="0.3">
      <c r="A369" t="s">
        <v>310</v>
      </c>
      <c r="B369" t="s">
        <v>315</v>
      </c>
      <c r="C369" t="s">
        <v>203</v>
      </c>
      <c r="D369" s="1">
        <v>1644</v>
      </c>
      <c r="E369">
        <v>458</v>
      </c>
      <c r="F369">
        <v>82</v>
      </c>
      <c r="G369">
        <v>168</v>
      </c>
      <c r="H369">
        <v>235</v>
      </c>
      <c r="I369">
        <v>90</v>
      </c>
      <c r="J369">
        <v>3</v>
      </c>
      <c r="K369">
        <v>27</v>
      </c>
      <c r="L369">
        <v>16</v>
      </c>
      <c r="M369">
        <v>16</v>
      </c>
      <c r="N369">
        <v>6</v>
      </c>
      <c r="O369">
        <v>24</v>
      </c>
      <c r="P369">
        <v>67</v>
      </c>
      <c r="Q369">
        <v>27</v>
      </c>
      <c r="R369">
        <v>166</v>
      </c>
      <c r="S369">
        <v>14</v>
      </c>
      <c r="T369">
        <v>34</v>
      </c>
      <c r="U369">
        <v>11</v>
      </c>
      <c r="V369">
        <v>13</v>
      </c>
      <c r="W369">
        <v>44</v>
      </c>
      <c r="X369">
        <v>3</v>
      </c>
      <c r="Y369">
        <v>2</v>
      </c>
      <c r="Z369">
        <v>13</v>
      </c>
      <c r="AA369">
        <v>6</v>
      </c>
      <c r="AB369">
        <v>4</v>
      </c>
      <c r="AC369">
        <v>22</v>
      </c>
      <c r="AD369">
        <v>6</v>
      </c>
      <c r="AE369">
        <v>0</v>
      </c>
      <c r="AF369">
        <v>22</v>
      </c>
      <c r="AG369">
        <v>1</v>
      </c>
      <c r="AH369">
        <v>3</v>
      </c>
      <c r="AI369">
        <v>0</v>
      </c>
      <c r="AJ369">
        <v>4</v>
      </c>
      <c r="AK369">
        <v>2</v>
      </c>
      <c r="AL369">
        <v>3</v>
      </c>
      <c r="AM369">
        <v>0</v>
      </c>
      <c r="AN369">
        <v>4</v>
      </c>
      <c r="AO369">
        <v>7</v>
      </c>
      <c r="AP369">
        <v>0</v>
      </c>
      <c r="AQ369">
        <v>1</v>
      </c>
      <c r="AR369">
        <v>5</v>
      </c>
      <c r="AS369">
        <v>1</v>
      </c>
      <c r="AT369">
        <v>2</v>
      </c>
      <c r="AU369">
        <v>0</v>
      </c>
      <c r="AV369">
        <v>2</v>
      </c>
      <c r="AW369">
        <v>3</v>
      </c>
      <c r="AX369">
        <v>0</v>
      </c>
      <c r="AY369">
        <v>2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0</v>
      </c>
      <c r="BN369">
        <v>1</v>
      </c>
      <c r="BO369">
        <v>1</v>
      </c>
      <c r="BP369">
        <v>0</v>
      </c>
      <c r="BQ369">
        <v>0</v>
      </c>
      <c r="BR369">
        <v>0</v>
      </c>
      <c r="BS369">
        <v>3</v>
      </c>
      <c r="BT369">
        <v>0</v>
      </c>
      <c r="BU369">
        <v>0</v>
      </c>
      <c r="BV369">
        <v>2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1</v>
      </c>
      <c r="CC369">
        <v>0</v>
      </c>
      <c r="CD369">
        <v>0</v>
      </c>
      <c r="CE369">
        <v>0</v>
      </c>
      <c r="CF369">
        <v>2</v>
      </c>
      <c r="CG369">
        <v>0</v>
      </c>
      <c r="CH369">
        <v>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0</v>
      </c>
      <c r="CT369">
        <v>1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2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1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</row>
    <row r="370" spans="1:201" x14ac:dyDescent="0.3">
      <c r="A370" t="s">
        <v>310</v>
      </c>
      <c r="B370" t="s">
        <v>315</v>
      </c>
      <c r="C370" t="s">
        <v>204</v>
      </c>
      <c r="D370" s="1">
        <v>1972</v>
      </c>
      <c r="E370">
        <v>696</v>
      </c>
      <c r="F370">
        <v>79</v>
      </c>
      <c r="G370">
        <v>303</v>
      </c>
      <c r="H370">
        <v>98</v>
      </c>
      <c r="I370">
        <v>37</v>
      </c>
      <c r="J370">
        <v>11</v>
      </c>
      <c r="K370">
        <v>23</v>
      </c>
      <c r="L370">
        <v>27</v>
      </c>
      <c r="M370">
        <v>73</v>
      </c>
      <c r="N370">
        <v>39</v>
      </c>
      <c r="O370">
        <v>26</v>
      </c>
      <c r="P370">
        <v>49</v>
      </c>
      <c r="Q370">
        <v>20</v>
      </c>
      <c r="R370">
        <v>44</v>
      </c>
      <c r="S370">
        <v>149</v>
      </c>
      <c r="T370">
        <v>56</v>
      </c>
      <c r="U370">
        <v>22</v>
      </c>
      <c r="V370">
        <v>7</v>
      </c>
      <c r="W370">
        <v>46</v>
      </c>
      <c r="X370">
        <v>1</v>
      </c>
      <c r="Y370">
        <v>9</v>
      </c>
      <c r="Z370">
        <v>13</v>
      </c>
      <c r="AA370">
        <v>17</v>
      </c>
      <c r="AB370">
        <v>5</v>
      </c>
      <c r="AC370">
        <v>12</v>
      </c>
      <c r="AD370">
        <v>17</v>
      </c>
      <c r="AE370">
        <v>0</v>
      </c>
      <c r="AF370">
        <v>5</v>
      </c>
      <c r="AG370">
        <v>5</v>
      </c>
      <c r="AH370">
        <v>3</v>
      </c>
      <c r="AI370">
        <v>1</v>
      </c>
      <c r="AJ370">
        <v>6</v>
      </c>
      <c r="AK370">
        <v>1</v>
      </c>
      <c r="AL370">
        <v>1</v>
      </c>
      <c r="AM370">
        <v>9</v>
      </c>
      <c r="AN370">
        <v>3</v>
      </c>
      <c r="AO370">
        <v>5</v>
      </c>
      <c r="AP370">
        <v>0</v>
      </c>
      <c r="AQ370">
        <v>8</v>
      </c>
      <c r="AR370">
        <v>1</v>
      </c>
      <c r="AS370">
        <v>5</v>
      </c>
      <c r="AT370">
        <v>2</v>
      </c>
      <c r="AU370">
        <v>0</v>
      </c>
      <c r="AV370">
        <v>1</v>
      </c>
      <c r="AW370">
        <v>3</v>
      </c>
      <c r="AX370">
        <v>0</v>
      </c>
      <c r="AY370">
        <v>2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2</v>
      </c>
      <c r="BJ370">
        <v>1</v>
      </c>
      <c r="BK370">
        <v>0</v>
      </c>
      <c r="BL370">
        <v>1</v>
      </c>
      <c r="BM370">
        <v>1</v>
      </c>
      <c r="BN370">
        <v>2</v>
      </c>
      <c r="BO370">
        <v>0</v>
      </c>
      <c r="BP370">
        <v>0</v>
      </c>
      <c r="BQ370">
        <v>1</v>
      </c>
      <c r="BR370">
        <v>0</v>
      </c>
      <c r="BS370">
        <v>0</v>
      </c>
      <c r="BT370">
        <v>0</v>
      </c>
      <c r="BU370">
        <v>0</v>
      </c>
      <c r="BV370">
        <v>8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2</v>
      </c>
      <c r="CD370">
        <v>2</v>
      </c>
      <c r="CE370">
        <v>0</v>
      </c>
      <c r="CF370">
        <v>2</v>
      </c>
      <c r="CG370">
        <v>2</v>
      </c>
      <c r="CH370">
        <v>0</v>
      </c>
      <c r="CI370">
        <v>0</v>
      </c>
      <c r="CJ370">
        <v>0</v>
      </c>
      <c r="CK370">
        <v>1</v>
      </c>
      <c r="CL370">
        <v>0</v>
      </c>
      <c r="CM370">
        <v>0</v>
      </c>
      <c r="CN370">
        <v>0</v>
      </c>
      <c r="CO370">
        <v>0</v>
      </c>
      <c r="CP370">
        <v>1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1</v>
      </c>
      <c r="EG370">
        <v>0</v>
      </c>
      <c r="EH370">
        <v>0</v>
      </c>
      <c r="EI370">
        <v>0</v>
      </c>
      <c r="EJ370">
        <v>0</v>
      </c>
      <c r="EK370">
        <v>1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</row>
    <row r="371" spans="1:201" x14ac:dyDescent="0.3">
      <c r="A371" t="s">
        <v>310</v>
      </c>
      <c r="B371" t="s">
        <v>299</v>
      </c>
      <c r="C371" t="s">
        <v>200</v>
      </c>
      <c r="D371" s="1">
        <v>2353</v>
      </c>
      <c r="E371" s="1">
        <v>1457</v>
      </c>
      <c r="F371">
        <v>121</v>
      </c>
      <c r="G371">
        <v>219</v>
      </c>
      <c r="H371">
        <v>74</v>
      </c>
      <c r="I371">
        <v>31</v>
      </c>
      <c r="J371">
        <v>25</v>
      </c>
      <c r="K371">
        <v>22</v>
      </c>
      <c r="L371">
        <v>39</v>
      </c>
      <c r="M371">
        <v>58</v>
      </c>
      <c r="N371">
        <v>38</v>
      </c>
      <c r="O371">
        <v>23</v>
      </c>
      <c r="P371">
        <v>40</v>
      </c>
      <c r="Q371">
        <v>19</v>
      </c>
      <c r="R371">
        <v>4</v>
      </c>
      <c r="S371">
        <v>70</v>
      </c>
      <c r="T371">
        <v>11</v>
      </c>
      <c r="U371">
        <v>1</v>
      </c>
      <c r="V371">
        <v>9</v>
      </c>
      <c r="W371">
        <v>22</v>
      </c>
      <c r="X371">
        <v>1</v>
      </c>
      <c r="Y371">
        <v>1</v>
      </c>
      <c r="Z371">
        <v>5</v>
      </c>
      <c r="AA371">
        <v>3</v>
      </c>
      <c r="AB371">
        <v>1</v>
      </c>
      <c r="AC371">
        <v>9</v>
      </c>
      <c r="AD371">
        <v>13</v>
      </c>
      <c r="AE371">
        <v>0</v>
      </c>
      <c r="AF371">
        <v>7</v>
      </c>
      <c r="AG371">
        <v>5</v>
      </c>
      <c r="AH371">
        <v>1</v>
      </c>
      <c r="AI371">
        <v>1</v>
      </c>
      <c r="AJ371">
        <v>0</v>
      </c>
      <c r="AK371">
        <v>2</v>
      </c>
      <c r="AL371">
        <v>2</v>
      </c>
      <c r="AM371">
        <v>0</v>
      </c>
      <c r="AN371">
        <v>4</v>
      </c>
      <c r="AO371">
        <v>0</v>
      </c>
      <c r="AP371">
        <v>0</v>
      </c>
      <c r="AQ371">
        <v>2</v>
      </c>
      <c r="AR371">
        <v>0</v>
      </c>
      <c r="AS371">
        <v>1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3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2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1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</row>
    <row r="372" spans="1:201" x14ac:dyDescent="0.3">
      <c r="A372" t="s">
        <v>310</v>
      </c>
      <c r="B372" t="s">
        <v>299</v>
      </c>
      <c r="C372" t="s">
        <v>203</v>
      </c>
      <c r="D372" s="1">
        <v>1161</v>
      </c>
      <c r="E372">
        <v>814</v>
      </c>
      <c r="F372">
        <v>60</v>
      </c>
      <c r="G372">
        <v>67</v>
      </c>
      <c r="H372">
        <v>39</v>
      </c>
      <c r="I372">
        <v>17</v>
      </c>
      <c r="J372">
        <v>11</v>
      </c>
      <c r="K372">
        <v>8</v>
      </c>
      <c r="L372">
        <v>32</v>
      </c>
      <c r="M372">
        <v>5</v>
      </c>
      <c r="N372">
        <v>3</v>
      </c>
      <c r="O372">
        <v>10</v>
      </c>
      <c r="P372">
        <v>22</v>
      </c>
      <c r="Q372">
        <v>10</v>
      </c>
      <c r="R372">
        <v>3</v>
      </c>
      <c r="S372">
        <v>13</v>
      </c>
      <c r="T372">
        <v>2</v>
      </c>
      <c r="U372">
        <v>0</v>
      </c>
      <c r="V372">
        <v>6</v>
      </c>
      <c r="W372">
        <v>8</v>
      </c>
      <c r="X372">
        <v>1</v>
      </c>
      <c r="Y372">
        <v>0</v>
      </c>
      <c r="Z372">
        <v>3</v>
      </c>
      <c r="AA372">
        <v>2</v>
      </c>
      <c r="AB372">
        <v>0</v>
      </c>
      <c r="AC372">
        <v>4</v>
      </c>
      <c r="AD372">
        <v>3</v>
      </c>
      <c r="AE372">
        <v>0</v>
      </c>
      <c r="AF372">
        <v>6</v>
      </c>
      <c r="AG372">
        <v>1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0</v>
      </c>
      <c r="AN372">
        <v>2</v>
      </c>
      <c r="AO372">
        <v>0</v>
      </c>
      <c r="AP372">
        <v>0</v>
      </c>
      <c r="AQ372">
        <v>2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2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</row>
    <row r="373" spans="1:201" x14ac:dyDescent="0.3">
      <c r="A373" t="s">
        <v>310</v>
      </c>
      <c r="B373" t="s">
        <v>299</v>
      </c>
      <c r="C373" t="s">
        <v>204</v>
      </c>
      <c r="D373" s="1">
        <v>1192</v>
      </c>
      <c r="E373">
        <v>643</v>
      </c>
      <c r="F373">
        <v>61</v>
      </c>
      <c r="G373">
        <v>152</v>
      </c>
      <c r="H373">
        <v>35</v>
      </c>
      <c r="I373">
        <v>14</v>
      </c>
      <c r="J373">
        <v>14</v>
      </c>
      <c r="K373">
        <v>14</v>
      </c>
      <c r="L373">
        <v>7</v>
      </c>
      <c r="M373">
        <v>53</v>
      </c>
      <c r="N373">
        <v>35</v>
      </c>
      <c r="O373">
        <v>13</v>
      </c>
      <c r="P373">
        <v>18</v>
      </c>
      <c r="Q373">
        <v>9</v>
      </c>
      <c r="R373">
        <v>1</v>
      </c>
      <c r="S373">
        <v>57</v>
      </c>
      <c r="T373">
        <v>9</v>
      </c>
      <c r="U373">
        <v>1</v>
      </c>
      <c r="V373">
        <v>3</v>
      </c>
      <c r="W373">
        <v>14</v>
      </c>
      <c r="X373">
        <v>0</v>
      </c>
      <c r="Y373">
        <v>1</v>
      </c>
      <c r="Z373">
        <v>2</v>
      </c>
      <c r="AA373">
        <v>1</v>
      </c>
      <c r="AB373">
        <v>1</v>
      </c>
      <c r="AC373">
        <v>5</v>
      </c>
      <c r="AD373">
        <v>10</v>
      </c>
      <c r="AE373">
        <v>0</v>
      </c>
      <c r="AF373">
        <v>1</v>
      </c>
      <c r="AG373">
        <v>4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0</v>
      </c>
      <c r="AN373">
        <v>2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2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1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1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</row>
    <row r="374" spans="1:201" x14ac:dyDescent="0.3">
      <c r="A374" t="s">
        <v>310</v>
      </c>
      <c r="B374" t="s">
        <v>316</v>
      </c>
      <c r="C374" t="s">
        <v>200</v>
      </c>
      <c r="D374" s="1">
        <v>7563</v>
      </c>
      <c r="E374" s="1">
        <v>3316</v>
      </c>
      <c r="F374">
        <v>208</v>
      </c>
      <c r="G374" s="1">
        <v>1507</v>
      </c>
      <c r="H374">
        <v>150</v>
      </c>
      <c r="I374">
        <v>231</v>
      </c>
      <c r="J374">
        <v>325</v>
      </c>
      <c r="K374">
        <v>157</v>
      </c>
      <c r="L374">
        <v>134</v>
      </c>
      <c r="M374">
        <v>218</v>
      </c>
      <c r="N374">
        <v>72</v>
      </c>
      <c r="O374">
        <v>64</v>
      </c>
      <c r="P374">
        <v>36</v>
      </c>
      <c r="Q374">
        <v>109</v>
      </c>
      <c r="R374">
        <v>109</v>
      </c>
      <c r="S374">
        <v>106</v>
      </c>
      <c r="T374">
        <v>18</v>
      </c>
      <c r="U374">
        <v>14</v>
      </c>
      <c r="V374">
        <v>375</v>
      </c>
      <c r="W374">
        <v>93</v>
      </c>
      <c r="X374">
        <v>60</v>
      </c>
      <c r="Y374">
        <v>8</v>
      </c>
      <c r="Z374">
        <v>21</v>
      </c>
      <c r="AA374">
        <v>4</v>
      </c>
      <c r="AB374">
        <v>27</v>
      </c>
      <c r="AC374">
        <v>7</v>
      </c>
      <c r="AD374">
        <v>7</v>
      </c>
      <c r="AE374">
        <v>3</v>
      </c>
      <c r="AF374">
        <v>4</v>
      </c>
      <c r="AG374">
        <v>0</v>
      </c>
      <c r="AH374">
        <v>0</v>
      </c>
      <c r="AI374">
        <v>4</v>
      </c>
      <c r="AJ374">
        <v>1</v>
      </c>
      <c r="AK374">
        <v>5</v>
      </c>
      <c r="AL374">
        <v>13</v>
      </c>
      <c r="AM374">
        <v>1</v>
      </c>
      <c r="AN374">
        <v>1</v>
      </c>
      <c r="AO374">
        <v>2</v>
      </c>
      <c r="AP374">
        <v>0</v>
      </c>
      <c r="AQ374">
        <v>6</v>
      </c>
      <c r="AR374">
        <v>2</v>
      </c>
      <c r="AS374">
        <v>14</v>
      </c>
      <c r="AT374">
        <v>4</v>
      </c>
      <c r="AU374">
        <v>6</v>
      </c>
      <c r="AV374">
        <v>2</v>
      </c>
      <c r="AW374">
        <v>2</v>
      </c>
      <c r="AX374">
        <v>0</v>
      </c>
      <c r="AY374">
        <v>14</v>
      </c>
      <c r="AZ374">
        <v>0</v>
      </c>
      <c r="BA374">
        <v>3</v>
      </c>
      <c r="BB374">
        <v>0</v>
      </c>
      <c r="BC374">
        <v>1</v>
      </c>
      <c r="BD374">
        <v>0</v>
      </c>
      <c r="BE374">
        <v>4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6</v>
      </c>
      <c r="BO374">
        <v>0</v>
      </c>
      <c r="BP374">
        <v>1</v>
      </c>
      <c r="BQ374">
        <v>0</v>
      </c>
      <c r="BR374">
        <v>2</v>
      </c>
      <c r="BS374">
        <v>2</v>
      </c>
      <c r="BT374">
        <v>0</v>
      </c>
      <c r="BU374">
        <v>1</v>
      </c>
      <c r="BV374">
        <v>2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  <c r="CC374">
        <v>0</v>
      </c>
      <c r="CD374">
        <v>7</v>
      </c>
      <c r="CE374">
        <v>0</v>
      </c>
      <c r="CF374">
        <v>0</v>
      </c>
      <c r="CG374">
        <v>1</v>
      </c>
      <c r="CH374">
        <v>1</v>
      </c>
      <c r="CI374">
        <v>1</v>
      </c>
      <c r="CJ374">
        <v>1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2</v>
      </c>
      <c r="CR374">
        <v>0</v>
      </c>
      <c r="CS374">
        <v>1</v>
      </c>
      <c r="CT374">
        <v>0</v>
      </c>
      <c r="CU374">
        <v>52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2</v>
      </c>
      <c r="DN374">
        <v>0</v>
      </c>
      <c r="DO374">
        <v>1</v>
      </c>
      <c r="DP374">
        <v>1</v>
      </c>
      <c r="DQ374">
        <v>0</v>
      </c>
      <c r="DR374">
        <v>0</v>
      </c>
      <c r="DS374">
        <v>3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1</v>
      </c>
      <c r="DZ374">
        <v>0</v>
      </c>
      <c r="EA374">
        <v>0</v>
      </c>
      <c r="EB374">
        <v>1</v>
      </c>
      <c r="EC374">
        <v>0</v>
      </c>
      <c r="ED374">
        <v>0</v>
      </c>
      <c r="EE374">
        <v>0</v>
      </c>
      <c r="EF374">
        <v>0</v>
      </c>
      <c r="EG374">
        <v>1</v>
      </c>
      <c r="EH374">
        <v>0</v>
      </c>
      <c r="EI374">
        <v>0</v>
      </c>
      <c r="EJ374">
        <v>1</v>
      </c>
      <c r="EK374">
        <v>0</v>
      </c>
      <c r="EL374">
        <v>0</v>
      </c>
      <c r="EM374">
        <v>0</v>
      </c>
      <c r="EN374">
        <v>0</v>
      </c>
      <c r="EO374">
        <v>1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1</v>
      </c>
    </row>
    <row r="375" spans="1:201" x14ac:dyDescent="0.3">
      <c r="A375" t="s">
        <v>310</v>
      </c>
      <c r="B375" t="s">
        <v>316</v>
      </c>
      <c r="C375" t="s">
        <v>203</v>
      </c>
      <c r="D375" s="1">
        <v>4092</v>
      </c>
      <c r="E375" s="1">
        <v>1702</v>
      </c>
      <c r="F375">
        <v>112</v>
      </c>
      <c r="G375">
        <v>616</v>
      </c>
      <c r="H375">
        <v>103</v>
      </c>
      <c r="I375">
        <v>187</v>
      </c>
      <c r="J375">
        <v>260</v>
      </c>
      <c r="K375">
        <v>98</v>
      </c>
      <c r="L375">
        <v>99</v>
      </c>
      <c r="M375">
        <v>122</v>
      </c>
      <c r="N375">
        <v>38</v>
      </c>
      <c r="O375">
        <v>27</v>
      </c>
      <c r="P375">
        <v>19</v>
      </c>
      <c r="Q375">
        <v>96</v>
      </c>
      <c r="R375">
        <v>83</v>
      </c>
      <c r="S375">
        <v>29</v>
      </c>
      <c r="T375">
        <v>5</v>
      </c>
      <c r="U375">
        <v>1</v>
      </c>
      <c r="V375">
        <v>294</v>
      </c>
      <c r="W375">
        <v>51</v>
      </c>
      <c r="X375">
        <v>34</v>
      </c>
      <c r="Y375">
        <v>0</v>
      </c>
      <c r="Z375">
        <v>13</v>
      </c>
      <c r="AA375">
        <v>1</v>
      </c>
      <c r="AB375">
        <v>11</v>
      </c>
      <c r="AC375">
        <v>7</v>
      </c>
      <c r="AD375">
        <v>4</v>
      </c>
      <c r="AE375">
        <v>3</v>
      </c>
      <c r="AF375">
        <v>2</v>
      </c>
      <c r="AG375">
        <v>0</v>
      </c>
      <c r="AH375">
        <v>0</v>
      </c>
      <c r="AI375">
        <v>1</v>
      </c>
      <c r="AJ375">
        <v>0</v>
      </c>
      <c r="AK375">
        <v>2</v>
      </c>
      <c r="AL375">
        <v>8</v>
      </c>
      <c r="AM375">
        <v>0</v>
      </c>
      <c r="AN375">
        <v>1</v>
      </c>
      <c r="AO375">
        <v>1</v>
      </c>
      <c r="AP375">
        <v>0</v>
      </c>
      <c r="AQ375">
        <v>2</v>
      </c>
      <c r="AR375">
        <v>1</v>
      </c>
      <c r="AS375">
        <v>2</v>
      </c>
      <c r="AT375">
        <v>2</v>
      </c>
      <c r="AU375">
        <v>1</v>
      </c>
      <c r="AV375">
        <v>1</v>
      </c>
      <c r="AW375">
        <v>0</v>
      </c>
      <c r="AX375">
        <v>0</v>
      </c>
      <c r="AY375">
        <v>4</v>
      </c>
      <c r="AZ375">
        <v>0</v>
      </c>
      <c r="BA375">
        <v>1</v>
      </c>
      <c r="BB375">
        <v>0</v>
      </c>
      <c r="BC375">
        <v>0</v>
      </c>
      <c r="BD375">
        <v>0</v>
      </c>
      <c r="BE375">
        <v>3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Q375">
        <v>0</v>
      </c>
      <c r="BR375">
        <v>1</v>
      </c>
      <c r="BS375">
        <v>1</v>
      </c>
      <c r="BT375">
        <v>0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4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1</v>
      </c>
      <c r="CT375">
        <v>0</v>
      </c>
      <c r="CU375">
        <v>34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1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</row>
    <row r="376" spans="1:201" x14ac:dyDescent="0.3">
      <c r="A376" t="s">
        <v>310</v>
      </c>
      <c r="B376" t="s">
        <v>316</v>
      </c>
      <c r="C376" t="s">
        <v>204</v>
      </c>
      <c r="D376" s="1">
        <v>3471</v>
      </c>
      <c r="E376" s="1">
        <v>1614</v>
      </c>
      <c r="F376">
        <v>96</v>
      </c>
      <c r="G376">
        <v>891</v>
      </c>
      <c r="H376">
        <v>47</v>
      </c>
      <c r="I376">
        <v>44</v>
      </c>
      <c r="J376">
        <v>65</v>
      </c>
      <c r="K376">
        <v>59</v>
      </c>
      <c r="L376">
        <v>35</v>
      </c>
      <c r="M376">
        <v>96</v>
      </c>
      <c r="N376">
        <v>34</v>
      </c>
      <c r="O376">
        <v>37</v>
      </c>
      <c r="P376">
        <v>17</v>
      </c>
      <c r="Q376">
        <v>13</v>
      </c>
      <c r="R376">
        <v>26</v>
      </c>
      <c r="S376">
        <v>77</v>
      </c>
      <c r="T376">
        <v>13</v>
      </c>
      <c r="U376">
        <v>13</v>
      </c>
      <c r="V376">
        <v>81</v>
      </c>
      <c r="W376">
        <v>42</v>
      </c>
      <c r="X376">
        <v>26</v>
      </c>
      <c r="Y376">
        <v>8</v>
      </c>
      <c r="Z376">
        <v>8</v>
      </c>
      <c r="AA376">
        <v>3</v>
      </c>
      <c r="AB376">
        <v>16</v>
      </c>
      <c r="AC376">
        <v>0</v>
      </c>
      <c r="AD376">
        <v>3</v>
      </c>
      <c r="AE376">
        <v>0</v>
      </c>
      <c r="AF376">
        <v>2</v>
      </c>
      <c r="AG376">
        <v>0</v>
      </c>
      <c r="AH376">
        <v>0</v>
      </c>
      <c r="AI376">
        <v>3</v>
      </c>
      <c r="AJ376">
        <v>1</v>
      </c>
      <c r="AK376">
        <v>3</v>
      </c>
      <c r="AL376">
        <v>5</v>
      </c>
      <c r="AM376">
        <v>1</v>
      </c>
      <c r="AN376">
        <v>0</v>
      </c>
      <c r="AO376">
        <v>1</v>
      </c>
      <c r="AP376">
        <v>0</v>
      </c>
      <c r="AQ376">
        <v>4</v>
      </c>
      <c r="AR376">
        <v>1</v>
      </c>
      <c r="AS376">
        <v>12</v>
      </c>
      <c r="AT376">
        <v>2</v>
      </c>
      <c r="AU376">
        <v>5</v>
      </c>
      <c r="AV376">
        <v>1</v>
      </c>
      <c r="AW376">
        <v>2</v>
      </c>
      <c r="AX376">
        <v>0</v>
      </c>
      <c r="AY376">
        <v>10</v>
      </c>
      <c r="AZ376">
        <v>0</v>
      </c>
      <c r="BA376">
        <v>2</v>
      </c>
      <c r="BB376">
        <v>0</v>
      </c>
      <c r="BC376">
        <v>1</v>
      </c>
      <c r="BD376">
        <v>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6</v>
      </c>
      <c r="BO376">
        <v>0</v>
      </c>
      <c r="BP376">
        <v>0</v>
      </c>
      <c r="BQ376">
        <v>0</v>
      </c>
      <c r="BR376">
        <v>1</v>
      </c>
      <c r="BS376">
        <v>1</v>
      </c>
      <c r="BT376">
        <v>0</v>
      </c>
      <c r="BU376">
        <v>0</v>
      </c>
      <c r="BV376">
        <v>2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3</v>
      </c>
      <c r="CE376">
        <v>0</v>
      </c>
      <c r="CF376">
        <v>0</v>
      </c>
      <c r="CG376">
        <v>1</v>
      </c>
      <c r="CH376">
        <v>1</v>
      </c>
      <c r="CI376">
        <v>1</v>
      </c>
      <c r="CJ376">
        <v>1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2</v>
      </c>
      <c r="CR376">
        <v>0</v>
      </c>
      <c r="CS376">
        <v>0</v>
      </c>
      <c r="CT376">
        <v>0</v>
      </c>
      <c r="CU376">
        <v>18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2</v>
      </c>
      <c r="DN376">
        <v>0</v>
      </c>
      <c r="DO376">
        <v>1</v>
      </c>
      <c r="DP376">
        <v>1</v>
      </c>
      <c r="DQ376">
        <v>0</v>
      </c>
      <c r="DR376">
        <v>0</v>
      </c>
      <c r="DS376">
        <v>2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1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1</v>
      </c>
      <c r="EH376">
        <v>0</v>
      </c>
      <c r="EI376">
        <v>0</v>
      </c>
      <c r="EJ376">
        <v>1</v>
      </c>
      <c r="EK376">
        <v>0</v>
      </c>
      <c r="EL376">
        <v>0</v>
      </c>
      <c r="EM376">
        <v>0</v>
      </c>
      <c r="EN376">
        <v>0</v>
      </c>
      <c r="EO376">
        <v>1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1</v>
      </c>
    </row>
    <row r="377" spans="1:201" x14ac:dyDescent="0.3">
      <c r="A377" t="s">
        <v>310</v>
      </c>
      <c r="B377" t="s">
        <v>317</v>
      </c>
      <c r="C377" t="s">
        <v>200</v>
      </c>
      <c r="D377" s="1">
        <v>5360</v>
      </c>
      <c r="E377" s="1">
        <v>1325</v>
      </c>
      <c r="F377">
        <v>267</v>
      </c>
      <c r="G377">
        <v>517</v>
      </c>
      <c r="H377">
        <v>309</v>
      </c>
      <c r="I377">
        <v>358</v>
      </c>
      <c r="J377">
        <v>297</v>
      </c>
      <c r="K377">
        <v>621</v>
      </c>
      <c r="L377">
        <v>154</v>
      </c>
      <c r="M377">
        <v>379</v>
      </c>
      <c r="N377">
        <v>115</v>
      </c>
      <c r="O377">
        <v>45</v>
      </c>
      <c r="P377">
        <v>40</v>
      </c>
      <c r="Q377">
        <v>171</v>
      </c>
      <c r="R377">
        <v>80</v>
      </c>
      <c r="S377">
        <v>101</v>
      </c>
      <c r="T377">
        <v>80</v>
      </c>
      <c r="U377">
        <v>25</v>
      </c>
      <c r="V377">
        <v>129</v>
      </c>
      <c r="W377">
        <v>59</v>
      </c>
      <c r="X377">
        <v>29</v>
      </c>
      <c r="Y377">
        <v>29</v>
      </c>
      <c r="Z377">
        <v>20</v>
      </c>
      <c r="AA377">
        <v>4</v>
      </c>
      <c r="AB377">
        <v>3</v>
      </c>
      <c r="AC377">
        <v>11</v>
      </c>
      <c r="AD377">
        <v>22</v>
      </c>
      <c r="AE377">
        <v>37</v>
      </c>
      <c r="AF377">
        <v>11</v>
      </c>
      <c r="AG377">
        <v>6</v>
      </c>
      <c r="AH377">
        <v>14</v>
      </c>
      <c r="AI377">
        <v>2</v>
      </c>
      <c r="AJ377">
        <v>13</v>
      </c>
      <c r="AK377">
        <v>3</v>
      </c>
      <c r="AL377">
        <v>10</v>
      </c>
      <c r="AM377">
        <v>4</v>
      </c>
      <c r="AN377">
        <v>4</v>
      </c>
      <c r="AO377">
        <v>4</v>
      </c>
      <c r="AP377">
        <v>1</v>
      </c>
      <c r="AQ377">
        <v>7</v>
      </c>
      <c r="AR377">
        <v>2</v>
      </c>
      <c r="AS377">
        <v>1</v>
      </c>
      <c r="AT377">
        <v>6</v>
      </c>
      <c r="AU377">
        <v>3</v>
      </c>
      <c r="AV377">
        <v>0</v>
      </c>
      <c r="AW377">
        <v>0</v>
      </c>
      <c r="AX377">
        <v>1</v>
      </c>
      <c r="AY377">
        <v>4</v>
      </c>
      <c r="AZ377">
        <v>0</v>
      </c>
      <c r="BA377">
        <v>7</v>
      </c>
      <c r="BB377">
        <v>0</v>
      </c>
      <c r="BC377">
        <v>2</v>
      </c>
      <c r="BD377">
        <v>0</v>
      </c>
      <c r="BE377">
        <v>0</v>
      </c>
      <c r="BF377">
        <v>0</v>
      </c>
      <c r="BG377">
        <v>0</v>
      </c>
      <c r="BH377">
        <v>2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1</v>
      </c>
      <c r="BO377">
        <v>1</v>
      </c>
      <c r="BP377">
        <v>3</v>
      </c>
      <c r="BQ377">
        <v>1</v>
      </c>
      <c r="BR377">
        <v>0</v>
      </c>
      <c r="BS377">
        <v>2</v>
      </c>
      <c r="BT377">
        <v>0</v>
      </c>
      <c r="BU377">
        <v>2</v>
      </c>
      <c r="BV377">
        <v>2</v>
      </c>
      <c r="BW377">
        <v>1</v>
      </c>
      <c r="BX377">
        <v>0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1</v>
      </c>
      <c r="CH377">
        <v>0</v>
      </c>
      <c r="CI377">
        <v>1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1</v>
      </c>
      <c r="CT377">
        <v>0</v>
      </c>
      <c r="CU377">
        <v>1</v>
      </c>
      <c r="CV377">
        <v>0</v>
      </c>
      <c r="CW377">
        <v>1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1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1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1</v>
      </c>
      <c r="EH377">
        <v>1</v>
      </c>
      <c r="EI377">
        <v>0</v>
      </c>
      <c r="EJ377">
        <v>1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</row>
    <row r="378" spans="1:201" x14ac:dyDescent="0.3">
      <c r="A378" t="s">
        <v>310</v>
      </c>
      <c r="B378" t="s">
        <v>317</v>
      </c>
      <c r="C378" t="s">
        <v>203</v>
      </c>
      <c r="D378" s="1">
        <v>3422</v>
      </c>
      <c r="E378">
        <v>704</v>
      </c>
      <c r="F378">
        <v>146</v>
      </c>
      <c r="G378">
        <v>176</v>
      </c>
      <c r="H378">
        <v>261</v>
      </c>
      <c r="I378">
        <v>263</v>
      </c>
      <c r="J378">
        <v>244</v>
      </c>
      <c r="K378">
        <v>556</v>
      </c>
      <c r="L378">
        <v>140</v>
      </c>
      <c r="M378">
        <v>276</v>
      </c>
      <c r="N378">
        <v>72</v>
      </c>
      <c r="O378">
        <v>15</v>
      </c>
      <c r="P378">
        <v>20</v>
      </c>
      <c r="Q378">
        <v>144</v>
      </c>
      <c r="R378">
        <v>70</v>
      </c>
      <c r="S378">
        <v>7</v>
      </c>
      <c r="T378">
        <v>32</v>
      </c>
      <c r="U378">
        <v>9</v>
      </c>
      <c r="V378">
        <v>110</v>
      </c>
      <c r="W378">
        <v>24</v>
      </c>
      <c r="X378">
        <v>16</v>
      </c>
      <c r="Y378">
        <v>22</v>
      </c>
      <c r="Z378">
        <v>16</v>
      </c>
      <c r="AA378">
        <v>2</v>
      </c>
      <c r="AB378">
        <v>1</v>
      </c>
      <c r="AC378">
        <v>6</v>
      </c>
      <c r="AD378">
        <v>7</v>
      </c>
      <c r="AE378">
        <v>29</v>
      </c>
      <c r="AF378">
        <v>7</v>
      </c>
      <c r="AG378">
        <v>1</v>
      </c>
      <c r="AH378">
        <v>8</v>
      </c>
      <c r="AI378">
        <v>1</v>
      </c>
      <c r="AJ378">
        <v>3</v>
      </c>
      <c r="AK378">
        <v>3</v>
      </c>
      <c r="AL378">
        <v>1</v>
      </c>
      <c r="AM378">
        <v>0</v>
      </c>
      <c r="AN378">
        <v>1</v>
      </c>
      <c r="AO378">
        <v>2</v>
      </c>
      <c r="AP378">
        <v>1</v>
      </c>
      <c r="AQ378">
        <v>3</v>
      </c>
      <c r="AR378">
        <v>1</v>
      </c>
      <c r="AS378">
        <v>0</v>
      </c>
      <c r="AT378">
        <v>4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4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1</v>
      </c>
      <c r="BP378">
        <v>3</v>
      </c>
      <c r="BQ378">
        <v>0</v>
      </c>
      <c r="BR378">
        <v>0</v>
      </c>
      <c r="BS378">
        <v>2</v>
      </c>
      <c r="BT378">
        <v>0</v>
      </c>
      <c r="BU378">
        <v>0</v>
      </c>
      <c r="BV378">
        <v>0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1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1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</row>
    <row r="379" spans="1:201" x14ac:dyDescent="0.3">
      <c r="A379" t="s">
        <v>310</v>
      </c>
      <c r="B379" t="s">
        <v>317</v>
      </c>
      <c r="C379" t="s">
        <v>204</v>
      </c>
      <c r="D379" s="1">
        <v>1938</v>
      </c>
      <c r="E379">
        <v>621</v>
      </c>
      <c r="F379">
        <v>121</v>
      </c>
      <c r="G379">
        <v>341</v>
      </c>
      <c r="H379">
        <v>48</v>
      </c>
      <c r="I379">
        <v>95</v>
      </c>
      <c r="J379">
        <v>53</v>
      </c>
      <c r="K379">
        <v>65</v>
      </c>
      <c r="L379">
        <v>14</v>
      </c>
      <c r="M379">
        <v>103</v>
      </c>
      <c r="N379">
        <v>43</v>
      </c>
      <c r="O379">
        <v>30</v>
      </c>
      <c r="P379">
        <v>20</v>
      </c>
      <c r="Q379">
        <v>27</v>
      </c>
      <c r="R379">
        <v>10</v>
      </c>
      <c r="S379">
        <v>94</v>
      </c>
      <c r="T379">
        <v>48</v>
      </c>
      <c r="U379">
        <v>16</v>
      </c>
      <c r="V379">
        <v>19</v>
      </c>
      <c r="W379">
        <v>35</v>
      </c>
      <c r="X379">
        <v>13</v>
      </c>
      <c r="Y379">
        <v>7</v>
      </c>
      <c r="Z379">
        <v>4</v>
      </c>
      <c r="AA379">
        <v>2</v>
      </c>
      <c r="AB379">
        <v>2</v>
      </c>
      <c r="AC379">
        <v>5</v>
      </c>
      <c r="AD379">
        <v>15</v>
      </c>
      <c r="AE379">
        <v>8</v>
      </c>
      <c r="AF379">
        <v>4</v>
      </c>
      <c r="AG379">
        <v>5</v>
      </c>
      <c r="AH379">
        <v>6</v>
      </c>
      <c r="AI379">
        <v>1</v>
      </c>
      <c r="AJ379">
        <v>10</v>
      </c>
      <c r="AK379">
        <v>0</v>
      </c>
      <c r="AL379">
        <v>9</v>
      </c>
      <c r="AM379">
        <v>4</v>
      </c>
      <c r="AN379">
        <v>3</v>
      </c>
      <c r="AO379">
        <v>2</v>
      </c>
      <c r="AP379">
        <v>0</v>
      </c>
      <c r="AQ379">
        <v>4</v>
      </c>
      <c r="AR379">
        <v>1</v>
      </c>
      <c r="AS379">
        <v>1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4</v>
      </c>
      <c r="AZ379">
        <v>0</v>
      </c>
      <c r="BA379">
        <v>3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1</v>
      </c>
      <c r="BR379">
        <v>0</v>
      </c>
      <c r="BS379">
        <v>0</v>
      </c>
      <c r="BT379">
        <v>0</v>
      </c>
      <c r="BU379">
        <v>2</v>
      </c>
      <c r="BV379">
        <v>2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1</v>
      </c>
      <c r="CH379">
        <v>0</v>
      </c>
      <c r="CI379">
        <v>1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1</v>
      </c>
      <c r="CT379">
        <v>0</v>
      </c>
      <c r="CU379">
        <v>1</v>
      </c>
      <c r="CV379">
        <v>0</v>
      </c>
      <c r="CW379">
        <v>1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1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1</v>
      </c>
      <c r="EH379">
        <v>0</v>
      </c>
      <c r="EI379">
        <v>0</v>
      </c>
      <c r="EJ379">
        <v>1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</row>
    <row r="380" spans="1:201" x14ac:dyDescent="0.3">
      <c r="A380" t="s">
        <v>310</v>
      </c>
      <c r="B380" t="s">
        <v>300</v>
      </c>
      <c r="C380" t="s">
        <v>200</v>
      </c>
      <c r="D380" s="1">
        <v>2981</v>
      </c>
      <c r="E380" s="1">
        <v>1442</v>
      </c>
      <c r="F380">
        <v>60</v>
      </c>
      <c r="G380">
        <v>205</v>
      </c>
      <c r="H380">
        <v>72</v>
      </c>
      <c r="I380">
        <v>68</v>
      </c>
      <c r="J380">
        <v>60</v>
      </c>
      <c r="K380">
        <v>549</v>
      </c>
      <c r="L380">
        <v>87</v>
      </c>
      <c r="M380">
        <v>32</v>
      </c>
      <c r="N380">
        <v>10</v>
      </c>
      <c r="O380">
        <v>16</v>
      </c>
      <c r="P380">
        <v>19</v>
      </c>
      <c r="Q380">
        <v>12</v>
      </c>
      <c r="R380">
        <v>23</v>
      </c>
      <c r="S380">
        <v>50</v>
      </c>
      <c r="T380">
        <v>72</v>
      </c>
      <c r="U380">
        <v>13</v>
      </c>
      <c r="V380">
        <v>18</v>
      </c>
      <c r="W380">
        <v>69</v>
      </c>
      <c r="X380">
        <v>8</v>
      </c>
      <c r="Y380">
        <v>6</v>
      </c>
      <c r="Z380">
        <v>5</v>
      </c>
      <c r="AA380">
        <v>3</v>
      </c>
      <c r="AB380">
        <v>0</v>
      </c>
      <c r="AC380">
        <v>12</v>
      </c>
      <c r="AD380">
        <v>3</v>
      </c>
      <c r="AE380">
        <v>7</v>
      </c>
      <c r="AF380">
        <v>4</v>
      </c>
      <c r="AG380">
        <v>3</v>
      </c>
      <c r="AH380">
        <v>2</v>
      </c>
      <c r="AI380">
        <v>2</v>
      </c>
      <c r="AJ380">
        <v>12</v>
      </c>
      <c r="AK380">
        <v>4</v>
      </c>
      <c r="AL380">
        <v>4</v>
      </c>
      <c r="AM380">
        <v>0</v>
      </c>
      <c r="AN380">
        <v>0</v>
      </c>
      <c r="AO380">
        <v>3</v>
      </c>
      <c r="AP380">
        <v>0</v>
      </c>
      <c r="AQ380">
        <v>2</v>
      </c>
      <c r="AR380">
        <v>0</v>
      </c>
      <c r="AS380">
        <v>1</v>
      </c>
      <c r="AT380">
        <v>0</v>
      </c>
      <c r="AU380">
        <v>3</v>
      </c>
      <c r="AV380">
        <v>0</v>
      </c>
      <c r="AW380">
        <v>1</v>
      </c>
      <c r="AX380">
        <v>0</v>
      </c>
      <c r="AY380">
        <v>4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2</v>
      </c>
      <c r="BQ380">
        <v>0</v>
      </c>
      <c r="BR380">
        <v>0</v>
      </c>
      <c r="BS380">
        <v>0</v>
      </c>
      <c r="BT380">
        <v>1</v>
      </c>
      <c r="BU380">
        <v>0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</v>
      </c>
      <c r="CJ380">
        <v>1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1</v>
      </c>
      <c r="CT380">
        <v>0</v>
      </c>
      <c r="CU380">
        <v>2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0</v>
      </c>
      <c r="DG380">
        <v>0</v>
      </c>
      <c r="DH380">
        <v>0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1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1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</row>
    <row r="381" spans="1:201" x14ac:dyDescent="0.3">
      <c r="A381" t="s">
        <v>310</v>
      </c>
      <c r="B381" t="s">
        <v>300</v>
      </c>
      <c r="C381" t="s">
        <v>203</v>
      </c>
      <c r="D381" s="1">
        <v>1580</v>
      </c>
      <c r="E381">
        <v>576</v>
      </c>
      <c r="F381">
        <v>24</v>
      </c>
      <c r="G381">
        <v>94</v>
      </c>
      <c r="H381">
        <v>40</v>
      </c>
      <c r="I381">
        <v>48</v>
      </c>
      <c r="J381">
        <v>22</v>
      </c>
      <c r="K381">
        <v>517</v>
      </c>
      <c r="L381">
        <v>60</v>
      </c>
      <c r="M381">
        <v>1</v>
      </c>
      <c r="N381">
        <v>1</v>
      </c>
      <c r="O381">
        <v>3</v>
      </c>
      <c r="P381">
        <v>16</v>
      </c>
      <c r="Q381">
        <v>8</v>
      </c>
      <c r="R381">
        <v>17</v>
      </c>
      <c r="S381">
        <v>13</v>
      </c>
      <c r="T381">
        <v>33</v>
      </c>
      <c r="U381">
        <v>4</v>
      </c>
      <c r="V381">
        <v>12</v>
      </c>
      <c r="W381">
        <v>39</v>
      </c>
      <c r="X381">
        <v>4</v>
      </c>
      <c r="Y381">
        <v>2</v>
      </c>
      <c r="Z381">
        <v>2</v>
      </c>
      <c r="AA381">
        <v>0</v>
      </c>
      <c r="AB381">
        <v>0</v>
      </c>
      <c r="AC381">
        <v>9</v>
      </c>
      <c r="AD381">
        <v>2</v>
      </c>
      <c r="AE381">
        <v>4</v>
      </c>
      <c r="AF381">
        <v>4</v>
      </c>
      <c r="AG381">
        <v>2</v>
      </c>
      <c r="AH381">
        <v>1</v>
      </c>
      <c r="AI381">
        <v>0</v>
      </c>
      <c r="AJ381">
        <v>9</v>
      </c>
      <c r="AK381">
        <v>3</v>
      </c>
      <c r="AL381">
        <v>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2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1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</row>
    <row r="382" spans="1:201" x14ac:dyDescent="0.3">
      <c r="A382" t="s">
        <v>310</v>
      </c>
      <c r="B382" t="s">
        <v>300</v>
      </c>
      <c r="C382" t="s">
        <v>204</v>
      </c>
      <c r="D382" s="1">
        <v>1401</v>
      </c>
      <c r="E382">
        <v>866</v>
      </c>
      <c r="F382">
        <v>36</v>
      </c>
      <c r="G382">
        <v>111</v>
      </c>
      <c r="H382">
        <v>32</v>
      </c>
      <c r="I382">
        <v>20</v>
      </c>
      <c r="J382">
        <v>38</v>
      </c>
      <c r="K382">
        <v>32</v>
      </c>
      <c r="L382">
        <v>27</v>
      </c>
      <c r="M382">
        <v>31</v>
      </c>
      <c r="N382">
        <v>9</v>
      </c>
      <c r="O382">
        <v>13</v>
      </c>
      <c r="P382">
        <v>3</v>
      </c>
      <c r="Q382">
        <v>4</v>
      </c>
      <c r="R382">
        <v>6</v>
      </c>
      <c r="S382">
        <v>37</v>
      </c>
      <c r="T382">
        <v>39</v>
      </c>
      <c r="U382">
        <v>9</v>
      </c>
      <c r="V382">
        <v>6</v>
      </c>
      <c r="W382">
        <v>30</v>
      </c>
      <c r="X382">
        <v>4</v>
      </c>
      <c r="Y382">
        <v>4</v>
      </c>
      <c r="Z382">
        <v>3</v>
      </c>
      <c r="AA382">
        <v>3</v>
      </c>
      <c r="AB382">
        <v>0</v>
      </c>
      <c r="AC382">
        <v>3</v>
      </c>
      <c r="AD382">
        <v>1</v>
      </c>
      <c r="AE382">
        <v>3</v>
      </c>
      <c r="AF382">
        <v>0</v>
      </c>
      <c r="AG382">
        <v>1</v>
      </c>
      <c r="AH382">
        <v>1</v>
      </c>
      <c r="AI382">
        <v>2</v>
      </c>
      <c r="AJ382">
        <v>3</v>
      </c>
      <c r="AK382">
        <v>1</v>
      </c>
      <c r="AL382">
        <v>2</v>
      </c>
      <c r="AM382">
        <v>0</v>
      </c>
      <c r="AN382">
        <v>0</v>
      </c>
      <c r="AO382">
        <v>3</v>
      </c>
      <c r="AP382">
        <v>0</v>
      </c>
      <c r="AQ382">
        <v>2</v>
      </c>
      <c r="AR382">
        <v>0</v>
      </c>
      <c r="AS382">
        <v>1</v>
      </c>
      <c r="AT382">
        <v>0</v>
      </c>
      <c r="AU382">
        <v>3</v>
      </c>
      <c r="AV382">
        <v>0</v>
      </c>
      <c r="AW382">
        <v>1</v>
      </c>
      <c r="AX382">
        <v>0</v>
      </c>
      <c r="AY382">
        <v>3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2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1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1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1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</row>
    <row r="383" spans="1:201" x14ac:dyDescent="0.3">
      <c r="A383" t="s">
        <v>310</v>
      </c>
      <c r="B383" t="s">
        <v>318</v>
      </c>
      <c r="C383" t="s">
        <v>200</v>
      </c>
      <c r="D383" s="1">
        <v>1908</v>
      </c>
      <c r="E383">
        <v>296</v>
      </c>
      <c r="F383">
        <v>56</v>
      </c>
      <c r="G383">
        <v>272</v>
      </c>
      <c r="H383">
        <v>66</v>
      </c>
      <c r="I383">
        <v>52</v>
      </c>
      <c r="J383">
        <v>11</v>
      </c>
      <c r="K383">
        <v>47</v>
      </c>
      <c r="L383">
        <v>18</v>
      </c>
      <c r="M383">
        <v>24</v>
      </c>
      <c r="N383">
        <v>23</v>
      </c>
      <c r="O383">
        <v>68</v>
      </c>
      <c r="P383">
        <v>276</v>
      </c>
      <c r="Q383">
        <v>3</v>
      </c>
      <c r="R383">
        <v>21</v>
      </c>
      <c r="S383">
        <v>144</v>
      </c>
      <c r="T383">
        <v>77</v>
      </c>
      <c r="U383">
        <v>10</v>
      </c>
      <c r="V383">
        <v>11</v>
      </c>
      <c r="W383">
        <v>57</v>
      </c>
      <c r="X383">
        <v>19</v>
      </c>
      <c r="Y383">
        <v>4</v>
      </c>
      <c r="Z383">
        <v>9</v>
      </c>
      <c r="AA383">
        <v>32</v>
      </c>
      <c r="AB383">
        <v>3</v>
      </c>
      <c r="AC383">
        <v>54</v>
      </c>
      <c r="AD383">
        <v>41</v>
      </c>
      <c r="AE383">
        <v>0</v>
      </c>
      <c r="AF383">
        <v>43</v>
      </c>
      <c r="AG383">
        <v>8</v>
      </c>
      <c r="AH383">
        <v>14</v>
      </c>
      <c r="AI383">
        <v>1</v>
      </c>
      <c r="AJ383">
        <v>3</v>
      </c>
      <c r="AK383">
        <v>0</v>
      </c>
      <c r="AL383">
        <v>5</v>
      </c>
      <c r="AM383">
        <v>6</v>
      </c>
      <c r="AN383">
        <v>6</v>
      </c>
      <c r="AO383">
        <v>1</v>
      </c>
      <c r="AP383">
        <v>1</v>
      </c>
      <c r="AQ383">
        <v>5</v>
      </c>
      <c r="AR383">
        <v>5</v>
      </c>
      <c r="AS383">
        <v>0</v>
      </c>
      <c r="AT383">
        <v>12</v>
      </c>
      <c r="AU383">
        <v>4</v>
      </c>
      <c r="AV383">
        <v>3</v>
      </c>
      <c r="AW383">
        <v>5</v>
      </c>
      <c r="AX383">
        <v>0</v>
      </c>
      <c r="AY383">
        <v>4</v>
      </c>
      <c r="AZ383">
        <v>0</v>
      </c>
      <c r="BA383">
        <v>3</v>
      </c>
      <c r="BB383">
        <v>1</v>
      </c>
      <c r="BC383">
        <v>2</v>
      </c>
      <c r="BD383">
        <v>0</v>
      </c>
      <c r="BE383">
        <v>0</v>
      </c>
      <c r="BF383">
        <v>0</v>
      </c>
      <c r="BG383">
        <v>9</v>
      </c>
      <c r="BH383">
        <v>3</v>
      </c>
      <c r="BI383">
        <v>2</v>
      </c>
      <c r="BJ383">
        <v>1</v>
      </c>
      <c r="BK383">
        <v>4</v>
      </c>
      <c r="BL383">
        <v>0</v>
      </c>
      <c r="BM383">
        <v>5</v>
      </c>
      <c r="BN383">
        <v>0</v>
      </c>
      <c r="BO383">
        <v>0</v>
      </c>
      <c r="BP383">
        <v>0</v>
      </c>
      <c r="BQ383">
        <v>3</v>
      </c>
      <c r="BR383">
        <v>0</v>
      </c>
      <c r="BS383">
        <v>8</v>
      </c>
      <c r="BT383">
        <v>1</v>
      </c>
      <c r="BU383">
        <v>6</v>
      </c>
      <c r="BV383">
        <v>5</v>
      </c>
      <c r="BW383">
        <v>0</v>
      </c>
      <c r="BX383">
        <v>0</v>
      </c>
      <c r="BY383">
        <v>3</v>
      </c>
      <c r="BZ383">
        <v>0</v>
      </c>
      <c r="CA383">
        <v>2</v>
      </c>
      <c r="CB383">
        <v>0</v>
      </c>
      <c r="CC383">
        <v>4</v>
      </c>
      <c r="CD383">
        <v>0</v>
      </c>
      <c r="CE383">
        <v>0</v>
      </c>
      <c r="CF383">
        <v>4</v>
      </c>
      <c r="CG383">
        <v>1</v>
      </c>
      <c r="CH383">
        <v>0</v>
      </c>
      <c r="CI383">
        <v>1</v>
      </c>
      <c r="CJ383">
        <v>1</v>
      </c>
      <c r="CK383">
        <v>1</v>
      </c>
      <c r="CL383">
        <v>1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1</v>
      </c>
      <c r="CU383">
        <v>1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1</v>
      </c>
      <c r="DH383">
        <v>0</v>
      </c>
      <c r="DI383">
        <v>1</v>
      </c>
      <c r="DJ383">
        <v>0</v>
      </c>
      <c r="DK383">
        <v>0</v>
      </c>
      <c r="DL383">
        <v>0</v>
      </c>
      <c r="DM383">
        <v>0</v>
      </c>
      <c r="DN383">
        <v>1</v>
      </c>
      <c r="DO383">
        <v>2</v>
      </c>
      <c r="DP383">
        <v>1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1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1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2</v>
      </c>
      <c r="ES383">
        <v>2</v>
      </c>
      <c r="ET383">
        <v>0</v>
      </c>
      <c r="EU383">
        <v>0</v>
      </c>
      <c r="EV383">
        <v>0</v>
      </c>
      <c r="EW383">
        <v>1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1</v>
      </c>
    </row>
    <row r="384" spans="1:201" x14ac:dyDescent="0.3">
      <c r="A384" t="s">
        <v>310</v>
      </c>
      <c r="B384" t="s">
        <v>318</v>
      </c>
      <c r="C384" t="s">
        <v>203</v>
      </c>
      <c r="D384">
        <v>841</v>
      </c>
      <c r="E384">
        <v>129</v>
      </c>
      <c r="F384">
        <v>28</v>
      </c>
      <c r="G384">
        <v>91</v>
      </c>
      <c r="H384">
        <v>28</v>
      </c>
      <c r="I384">
        <v>27</v>
      </c>
      <c r="J384">
        <v>6</v>
      </c>
      <c r="K384">
        <v>30</v>
      </c>
      <c r="L384">
        <v>5</v>
      </c>
      <c r="M384">
        <v>2</v>
      </c>
      <c r="N384">
        <v>3</v>
      </c>
      <c r="O384">
        <v>26</v>
      </c>
      <c r="P384">
        <v>148</v>
      </c>
      <c r="Q384">
        <v>3</v>
      </c>
      <c r="R384">
        <v>14</v>
      </c>
      <c r="S384">
        <v>45</v>
      </c>
      <c r="T384">
        <v>29</v>
      </c>
      <c r="U384">
        <v>0</v>
      </c>
      <c r="V384">
        <v>9</v>
      </c>
      <c r="W384">
        <v>30</v>
      </c>
      <c r="X384">
        <v>15</v>
      </c>
      <c r="Y384">
        <v>1</v>
      </c>
      <c r="Z384">
        <v>3</v>
      </c>
      <c r="AA384">
        <v>13</v>
      </c>
      <c r="AB384">
        <v>0</v>
      </c>
      <c r="AC384">
        <v>38</v>
      </c>
      <c r="AD384">
        <v>10</v>
      </c>
      <c r="AE384">
        <v>0</v>
      </c>
      <c r="AF384">
        <v>29</v>
      </c>
      <c r="AG384">
        <v>3</v>
      </c>
      <c r="AH384">
        <v>6</v>
      </c>
      <c r="AI384">
        <v>1</v>
      </c>
      <c r="AJ384">
        <v>2</v>
      </c>
      <c r="AK384">
        <v>0</v>
      </c>
      <c r="AL384">
        <v>0</v>
      </c>
      <c r="AM384">
        <v>0</v>
      </c>
      <c r="AN384">
        <v>4</v>
      </c>
      <c r="AO384">
        <v>1</v>
      </c>
      <c r="AP384">
        <v>1</v>
      </c>
      <c r="AQ384">
        <v>0</v>
      </c>
      <c r="AR384">
        <v>3</v>
      </c>
      <c r="AS384">
        <v>0</v>
      </c>
      <c r="AT384">
        <v>9</v>
      </c>
      <c r="AU384">
        <v>1</v>
      </c>
      <c r="AV384">
        <v>2</v>
      </c>
      <c r="AW384">
        <v>3</v>
      </c>
      <c r="AX384">
        <v>0</v>
      </c>
      <c r="AY384">
        <v>0</v>
      </c>
      <c r="AZ384">
        <v>0</v>
      </c>
      <c r="BA384">
        <v>1</v>
      </c>
      <c r="BB384">
        <v>0</v>
      </c>
      <c r="BC384">
        <v>2</v>
      </c>
      <c r="BD384">
        <v>0</v>
      </c>
      <c r="BE384">
        <v>0</v>
      </c>
      <c r="BF384">
        <v>0</v>
      </c>
      <c r="BG384">
        <v>7</v>
      </c>
      <c r="BH384">
        <v>1</v>
      </c>
      <c r="BI384">
        <v>2</v>
      </c>
      <c r="BJ384">
        <v>1</v>
      </c>
      <c r="BK384">
        <v>4</v>
      </c>
      <c r="BL384">
        <v>0</v>
      </c>
      <c r="BM384">
        <v>2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5</v>
      </c>
      <c r="BT384">
        <v>1</v>
      </c>
      <c r="BU384">
        <v>3</v>
      </c>
      <c r="BV384">
        <v>0</v>
      </c>
      <c r="BW384">
        <v>0</v>
      </c>
      <c r="BX384">
        <v>0</v>
      </c>
      <c r="BY384">
        <v>2</v>
      </c>
      <c r="BZ384">
        <v>0</v>
      </c>
      <c r="CA384">
        <v>1</v>
      </c>
      <c r="CB384">
        <v>0</v>
      </c>
      <c r="CC384">
        <v>2</v>
      </c>
      <c r="CD384">
        <v>0</v>
      </c>
      <c r="CE384">
        <v>0</v>
      </c>
      <c r="CF384">
        <v>4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1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1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1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</row>
    <row r="385" spans="1:201" x14ac:dyDescent="0.3">
      <c r="A385" t="s">
        <v>310</v>
      </c>
      <c r="B385" t="s">
        <v>318</v>
      </c>
      <c r="C385" t="s">
        <v>204</v>
      </c>
      <c r="D385" s="1">
        <v>1067</v>
      </c>
      <c r="E385">
        <v>167</v>
      </c>
      <c r="F385">
        <v>28</v>
      </c>
      <c r="G385">
        <v>181</v>
      </c>
      <c r="H385">
        <v>38</v>
      </c>
      <c r="I385">
        <v>25</v>
      </c>
      <c r="J385">
        <v>5</v>
      </c>
      <c r="K385">
        <v>17</v>
      </c>
      <c r="L385">
        <v>13</v>
      </c>
      <c r="M385">
        <v>22</v>
      </c>
      <c r="N385">
        <v>20</v>
      </c>
      <c r="O385">
        <v>42</v>
      </c>
      <c r="P385">
        <v>128</v>
      </c>
      <c r="Q385">
        <v>0</v>
      </c>
      <c r="R385">
        <v>7</v>
      </c>
      <c r="S385">
        <v>99</v>
      </c>
      <c r="T385">
        <v>48</v>
      </c>
      <c r="U385">
        <v>10</v>
      </c>
      <c r="V385">
        <v>2</v>
      </c>
      <c r="W385">
        <v>27</v>
      </c>
      <c r="X385">
        <v>4</v>
      </c>
      <c r="Y385">
        <v>3</v>
      </c>
      <c r="Z385">
        <v>6</v>
      </c>
      <c r="AA385">
        <v>19</v>
      </c>
      <c r="AB385">
        <v>3</v>
      </c>
      <c r="AC385">
        <v>16</v>
      </c>
      <c r="AD385">
        <v>31</v>
      </c>
      <c r="AE385">
        <v>0</v>
      </c>
      <c r="AF385">
        <v>14</v>
      </c>
      <c r="AG385">
        <v>5</v>
      </c>
      <c r="AH385">
        <v>8</v>
      </c>
      <c r="AI385">
        <v>0</v>
      </c>
      <c r="AJ385">
        <v>1</v>
      </c>
      <c r="AK385">
        <v>0</v>
      </c>
      <c r="AL385">
        <v>5</v>
      </c>
      <c r="AM385">
        <v>6</v>
      </c>
      <c r="AN385">
        <v>2</v>
      </c>
      <c r="AO385">
        <v>0</v>
      </c>
      <c r="AP385">
        <v>0</v>
      </c>
      <c r="AQ385">
        <v>5</v>
      </c>
      <c r="AR385">
        <v>2</v>
      </c>
      <c r="AS385">
        <v>0</v>
      </c>
      <c r="AT385">
        <v>3</v>
      </c>
      <c r="AU385">
        <v>3</v>
      </c>
      <c r="AV385">
        <v>1</v>
      </c>
      <c r="AW385">
        <v>2</v>
      </c>
      <c r="AX385">
        <v>0</v>
      </c>
      <c r="AY385">
        <v>4</v>
      </c>
      <c r="AZ385">
        <v>0</v>
      </c>
      <c r="BA385">
        <v>2</v>
      </c>
      <c r="BB385">
        <v>1</v>
      </c>
      <c r="BC385">
        <v>0</v>
      </c>
      <c r="BD385">
        <v>0</v>
      </c>
      <c r="BE385">
        <v>0</v>
      </c>
      <c r="BF385">
        <v>0</v>
      </c>
      <c r="BG385">
        <v>2</v>
      </c>
      <c r="BH385">
        <v>2</v>
      </c>
      <c r="BI385">
        <v>0</v>
      </c>
      <c r="BJ385">
        <v>0</v>
      </c>
      <c r="BK385">
        <v>0</v>
      </c>
      <c r="BL385">
        <v>0</v>
      </c>
      <c r="BM385">
        <v>3</v>
      </c>
      <c r="BN385">
        <v>0</v>
      </c>
      <c r="BO385">
        <v>0</v>
      </c>
      <c r="BP385">
        <v>0</v>
      </c>
      <c r="BQ385">
        <v>3</v>
      </c>
      <c r="BR385">
        <v>0</v>
      </c>
      <c r="BS385">
        <v>3</v>
      </c>
      <c r="BT385">
        <v>0</v>
      </c>
      <c r="BU385">
        <v>3</v>
      </c>
      <c r="BV385">
        <v>5</v>
      </c>
      <c r="BW385">
        <v>0</v>
      </c>
      <c r="BX385">
        <v>0</v>
      </c>
      <c r="BY385">
        <v>1</v>
      </c>
      <c r="BZ385">
        <v>0</v>
      </c>
      <c r="CA385">
        <v>1</v>
      </c>
      <c r="CB385">
        <v>0</v>
      </c>
      <c r="CC385">
        <v>2</v>
      </c>
      <c r="CD385">
        <v>0</v>
      </c>
      <c r="CE385">
        <v>0</v>
      </c>
      <c r="CF385">
        <v>0</v>
      </c>
      <c r="CG385">
        <v>1</v>
      </c>
      <c r="CH385">
        <v>0</v>
      </c>
      <c r="CI385">
        <v>1</v>
      </c>
      <c r="CJ385">
        <v>1</v>
      </c>
      <c r="CK385">
        <v>1</v>
      </c>
      <c r="CL385">
        <v>1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</v>
      </c>
      <c r="DJ385">
        <v>0</v>
      </c>
      <c r="DK385">
        <v>0</v>
      </c>
      <c r="DL385">
        <v>0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1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1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2</v>
      </c>
      <c r="ES385">
        <v>2</v>
      </c>
      <c r="ET385">
        <v>0</v>
      </c>
      <c r="EU385">
        <v>0</v>
      </c>
      <c r="EV385">
        <v>0</v>
      </c>
      <c r="EW385">
        <v>1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1</v>
      </c>
    </row>
    <row r="386" spans="1:201" x14ac:dyDescent="0.3">
      <c r="A386" t="s">
        <v>310</v>
      </c>
      <c r="B386" t="s">
        <v>319</v>
      </c>
      <c r="C386" t="s">
        <v>200</v>
      </c>
      <c r="D386">
        <v>997</v>
      </c>
      <c r="E386">
        <v>274</v>
      </c>
      <c r="F386">
        <v>67</v>
      </c>
      <c r="G386">
        <v>201</v>
      </c>
      <c r="H386">
        <v>9</v>
      </c>
      <c r="I386">
        <v>17</v>
      </c>
      <c r="J386">
        <v>28</v>
      </c>
      <c r="K386">
        <v>40</v>
      </c>
      <c r="L386">
        <v>4</v>
      </c>
      <c r="M386">
        <v>46</v>
      </c>
      <c r="N386">
        <v>16</v>
      </c>
      <c r="O386">
        <v>29</v>
      </c>
      <c r="P386">
        <v>30</v>
      </c>
      <c r="Q386">
        <v>0</v>
      </c>
      <c r="R386">
        <v>8</v>
      </c>
      <c r="S386">
        <v>57</v>
      </c>
      <c r="T386">
        <v>28</v>
      </c>
      <c r="U386">
        <v>2</v>
      </c>
      <c r="V386">
        <v>4</v>
      </c>
      <c r="W386">
        <v>48</v>
      </c>
      <c r="X386">
        <v>3</v>
      </c>
      <c r="Y386">
        <v>5</v>
      </c>
      <c r="Z386">
        <v>2</v>
      </c>
      <c r="AA386">
        <v>5</v>
      </c>
      <c r="AB386">
        <v>4</v>
      </c>
      <c r="AC386">
        <v>9</v>
      </c>
      <c r="AD386">
        <v>6</v>
      </c>
      <c r="AE386">
        <v>0</v>
      </c>
      <c r="AF386">
        <v>13</v>
      </c>
      <c r="AG386">
        <v>1</v>
      </c>
      <c r="AH386">
        <v>0</v>
      </c>
      <c r="AI386">
        <v>1</v>
      </c>
      <c r="AJ386">
        <v>2</v>
      </c>
      <c r="AK386">
        <v>0</v>
      </c>
      <c r="AL386">
        <v>4</v>
      </c>
      <c r="AM386">
        <v>3</v>
      </c>
      <c r="AN386">
        <v>4</v>
      </c>
      <c r="AO386">
        <v>0</v>
      </c>
      <c r="AP386">
        <v>0</v>
      </c>
      <c r="AQ386">
        <v>0</v>
      </c>
      <c r="AR386">
        <v>0</v>
      </c>
      <c r="AS386">
        <v>3</v>
      </c>
      <c r="AT386">
        <v>1</v>
      </c>
      <c r="AU386">
        <v>0</v>
      </c>
      <c r="AV386">
        <v>0</v>
      </c>
      <c r="AW386">
        <v>1</v>
      </c>
      <c r="AX386">
        <v>0</v>
      </c>
      <c r="AY386">
        <v>3</v>
      </c>
      <c r="AZ386">
        <v>0</v>
      </c>
      <c r="BA386">
        <v>2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</v>
      </c>
      <c r="BH386">
        <v>2</v>
      </c>
      <c r="BI386">
        <v>1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4</v>
      </c>
      <c r="BT386">
        <v>0</v>
      </c>
      <c r="BU386">
        <v>0</v>
      </c>
      <c r="BV386">
        <v>2</v>
      </c>
      <c r="BW386">
        <v>1</v>
      </c>
      <c r="BX386">
        <v>0</v>
      </c>
      <c r="BY386">
        <v>0</v>
      </c>
      <c r="BZ386">
        <v>0</v>
      </c>
      <c r="CA386">
        <v>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1</v>
      </c>
      <c r="CH386">
        <v>0</v>
      </c>
      <c r="CI386">
        <v>0</v>
      </c>
      <c r="CJ386">
        <v>0</v>
      </c>
      <c r="CK386">
        <v>1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1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</row>
    <row r="387" spans="1:201" x14ac:dyDescent="0.3">
      <c r="A387" t="s">
        <v>310</v>
      </c>
      <c r="B387" t="s">
        <v>319</v>
      </c>
      <c r="C387" t="s">
        <v>203</v>
      </c>
      <c r="D387">
        <v>371</v>
      </c>
      <c r="E387">
        <v>86</v>
      </c>
      <c r="F387">
        <v>37</v>
      </c>
      <c r="G387">
        <v>55</v>
      </c>
      <c r="H387">
        <v>7</v>
      </c>
      <c r="I387">
        <v>11</v>
      </c>
      <c r="J387">
        <v>17</v>
      </c>
      <c r="K387">
        <v>29</v>
      </c>
      <c r="L387">
        <v>0</v>
      </c>
      <c r="M387">
        <v>5</v>
      </c>
      <c r="N387">
        <v>1</v>
      </c>
      <c r="O387">
        <v>11</v>
      </c>
      <c r="P387">
        <v>16</v>
      </c>
      <c r="Q387">
        <v>0</v>
      </c>
      <c r="R387">
        <v>6</v>
      </c>
      <c r="S387">
        <v>11</v>
      </c>
      <c r="T387">
        <v>10</v>
      </c>
      <c r="U387">
        <v>0</v>
      </c>
      <c r="V387">
        <v>4</v>
      </c>
      <c r="W387">
        <v>27</v>
      </c>
      <c r="X387">
        <v>3</v>
      </c>
      <c r="Y387">
        <v>1</v>
      </c>
      <c r="Z387">
        <v>1</v>
      </c>
      <c r="AA387">
        <v>2</v>
      </c>
      <c r="AB387">
        <v>1</v>
      </c>
      <c r="AC387">
        <v>2</v>
      </c>
      <c r="AD387">
        <v>2</v>
      </c>
      <c r="AE387">
        <v>0</v>
      </c>
      <c r="AF387">
        <v>9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4</v>
      </c>
      <c r="AO387">
        <v>0</v>
      </c>
      <c r="AP387">
        <v>0</v>
      </c>
      <c r="AQ387">
        <v>0</v>
      </c>
      <c r="AR387">
        <v>0</v>
      </c>
      <c r="AS387">
        <v>2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2</v>
      </c>
      <c r="BT387">
        <v>0</v>
      </c>
      <c r="BU387">
        <v>0</v>
      </c>
      <c r="BV387">
        <v>0</v>
      </c>
      <c r="BW387">
        <v>1</v>
      </c>
      <c r="BX387">
        <v>0</v>
      </c>
      <c r="BY387">
        <v>0</v>
      </c>
      <c r="BZ387">
        <v>0</v>
      </c>
      <c r="CA387">
        <v>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1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1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</row>
    <row r="388" spans="1:201" x14ac:dyDescent="0.3">
      <c r="A388" t="s">
        <v>310</v>
      </c>
      <c r="B388" t="s">
        <v>319</v>
      </c>
      <c r="C388" t="s">
        <v>204</v>
      </c>
      <c r="D388">
        <v>626</v>
      </c>
      <c r="E388">
        <v>188</v>
      </c>
      <c r="F388">
        <v>30</v>
      </c>
      <c r="G388">
        <v>146</v>
      </c>
      <c r="H388">
        <v>2</v>
      </c>
      <c r="I388">
        <v>6</v>
      </c>
      <c r="J388">
        <v>11</v>
      </c>
      <c r="K388">
        <v>11</v>
      </c>
      <c r="L388">
        <v>4</v>
      </c>
      <c r="M388">
        <v>41</v>
      </c>
      <c r="N388">
        <v>15</v>
      </c>
      <c r="O388">
        <v>18</v>
      </c>
      <c r="P388">
        <v>14</v>
      </c>
      <c r="Q388">
        <v>0</v>
      </c>
      <c r="R388">
        <v>2</v>
      </c>
      <c r="S388">
        <v>46</v>
      </c>
      <c r="T388">
        <v>18</v>
      </c>
      <c r="U388">
        <v>2</v>
      </c>
      <c r="V388">
        <v>0</v>
      </c>
      <c r="W388">
        <v>21</v>
      </c>
      <c r="X388">
        <v>0</v>
      </c>
      <c r="Y388">
        <v>4</v>
      </c>
      <c r="Z388">
        <v>1</v>
      </c>
      <c r="AA388">
        <v>3</v>
      </c>
      <c r="AB388">
        <v>3</v>
      </c>
      <c r="AC388">
        <v>7</v>
      </c>
      <c r="AD388">
        <v>4</v>
      </c>
      <c r="AE388">
        <v>0</v>
      </c>
      <c r="AF388">
        <v>4</v>
      </c>
      <c r="AG388">
        <v>1</v>
      </c>
      <c r="AH388">
        <v>0</v>
      </c>
      <c r="AI388">
        <v>0</v>
      </c>
      <c r="AJ388">
        <v>2</v>
      </c>
      <c r="AK388">
        <v>0</v>
      </c>
      <c r="AL388">
        <v>4</v>
      </c>
      <c r="AM388">
        <v>2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1</v>
      </c>
      <c r="AU388">
        <v>0</v>
      </c>
      <c r="AV388">
        <v>0</v>
      </c>
      <c r="AW388">
        <v>1</v>
      </c>
      <c r="AX388">
        <v>0</v>
      </c>
      <c r="AY388">
        <v>2</v>
      </c>
      <c r="AZ388">
        <v>0</v>
      </c>
      <c r="BA388">
        <v>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2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2</v>
      </c>
      <c r="BT388">
        <v>0</v>
      </c>
      <c r="BU388">
        <v>0</v>
      </c>
      <c r="BV388">
        <v>2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</row>
    <row r="389" spans="1:201" x14ac:dyDescent="0.3">
      <c r="A389" t="s">
        <v>310</v>
      </c>
      <c r="B389" t="s">
        <v>320</v>
      </c>
      <c r="C389" t="s">
        <v>200</v>
      </c>
      <c r="D389" s="1">
        <v>2412</v>
      </c>
      <c r="E389">
        <v>721</v>
      </c>
      <c r="F389">
        <v>85</v>
      </c>
      <c r="G389">
        <v>192</v>
      </c>
      <c r="H389">
        <v>31</v>
      </c>
      <c r="I389">
        <v>67</v>
      </c>
      <c r="J389">
        <v>8</v>
      </c>
      <c r="K389">
        <v>421</v>
      </c>
      <c r="L389">
        <v>119</v>
      </c>
      <c r="M389">
        <v>275</v>
      </c>
      <c r="N389">
        <v>12</v>
      </c>
      <c r="O389">
        <v>11</v>
      </c>
      <c r="P389">
        <v>12</v>
      </c>
      <c r="Q389">
        <v>70</v>
      </c>
      <c r="R389">
        <v>31</v>
      </c>
      <c r="S389">
        <v>35</v>
      </c>
      <c r="T389">
        <v>87</v>
      </c>
      <c r="U389">
        <v>14</v>
      </c>
      <c r="V389">
        <v>10</v>
      </c>
      <c r="W389">
        <v>52</v>
      </c>
      <c r="X389">
        <v>40</v>
      </c>
      <c r="Y389">
        <v>7</v>
      </c>
      <c r="Z389">
        <v>11</v>
      </c>
      <c r="AA389">
        <v>0</v>
      </c>
      <c r="AB389">
        <v>0</v>
      </c>
      <c r="AC389">
        <v>2</v>
      </c>
      <c r="AD389">
        <v>1</v>
      </c>
      <c r="AE389">
        <v>1</v>
      </c>
      <c r="AF389">
        <v>3</v>
      </c>
      <c r="AG389">
        <v>2</v>
      </c>
      <c r="AH389">
        <v>4</v>
      </c>
      <c r="AI389">
        <v>6</v>
      </c>
      <c r="AJ389">
        <v>18</v>
      </c>
      <c r="AK389">
        <v>1</v>
      </c>
      <c r="AL389">
        <v>2</v>
      </c>
      <c r="AM389">
        <v>5</v>
      </c>
      <c r="AN389">
        <v>0</v>
      </c>
      <c r="AO389">
        <v>0</v>
      </c>
      <c r="AP389">
        <v>0</v>
      </c>
      <c r="AQ389">
        <v>3</v>
      </c>
      <c r="AR389">
        <v>1</v>
      </c>
      <c r="AS389">
        <v>0</v>
      </c>
      <c r="AT389">
        <v>0</v>
      </c>
      <c r="AU389">
        <v>3</v>
      </c>
      <c r="AV389">
        <v>1</v>
      </c>
      <c r="AW389">
        <v>0</v>
      </c>
      <c r="AX389">
        <v>0</v>
      </c>
      <c r="AY389">
        <v>7</v>
      </c>
      <c r="AZ389">
        <v>0</v>
      </c>
      <c r="BA389">
        <v>1</v>
      </c>
      <c r="BB389">
        <v>0</v>
      </c>
      <c r="BC389">
        <v>2</v>
      </c>
      <c r="BD389">
        <v>0</v>
      </c>
      <c r="BE389">
        <v>1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4</v>
      </c>
      <c r="BM389">
        <v>1</v>
      </c>
      <c r="BN389">
        <v>3</v>
      </c>
      <c r="BO389">
        <v>0</v>
      </c>
      <c r="BP389">
        <v>2</v>
      </c>
      <c r="BQ389">
        <v>1</v>
      </c>
      <c r="BR389">
        <v>1</v>
      </c>
      <c r="BS389">
        <v>0</v>
      </c>
      <c r="BT389">
        <v>0</v>
      </c>
      <c r="BU389">
        <v>0</v>
      </c>
      <c r="BV389">
        <v>5</v>
      </c>
      <c r="BW389">
        <v>0</v>
      </c>
      <c r="BX389">
        <v>0</v>
      </c>
      <c r="BY389">
        <v>0</v>
      </c>
      <c r="BZ389">
        <v>2</v>
      </c>
      <c r="CA389">
        <v>1</v>
      </c>
      <c r="CB389">
        <v>1</v>
      </c>
      <c r="CC389">
        <v>0</v>
      </c>
      <c r="CD389">
        <v>0</v>
      </c>
      <c r="CE389">
        <v>0</v>
      </c>
      <c r="CF389">
        <v>1</v>
      </c>
      <c r="CG389">
        <v>0</v>
      </c>
      <c r="CH389">
        <v>0</v>
      </c>
      <c r="CI389">
        <v>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1</v>
      </c>
      <c r="DM389">
        <v>0</v>
      </c>
      <c r="DN389">
        <v>0</v>
      </c>
      <c r="DO389">
        <v>0</v>
      </c>
      <c r="DP389">
        <v>2</v>
      </c>
      <c r="DQ389">
        <v>2</v>
      </c>
      <c r="DR389">
        <v>0</v>
      </c>
      <c r="DS389">
        <v>0</v>
      </c>
      <c r="DT389">
        <v>0</v>
      </c>
      <c r="DU389">
        <v>0</v>
      </c>
      <c r="DV389">
        <v>1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1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2</v>
      </c>
      <c r="ES389">
        <v>1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1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1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</row>
    <row r="390" spans="1:201" x14ac:dyDescent="0.3">
      <c r="A390" t="s">
        <v>310</v>
      </c>
      <c r="B390" t="s">
        <v>320</v>
      </c>
      <c r="C390" t="s">
        <v>203</v>
      </c>
      <c r="D390" s="1">
        <v>1631</v>
      </c>
      <c r="E390">
        <v>431</v>
      </c>
      <c r="F390">
        <v>45</v>
      </c>
      <c r="G390">
        <v>73</v>
      </c>
      <c r="H390">
        <v>14</v>
      </c>
      <c r="I390">
        <v>49</v>
      </c>
      <c r="J390">
        <v>4</v>
      </c>
      <c r="K390">
        <v>407</v>
      </c>
      <c r="L390">
        <v>115</v>
      </c>
      <c r="M390">
        <v>219</v>
      </c>
      <c r="N390">
        <v>1</v>
      </c>
      <c r="O390">
        <v>4</v>
      </c>
      <c r="P390">
        <v>8</v>
      </c>
      <c r="Q390">
        <v>46</v>
      </c>
      <c r="R390">
        <v>26</v>
      </c>
      <c r="S390">
        <v>3</v>
      </c>
      <c r="T390">
        <v>45</v>
      </c>
      <c r="U390">
        <v>9</v>
      </c>
      <c r="V390">
        <v>10</v>
      </c>
      <c r="W390">
        <v>29</v>
      </c>
      <c r="X390">
        <v>31</v>
      </c>
      <c r="Y390">
        <v>1</v>
      </c>
      <c r="Z390">
        <v>6</v>
      </c>
      <c r="AA390">
        <v>0</v>
      </c>
      <c r="AB390">
        <v>0</v>
      </c>
      <c r="AC390">
        <v>2</v>
      </c>
      <c r="AD390">
        <v>0</v>
      </c>
      <c r="AE390">
        <v>1</v>
      </c>
      <c r="AF390">
        <v>2</v>
      </c>
      <c r="AG390">
        <v>0</v>
      </c>
      <c r="AH390">
        <v>2</v>
      </c>
      <c r="AI390">
        <v>5</v>
      </c>
      <c r="AJ390">
        <v>13</v>
      </c>
      <c r="AK390">
        <v>1</v>
      </c>
      <c r="AL390">
        <v>2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1</v>
      </c>
      <c r="AV390">
        <v>1</v>
      </c>
      <c r="AW390">
        <v>0</v>
      </c>
      <c r="AX390">
        <v>0</v>
      </c>
      <c r="AY390">
        <v>4</v>
      </c>
      <c r="AZ390">
        <v>0</v>
      </c>
      <c r="BA390">
        <v>1</v>
      </c>
      <c r="BB390">
        <v>0</v>
      </c>
      <c r="BC390">
        <v>2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2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0</v>
      </c>
      <c r="BV390">
        <v>1</v>
      </c>
      <c r="BW390">
        <v>0</v>
      </c>
      <c r="BX390">
        <v>0</v>
      </c>
      <c r="BY390">
        <v>0</v>
      </c>
      <c r="BZ390">
        <v>2</v>
      </c>
      <c r="CA390">
        <v>1</v>
      </c>
      <c r="CB390">
        <v>0</v>
      </c>
      <c r="CC390">
        <v>0</v>
      </c>
      <c r="CD390">
        <v>0</v>
      </c>
      <c r="CE390">
        <v>0</v>
      </c>
      <c r="CF390">
        <v>1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</v>
      </c>
      <c r="DM390">
        <v>0</v>
      </c>
      <c r="DN390">
        <v>0</v>
      </c>
      <c r="DO390">
        <v>0</v>
      </c>
      <c r="DP390">
        <v>1</v>
      </c>
      <c r="DQ390">
        <v>2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1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1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</row>
    <row r="391" spans="1:201" x14ac:dyDescent="0.3">
      <c r="A391" t="s">
        <v>310</v>
      </c>
      <c r="B391" t="s">
        <v>320</v>
      </c>
      <c r="C391" t="s">
        <v>204</v>
      </c>
      <c r="D391">
        <v>781</v>
      </c>
      <c r="E391">
        <v>290</v>
      </c>
      <c r="F391">
        <v>40</v>
      </c>
      <c r="G391">
        <v>119</v>
      </c>
      <c r="H391">
        <v>17</v>
      </c>
      <c r="I391">
        <v>18</v>
      </c>
      <c r="J391">
        <v>4</v>
      </c>
      <c r="K391">
        <v>14</v>
      </c>
      <c r="L391">
        <v>4</v>
      </c>
      <c r="M391">
        <v>56</v>
      </c>
      <c r="N391">
        <v>11</v>
      </c>
      <c r="O391">
        <v>7</v>
      </c>
      <c r="P391">
        <v>4</v>
      </c>
      <c r="Q391">
        <v>24</v>
      </c>
      <c r="R391">
        <v>5</v>
      </c>
      <c r="S391">
        <v>32</v>
      </c>
      <c r="T391">
        <v>42</v>
      </c>
      <c r="U391">
        <v>5</v>
      </c>
      <c r="V391">
        <v>0</v>
      </c>
      <c r="W391">
        <v>23</v>
      </c>
      <c r="X391">
        <v>9</v>
      </c>
      <c r="Y391">
        <v>6</v>
      </c>
      <c r="Z391">
        <v>5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  <c r="AG391">
        <v>2</v>
      </c>
      <c r="AH391">
        <v>2</v>
      </c>
      <c r="AI391">
        <v>1</v>
      </c>
      <c r="AJ391">
        <v>5</v>
      </c>
      <c r="AK391">
        <v>0</v>
      </c>
      <c r="AL391">
        <v>0</v>
      </c>
      <c r="AM391">
        <v>4</v>
      </c>
      <c r="AN391">
        <v>0</v>
      </c>
      <c r="AO391">
        <v>0</v>
      </c>
      <c r="AP391">
        <v>0</v>
      </c>
      <c r="AQ391">
        <v>3</v>
      </c>
      <c r="AR391">
        <v>0</v>
      </c>
      <c r="AS391">
        <v>0</v>
      </c>
      <c r="AT391">
        <v>0</v>
      </c>
      <c r="AU391">
        <v>2</v>
      </c>
      <c r="AV391">
        <v>0</v>
      </c>
      <c r="AW391">
        <v>0</v>
      </c>
      <c r="AX391">
        <v>0</v>
      </c>
      <c r="AY391">
        <v>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3</v>
      </c>
      <c r="BM391">
        <v>1</v>
      </c>
      <c r="BN391">
        <v>1</v>
      </c>
      <c r="BO391">
        <v>0</v>
      </c>
      <c r="BP391">
        <v>2</v>
      </c>
      <c r="BQ391">
        <v>1</v>
      </c>
      <c r="BR391">
        <v>0</v>
      </c>
      <c r="BS391">
        <v>0</v>
      </c>
      <c r="BT391">
        <v>0</v>
      </c>
      <c r="BU391">
        <v>0</v>
      </c>
      <c r="BV391">
        <v>4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1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1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2</v>
      </c>
      <c r="ES391">
        <v>1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1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</row>
    <row r="392" spans="1:201" x14ac:dyDescent="0.3">
      <c r="A392" t="s">
        <v>310</v>
      </c>
      <c r="B392" t="s">
        <v>306</v>
      </c>
      <c r="C392" t="s">
        <v>200</v>
      </c>
      <c r="D392" s="1">
        <v>2485</v>
      </c>
      <c r="E392">
        <v>951</v>
      </c>
      <c r="F392">
        <v>46</v>
      </c>
      <c r="G392">
        <v>127</v>
      </c>
      <c r="H392">
        <v>8</v>
      </c>
      <c r="I392">
        <v>37</v>
      </c>
      <c r="J392">
        <v>1</v>
      </c>
      <c r="K392">
        <v>409</v>
      </c>
      <c r="L392">
        <v>452</v>
      </c>
      <c r="M392">
        <v>52</v>
      </c>
      <c r="N392">
        <v>1</v>
      </c>
      <c r="O392">
        <v>9</v>
      </c>
      <c r="P392">
        <v>8</v>
      </c>
      <c r="Q392">
        <v>2</v>
      </c>
      <c r="R392">
        <v>3</v>
      </c>
      <c r="S392">
        <v>27</v>
      </c>
      <c r="T392">
        <v>148</v>
      </c>
      <c r="U392">
        <v>13</v>
      </c>
      <c r="V392">
        <v>0</v>
      </c>
      <c r="W392">
        <v>111</v>
      </c>
      <c r="X392">
        <v>6</v>
      </c>
      <c r="Y392">
        <v>0</v>
      </c>
      <c r="Z392">
        <v>3</v>
      </c>
      <c r="AA392">
        <v>2</v>
      </c>
      <c r="AB392">
        <v>2</v>
      </c>
      <c r="AC392">
        <v>2</v>
      </c>
      <c r="AD392">
        <v>7</v>
      </c>
      <c r="AE392">
        <v>0</v>
      </c>
      <c r="AF392">
        <v>1</v>
      </c>
      <c r="AG392">
        <v>5</v>
      </c>
      <c r="AH392">
        <v>0</v>
      </c>
      <c r="AI392">
        <v>2</v>
      </c>
      <c r="AJ392">
        <v>15</v>
      </c>
      <c r="AK392">
        <v>2</v>
      </c>
      <c r="AL392">
        <v>15</v>
      </c>
      <c r="AM392">
        <v>2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  <c r="AU392">
        <v>1</v>
      </c>
      <c r="AV392">
        <v>2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1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</v>
      </c>
      <c r="BQ392">
        <v>0</v>
      </c>
      <c r="BR392">
        <v>0</v>
      </c>
      <c r="BS392">
        <v>1</v>
      </c>
      <c r="BT392">
        <v>0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1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1</v>
      </c>
      <c r="CR392">
        <v>0</v>
      </c>
      <c r="CS392">
        <v>0</v>
      </c>
      <c r="CT392">
        <v>0</v>
      </c>
      <c r="CU392">
        <v>1</v>
      </c>
      <c r="CV392">
        <v>1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</row>
    <row r="393" spans="1:201" x14ac:dyDescent="0.3">
      <c r="A393" t="s">
        <v>310</v>
      </c>
      <c r="B393" t="s">
        <v>306</v>
      </c>
      <c r="C393" t="s">
        <v>203</v>
      </c>
      <c r="D393" s="1">
        <v>1596</v>
      </c>
      <c r="E393">
        <v>452</v>
      </c>
      <c r="F393">
        <v>20</v>
      </c>
      <c r="G393">
        <v>62</v>
      </c>
      <c r="H393">
        <v>6</v>
      </c>
      <c r="I393">
        <v>25</v>
      </c>
      <c r="J393">
        <v>0</v>
      </c>
      <c r="K393">
        <v>403</v>
      </c>
      <c r="L393">
        <v>443</v>
      </c>
      <c r="M393">
        <v>28</v>
      </c>
      <c r="N393">
        <v>0</v>
      </c>
      <c r="O393">
        <v>2</v>
      </c>
      <c r="P393">
        <v>2</v>
      </c>
      <c r="Q393">
        <v>2</v>
      </c>
      <c r="R393">
        <v>3</v>
      </c>
      <c r="S393">
        <v>6</v>
      </c>
      <c r="T393">
        <v>39</v>
      </c>
      <c r="U393">
        <v>7</v>
      </c>
      <c r="V393">
        <v>0</v>
      </c>
      <c r="W393">
        <v>69</v>
      </c>
      <c r="X393">
        <v>4</v>
      </c>
      <c r="Y393">
        <v>0</v>
      </c>
      <c r="Z393">
        <v>0</v>
      </c>
      <c r="AA393">
        <v>1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4</v>
      </c>
      <c r="AH393">
        <v>0</v>
      </c>
      <c r="AI393">
        <v>0</v>
      </c>
      <c r="AJ393">
        <v>5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1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0</v>
      </c>
      <c r="CS393">
        <v>0</v>
      </c>
      <c r="CT393">
        <v>0</v>
      </c>
      <c r="CU393">
        <v>1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</row>
    <row r="394" spans="1:201" x14ac:dyDescent="0.3">
      <c r="A394" t="s">
        <v>310</v>
      </c>
      <c r="B394" t="s">
        <v>306</v>
      </c>
      <c r="C394" t="s">
        <v>204</v>
      </c>
      <c r="D394">
        <v>889</v>
      </c>
      <c r="E394">
        <v>499</v>
      </c>
      <c r="F394">
        <v>26</v>
      </c>
      <c r="G394">
        <v>65</v>
      </c>
      <c r="H394">
        <v>2</v>
      </c>
      <c r="I394">
        <v>12</v>
      </c>
      <c r="J394">
        <v>1</v>
      </c>
      <c r="K394">
        <v>6</v>
      </c>
      <c r="L394">
        <v>9</v>
      </c>
      <c r="M394">
        <v>24</v>
      </c>
      <c r="N394">
        <v>1</v>
      </c>
      <c r="O394">
        <v>7</v>
      </c>
      <c r="P394">
        <v>6</v>
      </c>
      <c r="Q394">
        <v>0</v>
      </c>
      <c r="R394">
        <v>0</v>
      </c>
      <c r="S394">
        <v>21</v>
      </c>
      <c r="T394">
        <v>109</v>
      </c>
      <c r="U394">
        <v>6</v>
      </c>
      <c r="V394">
        <v>0</v>
      </c>
      <c r="W394">
        <v>42</v>
      </c>
      <c r="X394">
        <v>2</v>
      </c>
      <c r="Y394">
        <v>0</v>
      </c>
      <c r="Z394">
        <v>3</v>
      </c>
      <c r="AA394">
        <v>1</v>
      </c>
      <c r="AB394">
        <v>2</v>
      </c>
      <c r="AC394">
        <v>1</v>
      </c>
      <c r="AD394">
        <v>7</v>
      </c>
      <c r="AE394">
        <v>0</v>
      </c>
      <c r="AF394">
        <v>0</v>
      </c>
      <c r="AG394">
        <v>1</v>
      </c>
      <c r="AH394">
        <v>0</v>
      </c>
      <c r="AI394">
        <v>2</v>
      </c>
      <c r="AJ394">
        <v>10</v>
      </c>
      <c r="AK394">
        <v>1</v>
      </c>
      <c r="AL394">
        <v>14</v>
      </c>
      <c r="AM394">
        <v>2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1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</row>
    <row r="395" spans="1:201" x14ac:dyDescent="0.3">
      <c r="A395" t="s">
        <v>310</v>
      </c>
      <c r="B395" t="s">
        <v>321</v>
      </c>
      <c r="C395" t="s">
        <v>200</v>
      </c>
      <c r="D395" s="1">
        <v>4667</v>
      </c>
      <c r="E395">
        <v>792</v>
      </c>
      <c r="F395">
        <v>188</v>
      </c>
      <c r="G395">
        <v>945</v>
      </c>
      <c r="H395">
        <v>234</v>
      </c>
      <c r="I395">
        <v>307</v>
      </c>
      <c r="J395">
        <v>32</v>
      </c>
      <c r="K395">
        <v>69</v>
      </c>
      <c r="L395">
        <v>59</v>
      </c>
      <c r="M395">
        <v>74</v>
      </c>
      <c r="N395">
        <v>51</v>
      </c>
      <c r="O395">
        <v>118</v>
      </c>
      <c r="P395">
        <v>425</v>
      </c>
      <c r="Q395">
        <v>9</v>
      </c>
      <c r="R395">
        <v>32</v>
      </c>
      <c r="S395">
        <v>207</v>
      </c>
      <c r="T395">
        <v>235</v>
      </c>
      <c r="U395">
        <v>19</v>
      </c>
      <c r="V395">
        <v>14</v>
      </c>
      <c r="W395">
        <v>102</v>
      </c>
      <c r="X395">
        <v>32</v>
      </c>
      <c r="Y395">
        <v>30</v>
      </c>
      <c r="Z395">
        <v>16</v>
      </c>
      <c r="AA395">
        <v>39</v>
      </c>
      <c r="AB395">
        <v>9</v>
      </c>
      <c r="AC395">
        <v>75</v>
      </c>
      <c r="AD395">
        <v>41</v>
      </c>
      <c r="AE395">
        <v>0</v>
      </c>
      <c r="AF395">
        <v>67</v>
      </c>
      <c r="AG395">
        <v>16</v>
      </c>
      <c r="AH395">
        <v>33</v>
      </c>
      <c r="AI395">
        <v>7</v>
      </c>
      <c r="AJ395">
        <v>53</v>
      </c>
      <c r="AK395">
        <v>0</v>
      </c>
      <c r="AL395">
        <v>8</v>
      </c>
      <c r="AM395">
        <v>7</v>
      </c>
      <c r="AN395">
        <v>63</v>
      </c>
      <c r="AO395">
        <v>1</v>
      </c>
      <c r="AP395">
        <v>1</v>
      </c>
      <c r="AQ395">
        <v>15</v>
      </c>
      <c r="AR395">
        <v>5</v>
      </c>
      <c r="AS395">
        <v>9</v>
      </c>
      <c r="AT395">
        <v>15</v>
      </c>
      <c r="AU395">
        <v>4</v>
      </c>
      <c r="AV395">
        <v>0</v>
      </c>
      <c r="AW395">
        <v>15</v>
      </c>
      <c r="AX395">
        <v>0</v>
      </c>
      <c r="AY395">
        <v>4</v>
      </c>
      <c r="AZ395">
        <v>0</v>
      </c>
      <c r="BA395">
        <v>7</v>
      </c>
      <c r="BB395">
        <v>15</v>
      </c>
      <c r="BC395">
        <v>14</v>
      </c>
      <c r="BD395">
        <v>0</v>
      </c>
      <c r="BE395">
        <v>2</v>
      </c>
      <c r="BF395">
        <v>0</v>
      </c>
      <c r="BG395">
        <v>16</v>
      </c>
      <c r="BH395">
        <v>4</v>
      </c>
      <c r="BI395">
        <v>3</v>
      </c>
      <c r="BJ395">
        <v>0</v>
      </c>
      <c r="BK395">
        <v>1</v>
      </c>
      <c r="BL395">
        <v>1</v>
      </c>
      <c r="BM395">
        <v>0</v>
      </c>
      <c r="BN395">
        <v>5</v>
      </c>
      <c r="BO395">
        <v>1</v>
      </c>
      <c r="BP395">
        <v>0</v>
      </c>
      <c r="BQ395">
        <v>0</v>
      </c>
      <c r="BR395">
        <v>9</v>
      </c>
      <c r="BS395">
        <v>5</v>
      </c>
      <c r="BT395">
        <v>1</v>
      </c>
      <c r="BU395">
        <v>2</v>
      </c>
      <c r="BV395">
        <v>0</v>
      </c>
      <c r="BW395">
        <v>3</v>
      </c>
      <c r="BX395">
        <v>0</v>
      </c>
      <c r="BY395">
        <v>0</v>
      </c>
      <c r="BZ395">
        <v>6</v>
      </c>
      <c r="CA395">
        <v>1</v>
      </c>
      <c r="CB395">
        <v>0</v>
      </c>
      <c r="CC395">
        <v>4</v>
      </c>
      <c r="CD395">
        <v>3</v>
      </c>
      <c r="CE395">
        <v>1</v>
      </c>
      <c r="CF395">
        <v>24</v>
      </c>
      <c r="CG395">
        <v>1</v>
      </c>
      <c r="CH395">
        <v>0</v>
      </c>
      <c r="CI395">
        <v>0</v>
      </c>
      <c r="CJ395">
        <v>5</v>
      </c>
      <c r="CK395">
        <v>1</v>
      </c>
      <c r="CL395">
        <v>2</v>
      </c>
      <c r="CM395">
        <v>0</v>
      </c>
      <c r="CN395">
        <v>1</v>
      </c>
      <c r="CO395">
        <v>0</v>
      </c>
      <c r="CP395">
        <v>4</v>
      </c>
      <c r="CQ395">
        <v>13</v>
      </c>
      <c r="CR395">
        <v>0</v>
      </c>
      <c r="CS395">
        <v>0</v>
      </c>
      <c r="CT395">
        <v>1</v>
      </c>
      <c r="CU395">
        <v>1</v>
      </c>
      <c r="CV395">
        <v>3</v>
      </c>
      <c r="CW395">
        <v>5</v>
      </c>
      <c r="CX395">
        <v>1</v>
      </c>
      <c r="CY395">
        <v>0</v>
      </c>
      <c r="CZ395">
        <v>1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</v>
      </c>
      <c r="DJ395">
        <v>5</v>
      </c>
      <c r="DK395">
        <v>0</v>
      </c>
      <c r="DL395">
        <v>3</v>
      </c>
      <c r="DM395">
        <v>1</v>
      </c>
      <c r="DN395">
        <v>0</v>
      </c>
      <c r="DO395">
        <v>0</v>
      </c>
      <c r="DP395">
        <v>0</v>
      </c>
      <c r="DQ395">
        <v>2</v>
      </c>
      <c r="DR395">
        <v>1</v>
      </c>
      <c r="DS395">
        <v>0</v>
      </c>
      <c r="DT395">
        <v>0</v>
      </c>
      <c r="DU395">
        <v>0</v>
      </c>
      <c r="DV395">
        <v>1</v>
      </c>
      <c r="DW395">
        <v>7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1</v>
      </c>
      <c r="EZ395">
        <v>1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</row>
    <row r="396" spans="1:201" x14ac:dyDescent="0.3">
      <c r="A396" t="s">
        <v>310</v>
      </c>
      <c r="B396" t="s">
        <v>321</v>
      </c>
      <c r="C396" t="s">
        <v>203</v>
      </c>
      <c r="D396" s="1">
        <v>2301</v>
      </c>
      <c r="E396">
        <v>300</v>
      </c>
      <c r="F396">
        <v>102</v>
      </c>
      <c r="G396">
        <v>431</v>
      </c>
      <c r="H396">
        <v>125</v>
      </c>
      <c r="I396">
        <v>240</v>
      </c>
      <c r="J396">
        <v>10</v>
      </c>
      <c r="K396">
        <v>49</v>
      </c>
      <c r="L396">
        <v>32</v>
      </c>
      <c r="M396">
        <v>22</v>
      </c>
      <c r="N396">
        <v>5</v>
      </c>
      <c r="O396">
        <v>54</v>
      </c>
      <c r="P396">
        <v>234</v>
      </c>
      <c r="Q396">
        <v>5</v>
      </c>
      <c r="R396">
        <v>24</v>
      </c>
      <c r="S396">
        <v>58</v>
      </c>
      <c r="T396">
        <v>95</v>
      </c>
      <c r="U396">
        <v>5</v>
      </c>
      <c r="V396">
        <v>11</v>
      </c>
      <c r="W396">
        <v>59</v>
      </c>
      <c r="X396">
        <v>22</v>
      </c>
      <c r="Y396">
        <v>15</v>
      </c>
      <c r="Z396">
        <v>7</v>
      </c>
      <c r="AA396">
        <v>24</v>
      </c>
      <c r="AB396">
        <v>6</v>
      </c>
      <c r="AC396">
        <v>50</v>
      </c>
      <c r="AD396">
        <v>14</v>
      </c>
      <c r="AE396">
        <v>0</v>
      </c>
      <c r="AF396">
        <v>55</v>
      </c>
      <c r="AG396">
        <v>9</v>
      </c>
      <c r="AH396">
        <v>24</v>
      </c>
      <c r="AI396">
        <v>5</v>
      </c>
      <c r="AJ396">
        <v>23</v>
      </c>
      <c r="AK396">
        <v>0</v>
      </c>
      <c r="AL396">
        <v>2</v>
      </c>
      <c r="AM396">
        <v>2</v>
      </c>
      <c r="AN396">
        <v>33</v>
      </c>
      <c r="AO396">
        <v>0</v>
      </c>
      <c r="AP396">
        <v>1</v>
      </c>
      <c r="AQ396">
        <v>1</v>
      </c>
      <c r="AR396">
        <v>3</v>
      </c>
      <c r="AS396">
        <v>5</v>
      </c>
      <c r="AT396">
        <v>10</v>
      </c>
      <c r="AU396">
        <v>1</v>
      </c>
      <c r="AV396">
        <v>0</v>
      </c>
      <c r="AW396">
        <v>13</v>
      </c>
      <c r="AX396">
        <v>0</v>
      </c>
      <c r="AY396">
        <v>2</v>
      </c>
      <c r="AZ396">
        <v>0</v>
      </c>
      <c r="BA396">
        <v>3</v>
      </c>
      <c r="BB396">
        <v>8</v>
      </c>
      <c r="BC396">
        <v>8</v>
      </c>
      <c r="BD396">
        <v>0</v>
      </c>
      <c r="BE396">
        <v>1</v>
      </c>
      <c r="BF396">
        <v>0</v>
      </c>
      <c r="BG396">
        <v>13</v>
      </c>
      <c r="BH396">
        <v>2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4</v>
      </c>
      <c r="BO396">
        <v>0</v>
      </c>
      <c r="BP396">
        <v>0</v>
      </c>
      <c r="BQ396">
        <v>0</v>
      </c>
      <c r="BR396">
        <v>8</v>
      </c>
      <c r="BS396">
        <v>3</v>
      </c>
      <c r="BT396">
        <v>1</v>
      </c>
      <c r="BU396">
        <v>0</v>
      </c>
      <c r="BV396">
        <v>0</v>
      </c>
      <c r="BW396">
        <v>2</v>
      </c>
      <c r="BX396">
        <v>0</v>
      </c>
      <c r="BY396">
        <v>0</v>
      </c>
      <c r="BZ396">
        <v>5</v>
      </c>
      <c r="CA396">
        <v>1</v>
      </c>
      <c r="CB396">
        <v>0</v>
      </c>
      <c r="CC396">
        <v>1</v>
      </c>
      <c r="CD396">
        <v>0</v>
      </c>
      <c r="CE396">
        <v>1</v>
      </c>
      <c r="CF396">
        <v>14</v>
      </c>
      <c r="CG396">
        <v>1</v>
      </c>
      <c r="CH396">
        <v>0</v>
      </c>
      <c r="CI396">
        <v>0</v>
      </c>
      <c r="CJ396">
        <v>3</v>
      </c>
      <c r="CK396">
        <v>1</v>
      </c>
      <c r="CL396">
        <v>1</v>
      </c>
      <c r="CM396">
        <v>0</v>
      </c>
      <c r="CN396">
        <v>1</v>
      </c>
      <c r="CO396">
        <v>0</v>
      </c>
      <c r="CP396">
        <v>2</v>
      </c>
      <c r="CQ396">
        <v>10</v>
      </c>
      <c r="CR396">
        <v>0</v>
      </c>
      <c r="CS396">
        <v>0</v>
      </c>
      <c r="CT396">
        <v>0</v>
      </c>
      <c r="CU396">
        <v>1</v>
      </c>
      <c r="CV396">
        <v>2</v>
      </c>
      <c r="CW396">
        <v>2</v>
      </c>
      <c r="CX396">
        <v>1</v>
      </c>
      <c r="CY396">
        <v>0</v>
      </c>
      <c r="CZ396">
        <v>1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</v>
      </c>
      <c r="DJ396">
        <v>3</v>
      </c>
      <c r="DK396">
        <v>0</v>
      </c>
      <c r="DL396">
        <v>2</v>
      </c>
      <c r="DM396">
        <v>0</v>
      </c>
      <c r="DN396">
        <v>0</v>
      </c>
      <c r="DO396">
        <v>0</v>
      </c>
      <c r="DP396">
        <v>0</v>
      </c>
      <c r="DQ396">
        <v>1</v>
      </c>
      <c r="DR396">
        <v>1</v>
      </c>
      <c r="DS396">
        <v>0</v>
      </c>
      <c r="DT396">
        <v>0</v>
      </c>
      <c r="DU396">
        <v>0</v>
      </c>
      <c r="DV396">
        <v>0</v>
      </c>
      <c r="DW396">
        <v>2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1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</row>
    <row r="397" spans="1:201" x14ac:dyDescent="0.3">
      <c r="A397" t="s">
        <v>310</v>
      </c>
      <c r="B397" t="s">
        <v>321</v>
      </c>
      <c r="C397" t="s">
        <v>204</v>
      </c>
      <c r="D397" s="1">
        <v>2366</v>
      </c>
      <c r="E397">
        <v>492</v>
      </c>
      <c r="F397">
        <v>86</v>
      </c>
      <c r="G397">
        <v>514</v>
      </c>
      <c r="H397">
        <v>109</v>
      </c>
      <c r="I397">
        <v>67</v>
      </c>
      <c r="J397">
        <v>22</v>
      </c>
      <c r="K397">
        <v>20</v>
      </c>
      <c r="L397">
        <v>27</v>
      </c>
      <c r="M397">
        <v>52</v>
      </c>
      <c r="N397">
        <v>46</v>
      </c>
      <c r="O397">
        <v>64</v>
      </c>
      <c r="P397">
        <v>191</v>
      </c>
      <c r="Q397">
        <v>4</v>
      </c>
      <c r="R397">
        <v>8</v>
      </c>
      <c r="S397">
        <v>149</v>
      </c>
      <c r="T397">
        <v>140</v>
      </c>
      <c r="U397">
        <v>14</v>
      </c>
      <c r="V397">
        <v>3</v>
      </c>
      <c r="W397">
        <v>43</v>
      </c>
      <c r="X397">
        <v>10</v>
      </c>
      <c r="Y397">
        <v>15</v>
      </c>
      <c r="Z397">
        <v>9</v>
      </c>
      <c r="AA397">
        <v>15</v>
      </c>
      <c r="AB397">
        <v>3</v>
      </c>
      <c r="AC397">
        <v>25</v>
      </c>
      <c r="AD397">
        <v>27</v>
      </c>
      <c r="AE397">
        <v>0</v>
      </c>
      <c r="AF397">
        <v>12</v>
      </c>
      <c r="AG397">
        <v>7</v>
      </c>
      <c r="AH397">
        <v>9</v>
      </c>
      <c r="AI397">
        <v>2</v>
      </c>
      <c r="AJ397">
        <v>30</v>
      </c>
      <c r="AK397">
        <v>0</v>
      </c>
      <c r="AL397">
        <v>6</v>
      </c>
      <c r="AM397">
        <v>5</v>
      </c>
      <c r="AN397">
        <v>30</v>
      </c>
      <c r="AO397">
        <v>1</v>
      </c>
      <c r="AP397">
        <v>0</v>
      </c>
      <c r="AQ397">
        <v>14</v>
      </c>
      <c r="AR397">
        <v>2</v>
      </c>
      <c r="AS397">
        <v>4</v>
      </c>
      <c r="AT397">
        <v>5</v>
      </c>
      <c r="AU397">
        <v>3</v>
      </c>
      <c r="AV397">
        <v>0</v>
      </c>
      <c r="AW397">
        <v>2</v>
      </c>
      <c r="AX397">
        <v>0</v>
      </c>
      <c r="AY397">
        <v>2</v>
      </c>
      <c r="AZ397">
        <v>0</v>
      </c>
      <c r="BA397">
        <v>4</v>
      </c>
      <c r="BB397">
        <v>7</v>
      </c>
      <c r="BC397">
        <v>6</v>
      </c>
      <c r="BD397">
        <v>0</v>
      </c>
      <c r="BE397">
        <v>1</v>
      </c>
      <c r="BF397">
        <v>0</v>
      </c>
      <c r="BG397">
        <v>3</v>
      </c>
      <c r="BH397">
        <v>2</v>
      </c>
      <c r="BI397">
        <v>2</v>
      </c>
      <c r="BJ397">
        <v>0</v>
      </c>
      <c r="BK397">
        <v>1</v>
      </c>
      <c r="BL397">
        <v>1</v>
      </c>
      <c r="BM397">
        <v>0</v>
      </c>
      <c r="BN397">
        <v>1</v>
      </c>
      <c r="BO397">
        <v>1</v>
      </c>
      <c r="BP397">
        <v>0</v>
      </c>
      <c r="BQ397">
        <v>0</v>
      </c>
      <c r="BR397">
        <v>1</v>
      </c>
      <c r="BS397">
        <v>2</v>
      </c>
      <c r="BT397">
        <v>0</v>
      </c>
      <c r="BU397">
        <v>2</v>
      </c>
      <c r="BV397">
        <v>0</v>
      </c>
      <c r="BW397">
        <v>1</v>
      </c>
      <c r="BX397">
        <v>0</v>
      </c>
      <c r="BY397">
        <v>0</v>
      </c>
      <c r="BZ397">
        <v>1</v>
      </c>
      <c r="CA397">
        <v>0</v>
      </c>
      <c r="CB397">
        <v>0</v>
      </c>
      <c r="CC397">
        <v>3</v>
      </c>
      <c r="CD397">
        <v>3</v>
      </c>
      <c r="CE397">
        <v>0</v>
      </c>
      <c r="CF397">
        <v>10</v>
      </c>
      <c r="CG397">
        <v>0</v>
      </c>
      <c r="CH397">
        <v>0</v>
      </c>
      <c r="CI397">
        <v>0</v>
      </c>
      <c r="CJ397">
        <v>2</v>
      </c>
      <c r="CK397">
        <v>0</v>
      </c>
      <c r="CL397">
        <v>1</v>
      </c>
      <c r="CM397">
        <v>0</v>
      </c>
      <c r="CN397">
        <v>0</v>
      </c>
      <c r="CO397">
        <v>0</v>
      </c>
      <c r="CP397">
        <v>2</v>
      </c>
      <c r="CQ397">
        <v>3</v>
      </c>
      <c r="CR397">
        <v>0</v>
      </c>
      <c r="CS397">
        <v>0</v>
      </c>
      <c r="CT397">
        <v>1</v>
      </c>
      <c r="CU397">
        <v>0</v>
      </c>
      <c r="CV397">
        <v>1</v>
      </c>
      <c r="CW397">
        <v>3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2</v>
      </c>
      <c r="DK397">
        <v>0</v>
      </c>
      <c r="DL397">
        <v>1</v>
      </c>
      <c r="DM397">
        <v>1</v>
      </c>
      <c r="DN397">
        <v>0</v>
      </c>
      <c r="DO397">
        <v>0</v>
      </c>
      <c r="DP397">
        <v>0</v>
      </c>
      <c r="DQ397">
        <v>1</v>
      </c>
      <c r="DR397">
        <v>0</v>
      </c>
      <c r="DS397">
        <v>0</v>
      </c>
      <c r="DT397">
        <v>0</v>
      </c>
      <c r="DU397">
        <v>0</v>
      </c>
      <c r="DV397">
        <v>1</v>
      </c>
      <c r="DW397">
        <v>5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1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</row>
    <row r="398" spans="1:201" x14ac:dyDescent="0.3">
      <c r="A398" t="s">
        <v>322</v>
      </c>
      <c r="B398" t="s">
        <v>200</v>
      </c>
      <c r="C398" t="s">
        <v>200</v>
      </c>
      <c r="D398" s="1">
        <v>279629</v>
      </c>
      <c r="E398" s="1">
        <v>31324</v>
      </c>
      <c r="F398" s="1">
        <v>67868</v>
      </c>
      <c r="G398" s="1">
        <v>67780</v>
      </c>
      <c r="H398" s="1">
        <v>5876</v>
      </c>
      <c r="I398" s="1">
        <v>4731</v>
      </c>
      <c r="J398" s="1">
        <v>1126</v>
      </c>
      <c r="K398" s="1">
        <v>2169</v>
      </c>
      <c r="L398" s="1">
        <v>4725</v>
      </c>
      <c r="M398" s="1">
        <v>3638</v>
      </c>
      <c r="N398" s="1">
        <v>3084</v>
      </c>
      <c r="O398" s="1">
        <v>12402</v>
      </c>
      <c r="P398" s="1">
        <v>11641</v>
      </c>
      <c r="Q398">
        <v>339</v>
      </c>
      <c r="R398" s="1">
        <v>1425</v>
      </c>
      <c r="S398" s="1">
        <v>10953</v>
      </c>
      <c r="T398" s="1">
        <v>3638</v>
      </c>
      <c r="U398" s="1">
        <v>1557</v>
      </c>
      <c r="V398" s="1">
        <v>1540</v>
      </c>
      <c r="W398" s="1">
        <v>7758</v>
      </c>
      <c r="X398" s="1">
        <v>3099</v>
      </c>
      <c r="Y398">
        <v>244</v>
      </c>
      <c r="Z398">
        <v>613</v>
      </c>
      <c r="AA398" s="1">
        <v>3653</v>
      </c>
      <c r="AB398" s="1">
        <v>1750</v>
      </c>
      <c r="AC398" s="1">
        <v>2220</v>
      </c>
      <c r="AD398">
        <v>594</v>
      </c>
      <c r="AE398">
        <v>40</v>
      </c>
      <c r="AF398" s="1">
        <v>1823</v>
      </c>
      <c r="AG398" s="1">
        <v>1043</v>
      </c>
      <c r="AH398" s="1">
        <v>1981</v>
      </c>
      <c r="AI398">
        <v>459</v>
      </c>
      <c r="AJ398">
        <v>87</v>
      </c>
      <c r="AK398">
        <v>604</v>
      </c>
      <c r="AL398">
        <v>440</v>
      </c>
      <c r="AM398" s="1">
        <v>1362</v>
      </c>
      <c r="AN398">
        <v>939</v>
      </c>
      <c r="AO398">
        <v>183</v>
      </c>
      <c r="AP398">
        <v>87</v>
      </c>
      <c r="AQ398">
        <v>435</v>
      </c>
      <c r="AR398">
        <v>478</v>
      </c>
      <c r="AS398">
        <v>494</v>
      </c>
      <c r="AT398">
        <v>956</v>
      </c>
      <c r="AU398">
        <v>549</v>
      </c>
      <c r="AV398">
        <v>216</v>
      </c>
      <c r="AW398">
        <v>869</v>
      </c>
      <c r="AX398">
        <v>40</v>
      </c>
      <c r="AY398">
        <v>479</v>
      </c>
      <c r="AZ398">
        <v>69</v>
      </c>
      <c r="BA398">
        <v>558</v>
      </c>
      <c r="BB398">
        <v>703</v>
      </c>
      <c r="BC398">
        <v>546</v>
      </c>
      <c r="BD398">
        <v>95</v>
      </c>
      <c r="BE398">
        <v>34</v>
      </c>
      <c r="BF398">
        <v>59</v>
      </c>
      <c r="BG398">
        <v>239</v>
      </c>
      <c r="BH398">
        <v>332</v>
      </c>
      <c r="BI398">
        <v>96</v>
      </c>
      <c r="BJ398">
        <v>89</v>
      </c>
      <c r="BK398">
        <v>36</v>
      </c>
      <c r="BL398">
        <v>124</v>
      </c>
      <c r="BM398">
        <v>129</v>
      </c>
      <c r="BN398">
        <v>296</v>
      </c>
      <c r="BO398">
        <v>58</v>
      </c>
      <c r="BP398">
        <v>170</v>
      </c>
      <c r="BQ398">
        <v>119</v>
      </c>
      <c r="BR398">
        <v>367</v>
      </c>
      <c r="BS398">
        <v>231</v>
      </c>
      <c r="BT398">
        <v>114</v>
      </c>
      <c r="BU398">
        <v>161</v>
      </c>
      <c r="BV398">
        <v>217</v>
      </c>
      <c r="BW398">
        <v>328</v>
      </c>
      <c r="BX398">
        <v>48</v>
      </c>
      <c r="BY398">
        <v>70</v>
      </c>
      <c r="BZ398">
        <v>271</v>
      </c>
      <c r="CA398">
        <v>271</v>
      </c>
      <c r="CB398">
        <v>86</v>
      </c>
      <c r="CC398">
        <v>152</v>
      </c>
      <c r="CD398">
        <v>131</v>
      </c>
      <c r="CE398">
        <v>124</v>
      </c>
      <c r="CF398">
        <v>191</v>
      </c>
      <c r="CG398">
        <v>192</v>
      </c>
      <c r="CH398">
        <v>137</v>
      </c>
      <c r="CI398">
        <v>154</v>
      </c>
      <c r="CJ398">
        <v>165</v>
      </c>
      <c r="CK398">
        <v>159</v>
      </c>
      <c r="CL398">
        <v>163</v>
      </c>
      <c r="CM398">
        <v>66</v>
      </c>
      <c r="CN398">
        <v>223</v>
      </c>
      <c r="CO398">
        <v>84</v>
      </c>
      <c r="CP398">
        <v>123</v>
      </c>
      <c r="CQ398">
        <v>74</v>
      </c>
      <c r="CR398">
        <v>84</v>
      </c>
      <c r="CS398">
        <v>100</v>
      </c>
      <c r="CT398">
        <v>133</v>
      </c>
      <c r="CU398">
        <v>81</v>
      </c>
      <c r="CV398">
        <v>64</v>
      </c>
      <c r="CW398">
        <v>83</v>
      </c>
      <c r="CX398">
        <v>13</v>
      </c>
      <c r="CY398">
        <v>76</v>
      </c>
      <c r="CZ398">
        <v>70</v>
      </c>
      <c r="DA398">
        <v>13</v>
      </c>
      <c r="DB398">
        <v>22</v>
      </c>
      <c r="DC398">
        <v>67</v>
      </c>
      <c r="DD398">
        <v>39</v>
      </c>
      <c r="DE398">
        <v>47</v>
      </c>
      <c r="DF398">
        <v>49</v>
      </c>
      <c r="DG398">
        <v>63</v>
      </c>
      <c r="DH398">
        <v>38</v>
      </c>
      <c r="DI398">
        <v>28</v>
      </c>
      <c r="DJ398">
        <v>31</v>
      </c>
      <c r="DK398">
        <v>57</v>
      </c>
      <c r="DL398">
        <v>43</v>
      </c>
      <c r="DM398">
        <v>33</v>
      </c>
      <c r="DN398">
        <v>38</v>
      </c>
      <c r="DO398">
        <v>32</v>
      </c>
      <c r="DP398">
        <v>46</v>
      </c>
      <c r="DQ398">
        <v>33</v>
      </c>
      <c r="DR398">
        <v>40</v>
      </c>
      <c r="DS398">
        <v>41</v>
      </c>
      <c r="DT398">
        <v>29</v>
      </c>
      <c r="DU398">
        <v>16</v>
      </c>
      <c r="DV398">
        <v>33</v>
      </c>
      <c r="DW398">
        <v>54</v>
      </c>
      <c r="DX398">
        <v>31</v>
      </c>
      <c r="DY398">
        <v>9</v>
      </c>
      <c r="DZ398">
        <v>34</v>
      </c>
      <c r="EA398">
        <v>19</v>
      </c>
      <c r="EB398">
        <v>19</v>
      </c>
      <c r="EC398">
        <v>48</v>
      </c>
      <c r="ED398">
        <v>48</v>
      </c>
      <c r="EE398">
        <v>34</v>
      </c>
      <c r="EF398">
        <v>18</v>
      </c>
      <c r="EG398">
        <v>30</v>
      </c>
      <c r="EH398">
        <v>17</v>
      </c>
      <c r="EI398">
        <v>11</v>
      </c>
      <c r="EJ398">
        <v>22</v>
      </c>
      <c r="EK398">
        <v>11</v>
      </c>
      <c r="EL398">
        <v>37</v>
      </c>
      <c r="EM398">
        <v>7</v>
      </c>
      <c r="EN398">
        <v>18</v>
      </c>
      <c r="EO398">
        <v>16</v>
      </c>
      <c r="EP398">
        <v>10</v>
      </c>
      <c r="EQ398">
        <v>9</v>
      </c>
      <c r="ER398">
        <v>11</v>
      </c>
      <c r="ES398">
        <v>6</v>
      </c>
      <c r="ET398">
        <v>3</v>
      </c>
      <c r="EU398">
        <v>8</v>
      </c>
      <c r="EV398">
        <v>7</v>
      </c>
      <c r="EW398">
        <v>14</v>
      </c>
      <c r="EX398">
        <v>9</v>
      </c>
      <c r="EY398">
        <v>6</v>
      </c>
      <c r="EZ398">
        <v>4</v>
      </c>
      <c r="FA398">
        <v>2</v>
      </c>
      <c r="FB398">
        <v>6</v>
      </c>
      <c r="FC398">
        <v>3</v>
      </c>
      <c r="FD398">
        <v>1</v>
      </c>
      <c r="FE398">
        <v>4</v>
      </c>
      <c r="FF398">
        <v>4</v>
      </c>
      <c r="FG398">
        <v>11</v>
      </c>
      <c r="FH398">
        <v>2</v>
      </c>
      <c r="FI398">
        <v>0</v>
      </c>
      <c r="FJ398">
        <v>1</v>
      </c>
      <c r="FK398">
        <v>8</v>
      </c>
      <c r="FL398">
        <v>4</v>
      </c>
      <c r="FM398">
        <v>4</v>
      </c>
      <c r="FN398">
        <v>7</v>
      </c>
      <c r="FO398">
        <v>2</v>
      </c>
      <c r="FP398">
        <v>1</v>
      </c>
      <c r="FQ398">
        <v>7</v>
      </c>
      <c r="FR398">
        <v>7</v>
      </c>
      <c r="FS398">
        <v>4</v>
      </c>
      <c r="FT398">
        <v>3</v>
      </c>
      <c r="FU398">
        <v>3</v>
      </c>
      <c r="FV398">
        <v>2</v>
      </c>
      <c r="FW398">
        <v>0</v>
      </c>
      <c r="FX398">
        <v>1</v>
      </c>
      <c r="FY398">
        <v>0</v>
      </c>
      <c r="FZ398">
        <v>2</v>
      </c>
      <c r="GA398">
        <v>2</v>
      </c>
      <c r="GB398">
        <v>1</v>
      </c>
      <c r="GC398">
        <v>0</v>
      </c>
      <c r="GD398">
        <v>1</v>
      </c>
      <c r="GE398">
        <v>0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2</v>
      </c>
      <c r="GL398">
        <v>1</v>
      </c>
      <c r="GM398">
        <v>2</v>
      </c>
      <c r="GN398">
        <v>2</v>
      </c>
      <c r="GO398">
        <v>0</v>
      </c>
      <c r="GP398">
        <v>1</v>
      </c>
      <c r="GQ398">
        <v>1</v>
      </c>
      <c r="GR398">
        <v>0</v>
      </c>
      <c r="GS398">
        <v>45</v>
      </c>
    </row>
    <row r="399" spans="1:201" x14ac:dyDescent="0.3">
      <c r="A399" t="s">
        <v>322</v>
      </c>
      <c r="B399" t="s">
        <v>200</v>
      </c>
      <c r="C399" t="s">
        <v>203</v>
      </c>
      <c r="D399" s="1">
        <f>D402+D405+D408+D411+D414+D417+D420+D423+D426+D429+D432+D435+D438+D441+D444+D447+D450+D453+D456+D459+D462+D465+D468+D471+D474</f>
        <v>120183</v>
      </c>
      <c r="E399" s="1">
        <f t="shared" ref="E399:BP399" si="64">E402+E405+E408+E411+E414+E417+E420+E423+E426+E429+E432+E435+E438+E441+E444+E447+E450+E453+E456+E459+E462+E465+E468+E471+E474</f>
        <v>10674</v>
      </c>
      <c r="F399" s="1">
        <f t="shared" si="64"/>
        <v>38174</v>
      </c>
      <c r="G399" s="1">
        <f t="shared" si="64"/>
        <v>23140</v>
      </c>
      <c r="H399" s="1">
        <f t="shared" si="64"/>
        <v>3475</v>
      </c>
      <c r="I399" s="1">
        <f t="shared" si="64"/>
        <v>3034</v>
      </c>
      <c r="J399" s="1">
        <f t="shared" si="64"/>
        <v>693</v>
      </c>
      <c r="K399" s="1">
        <f t="shared" si="64"/>
        <v>730</v>
      </c>
      <c r="L399" s="1">
        <f t="shared" si="64"/>
        <v>1908</v>
      </c>
      <c r="M399" s="1">
        <f t="shared" si="64"/>
        <v>978</v>
      </c>
      <c r="N399" s="1">
        <f t="shared" si="64"/>
        <v>1127</v>
      </c>
      <c r="O399" s="1">
        <f t="shared" si="64"/>
        <v>4825</v>
      </c>
      <c r="P399" s="1">
        <f t="shared" si="64"/>
        <v>5842</v>
      </c>
      <c r="Q399" s="1">
        <f t="shared" si="64"/>
        <v>200</v>
      </c>
      <c r="R399" s="1">
        <f t="shared" si="64"/>
        <v>1005</v>
      </c>
      <c r="S399" s="1">
        <f t="shared" si="64"/>
        <v>2464</v>
      </c>
      <c r="T399" s="1">
        <f t="shared" si="64"/>
        <v>923</v>
      </c>
      <c r="U399" s="1">
        <f t="shared" si="64"/>
        <v>452</v>
      </c>
      <c r="V399" s="1">
        <f t="shared" si="64"/>
        <v>1014</v>
      </c>
      <c r="W399" s="1">
        <f t="shared" si="64"/>
        <v>3129</v>
      </c>
      <c r="X399" s="1">
        <f t="shared" si="64"/>
        <v>1627</v>
      </c>
      <c r="Y399" s="1">
        <f t="shared" si="64"/>
        <v>65</v>
      </c>
      <c r="Z399" s="1">
        <f t="shared" si="64"/>
        <v>194</v>
      </c>
      <c r="AA399" s="1">
        <f t="shared" si="64"/>
        <v>1660</v>
      </c>
      <c r="AB399" s="1">
        <f t="shared" si="64"/>
        <v>734</v>
      </c>
      <c r="AC399" s="1">
        <f t="shared" si="64"/>
        <v>1160</v>
      </c>
      <c r="AD399" s="1">
        <f t="shared" si="64"/>
        <v>234</v>
      </c>
      <c r="AE399" s="1">
        <f t="shared" si="64"/>
        <v>18</v>
      </c>
      <c r="AF399" s="1">
        <f t="shared" si="64"/>
        <v>1035</v>
      </c>
      <c r="AG399" s="1">
        <f t="shared" si="64"/>
        <v>405</v>
      </c>
      <c r="AH399" s="1">
        <f t="shared" si="64"/>
        <v>877</v>
      </c>
      <c r="AI399" s="1">
        <f t="shared" si="64"/>
        <v>307</v>
      </c>
      <c r="AJ399" s="1">
        <f t="shared" si="64"/>
        <v>37</v>
      </c>
      <c r="AK399" s="1">
        <f t="shared" si="64"/>
        <v>425</v>
      </c>
      <c r="AL399" s="1">
        <f t="shared" si="64"/>
        <v>77</v>
      </c>
      <c r="AM399" s="1">
        <f t="shared" si="64"/>
        <v>261</v>
      </c>
      <c r="AN399" s="1">
        <f t="shared" si="64"/>
        <v>539</v>
      </c>
      <c r="AO399" s="1">
        <f t="shared" si="64"/>
        <v>106</v>
      </c>
      <c r="AP399" s="1">
        <f t="shared" si="64"/>
        <v>56</v>
      </c>
      <c r="AQ399" s="1">
        <f t="shared" si="64"/>
        <v>145</v>
      </c>
      <c r="AR399" s="1">
        <f t="shared" si="64"/>
        <v>291</v>
      </c>
      <c r="AS399" s="1">
        <f t="shared" si="64"/>
        <v>208</v>
      </c>
      <c r="AT399" s="1">
        <f t="shared" si="64"/>
        <v>347</v>
      </c>
      <c r="AU399" s="1">
        <f t="shared" si="64"/>
        <v>210</v>
      </c>
      <c r="AV399" s="1">
        <f t="shared" si="64"/>
        <v>152</v>
      </c>
      <c r="AW399" s="1">
        <f t="shared" si="64"/>
        <v>361</v>
      </c>
      <c r="AX399" s="1">
        <f t="shared" si="64"/>
        <v>25</v>
      </c>
      <c r="AY399" s="1">
        <f t="shared" si="64"/>
        <v>170</v>
      </c>
      <c r="AZ399" s="1">
        <f t="shared" si="64"/>
        <v>40</v>
      </c>
      <c r="BA399" s="1">
        <f t="shared" si="64"/>
        <v>202</v>
      </c>
      <c r="BB399" s="1">
        <f t="shared" si="64"/>
        <v>373</v>
      </c>
      <c r="BC399" s="1">
        <f t="shared" si="64"/>
        <v>270</v>
      </c>
      <c r="BD399" s="1">
        <f t="shared" si="64"/>
        <v>50</v>
      </c>
      <c r="BE399" s="1">
        <f t="shared" si="64"/>
        <v>22</v>
      </c>
      <c r="BF399" s="1">
        <f t="shared" si="64"/>
        <v>33</v>
      </c>
      <c r="BG399" s="1">
        <f t="shared" si="64"/>
        <v>145</v>
      </c>
      <c r="BH399" s="1">
        <f t="shared" si="64"/>
        <v>98</v>
      </c>
      <c r="BI399" s="1">
        <f t="shared" si="64"/>
        <v>30</v>
      </c>
      <c r="BJ399" s="1">
        <f t="shared" si="64"/>
        <v>36</v>
      </c>
      <c r="BK399" s="1">
        <f t="shared" si="64"/>
        <v>22</v>
      </c>
      <c r="BL399" s="1">
        <f t="shared" si="64"/>
        <v>56</v>
      </c>
      <c r="BM399" s="1">
        <f t="shared" si="64"/>
        <v>80</v>
      </c>
      <c r="BN399" s="1">
        <f t="shared" si="64"/>
        <v>114</v>
      </c>
      <c r="BO399" s="1">
        <f t="shared" si="64"/>
        <v>27</v>
      </c>
      <c r="BP399" s="1">
        <f t="shared" si="64"/>
        <v>117</v>
      </c>
      <c r="BQ399" s="1">
        <f t="shared" ref="BQ399:EB399" si="65">BQ402+BQ405+BQ408+BQ411+BQ414+BQ417+BQ420+BQ423+BQ426+BQ429+BQ432+BQ435+BQ438+BQ441+BQ444+BQ447+BQ450+BQ453+BQ456+BQ459+BQ462+BQ465+BQ468+BQ471+BQ474</f>
        <v>53</v>
      </c>
      <c r="BR399" s="1">
        <f t="shared" si="65"/>
        <v>153</v>
      </c>
      <c r="BS399" s="1">
        <f t="shared" si="65"/>
        <v>133</v>
      </c>
      <c r="BT399" s="1">
        <f t="shared" si="65"/>
        <v>63</v>
      </c>
      <c r="BU399" s="1">
        <f t="shared" si="65"/>
        <v>53</v>
      </c>
      <c r="BV399" s="1">
        <f t="shared" si="65"/>
        <v>81</v>
      </c>
      <c r="BW399" s="1">
        <f t="shared" si="65"/>
        <v>155</v>
      </c>
      <c r="BX399" s="1">
        <f t="shared" si="65"/>
        <v>35</v>
      </c>
      <c r="BY399" s="1">
        <f t="shared" si="65"/>
        <v>46</v>
      </c>
      <c r="BZ399" s="1">
        <f t="shared" si="65"/>
        <v>140</v>
      </c>
      <c r="CA399" s="1">
        <f t="shared" si="65"/>
        <v>134</v>
      </c>
      <c r="CB399" s="1">
        <f t="shared" si="65"/>
        <v>47</v>
      </c>
      <c r="CC399" s="1">
        <f t="shared" si="65"/>
        <v>43</v>
      </c>
      <c r="CD399" s="1">
        <f t="shared" si="65"/>
        <v>20</v>
      </c>
      <c r="CE399" s="1">
        <f t="shared" si="65"/>
        <v>38</v>
      </c>
      <c r="CF399" s="1">
        <f t="shared" si="65"/>
        <v>69</v>
      </c>
      <c r="CG399" s="1">
        <f t="shared" si="65"/>
        <v>47</v>
      </c>
      <c r="CH399" s="1">
        <f t="shared" si="65"/>
        <v>96</v>
      </c>
      <c r="CI399" s="1">
        <f t="shared" si="65"/>
        <v>41</v>
      </c>
      <c r="CJ399" s="1">
        <f t="shared" si="65"/>
        <v>64</v>
      </c>
      <c r="CK399" s="1">
        <f t="shared" si="65"/>
        <v>60</v>
      </c>
      <c r="CL399" s="1">
        <f t="shared" si="65"/>
        <v>61</v>
      </c>
      <c r="CM399" s="1">
        <f t="shared" si="65"/>
        <v>58</v>
      </c>
      <c r="CN399" s="1">
        <f t="shared" si="65"/>
        <v>123</v>
      </c>
      <c r="CO399" s="1">
        <f t="shared" si="65"/>
        <v>68</v>
      </c>
      <c r="CP399" s="1">
        <f t="shared" si="65"/>
        <v>56</v>
      </c>
      <c r="CQ399" s="1">
        <f t="shared" si="65"/>
        <v>35</v>
      </c>
      <c r="CR399" s="1">
        <f t="shared" si="65"/>
        <v>55</v>
      </c>
      <c r="CS399" s="1">
        <f t="shared" si="65"/>
        <v>45</v>
      </c>
      <c r="CT399" s="1">
        <f t="shared" si="65"/>
        <v>53</v>
      </c>
      <c r="CU399" s="1">
        <f t="shared" si="65"/>
        <v>28</v>
      </c>
      <c r="CV399" s="1">
        <f t="shared" si="65"/>
        <v>21</v>
      </c>
      <c r="CW399" s="1">
        <f t="shared" si="65"/>
        <v>29</v>
      </c>
      <c r="CX399" s="1">
        <f t="shared" si="65"/>
        <v>10</v>
      </c>
      <c r="CY399" s="1">
        <f t="shared" si="65"/>
        <v>12</v>
      </c>
      <c r="CZ399" s="1">
        <f t="shared" si="65"/>
        <v>9</v>
      </c>
      <c r="DA399" s="1">
        <f t="shared" si="65"/>
        <v>7</v>
      </c>
      <c r="DB399" s="1">
        <f t="shared" si="65"/>
        <v>7</v>
      </c>
      <c r="DC399" s="1">
        <f t="shared" si="65"/>
        <v>61</v>
      </c>
      <c r="DD399" s="1">
        <f t="shared" si="65"/>
        <v>22</v>
      </c>
      <c r="DE399" s="1">
        <f t="shared" si="65"/>
        <v>26</v>
      </c>
      <c r="DF399" s="1">
        <f t="shared" si="65"/>
        <v>28</v>
      </c>
      <c r="DG399" s="1">
        <f t="shared" si="65"/>
        <v>25</v>
      </c>
      <c r="DH399" s="1">
        <f t="shared" si="65"/>
        <v>16</v>
      </c>
      <c r="DI399" s="1">
        <f t="shared" si="65"/>
        <v>1</v>
      </c>
      <c r="DJ399" s="1">
        <f t="shared" si="65"/>
        <v>15</v>
      </c>
      <c r="DK399" s="1">
        <f t="shared" si="65"/>
        <v>11</v>
      </c>
      <c r="DL399" s="1">
        <f t="shared" si="65"/>
        <v>19</v>
      </c>
      <c r="DM399" s="1">
        <f t="shared" si="65"/>
        <v>6</v>
      </c>
      <c r="DN399" s="1">
        <f t="shared" si="65"/>
        <v>10</v>
      </c>
      <c r="DO399" s="1">
        <f t="shared" si="65"/>
        <v>15</v>
      </c>
      <c r="DP399" s="1">
        <f t="shared" si="65"/>
        <v>17</v>
      </c>
      <c r="DQ399" s="1">
        <f t="shared" si="65"/>
        <v>16</v>
      </c>
      <c r="DR399" s="1">
        <f t="shared" si="65"/>
        <v>11</v>
      </c>
      <c r="DS399" s="1">
        <f t="shared" si="65"/>
        <v>13</v>
      </c>
      <c r="DT399" s="1">
        <f t="shared" si="65"/>
        <v>13</v>
      </c>
      <c r="DU399" s="1">
        <f t="shared" si="65"/>
        <v>11</v>
      </c>
      <c r="DV399" s="1">
        <f t="shared" si="65"/>
        <v>12</v>
      </c>
      <c r="DW399" s="1">
        <f t="shared" si="65"/>
        <v>25</v>
      </c>
      <c r="DX399" s="1">
        <f t="shared" si="65"/>
        <v>26</v>
      </c>
      <c r="DY399" s="1">
        <f t="shared" si="65"/>
        <v>2</v>
      </c>
      <c r="DZ399" s="1">
        <f t="shared" si="65"/>
        <v>17</v>
      </c>
      <c r="EA399" s="1">
        <f t="shared" si="65"/>
        <v>8</v>
      </c>
      <c r="EB399" s="1">
        <f t="shared" si="65"/>
        <v>8</v>
      </c>
      <c r="EC399" s="1">
        <f t="shared" ref="EC399:GN399" si="66">EC402+EC405+EC408+EC411+EC414+EC417+EC420+EC423+EC426+EC429+EC432+EC435+EC438+EC441+EC444+EC447+EC450+EC453+EC456+EC459+EC462+EC465+EC468+EC471+EC474</f>
        <v>26</v>
      </c>
      <c r="ED399" s="1">
        <f t="shared" si="66"/>
        <v>25</v>
      </c>
      <c r="EE399" s="1">
        <f t="shared" si="66"/>
        <v>9</v>
      </c>
      <c r="EF399" s="1">
        <f t="shared" si="66"/>
        <v>11</v>
      </c>
      <c r="EG399" s="1">
        <f t="shared" si="66"/>
        <v>14</v>
      </c>
      <c r="EH399" s="1">
        <f t="shared" si="66"/>
        <v>7</v>
      </c>
      <c r="EI399" s="1">
        <f t="shared" si="66"/>
        <v>5</v>
      </c>
      <c r="EJ399" s="1">
        <f t="shared" si="66"/>
        <v>4</v>
      </c>
      <c r="EK399" s="1">
        <f t="shared" si="66"/>
        <v>3</v>
      </c>
      <c r="EL399" s="1">
        <f t="shared" si="66"/>
        <v>21</v>
      </c>
      <c r="EM399" s="1">
        <f t="shared" si="66"/>
        <v>6</v>
      </c>
      <c r="EN399" s="1">
        <f t="shared" si="66"/>
        <v>8</v>
      </c>
      <c r="EO399" s="1">
        <f t="shared" si="66"/>
        <v>4</v>
      </c>
      <c r="EP399" s="1">
        <f t="shared" si="66"/>
        <v>9</v>
      </c>
      <c r="EQ399" s="1">
        <f t="shared" si="66"/>
        <v>3</v>
      </c>
      <c r="ER399" s="1">
        <f t="shared" si="66"/>
        <v>7</v>
      </c>
      <c r="ES399" s="1">
        <f t="shared" si="66"/>
        <v>0</v>
      </c>
      <c r="ET399" s="1">
        <f t="shared" si="66"/>
        <v>0</v>
      </c>
      <c r="EU399" s="1">
        <f t="shared" si="66"/>
        <v>6</v>
      </c>
      <c r="EV399" s="1">
        <f t="shared" si="66"/>
        <v>6</v>
      </c>
      <c r="EW399" s="1">
        <f t="shared" si="66"/>
        <v>5</v>
      </c>
      <c r="EX399" s="1">
        <f t="shared" si="66"/>
        <v>8</v>
      </c>
      <c r="EY399" s="1">
        <f t="shared" si="66"/>
        <v>6</v>
      </c>
      <c r="EZ399" s="1">
        <f t="shared" si="66"/>
        <v>3</v>
      </c>
      <c r="FA399" s="1">
        <f t="shared" si="66"/>
        <v>1</v>
      </c>
      <c r="FB399" s="1">
        <f t="shared" si="66"/>
        <v>3</v>
      </c>
      <c r="FC399" s="1">
        <f t="shared" si="66"/>
        <v>2</v>
      </c>
      <c r="FD399" s="1">
        <f t="shared" si="66"/>
        <v>0</v>
      </c>
      <c r="FE399" s="1">
        <f t="shared" si="66"/>
        <v>1</v>
      </c>
      <c r="FF399" s="1">
        <f t="shared" si="66"/>
        <v>2</v>
      </c>
      <c r="FG399" s="1">
        <f t="shared" si="66"/>
        <v>6</v>
      </c>
      <c r="FH399" s="1">
        <f t="shared" si="66"/>
        <v>0</v>
      </c>
      <c r="FI399" s="1">
        <f t="shared" si="66"/>
        <v>0</v>
      </c>
      <c r="FJ399" s="1">
        <f t="shared" si="66"/>
        <v>0</v>
      </c>
      <c r="FK399" s="1">
        <f t="shared" si="66"/>
        <v>5</v>
      </c>
      <c r="FL399" s="1">
        <f t="shared" si="66"/>
        <v>0</v>
      </c>
      <c r="FM399" s="1">
        <f t="shared" si="66"/>
        <v>3</v>
      </c>
      <c r="FN399" s="1">
        <f t="shared" si="66"/>
        <v>1</v>
      </c>
      <c r="FO399" s="1">
        <f t="shared" si="66"/>
        <v>0</v>
      </c>
      <c r="FP399" s="1">
        <f t="shared" si="66"/>
        <v>1</v>
      </c>
      <c r="FQ399" s="1">
        <f t="shared" si="66"/>
        <v>3</v>
      </c>
      <c r="FR399" s="1">
        <f t="shared" si="66"/>
        <v>5</v>
      </c>
      <c r="FS399" s="1">
        <f t="shared" si="66"/>
        <v>3</v>
      </c>
      <c r="FT399" s="1">
        <f t="shared" si="66"/>
        <v>3</v>
      </c>
      <c r="FU399" s="1">
        <f t="shared" si="66"/>
        <v>0</v>
      </c>
      <c r="FV399" s="1">
        <f t="shared" si="66"/>
        <v>1</v>
      </c>
      <c r="FW399" s="1">
        <f t="shared" si="66"/>
        <v>0</v>
      </c>
      <c r="FX399" s="1">
        <f t="shared" si="66"/>
        <v>1</v>
      </c>
      <c r="FY399" s="1">
        <f t="shared" si="66"/>
        <v>0</v>
      </c>
      <c r="FZ399" s="1">
        <f t="shared" si="66"/>
        <v>2</v>
      </c>
      <c r="GA399" s="1">
        <f t="shared" si="66"/>
        <v>0</v>
      </c>
      <c r="GB399" s="1">
        <f t="shared" si="66"/>
        <v>1</v>
      </c>
      <c r="GC399" s="1">
        <f t="shared" si="66"/>
        <v>0</v>
      </c>
      <c r="GD399" s="1">
        <f t="shared" si="66"/>
        <v>0</v>
      </c>
      <c r="GE399" s="1">
        <f t="shared" si="66"/>
        <v>0</v>
      </c>
      <c r="GF399" s="1">
        <f t="shared" si="66"/>
        <v>0</v>
      </c>
      <c r="GG399" s="1">
        <f t="shared" si="66"/>
        <v>1</v>
      </c>
      <c r="GH399" s="1">
        <f t="shared" si="66"/>
        <v>0</v>
      </c>
      <c r="GI399" s="1">
        <f t="shared" si="66"/>
        <v>1</v>
      </c>
      <c r="GJ399" s="1">
        <f t="shared" si="66"/>
        <v>1</v>
      </c>
      <c r="GK399" s="1">
        <f t="shared" si="66"/>
        <v>0</v>
      </c>
      <c r="GL399" s="1">
        <f t="shared" si="66"/>
        <v>1</v>
      </c>
      <c r="GM399" s="1">
        <f t="shared" si="66"/>
        <v>0</v>
      </c>
      <c r="GN399" s="1">
        <f t="shared" si="66"/>
        <v>2</v>
      </c>
      <c r="GO399" s="1">
        <f t="shared" ref="GO399:GS399" si="67">GO402+GO405+GO408+GO411+GO414+GO417+GO420+GO423+GO426+GO429+GO432+GO435+GO438+GO441+GO444+GO447+GO450+GO453+GO456+GO459+GO462+GO465+GO468+GO471+GO474</f>
        <v>0</v>
      </c>
      <c r="GP399" s="1">
        <f t="shared" si="67"/>
        <v>1</v>
      </c>
      <c r="GQ399" s="1">
        <f t="shared" si="67"/>
        <v>1</v>
      </c>
      <c r="GR399" s="1">
        <f t="shared" si="67"/>
        <v>0</v>
      </c>
      <c r="GS399" s="1">
        <f t="shared" si="67"/>
        <v>25</v>
      </c>
    </row>
    <row r="400" spans="1:201" x14ac:dyDescent="0.3">
      <c r="A400" t="s">
        <v>322</v>
      </c>
      <c r="B400" t="s">
        <v>200</v>
      </c>
      <c r="C400" t="s">
        <v>204</v>
      </c>
      <c r="D400" s="1">
        <f>D403+D406+D409+D412+D415+D418+D421+D424+D427+D430+D433+D436+D439+D442+D445+D448+D451+D454+D457+D460+D463+D466+D469+D472+D475</f>
        <v>159446</v>
      </c>
      <c r="E400" s="1">
        <f t="shared" ref="E400:BP400" si="68">E403+E406+E409+E412+E415+E418+E421+E424+E427+E430+E433+E436+E439+E442+E445+E448+E451+E454+E457+E460+E463+E466+E469+E472+E475</f>
        <v>20650</v>
      </c>
      <c r="F400" s="1">
        <f t="shared" si="68"/>
        <v>29694</v>
      </c>
      <c r="G400" s="1">
        <f t="shared" si="68"/>
        <v>44640</v>
      </c>
      <c r="H400" s="1">
        <f t="shared" si="68"/>
        <v>2401</v>
      </c>
      <c r="I400" s="1">
        <f t="shared" si="68"/>
        <v>1697</v>
      </c>
      <c r="J400" s="1">
        <f t="shared" si="68"/>
        <v>433</v>
      </c>
      <c r="K400" s="1">
        <f t="shared" si="68"/>
        <v>1439</v>
      </c>
      <c r="L400" s="1">
        <f t="shared" si="68"/>
        <v>2817</v>
      </c>
      <c r="M400" s="1">
        <f t="shared" si="68"/>
        <v>2660</v>
      </c>
      <c r="N400" s="1">
        <f t="shared" si="68"/>
        <v>1957</v>
      </c>
      <c r="O400" s="1">
        <f t="shared" si="68"/>
        <v>7577</v>
      </c>
      <c r="P400" s="1">
        <f t="shared" si="68"/>
        <v>5799</v>
      </c>
      <c r="Q400" s="1">
        <f t="shared" si="68"/>
        <v>139</v>
      </c>
      <c r="R400" s="1">
        <f t="shared" si="68"/>
        <v>420</v>
      </c>
      <c r="S400" s="1">
        <f t="shared" si="68"/>
        <v>8489</v>
      </c>
      <c r="T400" s="1">
        <f t="shared" si="68"/>
        <v>2715</v>
      </c>
      <c r="U400" s="1">
        <f t="shared" si="68"/>
        <v>1105</v>
      </c>
      <c r="V400" s="1">
        <f t="shared" si="68"/>
        <v>526</v>
      </c>
      <c r="W400" s="1">
        <f t="shared" si="68"/>
        <v>4629</v>
      </c>
      <c r="X400" s="1">
        <f t="shared" si="68"/>
        <v>1472</v>
      </c>
      <c r="Y400" s="1">
        <f t="shared" si="68"/>
        <v>179</v>
      </c>
      <c r="Z400" s="1">
        <f t="shared" si="68"/>
        <v>419</v>
      </c>
      <c r="AA400" s="1">
        <f t="shared" si="68"/>
        <v>1993</v>
      </c>
      <c r="AB400" s="1">
        <f t="shared" si="68"/>
        <v>1016</v>
      </c>
      <c r="AC400" s="1">
        <f t="shared" si="68"/>
        <v>1060</v>
      </c>
      <c r="AD400" s="1">
        <f t="shared" si="68"/>
        <v>360</v>
      </c>
      <c r="AE400" s="1">
        <f t="shared" si="68"/>
        <v>22</v>
      </c>
      <c r="AF400" s="1">
        <f t="shared" si="68"/>
        <v>788</v>
      </c>
      <c r="AG400" s="1">
        <f t="shared" si="68"/>
        <v>638</v>
      </c>
      <c r="AH400" s="1">
        <f t="shared" si="68"/>
        <v>1104</v>
      </c>
      <c r="AI400" s="1">
        <f t="shared" si="68"/>
        <v>152</v>
      </c>
      <c r="AJ400" s="1">
        <f t="shared" si="68"/>
        <v>50</v>
      </c>
      <c r="AK400" s="1">
        <f t="shared" si="68"/>
        <v>179</v>
      </c>
      <c r="AL400" s="1">
        <f t="shared" si="68"/>
        <v>363</v>
      </c>
      <c r="AM400" s="1">
        <f t="shared" si="68"/>
        <v>1101</v>
      </c>
      <c r="AN400" s="1">
        <f t="shared" si="68"/>
        <v>400</v>
      </c>
      <c r="AO400" s="1">
        <f t="shared" si="68"/>
        <v>77</v>
      </c>
      <c r="AP400" s="1">
        <f t="shared" si="68"/>
        <v>31</v>
      </c>
      <c r="AQ400" s="1">
        <f t="shared" si="68"/>
        <v>290</v>
      </c>
      <c r="AR400" s="1">
        <f t="shared" si="68"/>
        <v>187</v>
      </c>
      <c r="AS400" s="1">
        <f t="shared" si="68"/>
        <v>286</v>
      </c>
      <c r="AT400" s="1">
        <f t="shared" si="68"/>
        <v>609</v>
      </c>
      <c r="AU400" s="1">
        <f t="shared" si="68"/>
        <v>339</v>
      </c>
      <c r="AV400" s="1">
        <f t="shared" si="68"/>
        <v>64</v>
      </c>
      <c r="AW400" s="1">
        <f t="shared" si="68"/>
        <v>508</v>
      </c>
      <c r="AX400" s="1">
        <f t="shared" si="68"/>
        <v>15</v>
      </c>
      <c r="AY400" s="1">
        <f t="shared" si="68"/>
        <v>309</v>
      </c>
      <c r="AZ400" s="1">
        <f t="shared" si="68"/>
        <v>29</v>
      </c>
      <c r="BA400" s="1">
        <f t="shared" si="68"/>
        <v>356</v>
      </c>
      <c r="BB400" s="1">
        <f t="shared" si="68"/>
        <v>330</v>
      </c>
      <c r="BC400" s="1">
        <f t="shared" si="68"/>
        <v>276</v>
      </c>
      <c r="BD400" s="1">
        <f t="shared" si="68"/>
        <v>45</v>
      </c>
      <c r="BE400" s="1">
        <f t="shared" si="68"/>
        <v>12</v>
      </c>
      <c r="BF400" s="1">
        <f t="shared" si="68"/>
        <v>26</v>
      </c>
      <c r="BG400" s="1">
        <f t="shared" si="68"/>
        <v>94</v>
      </c>
      <c r="BH400" s="1">
        <f t="shared" si="68"/>
        <v>234</v>
      </c>
      <c r="BI400" s="1">
        <f t="shared" si="68"/>
        <v>66</v>
      </c>
      <c r="BJ400" s="1">
        <f t="shared" si="68"/>
        <v>53</v>
      </c>
      <c r="BK400" s="1">
        <f t="shared" si="68"/>
        <v>14</v>
      </c>
      <c r="BL400" s="1">
        <f t="shared" si="68"/>
        <v>68</v>
      </c>
      <c r="BM400" s="1">
        <f t="shared" si="68"/>
        <v>49</v>
      </c>
      <c r="BN400" s="1">
        <f t="shared" si="68"/>
        <v>182</v>
      </c>
      <c r="BO400" s="1">
        <f t="shared" si="68"/>
        <v>31</v>
      </c>
      <c r="BP400" s="1">
        <f t="shared" si="68"/>
        <v>53</v>
      </c>
      <c r="BQ400" s="1">
        <f t="shared" ref="BQ400:EB400" si="69">BQ403+BQ406+BQ409+BQ412+BQ415+BQ418+BQ421+BQ424+BQ427+BQ430+BQ433+BQ436+BQ439+BQ442+BQ445+BQ448+BQ451+BQ454+BQ457+BQ460+BQ463+BQ466+BQ469+BQ472+BQ475</f>
        <v>66</v>
      </c>
      <c r="BR400" s="1">
        <f t="shared" si="69"/>
        <v>214</v>
      </c>
      <c r="BS400" s="1">
        <f t="shared" si="69"/>
        <v>98</v>
      </c>
      <c r="BT400" s="1">
        <f t="shared" si="69"/>
        <v>51</v>
      </c>
      <c r="BU400" s="1">
        <f t="shared" si="69"/>
        <v>108</v>
      </c>
      <c r="BV400" s="1">
        <f t="shared" si="69"/>
        <v>136</v>
      </c>
      <c r="BW400" s="1">
        <f t="shared" si="69"/>
        <v>173</v>
      </c>
      <c r="BX400" s="1">
        <f t="shared" si="69"/>
        <v>13</v>
      </c>
      <c r="BY400" s="1">
        <f t="shared" si="69"/>
        <v>24</v>
      </c>
      <c r="BZ400" s="1">
        <f t="shared" si="69"/>
        <v>131</v>
      </c>
      <c r="CA400" s="1">
        <f t="shared" si="69"/>
        <v>137</v>
      </c>
      <c r="CB400" s="1">
        <f t="shared" si="69"/>
        <v>39</v>
      </c>
      <c r="CC400" s="1">
        <f t="shared" si="69"/>
        <v>109</v>
      </c>
      <c r="CD400" s="1">
        <f t="shared" si="69"/>
        <v>111</v>
      </c>
      <c r="CE400" s="1">
        <f t="shared" si="69"/>
        <v>86</v>
      </c>
      <c r="CF400" s="1">
        <f t="shared" si="69"/>
        <v>122</v>
      </c>
      <c r="CG400" s="1">
        <f t="shared" si="69"/>
        <v>145</v>
      </c>
      <c r="CH400" s="1">
        <f t="shared" si="69"/>
        <v>41</v>
      </c>
      <c r="CI400" s="1">
        <f t="shared" si="69"/>
        <v>113</v>
      </c>
      <c r="CJ400" s="1">
        <f t="shared" si="69"/>
        <v>101</v>
      </c>
      <c r="CK400" s="1">
        <f t="shared" si="69"/>
        <v>99</v>
      </c>
      <c r="CL400" s="1">
        <f t="shared" si="69"/>
        <v>102</v>
      </c>
      <c r="CM400" s="1">
        <f t="shared" si="69"/>
        <v>8</v>
      </c>
      <c r="CN400" s="1">
        <f t="shared" si="69"/>
        <v>100</v>
      </c>
      <c r="CO400" s="1">
        <f t="shared" si="69"/>
        <v>16</v>
      </c>
      <c r="CP400" s="1">
        <f t="shared" si="69"/>
        <v>67</v>
      </c>
      <c r="CQ400" s="1">
        <f t="shared" si="69"/>
        <v>39</v>
      </c>
      <c r="CR400" s="1">
        <f t="shared" si="69"/>
        <v>29</v>
      </c>
      <c r="CS400" s="1">
        <f t="shared" si="69"/>
        <v>55</v>
      </c>
      <c r="CT400" s="1">
        <f t="shared" si="69"/>
        <v>80</v>
      </c>
      <c r="CU400" s="1">
        <f t="shared" si="69"/>
        <v>53</v>
      </c>
      <c r="CV400" s="1">
        <f t="shared" si="69"/>
        <v>43</v>
      </c>
      <c r="CW400" s="1">
        <f t="shared" si="69"/>
        <v>54</v>
      </c>
      <c r="CX400" s="1">
        <f t="shared" si="69"/>
        <v>3</v>
      </c>
      <c r="CY400" s="1">
        <f t="shared" si="69"/>
        <v>64</v>
      </c>
      <c r="CZ400" s="1">
        <f t="shared" si="69"/>
        <v>61</v>
      </c>
      <c r="DA400" s="1">
        <f t="shared" si="69"/>
        <v>6</v>
      </c>
      <c r="DB400" s="1">
        <f t="shared" si="69"/>
        <v>15</v>
      </c>
      <c r="DC400" s="1">
        <f t="shared" si="69"/>
        <v>6</v>
      </c>
      <c r="DD400" s="1">
        <f t="shared" si="69"/>
        <v>17</v>
      </c>
      <c r="DE400" s="1">
        <f t="shared" si="69"/>
        <v>21</v>
      </c>
      <c r="DF400" s="1">
        <f t="shared" si="69"/>
        <v>21</v>
      </c>
      <c r="DG400" s="1">
        <f t="shared" si="69"/>
        <v>38</v>
      </c>
      <c r="DH400" s="1">
        <f t="shared" si="69"/>
        <v>22</v>
      </c>
      <c r="DI400" s="1">
        <f t="shared" si="69"/>
        <v>27</v>
      </c>
      <c r="DJ400" s="1">
        <f t="shared" si="69"/>
        <v>16</v>
      </c>
      <c r="DK400" s="1">
        <f t="shared" si="69"/>
        <v>46</v>
      </c>
      <c r="DL400" s="1">
        <f t="shared" si="69"/>
        <v>24</v>
      </c>
      <c r="DM400" s="1">
        <f t="shared" si="69"/>
        <v>27</v>
      </c>
      <c r="DN400" s="1">
        <f t="shared" si="69"/>
        <v>28</v>
      </c>
      <c r="DO400" s="1">
        <f t="shared" si="69"/>
        <v>17</v>
      </c>
      <c r="DP400" s="1">
        <f t="shared" si="69"/>
        <v>29</v>
      </c>
      <c r="DQ400" s="1">
        <f t="shared" si="69"/>
        <v>17</v>
      </c>
      <c r="DR400" s="1">
        <f t="shared" si="69"/>
        <v>29</v>
      </c>
      <c r="DS400" s="1">
        <f t="shared" si="69"/>
        <v>28</v>
      </c>
      <c r="DT400" s="1">
        <f t="shared" si="69"/>
        <v>16</v>
      </c>
      <c r="DU400" s="1">
        <f t="shared" si="69"/>
        <v>5</v>
      </c>
      <c r="DV400" s="1">
        <f t="shared" si="69"/>
        <v>21</v>
      </c>
      <c r="DW400" s="1">
        <f t="shared" si="69"/>
        <v>29</v>
      </c>
      <c r="DX400" s="1">
        <f t="shared" si="69"/>
        <v>5</v>
      </c>
      <c r="DY400" s="1">
        <f t="shared" si="69"/>
        <v>7</v>
      </c>
      <c r="DZ400" s="1">
        <f t="shared" si="69"/>
        <v>17</v>
      </c>
      <c r="EA400" s="1">
        <f t="shared" si="69"/>
        <v>11</v>
      </c>
      <c r="EB400" s="1">
        <f t="shared" si="69"/>
        <v>11</v>
      </c>
      <c r="EC400" s="1">
        <f t="shared" ref="EC400:GN400" si="70">EC403+EC406+EC409+EC412+EC415+EC418+EC421+EC424+EC427+EC430+EC433+EC436+EC439+EC442+EC445+EC448+EC451+EC454+EC457+EC460+EC463+EC466+EC469+EC472+EC475</f>
        <v>22</v>
      </c>
      <c r="ED400" s="1">
        <f t="shared" si="70"/>
        <v>23</v>
      </c>
      <c r="EE400" s="1">
        <f t="shared" si="70"/>
        <v>25</v>
      </c>
      <c r="EF400" s="1">
        <f t="shared" si="70"/>
        <v>7</v>
      </c>
      <c r="EG400" s="1">
        <f t="shared" si="70"/>
        <v>16</v>
      </c>
      <c r="EH400" s="1">
        <f t="shared" si="70"/>
        <v>10</v>
      </c>
      <c r="EI400" s="1">
        <f t="shared" si="70"/>
        <v>6</v>
      </c>
      <c r="EJ400" s="1">
        <f t="shared" si="70"/>
        <v>18</v>
      </c>
      <c r="EK400" s="1">
        <f t="shared" si="70"/>
        <v>8</v>
      </c>
      <c r="EL400" s="1">
        <f t="shared" si="70"/>
        <v>16</v>
      </c>
      <c r="EM400" s="1">
        <f t="shared" si="70"/>
        <v>1</v>
      </c>
      <c r="EN400" s="1">
        <f t="shared" si="70"/>
        <v>10</v>
      </c>
      <c r="EO400" s="1">
        <f t="shared" si="70"/>
        <v>12</v>
      </c>
      <c r="EP400" s="1">
        <f t="shared" si="70"/>
        <v>1</v>
      </c>
      <c r="EQ400" s="1">
        <f t="shared" si="70"/>
        <v>6</v>
      </c>
      <c r="ER400" s="1">
        <f t="shared" si="70"/>
        <v>4</v>
      </c>
      <c r="ES400" s="1">
        <f t="shared" si="70"/>
        <v>6</v>
      </c>
      <c r="ET400" s="1">
        <f t="shared" si="70"/>
        <v>3</v>
      </c>
      <c r="EU400" s="1">
        <f t="shared" si="70"/>
        <v>2</v>
      </c>
      <c r="EV400" s="1">
        <f t="shared" si="70"/>
        <v>1</v>
      </c>
      <c r="EW400" s="1">
        <f t="shared" si="70"/>
        <v>9</v>
      </c>
      <c r="EX400" s="1">
        <f t="shared" si="70"/>
        <v>1</v>
      </c>
      <c r="EY400" s="1">
        <f t="shared" si="70"/>
        <v>0</v>
      </c>
      <c r="EZ400" s="1">
        <f t="shared" si="70"/>
        <v>1</v>
      </c>
      <c r="FA400" s="1">
        <f t="shared" si="70"/>
        <v>1</v>
      </c>
      <c r="FB400" s="1">
        <f t="shared" si="70"/>
        <v>3</v>
      </c>
      <c r="FC400" s="1">
        <f t="shared" si="70"/>
        <v>1</v>
      </c>
      <c r="FD400" s="1">
        <f t="shared" si="70"/>
        <v>1</v>
      </c>
      <c r="FE400" s="1">
        <f t="shared" si="70"/>
        <v>3</v>
      </c>
      <c r="FF400" s="1">
        <f t="shared" si="70"/>
        <v>2</v>
      </c>
      <c r="FG400" s="1">
        <f t="shared" si="70"/>
        <v>5</v>
      </c>
      <c r="FH400" s="1">
        <f t="shared" si="70"/>
        <v>2</v>
      </c>
      <c r="FI400" s="1">
        <f t="shared" si="70"/>
        <v>0</v>
      </c>
      <c r="FJ400" s="1">
        <f t="shared" si="70"/>
        <v>1</v>
      </c>
      <c r="FK400" s="1">
        <f t="shared" si="70"/>
        <v>3</v>
      </c>
      <c r="FL400" s="1">
        <f t="shared" si="70"/>
        <v>4</v>
      </c>
      <c r="FM400" s="1">
        <f t="shared" si="70"/>
        <v>1</v>
      </c>
      <c r="FN400" s="1">
        <f t="shared" si="70"/>
        <v>6</v>
      </c>
      <c r="FO400" s="1">
        <f t="shared" si="70"/>
        <v>2</v>
      </c>
      <c r="FP400" s="1">
        <f t="shared" si="70"/>
        <v>0</v>
      </c>
      <c r="FQ400" s="1">
        <f t="shared" si="70"/>
        <v>4</v>
      </c>
      <c r="FR400" s="1">
        <f t="shared" si="70"/>
        <v>2</v>
      </c>
      <c r="FS400" s="1">
        <f t="shared" si="70"/>
        <v>1</v>
      </c>
      <c r="FT400" s="1">
        <f t="shared" si="70"/>
        <v>0</v>
      </c>
      <c r="FU400" s="1">
        <f t="shared" si="70"/>
        <v>3</v>
      </c>
      <c r="FV400" s="1">
        <f t="shared" si="70"/>
        <v>1</v>
      </c>
      <c r="FW400" s="1">
        <f t="shared" si="70"/>
        <v>0</v>
      </c>
      <c r="FX400" s="1">
        <f t="shared" si="70"/>
        <v>0</v>
      </c>
      <c r="FY400" s="1">
        <f t="shared" si="70"/>
        <v>0</v>
      </c>
      <c r="FZ400" s="1">
        <f t="shared" si="70"/>
        <v>0</v>
      </c>
      <c r="GA400" s="1">
        <f t="shared" si="70"/>
        <v>2</v>
      </c>
      <c r="GB400" s="1">
        <f t="shared" si="70"/>
        <v>0</v>
      </c>
      <c r="GC400" s="1">
        <f t="shared" si="70"/>
        <v>0</v>
      </c>
      <c r="GD400" s="1">
        <f t="shared" si="70"/>
        <v>1</v>
      </c>
      <c r="GE400" s="1">
        <f t="shared" si="70"/>
        <v>0</v>
      </c>
      <c r="GF400" s="1">
        <f t="shared" si="70"/>
        <v>1</v>
      </c>
      <c r="GG400" s="1">
        <f t="shared" si="70"/>
        <v>0</v>
      </c>
      <c r="GH400" s="1">
        <f t="shared" si="70"/>
        <v>1</v>
      </c>
      <c r="GI400" s="1">
        <f t="shared" si="70"/>
        <v>0</v>
      </c>
      <c r="GJ400" s="1">
        <f t="shared" si="70"/>
        <v>0</v>
      </c>
      <c r="GK400" s="1">
        <f t="shared" si="70"/>
        <v>2</v>
      </c>
      <c r="GL400" s="1">
        <f t="shared" si="70"/>
        <v>0</v>
      </c>
      <c r="GM400" s="1">
        <f t="shared" si="70"/>
        <v>2</v>
      </c>
      <c r="GN400" s="1">
        <f t="shared" si="70"/>
        <v>0</v>
      </c>
      <c r="GO400" s="1">
        <f t="shared" ref="GO400:GS400" si="71">GO403+GO406+GO409+GO412+GO415+GO418+GO421+GO424+GO427+GO430+GO433+GO436+GO439+GO442+GO445+GO448+GO451+GO454+GO457+GO460+GO463+GO466+GO469+GO472+GO475</f>
        <v>0</v>
      </c>
      <c r="GP400" s="1">
        <f t="shared" si="71"/>
        <v>0</v>
      </c>
      <c r="GQ400" s="1">
        <f t="shared" si="71"/>
        <v>0</v>
      </c>
      <c r="GR400" s="1">
        <f t="shared" si="71"/>
        <v>0</v>
      </c>
      <c r="GS400" s="1">
        <f t="shared" si="71"/>
        <v>20</v>
      </c>
    </row>
    <row r="401" spans="1:201" x14ac:dyDescent="0.3">
      <c r="A401" t="s">
        <v>322</v>
      </c>
      <c r="B401" t="s">
        <v>323</v>
      </c>
      <c r="C401" t="s">
        <v>200</v>
      </c>
      <c r="D401" s="1">
        <v>6178</v>
      </c>
      <c r="E401">
        <v>263</v>
      </c>
      <c r="F401">
        <v>420</v>
      </c>
      <c r="G401" s="1">
        <v>1070</v>
      </c>
      <c r="H401">
        <v>18</v>
      </c>
      <c r="I401">
        <v>115</v>
      </c>
      <c r="J401">
        <v>39</v>
      </c>
      <c r="K401">
        <v>66</v>
      </c>
      <c r="L401">
        <v>109</v>
      </c>
      <c r="M401">
        <v>64</v>
      </c>
      <c r="N401">
        <v>265</v>
      </c>
      <c r="O401">
        <v>106</v>
      </c>
      <c r="P401">
        <v>978</v>
      </c>
      <c r="Q401">
        <v>5</v>
      </c>
      <c r="R401">
        <v>16</v>
      </c>
      <c r="S401">
        <v>569</v>
      </c>
      <c r="T401">
        <v>187</v>
      </c>
      <c r="U401">
        <v>60</v>
      </c>
      <c r="V401">
        <v>25</v>
      </c>
      <c r="W401">
        <v>179</v>
      </c>
      <c r="X401">
        <v>77</v>
      </c>
      <c r="Y401">
        <v>3</v>
      </c>
      <c r="Z401">
        <v>9</v>
      </c>
      <c r="AA401">
        <v>173</v>
      </c>
      <c r="AB401">
        <v>20</v>
      </c>
      <c r="AC401">
        <v>184</v>
      </c>
      <c r="AD401">
        <v>69</v>
      </c>
      <c r="AE401">
        <v>0</v>
      </c>
      <c r="AF401">
        <v>203</v>
      </c>
      <c r="AG401">
        <v>57</v>
      </c>
      <c r="AH401">
        <v>92</v>
      </c>
      <c r="AI401">
        <v>8</v>
      </c>
      <c r="AJ401">
        <v>1</v>
      </c>
      <c r="AK401">
        <v>1</v>
      </c>
      <c r="AL401">
        <v>30</v>
      </c>
      <c r="AM401">
        <v>42</v>
      </c>
      <c r="AN401">
        <v>74</v>
      </c>
      <c r="AO401">
        <v>5</v>
      </c>
      <c r="AP401">
        <v>0</v>
      </c>
      <c r="AQ401">
        <v>13</v>
      </c>
      <c r="AR401">
        <v>10</v>
      </c>
      <c r="AS401">
        <v>30</v>
      </c>
      <c r="AT401">
        <v>48</v>
      </c>
      <c r="AU401">
        <v>24</v>
      </c>
      <c r="AV401">
        <v>0</v>
      </c>
      <c r="AW401">
        <v>23</v>
      </c>
      <c r="AX401">
        <v>0</v>
      </c>
      <c r="AY401">
        <v>16</v>
      </c>
      <c r="AZ401">
        <v>0</v>
      </c>
      <c r="BA401">
        <v>32</v>
      </c>
      <c r="BB401">
        <v>45</v>
      </c>
      <c r="BC401">
        <v>38</v>
      </c>
      <c r="BD401">
        <v>1</v>
      </c>
      <c r="BE401">
        <v>2</v>
      </c>
      <c r="BF401">
        <v>0</v>
      </c>
      <c r="BG401">
        <v>21</v>
      </c>
      <c r="BH401">
        <v>15</v>
      </c>
      <c r="BI401">
        <v>3</v>
      </c>
      <c r="BJ401">
        <v>3</v>
      </c>
      <c r="BK401">
        <v>0</v>
      </c>
      <c r="BL401">
        <v>1</v>
      </c>
      <c r="BM401">
        <v>0</v>
      </c>
      <c r="BN401">
        <v>11</v>
      </c>
      <c r="BO401">
        <v>1</v>
      </c>
      <c r="BP401">
        <v>1</v>
      </c>
      <c r="BQ401">
        <v>4</v>
      </c>
      <c r="BR401">
        <v>19</v>
      </c>
      <c r="BS401">
        <v>12</v>
      </c>
      <c r="BT401">
        <v>2</v>
      </c>
      <c r="BU401">
        <v>11</v>
      </c>
      <c r="BV401">
        <v>4</v>
      </c>
      <c r="BW401">
        <v>7</v>
      </c>
      <c r="BX401">
        <v>0</v>
      </c>
      <c r="BY401">
        <v>0</v>
      </c>
      <c r="BZ401">
        <v>9</v>
      </c>
      <c r="CA401">
        <v>8</v>
      </c>
      <c r="CB401">
        <v>0</v>
      </c>
      <c r="CC401">
        <v>5</v>
      </c>
      <c r="CD401">
        <v>11</v>
      </c>
      <c r="CE401">
        <v>4</v>
      </c>
      <c r="CF401">
        <v>4</v>
      </c>
      <c r="CG401">
        <v>5</v>
      </c>
      <c r="CH401">
        <v>1</v>
      </c>
      <c r="CI401">
        <v>12</v>
      </c>
      <c r="CJ401">
        <v>7</v>
      </c>
      <c r="CK401">
        <v>9</v>
      </c>
      <c r="CL401">
        <v>14</v>
      </c>
      <c r="CM401">
        <v>0</v>
      </c>
      <c r="CN401">
        <v>14</v>
      </c>
      <c r="CO401">
        <v>1</v>
      </c>
      <c r="CP401">
        <v>6</v>
      </c>
      <c r="CQ401">
        <v>2</v>
      </c>
      <c r="CR401">
        <v>0</v>
      </c>
      <c r="CS401">
        <v>5</v>
      </c>
      <c r="CT401">
        <v>6</v>
      </c>
      <c r="CU401">
        <v>3</v>
      </c>
      <c r="CV401">
        <v>7</v>
      </c>
      <c r="CW401">
        <v>2</v>
      </c>
      <c r="CX401">
        <v>0</v>
      </c>
      <c r="CY401">
        <v>0</v>
      </c>
      <c r="CZ401">
        <v>3</v>
      </c>
      <c r="DA401">
        <v>0</v>
      </c>
      <c r="DB401">
        <v>1</v>
      </c>
      <c r="DC401">
        <v>0</v>
      </c>
      <c r="DD401">
        <v>0</v>
      </c>
      <c r="DE401">
        <v>0</v>
      </c>
      <c r="DF401">
        <v>0</v>
      </c>
      <c r="DG401">
        <v>4</v>
      </c>
      <c r="DH401">
        <v>0</v>
      </c>
      <c r="DI401">
        <v>1</v>
      </c>
      <c r="DJ401">
        <v>1</v>
      </c>
      <c r="DK401">
        <v>0</v>
      </c>
      <c r="DL401">
        <v>1</v>
      </c>
      <c r="DM401">
        <v>0</v>
      </c>
      <c r="DN401">
        <v>2</v>
      </c>
      <c r="DO401">
        <v>1</v>
      </c>
      <c r="DP401">
        <v>1</v>
      </c>
      <c r="DQ401">
        <v>1</v>
      </c>
      <c r="DR401">
        <v>1</v>
      </c>
      <c r="DS401">
        <v>1</v>
      </c>
      <c r="DT401">
        <v>2</v>
      </c>
      <c r="DU401">
        <v>0</v>
      </c>
      <c r="DV401">
        <v>3</v>
      </c>
      <c r="DW401">
        <v>2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1</v>
      </c>
      <c r="ED401">
        <v>1</v>
      </c>
      <c r="EE401">
        <v>0</v>
      </c>
      <c r="EF401">
        <v>0</v>
      </c>
      <c r="EG401">
        <v>2</v>
      </c>
      <c r="EH401">
        <v>1</v>
      </c>
      <c r="EI401">
        <v>0</v>
      </c>
      <c r="EJ401">
        <v>1</v>
      </c>
      <c r="EK401">
        <v>0</v>
      </c>
      <c r="EL401">
        <v>0</v>
      </c>
      <c r="EM401">
        <v>0</v>
      </c>
      <c r="EN401">
        <v>1</v>
      </c>
      <c r="EO401">
        <v>0</v>
      </c>
      <c r="EP401">
        <v>1</v>
      </c>
      <c r="EQ401">
        <v>0</v>
      </c>
      <c r="ER401">
        <v>3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1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5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1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1</v>
      </c>
    </row>
    <row r="402" spans="1:201" x14ac:dyDescent="0.3">
      <c r="A402" t="s">
        <v>322</v>
      </c>
      <c r="B402" t="s">
        <v>323</v>
      </c>
      <c r="C402" t="s">
        <v>203</v>
      </c>
      <c r="D402" s="1">
        <v>2844</v>
      </c>
      <c r="E402">
        <v>79</v>
      </c>
      <c r="F402">
        <v>180</v>
      </c>
      <c r="G402">
        <v>546</v>
      </c>
      <c r="H402">
        <v>11</v>
      </c>
      <c r="I402">
        <v>77</v>
      </c>
      <c r="J402">
        <v>34</v>
      </c>
      <c r="K402">
        <v>16</v>
      </c>
      <c r="L402">
        <v>76</v>
      </c>
      <c r="M402">
        <v>18</v>
      </c>
      <c r="N402">
        <v>161</v>
      </c>
      <c r="O402">
        <v>33</v>
      </c>
      <c r="P402">
        <v>497</v>
      </c>
      <c r="Q402">
        <v>3</v>
      </c>
      <c r="R402">
        <v>13</v>
      </c>
      <c r="S402">
        <v>216</v>
      </c>
      <c r="T402">
        <v>52</v>
      </c>
      <c r="U402">
        <v>21</v>
      </c>
      <c r="V402">
        <v>16</v>
      </c>
      <c r="W402">
        <v>77</v>
      </c>
      <c r="X402">
        <v>44</v>
      </c>
      <c r="Y402">
        <v>0</v>
      </c>
      <c r="Z402">
        <v>1</v>
      </c>
      <c r="AA402">
        <v>82</v>
      </c>
      <c r="AB402">
        <v>6</v>
      </c>
      <c r="AC402">
        <v>83</v>
      </c>
      <c r="AD402">
        <v>20</v>
      </c>
      <c r="AE402">
        <v>0</v>
      </c>
      <c r="AF402">
        <v>99</v>
      </c>
      <c r="AG402">
        <v>25</v>
      </c>
      <c r="AH402">
        <v>41</v>
      </c>
      <c r="AI402">
        <v>6</v>
      </c>
      <c r="AJ402">
        <v>1</v>
      </c>
      <c r="AK402">
        <v>0</v>
      </c>
      <c r="AL402">
        <v>7</v>
      </c>
      <c r="AM402">
        <v>14</v>
      </c>
      <c r="AN402">
        <v>46</v>
      </c>
      <c r="AO402">
        <v>1</v>
      </c>
      <c r="AP402">
        <v>0</v>
      </c>
      <c r="AQ402">
        <v>3</v>
      </c>
      <c r="AR402">
        <v>5</v>
      </c>
      <c r="AS402">
        <v>13</v>
      </c>
      <c r="AT402">
        <v>17</v>
      </c>
      <c r="AU402">
        <v>8</v>
      </c>
      <c r="AV402">
        <v>0</v>
      </c>
      <c r="AW402">
        <v>11</v>
      </c>
      <c r="AX402">
        <v>0</v>
      </c>
      <c r="AY402">
        <v>7</v>
      </c>
      <c r="AZ402">
        <v>0</v>
      </c>
      <c r="BA402">
        <v>16</v>
      </c>
      <c r="BB402">
        <v>19</v>
      </c>
      <c r="BC402">
        <v>17</v>
      </c>
      <c r="BD402">
        <v>1</v>
      </c>
      <c r="BE402">
        <v>1</v>
      </c>
      <c r="BF402">
        <v>0</v>
      </c>
      <c r="BG402">
        <v>10</v>
      </c>
      <c r="BH402">
        <v>4</v>
      </c>
      <c r="BI402">
        <v>2</v>
      </c>
      <c r="BJ402">
        <v>1</v>
      </c>
      <c r="BK402">
        <v>0</v>
      </c>
      <c r="BL402">
        <v>1</v>
      </c>
      <c r="BM402">
        <v>0</v>
      </c>
      <c r="BN402">
        <v>5</v>
      </c>
      <c r="BO402">
        <v>1</v>
      </c>
      <c r="BP402">
        <v>1</v>
      </c>
      <c r="BQ402">
        <v>2</v>
      </c>
      <c r="BR402">
        <v>13</v>
      </c>
      <c r="BS402">
        <v>5</v>
      </c>
      <c r="BT402">
        <v>1</v>
      </c>
      <c r="BU402">
        <v>7</v>
      </c>
      <c r="BV402">
        <v>1</v>
      </c>
      <c r="BW402">
        <v>3</v>
      </c>
      <c r="BX402">
        <v>0</v>
      </c>
      <c r="BY402">
        <v>0</v>
      </c>
      <c r="BZ402">
        <v>5</v>
      </c>
      <c r="CA402">
        <v>3</v>
      </c>
      <c r="CB402">
        <v>0</v>
      </c>
      <c r="CC402">
        <v>1</v>
      </c>
      <c r="CD402">
        <v>0</v>
      </c>
      <c r="CE402">
        <v>0</v>
      </c>
      <c r="CF402">
        <v>3</v>
      </c>
      <c r="CG402">
        <v>0</v>
      </c>
      <c r="CH402">
        <v>1</v>
      </c>
      <c r="CI402">
        <v>2</v>
      </c>
      <c r="CJ402">
        <v>2</v>
      </c>
      <c r="CK402">
        <v>2</v>
      </c>
      <c r="CL402">
        <v>6</v>
      </c>
      <c r="CM402">
        <v>0</v>
      </c>
      <c r="CN402">
        <v>7</v>
      </c>
      <c r="CO402">
        <v>1</v>
      </c>
      <c r="CP402">
        <v>4</v>
      </c>
      <c r="CQ402">
        <v>1</v>
      </c>
      <c r="CR402">
        <v>0</v>
      </c>
      <c r="CS402">
        <v>2</v>
      </c>
      <c r="CT402">
        <v>1</v>
      </c>
      <c r="CU402">
        <v>1</v>
      </c>
      <c r="CV402">
        <v>5</v>
      </c>
      <c r="CW402">
        <v>1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1</v>
      </c>
      <c r="DH402">
        <v>0</v>
      </c>
      <c r="DI402">
        <v>0</v>
      </c>
      <c r="DJ402">
        <v>1</v>
      </c>
      <c r="DK402">
        <v>0</v>
      </c>
      <c r="DL402">
        <v>0</v>
      </c>
      <c r="DM402">
        <v>0</v>
      </c>
      <c r="DN402">
        <v>1</v>
      </c>
      <c r="DO402">
        <v>0</v>
      </c>
      <c r="DP402">
        <v>1</v>
      </c>
      <c r="DQ402">
        <v>1</v>
      </c>
      <c r="DR402">
        <v>1</v>
      </c>
      <c r="DS402">
        <v>0</v>
      </c>
      <c r="DT402">
        <v>1</v>
      </c>
      <c r="DU402">
        <v>0</v>
      </c>
      <c r="DV402">
        <v>1</v>
      </c>
      <c r="DW402">
        <v>2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1</v>
      </c>
      <c r="ED402">
        <v>0</v>
      </c>
      <c r="EE402">
        <v>0</v>
      </c>
      <c r="EF402">
        <v>0</v>
      </c>
      <c r="EG402">
        <v>1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1</v>
      </c>
      <c r="EO402">
        <v>0</v>
      </c>
      <c r="EP402">
        <v>0</v>
      </c>
      <c r="EQ402">
        <v>0</v>
      </c>
      <c r="ER402">
        <v>1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1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3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1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</row>
    <row r="403" spans="1:201" x14ac:dyDescent="0.3">
      <c r="A403" t="s">
        <v>322</v>
      </c>
      <c r="B403" t="s">
        <v>323</v>
      </c>
      <c r="C403" t="s">
        <v>204</v>
      </c>
      <c r="D403" s="1">
        <v>3334</v>
      </c>
      <c r="E403">
        <v>184</v>
      </c>
      <c r="F403">
        <v>240</v>
      </c>
      <c r="G403">
        <v>524</v>
      </c>
      <c r="H403">
        <v>7</v>
      </c>
      <c r="I403">
        <v>38</v>
      </c>
      <c r="J403">
        <v>5</v>
      </c>
      <c r="K403">
        <v>50</v>
      </c>
      <c r="L403">
        <v>33</v>
      </c>
      <c r="M403">
        <v>46</v>
      </c>
      <c r="N403">
        <v>104</v>
      </c>
      <c r="O403">
        <v>73</v>
      </c>
      <c r="P403">
        <v>481</v>
      </c>
      <c r="Q403">
        <v>2</v>
      </c>
      <c r="R403">
        <v>3</v>
      </c>
      <c r="S403">
        <v>353</v>
      </c>
      <c r="T403">
        <v>135</v>
      </c>
      <c r="U403">
        <v>39</v>
      </c>
      <c r="V403">
        <v>9</v>
      </c>
      <c r="W403">
        <v>102</v>
      </c>
      <c r="X403">
        <v>33</v>
      </c>
      <c r="Y403">
        <v>3</v>
      </c>
      <c r="Z403">
        <v>8</v>
      </c>
      <c r="AA403">
        <v>91</v>
      </c>
      <c r="AB403">
        <v>14</v>
      </c>
      <c r="AC403">
        <v>101</v>
      </c>
      <c r="AD403">
        <v>49</v>
      </c>
      <c r="AE403">
        <v>0</v>
      </c>
      <c r="AF403">
        <v>104</v>
      </c>
      <c r="AG403">
        <v>32</v>
      </c>
      <c r="AH403">
        <v>51</v>
      </c>
      <c r="AI403">
        <v>2</v>
      </c>
      <c r="AJ403">
        <v>0</v>
      </c>
      <c r="AK403">
        <v>1</v>
      </c>
      <c r="AL403">
        <v>23</v>
      </c>
      <c r="AM403">
        <v>28</v>
      </c>
      <c r="AN403">
        <v>28</v>
      </c>
      <c r="AO403">
        <v>4</v>
      </c>
      <c r="AP403">
        <v>0</v>
      </c>
      <c r="AQ403">
        <v>10</v>
      </c>
      <c r="AR403">
        <v>5</v>
      </c>
      <c r="AS403">
        <v>17</v>
      </c>
      <c r="AT403">
        <v>31</v>
      </c>
      <c r="AU403">
        <v>16</v>
      </c>
      <c r="AV403">
        <v>0</v>
      </c>
      <c r="AW403">
        <v>12</v>
      </c>
      <c r="AX403">
        <v>0</v>
      </c>
      <c r="AY403">
        <v>9</v>
      </c>
      <c r="AZ403">
        <v>0</v>
      </c>
      <c r="BA403">
        <v>16</v>
      </c>
      <c r="BB403">
        <v>26</v>
      </c>
      <c r="BC403">
        <v>21</v>
      </c>
      <c r="BD403">
        <v>0</v>
      </c>
      <c r="BE403">
        <v>1</v>
      </c>
      <c r="BF403">
        <v>0</v>
      </c>
      <c r="BG403">
        <v>11</v>
      </c>
      <c r="BH403">
        <v>11</v>
      </c>
      <c r="BI403">
        <v>1</v>
      </c>
      <c r="BJ403">
        <v>2</v>
      </c>
      <c r="BK403">
        <v>0</v>
      </c>
      <c r="BL403">
        <v>0</v>
      </c>
      <c r="BM403">
        <v>0</v>
      </c>
      <c r="BN403">
        <v>6</v>
      </c>
      <c r="BO403">
        <v>0</v>
      </c>
      <c r="BP403">
        <v>0</v>
      </c>
      <c r="BQ403">
        <v>2</v>
      </c>
      <c r="BR403">
        <v>6</v>
      </c>
      <c r="BS403">
        <v>7</v>
      </c>
      <c r="BT403">
        <v>1</v>
      </c>
      <c r="BU403">
        <v>4</v>
      </c>
      <c r="BV403">
        <v>3</v>
      </c>
      <c r="BW403">
        <v>4</v>
      </c>
      <c r="BX403">
        <v>0</v>
      </c>
      <c r="BY403">
        <v>0</v>
      </c>
      <c r="BZ403">
        <v>4</v>
      </c>
      <c r="CA403">
        <v>5</v>
      </c>
      <c r="CB403">
        <v>0</v>
      </c>
      <c r="CC403">
        <v>4</v>
      </c>
      <c r="CD403">
        <v>11</v>
      </c>
      <c r="CE403">
        <v>4</v>
      </c>
      <c r="CF403">
        <v>1</v>
      </c>
      <c r="CG403">
        <v>5</v>
      </c>
      <c r="CH403">
        <v>0</v>
      </c>
      <c r="CI403">
        <v>10</v>
      </c>
      <c r="CJ403">
        <v>5</v>
      </c>
      <c r="CK403">
        <v>7</v>
      </c>
      <c r="CL403">
        <v>8</v>
      </c>
      <c r="CM403">
        <v>0</v>
      </c>
      <c r="CN403">
        <v>7</v>
      </c>
      <c r="CO403">
        <v>0</v>
      </c>
      <c r="CP403">
        <v>2</v>
      </c>
      <c r="CQ403">
        <v>1</v>
      </c>
      <c r="CR403">
        <v>0</v>
      </c>
      <c r="CS403">
        <v>3</v>
      </c>
      <c r="CT403">
        <v>5</v>
      </c>
      <c r="CU403">
        <v>2</v>
      </c>
      <c r="CV403">
        <v>2</v>
      </c>
      <c r="CW403">
        <v>1</v>
      </c>
      <c r="CX403">
        <v>0</v>
      </c>
      <c r="CY403">
        <v>0</v>
      </c>
      <c r="CZ403">
        <v>3</v>
      </c>
      <c r="DA403">
        <v>0</v>
      </c>
      <c r="DB403">
        <v>1</v>
      </c>
      <c r="DC403">
        <v>0</v>
      </c>
      <c r="DD403">
        <v>0</v>
      </c>
      <c r="DE403">
        <v>0</v>
      </c>
      <c r="DF403">
        <v>0</v>
      </c>
      <c r="DG403">
        <v>3</v>
      </c>
      <c r="DH403">
        <v>0</v>
      </c>
      <c r="DI403">
        <v>1</v>
      </c>
      <c r="DJ403">
        <v>0</v>
      </c>
      <c r="DK403">
        <v>0</v>
      </c>
      <c r="DL403">
        <v>1</v>
      </c>
      <c r="DM403">
        <v>0</v>
      </c>
      <c r="DN403">
        <v>1</v>
      </c>
      <c r="DO403">
        <v>1</v>
      </c>
      <c r="DP403">
        <v>0</v>
      </c>
      <c r="DQ403">
        <v>0</v>
      </c>
      <c r="DR403">
        <v>0</v>
      </c>
      <c r="DS403">
        <v>1</v>
      </c>
      <c r="DT403">
        <v>1</v>
      </c>
      <c r="DU403">
        <v>0</v>
      </c>
      <c r="DV403">
        <v>2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1</v>
      </c>
      <c r="EE403">
        <v>0</v>
      </c>
      <c r="EF403">
        <v>0</v>
      </c>
      <c r="EG403">
        <v>1</v>
      </c>
      <c r="EH403">
        <v>1</v>
      </c>
      <c r="EI403">
        <v>0</v>
      </c>
      <c r="EJ403">
        <v>1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1</v>
      </c>
      <c r="EQ403">
        <v>0</v>
      </c>
      <c r="ER403">
        <v>2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2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1</v>
      </c>
    </row>
    <row r="404" spans="1:201" x14ac:dyDescent="0.3">
      <c r="A404" t="s">
        <v>322</v>
      </c>
      <c r="B404" t="s">
        <v>324</v>
      </c>
      <c r="C404" t="s">
        <v>200</v>
      </c>
      <c r="D404" s="1">
        <v>4870</v>
      </c>
      <c r="E404">
        <v>449</v>
      </c>
      <c r="F404" s="1">
        <v>1269</v>
      </c>
      <c r="G404">
        <v>679</v>
      </c>
      <c r="H404">
        <v>49</v>
      </c>
      <c r="I404">
        <v>240</v>
      </c>
      <c r="J404">
        <v>102</v>
      </c>
      <c r="K404">
        <v>26</v>
      </c>
      <c r="L404">
        <v>56</v>
      </c>
      <c r="M404">
        <v>123</v>
      </c>
      <c r="N404">
        <v>107</v>
      </c>
      <c r="O404">
        <v>337</v>
      </c>
      <c r="P404">
        <v>253</v>
      </c>
      <c r="Q404">
        <v>10</v>
      </c>
      <c r="R404">
        <v>40</v>
      </c>
      <c r="S404">
        <v>262</v>
      </c>
      <c r="T404">
        <v>58</v>
      </c>
      <c r="U404">
        <v>30</v>
      </c>
      <c r="V404">
        <v>34</v>
      </c>
      <c r="W404">
        <v>91</v>
      </c>
      <c r="X404">
        <v>60</v>
      </c>
      <c r="Y404">
        <v>10</v>
      </c>
      <c r="Z404">
        <v>28</v>
      </c>
      <c r="AA404">
        <v>43</v>
      </c>
      <c r="AB404">
        <v>28</v>
      </c>
      <c r="AC404">
        <v>47</v>
      </c>
      <c r="AD404">
        <v>24</v>
      </c>
      <c r="AE404">
        <v>0</v>
      </c>
      <c r="AF404">
        <v>51</v>
      </c>
      <c r="AG404">
        <v>39</v>
      </c>
      <c r="AH404">
        <v>14</v>
      </c>
      <c r="AI404">
        <v>7</v>
      </c>
      <c r="AJ404">
        <v>2</v>
      </c>
      <c r="AK404">
        <v>2</v>
      </c>
      <c r="AL404">
        <v>6</v>
      </c>
      <c r="AM404">
        <v>24</v>
      </c>
      <c r="AN404">
        <v>23</v>
      </c>
      <c r="AO404">
        <v>0</v>
      </c>
      <c r="AP404">
        <v>0</v>
      </c>
      <c r="AQ404">
        <v>6</v>
      </c>
      <c r="AR404">
        <v>2</v>
      </c>
      <c r="AS404">
        <v>9</v>
      </c>
      <c r="AT404">
        <v>14</v>
      </c>
      <c r="AU404">
        <v>13</v>
      </c>
      <c r="AV404">
        <v>0</v>
      </c>
      <c r="AW404">
        <v>5</v>
      </c>
      <c r="AX404">
        <v>2</v>
      </c>
      <c r="AY404">
        <v>7</v>
      </c>
      <c r="AZ404">
        <v>1</v>
      </c>
      <c r="BA404">
        <v>13</v>
      </c>
      <c r="BB404">
        <v>76</v>
      </c>
      <c r="BC404">
        <v>4</v>
      </c>
      <c r="BD404">
        <v>1</v>
      </c>
      <c r="BE404">
        <v>0</v>
      </c>
      <c r="BF404">
        <v>0</v>
      </c>
      <c r="BG404">
        <v>7</v>
      </c>
      <c r="BH404">
        <v>5</v>
      </c>
      <c r="BI404">
        <v>1</v>
      </c>
      <c r="BJ404">
        <v>1</v>
      </c>
      <c r="BK404">
        <v>0</v>
      </c>
      <c r="BL404">
        <v>0</v>
      </c>
      <c r="BM404">
        <v>2</v>
      </c>
      <c r="BN404">
        <v>3</v>
      </c>
      <c r="BO404">
        <v>0</v>
      </c>
      <c r="BP404">
        <v>0</v>
      </c>
      <c r="BQ404">
        <v>1</v>
      </c>
      <c r="BR404">
        <v>4</v>
      </c>
      <c r="BS404">
        <v>8</v>
      </c>
      <c r="BT404">
        <v>1</v>
      </c>
      <c r="BU404">
        <v>1</v>
      </c>
      <c r="BV404">
        <v>2</v>
      </c>
      <c r="BW404">
        <v>1</v>
      </c>
      <c r="BX404">
        <v>0</v>
      </c>
      <c r="BY404">
        <v>0</v>
      </c>
      <c r="BZ404">
        <v>1</v>
      </c>
      <c r="CA404">
        <v>2</v>
      </c>
      <c r="CB404">
        <v>0</v>
      </c>
      <c r="CC404">
        <v>5</v>
      </c>
      <c r="CD404">
        <v>2</v>
      </c>
      <c r="CE404">
        <v>1</v>
      </c>
      <c r="CF404">
        <v>1</v>
      </c>
      <c r="CG404">
        <v>3</v>
      </c>
      <c r="CH404">
        <v>2</v>
      </c>
      <c r="CI404">
        <v>0</v>
      </c>
      <c r="CJ404">
        <v>1</v>
      </c>
      <c r="CK404">
        <v>4</v>
      </c>
      <c r="CL404">
        <v>2</v>
      </c>
      <c r="CM404">
        <v>2</v>
      </c>
      <c r="CN404">
        <v>0</v>
      </c>
      <c r="CO404">
        <v>0</v>
      </c>
      <c r="CP404">
        <v>3</v>
      </c>
      <c r="CQ404">
        <v>0</v>
      </c>
      <c r="CR404">
        <v>0</v>
      </c>
      <c r="CS404">
        <v>4</v>
      </c>
      <c r="CT404">
        <v>2</v>
      </c>
      <c r="CU404">
        <v>1</v>
      </c>
      <c r="CV404">
        <v>1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1</v>
      </c>
      <c r="DG404">
        <v>1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1</v>
      </c>
      <c r="DN404">
        <v>1</v>
      </c>
      <c r="DO404">
        <v>0</v>
      </c>
      <c r="DP404">
        <v>0</v>
      </c>
      <c r="DQ404">
        <v>2</v>
      </c>
      <c r="DR404">
        <v>0</v>
      </c>
      <c r="DS404">
        <v>2</v>
      </c>
      <c r="DT404">
        <v>0</v>
      </c>
      <c r="DU404">
        <v>0</v>
      </c>
      <c r="DV404">
        <v>2</v>
      </c>
      <c r="DW404">
        <v>0</v>
      </c>
      <c r="DX404">
        <v>0</v>
      </c>
      <c r="DY404">
        <v>0</v>
      </c>
      <c r="DZ404">
        <v>1</v>
      </c>
      <c r="EA404">
        <v>0</v>
      </c>
      <c r="EB404">
        <v>0</v>
      </c>
      <c r="EC404">
        <v>0</v>
      </c>
      <c r="ED404">
        <v>0</v>
      </c>
      <c r="EE404">
        <v>1</v>
      </c>
      <c r="EF404">
        <v>1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1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1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4</v>
      </c>
    </row>
    <row r="405" spans="1:201" x14ac:dyDescent="0.3">
      <c r="A405" t="s">
        <v>322</v>
      </c>
      <c r="B405" t="s">
        <v>324</v>
      </c>
      <c r="C405" t="s">
        <v>203</v>
      </c>
      <c r="D405" s="1">
        <v>2124</v>
      </c>
      <c r="E405">
        <v>127</v>
      </c>
      <c r="F405">
        <v>661</v>
      </c>
      <c r="G405">
        <v>203</v>
      </c>
      <c r="H405">
        <v>32</v>
      </c>
      <c r="I405">
        <v>177</v>
      </c>
      <c r="J405">
        <v>90</v>
      </c>
      <c r="K405">
        <v>10</v>
      </c>
      <c r="L405">
        <v>35</v>
      </c>
      <c r="M405">
        <v>31</v>
      </c>
      <c r="N405">
        <v>34</v>
      </c>
      <c r="O405">
        <v>149</v>
      </c>
      <c r="P405">
        <v>103</v>
      </c>
      <c r="Q405">
        <v>10</v>
      </c>
      <c r="R405">
        <v>29</v>
      </c>
      <c r="S405">
        <v>37</v>
      </c>
      <c r="T405">
        <v>18</v>
      </c>
      <c r="U405">
        <v>8</v>
      </c>
      <c r="V405">
        <v>22</v>
      </c>
      <c r="W405">
        <v>35</v>
      </c>
      <c r="X405">
        <v>40</v>
      </c>
      <c r="Y405">
        <v>0</v>
      </c>
      <c r="Z405">
        <v>18</v>
      </c>
      <c r="AA405">
        <v>19</v>
      </c>
      <c r="AB405">
        <v>11</v>
      </c>
      <c r="AC405">
        <v>25</v>
      </c>
      <c r="AD405">
        <v>5</v>
      </c>
      <c r="AE405">
        <v>0</v>
      </c>
      <c r="AF405">
        <v>24</v>
      </c>
      <c r="AG405">
        <v>28</v>
      </c>
      <c r="AH405">
        <v>2</v>
      </c>
      <c r="AI405">
        <v>2</v>
      </c>
      <c r="AJ405">
        <v>1</v>
      </c>
      <c r="AK405">
        <v>2</v>
      </c>
      <c r="AL405">
        <v>1</v>
      </c>
      <c r="AM405">
        <v>3</v>
      </c>
      <c r="AN405">
        <v>13</v>
      </c>
      <c r="AO405">
        <v>0</v>
      </c>
      <c r="AP405">
        <v>0</v>
      </c>
      <c r="AQ405">
        <v>3</v>
      </c>
      <c r="AR405">
        <v>1</v>
      </c>
      <c r="AS405">
        <v>2</v>
      </c>
      <c r="AT405">
        <v>5</v>
      </c>
      <c r="AU405">
        <v>9</v>
      </c>
      <c r="AV405">
        <v>0</v>
      </c>
      <c r="AW405">
        <v>0</v>
      </c>
      <c r="AX405">
        <v>0</v>
      </c>
      <c r="AY405">
        <v>4</v>
      </c>
      <c r="AZ405">
        <v>1</v>
      </c>
      <c r="BA405">
        <v>6</v>
      </c>
      <c r="BB405">
        <v>43</v>
      </c>
      <c r="BC405">
        <v>2</v>
      </c>
      <c r="BD405">
        <v>1</v>
      </c>
      <c r="BE405">
        <v>0</v>
      </c>
      <c r="BF405">
        <v>0</v>
      </c>
      <c r="BG405">
        <v>3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2</v>
      </c>
      <c r="BT405">
        <v>1</v>
      </c>
      <c r="BU405">
        <v>0</v>
      </c>
      <c r="BV405">
        <v>2</v>
      </c>
      <c r="BW405">
        <v>0</v>
      </c>
      <c r="BX405">
        <v>0</v>
      </c>
      <c r="BY405">
        <v>0</v>
      </c>
      <c r="BZ405">
        <v>1</v>
      </c>
      <c r="CA405">
        <v>2</v>
      </c>
      <c r="CB405">
        <v>0</v>
      </c>
      <c r="CC405">
        <v>2</v>
      </c>
      <c r="CD405">
        <v>0</v>
      </c>
      <c r="CE405">
        <v>1</v>
      </c>
      <c r="CF405">
        <v>0</v>
      </c>
      <c r="CG405">
        <v>0</v>
      </c>
      <c r="CH405">
        <v>2</v>
      </c>
      <c r="CI405">
        <v>0</v>
      </c>
      <c r="CJ405">
        <v>1</v>
      </c>
      <c r="CK405">
        <v>1</v>
      </c>
      <c r="CL405">
        <v>1</v>
      </c>
      <c r="CM405">
        <v>2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</v>
      </c>
      <c r="CT405">
        <v>0</v>
      </c>
      <c r="CU405">
        <v>1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1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1</v>
      </c>
      <c r="DN405">
        <v>0</v>
      </c>
      <c r="DO405">
        <v>0</v>
      </c>
      <c r="DP405">
        <v>0</v>
      </c>
      <c r="DQ405">
        <v>2</v>
      </c>
      <c r="DR405">
        <v>0</v>
      </c>
      <c r="DS405">
        <v>1</v>
      </c>
      <c r="DT405">
        <v>0</v>
      </c>
      <c r="DU405">
        <v>0</v>
      </c>
      <c r="DV405">
        <v>1</v>
      </c>
      <c r="DW405">
        <v>0</v>
      </c>
      <c r="DX405">
        <v>0</v>
      </c>
      <c r="DY405">
        <v>0</v>
      </c>
      <c r="DZ405">
        <v>1</v>
      </c>
      <c r="EA405">
        <v>0</v>
      </c>
      <c r="EB405">
        <v>0</v>
      </c>
      <c r="EC405">
        <v>0</v>
      </c>
      <c r="ED405">
        <v>0</v>
      </c>
      <c r="EE405">
        <v>1</v>
      </c>
      <c r="EF405">
        <v>1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1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1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4</v>
      </c>
    </row>
    <row r="406" spans="1:201" x14ac:dyDescent="0.3">
      <c r="A406" t="s">
        <v>322</v>
      </c>
      <c r="B406" t="s">
        <v>324</v>
      </c>
      <c r="C406" t="s">
        <v>204</v>
      </c>
      <c r="D406" s="1">
        <v>2746</v>
      </c>
      <c r="E406">
        <v>322</v>
      </c>
      <c r="F406">
        <v>608</v>
      </c>
      <c r="G406">
        <v>476</v>
      </c>
      <c r="H406">
        <v>17</v>
      </c>
      <c r="I406">
        <v>63</v>
      </c>
      <c r="J406">
        <v>12</v>
      </c>
      <c r="K406">
        <v>16</v>
      </c>
      <c r="L406">
        <v>21</v>
      </c>
      <c r="M406">
        <v>92</v>
      </c>
      <c r="N406">
        <v>73</v>
      </c>
      <c r="O406">
        <v>188</v>
      </c>
      <c r="P406">
        <v>150</v>
      </c>
      <c r="Q406">
        <v>0</v>
      </c>
      <c r="R406">
        <v>11</v>
      </c>
      <c r="S406">
        <v>225</v>
      </c>
      <c r="T406">
        <v>40</v>
      </c>
      <c r="U406">
        <v>22</v>
      </c>
      <c r="V406">
        <v>12</v>
      </c>
      <c r="W406">
        <v>56</v>
      </c>
      <c r="X406">
        <v>20</v>
      </c>
      <c r="Y406">
        <v>10</v>
      </c>
      <c r="Z406">
        <v>10</v>
      </c>
      <c r="AA406">
        <v>24</v>
      </c>
      <c r="AB406">
        <v>17</v>
      </c>
      <c r="AC406">
        <v>22</v>
      </c>
      <c r="AD406">
        <v>19</v>
      </c>
      <c r="AE406">
        <v>0</v>
      </c>
      <c r="AF406">
        <v>27</v>
      </c>
      <c r="AG406">
        <v>11</v>
      </c>
      <c r="AH406">
        <v>12</v>
      </c>
      <c r="AI406">
        <v>5</v>
      </c>
      <c r="AJ406">
        <v>1</v>
      </c>
      <c r="AK406">
        <v>0</v>
      </c>
      <c r="AL406">
        <v>5</v>
      </c>
      <c r="AM406">
        <v>21</v>
      </c>
      <c r="AN406">
        <v>10</v>
      </c>
      <c r="AO406">
        <v>0</v>
      </c>
      <c r="AP406">
        <v>0</v>
      </c>
      <c r="AQ406">
        <v>3</v>
      </c>
      <c r="AR406">
        <v>1</v>
      </c>
      <c r="AS406">
        <v>7</v>
      </c>
      <c r="AT406">
        <v>9</v>
      </c>
      <c r="AU406">
        <v>4</v>
      </c>
      <c r="AV406">
        <v>0</v>
      </c>
      <c r="AW406">
        <v>5</v>
      </c>
      <c r="AX406">
        <v>2</v>
      </c>
      <c r="AY406">
        <v>3</v>
      </c>
      <c r="AZ406">
        <v>0</v>
      </c>
      <c r="BA406">
        <v>7</v>
      </c>
      <c r="BB406">
        <v>33</v>
      </c>
      <c r="BC406">
        <v>2</v>
      </c>
      <c r="BD406">
        <v>0</v>
      </c>
      <c r="BE406">
        <v>0</v>
      </c>
      <c r="BF406">
        <v>0</v>
      </c>
      <c r="BG406">
        <v>4</v>
      </c>
      <c r="BH406">
        <v>4</v>
      </c>
      <c r="BI406">
        <v>1</v>
      </c>
      <c r="BJ406">
        <v>1</v>
      </c>
      <c r="BK406">
        <v>0</v>
      </c>
      <c r="BL406">
        <v>0</v>
      </c>
      <c r="BM406">
        <v>1</v>
      </c>
      <c r="BN406">
        <v>3</v>
      </c>
      <c r="BO406">
        <v>0</v>
      </c>
      <c r="BP406">
        <v>0</v>
      </c>
      <c r="BQ406">
        <v>1</v>
      </c>
      <c r="BR406">
        <v>3</v>
      </c>
      <c r="BS406">
        <v>6</v>
      </c>
      <c r="BT406">
        <v>0</v>
      </c>
      <c r="BU406">
        <v>1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3</v>
      </c>
      <c r="CD406">
        <v>2</v>
      </c>
      <c r="CE406">
        <v>0</v>
      </c>
      <c r="CF406">
        <v>1</v>
      </c>
      <c r="CG406">
        <v>3</v>
      </c>
      <c r="CH406">
        <v>0</v>
      </c>
      <c r="CI406">
        <v>0</v>
      </c>
      <c r="CJ406">
        <v>0</v>
      </c>
      <c r="CK406">
        <v>3</v>
      </c>
      <c r="CL406">
        <v>1</v>
      </c>
      <c r="CM406">
        <v>0</v>
      </c>
      <c r="CN406">
        <v>0</v>
      </c>
      <c r="CO406">
        <v>0</v>
      </c>
      <c r="CP406">
        <v>3</v>
      </c>
      <c r="CQ406">
        <v>0</v>
      </c>
      <c r="CR406">
        <v>0</v>
      </c>
      <c r="CS406">
        <v>2</v>
      </c>
      <c r="CT406">
        <v>2</v>
      </c>
      <c r="CU406">
        <v>0</v>
      </c>
      <c r="CV406">
        <v>1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1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1</v>
      </c>
      <c r="DO406">
        <v>0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  <c r="DV406">
        <v>1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1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</row>
    <row r="407" spans="1:201" x14ac:dyDescent="0.3">
      <c r="A407" t="s">
        <v>322</v>
      </c>
      <c r="B407" t="s">
        <v>325</v>
      </c>
      <c r="C407" t="s">
        <v>200</v>
      </c>
      <c r="D407" s="1">
        <v>6972</v>
      </c>
      <c r="E407" s="1">
        <v>1715</v>
      </c>
      <c r="F407">
        <v>715</v>
      </c>
      <c r="G407" s="1">
        <v>1515</v>
      </c>
      <c r="H407">
        <v>105</v>
      </c>
      <c r="I407">
        <v>180</v>
      </c>
      <c r="J407">
        <v>29</v>
      </c>
      <c r="K407">
        <v>32</v>
      </c>
      <c r="L407">
        <v>198</v>
      </c>
      <c r="M407">
        <v>126</v>
      </c>
      <c r="N407">
        <v>115</v>
      </c>
      <c r="O407" s="1">
        <v>1128</v>
      </c>
      <c r="P407">
        <v>111</v>
      </c>
      <c r="Q407">
        <v>4</v>
      </c>
      <c r="R407">
        <v>7</v>
      </c>
      <c r="S407">
        <v>194</v>
      </c>
      <c r="T407">
        <v>95</v>
      </c>
      <c r="U407">
        <v>33</v>
      </c>
      <c r="V407">
        <v>37</v>
      </c>
      <c r="W407">
        <v>144</v>
      </c>
      <c r="X407">
        <v>21</v>
      </c>
      <c r="Y407">
        <v>8</v>
      </c>
      <c r="Z407">
        <v>20</v>
      </c>
      <c r="AA407">
        <v>29</v>
      </c>
      <c r="AB407">
        <v>20</v>
      </c>
      <c r="AC407">
        <v>22</v>
      </c>
      <c r="AD407">
        <v>14</v>
      </c>
      <c r="AE407">
        <v>0</v>
      </c>
      <c r="AF407">
        <v>18</v>
      </c>
      <c r="AG407">
        <v>45</v>
      </c>
      <c r="AH407">
        <v>19</v>
      </c>
      <c r="AI407">
        <v>3</v>
      </c>
      <c r="AJ407">
        <v>3</v>
      </c>
      <c r="AK407">
        <v>6</v>
      </c>
      <c r="AL407">
        <v>12</v>
      </c>
      <c r="AM407">
        <v>34</v>
      </c>
      <c r="AN407">
        <v>7</v>
      </c>
      <c r="AO407">
        <v>28</v>
      </c>
      <c r="AP407">
        <v>1</v>
      </c>
      <c r="AQ407">
        <v>9</v>
      </c>
      <c r="AR407">
        <v>3</v>
      </c>
      <c r="AS407">
        <v>7</v>
      </c>
      <c r="AT407">
        <v>8</v>
      </c>
      <c r="AU407">
        <v>11</v>
      </c>
      <c r="AV407">
        <v>2</v>
      </c>
      <c r="AW407">
        <v>14</v>
      </c>
      <c r="AX407">
        <v>0</v>
      </c>
      <c r="AY407">
        <v>5</v>
      </c>
      <c r="AZ407">
        <v>0</v>
      </c>
      <c r="BA407">
        <v>9</v>
      </c>
      <c r="BB407">
        <v>8</v>
      </c>
      <c r="BC407">
        <v>3</v>
      </c>
      <c r="BD407">
        <v>0</v>
      </c>
      <c r="BE407">
        <v>0</v>
      </c>
      <c r="BF407">
        <v>1</v>
      </c>
      <c r="BG407">
        <v>5</v>
      </c>
      <c r="BH407">
        <v>5</v>
      </c>
      <c r="BI407">
        <v>0</v>
      </c>
      <c r="BJ407">
        <v>2</v>
      </c>
      <c r="BK407">
        <v>0</v>
      </c>
      <c r="BL407">
        <v>0</v>
      </c>
      <c r="BM407">
        <v>2</v>
      </c>
      <c r="BN407">
        <v>4</v>
      </c>
      <c r="BO407">
        <v>0</v>
      </c>
      <c r="BP407">
        <v>0</v>
      </c>
      <c r="BQ407">
        <v>1</v>
      </c>
      <c r="BR407">
        <v>4</v>
      </c>
      <c r="BS407">
        <v>9</v>
      </c>
      <c r="BT407">
        <v>0</v>
      </c>
      <c r="BU407">
        <v>4</v>
      </c>
      <c r="BV407">
        <v>0</v>
      </c>
      <c r="BW407">
        <v>3</v>
      </c>
      <c r="BX407">
        <v>0</v>
      </c>
      <c r="BY407">
        <v>1</v>
      </c>
      <c r="BZ407">
        <v>0</v>
      </c>
      <c r="CA407">
        <v>2</v>
      </c>
      <c r="CB407">
        <v>1</v>
      </c>
      <c r="CC407">
        <v>2</v>
      </c>
      <c r="CD407">
        <v>8</v>
      </c>
      <c r="CE407">
        <v>1</v>
      </c>
      <c r="CF407">
        <v>1</v>
      </c>
      <c r="CG407">
        <v>1</v>
      </c>
      <c r="CH407">
        <v>1</v>
      </c>
      <c r="CI407">
        <v>2</v>
      </c>
      <c r="CJ407">
        <v>1</v>
      </c>
      <c r="CK407">
        <v>3</v>
      </c>
      <c r="CL407">
        <v>1</v>
      </c>
      <c r="CM407">
        <v>2</v>
      </c>
      <c r="CN407">
        <v>0</v>
      </c>
      <c r="CO407">
        <v>0</v>
      </c>
      <c r="CP407">
        <v>3</v>
      </c>
      <c r="CQ407">
        <v>1</v>
      </c>
      <c r="CR407">
        <v>1</v>
      </c>
      <c r="CS407">
        <v>4</v>
      </c>
      <c r="CT407">
        <v>2</v>
      </c>
      <c r="CU407">
        <v>2</v>
      </c>
      <c r="CV407">
        <v>0</v>
      </c>
      <c r="CW407">
        <v>2</v>
      </c>
      <c r="CX407">
        <v>0</v>
      </c>
      <c r="CY407">
        <v>1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</v>
      </c>
      <c r="DJ407">
        <v>0</v>
      </c>
      <c r="DK407">
        <v>0</v>
      </c>
      <c r="DL407">
        <v>0</v>
      </c>
      <c r="DM407">
        <v>1</v>
      </c>
      <c r="DN407">
        <v>1</v>
      </c>
      <c r="DO407">
        <v>1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1</v>
      </c>
      <c r="DW407">
        <v>0</v>
      </c>
      <c r="DX407">
        <v>1</v>
      </c>
      <c r="DY407">
        <v>0</v>
      </c>
      <c r="DZ407">
        <v>1</v>
      </c>
      <c r="EA407">
        <v>0</v>
      </c>
      <c r="EB407">
        <v>0</v>
      </c>
      <c r="EC407">
        <v>0</v>
      </c>
      <c r="ED407">
        <v>0</v>
      </c>
      <c r="EE407">
        <v>1</v>
      </c>
      <c r="EF407">
        <v>0</v>
      </c>
      <c r="EG407">
        <v>1</v>
      </c>
      <c r="EH407">
        <v>1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1</v>
      </c>
      <c r="EV407">
        <v>0</v>
      </c>
      <c r="EW407">
        <v>1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1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4</v>
      </c>
    </row>
    <row r="408" spans="1:201" x14ac:dyDescent="0.3">
      <c r="A408" t="s">
        <v>322</v>
      </c>
      <c r="B408" t="s">
        <v>325</v>
      </c>
      <c r="C408" t="s">
        <v>203</v>
      </c>
      <c r="D408" s="1">
        <v>2336</v>
      </c>
      <c r="E408">
        <v>533</v>
      </c>
      <c r="F408">
        <v>328</v>
      </c>
      <c r="G408">
        <v>416</v>
      </c>
      <c r="H408">
        <v>53</v>
      </c>
      <c r="I408">
        <v>101</v>
      </c>
      <c r="J408">
        <v>12</v>
      </c>
      <c r="K408">
        <v>11</v>
      </c>
      <c r="L408">
        <v>82</v>
      </c>
      <c r="M408">
        <v>28</v>
      </c>
      <c r="N408">
        <v>41</v>
      </c>
      <c r="O408">
        <v>381</v>
      </c>
      <c r="P408">
        <v>55</v>
      </c>
      <c r="Q408">
        <v>1</v>
      </c>
      <c r="R408">
        <v>3</v>
      </c>
      <c r="S408">
        <v>17</v>
      </c>
      <c r="T408">
        <v>11</v>
      </c>
      <c r="U408">
        <v>6</v>
      </c>
      <c r="V408">
        <v>25</v>
      </c>
      <c r="W408">
        <v>51</v>
      </c>
      <c r="X408">
        <v>10</v>
      </c>
      <c r="Y408">
        <v>1</v>
      </c>
      <c r="Z408">
        <v>5</v>
      </c>
      <c r="AA408">
        <v>12</v>
      </c>
      <c r="AB408">
        <v>1</v>
      </c>
      <c r="AC408">
        <v>11</v>
      </c>
      <c r="AD408">
        <v>6</v>
      </c>
      <c r="AE408">
        <v>0</v>
      </c>
      <c r="AF408">
        <v>11</v>
      </c>
      <c r="AG408">
        <v>19</v>
      </c>
      <c r="AH408">
        <v>4</v>
      </c>
      <c r="AI408">
        <v>1</v>
      </c>
      <c r="AJ408">
        <v>1</v>
      </c>
      <c r="AK408">
        <v>2</v>
      </c>
      <c r="AL408">
        <v>3</v>
      </c>
      <c r="AM408">
        <v>4</v>
      </c>
      <c r="AN408">
        <v>5</v>
      </c>
      <c r="AO408">
        <v>21</v>
      </c>
      <c r="AP408">
        <v>1</v>
      </c>
      <c r="AQ408">
        <v>3</v>
      </c>
      <c r="AR408">
        <v>1</v>
      </c>
      <c r="AS408">
        <v>1</v>
      </c>
      <c r="AT408">
        <v>1</v>
      </c>
      <c r="AU408">
        <v>4</v>
      </c>
      <c r="AV408">
        <v>1</v>
      </c>
      <c r="AW408">
        <v>7</v>
      </c>
      <c r="AX408">
        <v>0</v>
      </c>
      <c r="AY408">
        <v>0</v>
      </c>
      <c r="AZ408">
        <v>0</v>
      </c>
      <c r="BA408">
        <v>1</v>
      </c>
      <c r="BB408">
        <v>2</v>
      </c>
      <c r="BC408">
        <v>2</v>
      </c>
      <c r="BD408">
        <v>0</v>
      </c>
      <c r="BE408">
        <v>0</v>
      </c>
      <c r="BF408">
        <v>0</v>
      </c>
      <c r="BG408">
        <v>5</v>
      </c>
      <c r="BH408">
        <v>3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1</v>
      </c>
      <c r="BO408">
        <v>0</v>
      </c>
      <c r="BP408">
        <v>0</v>
      </c>
      <c r="BQ408">
        <v>0</v>
      </c>
      <c r="BR408">
        <v>2</v>
      </c>
      <c r="BS408">
        <v>7</v>
      </c>
      <c r="BT408">
        <v>0</v>
      </c>
      <c r="BU408">
        <v>1</v>
      </c>
      <c r="BV408">
        <v>0</v>
      </c>
      <c r="BW408">
        <v>1</v>
      </c>
      <c r="BX408">
        <v>0</v>
      </c>
      <c r="BY408">
        <v>1</v>
      </c>
      <c r="BZ408">
        <v>0</v>
      </c>
      <c r="CA408">
        <v>2</v>
      </c>
      <c r="CB408">
        <v>1</v>
      </c>
      <c r="CC408">
        <v>1</v>
      </c>
      <c r="CD408">
        <v>0</v>
      </c>
      <c r="CE408">
        <v>0</v>
      </c>
      <c r="CF408">
        <v>1</v>
      </c>
      <c r="CG408">
        <v>0</v>
      </c>
      <c r="CH408">
        <v>1</v>
      </c>
      <c r="CI408">
        <v>0</v>
      </c>
      <c r="CJ408">
        <v>0</v>
      </c>
      <c r="CK408">
        <v>1</v>
      </c>
      <c r="CL408">
        <v>1</v>
      </c>
      <c r="CM408">
        <v>2</v>
      </c>
      <c r="CN408">
        <v>0</v>
      </c>
      <c r="CO408">
        <v>0</v>
      </c>
      <c r="CP408">
        <v>1</v>
      </c>
      <c r="CQ408">
        <v>0</v>
      </c>
      <c r="CR408">
        <v>1</v>
      </c>
      <c r="CS408">
        <v>2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1</v>
      </c>
      <c r="DW408">
        <v>0</v>
      </c>
      <c r="DX408">
        <v>1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1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1</v>
      </c>
    </row>
    <row r="409" spans="1:201" x14ac:dyDescent="0.3">
      <c r="A409" t="s">
        <v>322</v>
      </c>
      <c r="B409" t="s">
        <v>325</v>
      </c>
      <c r="C409" t="s">
        <v>204</v>
      </c>
      <c r="D409" s="1">
        <v>4636</v>
      </c>
      <c r="E409" s="1">
        <v>1182</v>
      </c>
      <c r="F409">
        <v>387</v>
      </c>
      <c r="G409" s="1">
        <v>1099</v>
      </c>
      <c r="H409">
        <v>52</v>
      </c>
      <c r="I409">
        <v>79</v>
      </c>
      <c r="J409">
        <v>17</v>
      </c>
      <c r="K409">
        <v>21</v>
      </c>
      <c r="L409">
        <v>116</v>
      </c>
      <c r="M409">
        <v>98</v>
      </c>
      <c r="N409">
        <v>74</v>
      </c>
      <c r="O409">
        <v>747</v>
      </c>
      <c r="P409">
        <v>56</v>
      </c>
      <c r="Q409">
        <v>3</v>
      </c>
      <c r="R409">
        <v>4</v>
      </c>
      <c r="S409">
        <v>177</v>
      </c>
      <c r="T409">
        <v>84</v>
      </c>
      <c r="U409">
        <v>27</v>
      </c>
      <c r="V409">
        <v>12</v>
      </c>
      <c r="W409">
        <v>93</v>
      </c>
      <c r="X409">
        <v>11</v>
      </c>
      <c r="Y409">
        <v>7</v>
      </c>
      <c r="Z409">
        <v>15</v>
      </c>
      <c r="AA409">
        <v>17</v>
      </c>
      <c r="AB409">
        <v>19</v>
      </c>
      <c r="AC409">
        <v>11</v>
      </c>
      <c r="AD409">
        <v>8</v>
      </c>
      <c r="AE409">
        <v>0</v>
      </c>
      <c r="AF409">
        <v>7</v>
      </c>
      <c r="AG409">
        <v>26</v>
      </c>
      <c r="AH409">
        <v>15</v>
      </c>
      <c r="AI409">
        <v>2</v>
      </c>
      <c r="AJ409">
        <v>2</v>
      </c>
      <c r="AK409">
        <v>4</v>
      </c>
      <c r="AL409">
        <v>9</v>
      </c>
      <c r="AM409">
        <v>30</v>
      </c>
      <c r="AN409">
        <v>2</v>
      </c>
      <c r="AO409">
        <v>7</v>
      </c>
      <c r="AP409">
        <v>0</v>
      </c>
      <c r="AQ409">
        <v>6</v>
      </c>
      <c r="AR409">
        <v>2</v>
      </c>
      <c r="AS409">
        <v>6</v>
      </c>
      <c r="AT409">
        <v>7</v>
      </c>
      <c r="AU409">
        <v>7</v>
      </c>
      <c r="AV409">
        <v>1</v>
      </c>
      <c r="AW409">
        <v>7</v>
      </c>
      <c r="AX409">
        <v>0</v>
      </c>
      <c r="AY409">
        <v>5</v>
      </c>
      <c r="AZ409">
        <v>0</v>
      </c>
      <c r="BA409">
        <v>8</v>
      </c>
      <c r="BB409">
        <v>6</v>
      </c>
      <c r="BC409">
        <v>1</v>
      </c>
      <c r="BD409">
        <v>0</v>
      </c>
      <c r="BE409">
        <v>0</v>
      </c>
      <c r="BF409">
        <v>1</v>
      </c>
      <c r="BG409">
        <v>0</v>
      </c>
      <c r="BH409">
        <v>2</v>
      </c>
      <c r="BI409">
        <v>0</v>
      </c>
      <c r="BJ409">
        <v>2</v>
      </c>
      <c r="BK409">
        <v>0</v>
      </c>
      <c r="BL409">
        <v>0</v>
      </c>
      <c r="BM409">
        <v>2</v>
      </c>
      <c r="BN409">
        <v>3</v>
      </c>
      <c r="BO409">
        <v>0</v>
      </c>
      <c r="BP409">
        <v>0</v>
      </c>
      <c r="BQ409">
        <v>1</v>
      </c>
      <c r="BR409">
        <v>2</v>
      </c>
      <c r="BS409">
        <v>2</v>
      </c>
      <c r="BT409">
        <v>0</v>
      </c>
      <c r="BU409">
        <v>3</v>
      </c>
      <c r="BV409">
        <v>0</v>
      </c>
      <c r="BW409">
        <v>2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8</v>
      </c>
      <c r="CE409">
        <v>1</v>
      </c>
      <c r="CF409">
        <v>0</v>
      </c>
      <c r="CG409">
        <v>1</v>
      </c>
      <c r="CH409">
        <v>0</v>
      </c>
      <c r="CI409">
        <v>2</v>
      </c>
      <c r="CJ409">
        <v>1</v>
      </c>
      <c r="CK409">
        <v>2</v>
      </c>
      <c r="CL409">
        <v>0</v>
      </c>
      <c r="CM409">
        <v>0</v>
      </c>
      <c r="CN409">
        <v>0</v>
      </c>
      <c r="CO409">
        <v>0</v>
      </c>
      <c r="CP409">
        <v>2</v>
      </c>
      <c r="CQ409">
        <v>1</v>
      </c>
      <c r="CR409">
        <v>0</v>
      </c>
      <c r="CS409">
        <v>2</v>
      </c>
      <c r="CT409">
        <v>1</v>
      </c>
      <c r="CU409">
        <v>2</v>
      </c>
      <c r="CV409">
        <v>0</v>
      </c>
      <c r="CW409">
        <v>2</v>
      </c>
      <c r="CX409">
        <v>0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</v>
      </c>
      <c r="DJ409">
        <v>0</v>
      </c>
      <c r="DK409">
        <v>0</v>
      </c>
      <c r="DL409">
        <v>0</v>
      </c>
      <c r="DM409">
        <v>1</v>
      </c>
      <c r="DN409">
        <v>1</v>
      </c>
      <c r="DO409">
        <v>1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1</v>
      </c>
      <c r="EA409">
        <v>0</v>
      </c>
      <c r="EB409">
        <v>0</v>
      </c>
      <c r="EC409">
        <v>0</v>
      </c>
      <c r="ED409">
        <v>0</v>
      </c>
      <c r="EE409">
        <v>1</v>
      </c>
      <c r="EF409">
        <v>0</v>
      </c>
      <c r="EG409">
        <v>1</v>
      </c>
      <c r="EH409">
        <v>1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1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1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3</v>
      </c>
    </row>
    <row r="410" spans="1:201" x14ac:dyDescent="0.3">
      <c r="A410" t="s">
        <v>322</v>
      </c>
      <c r="B410" t="s">
        <v>311</v>
      </c>
      <c r="C410" t="s">
        <v>200</v>
      </c>
      <c r="D410" s="1">
        <v>6659</v>
      </c>
      <c r="E410">
        <v>580</v>
      </c>
      <c r="F410" s="1">
        <v>1683</v>
      </c>
      <c r="G410" s="1">
        <v>1144</v>
      </c>
      <c r="H410">
        <v>70</v>
      </c>
      <c r="I410">
        <v>147</v>
      </c>
      <c r="J410">
        <v>55</v>
      </c>
      <c r="K410">
        <v>44</v>
      </c>
      <c r="L410">
        <v>196</v>
      </c>
      <c r="M410">
        <v>158</v>
      </c>
      <c r="N410">
        <v>145</v>
      </c>
      <c r="O410">
        <v>359</v>
      </c>
      <c r="P410">
        <v>222</v>
      </c>
      <c r="Q410">
        <v>5</v>
      </c>
      <c r="R410">
        <v>24</v>
      </c>
      <c r="S410">
        <v>441</v>
      </c>
      <c r="T410">
        <v>159</v>
      </c>
      <c r="U410">
        <v>46</v>
      </c>
      <c r="V410">
        <v>31</v>
      </c>
      <c r="W410">
        <v>249</v>
      </c>
      <c r="X410">
        <v>77</v>
      </c>
      <c r="Y410">
        <v>7</v>
      </c>
      <c r="Z410">
        <v>15</v>
      </c>
      <c r="AA410">
        <v>65</v>
      </c>
      <c r="AB410">
        <v>38</v>
      </c>
      <c r="AC410">
        <v>73</v>
      </c>
      <c r="AD410">
        <v>26</v>
      </c>
      <c r="AE410">
        <v>1</v>
      </c>
      <c r="AF410">
        <v>48</v>
      </c>
      <c r="AG410">
        <v>29</v>
      </c>
      <c r="AH410">
        <v>49</v>
      </c>
      <c r="AI410">
        <v>25</v>
      </c>
      <c r="AJ410">
        <v>4</v>
      </c>
      <c r="AK410">
        <v>10</v>
      </c>
      <c r="AL410">
        <v>11</v>
      </c>
      <c r="AM410">
        <v>33</v>
      </c>
      <c r="AN410">
        <v>33</v>
      </c>
      <c r="AO410">
        <v>5</v>
      </c>
      <c r="AP410">
        <v>1</v>
      </c>
      <c r="AQ410">
        <v>18</v>
      </c>
      <c r="AR410">
        <v>6</v>
      </c>
      <c r="AS410">
        <v>34</v>
      </c>
      <c r="AT410">
        <v>24</v>
      </c>
      <c r="AU410">
        <v>12</v>
      </c>
      <c r="AV410">
        <v>11</v>
      </c>
      <c r="AW410">
        <v>17</v>
      </c>
      <c r="AX410">
        <v>1</v>
      </c>
      <c r="AY410">
        <v>12</v>
      </c>
      <c r="AZ410">
        <v>0</v>
      </c>
      <c r="BA410">
        <v>12</v>
      </c>
      <c r="BB410">
        <v>0</v>
      </c>
      <c r="BC410">
        <v>13</v>
      </c>
      <c r="BD410">
        <v>0</v>
      </c>
      <c r="BE410">
        <v>1</v>
      </c>
      <c r="BF410">
        <v>1</v>
      </c>
      <c r="BG410">
        <v>15</v>
      </c>
      <c r="BH410">
        <v>7</v>
      </c>
      <c r="BI410">
        <v>2</v>
      </c>
      <c r="BJ410">
        <v>1</v>
      </c>
      <c r="BK410">
        <v>0</v>
      </c>
      <c r="BL410">
        <v>1</v>
      </c>
      <c r="BM410">
        <v>3</v>
      </c>
      <c r="BN410">
        <v>11</v>
      </c>
      <c r="BO410">
        <v>2</v>
      </c>
      <c r="BP410">
        <v>4</v>
      </c>
      <c r="BQ410">
        <v>0</v>
      </c>
      <c r="BR410">
        <v>5</v>
      </c>
      <c r="BS410">
        <v>7</v>
      </c>
      <c r="BT410">
        <v>1</v>
      </c>
      <c r="BU410">
        <v>2</v>
      </c>
      <c r="BV410">
        <v>4</v>
      </c>
      <c r="BW410">
        <v>15</v>
      </c>
      <c r="BX410">
        <v>0</v>
      </c>
      <c r="BY410">
        <v>0</v>
      </c>
      <c r="BZ410">
        <v>3</v>
      </c>
      <c r="CA410">
        <v>5</v>
      </c>
      <c r="CB410">
        <v>1</v>
      </c>
      <c r="CC410">
        <v>3</v>
      </c>
      <c r="CD410">
        <v>5</v>
      </c>
      <c r="CE410">
        <v>2</v>
      </c>
      <c r="CF410">
        <v>1</v>
      </c>
      <c r="CG410">
        <v>5</v>
      </c>
      <c r="CH410">
        <v>2</v>
      </c>
      <c r="CI410">
        <v>2</v>
      </c>
      <c r="CJ410">
        <v>3</v>
      </c>
      <c r="CK410">
        <v>8</v>
      </c>
      <c r="CL410">
        <v>2</v>
      </c>
      <c r="CM410">
        <v>1</v>
      </c>
      <c r="CN410">
        <v>0</v>
      </c>
      <c r="CO410">
        <v>0</v>
      </c>
      <c r="CP410">
        <v>4</v>
      </c>
      <c r="CQ410">
        <v>4</v>
      </c>
      <c r="CR410">
        <v>0</v>
      </c>
      <c r="CS410">
        <v>5</v>
      </c>
      <c r="CT410">
        <v>9</v>
      </c>
      <c r="CU410">
        <v>1</v>
      </c>
      <c r="CV410">
        <v>4</v>
      </c>
      <c r="CW410">
        <v>6</v>
      </c>
      <c r="CX410">
        <v>0</v>
      </c>
      <c r="CY410">
        <v>3</v>
      </c>
      <c r="CZ410">
        <v>1</v>
      </c>
      <c r="DA410">
        <v>0</v>
      </c>
      <c r="DB410">
        <v>0</v>
      </c>
      <c r="DC410">
        <v>1</v>
      </c>
      <c r="DD410">
        <v>0</v>
      </c>
      <c r="DE410">
        <v>0</v>
      </c>
      <c r="DF410">
        <v>0</v>
      </c>
      <c r="DG410">
        <v>2</v>
      </c>
      <c r="DH410">
        <v>0</v>
      </c>
      <c r="DI410">
        <v>4</v>
      </c>
      <c r="DJ410">
        <v>0</v>
      </c>
      <c r="DK410">
        <v>5</v>
      </c>
      <c r="DL410">
        <v>3</v>
      </c>
      <c r="DM410">
        <v>1</v>
      </c>
      <c r="DN410">
        <v>1</v>
      </c>
      <c r="DO410">
        <v>0</v>
      </c>
      <c r="DP410">
        <v>1</v>
      </c>
      <c r="DQ410">
        <v>1</v>
      </c>
      <c r="DR410">
        <v>2</v>
      </c>
      <c r="DS410">
        <v>1</v>
      </c>
      <c r="DT410">
        <v>0</v>
      </c>
      <c r="DU410">
        <v>0</v>
      </c>
      <c r="DV410">
        <v>2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1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1</v>
      </c>
      <c r="EP410">
        <v>0</v>
      </c>
      <c r="EQ410">
        <v>0</v>
      </c>
      <c r="ER410">
        <v>2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1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</row>
    <row r="411" spans="1:201" x14ac:dyDescent="0.3">
      <c r="A411" t="s">
        <v>322</v>
      </c>
      <c r="B411" t="s">
        <v>311</v>
      </c>
      <c r="C411" t="s">
        <v>203</v>
      </c>
      <c r="D411" s="1">
        <v>2825</v>
      </c>
      <c r="E411">
        <v>203</v>
      </c>
      <c r="F411">
        <v>855</v>
      </c>
      <c r="G411">
        <v>397</v>
      </c>
      <c r="H411">
        <v>35</v>
      </c>
      <c r="I411">
        <v>87</v>
      </c>
      <c r="J411">
        <v>32</v>
      </c>
      <c r="K411">
        <v>16</v>
      </c>
      <c r="L411">
        <v>147</v>
      </c>
      <c r="M411">
        <v>31</v>
      </c>
      <c r="N411">
        <v>44</v>
      </c>
      <c r="O411">
        <v>126</v>
      </c>
      <c r="P411">
        <v>104</v>
      </c>
      <c r="Q411">
        <v>4</v>
      </c>
      <c r="R411">
        <v>14</v>
      </c>
      <c r="S411">
        <v>67</v>
      </c>
      <c r="T411">
        <v>55</v>
      </c>
      <c r="U411">
        <v>14</v>
      </c>
      <c r="V411">
        <v>20</v>
      </c>
      <c r="W411">
        <v>99</v>
      </c>
      <c r="X411">
        <v>56</v>
      </c>
      <c r="Y411">
        <v>1</v>
      </c>
      <c r="Z411">
        <v>3</v>
      </c>
      <c r="AA411">
        <v>28</v>
      </c>
      <c r="AB411">
        <v>23</v>
      </c>
      <c r="AC411">
        <v>39</v>
      </c>
      <c r="AD411">
        <v>6</v>
      </c>
      <c r="AE411">
        <v>1</v>
      </c>
      <c r="AF411">
        <v>33</v>
      </c>
      <c r="AG411">
        <v>13</v>
      </c>
      <c r="AH411">
        <v>20</v>
      </c>
      <c r="AI411">
        <v>22</v>
      </c>
      <c r="AJ411">
        <v>1</v>
      </c>
      <c r="AK411">
        <v>6</v>
      </c>
      <c r="AL411">
        <v>2</v>
      </c>
      <c r="AM411">
        <v>9</v>
      </c>
      <c r="AN411">
        <v>28</v>
      </c>
      <c r="AO411">
        <v>2</v>
      </c>
      <c r="AP411">
        <v>1</v>
      </c>
      <c r="AQ411">
        <v>6</v>
      </c>
      <c r="AR411">
        <v>5</v>
      </c>
      <c r="AS411">
        <v>18</v>
      </c>
      <c r="AT411">
        <v>15</v>
      </c>
      <c r="AU411">
        <v>5</v>
      </c>
      <c r="AV411">
        <v>10</v>
      </c>
      <c r="AW411">
        <v>8</v>
      </c>
      <c r="AX411">
        <v>1</v>
      </c>
      <c r="AY411">
        <v>8</v>
      </c>
      <c r="AZ411">
        <v>0</v>
      </c>
      <c r="BA411">
        <v>6</v>
      </c>
      <c r="BB411">
        <v>0</v>
      </c>
      <c r="BC411">
        <v>9</v>
      </c>
      <c r="BD411">
        <v>0</v>
      </c>
      <c r="BE411">
        <v>1</v>
      </c>
      <c r="BF411">
        <v>0</v>
      </c>
      <c r="BG411">
        <v>11</v>
      </c>
      <c r="BH411">
        <v>2</v>
      </c>
      <c r="BI411">
        <v>0</v>
      </c>
      <c r="BJ411">
        <v>1</v>
      </c>
      <c r="BK411">
        <v>0</v>
      </c>
      <c r="BL411">
        <v>1</v>
      </c>
      <c r="BM411">
        <v>1</v>
      </c>
      <c r="BN411">
        <v>2</v>
      </c>
      <c r="BO411">
        <v>1</v>
      </c>
      <c r="BP411">
        <v>3</v>
      </c>
      <c r="BQ411">
        <v>0</v>
      </c>
      <c r="BR411">
        <v>2</v>
      </c>
      <c r="BS411">
        <v>4</v>
      </c>
      <c r="BT411">
        <v>0</v>
      </c>
      <c r="BU411">
        <v>0</v>
      </c>
      <c r="BV411">
        <v>2</v>
      </c>
      <c r="BW411">
        <v>8</v>
      </c>
      <c r="BX411">
        <v>0</v>
      </c>
      <c r="BY411">
        <v>0</v>
      </c>
      <c r="BZ411">
        <v>1</v>
      </c>
      <c r="CA411">
        <v>3</v>
      </c>
      <c r="CB411">
        <v>0</v>
      </c>
      <c r="CC411">
        <v>0</v>
      </c>
      <c r="CD411">
        <v>0</v>
      </c>
      <c r="CE411">
        <v>1</v>
      </c>
      <c r="CF411">
        <v>1</v>
      </c>
      <c r="CG411">
        <v>2</v>
      </c>
      <c r="CH411">
        <v>1</v>
      </c>
      <c r="CI411">
        <v>1</v>
      </c>
      <c r="CJ411">
        <v>1</v>
      </c>
      <c r="CK411">
        <v>4</v>
      </c>
      <c r="CL411">
        <v>1</v>
      </c>
      <c r="CM411">
        <v>1</v>
      </c>
      <c r="CN411">
        <v>0</v>
      </c>
      <c r="CO411">
        <v>0</v>
      </c>
      <c r="CP411">
        <v>2</v>
      </c>
      <c r="CQ411">
        <v>3</v>
      </c>
      <c r="CR411">
        <v>0</v>
      </c>
      <c r="CS411">
        <v>3</v>
      </c>
      <c r="CT411">
        <v>8</v>
      </c>
      <c r="CU411">
        <v>0</v>
      </c>
      <c r="CV411">
        <v>1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1</v>
      </c>
      <c r="DD411">
        <v>0</v>
      </c>
      <c r="DE411">
        <v>0</v>
      </c>
      <c r="DF411">
        <v>0</v>
      </c>
      <c r="DG411">
        <v>2</v>
      </c>
      <c r="DH411">
        <v>0</v>
      </c>
      <c r="DI411">
        <v>0</v>
      </c>
      <c r="DJ411">
        <v>0</v>
      </c>
      <c r="DK411">
        <v>4</v>
      </c>
      <c r="DL411">
        <v>3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1</v>
      </c>
      <c r="DT411">
        <v>0</v>
      </c>
      <c r="DU411">
        <v>0</v>
      </c>
      <c r="DV411">
        <v>1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1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2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1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</row>
    <row r="412" spans="1:201" x14ac:dyDescent="0.3">
      <c r="A412" t="s">
        <v>322</v>
      </c>
      <c r="B412" t="s">
        <v>311</v>
      </c>
      <c r="C412" t="s">
        <v>204</v>
      </c>
      <c r="D412" s="1">
        <v>3834</v>
      </c>
      <c r="E412">
        <v>377</v>
      </c>
      <c r="F412">
        <v>828</v>
      </c>
      <c r="G412">
        <v>747</v>
      </c>
      <c r="H412">
        <v>35</v>
      </c>
      <c r="I412">
        <v>60</v>
      </c>
      <c r="J412">
        <v>23</v>
      </c>
      <c r="K412">
        <v>28</v>
      </c>
      <c r="L412">
        <v>49</v>
      </c>
      <c r="M412">
        <v>127</v>
      </c>
      <c r="N412">
        <v>101</v>
      </c>
      <c r="O412">
        <v>233</v>
      </c>
      <c r="P412">
        <v>118</v>
      </c>
      <c r="Q412">
        <v>1</v>
      </c>
      <c r="R412">
        <v>10</v>
      </c>
      <c r="S412">
        <v>374</v>
      </c>
      <c r="T412">
        <v>104</v>
      </c>
      <c r="U412">
        <v>32</v>
      </c>
      <c r="V412">
        <v>11</v>
      </c>
      <c r="W412">
        <v>150</v>
      </c>
      <c r="X412">
        <v>21</v>
      </c>
      <c r="Y412">
        <v>6</v>
      </c>
      <c r="Z412">
        <v>12</v>
      </c>
      <c r="AA412">
        <v>37</v>
      </c>
      <c r="AB412">
        <v>15</v>
      </c>
      <c r="AC412">
        <v>34</v>
      </c>
      <c r="AD412">
        <v>20</v>
      </c>
      <c r="AE412">
        <v>0</v>
      </c>
      <c r="AF412">
        <v>15</v>
      </c>
      <c r="AG412">
        <v>16</v>
      </c>
      <c r="AH412">
        <v>29</v>
      </c>
      <c r="AI412">
        <v>3</v>
      </c>
      <c r="AJ412">
        <v>3</v>
      </c>
      <c r="AK412">
        <v>4</v>
      </c>
      <c r="AL412">
        <v>9</v>
      </c>
      <c r="AM412">
        <v>24</v>
      </c>
      <c r="AN412">
        <v>5</v>
      </c>
      <c r="AO412">
        <v>3</v>
      </c>
      <c r="AP412">
        <v>0</v>
      </c>
      <c r="AQ412">
        <v>12</v>
      </c>
      <c r="AR412">
        <v>1</v>
      </c>
      <c r="AS412">
        <v>16</v>
      </c>
      <c r="AT412">
        <v>9</v>
      </c>
      <c r="AU412">
        <v>7</v>
      </c>
      <c r="AV412">
        <v>1</v>
      </c>
      <c r="AW412">
        <v>9</v>
      </c>
      <c r="AX412">
        <v>0</v>
      </c>
      <c r="AY412">
        <v>4</v>
      </c>
      <c r="AZ412">
        <v>0</v>
      </c>
      <c r="BA412">
        <v>6</v>
      </c>
      <c r="BB412">
        <v>0</v>
      </c>
      <c r="BC412">
        <v>4</v>
      </c>
      <c r="BD412">
        <v>0</v>
      </c>
      <c r="BE412">
        <v>0</v>
      </c>
      <c r="BF412">
        <v>1</v>
      </c>
      <c r="BG412">
        <v>4</v>
      </c>
      <c r="BH412">
        <v>5</v>
      </c>
      <c r="BI412">
        <v>2</v>
      </c>
      <c r="BJ412">
        <v>0</v>
      </c>
      <c r="BK412">
        <v>0</v>
      </c>
      <c r="BL412">
        <v>0</v>
      </c>
      <c r="BM412">
        <v>2</v>
      </c>
      <c r="BN412">
        <v>9</v>
      </c>
      <c r="BO412">
        <v>1</v>
      </c>
      <c r="BP412">
        <v>1</v>
      </c>
      <c r="BQ412">
        <v>0</v>
      </c>
      <c r="BR412">
        <v>3</v>
      </c>
      <c r="BS412">
        <v>3</v>
      </c>
      <c r="BT412">
        <v>1</v>
      </c>
      <c r="BU412">
        <v>2</v>
      </c>
      <c r="BV412">
        <v>2</v>
      </c>
      <c r="BW412">
        <v>7</v>
      </c>
      <c r="BX412">
        <v>0</v>
      </c>
      <c r="BY412">
        <v>0</v>
      </c>
      <c r="BZ412">
        <v>2</v>
      </c>
      <c r="CA412">
        <v>2</v>
      </c>
      <c r="CB412">
        <v>1</v>
      </c>
      <c r="CC412">
        <v>3</v>
      </c>
      <c r="CD412">
        <v>5</v>
      </c>
      <c r="CE412">
        <v>1</v>
      </c>
      <c r="CF412">
        <v>0</v>
      </c>
      <c r="CG412">
        <v>3</v>
      </c>
      <c r="CH412">
        <v>1</v>
      </c>
      <c r="CI412">
        <v>1</v>
      </c>
      <c r="CJ412">
        <v>2</v>
      </c>
      <c r="CK412">
        <v>4</v>
      </c>
      <c r="CL412">
        <v>1</v>
      </c>
      <c r="CM412">
        <v>0</v>
      </c>
      <c r="CN412">
        <v>0</v>
      </c>
      <c r="CO412">
        <v>0</v>
      </c>
      <c r="CP412">
        <v>2</v>
      </c>
      <c r="CQ412">
        <v>1</v>
      </c>
      <c r="CR412">
        <v>0</v>
      </c>
      <c r="CS412">
        <v>2</v>
      </c>
      <c r="CT412">
        <v>1</v>
      </c>
      <c r="CU412">
        <v>1</v>
      </c>
      <c r="CV412">
        <v>3</v>
      </c>
      <c r="CW412">
        <v>5</v>
      </c>
      <c r="CX412">
        <v>0</v>
      </c>
      <c r="CY412">
        <v>3</v>
      </c>
      <c r="CZ412">
        <v>1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4</v>
      </c>
      <c r="DJ412">
        <v>0</v>
      </c>
      <c r="DK412">
        <v>1</v>
      </c>
      <c r="DL412">
        <v>0</v>
      </c>
      <c r="DM412">
        <v>1</v>
      </c>
      <c r="DN412">
        <v>1</v>
      </c>
      <c r="DO412">
        <v>0</v>
      </c>
      <c r="DP412">
        <v>1</v>
      </c>
      <c r="DQ412">
        <v>1</v>
      </c>
      <c r="DR412">
        <v>2</v>
      </c>
      <c r="DS412">
        <v>0</v>
      </c>
      <c r="DT412">
        <v>0</v>
      </c>
      <c r="DU412">
        <v>0</v>
      </c>
      <c r="DV412">
        <v>1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1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</row>
    <row r="413" spans="1:201" x14ac:dyDescent="0.3">
      <c r="A413" t="s">
        <v>322</v>
      </c>
      <c r="B413" t="s">
        <v>326</v>
      </c>
      <c r="C413" t="s">
        <v>200</v>
      </c>
      <c r="D413" s="1">
        <v>19786</v>
      </c>
      <c r="E413" s="1">
        <v>2082</v>
      </c>
      <c r="F413" s="1">
        <v>5440</v>
      </c>
      <c r="G413" s="1">
        <v>3015</v>
      </c>
      <c r="H413">
        <v>894</v>
      </c>
      <c r="I413">
        <v>701</v>
      </c>
      <c r="J413">
        <v>83</v>
      </c>
      <c r="K413">
        <v>295</v>
      </c>
      <c r="L413">
        <v>448</v>
      </c>
      <c r="M413">
        <v>193</v>
      </c>
      <c r="N413">
        <v>226</v>
      </c>
      <c r="O413" s="1">
        <v>1676</v>
      </c>
      <c r="P413">
        <v>392</v>
      </c>
      <c r="Q413">
        <v>45</v>
      </c>
      <c r="R413">
        <v>99</v>
      </c>
      <c r="S413">
        <v>775</v>
      </c>
      <c r="T413">
        <v>346</v>
      </c>
      <c r="U413">
        <v>115</v>
      </c>
      <c r="V413">
        <v>92</v>
      </c>
      <c r="W413">
        <v>236</v>
      </c>
      <c r="X413">
        <v>258</v>
      </c>
      <c r="Y413">
        <v>22</v>
      </c>
      <c r="Z413">
        <v>53</v>
      </c>
      <c r="AA413">
        <v>252</v>
      </c>
      <c r="AB413">
        <v>161</v>
      </c>
      <c r="AC413">
        <v>124</v>
      </c>
      <c r="AD413">
        <v>31</v>
      </c>
      <c r="AE413">
        <v>1</v>
      </c>
      <c r="AF413">
        <v>81</v>
      </c>
      <c r="AG413">
        <v>108</v>
      </c>
      <c r="AH413">
        <v>148</v>
      </c>
      <c r="AI413">
        <v>25</v>
      </c>
      <c r="AJ413">
        <v>8</v>
      </c>
      <c r="AK413">
        <v>30</v>
      </c>
      <c r="AL413">
        <v>51</v>
      </c>
      <c r="AM413">
        <v>59</v>
      </c>
      <c r="AN413">
        <v>50</v>
      </c>
      <c r="AO413">
        <v>20</v>
      </c>
      <c r="AP413">
        <v>2</v>
      </c>
      <c r="AQ413">
        <v>54</v>
      </c>
      <c r="AR413">
        <v>27</v>
      </c>
      <c r="AS413">
        <v>40</v>
      </c>
      <c r="AT413">
        <v>62</v>
      </c>
      <c r="AU413">
        <v>75</v>
      </c>
      <c r="AV413">
        <v>28</v>
      </c>
      <c r="AW413">
        <v>75</v>
      </c>
      <c r="AX413">
        <v>2</v>
      </c>
      <c r="AY413">
        <v>35</v>
      </c>
      <c r="AZ413">
        <v>4</v>
      </c>
      <c r="BA413">
        <v>27</v>
      </c>
      <c r="BB413">
        <v>2</v>
      </c>
      <c r="BC413">
        <v>38</v>
      </c>
      <c r="BD413">
        <v>1</v>
      </c>
      <c r="BE413">
        <v>3</v>
      </c>
      <c r="BF413">
        <v>17</v>
      </c>
      <c r="BG413">
        <v>7</v>
      </c>
      <c r="BH413">
        <v>28</v>
      </c>
      <c r="BI413">
        <v>13</v>
      </c>
      <c r="BJ413">
        <v>9</v>
      </c>
      <c r="BK413">
        <v>13</v>
      </c>
      <c r="BL413">
        <v>16</v>
      </c>
      <c r="BM413">
        <v>16</v>
      </c>
      <c r="BN413">
        <v>25</v>
      </c>
      <c r="BO413">
        <v>7</v>
      </c>
      <c r="BP413">
        <v>11</v>
      </c>
      <c r="BQ413">
        <v>8</v>
      </c>
      <c r="BR413">
        <v>18</v>
      </c>
      <c r="BS413">
        <v>18</v>
      </c>
      <c r="BT413">
        <v>2</v>
      </c>
      <c r="BU413">
        <v>8</v>
      </c>
      <c r="BV413">
        <v>18</v>
      </c>
      <c r="BW413">
        <v>28</v>
      </c>
      <c r="BX413">
        <v>4</v>
      </c>
      <c r="BY413">
        <v>8</v>
      </c>
      <c r="BZ413">
        <v>12</v>
      </c>
      <c r="CA413">
        <v>15</v>
      </c>
      <c r="CB413">
        <v>13</v>
      </c>
      <c r="CC413">
        <v>11</v>
      </c>
      <c r="CD413">
        <v>17</v>
      </c>
      <c r="CE413">
        <v>16</v>
      </c>
      <c r="CF413">
        <v>13</v>
      </c>
      <c r="CG413">
        <v>30</v>
      </c>
      <c r="CH413">
        <v>6</v>
      </c>
      <c r="CI413">
        <v>13</v>
      </c>
      <c r="CJ413">
        <v>10</v>
      </c>
      <c r="CK413">
        <v>11</v>
      </c>
      <c r="CL413">
        <v>16</v>
      </c>
      <c r="CM413">
        <v>3</v>
      </c>
      <c r="CN413">
        <v>0</v>
      </c>
      <c r="CO413">
        <v>1</v>
      </c>
      <c r="CP413">
        <v>13</v>
      </c>
      <c r="CQ413">
        <v>4</v>
      </c>
      <c r="CR413">
        <v>3</v>
      </c>
      <c r="CS413">
        <v>13</v>
      </c>
      <c r="CT413">
        <v>7</v>
      </c>
      <c r="CU413">
        <v>4</v>
      </c>
      <c r="CV413">
        <v>8</v>
      </c>
      <c r="CW413">
        <v>7</v>
      </c>
      <c r="CX413">
        <v>0</v>
      </c>
      <c r="CY413">
        <v>2</v>
      </c>
      <c r="CZ413">
        <v>18</v>
      </c>
      <c r="DA413">
        <v>3</v>
      </c>
      <c r="DB413">
        <v>0</v>
      </c>
      <c r="DC413">
        <v>10</v>
      </c>
      <c r="DD413">
        <v>3</v>
      </c>
      <c r="DE413">
        <v>0</v>
      </c>
      <c r="DF413">
        <v>0</v>
      </c>
      <c r="DG413">
        <v>4</v>
      </c>
      <c r="DH413">
        <v>2</v>
      </c>
      <c r="DI413">
        <v>5</v>
      </c>
      <c r="DJ413">
        <v>1</v>
      </c>
      <c r="DK413">
        <v>6</v>
      </c>
      <c r="DL413">
        <v>2</v>
      </c>
      <c r="DM413">
        <v>3</v>
      </c>
      <c r="DN413">
        <v>4</v>
      </c>
      <c r="DO413">
        <v>3</v>
      </c>
      <c r="DP413">
        <v>1</v>
      </c>
      <c r="DQ413">
        <v>5</v>
      </c>
      <c r="DR413">
        <v>4</v>
      </c>
      <c r="DS413">
        <v>6</v>
      </c>
      <c r="DT413">
        <v>4</v>
      </c>
      <c r="DU413">
        <v>7</v>
      </c>
      <c r="DV413">
        <v>1</v>
      </c>
      <c r="DW413">
        <v>0</v>
      </c>
      <c r="DX413">
        <v>5</v>
      </c>
      <c r="DY413">
        <v>3</v>
      </c>
      <c r="DZ413">
        <v>1</v>
      </c>
      <c r="EA413">
        <v>1</v>
      </c>
      <c r="EB413">
        <v>0</v>
      </c>
      <c r="EC413">
        <v>1</v>
      </c>
      <c r="ED413">
        <v>0</v>
      </c>
      <c r="EE413">
        <v>3</v>
      </c>
      <c r="EF413">
        <v>2</v>
      </c>
      <c r="EG413">
        <v>2</v>
      </c>
      <c r="EH413">
        <v>0</v>
      </c>
      <c r="EI413">
        <v>0</v>
      </c>
      <c r="EJ413">
        <v>0</v>
      </c>
      <c r="EK413">
        <v>1</v>
      </c>
      <c r="EL413">
        <v>0</v>
      </c>
      <c r="EM413">
        <v>1</v>
      </c>
      <c r="EN413">
        <v>7</v>
      </c>
      <c r="EO413">
        <v>5</v>
      </c>
      <c r="EP413">
        <v>5</v>
      </c>
      <c r="EQ413">
        <v>0</v>
      </c>
      <c r="ER413">
        <v>0</v>
      </c>
      <c r="ES413">
        <v>1</v>
      </c>
      <c r="ET413">
        <v>1</v>
      </c>
      <c r="EU413">
        <v>2</v>
      </c>
      <c r="EV413">
        <v>0</v>
      </c>
      <c r="EW413">
        <v>2</v>
      </c>
      <c r="EX413">
        <v>1</v>
      </c>
      <c r="EY413">
        <v>0</v>
      </c>
      <c r="EZ413">
        <v>0</v>
      </c>
      <c r="FA413">
        <v>0</v>
      </c>
      <c r="FB413">
        <v>1</v>
      </c>
      <c r="FC413">
        <v>0</v>
      </c>
      <c r="FD413">
        <v>1</v>
      </c>
      <c r="FE413">
        <v>2</v>
      </c>
      <c r="FF413">
        <v>0</v>
      </c>
      <c r="FG413">
        <v>0</v>
      </c>
      <c r="FH413">
        <v>1</v>
      </c>
      <c r="FI413">
        <v>0</v>
      </c>
      <c r="FJ413">
        <v>0</v>
      </c>
      <c r="FK413">
        <v>1</v>
      </c>
      <c r="FL413">
        <v>0</v>
      </c>
      <c r="FM413">
        <v>0</v>
      </c>
      <c r="FN413">
        <v>2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1</v>
      </c>
      <c r="FV413">
        <v>0</v>
      </c>
      <c r="FW413">
        <v>0</v>
      </c>
      <c r="FX413">
        <v>0</v>
      </c>
      <c r="FY413">
        <v>0</v>
      </c>
      <c r="FZ413">
        <v>1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1</v>
      </c>
      <c r="GH413">
        <v>0</v>
      </c>
      <c r="GI413">
        <v>0</v>
      </c>
      <c r="GJ413">
        <v>1</v>
      </c>
      <c r="GK413">
        <v>2</v>
      </c>
      <c r="GL413">
        <v>0</v>
      </c>
      <c r="GM413">
        <v>1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3</v>
      </c>
    </row>
    <row r="414" spans="1:201" x14ac:dyDescent="0.3">
      <c r="A414" t="s">
        <v>322</v>
      </c>
      <c r="B414" t="s">
        <v>326</v>
      </c>
      <c r="C414" t="s">
        <v>203</v>
      </c>
      <c r="D414" s="1">
        <v>7931</v>
      </c>
      <c r="E414">
        <v>577</v>
      </c>
      <c r="F414" s="1">
        <v>2921</v>
      </c>
      <c r="G414">
        <v>980</v>
      </c>
      <c r="H414">
        <v>528</v>
      </c>
      <c r="I414">
        <v>499</v>
      </c>
      <c r="J414">
        <v>43</v>
      </c>
      <c r="K414">
        <v>86</v>
      </c>
      <c r="L414">
        <v>144</v>
      </c>
      <c r="M414">
        <v>43</v>
      </c>
      <c r="N414">
        <v>41</v>
      </c>
      <c r="O414">
        <v>594</v>
      </c>
      <c r="P414">
        <v>160</v>
      </c>
      <c r="Q414">
        <v>19</v>
      </c>
      <c r="R414">
        <v>76</v>
      </c>
      <c r="S414">
        <v>111</v>
      </c>
      <c r="T414">
        <v>58</v>
      </c>
      <c r="U414">
        <v>20</v>
      </c>
      <c r="V414">
        <v>49</v>
      </c>
      <c r="W414">
        <v>52</v>
      </c>
      <c r="X414">
        <v>90</v>
      </c>
      <c r="Y414">
        <v>6</v>
      </c>
      <c r="Z414">
        <v>11</v>
      </c>
      <c r="AA414">
        <v>96</v>
      </c>
      <c r="AB414">
        <v>51</v>
      </c>
      <c r="AC414">
        <v>55</v>
      </c>
      <c r="AD414">
        <v>12</v>
      </c>
      <c r="AE414">
        <v>1</v>
      </c>
      <c r="AF414">
        <v>43</v>
      </c>
      <c r="AG414">
        <v>21</v>
      </c>
      <c r="AH414">
        <v>64</v>
      </c>
      <c r="AI414">
        <v>11</v>
      </c>
      <c r="AJ414">
        <v>4</v>
      </c>
      <c r="AK414">
        <v>17</v>
      </c>
      <c r="AL414">
        <v>5</v>
      </c>
      <c r="AM414">
        <v>6</v>
      </c>
      <c r="AN414">
        <v>21</v>
      </c>
      <c r="AO414">
        <v>12</v>
      </c>
      <c r="AP414">
        <v>1</v>
      </c>
      <c r="AQ414">
        <v>17</v>
      </c>
      <c r="AR414">
        <v>19</v>
      </c>
      <c r="AS414">
        <v>11</v>
      </c>
      <c r="AT414">
        <v>12</v>
      </c>
      <c r="AU414">
        <v>11</v>
      </c>
      <c r="AV414">
        <v>21</v>
      </c>
      <c r="AW414">
        <v>21</v>
      </c>
      <c r="AX414">
        <v>1</v>
      </c>
      <c r="AY414">
        <v>8</v>
      </c>
      <c r="AZ414">
        <v>2</v>
      </c>
      <c r="BA414">
        <v>5</v>
      </c>
      <c r="BB414">
        <v>1</v>
      </c>
      <c r="BC414">
        <v>19</v>
      </c>
      <c r="BD414">
        <v>0</v>
      </c>
      <c r="BE414">
        <v>2</v>
      </c>
      <c r="BF414">
        <v>13</v>
      </c>
      <c r="BG414">
        <v>3</v>
      </c>
      <c r="BH414">
        <v>6</v>
      </c>
      <c r="BI414">
        <v>1</v>
      </c>
      <c r="BJ414">
        <v>3</v>
      </c>
      <c r="BK414">
        <v>10</v>
      </c>
      <c r="BL414">
        <v>8</v>
      </c>
      <c r="BM414">
        <v>12</v>
      </c>
      <c r="BN414">
        <v>9</v>
      </c>
      <c r="BO414">
        <v>3</v>
      </c>
      <c r="BP414">
        <v>6</v>
      </c>
      <c r="BQ414">
        <v>2</v>
      </c>
      <c r="BR414">
        <v>8</v>
      </c>
      <c r="BS414">
        <v>9</v>
      </c>
      <c r="BT414">
        <v>0</v>
      </c>
      <c r="BU414">
        <v>2</v>
      </c>
      <c r="BV414">
        <v>2</v>
      </c>
      <c r="BW414">
        <v>15</v>
      </c>
      <c r="BX414">
        <v>3</v>
      </c>
      <c r="BY414">
        <v>5</v>
      </c>
      <c r="BZ414">
        <v>7</v>
      </c>
      <c r="CA414">
        <v>7</v>
      </c>
      <c r="CB414">
        <v>6</v>
      </c>
      <c r="CC414">
        <v>2</v>
      </c>
      <c r="CD414">
        <v>0</v>
      </c>
      <c r="CE414">
        <v>3</v>
      </c>
      <c r="CF414">
        <v>6</v>
      </c>
      <c r="CG414">
        <v>6</v>
      </c>
      <c r="CH414">
        <v>2</v>
      </c>
      <c r="CI414">
        <v>1</v>
      </c>
      <c r="CJ414">
        <v>4</v>
      </c>
      <c r="CK414">
        <v>5</v>
      </c>
      <c r="CL414">
        <v>5</v>
      </c>
      <c r="CM414">
        <v>3</v>
      </c>
      <c r="CN414">
        <v>0</v>
      </c>
      <c r="CO414">
        <v>1</v>
      </c>
      <c r="CP414">
        <v>4</v>
      </c>
      <c r="CQ414">
        <v>2</v>
      </c>
      <c r="CR414">
        <v>3</v>
      </c>
      <c r="CS414">
        <v>4</v>
      </c>
      <c r="CT414">
        <v>3</v>
      </c>
      <c r="CU414">
        <v>3</v>
      </c>
      <c r="CV414">
        <v>3</v>
      </c>
      <c r="CW414">
        <v>1</v>
      </c>
      <c r="CX414">
        <v>0</v>
      </c>
      <c r="CY414">
        <v>0</v>
      </c>
      <c r="CZ414">
        <v>0</v>
      </c>
      <c r="DA414">
        <v>1</v>
      </c>
      <c r="DB414">
        <v>0</v>
      </c>
      <c r="DC414">
        <v>8</v>
      </c>
      <c r="DD414">
        <v>2</v>
      </c>
      <c r="DE414">
        <v>0</v>
      </c>
      <c r="DF414">
        <v>0</v>
      </c>
      <c r="DG414">
        <v>2</v>
      </c>
      <c r="DH414">
        <v>2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1</v>
      </c>
      <c r="DO414">
        <v>1</v>
      </c>
      <c r="DP414">
        <v>0</v>
      </c>
      <c r="DQ414">
        <v>0</v>
      </c>
      <c r="DR414">
        <v>1</v>
      </c>
      <c r="DS414">
        <v>0</v>
      </c>
      <c r="DT414">
        <v>2</v>
      </c>
      <c r="DU414">
        <v>4</v>
      </c>
      <c r="DV414">
        <v>0</v>
      </c>
      <c r="DW414">
        <v>0</v>
      </c>
      <c r="DX414">
        <v>4</v>
      </c>
      <c r="DY414">
        <v>1</v>
      </c>
      <c r="DZ414">
        <v>1</v>
      </c>
      <c r="EA414">
        <v>1</v>
      </c>
      <c r="EB414">
        <v>0</v>
      </c>
      <c r="EC414">
        <v>1</v>
      </c>
      <c r="ED414">
        <v>0</v>
      </c>
      <c r="EE414">
        <v>0</v>
      </c>
      <c r="EF414">
        <v>1</v>
      </c>
      <c r="EG414">
        <v>1</v>
      </c>
      <c r="EH414">
        <v>0</v>
      </c>
      <c r="EI414">
        <v>0</v>
      </c>
      <c r="EJ414">
        <v>0</v>
      </c>
      <c r="EK414">
        <v>1</v>
      </c>
      <c r="EL414">
        <v>0</v>
      </c>
      <c r="EM414">
        <v>1</v>
      </c>
      <c r="EN414">
        <v>3</v>
      </c>
      <c r="EO414">
        <v>0</v>
      </c>
      <c r="EP414">
        <v>5</v>
      </c>
      <c r="EQ414">
        <v>0</v>
      </c>
      <c r="ER414">
        <v>0</v>
      </c>
      <c r="ES414">
        <v>0</v>
      </c>
      <c r="ET414">
        <v>0</v>
      </c>
      <c r="EU414">
        <v>2</v>
      </c>
      <c r="EV414">
        <v>0</v>
      </c>
      <c r="EW414">
        <v>1</v>
      </c>
      <c r="EX414">
        <v>1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1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1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1</v>
      </c>
      <c r="GH414">
        <v>0</v>
      </c>
      <c r="GI414">
        <v>0</v>
      </c>
      <c r="GJ414">
        <v>1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</row>
    <row r="415" spans="1:201" x14ac:dyDescent="0.3">
      <c r="A415" t="s">
        <v>322</v>
      </c>
      <c r="B415" t="s">
        <v>326</v>
      </c>
      <c r="C415" t="s">
        <v>204</v>
      </c>
      <c r="D415" s="1">
        <v>11855</v>
      </c>
      <c r="E415" s="1">
        <v>1505</v>
      </c>
      <c r="F415" s="1">
        <v>2519</v>
      </c>
      <c r="G415" s="1">
        <v>2035</v>
      </c>
      <c r="H415">
        <v>366</v>
      </c>
      <c r="I415">
        <v>202</v>
      </c>
      <c r="J415">
        <v>40</v>
      </c>
      <c r="K415">
        <v>209</v>
      </c>
      <c r="L415">
        <v>304</v>
      </c>
      <c r="M415">
        <v>150</v>
      </c>
      <c r="N415">
        <v>185</v>
      </c>
      <c r="O415" s="1">
        <v>1082</v>
      </c>
      <c r="P415">
        <v>232</v>
      </c>
      <c r="Q415">
        <v>26</v>
      </c>
      <c r="R415">
        <v>23</v>
      </c>
      <c r="S415">
        <v>664</v>
      </c>
      <c r="T415">
        <v>288</v>
      </c>
      <c r="U415">
        <v>95</v>
      </c>
      <c r="V415">
        <v>43</v>
      </c>
      <c r="W415">
        <v>184</v>
      </c>
      <c r="X415">
        <v>168</v>
      </c>
      <c r="Y415">
        <v>16</v>
      </c>
      <c r="Z415">
        <v>42</v>
      </c>
      <c r="AA415">
        <v>156</v>
      </c>
      <c r="AB415">
        <v>110</v>
      </c>
      <c r="AC415">
        <v>69</v>
      </c>
      <c r="AD415">
        <v>19</v>
      </c>
      <c r="AE415">
        <v>0</v>
      </c>
      <c r="AF415">
        <v>38</v>
      </c>
      <c r="AG415">
        <v>87</v>
      </c>
      <c r="AH415">
        <v>84</v>
      </c>
      <c r="AI415">
        <v>14</v>
      </c>
      <c r="AJ415">
        <v>4</v>
      </c>
      <c r="AK415">
        <v>13</v>
      </c>
      <c r="AL415">
        <v>46</v>
      </c>
      <c r="AM415">
        <v>53</v>
      </c>
      <c r="AN415">
        <v>29</v>
      </c>
      <c r="AO415">
        <v>8</v>
      </c>
      <c r="AP415">
        <v>1</v>
      </c>
      <c r="AQ415">
        <v>37</v>
      </c>
      <c r="AR415">
        <v>8</v>
      </c>
      <c r="AS415">
        <v>29</v>
      </c>
      <c r="AT415">
        <v>50</v>
      </c>
      <c r="AU415">
        <v>64</v>
      </c>
      <c r="AV415">
        <v>7</v>
      </c>
      <c r="AW415">
        <v>54</v>
      </c>
      <c r="AX415">
        <v>1</v>
      </c>
      <c r="AY415">
        <v>27</v>
      </c>
      <c r="AZ415">
        <v>2</v>
      </c>
      <c r="BA415">
        <v>22</v>
      </c>
      <c r="BB415">
        <v>1</v>
      </c>
      <c r="BC415">
        <v>19</v>
      </c>
      <c r="BD415">
        <v>1</v>
      </c>
      <c r="BE415">
        <v>1</v>
      </c>
      <c r="BF415">
        <v>4</v>
      </c>
      <c r="BG415">
        <v>4</v>
      </c>
      <c r="BH415">
        <v>22</v>
      </c>
      <c r="BI415">
        <v>12</v>
      </c>
      <c r="BJ415">
        <v>6</v>
      </c>
      <c r="BK415">
        <v>3</v>
      </c>
      <c r="BL415">
        <v>8</v>
      </c>
      <c r="BM415">
        <v>4</v>
      </c>
      <c r="BN415">
        <v>16</v>
      </c>
      <c r="BO415">
        <v>4</v>
      </c>
      <c r="BP415">
        <v>5</v>
      </c>
      <c r="BQ415">
        <v>6</v>
      </c>
      <c r="BR415">
        <v>10</v>
      </c>
      <c r="BS415">
        <v>9</v>
      </c>
      <c r="BT415">
        <v>2</v>
      </c>
      <c r="BU415">
        <v>6</v>
      </c>
      <c r="BV415">
        <v>16</v>
      </c>
      <c r="BW415">
        <v>13</v>
      </c>
      <c r="BX415">
        <v>1</v>
      </c>
      <c r="BY415">
        <v>3</v>
      </c>
      <c r="BZ415">
        <v>5</v>
      </c>
      <c r="CA415">
        <v>8</v>
      </c>
      <c r="CB415">
        <v>7</v>
      </c>
      <c r="CC415">
        <v>9</v>
      </c>
      <c r="CD415">
        <v>17</v>
      </c>
      <c r="CE415">
        <v>13</v>
      </c>
      <c r="CF415">
        <v>7</v>
      </c>
      <c r="CG415">
        <v>24</v>
      </c>
      <c r="CH415">
        <v>4</v>
      </c>
      <c r="CI415">
        <v>12</v>
      </c>
      <c r="CJ415">
        <v>6</v>
      </c>
      <c r="CK415">
        <v>6</v>
      </c>
      <c r="CL415">
        <v>11</v>
      </c>
      <c r="CM415">
        <v>0</v>
      </c>
      <c r="CN415">
        <v>0</v>
      </c>
      <c r="CO415">
        <v>0</v>
      </c>
      <c r="CP415">
        <v>9</v>
      </c>
      <c r="CQ415">
        <v>2</v>
      </c>
      <c r="CR415">
        <v>0</v>
      </c>
      <c r="CS415">
        <v>9</v>
      </c>
      <c r="CT415">
        <v>4</v>
      </c>
      <c r="CU415">
        <v>1</v>
      </c>
      <c r="CV415">
        <v>5</v>
      </c>
      <c r="CW415">
        <v>6</v>
      </c>
      <c r="CX415">
        <v>0</v>
      </c>
      <c r="CY415">
        <v>2</v>
      </c>
      <c r="CZ415">
        <v>18</v>
      </c>
      <c r="DA415">
        <v>2</v>
      </c>
      <c r="DB415">
        <v>0</v>
      </c>
      <c r="DC415">
        <v>2</v>
      </c>
      <c r="DD415">
        <v>1</v>
      </c>
      <c r="DE415">
        <v>0</v>
      </c>
      <c r="DF415">
        <v>0</v>
      </c>
      <c r="DG415">
        <v>2</v>
      </c>
      <c r="DH415">
        <v>0</v>
      </c>
      <c r="DI415">
        <v>5</v>
      </c>
      <c r="DJ415">
        <v>1</v>
      </c>
      <c r="DK415">
        <v>6</v>
      </c>
      <c r="DL415">
        <v>2</v>
      </c>
      <c r="DM415">
        <v>3</v>
      </c>
      <c r="DN415">
        <v>3</v>
      </c>
      <c r="DO415">
        <v>2</v>
      </c>
      <c r="DP415">
        <v>1</v>
      </c>
      <c r="DQ415">
        <v>5</v>
      </c>
      <c r="DR415">
        <v>3</v>
      </c>
      <c r="DS415">
        <v>6</v>
      </c>
      <c r="DT415">
        <v>2</v>
      </c>
      <c r="DU415">
        <v>3</v>
      </c>
      <c r="DV415">
        <v>1</v>
      </c>
      <c r="DW415">
        <v>0</v>
      </c>
      <c r="DX415">
        <v>1</v>
      </c>
      <c r="DY415">
        <v>2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3</v>
      </c>
      <c r="EF415">
        <v>1</v>
      </c>
      <c r="EG415">
        <v>1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4</v>
      </c>
      <c r="EO415">
        <v>5</v>
      </c>
      <c r="EP415">
        <v>0</v>
      </c>
      <c r="EQ415">
        <v>0</v>
      </c>
      <c r="ER415">
        <v>0</v>
      </c>
      <c r="ES415">
        <v>1</v>
      </c>
      <c r="ET415">
        <v>1</v>
      </c>
      <c r="EU415">
        <v>0</v>
      </c>
      <c r="EV415">
        <v>0</v>
      </c>
      <c r="EW415">
        <v>1</v>
      </c>
      <c r="EX415">
        <v>0</v>
      </c>
      <c r="EY415">
        <v>0</v>
      </c>
      <c r="EZ415">
        <v>0</v>
      </c>
      <c r="FA415">
        <v>0</v>
      </c>
      <c r="FB415">
        <v>1</v>
      </c>
      <c r="FC415">
        <v>0</v>
      </c>
      <c r="FD415">
        <v>1</v>
      </c>
      <c r="FE415">
        <v>1</v>
      </c>
      <c r="FF415">
        <v>0</v>
      </c>
      <c r="FG415">
        <v>0</v>
      </c>
      <c r="FH415">
        <v>1</v>
      </c>
      <c r="FI415">
        <v>0</v>
      </c>
      <c r="FJ415">
        <v>0</v>
      </c>
      <c r="FK415">
        <v>1</v>
      </c>
      <c r="FL415">
        <v>0</v>
      </c>
      <c r="FM415">
        <v>0</v>
      </c>
      <c r="FN415">
        <v>2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1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2</v>
      </c>
      <c r="GL415">
        <v>0</v>
      </c>
      <c r="GM415">
        <v>1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3</v>
      </c>
    </row>
    <row r="416" spans="1:201" x14ac:dyDescent="0.3">
      <c r="A416" t="s">
        <v>322</v>
      </c>
      <c r="B416" t="s">
        <v>327</v>
      </c>
      <c r="C416" t="s">
        <v>200</v>
      </c>
      <c r="D416" s="1">
        <v>17950</v>
      </c>
      <c r="E416" s="1">
        <v>3032</v>
      </c>
      <c r="F416" s="1">
        <v>3235</v>
      </c>
      <c r="G416" s="1">
        <v>5635</v>
      </c>
      <c r="H416">
        <v>281</v>
      </c>
      <c r="I416">
        <v>685</v>
      </c>
      <c r="J416">
        <v>20</v>
      </c>
      <c r="K416">
        <v>168</v>
      </c>
      <c r="L416">
        <v>296</v>
      </c>
      <c r="M416">
        <v>98</v>
      </c>
      <c r="N416">
        <v>54</v>
      </c>
      <c r="O416" s="1">
        <v>1332</v>
      </c>
      <c r="P416">
        <v>278</v>
      </c>
      <c r="Q416">
        <v>10</v>
      </c>
      <c r="R416">
        <v>422</v>
      </c>
      <c r="S416">
        <v>511</v>
      </c>
      <c r="T416">
        <v>122</v>
      </c>
      <c r="U416">
        <v>97</v>
      </c>
      <c r="V416">
        <v>215</v>
      </c>
      <c r="W416">
        <v>152</v>
      </c>
      <c r="X416">
        <v>169</v>
      </c>
      <c r="Y416">
        <v>4</v>
      </c>
      <c r="Z416">
        <v>33</v>
      </c>
      <c r="AA416">
        <v>138</v>
      </c>
      <c r="AB416">
        <v>164</v>
      </c>
      <c r="AC416">
        <v>62</v>
      </c>
      <c r="AD416">
        <v>24</v>
      </c>
      <c r="AE416">
        <v>0</v>
      </c>
      <c r="AF416">
        <v>43</v>
      </c>
      <c r="AG416">
        <v>27</v>
      </c>
      <c r="AH416">
        <v>64</v>
      </c>
      <c r="AI416">
        <v>11</v>
      </c>
      <c r="AJ416">
        <v>0</v>
      </c>
      <c r="AK416">
        <v>2</v>
      </c>
      <c r="AL416">
        <v>9</v>
      </c>
      <c r="AM416">
        <v>68</v>
      </c>
      <c r="AN416">
        <v>20</v>
      </c>
      <c r="AO416">
        <v>5</v>
      </c>
      <c r="AP416">
        <v>4</v>
      </c>
      <c r="AQ416">
        <v>12</v>
      </c>
      <c r="AR416">
        <v>3</v>
      </c>
      <c r="AS416">
        <v>18</v>
      </c>
      <c r="AT416">
        <v>36</v>
      </c>
      <c r="AU416">
        <v>40</v>
      </c>
      <c r="AV416">
        <v>3</v>
      </c>
      <c r="AW416">
        <v>33</v>
      </c>
      <c r="AX416">
        <v>4</v>
      </c>
      <c r="AY416">
        <v>17</v>
      </c>
      <c r="AZ416">
        <v>1</v>
      </c>
      <c r="BA416">
        <v>22</v>
      </c>
      <c r="BB416">
        <v>4</v>
      </c>
      <c r="BC416">
        <v>22</v>
      </c>
      <c r="BD416">
        <v>0</v>
      </c>
      <c r="BE416">
        <v>0</v>
      </c>
      <c r="BF416">
        <v>0</v>
      </c>
      <c r="BG416">
        <v>10</v>
      </c>
      <c r="BH416">
        <v>16</v>
      </c>
      <c r="BI416">
        <v>1</v>
      </c>
      <c r="BJ416">
        <v>4</v>
      </c>
      <c r="BK416">
        <v>6</v>
      </c>
      <c r="BL416">
        <v>3</v>
      </c>
      <c r="BM416">
        <v>1</v>
      </c>
      <c r="BN416">
        <v>8</v>
      </c>
      <c r="BO416">
        <v>0</v>
      </c>
      <c r="BP416">
        <v>3</v>
      </c>
      <c r="BQ416">
        <v>0</v>
      </c>
      <c r="BR416">
        <v>20</v>
      </c>
      <c r="BS416">
        <v>12</v>
      </c>
      <c r="BT416">
        <v>1</v>
      </c>
      <c r="BU416">
        <v>3</v>
      </c>
      <c r="BV416">
        <v>4</v>
      </c>
      <c r="BW416">
        <v>9</v>
      </c>
      <c r="BX416">
        <v>0</v>
      </c>
      <c r="BY416">
        <v>0</v>
      </c>
      <c r="BZ416">
        <v>7</v>
      </c>
      <c r="CA416">
        <v>15</v>
      </c>
      <c r="CB416">
        <v>1</v>
      </c>
      <c r="CC416">
        <v>3</v>
      </c>
      <c r="CD416">
        <v>3</v>
      </c>
      <c r="CE416">
        <v>2</v>
      </c>
      <c r="CF416">
        <v>15</v>
      </c>
      <c r="CG416">
        <v>2</v>
      </c>
      <c r="CH416">
        <v>1</v>
      </c>
      <c r="CI416">
        <v>5</v>
      </c>
      <c r="CJ416">
        <v>6</v>
      </c>
      <c r="CK416">
        <v>4</v>
      </c>
      <c r="CL416">
        <v>5</v>
      </c>
      <c r="CM416">
        <v>0</v>
      </c>
      <c r="CN416">
        <v>10</v>
      </c>
      <c r="CO416">
        <v>1</v>
      </c>
      <c r="CP416">
        <v>1</v>
      </c>
      <c r="CQ416">
        <v>3</v>
      </c>
      <c r="CR416">
        <v>0</v>
      </c>
      <c r="CS416">
        <v>2</v>
      </c>
      <c r="CT416">
        <v>9</v>
      </c>
      <c r="CU416">
        <v>3</v>
      </c>
      <c r="CV416">
        <v>0</v>
      </c>
      <c r="CW416">
        <v>2</v>
      </c>
      <c r="CX416">
        <v>0</v>
      </c>
      <c r="CY416">
        <v>5</v>
      </c>
      <c r="CZ416">
        <v>2</v>
      </c>
      <c r="DA416">
        <v>1</v>
      </c>
      <c r="DB416">
        <v>5</v>
      </c>
      <c r="DC416">
        <v>0</v>
      </c>
      <c r="DD416">
        <v>0</v>
      </c>
      <c r="DE416">
        <v>1</v>
      </c>
      <c r="DF416">
        <v>0</v>
      </c>
      <c r="DG416">
        <v>3</v>
      </c>
      <c r="DH416">
        <v>0</v>
      </c>
      <c r="DI416">
        <v>2</v>
      </c>
      <c r="DJ416">
        <v>3</v>
      </c>
      <c r="DK416">
        <v>3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4</v>
      </c>
      <c r="DR416">
        <v>1</v>
      </c>
      <c r="DS416">
        <v>1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1</v>
      </c>
      <c r="DZ416">
        <v>0</v>
      </c>
      <c r="EA416">
        <v>0</v>
      </c>
      <c r="EB416">
        <v>1</v>
      </c>
      <c r="EC416">
        <v>1</v>
      </c>
      <c r="ED416">
        <v>0</v>
      </c>
      <c r="EE416">
        <v>1</v>
      </c>
      <c r="EF416">
        <v>0</v>
      </c>
      <c r="EG416">
        <v>1</v>
      </c>
      <c r="EH416">
        <v>0</v>
      </c>
      <c r="EI416">
        <v>0</v>
      </c>
      <c r="EJ416">
        <v>1</v>
      </c>
      <c r="EK416">
        <v>0</v>
      </c>
      <c r="EL416">
        <v>0</v>
      </c>
      <c r="EM416">
        <v>0</v>
      </c>
      <c r="EN416">
        <v>0</v>
      </c>
      <c r="EO416">
        <v>2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</v>
      </c>
      <c r="EV416">
        <v>1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1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1</v>
      </c>
    </row>
    <row r="417" spans="1:201" x14ac:dyDescent="0.3">
      <c r="A417" t="s">
        <v>322</v>
      </c>
      <c r="B417" t="s">
        <v>327</v>
      </c>
      <c r="C417" t="s">
        <v>203</v>
      </c>
      <c r="D417" s="1">
        <v>7318</v>
      </c>
      <c r="E417">
        <v>923</v>
      </c>
      <c r="F417" s="1">
        <v>1665</v>
      </c>
      <c r="G417" s="1">
        <v>2030</v>
      </c>
      <c r="H417">
        <v>141</v>
      </c>
      <c r="I417">
        <v>521</v>
      </c>
      <c r="J417">
        <v>8</v>
      </c>
      <c r="K417">
        <v>68</v>
      </c>
      <c r="L417">
        <v>60</v>
      </c>
      <c r="M417">
        <v>31</v>
      </c>
      <c r="N417">
        <v>6</v>
      </c>
      <c r="O417">
        <v>574</v>
      </c>
      <c r="P417">
        <v>132</v>
      </c>
      <c r="Q417">
        <v>8</v>
      </c>
      <c r="R417">
        <v>309</v>
      </c>
      <c r="S417">
        <v>83</v>
      </c>
      <c r="T417">
        <v>20</v>
      </c>
      <c r="U417">
        <v>27</v>
      </c>
      <c r="V417">
        <v>138</v>
      </c>
      <c r="W417">
        <v>44</v>
      </c>
      <c r="X417">
        <v>106</v>
      </c>
      <c r="Y417">
        <v>0</v>
      </c>
      <c r="Z417">
        <v>10</v>
      </c>
      <c r="AA417">
        <v>51</v>
      </c>
      <c r="AB417">
        <v>59</v>
      </c>
      <c r="AC417">
        <v>29</v>
      </c>
      <c r="AD417">
        <v>4</v>
      </c>
      <c r="AE417">
        <v>0</v>
      </c>
      <c r="AF417">
        <v>31</v>
      </c>
      <c r="AG417">
        <v>10</v>
      </c>
      <c r="AH417">
        <v>21</v>
      </c>
      <c r="AI417">
        <v>7</v>
      </c>
      <c r="AJ417">
        <v>0</v>
      </c>
      <c r="AK417">
        <v>2</v>
      </c>
      <c r="AL417">
        <v>3</v>
      </c>
      <c r="AM417">
        <v>13</v>
      </c>
      <c r="AN417">
        <v>10</v>
      </c>
      <c r="AO417">
        <v>2</v>
      </c>
      <c r="AP417">
        <v>2</v>
      </c>
      <c r="AQ417">
        <v>2</v>
      </c>
      <c r="AR417">
        <v>2</v>
      </c>
      <c r="AS417">
        <v>6</v>
      </c>
      <c r="AT417">
        <v>9</v>
      </c>
      <c r="AU417">
        <v>20</v>
      </c>
      <c r="AV417">
        <v>3</v>
      </c>
      <c r="AW417">
        <v>11</v>
      </c>
      <c r="AX417">
        <v>3</v>
      </c>
      <c r="AY417">
        <v>6</v>
      </c>
      <c r="AZ417">
        <v>0</v>
      </c>
      <c r="BA417">
        <v>3</v>
      </c>
      <c r="BB417">
        <v>2</v>
      </c>
      <c r="BC417">
        <v>9</v>
      </c>
      <c r="BD417">
        <v>0</v>
      </c>
      <c r="BE417">
        <v>0</v>
      </c>
      <c r="BF417">
        <v>0</v>
      </c>
      <c r="BG417">
        <v>5</v>
      </c>
      <c r="BH417">
        <v>1</v>
      </c>
      <c r="BI417">
        <v>1</v>
      </c>
      <c r="BJ417">
        <v>1</v>
      </c>
      <c r="BK417">
        <v>2</v>
      </c>
      <c r="BL417">
        <v>3</v>
      </c>
      <c r="BM417">
        <v>1</v>
      </c>
      <c r="BN417">
        <v>4</v>
      </c>
      <c r="BO417">
        <v>0</v>
      </c>
      <c r="BP417">
        <v>1</v>
      </c>
      <c r="BQ417">
        <v>0</v>
      </c>
      <c r="BR417">
        <v>6</v>
      </c>
      <c r="BS417">
        <v>6</v>
      </c>
      <c r="BT417">
        <v>1</v>
      </c>
      <c r="BU417">
        <v>0</v>
      </c>
      <c r="BV417">
        <v>1</v>
      </c>
      <c r="BW417">
        <v>8</v>
      </c>
      <c r="BX417">
        <v>0</v>
      </c>
      <c r="BY417">
        <v>0</v>
      </c>
      <c r="BZ417">
        <v>5</v>
      </c>
      <c r="CA417">
        <v>5</v>
      </c>
      <c r="CB417">
        <v>0</v>
      </c>
      <c r="CC417">
        <v>1</v>
      </c>
      <c r="CD417">
        <v>0</v>
      </c>
      <c r="CE417">
        <v>2</v>
      </c>
      <c r="CF417">
        <v>3</v>
      </c>
      <c r="CG417">
        <v>1</v>
      </c>
      <c r="CH417">
        <v>1</v>
      </c>
      <c r="CI417">
        <v>1</v>
      </c>
      <c r="CJ417">
        <v>2</v>
      </c>
      <c r="CK417">
        <v>2</v>
      </c>
      <c r="CL417">
        <v>0</v>
      </c>
      <c r="CM417">
        <v>0</v>
      </c>
      <c r="CN417">
        <v>8</v>
      </c>
      <c r="CO417">
        <v>1</v>
      </c>
      <c r="CP417">
        <v>1</v>
      </c>
      <c r="CQ417">
        <v>2</v>
      </c>
      <c r="CR417">
        <v>0</v>
      </c>
      <c r="CS417">
        <v>0</v>
      </c>
      <c r="CT417">
        <v>3</v>
      </c>
      <c r="CU417">
        <v>1</v>
      </c>
      <c r="CV417">
        <v>0</v>
      </c>
      <c r="CW417">
        <v>0</v>
      </c>
      <c r="CX417">
        <v>0</v>
      </c>
      <c r="CY417">
        <v>1</v>
      </c>
      <c r="CZ417">
        <v>0</v>
      </c>
      <c r="DA417">
        <v>1</v>
      </c>
      <c r="DB417">
        <v>3</v>
      </c>
      <c r="DC417">
        <v>0</v>
      </c>
      <c r="DD417">
        <v>0</v>
      </c>
      <c r="DE417">
        <v>1</v>
      </c>
      <c r="DF417">
        <v>0</v>
      </c>
      <c r="DG417">
        <v>0</v>
      </c>
      <c r="DH417">
        <v>0</v>
      </c>
      <c r="DI417">
        <v>0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4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1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1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1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</row>
    <row r="418" spans="1:201" x14ac:dyDescent="0.3">
      <c r="A418" t="s">
        <v>322</v>
      </c>
      <c r="B418" t="s">
        <v>327</v>
      </c>
      <c r="C418" t="s">
        <v>204</v>
      </c>
      <c r="D418" s="1">
        <v>10632</v>
      </c>
      <c r="E418" s="1">
        <v>2109</v>
      </c>
      <c r="F418" s="1">
        <v>1570</v>
      </c>
      <c r="G418" s="1">
        <v>3605</v>
      </c>
      <c r="H418">
        <v>140</v>
      </c>
      <c r="I418">
        <v>164</v>
      </c>
      <c r="J418">
        <v>12</v>
      </c>
      <c r="K418">
        <v>100</v>
      </c>
      <c r="L418">
        <v>236</v>
      </c>
      <c r="M418">
        <v>67</v>
      </c>
      <c r="N418">
        <v>48</v>
      </c>
      <c r="O418">
        <v>758</v>
      </c>
      <c r="P418">
        <v>146</v>
      </c>
      <c r="Q418">
        <v>2</v>
      </c>
      <c r="R418">
        <v>113</v>
      </c>
      <c r="S418">
        <v>428</v>
      </c>
      <c r="T418">
        <v>102</v>
      </c>
      <c r="U418">
        <v>70</v>
      </c>
      <c r="V418">
        <v>77</v>
      </c>
      <c r="W418">
        <v>108</v>
      </c>
      <c r="X418">
        <v>63</v>
      </c>
      <c r="Y418">
        <v>4</v>
      </c>
      <c r="Z418">
        <v>23</v>
      </c>
      <c r="AA418">
        <v>87</v>
      </c>
      <c r="AB418">
        <v>105</v>
      </c>
      <c r="AC418">
        <v>33</v>
      </c>
      <c r="AD418">
        <v>20</v>
      </c>
      <c r="AE418">
        <v>0</v>
      </c>
      <c r="AF418">
        <v>12</v>
      </c>
      <c r="AG418">
        <v>17</v>
      </c>
      <c r="AH418">
        <v>43</v>
      </c>
      <c r="AI418">
        <v>4</v>
      </c>
      <c r="AJ418">
        <v>0</v>
      </c>
      <c r="AK418">
        <v>0</v>
      </c>
      <c r="AL418">
        <v>6</v>
      </c>
      <c r="AM418">
        <v>55</v>
      </c>
      <c r="AN418">
        <v>10</v>
      </c>
      <c r="AO418">
        <v>3</v>
      </c>
      <c r="AP418">
        <v>2</v>
      </c>
      <c r="AQ418">
        <v>10</v>
      </c>
      <c r="AR418">
        <v>1</v>
      </c>
      <c r="AS418">
        <v>12</v>
      </c>
      <c r="AT418">
        <v>27</v>
      </c>
      <c r="AU418">
        <v>20</v>
      </c>
      <c r="AV418">
        <v>0</v>
      </c>
      <c r="AW418">
        <v>22</v>
      </c>
      <c r="AX418">
        <v>1</v>
      </c>
      <c r="AY418">
        <v>11</v>
      </c>
      <c r="AZ418">
        <v>1</v>
      </c>
      <c r="BA418">
        <v>19</v>
      </c>
      <c r="BB418">
        <v>2</v>
      </c>
      <c r="BC418">
        <v>13</v>
      </c>
      <c r="BD418">
        <v>0</v>
      </c>
      <c r="BE418">
        <v>0</v>
      </c>
      <c r="BF418">
        <v>0</v>
      </c>
      <c r="BG418">
        <v>5</v>
      </c>
      <c r="BH418">
        <v>15</v>
      </c>
      <c r="BI418">
        <v>0</v>
      </c>
      <c r="BJ418">
        <v>3</v>
      </c>
      <c r="BK418">
        <v>4</v>
      </c>
      <c r="BL418">
        <v>0</v>
      </c>
      <c r="BM418">
        <v>0</v>
      </c>
      <c r="BN418">
        <v>4</v>
      </c>
      <c r="BO418">
        <v>0</v>
      </c>
      <c r="BP418">
        <v>2</v>
      </c>
      <c r="BQ418">
        <v>0</v>
      </c>
      <c r="BR418">
        <v>14</v>
      </c>
      <c r="BS418">
        <v>6</v>
      </c>
      <c r="BT418">
        <v>0</v>
      </c>
      <c r="BU418">
        <v>3</v>
      </c>
      <c r="BV418">
        <v>3</v>
      </c>
      <c r="BW418">
        <v>1</v>
      </c>
      <c r="BX418">
        <v>0</v>
      </c>
      <c r="BY418">
        <v>0</v>
      </c>
      <c r="BZ418">
        <v>2</v>
      </c>
      <c r="CA418">
        <v>10</v>
      </c>
      <c r="CB418">
        <v>1</v>
      </c>
      <c r="CC418">
        <v>2</v>
      </c>
      <c r="CD418">
        <v>3</v>
      </c>
      <c r="CE418">
        <v>0</v>
      </c>
      <c r="CF418">
        <v>12</v>
      </c>
      <c r="CG418">
        <v>1</v>
      </c>
      <c r="CH418">
        <v>0</v>
      </c>
      <c r="CI418">
        <v>4</v>
      </c>
      <c r="CJ418">
        <v>4</v>
      </c>
      <c r="CK418">
        <v>2</v>
      </c>
      <c r="CL418">
        <v>5</v>
      </c>
      <c r="CM418">
        <v>0</v>
      </c>
      <c r="CN418">
        <v>2</v>
      </c>
      <c r="CO418">
        <v>0</v>
      </c>
      <c r="CP418">
        <v>0</v>
      </c>
      <c r="CQ418">
        <v>1</v>
      </c>
      <c r="CR418">
        <v>0</v>
      </c>
      <c r="CS418">
        <v>2</v>
      </c>
      <c r="CT418">
        <v>6</v>
      </c>
      <c r="CU418">
        <v>2</v>
      </c>
      <c r="CV418">
        <v>0</v>
      </c>
      <c r="CW418">
        <v>2</v>
      </c>
      <c r="CX418">
        <v>0</v>
      </c>
      <c r="CY418">
        <v>4</v>
      </c>
      <c r="CZ418">
        <v>2</v>
      </c>
      <c r="DA418">
        <v>0</v>
      </c>
      <c r="DB418">
        <v>2</v>
      </c>
      <c r="DC418">
        <v>0</v>
      </c>
      <c r="DD418">
        <v>0</v>
      </c>
      <c r="DE418">
        <v>0</v>
      </c>
      <c r="DF418">
        <v>0</v>
      </c>
      <c r="DG418">
        <v>3</v>
      </c>
      <c r="DH418">
        <v>0</v>
      </c>
      <c r="DI418">
        <v>2</v>
      </c>
      <c r="DJ418">
        <v>2</v>
      </c>
      <c r="DK418">
        <v>3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1</v>
      </c>
      <c r="DS418">
        <v>1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1</v>
      </c>
      <c r="DZ418">
        <v>0</v>
      </c>
      <c r="EA418">
        <v>0</v>
      </c>
      <c r="EB418">
        <v>1</v>
      </c>
      <c r="EC418">
        <v>0</v>
      </c>
      <c r="ED418">
        <v>0</v>
      </c>
      <c r="EE418">
        <v>1</v>
      </c>
      <c r="EF418">
        <v>0</v>
      </c>
      <c r="EG418">
        <v>1</v>
      </c>
      <c r="EH418">
        <v>0</v>
      </c>
      <c r="EI418">
        <v>0</v>
      </c>
      <c r="EJ418">
        <v>1</v>
      </c>
      <c r="EK418">
        <v>0</v>
      </c>
      <c r="EL418">
        <v>0</v>
      </c>
      <c r="EM418">
        <v>0</v>
      </c>
      <c r="EN418">
        <v>0</v>
      </c>
      <c r="EO418">
        <v>1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1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1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1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1</v>
      </c>
    </row>
    <row r="419" spans="1:201" x14ac:dyDescent="0.3">
      <c r="A419" t="s">
        <v>322</v>
      </c>
      <c r="B419" t="s">
        <v>328</v>
      </c>
      <c r="C419" t="s">
        <v>200</v>
      </c>
      <c r="D419" s="1">
        <v>24409</v>
      </c>
      <c r="E419">
        <v>621</v>
      </c>
      <c r="F419" s="1">
        <v>15924</v>
      </c>
      <c r="G419" s="1">
        <v>5914</v>
      </c>
      <c r="H419">
        <v>63</v>
      </c>
      <c r="I419">
        <v>59</v>
      </c>
      <c r="J419">
        <v>32</v>
      </c>
      <c r="K419">
        <v>58</v>
      </c>
      <c r="L419">
        <v>192</v>
      </c>
      <c r="M419">
        <v>100</v>
      </c>
      <c r="N419">
        <v>79</v>
      </c>
      <c r="O419">
        <v>183</v>
      </c>
      <c r="P419">
        <v>115</v>
      </c>
      <c r="Q419">
        <v>22</v>
      </c>
      <c r="R419">
        <v>28</v>
      </c>
      <c r="S419">
        <v>248</v>
      </c>
      <c r="T419">
        <v>57</v>
      </c>
      <c r="U419">
        <v>35</v>
      </c>
      <c r="V419">
        <v>32</v>
      </c>
      <c r="W419">
        <v>159</v>
      </c>
      <c r="X419">
        <v>44</v>
      </c>
      <c r="Y419">
        <v>6</v>
      </c>
      <c r="Z419">
        <v>12</v>
      </c>
      <c r="AA419">
        <v>42</v>
      </c>
      <c r="AB419">
        <v>31</v>
      </c>
      <c r="AC419">
        <v>32</v>
      </c>
      <c r="AD419">
        <v>8</v>
      </c>
      <c r="AE419">
        <v>1</v>
      </c>
      <c r="AF419">
        <v>29</v>
      </c>
      <c r="AG419">
        <v>15</v>
      </c>
      <c r="AH419">
        <v>16</v>
      </c>
      <c r="AI419">
        <v>8</v>
      </c>
      <c r="AJ419">
        <v>1</v>
      </c>
      <c r="AK419">
        <v>4</v>
      </c>
      <c r="AL419">
        <v>5</v>
      </c>
      <c r="AM419">
        <v>37</v>
      </c>
      <c r="AN419">
        <v>19</v>
      </c>
      <c r="AO419">
        <v>1</v>
      </c>
      <c r="AP419">
        <v>0</v>
      </c>
      <c r="AQ419">
        <v>10</v>
      </c>
      <c r="AR419">
        <v>4</v>
      </c>
      <c r="AS419">
        <v>3</v>
      </c>
      <c r="AT419">
        <v>8</v>
      </c>
      <c r="AU419">
        <v>6</v>
      </c>
      <c r="AV419">
        <v>2</v>
      </c>
      <c r="AW419">
        <v>9</v>
      </c>
      <c r="AX419">
        <v>3</v>
      </c>
      <c r="AY419">
        <v>7</v>
      </c>
      <c r="AZ419">
        <v>0</v>
      </c>
      <c r="BA419">
        <v>4</v>
      </c>
      <c r="BB419">
        <v>1</v>
      </c>
      <c r="BC419">
        <v>3</v>
      </c>
      <c r="BD419">
        <v>0</v>
      </c>
      <c r="BE419">
        <v>1</v>
      </c>
      <c r="BF419">
        <v>0</v>
      </c>
      <c r="BG419">
        <v>9</v>
      </c>
      <c r="BH419">
        <v>8</v>
      </c>
      <c r="BI419">
        <v>3</v>
      </c>
      <c r="BJ419">
        <v>2</v>
      </c>
      <c r="BK419">
        <v>6</v>
      </c>
      <c r="BL419">
        <v>1</v>
      </c>
      <c r="BM419">
        <v>1</v>
      </c>
      <c r="BN419">
        <v>11</v>
      </c>
      <c r="BO419">
        <v>2</v>
      </c>
      <c r="BP419">
        <v>0</v>
      </c>
      <c r="BQ419">
        <v>0</v>
      </c>
      <c r="BR419">
        <v>6</v>
      </c>
      <c r="BS419">
        <v>6</v>
      </c>
      <c r="BT419">
        <v>0</v>
      </c>
      <c r="BU419">
        <v>6</v>
      </c>
      <c r="BV419">
        <v>3</v>
      </c>
      <c r="BW419">
        <v>7</v>
      </c>
      <c r="BX419">
        <v>0</v>
      </c>
      <c r="BY419">
        <v>1</v>
      </c>
      <c r="BZ419">
        <v>2</v>
      </c>
      <c r="CA419">
        <v>4</v>
      </c>
      <c r="CB419">
        <v>0</v>
      </c>
      <c r="CC419">
        <v>2</v>
      </c>
      <c r="CD419">
        <v>2</v>
      </c>
      <c r="CE419">
        <v>1</v>
      </c>
      <c r="CF419">
        <v>1</v>
      </c>
      <c r="CG419">
        <v>3</v>
      </c>
      <c r="CH419">
        <v>1</v>
      </c>
      <c r="CI419">
        <v>4</v>
      </c>
      <c r="CJ419">
        <v>1</v>
      </c>
      <c r="CK419">
        <v>0</v>
      </c>
      <c r="CL419">
        <v>0</v>
      </c>
      <c r="CM419">
        <v>0</v>
      </c>
      <c r="CN419">
        <v>0</v>
      </c>
      <c r="CO419">
        <v>1</v>
      </c>
      <c r="CP419">
        <v>0</v>
      </c>
      <c r="CQ419">
        <v>0</v>
      </c>
      <c r="CR419">
        <v>0</v>
      </c>
      <c r="CS419">
        <v>4</v>
      </c>
      <c r="CT419">
        <v>0</v>
      </c>
      <c r="CU419">
        <v>1</v>
      </c>
      <c r="CV419">
        <v>0</v>
      </c>
      <c r="CW419">
        <v>2</v>
      </c>
      <c r="CX419">
        <v>0</v>
      </c>
      <c r="CY419">
        <v>1</v>
      </c>
      <c r="CZ419">
        <v>0</v>
      </c>
      <c r="DA419">
        <v>0</v>
      </c>
      <c r="DB419">
        <v>0</v>
      </c>
      <c r="DC419">
        <v>0</v>
      </c>
      <c r="DD419">
        <v>2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2</v>
      </c>
      <c r="DM419">
        <v>3</v>
      </c>
      <c r="DN419">
        <v>0</v>
      </c>
      <c r="DO419">
        <v>0</v>
      </c>
      <c r="DP419">
        <v>1</v>
      </c>
      <c r="DQ419">
        <v>0</v>
      </c>
      <c r="DR419">
        <v>1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</v>
      </c>
      <c r="EB419">
        <v>0</v>
      </c>
      <c r="EC419">
        <v>0</v>
      </c>
      <c r="ED419">
        <v>0</v>
      </c>
      <c r="EE419">
        <v>0</v>
      </c>
      <c r="EF419">
        <v>1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2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1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</row>
    <row r="420" spans="1:201" x14ac:dyDescent="0.3">
      <c r="A420" t="s">
        <v>322</v>
      </c>
      <c r="B420" t="s">
        <v>328</v>
      </c>
      <c r="C420" t="s">
        <v>203</v>
      </c>
      <c r="D420" s="1">
        <v>13083</v>
      </c>
      <c r="E420">
        <v>272</v>
      </c>
      <c r="F420" s="1">
        <v>9785</v>
      </c>
      <c r="G420" s="1">
        <v>2239</v>
      </c>
      <c r="H420">
        <v>43</v>
      </c>
      <c r="I420">
        <v>32</v>
      </c>
      <c r="J420">
        <v>14</v>
      </c>
      <c r="K420">
        <v>18</v>
      </c>
      <c r="L420">
        <v>103</v>
      </c>
      <c r="M420">
        <v>30</v>
      </c>
      <c r="N420">
        <v>14</v>
      </c>
      <c r="O420">
        <v>74</v>
      </c>
      <c r="P420">
        <v>51</v>
      </c>
      <c r="Q420">
        <v>15</v>
      </c>
      <c r="R420">
        <v>22</v>
      </c>
      <c r="S420">
        <v>43</v>
      </c>
      <c r="T420">
        <v>17</v>
      </c>
      <c r="U420">
        <v>15</v>
      </c>
      <c r="V420">
        <v>24</v>
      </c>
      <c r="W420">
        <v>70</v>
      </c>
      <c r="X420">
        <v>27</v>
      </c>
      <c r="Y420">
        <v>0</v>
      </c>
      <c r="Z420">
        <v>6</v>
      </c>
      <c r="AA420">
        <v>17</v>
      </c>
      <c r="AB420">
        <v>12</v>
      </c>
      <c r="AC420">
        <v>10</v>
      </c>
      <c r="AD420">
        <v>3</v>
      </c>
      <c r="AE420">
        <v>0</v>
      </c>
      <c r="AF420">
        <v>18</v>
      </c>
      <c r="AG420">
        <v>1</v>
      </c>
      <c r="AH420">
        <v>5</v>
      </c>
      <c r="AI420">
        <v>4</v>
      </c>
      <c r="AJ420">
        <v>0</v>
      </c>
      <c r="AK420">
        <v>3</v>
      </c>
      <c r="AL420">
        <v>1</v>
      </c>
      <c r="AM420">
        <v>7</v>
      </c>
      <c r="AN420">
        <v>13</v>
      </c>
      <c r="AO420">
        <v>0</v>
      </c>
      <c r="AP420">
        <v>0</v>
      </c>
      <c r="AQ420">
        <v>2</v>
      </c>
      <c r="AR420">
        <v>3</v>
      </c>
      <c r="AS420">
        <v>2</v>
      </c>
      <c r="AT420">
        <v>3</v>
      </c>
      <c r="AU420">
        <v>4</v>
      </c>
      <c r="AV420">
        <v>1</v>
      </c>
      <c r="AW420">
        <v>6</v>
      </c>
      <c r="AX420">
        <v>1</v>
      </c>
      <c r="AY420">
        <v>0</v>
      </c>
      <c r="AZ420">
        <v>0</v>
      </c>
      <c r="BA420">
        <v>1</v>
      </c>
      <c r="BB420">
        <v>1</v>
      </c>
      <c r="BC420">
        <v>3</v>
      </c>
      <c r="BD420">
        <v>0</v>
      </c>
      <c r="BE420">
        <v>1</v>
      </c>
      <c r="BF420">
        <v>0</v>
      </c>
      <c r="BG420">
        <v>7</v>
      </c>
      <c r="BH420">
        <v>3</v>
      </c>
      <c r="BI420">
        <v>1</v>
      </c>
      <c r="BJ420">
        <v>1</v>
      </c>
      <c r="BK420">
        <v>5</v>
      </c>
      <c r="BL420">
        <v>1</v>
      </c>
      <c r="BM420">
        <v>1</v>
      </c>
      <c r="BN420">
        <v>3</v>
      </c>
      <c r="BO420">
        <v>2</v>
      </c>
      <c r="BP420">
        <v>0</v>
      </c>
      <c r="BQ420">
        <v>0</v>
      </c>
      <c r="BR420">
        <v>2</v>
      </c>
      <c r="BS420">
        <v>3</v>
      </c>
      <c r="BT420">
        <v>0</v>
      </c>
      <c r="BU420">
        <v>2</v>
      </c>
      <c r="BV420">
        <v>0</v>
      </c>
      <c r="BW420">
        <v>3</v>
      </c>
      <c r="BX420">
        <v>0</v>
      </c>
      <c r="BY420">
        <v>1</v>
      </c>
      <c r="BZ420">
        <v>0</v>
      </c>
      <c r="CA420">
        <v>2</v>
      </c>
      <c r="CB420">
        <v>0</v>
      </c>
      <c r="CC420">
        <v>1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</v>
      </c>
      <c r="CP420">
        <v>0</v>
      </c>
      <c r="CQ420">
        <v>0</v>
      </c>
      <c r="CR420">
        <v>0</v>
      </c>
      <c r="CS420">
        <v>1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1</v>
      </c>
      <c r="DM420">
        <v>2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1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1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</row>
    <row r="421" spans="1:201" x14ac:dyDescent="0.3">
      <c r="A421" t="s">
        <v>322</v>
      </c>
      <c r="B421" t="s">
        <v>328</v>
      </c>
      <c r="C421" t="s">
        <v>204</v>
      </c>
      <c r="D421" s="1">
        <v>11326</v>
      </c>
      <c r="E421">
        <v>349</v>
      </c>
      <c r="F421" s="1">
        <v>6139</v>
      </c>
      <c r="G421" s="1">
        <v>3675</v>
      </c>
      <c r="H421">
        <v>20</v>
      </c>
      <c r="I421">
        <v>27</v>
      </c>
      <c r="J421">
        <v>18</v>
      </c>
      <c r="K421">
        <v>40</v>
      </c>
      <c r="L421">
        <v>89</v>
      </c>
      <c r="M421">
        <v>70</v>
      </c>
      <c r="N421">
        <v>65</v>
      </c>
      <c r="O421">
        <v>109</v>
      </c>
      <c r="P421">
        <v>64</v>
      </c>
      <c r="Q421">
        <v>7</v>
      </c>
      <c r="R421">
        <v>6</v>
      </c>
      <c r="S421">
        <v>205</v>
      </c>
      <c r="T421">
        <v>40</v>
      </c>
      <c r="U421">
        <v>20</v>
      </c>
      <c r="V421">
        <v>8</v>
      </c>
      <c r="W421">
        <v>89</v>
      </c>
      <c r="X421">
        <v>17</v>
      </c>
      <c r="Y421">
        <v>6</v>
      </c>
      <c r="Z421">
        <v>6</v>
      </c>
      <c r="AA421">
        <v>25</v>
      </c>
      <c r="AB421">
        <v>19</v>
      </c>
      <c r="AC421">
        <v>22</v>
      </c>
      <c r="AD421">
        <v>5</v>
      </c>
      <c r="AE421">
        <v>1</v>
      </c>
      <c r="AF421">
        <v>11</v>
      </c>
      <c r="AG421">
        <v>14</v>
      </c>
      <c r="AH421">
        <v>11</v>
      </c>
      <c r="AI421">
        <v>4</v>
      </c>
      <c r="AJ421">
        <v>1</v>
      </c>
      <c r="AK421">
        <v>1</v>
      </c>
      <c r="AL421">
        <v>4</v>
      </c>
      <c r="AM421">
        <v>30</v>
      </c>
      <c r="AN421">
        <v>6</v>
      </c>
      <c r="AO421">
        <v>1</v>
      </c>
      <c r="AP421">
        <v>0</v>
      </c>
      <c r="AQ421">
        <v>8</v>
      </c>
      <c r="AR421">
        <v>1</v>
      </c>
      <c r="AS421">
        <v>1</v>
      </c>
      <c r="AT421">
        <v>5</v>
      </c>
      <c r="AU421">
        <v>2</v>
      </c>
      <c r="AV421">
        <v>1</v>
      </c>
      <c r="AW421">
        <v>3</v>
      </c>
      <c r="AX421">
        <v>2</v>
      </c>
      <c r="AY421">
        <v>7</v>
      </c>
      <c r="AZ421">
        <v>0</v>
      </c>
      <c r="BA421">
        <v>3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</v>
      </c>
      <c r="BH421">
        <v>5</v>
      </c>
      <c r="BI421">
        <v>2</v>
      </c>
      <c r="BJ421">
        <v>1</v>
      </c>
      <c r="BK421">
        <v>1</v>
      </c>
      <c r="BL421">
        <v>0</v>
      </c>
      <c r="BM421">
        <v>0</v>
      </c>
      <c r="BN421">
        <v>8</v>
      </c>
      <c r="BO421">
        <v>0</v>
      </c>
      <c r="BP421">
        <v>0</v>
      </c>
      <c r="BQ421">
        <v>0</v>
      </c>
      <c r="BR421">
        <v>4</v>
      </c>
      <c r="BS421">
        <v>3</v>
      </c>
      <c r="BT421">
        <v>0</v>
      </c>
      <c r="BU421">
        <v>4</v>
      </c>
      <c r="BV421">
        <v>3</v>
      </c>
      <c r="BW421">
        <v>4</v>
      </c>
      <c r="BX421">
        <v>0</v>
      </c>
      <c r="BY421">
        <v>0</v>
      </c>
      <c r="BZ421">
        <v>2</v>
      </c>
      <c r="CA421">
        <v>2</v>
      </c>
      <c r="CB421">
        <v>0</v>
      </c>
      <c r="CC421">
        <v>1</v>
      </c>
      <c r="CD421">
        <v>2</v>
      </c>
      <c r="CE421">
        <v>1</v>
      </c>
      <c r="CF421">
        <v>1</v>
      </c>
      <c r="CG421">
        <v>3</v>
      </c>
      <c r="CH421">
        <v>0</v>
      </c>
      <c r="CI421">
        <v>4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3</v>
      </c>
      <c r="CT421">
        <v>0</v>
      </c>
      <c r="CU421">
        <v>1</v>
      </c>
      <c r="CV421">
        <v>0</v>
      </c>
      <c r="CW421">
        <v>2</v>
      </c>
      <c r="CX421">
        <v>0</v>
      </c>
      <c r="CY421">
        <v>1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1</v>
      </c>
      <c r="DM421">
        <v>1</v>
      </c>
      <c r="DN421">
        <v>0</v>
      </c>
      <c r="DO421">
        <v>0</v>
      </c>
      <c r="DP421">
        <v>1</v>
      </c>
      <c r="DQ421">
        <v>0</v>
      </c>
      <c r="DR421">
        <v>1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1</v>
      </c>
      <c r="EB421">
        <v>0</v>
      </c>
      <c r="EC421">
        <v>0</v>
      </c>
      <c r="ED421">
        <v>0</v>
      </c>
      <c r="EE421">
        <v>0</v>
      </c>
      <c r="EF421">
        <v>1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1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</row>
    <row r="422" spans="1:201" x14ac:dyDescent="0.3">
      <c r="A422" t="s">
        <v>322</v>
      </c>
      <c r="B422" t="s">
        <v>329</v>
      </c>
      <c r="C422" t="s">
        <v>200</v>
      </c>
      <c r="D422" s="1">
        <v>14272</v>
      </c>
      <c r="E422">
        <v>511</v>
      </c>
      <c r="F422" s="1">
        <v>9118</v>
      </c>
      <c r="G422" s="1">
        <v>2927</v>
      </c>
      <c r="H422">
        <v>72</v>
      </c>
      <c r="I422">
        <v>58</v>
      </c>
      <c r="J422">
        <v>88</v>
      </c>
      <c r="K422">
        <v>42</v>
      </c>
      <c r="L422">
        <v>141</v>
      </c>
      <c r="M422">
        <v>135</v>
      </c>
      <c r="N422">
        <v>110</v>
      </c>
      <c r="O422">
        <v>249</v>
      </c>
      <c r="P422">
        <v>71</v>
      </c>
      <c r="Q422">
        <v>18</v>
      </c>
      <c r="R422">
        <v>15</v>
      </c>
      <c r="S422">
        <v>166</v>
      </c>
      <c r="T422">
        <v>59</v>
      </c>
      <c r="U422">
        <v>20</v>
      </c>
      <c r="V422">
        <v>29</v>
      </c>
      <c r="W422">
        <v>103</v>
      </c>
      <c r="X422">
        <v>21</v>
      </c>
      <c r="Y422">
        <v>2</v>
      </c>
      <c r="Z422">
        <v>15</v>
      </c>
      <c r="AA422">
        <v>41</v>
      </c>
      <c r="AB422">
        <v>9</v>
      </c>
      <c r="AC422">
        <v>14</v>
      </c>
      <c r="AD422">
        <v>5</v>
      </c>
      <c r="AE422">
        <v>0</v>
      </c>
      <c r="AF422">
        <v>19</v>
      </c>
      <c r="AG422">
        <v>13</v>
      </c>
      <c r="AH422">
        <v>13</v>
      </c>
      <c r="AI422">
        <v>8</v>
      </c>
      <c r="AJ422">
        <v>2</v>
      </c>
      <c r="AK422">
        <v>2</v>
      </c>
      <c r="AL422">
        <v>10</v>
      </c>
      <c r="AM422">
        <v>18</v>
      </c>
      <c r="AN422">
        <v>5</v>
      </c>
      <c r="AO422">
        <v>0</v>
      </c>
      <c r="AP422">
        <v>1</v>
      </c>
      <c r="AQ422">
        <v>13</v>
      </c>
      <c r="AR422">
        <v>3</v>
      </c>
      <c r="AS422">
        <v>9</v>
      </c>
      <c r="AT422">
        <v>7</v>
      </c>
      <c r="AU422">
        <v>9</v>
      </c>
      <c r="AV422">
        <v>1</v>
      </c>
      <c r="AW422">
        <v>13</v>
      </c>
      <c r="AX422">
        <v>0</v>
      </c>
      <c r="AY422">
        <v>5</v>
      </c>
      <c r="AZ422">
        <v>1</v>
      </c>
      <c r="BA422">
        <v>5</v>
      </c>
      <c r="BB422">
        <v>1</v>
      </c>
      <c r="BC422">
        <v>5</v>
      </c>
      <c r="BD422">
        <v>1</v>
      </c>
      <c r="BE422">
        <v>0</v>
      </c>
      <c r="BF422">
        <v>1</v>
      </c>
      <c r="BG422">
        <v>4</v>
      </c>
      <c r="BH422">
        <v>4</v>
      </c>
      <c r="BI422">
        <v>0</v>
      </c>
      <c r="BJ422">
        <v>0</v>
      </c>
      <c r="BK422">
        <v>0</v>
      </c>
      <c r="BL422">
        <v>2</v>
      </c>
      <c r="BM422">
        <v>2</v>
      </c>
      <c r="BN422">
        <v>4</v>
      </c>
      <c r="BO422">
        <v>1</v>
      </c>
      <c r="BP422">
        <v>1</v>
      </c>
      <c r="BQ422">
        <v>0</v>
      </c>
      <c r="BR422">
        <v>2</v>
      </c>
      <c r="BS422">
        <v>3</v>
      </c>
      <c r="BT422">
        <v>0</v>
      </c>
      <c r="BU422">
        <v>2</v>
      </c>
      <c r="BV422">
        <v>5</v>
      </c>
      <c r="BW422">
        <v>0</v>
      </c>
      <c r="BX422">
        <v>0</v>
      </c>
      <c r="BY422">
        <v>2</v>
      </c>
      <c r="BZ422">
        <v>0</v>
      </c>
      <c r="CA422">
        <v>0</v>
      </c>
      <c r="CB422">
        <v>0</v>
      </c>
      <c r="CC422">
        <v>0</v>
      </c>
      <c r="CD422">
        <v>1</v>
      </c>
      <c r="CE422">
        <v>2</v>
      </c>
      <c r="CF422">
        <v>1</v>
      </c>
      <c r="CG422">
        <v>2</v>
      </c>
      <c r="CH422">
        <v>1</v>
      </c>
      <c r="CI422">
        <v>2</v>
      </c>
      <c r="CJ422">
        <v>1</v>
      </c>
      <c r="CK422">
        <v>3</v>
      </c>
      <c r="CL422">
        <v>0</v>
      </c>
      <c r="CM422">
        <v>0</v>
      </c>
      <c r="CN422">
        <v>0</v>
      </c>
      <c r="CO422">
        <v>0</v>
      </c>
      <c r="CP422">
        <v>3</v>
      </c>
      <c r="CQ422">
        <v>2</v>
      </c>
      <c r="CR422">
        <v>0</v>
      </c>
      <c r="CS422">
        <v>0</v>
      </c>
      <c r="CT422">
        <v>1</v>
      </c>
      <c r="CU422">
        <v>0</v>
      </c>
      <c r="CV422">
        <v>1</v>
      </c>
      <c r="CW422">
        <v>0</v>
      </c>
      <c r="CX422">
        <v>0</v>
      </c>
      <c r="CY422">
        <v>2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1</v>
      </c>
      <c r="DK422">
        <v>0</v>
      </c>
      <c r="DL422">
        <v>1</v>
      </c>
      <c r="DM422">
        <v>0</v>
      </c>
      <c r="DN422">
        <v>1</v>
      </c>
      <c r="DO422">
        <v>0</v>
      </c>
      <c r="DP422">
        <v>0</v>
      </c>
      <c r="DQ422">
        <v>1</v>
      </c>
      <c r="DR422">
        <v>1</v>
      </c>
      <c r="DS422">
        <v>0</v>
      </c>
      <c r="DT422">
        <v>1</v>
      </c>
      <c r="DU422">
        <v>0</v>
      </c>
      <c r="DV422">
        <v>1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1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1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2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1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1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1</v>
      </c>
    </row>
    <row r="423" spans="1:201" x14ac:dyDescent="0.3">
      <c r="A423" t="s">
        <v>322</v>
      </c>
      <c r="B423" t="s">
        <v>329</v>
      </c>
      <c r="C423" t="s">
        <v>203</v>
      </c>
      <c r="D423" s="1">
        <v>7481</v>
      </c>
      <c r="E423">
        <v>169</v>
      </c>
      <c r="F423" s="1">
        <v>5417</v>
      </c>
      <c r="G423" s="1">
        <v>1155</v>
      </c>
      <c r="H423">
        <v>46</v>
      </c>
      <c r="I423">
        <v>34</v>
      </c>
      <c r="J423">
        <v>53</v>
      </c>
      <c r="K423">
        <v>19</v>
      </c>
      <c r="L423">
        <v>103</v>
      </c>
      <c r="M423">
        <v>60</v>
      </c>
      <c r="N423">
        <v>54</v>
      </c>
      <c r="O423">
        <v>89</v>
      </c>
      <c r="P423">
        <v>31</v>
      </c>
      <c r="Q423">
        <v>14</v>
      </c>
      <c r="R423">
        <v>12</v>
      </c>
      <c r="S423">
        <v>25</v>
      </c>
      <c r="T423">
        <v>10</v>
      </c>
      <c r="U423">
        <v>8</v>
      </c>
      <c r="V423">
        <v>24</v>
      </c>
      <c r="W423">
        <v>35</v>
      </c>
      <c r="X423">
        <v>14</v>
      </c>
      <c r="Y423">
        <v>0</v>
      </c>
      <c r="Z423">
        <v>3</v>
      </c>
      <c r="AA423">
        <v>19</v>
      </c>
      <c r="AB423">
        <v>3</v>
      </c>
      <c r="AC423">
        <v>8</v>
      </c>
      <c r="AD423">
        <v>1</v>
      </c>
      <c r="AE423">
        <v>0</v>
      </c>
      <c r="AF423">
        <v>9</v>
      </c>
      <c r="AG423">
        <v>1</v>
      </c>
      <c r="AH423">
        <v>4</v>
      </c>
      <c r="AI423">
        <v>3</v>
      </c>
      <c r="AJ423">
        <v>2</v>
      </c>
      <c r="AK423">
        <v>1</v>
      </c>
      <c r="AL423">
        <v>1</v>
      </c>
      <c r="AM423">
        <v>1</v>
      </c>
      <c r="AN423">
        <v>4</v>
      </c>
      <c r="AO423">
        <v>0</v>
      </c>
      <c r="AP423">
        <v>0</v>
      </c>
      <c r="AQ423">
        <v>0</v>
      </c>
      <c r="AR423">
        <v>3</v>
      </c>
      <c r="AS423">
        <v>5</v>
      </c>
      <c r="AT423">
        <v>2</v>
      </c>
      <c r="AU423">
        <v>2</v>
      </c>
      <c r="AV423">
        <v>0</v>
      </c>
      <c r="AW423">
        <v>4</v>
      </c>
      <c r="AX423">
        <v>0</v>
      </c>
      <c r="AY423">
        <v>0</v>
      </c>
      <c r="AZ423">
        <v>1</v>
      </c>
      <c r="BA423">
        <v>1</v>
      </c>
      <c r="BB423">
        <v>1</v>
      </c>
      <c r="BC423">
        <v>4</v>
      </c>
      <c r="BD423">
        <v>0</v>
      </c>
      <c r="BE423">
        <v>0</v>
      </c>
      <c r="BF423">
        <v>1</v>
      </c>
      <c r="BG423">
        <v>4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2</v>
      </c>
      <c r="BO423">
        <v>0</v>
      </c>
      <c r="BP423">
        <v>1</v>
      </c>
      <c r="BQ423">
        <v>0</v>
      </c>
      <c r="BR423">
        <v>0</v>
      </c>
      <c r="BS423">
        <v>3</v>
      </c>
      <c r="BT423">
        <v>0</v>
      </c>
      <c r="BU423">
        <v>1</v>
      </c>
      <c r="BV423">
        <v>1</v>
      </c>
      <c r="BW423">
        <v>0</v>
      </c>
      <c r="BX423">
        <v>0</v>
      </c>
      <c r="BY423">
        <v>2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1</v>
      </c>
      <c r="CF423">
        <v>0</v>
      </c>
      <c r="CG423">
        <v>0</v>
      </c>
      <c r="CH423">
        <v>1</v>
      </c>
      <c r="CI423">
        <v>0</v>
      </c>
      <c r="CJ423">
        <v>0</v>
      </c>
      <c r="CK423">
        <v>1</v>
      </c>
      <c r="CL423">
        <v>0</v>
      </c>
      <c r="CM423">
        <v>0</v>
      </c>
      <c r="CN423">
        <v>0</v>
      </c>
      <c r="CO423">
        <v>0</v>
      </c>
      <c r="CP423">
        <v>1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1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1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1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1</v>
      </c>
    </row>
    <row r="424" spans="1:201" x14ac:dyDescent="0.3">
      <c r="A424" t="s">
        <v>322</v>
      </c>
      <c r="B424" t="s">
        <v>329</v>
      </c>
      <c r="C424" t="s">
        <v>204</v>
      </c>
      <c r="D424" s="1">
        <v>6791</v>
      </c>
      <c r="E424">
        <v>342</v>
      </c>
      <c r="F424" s="1">
        <v>3701</v>
      </c>
      <c r="G424" s="1">
        <v>1772</v>
      </c>
      <c r="H424">
        <v>26</v>
      </c>
      <c r="I424">
        <v>24</v>
      </c>
      <c r="J424">
        <v>35</v>
      </c>
      <c r="K424">
        <v>23</v>
      </c>
      <c r="L424">
        <v>38</v>
      </c>
      <c r="M424">
        <v>75</v>
      </c>
      <c r="N424">
        <v>56</v>
      </c>
      <c r="O424">
        <v>160</v>
      </c>
      <c r="P424">
        <v>40</v>
      </c>
      <c r="Q424">
        <v>4</v>
      </c>
      <c r="R424">
        <v>3</v>
      </c>
      <c r="S424">
        <v>141</v>
      </c>
      <c r="T424">
        <v>49</v>
      </c>
      <c r="U424">
        <v>12</v>
      </c>
      <c r="V424">
        <v>5</v>
      </c>
      <c r="W424">
        <v>68</v>
      </c>
      <c r="X424">
        <v>7</v>
      </c>
      <c r="Y424">
        <v>2</v>
      </c>
      <c r="Z424">
        <v>12</v>
      </c>
      <c r="AA424">
        <v>22</v>
      </c>
      <c r="AB424">
        <v>6</v>
      </c>
      <c r="AC424">
        <v>6</v>
      </c>
      <c r="AD424">
        <v>4</v>
      </c>
      <c r="AE424">
        <v>0</v>
      </c>
      <c r="AF424">
        <v>10</v>
      </c>
      <c r="AG424">
        <v>12</v>
      </c>
      <c r="AH424">
        <v>9</v>
      </c>
      <c r="AI424">
        <v>5</v>
      </c>
      <c r="AJ424">
        <v>0</v>
      </c>
      <c r="AK424">
        <v>1</v>
      </c>
      <c r="AL424">
        <v>9</v>
      </c>
      <c r="AM424">
        <v>17</v>
      </c>
      <c r="AN424">
        <v>1</v>
      </c>
      <c r="AO424">
        <v>0</v>
      </c>
      <c r="AP424">
        <v>1</v>
      </c>
      <c r="AQ424">
        <v>13</v>
      </c>
      <c r="AR424">
        <v>0</v>
      </c>
      <c r="AS424">
        <v>4</v>
      </c>
      <c r="AT424">
        <v>5</v>
      </c>
      <c r="AU424">
        <v>7</v>
      </c>
      <c r="AV424">
        <v>1</v>
      </c>
      <c r="AW424">
        <v>9</v>
      </c>
      <c r="AX424">
        <v>0</v>
      </c>
      <c r="AY424">
        <v>5</v>
      </c>
      <c r="AZ424">
        <v>0</v>
      </c>
      <c r="BA424">
        <v>4</v>
      </c>
      <c r="BB424">
        <v>0</v>
      </c>
      <c r="BC424">
        <v>1</v>
      </c>
      <c r="BD424">
        <v>1</v>
      </c>
      <c r="BE424">
        <v>0</v>
      </c>
      <c r="BF424">
        <v>0</v>
      </c>
      <c r="BG424">
        <v>0</v>
      </c>
      <c r="BH424">
        <v>3</v>
      </c>
      <c r="BI424">
        <v>0</v>
      </c>
      <c r="BJ424">
        <v>0</v>
      </c>
      <c r="BK424">
        <v>0</v>
      </c>
      <c r="BL424">
        <v>2</v>
      </c>
      <c r="BM424">
        <v>1</v>
      </c>
      <c r="BN424">
        <v>2</v>
      </c>
      <c r="BO424">
        <v>1</v>
      </c>
      <c r="BP424">
        <v>0</v>
      </c>
      <c r="BQ424">
        <v>0</v>
      </c>
      <c r="BR424">
        <v>2</v>
      </c>
      <c r="BS424">
        <v>0</v>
      </c>
      <c r="BT424">
        <v>0</v>
      </c>
      <c r="BU424">
        <v>1</v>
      </c>
      <c r="BV424">
        <v>4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1</v>
      </c>
      <c r="CE424">
        <v>1</v>
      </c>
      <c r="CF424">
        <v>1</v>
      </c>
      <c r="CG424">
        <v>2</v>
      </c>
      <c r="CH424">
        <v>0</v>
      </c>
      <c r="CI424">
        <v>2</v>
      </c>
      <c r="CJ424">
        <v>1</v>
      </c>
      <c r="CK424">
        <v>2</v>
      </c>
      <c r="CL424">
        <v>0</v>
      </c>
      <c r="CM424">
        <v>0</v>
      </c>
      <c r="CN424">
        <v>0</v>
      </c>
      <c r="CO424">
        <v>0</v>
      </c>
      <c r="CP424">
        <v>2</v>
      </c>
      <c r="CQ424">
        <v>2</v>
      </c>
      <c r="CR424">
        <v>0</v>
      </c>
      <c r="CS424">
        <v>0</v>
      </c>
      <c r="CT424">
        <v>1</v>
      </c>
      <c r="CU424">
        <v>0</v>
      </c>
      <c r="CV424">
        <v>1</v>
      </c>
      <c r="CW424">
        <v>0</v>
      </c>
      <c r="CX424">
        <v>0</v>
      </c>
      <c r="CY424">
        <v>2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1</v>
      </c>
      <c r="DM424">
        <v>0</v>
      </c>
      <c r="DN424">
        <v>1</v>
      </c>
      <c r="DO424">
        <v>0</v>
      </c>
      <c r="DP424">
        <v>0</v>
      </c>
      <c r="DQ424">
        <v>1</v>
      </c>
      <c r="DR424">
        <v>1</v>
      </c>
      <c r="DS424">
        <v>0</v>
      </c>
      <c r="DT424">
        <v>0</v>
      </c>
      <c r="DU424">
        <v>0</v>
      </c>
      <c r="DV424">
        <v>1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1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1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1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1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</row>
    <row r="425" spans="1:201" x14ac:dyDescent="0.3">
      <c r="A425" t="s">
        <v>322</v>
      </c>
      <c r="B425" t="s">
        <v>330</v>
      </c>
      <c r="C425" t="s">
        <v>200</v>
      </c>
      <c r="D425" s="1">
        <v>5462</v>
      </c>
      <c r="E425" s="1">
        <v>1483</v>
      </c>
      <c r="F425">
        <v>407</v>
      </c>
      <c r="G425">
        <v>711</v>
      </c>
      <c r="H425">
        <v>47</v>
      </c>
      <c r="I425">
        <v>85</v>
      </c>
      <c r="J425">
        <v>62</v>
      </c>
      <c r="K425">
        <v>30</v>
      </c>
      <c r="L425">
        <v>468</v>
      </c>
      <c r="M425">
        <v>96</v>
      </c>
      <c r="N425">
        <v>205</v>
      </c>
      <c r="O425">
        <v>469</v>
      </c>
      <c r="P425">
        <v>173</v>
      </c>
      <c r="Q425">
        <v>3</v>
      </c>
      <c r="R425">
        <v>17</v>
      </c>
      <c r="S425">
        <v>277</v>
      </c>
      <c r="T425">
        <v>108</v>
      </c>
      <c r="U425">
        <v>54</v>
      </c>
      <c r="V425">
        <v>39</v>
      </c>
      <c r="W425">
        <v>96</v>
      </c>
      <c r="X425">
        <v>82</v>
      </c>
      <c r="Y425">
        <v>1</v>
      </c>
      <c r="Z425">
        <v>55</v>
      </c>
      <c r="AA425">
        <v>40</v>
      </c>
      <c r="AB425">
        <v>27</v>
      </c>
      <c r="AC425">
        <v>37</v>
      </c>
      <c r="AD425">
        <v>13</v>
      </c>
      <c r="AE425">
        <v>0</v>
      </c>
      <c r="AF425">
        <v>31</v>
      </c>
      <c r="AG425">
        <v>29</v>
      </c>
      <c r="AH425">
        <v>27</v>
      </c>
      <c r="AI425">
        <v>7</v>
      </c>
      <c r="AJ425">
        <v>1</v>
      </c>
      <c r="AK425">
        <v>11</v>
      </c>
      <c r="AL425">
        <v>7</v>
      </c>
      <c r="AM425">
        <v>18</v>
      </c>
      <c r="AN425">
        <v>12</v>
      </c>
      <c r="AO425">
        <v>3</v>
      </c>
      <c r="AP425">
        <v>0</v>
      </c>
      <c r="AQ425">
        <v>8</v>
      </c>
      <c r="AR425">
        <v>11</v>
      </c>
      <c r="AS425">
        <v>9</v>
      </c>
      <c r="AT425">
        <v>8</v>
      </c>
      <c r="AU425">
        <v>21</v>
      </c>
      <c r="AV425">
        <v>16</v>
      </c>
      <c r="AW425">
        <v>13</v>
      </c>
      <c r="AX425">
        <v>0</v>
      </c>
      <c r="AY425">
        <v>6</v>
      </c>
      <c r="AZ425">
        <v>1</v>
      </c>
      <c r="BA425">
        <v>1</v>
      </c>
      <c r="BB425">
        <v>3</v>
      </c>
      <c r="BC425">
        <v>4</v>
      </c>
      <c r="BD425">
        <v>0</v>
      </c>
      <c r="BE425">
        <v>1</v>
      </c>
      <c r="BF425">
        <v>2</v>
      </c>
      <c r="BG425">
        <v>8</v>
      </c>
      <c r="BH425">
        <v>6</v>
      </c>
      <c r="BI425">
        <v>2</v>
      </c>
      <c r="BJ425">
        <v>0</v>
      </c>
      <c r="BK425">
        <v>0</v>
      </c>
      <c r="BL425">
        <v>2</v>
      </c>
      <c r="BM425">
        <v>10</v>
      </c>
      <c r="BN425">
        <v>5</v>
      </c>
      <c r="BO425">
        <v>2</v>
      </c>
      <c r="BP425">
        <v>2</v>
      </c>
      <c r="BQ425">
        <v>4</v>
      </c>
      <c r="BR425">
        <v>3</v>
      </c>
      <c r="BS425">
        <v>4</v>
      </c>
      <c r="BT425">
        <v>5</v>
      </c>
      <c r="BU425">
        <v>1</v>
      </c>
      <c r="BV425">
        <v>5</v>
      </c>
      <c r="BW425">
        <v>4</v>
      </c>
      <c r="BX425">
        <v>1</v>
      </c>
      <c r="BY425">
        <v>1</v>
      </c>
      <c r="BZ425">
        <v>2</v>
      </c>
      <c r="CA425">
        <v>5</v>
      </c>
      <c r="CB425">
        <v>1</v>
      </c>
      <c r="CC425">
        <v>1</v>
      </c>
      <c r="CD425">
        <v>1</v>
      </c>
      <c r="CE425">
        <v>3</v>
      </c>
      <c r="CF425">
        <v>0</v>
      </c>
      <c r="CG425">
        <v>5</v>
      </c>
      <c r="CH425">
        <v>2</v>
      </c>
      <c r="CI425">
        <v>0</v>
      </c>
      <c r="CJ425">
        <v>7</v>
      </c>
      <c r="CK425">
        <v>0</v>
      </c>
      <c r="CL425">
        <v>2</v>
      </c>
      <c r="CM425">
        <v>2</v>
      </c>
      <c r="CN425">
        <v>0</v>
      </c>
      <c r="CO425">
        <v>0</v>
      </c>
      <c r="CP425">
        <v>2</v>
      </c>
      <c r="CQ425">
        <v>0</v>
      </c>
      <c r="CR425">
        <v>1</v>
      </c>
      <c r="CS425">
        <v>1</v>
      </c>
      <c r="CT425">
        <v>2</v>
      </c>
      <c r="CU425">
        <v>0</v>
      </c>
      <c r="CV425">
        <v>0</v>
      </c>
      <c r="CW425">
        <v>2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1</v>
      </c>
      <c r="DG425">
        <v>1</v>
      </c>
      <c r="DH425">
        <v>0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3</v>
      </c>
      <c r="DP425">
        <v>0</v>
      </c>
      <c r="DQ425">
        <v>0</v>
      </c>
      <c r="DR425">
        <v>2</v>
      </c>
      <c r="DS425">
        <v>0</v>
      </c>
      <c r="DT425">
        <v>1</v>
      </c>
      <c r="DU425">
        <v>2</v>
      </c>
      <c r="DV425">
        <v>0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1</v>
      </c>
      <c r="EJ425">
        <v>0</v>
      </c>
      <c r="EK425">
        <v>0</v>
      </c>
      <c r="EL425">
        <v>0</v>
      </c>
      <c r="EM425">
        <v>0</v>
      </c>
      <c r="EN425">
        <v>1</v>
      </c>
      <c r="EO425">
        <v>0</v>
      </c>
      <c r="EP425">
        <v>1</v>
      </c>
      <c r="EQ425">
        <v>1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1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1</v>
      </c>
    </row>
    <row r="426" spans="1:201" x14ac:dyDescent="0.3">
      <c r="A426" t="s">
        <v>322</v>
      </c>
      <c r="B426" t="s">
        <v>330</v>
      </c>
      <c r="C426" t="s">
        <v>203</v>
      </c>
      <c r="D426" s="1">
        <v>2227</v>
      </c>
      <c r="E426">
        <v>575</v>
      </c>
      <c r="F426">
        <v>188</v>
      </c>
      <c r="G426">
        <v>265</v>
      </c>
      <c r="H426">
        <v>30</v>
      </c>
      <c r="I426">
        <v>48</v>
      </c>
      <c r="J426">
        <v>46</v>
      </c>
      <c r="K426">
        <v>9</v>
      </c>
      <c r="L426">
        <v>164</v>
      </c>
      <c r="M426">
        <v>22</v>
      </c>
      <c r="N426">
        <v>164</v>
      </c>
      <c r="O426">
        <v>187</v>
      </c>
      <c r="P426">
        <v>93</v>
      </c>
      <c r="Q426">
        <v>1</v>
      </c>
      <c r="R426">
        <v>9</v>
      </c>
      <c r="S426">
        <v>18</v>
      </c>
      <c r="T426">
        <v>16</v>
      </c>
      <c r="U426">
        <v>12</v>
      </c>
      <c r="V426">
        <v>14</v>
      </c>
      <c r="W426">
        <v>33</v>
      </c>
      <c r="X426">
        <v>46</v>
      </c>
      <c r="Y426">
        <v>0</v>
      </c>
      <c r="Z426">
        <v>23</v>
      </c>
      <c r="AA426">
        <v>27</v>
      </c>
      <c r="AB426">
        <v>17</v>
      </c>
      <c r="AC426">
        <v>21</v>
      </c>
      <c r="AD426">
        <v>8</v>
      </c>
      <c r="AE426">
        <v>0</v>
      </c>
      <c r="AF426">
        <v>18</v>
      </c>
      <c r="AG426">
        <v>10</v>
      </c>
      <c r="AH426">
        <v>14</v>
      </c>
      <c r="AI426">
        <v>3</v>
      </c>
      <c r="AJ426">
        <v>0</v>
      </c>
      <c r="AK426">
        <v>8</v>
      </c>
      <c r="AL426">
        <v>0</v>
      </c>
      <c r="AM426">
        <v>4</v>
      </c>
      <c r="AN426">
        <v>8</v>
      </c>
      <c r="AO426">
        <v>1</v>
      </c>
      <c r="AP426">
        <v>0</v>
      </c>
      <c r="AQ426">
        <v>0</v>
      </c>
      <c r="AR426">
        <v>5</v>
      </c>
      <c r="AS426">
        <v>2</v>
      </c>
      <c r="AT426">
        <v>6</v>
      </c>
      <c r="AU426">
        <v>7</v>
      </c>
      <c r="AV426">
        <v>15</v>
      </c>
      <c r="AW426">
        <v>6</v>
      </c>
      <c r="AX426">
        <v>0</v>
      </c>
      <c r="AY426">
        <v>2</v>
      </c>
      <c r="AZ426">
        <v>1</v>
      </c>
      <c r="BA426">
        <v>0</v>
      </c>
      <c r="BB426">
        <v>2</v>
      </c>
      <c r="BC426">
        <v>2</v>
      </c>
      <c r="BD426">
        <v>0</v>
      </c>
      <c r="BE426">
        <v>1</v>
      </c>
      <c r="BF426">
        <v>0</v>
      </c>
      <c r="BG426">
        <v>7</v>
      </c>
      <c r="BH426">
        <v>1</v>
      </c>
      <c r="BI426">
        <v>1</v>
      </c>
      <c r="BJ426">
        <v>0</v>
      </c>
      <c r="BK426">
        <v>0</v>
      </c>
      <c r="BL426">
        <v>1</v>
      </c>
      <c r="BM426">
        <v>9</v>
      </c>
      <c r="BN426">
        <v>3</v>
      </c>
      <c r="BO426">
        <v>2</v>
      </c>
      <c r="BP426">
        <v>1</v>
      </c>
      <c r="BQ426">
        <v>2</v>
      </c>
      <c r="BR426">
        <v>3</v>
      </c>
      <c r="BS426">
        <v>3</v>
      </c>
      <c r="BT426">
        <v>3</v>
      </c>
      <c r="BU426">
        <v>1</v>
      </c>
      <c r="BV426">
        <v>2</v>
      </c>
      <c r="BW426">
        <v>2</v>
      </c>
      <c r="BX426">
        <v>0</v>
      </c>
      <c r="BY426">
        <v>0</v>
      </c>
      <c r="BZ426">
        <v>2</v>
      </c>
      <c r="CA426">
        <v>3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</v>
      </c>
      <c r="CH426">
        <v>1</v>
      </c>
      <c r="CI426">
        <v>0</v>
      </c>
      <c r="CJ426">
        <v>6</v>
      </c>
      <c r="CK426">
        <v>0</v>
      </c>
      <c r="CL426">
        <v>2</v>
      </c>
      <c r="CM426">
        <v>2</v>
      </c>
      <c r="CN426">
        <v>0</v>
      </c>
      <c r="CO426">
        <v>0</v>
      </c>
      <c r="CP426">
        <v>2</v>
      </c>
      <c r="CQ426">
        <v>0</v>
      </c>
      <c r="CR426">
        <v>1</v>
      </c>
      <c r="CS426">
        <v>0</v>
      </c>
      <c r="CT426">
        <v>1</v>
      </c>
      <c r="CU426">
        <v>0</v>
      </c>
      <c r="CV426">
        <v>0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1</v>
      </c>
      <c r="DM426">
        <v>1</v>
      </c>
      <c r="DN426">
        <v>0</v>
      </c>
      <c r="DO426">
        <v>3</v>
      </c>
      <c r="DP426">
        <v>0</v>
      </c>
      <c r="DQ426">
        <v>0</v>
      </c>
      <c r="DR426">
        <v>1</v>
      </c>
      <c r="DS426">
        <v>0</v>
      </c>
      <c r="DT426">
        <v>0</v>
      </c>
      <c r="DU426">
        <v>2</v>
      </c>
      <c r="DV426">
        <v>0</v>
      </c>
      <c r="DW426">
        <v>0</v>
      </c>
      <c r="DX426">
        <v>1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1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1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1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1</v>
      </c>
    </row>
    <row r="427" spans="1:201" x14ac:dyDescent="0.3">
      <c r="A427" t="s">
        <v>322</v>
      </c>
      <c r="B427" t="s">
        <v>330</v>
      </c>
      <c r="C427" t="s">
        <v>204</v>
      </c>
      <c r="D427" s="1">
        <v>3235</v>
      </c>
      <c r="E427">
        <v>908</v>
      </c>
      <c r="F427">
        <v>219</v>
      </c>
      <c r="G427">
        <v>446</v>
      </c>
      <c r="H427">
        <v>17</v>
      </c>
      <c r="I427">
        <v>37</v>
      </c>
      <c r="J427">
        <v>16</v>
      </c>
      <c r="K427">
        <v>21</v>
      </c>
      <c r="L427">
        <v>304</v>
      </c>
      <c r="M427">
        <v>74</v>
      </c>
      <c r="N427">
        <v>41</v>
      </c>
      <c r="O427">
        <v>282</v>
      </c>
      <c r="P427">
        <v>80</v>
      </c>
      <c r="Q427">
        <v>2</v>
      </c>
      <c r="R427">
        <v>8</v>
      </c>
      <c r="S427">
        <v>259</v>
      </c>
      <c r="T427">
        <v>92</v>
      </c>
      <c r="U427">
        <v>42</v>
      </c>
      <c r="V427">
        <v>25</v>
      </c>
      <c r="W427">
        <v>63</v>
      </c>
      <c r="X427">
        <v>36</v>
      </c>
      <c r="Y427">
        <v>1</v>
      </c>
      <c r="Z427">
        <v>32</v>
      </c>
      <c r="AA427">
        <v>13</v>
      </c>
      <c r="AB427">
        <v>10</v>
      </c>
      <c r="AC427">
        <v>16</v>
      </c>
      <c r="AD427">
        <v>5</v>
      </c>
      <c r="AE427">
        <v>0</v>
      </c>
      <c r="AF427">
        <v>13</v>
      </c>
      <c r="AG427">
        <v>19</v>
      </c>
      <c r="AH427">
        <v>13</v>
      </c>
      <c r="AI427">
        <v>4</v>
      </c>
      <c r="AJ427">
        <v>1</v>
      </c>
      <c r="AK427">
        <v>3</v>
      </c>
      <c r="AL427">
        <v>7</v>
      </c>
      <c r="AM427">
        <v>14</v>
      </c>
      <c r="AN427">
        <v>4</v>
      </c>
      <c r="AO427">
        <v>2</v>
      </c>
      <c r="AP427">
        <v>0</v>
      </c>
      <c r="AQ427">
        <v>8</v>
      </c>
      <c r="AR427">
        <v>6</v>
      </c>
      <c r="AS427">
        <v>7</v>
      </c>
      <c r="AT427">
        <v>2</v>
      </c>
      <c r="AU427">
        <v>14</v>
      </c>
      <c r="AV427">
        <v>1</v>
      </c>
      <c r="AW427">
        <v>7</v>
      </c>
      <c r="AX427">
        <v>0</v>
      </c>
      <c r="AY427">
        <v>4</v>
      </c>
      <c r="AZ427">
        <v>0</v>
      </c>
      <c r="BA427">
        <v>1</v>
      </c>
      <c r="BB427">
        <v>1</v>
      </c>
      <c r="BC427">
        <v>2</v>
      </c>
      <c r="BD427">
        <v>0</v>
      </c>
      <c r="BE427">
        <v>0</v>
      </c>
      <c r="BF427">
        <v>2</v>
      </c>
      <c r="BG427">
        <v>1</v>
      </c>
      <c r="BH427">
        <v>5</v>
      </c>
      <c r="BI427">
        <v>1</v>
      </c>
      <c r="BJ427">
        <v>0</v>
      </c>
      <c r="BK427">
        <v>0</v>
      </c>
      <c r="BL427">
        <v>1</v>
      </c>
      <c r="BM427">
        <v>1</v>
      </c>
      <c r="BN427">
        <v>2</v>
      </c>
      <c r="BO427">
        <v>0</v>
      </c>
      <c r="BP427">
        <v>1</v>
      </c>
      <c r="BQ427">
        <v>2</v>
      </c>
      <c r="BR427">
        <v>0</v>
      </c>
      <c r="BS427">
        <v>1</v>
      </c>
      <c r="BT427">
        <v>2</v>
      </c>
      <c r="BU427">
        <v>0</v>
      </c>
      <c r="BV427">
        <v>3</v>
      </c>
      <c r="BW427">
        <v>2</v>
      </c>
      <c r="BX427">
        <v>1</v>
      </c>
      <c r="BY427">
        <v>1</v>
      </c>
      <c r="BZ427">
        <v>0</v>
      </c>
      <c r="CA427">
        <v>2</v>
      </c>
      <c r="CB427">
        <v>1</v>
      </c>
      <c r="CC427">
        <v>1</v>
      </c>
      <c r="CD427">
        <v>1</v>
      </c>
      <c r="CE427">
        <v>3</v>
      </c>
      <c r="CF427">
        <v>0</v>
      </c>
      <c r="CG427">
        <v>4</v>
      </c>
      <c r="CH427">
        <v>1</v>
      </c>
      <c r="CI427">
        <v>0</v>
      </c>
      <c r="CJ427">
        <v>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1</v>
      </c>
      <c r="CU427">
        <v>0</v>
      </c>
      <c r="CV427">
        <v>0</v>
      </c>
      <c r="CW427">
        <v>1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1</v>
      </c>
      <c r="DG427">
        <v>1</v>
      </c>
      <c r="DH427">
        <v>0</v>
      </c>
      <c r="DI427">
        <v>1</v>
      </c>
      <c r="DJ427">
        <v>1</v>
      </c>
      <c r="DK427">
        <v>1</v>
      </c>
      <c r="DL427">
        <v>0</v>
      </c>
      <c r="DM427">
        <v>0</v>
      </c>
      <c r="DN427">
        <v>1</v>
      </c>
      <c r="DO427">
        <v>0</v>
      </c>
      <c r="DP427">
        <v>0</v>
      </c>
      <c r="DQ427">
        <v>0</v>
      </c>
      <c r="DR427">
        <v>1</v>
      </c>
      <c r="DS427">
        <v>0</v>
      </c>
      <c r="DT427">
        <v>1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1</v>
      </c>
      <c r="EO427">
        <v>0</v>
      </c>
      <c r="EP427">
        <v>0</v>
      </c>
      <c r="EQ427">
        <v>1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</row>
    <row r="428" spans="1:201" x14ac:dyDescent="0.3">
      <c r="A428" t="s">
        <v>322</v>
      </c>
      <c r="B428" t="s">
        <v>331</v>
      </c>
      <c r="C428" t="s">
        <v>200</v>
      </c>
      <c r="D428" s="1">
        <v>3152</v>
      </c>
      <c r="E428">
        <v>573</v>
      </c>
      <c r="F428">
        <v>350</v>
      </c>
      <c r="G428">
        <v>413</v>
      </c>
      <c r="H428">
        <v>83</v>
      </c>
      <c r="I428">
        <v>65</v>
      </c>
      <c r="J428">
        <v>52</v>
      </c>
      <c r="K428">
        <v>16</v>
      </c>
      <c r="L428">
        <v>187</v>
      </c>
      <c r="M428">
        <v>164</v>
      </c>
      <c r="N428">
        <v>56</v>
      </c>
      <c r="O428">
        <v>442</v>
      </c>
      <c r="P428">
        <v>91</v>
      </c>
      <c r="Q428">
        <v>8</v>
      </c>
      <c r="R428">
        <v>11</v>
      </c>
      <c r="S428">
        <v>154</v>
      </c>
      <c r="T428">
        <v>55</v>
      </c>
      <c r="U428">
        <v>20</v>
      </c>
      <c r="V428">
        <v>64</v>
      </c>
      <c r="W428">
        <v>64</v>
      </c>
      <c r="X428">
        <v>9</v>
      </c>
      <c r="Y428">
        <v>15</v>
      </c>
      <c r="Z428">
        <v>7</v>
      </c>
      <c r="AA428">
        <v>27</v>
      </c>
      <c r="AB428">
        <v>3</v>
      </c>
      <c r="AC428">
        <v>25</v>
      </c>
      <c r="AD428">
        <v>15</v>
      </c>
      <c r="AE428">
        <v>1</v>
      </c>
      <c r="AF428">
        <v>19</v>
      </c>
      <c r="AG428">
        <v>13</v>
      </c>
      <c r="AH428">
        <v>12</v>
      </c>
      <c r="AI428">
        <v>1</v>
      </c>
      <c r="AJ428">
        <v>1</v>
      </c>
      <c r="AK428">
        <v>6</v>
      </c>
      <c r="AL428">
        <v>4</v>
      </c>
      <c r="AM428">
        <v>9</v>
      </c>
      <c r="AN428">
        <v>2</v>
      </c>
      <c r="AO428">
        <v>10</v>
      </c>
      <c r="AP428">
        <v>0</v>
      </c>
      <c r="AQ428">
        <v>6</v>
      </c>
      <c r="AR428">
        <v>0</v>
      </c>
      <c r="AS428">
        <v>7</v>
      </c>
      <c r="AT428">
        <v>11</v>
      </c>
      <c r="AU428">
        <v>11</v>
      </c>
      <c r="AV428">
        <v>0</v>
      </c>
      <c r="AW428">
        <v>6</v>
      </c>
      <c r="AX428">
        <v>0</v>
      </c>
      <c r="AY428">
        <v>3</v>
      </c>
      <c r="AZ428">
        <v>0</v>
      </c>
      <c r="BA428">
        <v>1</v>
      </c>
      <c r="BB428">
        <v>0</v>
      </c>
      <c r="BC428">
        <v>3</v>
      </c>
      <c r="BD428">
        <v>0</v>
      </c>
      <c r="BE428">
        <v>1</v>
      </c>
      <c r="BF428">
        <v>0</v>
      </c>
      <c r="BG428">
        <v>4</v>
      </c>
      <c r="BH428">
        <v>0</v>
      </c>
      <c r="BI428">
        <v>0</v>
      </c>
      <c r="BJ428">
        <v>1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1</v>
      </c>
      <c r="BQ428">
        <v>1</v>
      </c>
      <c r="BR428">
        <v>1</v>
      </c>
      <c r="BS428">
        <v>3</v>
      </c>
      <c r="BT428">
        <v>0</v>
      </c>
      <c r="BU428">
        <v>3</v>
      </c>
      <c r="BV428">
        <v>1</v>
      </c>
      <c r="BW428">
        <v>0</v>
      </c>
      <c r="BX428">
        <v>1</v>
      </c>
      <c r="BY428">
        <v>1</v>
      </c>
      <c r="BZ428">
        <v>0</v>
      </c>
      <c r="CA428">
        <v>1</v>
      </c>
      <c r="CB428">
        <v>0</v>
      </c>
      <c r="CC428">
        <v>3</v>
      </c>
      <c r="CD428">
        <v>1</v>
      </c>
      <c r="CE428">
        <v>0</v>
      </c>
      <c r="CF428">
        <v>0</v>
      </c>
      <c r="CG428">
        <v>2</v>
      </c>
      <c r="CH428">
        <v>1</v>
      </c>
      <c r="CI428">
        <v>2</v>
      </c>
      <c r="CJ428">
        <v>0</v>
      </c>
      <c r="CK428">
        <v>1</v>
      </c>
      <c r="CL428">
        <v>0</v>
      </c>
      <c r="CM428">
        <v>1</v>
      </c>
      <c r="CN428">
        <v>0</v>
      </c>
      <c r="CO428">
        <v>9</v>
      </c>
      <c r="CP428">
        <v>1</v>
      </c>
      <c r="CQ428">
        <v>0</v>
      </c>
      <c r="CR428">
        <v>0</v>
      </c>
      <c r="CS428">
        <v>1</v>
      </c>
      <c r="CT428">
        <v>0</v>
      </c>
      <c r="CU428">
        <v>1</v>
      </c>
      <c r="CV428">
        <v>1</v>
      </c>
      <c r="CW428">
        <v>0</v>
      </c>
      <c r="CX428">
        <v>0</v>
      </c>
      <c r="CY428">
        <v>1</v>
      </c>
      <c r="CZ428">
        <v>0</v>
      </c>
      <c r="DA428">
        <v>1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</v>
      </c>
      <c r="DJ428">
        <v>0</v>
      </c>
      <c r="DK428">
        <v>0</v>
      </c>
      <c r="DL428">
        <v>1</v>
      </c>
      <c r="DM428">
        <v>0</v>
      </c>
      <c r="DN428">
        <v>0</v>
      </c>
      <c r="DO428">
        <v>0</v>
      </c>
      <c r="DP428">
        <v>2</v>
      </c>
      <c r="DQ428">
        <v>0</v>
      </c>
      <c r="DR428">
        <v>1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1</v>
      </c>
      <c r="DY428">
        <v>0</v>
      </c>
      <c r="DZ428">
        <v>2</v>
      </c>
      <c r="EA428">
        <v>0</v>
      </c>
      <c r="EB428">
        <v>1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1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</row>
    <row r="429" spans="1:201" x14ac:dyDescent="0.3">
      <c r="A429" t="s">
        <v>322</v>
      </c>
      <c r="B429" t="s">
        <v>331</v>
      </c>
      <c r="C429" t="s">
        <v>203</v>
      </c>
      <c r="D429" s="1">
        <v>1120</v>
      </c>
      <c r="E429">
        <v>164</v>
      </c>
      <c r="F429">
        <v>166</v>
      </c>
      <c r="G429">
        <v>112</v>
      </c>
      <c r="H429">
        <v>39</v>
      </c>
      <c r="I429">
        <v>19</v>
      </c>
      <c r="J429">
        <v>27</v>
      </c>
      <c r="K429">
        <v>4</v>
      </c>
      <c r="L429">
        <v>67</v>
      </c>
      <c r="M429">
        <v>51</v>
      </c>
      <c r="N429">
        <v>17</v>
      </c>
      <c r="O429">
        <v>181</v>
      </c>
      <c r="P429">
        <v>49</v>
      </c>
      <c r="Q429">
        <v>1</v>
      </c>
      <c r="R429">
        <v>7</v>
      </c>
      <c r="S429">
        <v>19</v>
      </c>
      <c r="T429">
        <v>10</v>
      </c>
      <c r="U429">
        <v>3</v>
      </c>
      <c r="V429">
        <v>44</v>
      </c>
      <c r="W429">
        <v>17</v>
      </c>
      <c r="X429">
        <v>2</v>
      </c>
      <c r="Y429">
        <v>11</v>
      </c>
      <c r="Z429">
        <v>1</v>
      </c>
      <c r="AA429">
        <v>11</v>
      </c>
      <c r="AB429">
        <v>0</v>
      </c>
      <c r="AC429">
        <v>15</v>
      </c>
      <c r="AD429">
        <v>3</v>
      </c>
      <c r="AE429">
        <v>1</v>
      </c>
      <c r="AF429">
        <v>14</v>
      </c>
      <c r="AG429">
        <v>3</v>
      </c>
      <c r="AH429">
        <v>5</v>
      </c>
      <c r="AI429">
        <v>0</v>
      </c>
      <c r="AJ429">
        <v>1</v>
      </c>
      <c r="AK429">
        <v>5</v>
      </c>
      <c r="AL429">
        <v>1</v>
      </c>
      <c r="AM429">
        <v>1</v>
      </c>
      <c r="AN429">
        <v>0</v>
      </c>
      <c r="AO429">
        <v>6</v>
      </c>
      <c r="AP429">
        <v>0</v>
      </c>
      <c r="AQ429">
        <v>5</v>
      </c>
      <c r="AR429">
        <v>0</v>
      </c>
      <c r="AS429">
        <v>3</v>
      </c>
      <c r="AT429">
        <v>3</v>
      </c>
      <c r="AU429">
        <v>6</v>
      </c>
      <c r="AV429">
        <v>0</v>
      </c>
      <c r="AW429">
        <v>4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1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1</v>
      </c>
      <c r="BM429">
        <v>0</v>
      </c>
      <c r="BN429">
        <v>0</v>
      </c>
      <c r="BO429">
        <v>0</v>
      </c>
      <c r="BP429">
        <v>1</v>
      </c>
      <c r="BQ429">
        <v>0</v>
      </c>
      <c r="BR429">
        <v>0</v>
      </c>
      <c r="BS429">
        <v>1</v>
      </c>
      <c r="BT429">
        <v>0</v>
      </c>
      <c r="BU429">
        <v>1</v>
      </c>
      <c r="BV429">
        <v>1</v>
      </c>
      <c r="BW429">
        <v>0</v>
      </c>
      <c r="BX429">
        <v>1</v>
      </c>
      <c r="BY429">
        <v>1</v>
      </c>
      <c r="BZ429">
        <v>0</v>
      </c>
      <c r="CA429">
        <v>0</v>
      </c>
      <c r="CB429">
        <v>0</v>
      </c>
      <c r="CC429">
        <v>1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0</v>
      </c>
      <c r="CJ429">
        <v>0</v>
      </c>
      <c r="CK429">
        <v>0</v>
      </c>
      <c r="CL429">
        <v>0</v>
      </c>
      <c r="CM429">
        <v>1</v>
      </c>
      <c r="CN429">
        <v>0</v>
      </c>
      <c r="CO429">
        <v>4</v>
      </c>
      <c r="CP429">
        <v>1</v>
      </c>
      <c r="CQ429">
        <v>0</v>
      </c>
      <c r="CR429">
        <v>0</v>
      </c>
      <c r="CS429">
        <v>1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1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1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</row>
    <row r="430" spans="1:201" x14ac:dyDescent="0.3">
      <c r="A430" t="s">
        <v>322</v>
      </c>
      <c r="B430" t="s">
        <v>331</v>
      </c>
      <c r="C430" t="s">
        <v>204</v>
      </c>
      <c r="D430" s="1">
        <v>2032</v>
      </c>
      <c r="E430">
        <v>409</v>
      </c>
      <c r="F430">
        <v>184</v>
      </c>
      <c r="G430">
        <v>301</v>
      </c>
      <c r="H430">
        <v>44</v>
      </c>
      <c r="I430">
        <v>46</v>
      </c>
      <c r="J430">
        <v>25</v>
      </c>
      <c r="K430">
        <v>12</v>
      </c>
      <c r="L430">
        <v>120</v>
      </c>
      <c r="M430">
        <v>113</v>
      </c>
      <c r="N430">
        <v>39</v>
      </c>
      <c r="O430">
        <v>261</v>
      </c>
      <c r="P430">
        <v>42</v>
      </c>
      <c r="Q430">
        <v>7</v>
      </c>
      <c r="R430">
        <v>4</v>
      </c>
      <c r="S430">
        <v>135</v>
      </c>
      <c r="T430">
        <v>45</v>
      </c>
      <c r="U430">
        <v>17</v>
      </c>
      <c r="V430">
        <v>20</v>
      </c>
      <c r="W430">
        <v>47</v>
      </c>
      <c r="X430">
        <v>7</v>
      </c>
      <c r="Y430">
        <v>4</v>
      </c>
      <c r="Z430">
        <v>6</v>
      </c>
      <c r="AA430">
        <v>16</v>
      </c>
      <c r="AB430">
        <v>3</v>
      </c>
      <c r="AC430">
        <v>10</v>
      </c>
      <c r="AD430">
        <v>12</v>
      </c>
      <c r="AE430">
        <v>0</v>
      </c>
      <c r="AF430">
        <v>5</v>
      </c>
      <c r="AG430">
        <v>10</v>
      </c>
      <c r="AH430">
        <v>7</v>
      </c>
      <c r="AI430">
        <v>1</v>
      </c>
      <c r="AJ430">
        <v>0</v>
      </c>
      <c r="AK430">
        <v>1</v>
      </c>
      <c r="AL430">
        <v>3</v>
      </c>
      <c r="AM430">
        <v>8</v>
      </c>
      <c r="AN430">
        <v>2</v>
      </c>
      <c r="AO430">
        <v>4</v>
      </c>
      <c r="AP430">
        <v>0</v>
      </c>
      <c r="AQ430">
        <v>1</v>
      </c>
      <c r="AR430">
        <v>0</v>
      </c>
      <c r="AS430">
        <v>4</v>
      </c>
      <c r="AT430">
        <v>8</v>
      </c>
      <c r="AU430">
        <v>5</v>
      </c>
      <c r="AV430">
        <v>0</v>
      </c>
      <c r="AW430">
        <v>2</v>
      </c>
      <c r="AX430">
        <v>0</v>
      </c>
      <c r="AY430">
        <v>3</v>
      </c>
      <c r="AZ430">
        <v>0</v>
      </c>
      <c r="BA430">
        <v>0</v>
      </c>
      <c r="BB430">
        <v>0</v>
      </c>
      <c r="BC430">
        <v>2</v>
      </c>
      <c r="BD430">
        <v>0</v>
      </c>
      <c r="BE430">
        <v>0</v>
      </c>
      <c r="BF430">
        <v>0</v>
      </c>
      <c r="BG430">
        <v>4</v>
      </c>
      <c r="BH430">
        <v>0</v>
      </c>
      <c r="BI430">
        <v>0</v>
      </c>
      <c r="BJ430">
        <v>1</v>
      </c>
      <c r="BK430">
        <v>0</v>
      </c>
      <c r="BL430">
        <v>0</v>
      </c>
      <c r="BM430">
        <v>0</v>
      </c>
      <c r="BN430">
        <v>1</v>
      </c>
      <c r="BO430">
        <v>0</v>
      </c>
      <c r="BP430">
        <v>0</v>
      </c>
      <c r="BQ430">
        <v>1</v>
      </c>
      <c r="BR430">
        <v>1</v>
      </c>
      <c r="BS430">
        <v>2</v>
      </c>
      <c r="BT430">
        <v>0</v>
      </c>
      <c r="BU430">
        <v>2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0</v>
      </c>
      <c r="CC430">
        <v>2</v>
      </c>
      <c r="CD430">
        <v>1</v>
      </c>
      <c r="CE430">
        <v>0</v>
      </c>
      <c r="CF430">
        <v>0</v>
      </c>
      <c r="CG430">
        <v>2</v>
      </c>
      <c r="CH430">
        <v>0</v>
      </c>
      <c r="CI430">
        <v>2</v>
      </c>
      <c r="CJ430">
        <v>0</v>
      </c>
      <c r="CK430">
        <v>1</v>
      </c>
      <c r="CL430">
        <v>0</v>
      </c>
      <c r="CM430">
        <v>0</v>
      </c>
      <c r="CN430">
        <v>0</v>
      </c>
      <c r="CO430">
        <v>5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1</v>
      </c>
      <c r="CV430">
        <v>1</v>
      </c>
      <c r="CW430">
        <v>0</v>
      </c>
      <c r="CX430">
        <v>0</v>
      </c>
      <c r="CY430">
        <v>1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2</v>
      </c>
      <c r="DQ430">
        <v>0</v>
      </c>
      <c r="DR430">
        <v>1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2</v>
      </c>
      <c r="EA430">
        <v>0</v>
      </c>
      <c r="EB430">
        <v>1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1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</row>
    <row r="431" spans="1:201" x14ac:dyDescent="0.3">
      <c r="A431" t="s">
        <v>322</v>
      </c>
      <c r="B431" t="s">
        <v>332</v>
      </c>
      <c r="C431" t="s">
        <v>200</v>
      </c>
      <c r="D431" s="1">
        <v>20682</v>
      </c>
      <c r="E431" s="1">
        <v>3837</v>
      </c>
      <c r="F431" s="1">
        <v>1411</v>
      </c>
      <c r="G431" s="1">
        <v>8005</v>
      </c>
      <c r="H431" s="1">
        <v>1103</v>
      </c>
      <c r="I431">
        <v>476</v>
      </c>
      <c r="J431">
        <v>49</v>
      </c>
      <c r="K431">
        <v>116</v>
      </c>
      <c r="L431">
        <v>318</v>
      </c>
      <c r="M431">
        <v>191</v>
      </c>
      <c r="N431">
        <v>175</v>
      </c>
      <c r="O431">
        <v>677</v>
      </c>
      <c r="P431">
        <v>288</v>
      </c>
      <c r="Q431">
        <v>20</v>
      </c>
      <c r="R431">
        <v>91</v>
      </c>
      <c r="S431">
        <v>817</v>
      </c>
      <c r="T431">
        <v>208</v>
      </c>
      <c r="U431">
        <v>113</v>
      </c>
      <c r="V431">
        <v>44</v>
      </c>
      <c r="W431">
        <v>389</v>
      </c>
      <c r="X431">
        <v>182</v>
      </c>
      <c r="Y431">
        <v>16</v>
      </c>
      <c r="Z431">
        <v>66</v>
      </c>
      <c r="AA431">
        <v>174</v>
      </c>
      <c r="AB431">
        <v>169</v>
      </c>
      <c r="AC431">
        <v>93</v>
      </c>
      <c r="AD431">
        <v>30</v>
      </c>
      <c r="AE431">
        <v>0</v>
      </c>
      <c r="AF431">
        <v>69</v>
      </c>
      <c r="AG431">
        <v>66</v>
      </c>
      <c r="AH431">
        <v>167</v>
      </c>
      <c r="AI431">
        <v>25</v>
      </c>
      <c r="AJ431">
        <v>9</v>
      </c>
      <c r="AK431">
        <v>6</v>
      </c>
      <c r="AL431">
        <v>20</v>
      </c>
      <c r="AM431">
        <v>147</v>
      </c>
      <c r="AN431">
        <v>29</v>
      </c>
      <c r="AO431">
        <v>9</v>
      </c>
      <c r="AP431">
        <v>68</v>
      </c>
      <c r="AQ431">
        <v>23</v>
      </c>
      <c r="AR431">
        <v>12</v>
      </c>
      <c r="AS431">
        <v>30</v>
      </c>
      <c r="AT431">
        <v>60</v>
      </c>
      <c r="AU431">
        <v>60</v>
      </c>
      <c r="AV431">
        <v>13</v>
      </c>
      <c r="AW431">
        <v>49</v>
      </c>
      <c r="AX431">
        <v>1</v>
      </c>
      <c r="AY431">
        <v>44</v>
      </c>
      <c r="AZ431">
        <v>1</v>
      </c>
      <c r="BA431">
        <v>38</v>
      </c>
      <c r="BB431">
        <v>69</v>
      </c>
      <c r="BC431">
        <v>40</v>
      </c>
      <c r="BD431">
        <v>17</v>
      </c>
      <c r="BE431">
        <v>2</v>
      </c>
      <c r="BF431">
        <v>10</v>
      </c>
      <c r="BG431">
        <v>6</v>
      </c>
      <c r="BH431">
        <v>26</v>
      </c>
      <c r="BI431">
        <v>3</v>
      </c>
      <c r="BJ431">
        <v>8</v>
      </c>
      <c r="BK431">
        <v>1</v>
      </c>
      <c r="BL431">
        <v>11</v>
      </c>
      <c r="BM431">
        <v>6</v>
      </c>
      <c r="BN431">
        <v>22</v>
      </c>
      <c r="BO431">
        <v>10</v>
      </c>
      <c r="BP431">
        <v>3</v>
      </c>
      <c r="BQ431">
        <v>10</v>
      </c>
      <c r="BR431">
        <v>40</v>
      </c>
      <c r="BS431">
        <v>4</v>
      </c>
      <c r="BT431">
        <v>21</v>
      </c>
      <c r="BU431">
        <v>17</v>
      </c>
      <c r="BV431">
        <v>7</v>
      </c>
      <c r="BW431">
        <v>18</v>
      </c>
      <c r="BX431">
        <v>0</v>
      </c>
      <c r="BY431">
        <v>3</v>
      </c>
      <c r="BZ431">
        <v>16</v>
      </c>
      <c r="CA431">
        <v>25</v>
      </c>
      <c r="CB431">
        <v>4</v>
      </c>
      <c r="CC431">
        <v>10</v>
      </c>
      <c r="CD431">
        <v>6</v>
      </c>
      <c r="CE431">
        <v>9</v>
      </c>
      <c r="CF431">
        <v>17</v>
      </c>
      <c r="CG431">
        <v>13</v>
      </c>
      <c r="CH431">
        <v>1</v>
      </c>
      <c r="CI431">
        <v>13</v>
      </c>
      <c r="CJ431">
        <v>14</v>
      </c>
      <c r="CK431">
        <v>7</v>
      </c>
      <c r="CL431">
        <v>12</v>
      </c>
      <c r="CM431">
        <v>5</v>
      </c>
      <c r="CN431">
        <v>3</v>
      </c>
      <c r="CO431">
        <v>1</v>
      </c>
      <c r="CP431">
        <v>12</v>
      </c>
      <c r="CQ431">
        <v>4</v>
      </c>
      <c r="CR431">
        <v>1</v>
      </c>
      <c r="CS431">
        <v>2</v>
      </c>
      <c r="CT431">
        <v>13</v>
      </c>
      <c r="CU431">
        <v>12</v>
      </c>
      <c r="CV431">
        <v>2</v>
      </c>
      <c r="CW431">
        <v>8</v>
      </c>
      <c r="CX431">
        <v>5</v>
      </c>
      <c r="CY431">
        <v>12</v>
      </c>
      <c r="CZ431">
        <v>7</v>
      </c>
      <c r="DA431">
        <v>1</v>
      </c>
      <c r="DB431">
        <v>7</v>
      </c>
      <c r="DC431">
        <v>0</v>
      </c>
      <c r="DD431">
        <v>1</v>
      </c>
      <c r="DE431">
        <v>0</v>
      </c>
      <c r="DF431">
        <v>2</v>
      </c>
      <c r="DG431">
        <v>6</v>
      </c>
      <c r="DH431">
        <v>1</v>
      </c>
      <c r="DI431">
        <v>2</v>
      </c>
      <c r="DJ431">
        <v>3</v>
      </c>
      <c r="DK431">
        <v>1</v>
      </c>
      <c r="DL431">
        <v>3</v>
      </c>
      <c r="DM431">
        <v>3</v>
      </c>
      <c r="DN431">
        <v>2</v>
      </c>
      <c r="DO431">
        <v>4</v>
      </c>
      <c r="DP431">
        <v>3</v>
      </c>
      <c r="DQ431">
        <v>2</v>
      </c>
      <c r="DR431">
        <v>2</v>
      </c>
      <c r="DS431">
        <v>5</v>
      </c>
      <c r="DT431">
        <v>2</v>
      </c>
      <c r="DU431">
        <v>1</v>
      </c>
      <c r="DV431">
        <v>5</v>
      </c>
      <c r="DW431">
        <v>0</v>
      </c>
      <c r="DX431">
        <v>3</v>
      </c>
      <c r="DY431">
        <v>0</v>
      </c>
      <c r="DZ431">
        <v>3</v>
      </c>
      <c r="EA431">
        <v>1</v>
      </c>
      <c r="EB431">
        <v>2</v>
      </c>
      <c r="EC431">
        <v>1</v>
      </c>
      <c r="ED431">
        <v>2</v>
      </c>
      <c r="EE431">
        <v>2</v>
      </c>
      <c r="EF431">
        <v>2</v>
      </c>
      <c r="EG431">
        <v>2</v>
      </c>
      <c r="EH431">
        <v>0</v>
      </c>
      <c r="EI431">
        <v>0</v>
      </c>
      <c r="EJ431">
        <v>1</v>
      </c>
      <c r="EK431">
        <v>1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2</v>
      </c>
      <c r="ER431">
        <v>1</v>
      </c>
      <c r="ES431">
        <v>1</v>
      </c>
      <c r="ET431">
        <v>0</v>
      </c>
      <c r="EU431">
        <v>0</v>
      </c>
      <c r="EV431">
        <v>0</v>
      </c>
      <c r="EW431">
        <v>1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1</v>
      </c>
      <c r="FD431">
        <v>0</v>
      </c>
      <c r="FE431">
        <v>0</v>
      </c>
      <c r="FF431">
        <v>0</v>
      </c>
      <c r="FG431">
        <v>1</v>
      </c>
      <c r="FH431">
        <v>0</v>
      </c>
      <c r="FI431">
        <v>0</v>
      </c>
      <c r="FJ431">
        <v>0</v>
      </c>
      <c r="FK431">
        <v>0</v>
      </c>
      <c r="FL431">
        <v>1</v>
      </c>
      <c r="FM431">
        <v>0</v>
      </c>
      <c r="FN431">
        <v>2</v>
      </c>
      <c r="FO431">
        <v>0</v>
      </c>
      <c r="FP431">
        <v>0</v>
      </c>
      <c r="FQ431">
        <v>2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1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1</v>
      </c>
    </row>
    <row r="432" spans="1:201" x14ac:dyDescent="0.3">
      <c r="A432" t="s">
        <v>322</v>
      </c>
      <c r="B432" t="s">
        <v>332</v>
      </c>
      <c r="C432" t="s">
        <v>203</v>
      </c>
      <c r="D432" s="1">
        <v>7540</v>
      </c>
      <c r="E432" s="1">
        <v>1606</v>
      </c>
      <c r="F432">
        <v>705</v>
      </c>
      <c r="G432" s="1">
        <v>2515</v>
      </c>
      <c r="H432">
        <v>647</v>
      </c>
      <c r="I432">
        <v>294</v>
      </c>
      <c r="J432">
        <v>30</v>
      </c>
      <c r="K432">
        <v>32</v>
      </c>
      <c r="L432">
        <v>67</v>
      </c>
      <c r="M432">
        <v>58</v>
      </c>
      <c r="N432">
        <v>38</v>
      </c>
      <c r="O432">
        <v>251</v>
      </c>
      <c r="P432">
        <v>128</v>
      </c>
      <c r="Q432">
        <v>10</v>
      </c>
      <c r="R432">
        <v>52</v>
      </c>
      <c r="S432">
        <v>76</v>
      </c>
      <c r="T432">
        <v>38</v>
      </c>
      <c r="U432">
        <v>22</v>
      </c>
      <c r="V432">
        <v>25</v>
      </c>
      <c r="W432">
        <v>92</v>
      </c>
      <c r="X432">
        <v>92</v>
      </c>
      <c r="Y432">
        <v>1</v>
      </c>
      <c r="Z432">
        <v>17</v>
      </c>
      <c r="AA432">
        <v>54</v>
      </c>
      <c r="AB432">
        <v>49</v>
      </c>
      <c r="AC432">
        <v>39</v>
      </c>
      <c r="AD432">
        <v>8</v>
      </c>
      <c r="AE432">
        <v>0</v>
      </c>
      <c r="AF432">
        <v>40</v>
      </c>
      <c r="AG432">
        <v>15</v>
      </c>
      <c r="AH432">
        <v>78</v>
      </c>
      <c r="AI432">
        <v>14</v>
      </c>
      <c r="AJ432">
        <v>4</v>
      </c>
      <c r="AK432">
        <v>6</v>
      </c>
      <c r="AL432">
        <v>1</v>
      </c>
      <c r="AM432">
        <v>24</v>
      </c>
      <c r="AN432">
        <v>13</v>
      </c>
      <c r="AO432">
        <v>3</v>
      </c>
      <c r="AP432">
        <v>43</v>
      </c>
      <c r="AQ432">
        <v>5</v>
      </c>
      <c r="AR432">
        <v>7</v>
      </c>
      <c r="AS432">
        <v>13</v>
      </c>
      <c r="AT432">
        <v>20</v>
      </c>
      <c r="AU432">
        <v>18</v>
      </c>
      <c r="AV432">
        <v>6</v>
      </c>
      <c r="AW432">
        <v>13</v>
      </c>
      <c r="AX432">
        <v>0</v>
      </c>
      <c r="AY432">
        <v>9</v>
      </c>
      <c r="AZ432">
        <v>0</v>
      </c>
      <c r="BA432">
        <v>9</v>
      </c>
      <c r="BB432">
        <v>29</v>
      </c>
      <c r="BC432">
        <v>16</v>
      </c>
      <c r="BD432">
        <v>10</v>
      </c>
      <c r="BE432">
        <v>1</v>
      </c>
      <c r="BF432">
        <v>8</v>
      </c>
      <c r="BG432">
        <v>3</v>
      </c>
      <c r="BH432">
        <v>6</v>
      </c>
      <c r="BI432">
        <v>0</v>
      </c>
      <c r="BJ432">
        <v>2</v>
      </c>
      <c r="BK432">
        <v>1</v>
      </c>
      <c r="BL432">
        <v>5</v>
      </c>
      <c r="BM432">
        <v>6</v>
      </c>
      <c r="BN432">
        <v>4</v>
      </c>
      <c r="BO432">
        <v>2</v>
      </c>
      <c r="BP432">
        <v>3</v>
      </c>
      <c r="BQ432">
        <v>3</v>
      </c>
      <c r="BR432">
        <v>12</v>
      </c>
      <c r="BS432">
        <v>3</v>
      </c>
      <c r="BT432">
        <v>14</v>
      </c>
      <c r="BU432">
        <v>3</v>
      </c>
      <c r="BV432">
        <v>0</v>
      </c>
      <c r="BW432">
        <v>6</v>
      </c>
      <c r="BX432">
        <v>0</v>
      </c>
      <c r="BY432">
        <v>2</v>
      </c>
      <c r="BZ432">
        <v>10</v>
      </c>
      <c r="CA432">
        <v>7</v>
      </c>
      <c r="CB432">
        <v>4</v>
      </c>
      <c r="CC432">
        <v>2</v>
      </c>
      <c r="CD432">
        <v>2</v>
      </c>
      <c r="CE432">
        <v>1</v>
      </c>
      <c r="CF432">
        <v>5</v>
      </c>
      <c r="CG432">
        <v>3</v>
      </c>
      <c r="CH432">
        <v>0</v>
      </c>
      <c r="CI432">
        <v>5</v>
      </c>
      <c r="CJ432">
        <v>8</v>
      </c>
      <c r="CK432">
        <v>5</v>
      </c>
      <c r="CL432">
        <v>4</v>
      </c>
      <c r="CM432">
        <v>3</v>
      </c>
      <c r="CN432">
        <v>1</v>
      </c>
      <c r="CO432">
        <v>1</v>
      </c>
      <c r="CP432">
        <v>3</v>
      </c>
      <c r="CQ432">
        <v>2</v>
      </c>
      <c r="CR432">
        <v>1</v>
      </c>
      <c r="CS432">
        <v>1</v>
      </c>
      <c r="CT432">
        <v>2</v>
      </c>
      <c r="CU432">
        <v>3</v>
      </c>
      <c r="CV432">
        <v>0</v>
      </c>
      <c r="CW432">
        <v>1</v>
      </c>
      <c r="CX432">
        <v>4</v>
      </c>
      <c r="CY432">
        <v>2</v>
      </c>
      <c r="CZ432">
        <v>1</v>
      </c>
      <c r="DA432">
        <v>1</v>
      </c>
      <c r="DB432">
        <v>3</v>
      </c>
      <c r="DC432">
        <v>0</v>
      </c>
      <c r="DD432">
        <v>0</v>
      </c>
      <c r="DE432">
        <v>0</v>
      </c>
      <c r="DF432">
        <v>2</v>
      </c>
      <c r="DG432">
        <v>1</v>
      </c>
      <c r="DH432">
        <v>0</v>
      </c>
      <c r="DI432">
        <v>0</v>
      </c>
      <c r="DJ432">
        <v>1</v>
      </c>
      <c r="DK432">
        <v>0</v>
      </c>
      <c r="DL432">
        <v>1</v>
      </c>
      <c r="DM432">
        <v>0</v>
      </c>
      <c r="DN432">
        <v>1</v>
      </c>
      <c r="DO432">
        <v>2</v>
      </c>
      <c r="DP432">
        <v>1</v>
      </c>
      <c r="DQ432">
        <v>1</v>
      </c>
      <c r="DR432">
        <v>0</v>
      </c>
      <c r="DS432">
        <v>1</v>
      </c>
      <c r="DT432">
        <v>1</v>
      </c>
      <c r="DU432">
        <v>1</v>
      </c>
      <c r="DV432">
        <v>2</v>
      </c>
      <c r="DW432">
        <v>0</v>
      </c>
      <c r="DX432">
        <v>2</v>
      </c>
      <c r="DY432">
        <v>0</v>
      </c>
      <c r="DZ432">
        <v>2</v>
      </c>
      <c r="EA432">
        <v>0</v>
      </c>
      <c r="EB432">
        <v>0</v>
      </c>
      <c r="EC432">
        <v>1</v>
      </c>
      <c r="ED432">
        <v>2</v>
      </c>
      <c r="EE432">
        <v>0</v>
      </c>
      <c r="EF432">
        <v>1</v>
      </c>
      <c r="EG432">
        <v>0</v>
      </c>
      <c r="EH432">
        <v>0</v>
      </c>
      <c r="EI432">
        <v>0</v>
      </c>
      <c r="EJ432">
        <v>1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1</v>
      </c>
      <c r="ES432">
        <v>0</v>
      </c>
      <c r="ET432">
        <v>0</v>
      </c>
      <c r="EU432">
        <v>0</v>
      </c>
      <c r="EV432">
        <v>0</v>
      </c>
      <c r="EW432">
        <v>1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1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1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1</v>
      </c>
    </row>
    <row r="433" spans="1:201" x14ac:dyDescent="0.3">
      <c r="A433" t="s">
        <v>322</v>
      </c>
      <c r="B433" t="s">
        <v>332</v>
      </c>
      <c r="C433" t="s">
        <v>204</v>
      </c>
      <c r="D433" s="1">
        <v>13142</v>
      </c>
      <c r="E433" s="1">
        <v>2231</v>
      </c>
      <c r="F433">
        <v>706</v>
      </c>
      <c r="G433" s="1">
        <v>5490</v>
      </c>
      <c r="H433">
        <v>456</v>
      </c>
      <c r="I433">
        <v>182</v>
      </c>
      <c r="J433">
        <v>19</v>
      </c>
      <c r="K433">
        <v>84</v>
      </c>
      <c r="L433">
        <v>251</v>
      </c>
      <c r="M433">
        <v>133</v>
      </c>
      <c r="N433">
        <v>137</v>
      </c>
      <c r="O433">
        <v>426</v>
      </c>
      <c r="P433">
        <v>160</v>
      </c>
      <c r="Q433">
        <v>10</v>
      </c>
      <c r="R433">
        <v>39</v>
      </c>
      <c r="S433">
        <v>741</v>
      </c>
      <c r="T433">
        <v>170</v>
      </c>
      <c r="U433">
        <v>91</v>
      </c>
      <c r="V433">
        <v>19</v>
      </c>
      <c r="W433">
        <v>297</v>
      </c>
      <c r="X433">
        <v>90</v>
      </c>
      <c r="Y433">
        <v>15</v>
      </c>
      <c r="Z433">
        <v>49</v>
      </c>
      <c r="AA433">
        <v>120</v>
      </c>
      <c r="AB433">
        <v>120</v>
      </c>
      <c r="AC433">
        <v>54</v>
      </c>
      <c r="AD433">
        <v>22</v>
      </c>
      <c r="AE433">
        <v>0</v>
      </c>
      <c r="AF433">
        <v>29</v>
      </c>
      <c r="AG433">
        <v>51</v>
      </c>
      <c r="AH433">
        <v>89</v>
      </c>
      <c r="AI433">
        <v>11</v>
      </c>
      <c r="AJ433">
        <v>5</v>
      </c>
      <c r="AK433">
        <v>0</v>
      </c>
      <c r="AL433">
        <v>19</v>
      </c>
      <c r="AM433">
        <v>123</v>
      </c>
      <c r="AN433">
        <v>16</v>
      </c>
      <c r="AO433">
        <v>6</v>
      </c>
      <c r="AP433">
        <v>25</v>
      </c>
      <c r="AQ433">
        <v>18</v>
      </c>
      <c r="AR433">
        <v>5</v>
      </c>
      <c r="AS433">
        <v>17</v>
      </c>
      <c r="AT433">
        <v>40</v>
      </c>
      <c r="AU433">
        <v>42</v>
      </c>
      <c r="AV433">
        <v>7</v>
      </c>
      <c r="AW433">
        <v>36</v>
      </c>
      <c r="AX433">
        <v>1</v>
      </c>
      <c r="AY433">
        <v>35</v>
      </c>
      <c r="AZ433">
        <v>1</v>
      </c>
      <c r="BA433">
        <v>29</v>
      </c>
      <c r="BB433">
        <v>40</v>
      </c>
      <c r="BC433">
        <v>24</v>
      </c>
      <c r="BD433">
        <v>7</v>
      </c>
      <c r="BE433">
        <v>1</v>
      </c>
      <c r="BF433">
        <v>2</v>
      </c>
      <c r="BG433">
        <v>3</v>
      </c>
      <c r="BH433">
        <v>20</v>
      </c>
      <c r="BI433">
        <v>3</v>
      </c>
      <c r="BJ433">
        <v>6</v>
      </c>
      <c r="BK433">
        <v>0</v>
      </c>
      <c r="BL433">
        <v>6</v>
      </c>
      <c r="BM433">
        <v>0</v>
      </c>
      <c r="BN433">
        <v>18</v>
      </c>
      <c r="BO433">
        <v>8</v>
      </c>
      <c r="BP433">
        <v>0</v>
      </c>
      <c r="BQ433">
        <v>7</v>
      </c>
      <c r="BR433">
        <v>28</v>
      </c>
      <c r="BS433">
        <v>1</v>
      </c>
      <c r="BT433">
        <v>7</v>
      </c>
      <c r="BU433">
        <v>14</v>
      </c>
      <c r="BV433">
        <v>7</v>
      </c>
      <c r="BW433">
        <v>12</v>
      </c>
      <c r="BX433">
        <v>0</v>
      </c>
      <c r="BY433">
        <v>1</v>
      </c>
      <c r="BZ433">
        <v>6</v>
      </c>
      <c r="CA433">
        <v>18</v>
      </c>
      <c r="CB433">
        <v>0</v>
      </c>
      <c r="CC433">
        <v>8</v>
      </c>
      <c r="CD433">
        <v>4</v>
      </c>
      <c r="CE433">
        <v>8</v>
      </c>
      <c r="CF433">
        <v>12</v>
      </c>
      <c r="CG433">
        <v>10</v>
      </c>
      <c r="CH433">
        <v>1</v>
      </c>
      <c r="CI433">
        <v>8</v>
      </c>
      <c r="CJ433">
        <v>6</v>
      </c>
      <c r="CK433">
        <v>2</v>
      </c>
      <c r="CL433">
        <v>8</v>
      </c>
      <c r="CM433">
        <v>2</v>
      </c>
      <c r="CN433">
        <v>2</v>
      </c>
      <c r="CO433">
        <v>0</v>
      </c>
      <c r="CP433">
        <v>9</v>
      </c>
      <c r="CQ433">
        <v>2</v>
      </c>
      <c r="CR433">
        <v>0</v>
      </c>
      <c r="CS433">
        <v>1</v>
      </c>
      <c r="CT433">
        <v>11</v>
      </c>
      <c r="CU433">
        <v>9</v>
      </c>
      <c r="CV433">
        <v>2</v>
      </c>
      <c r="CW433">
        <v>7</v>
      </c>
      <c r="CX433">
        <v>1</v>
      </c>
      <c r="CY433">
        <v>10</v>
      </c>
      <c r="CZ433">
        <v>6</v>
      </c>
      <c r="DA433">
        <v>0</v>
      </c>
      <c r="DB433">
        <v>4</v>
      </c>
      <c r="DC433">
        <v>0</v>
      </c>
      <c r="DD433">
        <v>1</v>
      </c>
      <c r="DE433">
        <v>0</v>
      </c>
      <c r="DF433">
        <v>0</v>
      </c>
      <c r="DG433">
        <v>5</v>
      </c>
      <c r="DH433">
        <v>1</v>
      </c>
      <c r="DI433">
        <v>2</v>
      </c>
      <c r="DJ433">
        <v>2</v>
      </c>
      <c r="DK433">
        <v>1</v>
      </c>
      <c r="DL433">
        <v>2</v>
      </c>
      <c r="DM433">
        <v>3</v>
      </c>
      <c r="DN433">
        <v>1</v>
      </c>
      <c r="DO433">
        <v>2</v>
      </c>
      <c r="DP433">
        <v>2</v>
      </c>
      <c r="DQ433">
        <v>1</v>
      </c>
      <c r="DR433">
        <v>2</v>
      </c>
      <c r="DS433">
        <v>4</v>
      </c>
      <c r="DT433">
        <v>1</v>
      </c>
      <c r="DU433">
        <v>0</v>
      </c>
      <c r="DV433">
        <v>3</v>
      </c>
      <c r="DW433">
        <v>0</v>
      </c>
      <c r="DX433">
        <v>1</v>
      </c>
      <c r="DY433">
        <v>0</v>
      </c>
      <c r="DZ433">
        <v>1</v>
      </c>
      <c r="EA433">
        <v>1</v>
      </c>
      <c r="EB433">
        <v>2</v>
      </c>
      <c r="EC433">
        <v>0</v>
      </c>
      <c r="ED433">
        <v>0</v>
      </c>
      <c r="EE433">
        <v>2</v>
      </c>
      <c r="EF433">
        <v>1</v>
      </c>
      <c r="EG433">
        <v>2</v>
      </c>
      <c r="EH433">
        <v>0</v>
      </c>
      <c r="EI433">
        <v>0</v>
      </c>
      <c r="EJ433">
        <v>0</v>
      </c>
      <c r="EK433">
        <v>1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2</v>
      </c>
      <c r="ER433">
        <v>0</v>
      </c>
      <c r="ES433">
        <v>1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1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1</v>
      </c>
      <c r="FM433">
        <v>0</v>
      </c>
      <c r="FN433">
        <v>1</v>
      </c>
      <c r="FO433">
        <v>0</v>
      </c>
      <c r="FP433">
        <v>0</v>
      </c>
      <c r="FQ433">
        <v>2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1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</row>
    <row r="434" spans="1:201" x14ac:dyDescent="0.3">
      <c r="A434" t="s">
        <v>322</v>
      </c>
      <c r="B434" t="s">
        <v>333</v>
      </c>
      <c r="C434" t="s">
        <v>200</v>
      </c>
      <c r="D434" s="1">
        <v>12357</v>
      </c>
      <c r="E434" s="1">
        <v>2890</v>
      </c>
      <c r="F434" s="1">
        <v>2845</v>
      </c>
      <c r="G434" s="1">
        <v>2982</v>
      </c>
      <c r="H434">
        <v>194</v>
      </c>
      <c r="I434">
        <v>153</v>
      </c>
      <c r="J434">
        <v>23</v>
      </c>
      <c r="K434">
        <v>49</v>
      </c>
      <c r="L434">
        <v>246</v>
      </c>
      <c r="M434">
        <v>68</v>
      </c>
      <c r="N434">
        <v>171</v>
      </c>
      <c r="O434">
        <v>281</v>
      </c>
      <c r="P434">
        <v>229</v>
      </c>
      <c r="Q434">
        <v>14</v>
      </c>
      <c r="R434">
        <v>36</v>
      </c>
      <c r="S434">
        <v>439</v>
      </c>
      <c r="T434">
        <v>121</v>
      </c>
      <c r="U434">
        <v>30</v>
      </c>
      <c r="V434">
        <v>69</v>
      </c>
      <c r="W434">
        <v>167</v>
      </c>
      <c r="X434">
        <v>99</v>
      </c>
      <c r="Y434">
        <v>7</v>
      </c>
      <c r="Z434">
        <v>15</v>
      </c>
      <c r="AA434">
        <v>111</v>
      </c>
      <c r="AB434">
        <v>27</v>
      </c>
      <c r="AC434">
        <v>49</v>
      </c>
      <c r="AD434">
        <v>16</v>
      </c>
      <c r="AE434">
        <v>0</v>
      </c>
      <c r="AF434">
        <v>52</v>
      </c>
      <c r="AG434">
        <v>34</v>
      </c>
      <c r="AH434">
        <v>80</v>
      </c>
      <c r="AI434">
        <v>18</v>
      </c>
      <c r="AJ434">
        <v>1</v>
      </c>
      <c r="AK434">
        <v>10</v>
      </c>
      <c r="AL434">
        <v>22</v>
      </c>
      <c r="AM434">
        <v>29</v>
      </c>
      <c r="AN434">
        <v>9</v>
      </c>
      <c r="AO434">
        <v>30</v>
      </c>
      <c r="AP434">
        <v>0</v>
      </c>
      <c r="AQ434">
        <v>21</v>
      </c>
      <c r="AR434">
        <v>241</v>
      </c>
      <c r="AS434">
        <v>24</v>
      </c>
      <c r="AT434">
        <v>27</v>
      </c>
      <c r="AU434">
        <v>28</v>
      </c>
      <c r="AV434">
        <v>6</v>
      </c>
      <c r="AW434">
        <v>17</v>
      </c>
      <c r="AX434">
        <v>2</v>
      </c>
      <c r="AY434">
        <v>25</v>
      </c>
      <c r="AZ434">
        <v>0</v>
      </c>
      <c r="BA434">
        <v>8</v>
      </c>
      <c r="BB434">
        <v>0</v>
      </c>
      <c r="BC434">
        <v>17</v>
      </c>
      <c r="BD434">
        <v>0</v>
      </c>
      <c r="BE434">
        <v>3</v>
      </c>
      <c r="BF434">
        <v>1</v>
      </c>
      <c r="BG434">
        <v>8</v>
      </c>
      <c r="BH434">
        <v>13</v>
      </c>
      <c r="BI434">
        <v>11</v>
      </c>
      <c r="BJ434">
        <v>0</v>
      </c>
      <c r="BK434">
        <v>4</v>
      </c>
      <c r="BL434">
        <v>4</v>
      </c>
      <c r="BM434">
        <v>6</v>
      </c>
      <c r="BN434">
        <v>7</v>
      </c>
      <c r="BO434">
        <v>0</v>
      </c>
      <c r="BP434">
        <v>10</v>
      </c>
      <c r="BQ434">
        <v>3</v>
      </c>
      <c r="BR434">
        <v>10</v>
      </c>
      <c r="BS434">
        <v>7</v>
      </c>
      <c r="BT434">
        <v>0</v>
      </c>
      <c r="BU434">
        <v>9</v>
      </c>
      <c r="BV434">
        <v>15</v>
      </c>
      <c r="BW434">
        <v>11</v>
      </c>
      <c r="BX434">
        <v>1</v>
      </c>
      <c r="BY434">
        <v>1</v>
      </c>
      <c r="BZ434">
        <v>6</v>
      </c>
      <c r="CA434">
        <v>4</v>
      </c>
      <c r="CB434">
        <v>3</v>
      </c>
      <c r="CC434">
        <v>6</v>
      </c>
      <c r="CD434">
        <v>5</v>
      </c>
      <c r="CE434">
        <v>3</v>
      </c>
      <c r="CF434">
        <v>10</v>
      </c>
      <c r="CG434">
        <v>4</v>
      </c>
      <c r="CH434">
        <v>3</v>
      </c>
      <c r="CI434">
        <v>23</v>
      </c>
      <c r="CJ434">
        <v>7</v>
      </c>
      <c r="CK434">
        <v>3</v>
      </c>
      <c r="CL434">
        <v>6</v>
      </c>
      <c r="CM434">
        <v>2</v>
      </c>
      <c r="CN434">
        <v>0</v>
      </c>
      <c r="CO434">
        <v>14</v>
      </c>
      <c r="CP434">
        <v>5</v>
      </c>
      <c r="CQ434">
        <v>0</v>
      </c>
      <c r="CR434">
        <v>4</v>
      </c>
      <c r="CS434">
        <v>2</v>
      </c>
      <c r="CT434">
        <v>6</v>
      </c>
      <c r="CU434">
        <v>5</v>
      </c>
      <c r="CV434">
        <v>3</v>
      </c>
      <c r="CW434">
        <v>2</v>
      </c>
      <c r="CX434">
        <v>0</v>
      </c>
      <c r="CY434">
        <v>2</v>
      </c>
      <c r="CZ434">
        <v>1</v>
      </c>
      <c r="DA434">
        <v>0</v>
      </c>
      <c r="DB434">
        <v>1</v>
      </c>
      <c r="DC434">
        <v>16</v>
      </c>
      <c r="DD434">
        <v>2</v>
      </c>
      <c r="DE434">
        <v>0</v>
      </c>
      <c r="DF434">
        <v>1</v>
      </c>
      <c r="DG434">
        <v>0</v>
      </c>
      <c r="DH434">
        <v>0</v>
      </c>
      <c r="DI434">
        <v>0</v>
      </c>
      <c r="DJ434">
        <v>1</v>
      </c>
      <c r="DK434">
        <v>6</v>
      </c>
      <c r="DL434">
        <v>1</v>
      </c>
      <c r="DM434">
        <v>1</v>
      </c>
      <c r="DN434">
        <v>1</v>
      </c>
      <c r="DO434">
        <v>0</v>
      </c>
      <c r="DP434">
        <v>4</v>
      </c>
      <c r="DQ434">
        <v>2</v>
      </c>
      <c r="DR434">
        <v>0</v>
      </c>
      <c r="DS434">
        <v>3</v>
      </c>
      <c r="DT434">
        <v>1</v>
      </c>
      <c r="DU434">
        <v>5</v>
      </c>
      <c r="DV434">
        <v>1</v>
      </c>
      <c r="DW434">
        <v>0</v>
      </c>
      <c r="DX434">
        <v>6</v>
      </c>
      <c r="DY434">
        <v>0</v>
      </c>
      <c r="DZ434">
        <v>1</v>
      </c>
      <c r="EA434">
        <v>1</v>
      </c>
      <c r="EB434">
        <v>1</v>
      </c>
      <c r="EC434">
        <v>0</v>
      </c>
      <c r="ED434">
        <v>0</v>
      </c>
      <c r="EE434">
        <v>1</v>
      </c>
      <c r="EF434">
        <v>5</v>
      </c>
      <c r="EG434">
        <v>0</v>
      </c>
      <c r="EH434">
        <v>0</v>
      </c>
      <c r="EI434">
        <v>1</v>
      </c>
      <c r="EJ434">
        <v>0</v>
      </c>
      <c r="EK434">
        <v>0</v>
      </c>
      <c r="EL434">
        <v>0</v>
      </c>
      <c r="EM434">
        <v>1</v>
      </c>
      <c r="EN434">
        <v>0</v>
      </c>
      <c r="EO434">
        <v>0</v>
      </c>
      <c r="EP434">
        <v>1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1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2</v>
      </c>
      <c r="FD434">
        <v>0</v>
      </c>
      <c r="FE434">
        <v>0</v>
      </c>
      <c r="FF434">
        <v>2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1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2</v>
      </c>
    </row>
    <row r="435" spans="1:201" x14ac:dyDescent="0.3">
      <c r="A435" t="s">
        <v>322</v>
      </c>
      <c r="B435" t="s">
        <v>333</v>
      </c>
      <c r="C435" t="s">
        <v>203</v>
      </c>
      <c r="D435" s="1">
        <v>4945</v>
      </c>
      <c r="E435">
        <v>787</v>
      </c>
      <c r="F435" s="1">
        <v>1541</v>
      </c>
      <c r="G435" s="1">
        <v>1090</v>
      </c>
      <c r="H435">
        <v>107</v>
      </c>
      <c r="I435">
        <v>84</v>
      </c>
      <c r="J435">
        <v>16</v>
      </c>
      <c r="K435">
        <v>15</v>
      </c>
      <c r="L435">
        <v>84</v>
      </c>
      <c r="M435">
        <v>11</v>
      </c>
      <c r="N435">
        <v>110</v>
      </c>
      <c r="O435">
        <v>110</v>
      </c>
      <c r="P435">
        <v>123</v>
      </c>
      <c r="Q435">
        <v>7</v>
      </c>
      <c r="R435">
        <v>33</v>
      </c>
      <c r="S435">
        <v>52</v>
      </c>
      <c r="T435">
        <v>25</v>
      </c>
      <c r="U435">
        <v>2</v>
      </c>
      <c r="V435">
        <v>47</v>
      </c>
      <c r="W435">
        <v>48</v>
      </c>
      <c r="X435">
        <v>42</v>
      </c>
      <c r="Y435">
        <v>1</v>
      </c>
      <c r="Z435">
        <v>2</v>
      </c>
      <c r="AA435">
        <v>60</v>
      </c>
      <c r="AB435">
        <v>5</v>
      </c>
      <c r="AC435">
        <v>27</v>
      </c>
      <c r="AD435">
        <v>5</v>
      </c>
      <c r="AE435">
        <v>0</v>
      </c>
      <c r="AF435">
        <v>30</v>
      </c>
      <c r="AG435">
        <v>9</v>
      </c>
      <c r="AH435">
        <v>39</v>
      </c>
      <c r="AI435">
        <v>7</v>
      </c>
      <c r="AJ435">
        <v>0</v>
      </c>
      <c r="AK435">
        <v>8</v>
      </c>
      <c r="AL435">
        <v>1</v>
      </c>
      <c r="AM435">
        <v>3</v>
      </c>
      <c r="AN435">
        <v>4</v>
      </c>
      <c r="AO435">
        <v>24</v>
      </c>
      <c r="AP435">
        <v>0</v>
      </c>
      <c r="AQ435">
        <v>6</v>
      </c>
      <c r="AR435">
        <v>172</v>
      </c>
      <c r="AS435">
        <v>9</v>
      </c>
      <c r="AT435">
        <v>8</v>
      </c>
      <c r="AU435">
        <v>7</v>
      </c>
      <c r="AV435">
        <v>6</v>
      </c>
      <c r="AW435">
        <v>8</v>
      </c>
      <c r="AX435">
        <v>2</v>
      </c>
      <c r="AY435">
        <v>9</v>
      </c>
      <c r="AZ435">
        <v>0</v>
      </c>
      <c r="BA435">
        <v>4</v>
      </c>
      <c r="BB435">
        <v>0</v>
      </c>
      <c r="BC435">
        <v>9</v>
      </c>
      <c r="BD435">
        <v>0</v>
      </c>
      <c r="BE435">
        <v>3</v>
      </c>
      <c r="BF435">
        <v>1</v>
      </c>
      <c r="BG435">
        <v>5</v>
      </c>
      <c r="BH435">
        <v>2</v>
      </c>
      <c r="BI435">
        <v>0</v>
      </c>
      <c r="BJ435">
        <v>0</v>
      </c>
      <c r="BK435">
        <v>2</v>
      </c>
      <c r="BL435">
        <v>2</v>
      </c>
      <c r="BM435">
        <v>5</v>
      </c>
      <c r="BN435">
        <v>2</v>
      </c>
      <c r="BO435">
        <v>0</v>
      </c>
      <c r="BP435">
        <v>6</v>
      </c>
      <c r="BQ435">
        <v>0</v>
      </c>
      <c r="BR435">
        <v>5</v>
      </c>
      <c r="BS435">
        <v>3</v>
      </c>
      <c r="BT435">
        <v>0</v>
      </c>
      <c r="BU435">
        <v>3</v>
      </c>
      <c r="BV435">
        <v>10</v>
      </c>
      <c r="BW435">
        <v>4</v>
      </c>
      <c r="BX435">
        <v>1</v>
      </c>
      <c r="BY435">
        <v>0</v>
      </c>
      <c r="BZ435">
        <v>5</v>
      </c>
      <c r="CA435">
        <v>3</v>
      </c>
      <c r="CB435">
        <v>1</v>
      </c>
      <c r="CC435">
        <v>0</v>
      </c>
      <c r="CD435">
        <v>1</v>
      </c>
      <c r="CE435">
        <v>2</v>
      </c>
      <c r="CF435">
        <v>5</v>
      </c>
      <c r="CG435">
        <v>0</v>
      </c>
      <c r="CH435">
        <v>2</v>
      </c>
      <c r="CI435">
        <v>5</v>
      </c>
      <c r="CJ435">
        <v>2</v>
      </c>
      <c r="CK435">
        <v>1</v>
      </c>
      <c r="CL435">
        <v>1</v>
      </c>
      <c r="CM435">
        <v>2</v>
      </c>
      <c r="CN435">
        <v>0</v>
      </c>
      <c r="CO435">
        <v>10</v>
      </c>
      <c r="CP435">
        <v>2</v>
      </c>
      <c r="CQ435">
        <v>0</v>
      </c>
      <c r="CR435">
        <v>4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</v>
      </c>
      <c r="CZ435">
        <v>0</v>
      </c>
      <c r="DA435">
        <v>0</v>
      </c>
      <c r="DB435">
        <v>0</v>
      </c>
      <c r="DC435">
        <v>16</v>
      </c>
      <c r="DD435">
        <v>2</v>
      </c>
      <c r="DE435">
        <v>0</v>
      </c>
      <c r="DF435">
        <v>1</v>
      </c>
      <c r="DG435">
        <v>0</v>
      </c>
      <c r="DH435">
        <v>0</v>
      </c>
      <c r="DI435">
        <v>0</v>
      </c>
      <c r="DJ435">
        <v>1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1</v>
      </c>
      <c r="DQ435">
        <v>2</v>
      </c>
      <c r="DR435">
        <v>0</v>
      </c>
      <c r="DS435">
        <v>2</v>
      </c>
      <c r="DT435">
        <v>1</v>
      </c>
      <c r="DU435">
        <v>4</v>
      </c>
      <c r="DV435">
        <v>0</v>
      </c>
      <c r="DW435">
        <v>0</v>
      </c>
      <c r="DX435">
        <v>5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4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1</v>
      </c>
      <c r="EN435">
        <v>0</v>
      </c>
      <c r="EO435">
        <v>0</v>
      </c>
      <c r="EP435">
        <v>1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2</v>
      </c>
      <c r="FD435">
        <v>0</v>
      </c>
      <c r="FE435">
        <v>0</v>
      </c>
      <c r="FF435">
        <v>1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1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</row>
    <row r="436" spans="1:201" x14ac:dyDescent="0.3">
      <c r="A436" t="s">
        <v>322</v>
      </c>
      <c r="B436" t="s">
        <v>333</v>
      </c>
      <c r="C436" t="s">
        <v>204</v>
      </c>
      <c r="D436" s="1">
        <v>7412</v>
      </c>
      <c r="E436" s="1">
        <v>2103</v>
      </c>
      <c r="F436" s="1">
        <v>1304</v>
      </c>
      <c r="G436" s="1">
        <v>1892</v>
      </c>
      <c r="H436">
        <v>87</v>
      </c>
      <c r="I436">
        <v>69</v>
      </c>
      <c r="J436">
        <v>7</v>
      </c>
      <c r="K436">
        <v>34</v>
      </c>
      <c r="L436">
        <v>162</v>
      </c>
      <c r="M436">
        <v>57</v>
      </c>
      <c r="N436">
        <v>61</v>
      </c>
      <c r="O436">
        <v>171</v>
      </c>
      <c r="P436">
        <v>106</v>
      </c>
      <c r="Q436">
        <v>7</v>
      </c>
      <c r="R436">
        <v>3</v>
      </c>
      <c r="S436">
        <v>387</v>
      </c>
      <c r="T436">
        <v>96</v>
      </c>
      <c r="U436">
        <v>28</v>
      </c>
      <c r="V436">
        <v>22</v>
      </c>
      <c r="W436">
        <v>119</v>
      </c>
      <c r="X436">
        <v>57</v>
      </c>
      <c r="Y436">
        <v>6</v>
      </c>
      <c r="Z436">
        <v>13</v>
      </c>
      <c r="AA436">
        <v>51</v>
      </c>
      <c r="AB436">
        <v>22</v>
      </c>
      <c r="AC436">
        <v>22</v>
      </c>
      <c r="AD436">
        <v>11</v>
      </c>
      <c r="AE436">
        <v>0</v>
      </c>
      <c r="AF436">
        <v>22</v>
      </c>
      <c r="AG436">
        <v>25</v>
      </c>
      <c r="AH436">
        <v>41</v>
      </c>
      <c r="AI436">
        <v>11</v>
      </c>
      <c r="AJ436">
        <v>1</v>
      </c>
      <c r="AK436">
        <v>2</v>
      </c>
      <c r="AL436">
        <v>21</v>
      </c>
      <c r="AM436">
        <v>26</v>
      </c>
      <c r="AN436">
        <v>5</v>
      </c>
      <c r="AO436">
        <v>6</v>
      </c>
      <c r="AP436">
        <v>0</v>
      </c>
      <c r="AQ436">
        <v>15</v>
      </c>
      <c r="AR436">
        <v>69</v>
      </c>
      <c r="AS436">
        <v>15</v>
      </c>
      <c r="AT436">
        <v>19</v>
      </c>
      <c r="AU436">
        <v>21</v>
      </c>
      <c r="AV436">
        <v>0</v>
      </c>
      <c r="AW436">
        <v>9</v>
      </c>
      <c r="AX436">
        <v>0</v>
      </c>
      <c r="AY436">
        <v>16</v>
      </c>
      <c r="AZ436">
        <v>0</v>
      </c>
      <c r="BA436">
        <v>4</v>
      </c>
      <c r="BB436">
        <v>0</v>
      </c>
      <c r="BC436">
        <v>8</v>
      </c>
      <c r="BD436">
        <v>0</v>
      </c>
      <c r="BE436">
        <v>0</v>
      </c>
      <c r="BF436">
        <v>0</v>
      </c>
      <c r="BG436">
        <v>3</v>
      </c>
      <c r="BH436">
        <v>11</v>
      </c>
      <c r="BI436">
        <v>11</v>
      </c>
      <c r="BJ436">
        <v>0</v>
      </c>
      <c r="BK436">
        <v>2</v>
      </c>
      <c r="BL436">
        <v>2</v>
      </c>
      <c r="BM436">
        <v>1</v>
      </c>
      <c r="BN436">
        <v>5</v>
      </c>
      <c r="BO436">
        <v>0</v>
      </c>
      <c r="BP436">
        <v>4</v>
      </c>
      <c r="BQ436">
        <v>3</v>
      </c>
      <c r="BR436">
        <v>5</v>
      </c>
      <c r="BS436">
        <v>4</v>
      </c>
      <c r="BT436">
        <v>0</v>
      </c>
      <c r="BU436">
        <v>6</v>
      </c>
      <c r="BV436">
        <v>5</v>
      </c>
      <c r="BW436">
        <v>7</v>
      </c>
      <c r="BX436">
        <v>0</v>
      </c>
      <c r="BY436">
        <v>1</v>
      </c>
      <c r="BZ436">
        <v>1</v>
      </c>
      <c r="CA436">
        <v>1</v>
      </c>
      <c r="CB436">
        <v>2</v>
      </c>
      <c r="CC436">
        <v>6</v>
      </c>
      <c r="CD436">
        <v>4</v>
      </c>
      <c r="CE436">
        <v>1</v>
      </c>
      <c r="CF436">
        <v>5</v>
      </c>
      <c r="CG436">
        <v>4</v>
      </c>
      <c r="CH436">
        <v>1</v>
      </c>
      <c r="CI436">
        <v>18</v>
      </c>
      <c r="CJ436">
        <v>5</v>
      </c>
      <c r="CK436">
        <v>2</v>
      </c>
      <c r="CL436">
        <v>5</v>
      </c>
      <c r="CM436">
        <v>0</v>
      </c>
      <c r="CN436">
        <v>0</v>
      </c>
      <c r="CO436">
        <v>4</v>
      </c>
      <c r="CP436">
        <v>3</v>
      </c>
      <c r="CQ436">
        <v>0</v>
      </c>
      <c r="CR436">
        <v>0</v>
      </c>
      <c r="CS436">
        <v>2</v>
      </c>
      <c r="CT436">
        <v>6</v>
      </c>
      <c r="CU436">
        <v>5</v>
      </c>
      <c r="CV436">
        <v>3</v>
      </c>
      <c r="CW436">
        <v>2</v>
      </c>
      <c r="CX436">
        <v>0</v>
      </c>
      <c r="CY436">
        <v>1</v>
      </c>
      <c r="CZ436">
        <v>1</v>
      </c>
      <c r="DA436">
        <v>0</v>
      </c>
      <c r="DB436">
        <v>1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6</v>
      </c>
      <c r="DL436">
        <v>1</v>
      </c>
      <c r="DM436">
        <v>1</v>
      </c>
      <c r="DN436">
        <v>1</v>
      </c>
      <c r="DO436">
        <v>0</v>
      </c>
      <c r="DP436">
        <v>3</v>
      </c>
      <c r="DQ436">
        <v>0</v>
      </c>
      <c r="DR436">
        <v>0</v>
      </c>
      <c r="DS436">
        <v>1</v>
      </c>
      <c r="DT436">
        <v>0</v>
      </c>
      <c r="DU436">
        <v>1</v>
      </c>
      <c r="DV436">
        <v>1</v>
      </c>
      <c r="DW436">
        <v>0</v>
      </c>
      <c r="DX436">
        <v>1</v>
      </c>
      <c r="DY436">
        <v>0</v>
      </c>
      <c r="DZ436">
        <v>1</v>
      </c>
      <c r="EA436">
        <v>1</v>
      </c>
      <c r="EB436">
        <v>1</v>
      </c>
      <c r="EC436">
        <v>0</v>
      </c>
      <c r="ED436">
        <v>0</v>
      </c>
      <c r="EE436">
        <v>1</v>
      </c>
      <c r="EF436">
        <v>1</v>
      </c>
      <c r="EG436">
        <v>0</v>
      </c>
      <c r="EH436">
        <v>0</v>
      </c>
      <c r="EI436">
        <v>1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1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1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2</v>
      </c>
    </row>
    <row r="437" spans="1:201" x14ac:dyDescent="0.3">
      <c r="A437" t="s">
        <v>322</v>
      </c>
      <c r="B437" t="s">
        <v>334</v>
      </c>
      <c r="C437" t="s">
        <v>200</v>
      </c>
      <c r="D437" s="1">
        <v>11748</v>
      </c>
      <c r="E437">
        <v>805</v>
      </c>
      <c r="F437">
        <v>640</v>
      </c>
      <c r="G437" s="1">
        <v>3256</v>
      </c>
      <c r="H437">
        <v>76</v>
      </c>
      <c r="I437">
        <v>59</v>
      </c>
      <c r="J437">
        <v>28</v>
      </c>
      <c r="K437">
        <v>123</v>
      </c>
      <c r="L437">
        <v>91</v>
      </c>
      <c r="M437">
        <v>107</v>
      </c>
      <c r="N437">
        <v>200</v>
      </c>
      <c r="O437">
        <v>91</v>
      </c>
      <c r="P437" s="1">
        <v>1190</v>
      </c>
      <c r="Q437">
        <v>6</v>
      </c>
      <c r="R437">
        <v>16</v>
      </c>
      <c r="S437" s="1">
        <v>1102</v>
      </c>
      <c r="T437">
        <v>187</v>
      </c>
      <c r="U437">
        <v>60</v>
      </c>
      <c r="V437">
        <v>33</v>
      </c>
      <c r="W437" s="1">
        <v>1072</v>
      </c>
      <c r="X437">
        <v>139</v>
      </c>
      <c r="Y437">
        <v>10</v>
      </c>
      <c r="Z437">
        <v>19</v>
      </c>
      <c r="AA437">
        <v>458</v>
      </c>
      <c r="AB437">
        <v>73</v>
      </c>
      <c r="AC437">
        <v>166</v>
      </c>
      <c r="AD437">
        <v>34</v>
      </c>
      <c r="AE437">
        <v>3</v>
      </c>
      <c r="AF437">
        <v>130</v>
      </c>
      <c r="AG437">
        <v>46</v>
      </c>
      <c r="AH437">
        <v>197</v>
      </c>
      <c r="AI437">
        <v>22</v>
      </c>
      <c r="AJ437">
        <v>1</v>
      </c>
      <c r="AK437">
        <v>6</v>
      </c>
      <c r="AL437">
        <v>28</v>
      </c>
      <c r="AM437">
        <v>169</v>
      </c>
      <c r="AN437">
        <v>71</v>
      </c>
      <c r="AO437">
        <v>5</v>
      </c>
      <c r="AP437">
        <v>2</v>
      </c>
      <c r="AQ437">
        <v>24</v>
      </c>
      <c r="AR437">
        <v>1</v>
      </c>
      <c r="AS437">
        <v>26</v>
      </c>
      <c r="AT437">
        <v>101</v>
      </c>
      <c r="AU437">
        <v>17</v>
      </c>
      <c r="AV437">
        <v>1</v>
      </c>
      <c r="AW437">
        <v>154</v>
      </c>
      <c r="AX437">
        <v>2</v>
      </c>
      <c r="AY437">
        <v>35</v>
      </c>
      <c r="AZ437">
        <v>3</v>
      </c>
      <c r="BA437">
        <v>64</v>
      </c>
      <c r="BB437">
        <v>16</v>
      </c>
      <c r="BC437">
        <v>75</v>
      </c>
      <c r="BD437">
        <v>1</v>
      </c>
      <c r="BE437">
        <v>0</v>
      </c>
      <c r="BF437">
        <v>0</v>
      </c>
      <c r="BG437">
        <v>17</v>
      </c>
      <c r="BH437">
        <v>24</v>
      </c>
      <c r="BI437">
        <v>6</v>
      </c>
      <c r="BJ437">
        <v>1</v>
      </c>
      <c r="BK437">
        <v>0</v>
      </c>
      <c r="BL437">
        <v>5</v>
      </c>
      <c r="BM437">
        <v>3</v>
      </c>
      <c r="BN437">
        <v>21</v>
      </c>
      <c r="BO437">
        <v>3</v>
      </c>
      <c r="BP437">
        <v>2</v>
      </c>
      <c r="BQ437">
        <v>9</v>
      </c>
      <c r="BR437">
        <v>38</v>
      </c>
      <c r="BS437">
        <v>11</v>
      </c>
      <c r="BT437">
        <v>1</v>
      </c>
      <c r="BU437">
        <v>9</v>
      </c>
      <c r="BV437">
        <v>12</v>
      </c>
      <c r="BW437">
        <v>36</v>
      </c>
      <c r="BX437">
        <v>0</v>
      </c>
      <c r="BY437">
        <v>2</v>
      </c>
      <c r="BZ437">
        <v>36</v>
      </c>
      <c r="CA437">
        <v>21</v>
      </c>
      <c r="CB437">
        <v>1</v>
      </c>
      <c r="CC437">
        <v>15</v>
      </c>
      <c r="CD437">
        <v>2</v>
      </c>
      <c r="CE437">
        <v>3</v>
      </c>
      <c r="CF437">
        <v>26</v>
      </c>
      <c r="CG437">
        <v>21</v>
      </c>
      <c r="CH437">
        <v>2</v>
      </c>
      <c r="CI437">
        <v>5</v>
      </c>
      <c r="CJ437">
        <v>8</v>
      </c>
      <c r="CK437">
        <v>16</v>
      </c>
      <c r="CL437">
        <v>11</v>
      </c>
      <c r="CM437">
        <v>2</v>
      </c>
      <c r="CN437">
        <v>4</v>
      </c>
      <c r="CO437">
        <v>0</v>
      </c>
      <c r="CP437">
        <v>12</v>
      </c>
      <c r="CQ437">
        <v>6</v>
      </c>
      <c r="CR437">
        <v>0</v>
      </c>
      <c r="CS437">
        <v>2</v>
      </c>
      <c r="CT437">
        <v>10</v>
      </c>
      <c r="CU437">
        <v>4</v>
      </c>
      <c r="CV437">
        <v>2</v>
      </c>
      <c r="CW437">
        <v>9</v>
      </c>
      <c r="CX437">
        <v>0</v>
      </c>
      <c r="CY437">
        <v>4</v>
      </c>
      <c r="CZ437">
        <v>5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1</v>
      </c>
      <c r="DG437">
        <v>7</v>
      </c>
      <c r="DH437">
        <v>0</v>
      </c>
      <c r="DI437">
        <v>2</v>
      </c>
      <c r="DJ437">
        <v>4</v>
      </c>
      <c r="DK437">
        <v>2</v>
      </c>
      <c r="DL437">
        <v>2</v>
      </c>
      <c r="DM437">
        <v>2</v>
      </c>
      <c r="DN437">
        <v>4</v>
      </c>
      <c r="DO437">
        <v>1</v>
      </c>
      <c r="DP437">
        <v>1</v>
      </c>
      <c r="DQ437">
        <v>0</v>
      </c>
      <c r="DR437">
        <v>6</v>
      </c>
      <c r="DS437">
        <v>3</v>
      </c>
      <c r="DT437">
        <v>1</v>
      </c>
      <c r="DU437">
        <v>0</v>
      </c>
      <c r="DV437">
        <v>0</v>
      </c>
      <c r="DW437">
        <v>1</v>
      </c>
      <c r="DX437">
        <v>2</v>
      </c>
      <c r="DY437">
        <v>0</v>
      </c>
      <c r="DZ437">
        <v>1</v>
      </c>
      <c r="EA437">
        <v>0</v>
      </c>
      <c r="EB437">
        <v>1</v>
      </c>
      <c r="EC437">
        <v>13</v>
      </c>
      <c r="ED437">
        <v>1</v>
      </c>
      <c r="EE437">
        <v>3</v>
      </c>
      <c r="EF437">
        <v>0</v>
      </c>
      <c r="EG437">
        <v>2</v>
      </c>
      <c r="EH437">
        <v>1</v>
      </c>
      <c r="EI437">
        <v>0</v>
      </c>
      <c r="EJ437">
        <v>1</v>
      </c>
      <c r="EK437">
        <v>0</v>
      </c>
      <c r="EL437">
        <v>1</v>
      </c>
      <c r="EM437">
        <v>0</v>
      </c>
      <c r="EN437">
        <v>1</v>
      </c>
      <c r="EO437">
        <v>1</v>
      </c>
      <c r="EP437">
        <v>0</v>
      </c>
      <c r="EQ437">
        <v>2</v>
      </c>
      <c r="ER437">
        <v>0</v>
      </c>
      <c r="ES437">
        <v>0</v>
      </c>
      <c r="ET437">
        <v>0</v>
      </c>
      <c r="EU437">
        <v>0</v>
      </c>
      <c r="EV437">
        <v>2</v>
      </c>
      <c r="EW437">
        <v>1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1</v>
      </c>
      <c r="FK437">
        <v>0</v>
      </c>
      <c r="FL437">
        <v>0</v>
      </c>
      <c r="FM437">
        <v>1</v>
      </c>
      <c r="FN437">
        <v>1</v>
      </c>
      <c r="FO437">
        <v>0</v>
      </c>
      <c r="FP437">
        <v>0</v>
      </c>
      <c r="FQ437">
        <v>1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1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1</v>
      </c>
      <c r="GN437">
        <v>0</v>
      </c>
      <c r="GO437">
        <v>0</v>
      </c>
      <c r="GP437">
        <v>1</v>
      </c>
      <c r="GQ437">
        <v>0</v>
      </c>
      <c r="GR437">
        <v>0</v>
      </c>
      <c r="GS437">
        <v>3</v>
      </c>
    </row>
    <row r="438" spans="1:201" x14ac:dyDescent="0.3">
      <c r="A438" t="s">
        <v>322</v>
      </c>
      <c r="B438" t="s">
        <v>334</v>
      </c>
      <c r="C438" t="s">
        <v>203</v>
      </c>
      <c r="D438" s="1">
        <v>4131</v>
      </c>
      <c r="E438">
        <v>211</v>
      </c>
      <c r="F438">
        <v>336</v>
      </c>
      <c r="G438">
        <v>909</v>
      </c>
      <c r="H438">
        <v>46</v>
      </c>
      <c r="I438">
        <v>24</v>
      </c>
      <c r="J438">
        <v>10</v>
      </c>
      <c r="K438">
        <v>27</v>
      </c>
      <c r="L438">
        <v>37</v>
      </c>
      <c r="M438">
        <v>24</v>
      </c>
      <c r="N438">
        <v>51</v>
      </c>
      <c r="O438">
        <v>32</v>
      </c>
      <c r="P438">
        <v>523</v>
      </c>
      <c r="Q438">
        <v>4</v>
      </c>
      <c r="R438">
        <v>7</v>
      </c>
      <c r="S438">
        <v>408</v>
      </c>
      <c r="T438">
        <v>35</v>
      </c>
      <c r="U438">
        <v>11</v>
      </c>
      <c r="V438">
        <v>18</v>
      </c>
      <c r="W438">
        <v>454</v>
      </c>
      <c r="X438">
        <v>69</v>
      </c>
      <c r="Y438">
        <v>3</v>
      </c>
      <c r="Z438">
        <v>2</v>
      </c>
      <c r="AA438">
        <v>140</v>
      </c>
      <c r="AB438">
        <v>18</v>
      </c>
      <c r="AC438">
        <v>92</v>
      </c>
      <c r="AD438">
        <v>20</v>
      </c>
      <c r="AE438">
        <v>3</v>
      </c>
      <c r="AF438">
        <v>74</v>
      </c>
      <c r="AG438">
        <v>16</v>
      </c>
      <c r="AH438">
        <v>69</v>
      </c>
      <c r="AI438">
        <v>17</v>
      </c>
      <c r="AJ438">
        <v>0</v>
      </c>
      <c r="AK438">
        <v>4</v>
      </c>
      <c r="AL438">
        <v>5</v>
      </c>
      <c r="AM438">
        <v>25</v>
      </c>
      <c r="AN438">
        <v>38</v>
      </c>
      <c r="AO438">
        <v>2</v>
      </c>
      <c r="AP438">
        <v>0</v>
      </c>
      <c r="AQ438">
        <v>10</v>
      </c>
      <c r="AR438">
        <v>0</v>
      </c>
      <c r="AS438">
        <v>14</v>
      </c>
      <c r="AT438">
        <v>19</v>
      </c>
      <c r="AU438">
        <v>7</v>
      </c>
      <c r="AV438">
        <v>1</v>
      </c>
      <c r="AW438">
        <v>59</v>
      </c>
      <c r="AX438">
        <v>1</v>
      </c>
      <c r="AY438">
        <v>18</v>
      </c>
      <c r="AZ438">
        <v>3</v>
      </c>
      <c r="BA438">
        <v>25</v>
      </c>
      <c r="BB438">
        <v>10</v>
      </c>
      <c r="BC438">
        <v>26</v>
      </c>
      <c r="BD438">
        <v>0</v>
      </c>
      <c r="BE438">
        <v>0</v>
      </c>
      <c r="BF438">
        <v>0</v>
      </c>
      <c r="BG438">
        <v>11</v>
      </c>
      <c r="BH438">
        <v>9</v>
      </c>
      <c r="BI438">
        <v>1</v>
      </c>
      <c r="BJ438">
        <v>0</v>
      </c>
      <c r="BK438">
        <v>0</v>
      </c>
      <c r="BL438">
        <v>2</v>
      </c>
      <c r="BM438">
        <v>2</v>
      </c>
      <c r="BN438">
        <v>8</v>
      </c>
      <c r="BO438">
        <v>3</v>
      </c>
      <c r="BP438">
        <v>2</v>
      </c>
      <c r="BQ438">
        <v>3</v>
      </c>
      <c r="BR438">
        <v>10</v>
      </c>
      <c r="BS438">
        <v>5</v>
      </c>
      <c r="BT438">
        <v>0</v>
      </c>
      <c r="BU438">
        <v>1</v>
      </c>
      <c r="BV438">
        <v>6</v>
      </c>
      <c r="BW438">
        <v>12</v>
      </c>
      <c r="BX438">
        <v>0</v>
      </c>
      <c r="BY438">
        <v>1</v>
      </c>
      <c r="BZ438">
        <v>12</v>
      </c>
      <c r="CA438">
        <v>13</v>
      </c>
      <c r="CB438">
        <v>1</v>
      </c>
      <c r="CC438">
        <v>4</v>
      </c>
      <c r="CD438">
        <v>0</v>
      </c>
      <c r="CE438">
        <v>0</v>
      </c>
      <c r="CF438">
        <v>5</v>
      </c>
      <c r="CG438">
        <v>5</v>
      </c>
      <c r="CH438">
        <v>0</v>
      </c>
      <c r="CI438">
        <v>0</v>
      </c>
      <c r="CJ438">
        <v>2</v>
      </c>
      <c r="CK438">
        <v>2</v>
      </c>
      <c r="CL438">
        <v>4</v>
      </c>
      <c r="CM438">
        <v>1</v>
      </c>
      <c r="CN438">
        <v>1</v>
      </c>
      <c r="CO438">
        <v>0</v>
      </c>
      <c r="CP438">
        <v>4</v>
      </c>
      <c r="CQ438">
        <v>3</v>
      </c>
      <c r="CR438">
        <v>0</v>
      </c>
      <c r="CS438">
        <v>1</v>
      </c>
      <c r="CT438">
        <v>6</v>
      </c>
      <c r="CU438">
        <v>0</v>
      </c>
      <c r="CV438">
        <v>1</v>
      </c>
      <c r="CW438">
        <v>5</v>
      </c>
      <c r="CX438">
        <v>0</v>
      </c>
      <c r="CY438">
        <v>0</v>
      </c>
      <c r="CZ438">
        <v>1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2</v>
      </c>
      <c r="DH438">
        <v>0</v>
      </c>
      <c r="DI438">
        <v>0</v>
      </c>
      <c r="DJ438">
        <v>2</v>
      </c>
      <c r="DK438">
        <v>1</v>
      </c>
      <c r="DL438">
        <v>0</v>
      </c>
      <c r="DM438">
        <v>0</v>
      </c>
      <c r="DN438">
        <v>1</v>
      </c>
      <c r="DO438">
        <v>0</v>
      </c>
      <c r="DP438">
        <v>0</v>
      </c>
      <c r="DQ438">
        <v>0</v>
      </c>
      <c r="DR438">
        <v>2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2</v>
      </c>
      <c r="DY438">
        <v>0</v>
      </c>
      <c r="DZ438">
        <v>0</v>
      </c>
      <c r="EA438">
        <v>0</v>
      </c>
      <c r="EB438">
        <v>0</v>
      </c>
      <c r="EC438">
        <v>6</v>
      </c>
      <c r="ED438">
        <v>0</v>
      </c>
      <c r="EE438">
        <v>2</v>
      </c>
      <c r="EF438">
        <v>0</v>
      </c>
      <c r="EG438">
        <v>0</v>
      </c>
      <c r="EH438">
        <v>1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2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1</v>
      </c>
      <c r="FN438">
        <v>0</v>
      </c>
      <c r="FO438">
        <v>0</v>
      </c>
      <c r="FP438">
        <v>0</v>
      </c>
      <c r="FQ438">
        <v>1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1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1</v>
      </c>
      <c r="GQ438">
        <v>0</v>
      </c>
      <c r="GR438">
        <v>0</v>
      </c>
      <c r="GS438">
        <v>2</v>
      </c>
    </row>
    <row r="439" spans="1:201" x14ac:dyDescent="0.3">
      <c r="A439" t="s">
        <v>322</v>
      </c>
      <c r="B439" t="s">
        <v>334</v>
      </c>
      <c r="C439" t="s">
        <v>204</v>
      </c>
      <c r="D439" s="1">
        <v>7617</v>
      </c>
      <c r="E439">
        <v>594</v>
      </c>
      <c r="F439">
        <v>304</v>
      </c>
      <c r="G439" s="1">
        <v>2347</v>
      </c>
      <c r="H439">
        <v>30</v>
      </c>
      <c r="I439">
        <v>35</v>
      </c>
      <c r="J439">
        <v>18</v>
      </c>
      <c r="K439">
        <v>96</v>
      </c>
      <c r="L439">
        <v>54</v>
      </c>
      <c r="M439">
        <v>83</v>
      </c>
      <c r="N439">
        <v>149</v>
      </c>
      <c r="O439">
        <v>59</v>
      </c>
      <c r="P439">
        <v>667</v>
      </c>
      <c r="Q439">
        <v>2</v>
      </c>
      <c r="R439">
        <v>9</v>
      </c>
      <c r="S439">
        <v>694</v>
      </c>
      <c r="T439">
        <v>152</v>
      </c>
      <c r="U439">
        <v>49</v>
      </c>
      <c r="V439">
        <v>15</v>
      </c>
      <c r="W439">
        <v>618</v>
      </c>
      <c r="X439">
        <v>70</v>
      </c>
      <c r="Y439">
        <v>7</v>
      </c>
      <c r="Z439">
        <v>17</v>
      </c>
      <c r="AA439">
        <v>318</v>
      </c>
      <c r="AB439">
        <v>55</v>
      </c>
      <c r="AC439">
        <v>74</v>
      </c>
      <c r="AD439">
        <v>14</v>
      </c>
      <c r="AE439">
        <v>0</v>
      </c>
      <c r="AF439">
        <v>56</v>
      </c>
      <c r="AG439">
        <v>30</v>
      </c>
      <c r="AH439">
        <v>128</v>
      </c>
      <c r="AI439">
        <v>5</v>
      </c>
      <c r="AJ439">
        <v>1</v>
      </c>
      <c r="AK439">
        <v>2</v>
      </c>
      <c r="AL439">
        <v>23</v>
      </c>
      <c r="AM439">
        <v>144</v>
      </c>
      <c r="AN439">
        <v>33</v>
      </c>
      <c r="AO439">
        <v>3</v>
      </c>
      <c r="AP439">
        <v>2</v>
      </c>
      <c r="AQ439">
        <v>14</v>
      </c>
      <c r="AR439">
        <v>1</v>
      </c>
      <c r="AS439">
        <v>12</v>
      </c>
      <c r="AT439">
        <v>82</v>
      </c>
      <c r="AU439">
        <v>10</v>
      </c>
      <c r="AV439">
        <v>0</v>
      </c>
      <c r="AW439">
        <v>95</v>
      </c>
      <c r="AX439">
        <v>1</v>
      </c>
      <c r="AY439">
        <v>17</v>
      </c>
      <c r="AZ439">
        <v>0</v>
      </c>
      <c r="BA439">
        <v>39</v>
      </c>
      <c r="BB439">
        <v>6</v>
      </c>
      <c r="BC439">
        <v>49</v>
      </c>
      <c r="BD439">
        <v>1</v>
      </c>
      <c r="BE439">
        <v>0</v>
      </c>
      <c r="BF439">
        <v>0</v>
      </c>
      <c r="BG439">
        <v>6</v>
      </c>
      <c r="BH439">
        <v>15</v>
      </c>
      <c r="BI439">
        <v>5</v>
      </c>
      <c r="BJ439">
        <v>1</v>
      </c>
      <c r="BK439">
        <v>0</v>
      </c>
      <c r="BL439">
        <v>3</v>
      </c>
      <c r="BM439">
        <v>1</v>
      </c>
      <c r="BN439">
        <v>13</v>
      </c>
      <c r="BO439">
        <v>0</v>
      </c>
      <c r="BP439">
        <v>0</v>
      </c>
      <c r="BQ439">
        <v>6</v>
      </c>
      <c r="BR439">
        <v>28</v>
      </c>
      <c r="BS439">
        <v>6</v>
      </c>
      <c r="BT439">
        <v>1</v>
      </c>
      <c r="BU439">
        <v>8</v>
      </c>
      <c r="BV439">
        <v>6</v>
      </c>
      <c r="BW439">
        <v>24</v>
      </c>
      <c r="BX439">
        <v>0</v>
      </c>
      <c r="BY439">
        <v>1</v>
      </c>
      <c r="BZ439">
        <v>24</v>
      </c>
      <c r="CA439">
        <v>8</v>
      </c>
      <c r="CB439">
        <v>0</v>
      </c>
      <c r="CC439">
        <v>11</v>
      </c>
      <c r="CD439">
        <v>2</v>
      </c>
      <c r="CE439">
        <v>3</v>
      </c>
      <c r="CF439">
        <v>21</v>
      </c>
      <c r="CG439">
        <v>16</v>
      </c>
      <c r="CH439">
        <v>2</v>
      </c>
      <c r="CI439">
        <v>5</v>
      </c>
      <c r="CJ439">
        <v>6</v>
      </c>
      <c r="CK439">
        <v>14</v>
      </c>
      <c r="CL439">
        <v>7</v>
      </c>
      <c r="CM439">
        <v>1</v>
      </c>
      <c r="CN439">
        <v>3</v>
      </c>
      <c r="CO439">
        <v>0</v>
      </c>
      <c r="CP439">
        <v>8</v>
      </c>
      <c r="CQ439">
        <v>3</v>
      </c>
      <c r="CR439">
        <v>0</v>
      </c>
      <c r="CS439">
        <v>1</v>
      </c>
      <c r="CT439">
        <v>4</v>
      </c>
      <c r="CU439">
        <v>4</v>
      </c>
      <c r="CV439">
        <v>1</v>
      </c>
      <c r="CW439">
        <v>4</v>
      </c>
      <c r="CX439">
        <v>0</v>
      </c>
      <c r="CY439">
        <v>4</v>
      </c>
      <c r="CZ439">
        <v>4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1</v>
      </c>
      <c r="DG439">
        <v>5</v>
      </c>
      <c r="DH439">
        <v>0</v>
      </c>
      <c r="DI439">
        <v>2</v>
      </c>
      <c r="DJ439">
        <v>2</v>
      </c>
      <c r="DK439">
        <v>1</v>
      </c>
      <c r="DL439">
        <v>2</v>
      </c>
      <c r="DM439">
        <v>2</v>
      </c>
      <c r="DN439">
        <v>3</v>
      </c>
      <c r="DO439">
        <v>1</v>
      </c>
      <c r="DP439">
        <v>1</v>
      </c>
      <c r="DQ439">
        <v>0</v>
      </c>
      <c r="DR439">
        <v>4</v>
      </c>
      <c r="DS439">
        <v>3</v>
      </c>
      <c r="DT439">
        <v>1</v>
      </c>
      <c r="DU439">
        <v>0</v>
      </c>
      <c r="DV439">
        <v>0</v>
      </c>
      <c r="DW439">
        <v>1</v>
      </c>
      <c r="DX439">
        <v>0</v>
      </c>
      <c r="DY439">
        <v>0</v>
      </c>
      <c r="DZ439">
        <v>1</v>
      </c>
      <c r="EA439">
        <v>0</v>
      </c>
      <c r="EB439">
        <v>1</v>
      </c>
      <c r="EC439">
        <v>7</v>
      </c>
      <c r="ED439">
        <v>1</v>
      </c>
      <c r="EE439">
        <v>1</v>
      </c>
      <c r="EF439">
        <v>0</v>
      </c>
      <c r="EG439">
        <v>2</v>
      </c>
      <c r="EH439">
        <v>0</v>
      </c>
      <c r="EI439">
        <v>0</v>
      </c>
      <c r="EJ439">
        <v>1</v>
      </c>
      <c r="EK439">
        <v>0</v>
      </c>
      <c r="EL439">
        <v>1</v>
      </c>
      <c r="EM439">
        <v>0</v>
      </c>
      <c r="EN439">
        <v>1</v>
      </c>
      <c r="EO439">
        <v>1</v>
      </c>
      <c r="EP439">
        <v>0</v>
      </c>
      <c r="EQ439">
        <v>2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1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1</v>
      </c>
      <c r="FK439">
        <v>0</v>
      </c>
      <c r="FL439">
        <v>0</v>
      </c>
      <c r="FM439">
        <v>0</v>
      </c>
      <c r="FN439">
        <v>1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1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1</v>
      </c>
    </row>
    <row r="440" spans="1:201" x14ac:dyDescent="0.3">
      <c r="A440" t="s">
        <v>322</v>
      </c>
      <c r="B440" t="s">
        <v>335</v>
      </c>
      <c r="C440" t="s">
        <v>200</v>
      </c>
      <c r="D440" s="1">
        <v>16685</v>
      </c>
      <c r="E440" s="1">
        <v>2095</v>
      </c>
      <c r="F440">
        <v>558</v>
      </c>
      <c r="G440" s="1">
        <v>5963</v>
      </c>
      <c r="H440">
        <v>53</v>
      </c>
      <c r="I440">
        <v>68</v>
      </c>
      <c r="J440">
        <v>49</v>
      </c>
      <c r="K440">
        <v>196</v>
      </c>
      <c r="L440">
        <v>312</v>
      </c>
      <c r="M440">
        <v>142</v>
      </c>
      <c r="N440">
        <v>164</v>
      </c>
      <c r="O440">
        <v>138</v>
      </c>
      <c r="P440">
        <v>980</v>
      </c>
      <c r="Q440">
        <v>7</v>
      </c>
      <c r="R440">
        <v>18</v>
      </c>
      <c r="S440">
        <v>877</v>
      </c>
      <c r="T440">
        <v>189</v>
      </c>
      <c r="U440">
        <v>115</v>
      </c>
      <c r="V440">
        <v>43</v>
      </c>
      <c r="W440" s="1">
        <v>1793</v>
      </c>
      <c r="X440">
        <v>201</v>
      </c>
      <c r="Y440">
        <v>12</v>
      </c>
      <c r="Z440">
        <v>32</v>
      </c>
      <c r="AA440">
        <v>364</v>
      </c>
      <c r="AB440">
        <v>134</v>
      </c>
      <c r="AC440">
        <v>204</v>
      </c>
      <c r="AD440">
        <v>17</v>
      </c>
      <c r="AE440">
        <v>1</v>
      </c>
      <c r="AF440">
        <v>134</v>
      </c>
      <c r="AG440">
        <v>51</v>
      </c>
      <c r="AH440">
        <v>188</v>
      </c>
      <c r="AI440">
        <v>12</v>
      </c>
      <c r="AJ440">
        <v>5</v>
      </c>
      <c r="AK440">
        <v>18</v>
      </c>
      <c r="AL440">
        <v>39</v>
      </c>
      <c r="AM440">
        <v>227</v>
      </c>
      <c r="AN440">
        <v>70</v>
      </c>
      <c r="AO440">
        <v>3</v>
      </c>
      <c r="AP440">
        <v>0</v>
      </c>
      <c r="AQ440">
        <v>26</v>
      </c>
      <c r="AR440">
        <v>9</v>
      </c>
      <c r="AS440">
        <v>31</v>
      </c>
      <c r="AT440">
        <v>82</v>
      </c>
      <c r="AU440">
        <v>36</v>
      </c>
      <c r="AV440">
        <v>12</v>
      </c>
      <c r="AW440">
        <v>126</v>
      </c>
      <c r="AX440">
        <v>5</v>
      </c>
      <c r="AY440">
        <v>49</v>
      </c>
      <c r="AZ440">
        <v>3</v>
      </c>
      <c r="BA440">
        <v>57</v>
      </c>
      <c r="BB440">
        <v>27</v>
      </c>
      <c r="BC440">
        <v>48</v>
      </c>
      <c r="BD440">
        <v>0</v>
      </c>
      <c r="BE440">
        <v>3</v>
      </c>
      <c r="BF440">
        <v>3</v>
      </c>
      <c r="BG440">
        <v>12</v>
      </c>
      <c r="BH440">
        <v>45</v>
      </c>
      <c r="BI440">
        <v>6</v>
      </c>
      <c r="BJ440">
        <v>7</v>
      </c>
      <c r="BK440">
        <v>2</v>
      </c>
      <c r="BL440">
        <v>16</v>
      </c>
      <c r="BM440">
        <v>9</v>
      </c>
      <c r="BN440">
        <v>29</v>
      </c>
      <c r="BO440">
        <v>6</v>
      </c>
      <c r="BP440">
        <v>4</v>
      </c>
      <c r="BQ440">
        <v>2</v>
      </c>
      <c r="BR440">
        <v>43</v>
      </c>
      <c r="BS440">
        <v>10</v>
      </c>
      <c r="BT440">
        <v>0</v>
      </c>
      <c r="BU440">
        <v>9</v>
      </c>
      <c r="BV440">
        <v>17</v>
      </c>
      <c r="BW440">
        <v>47</v>
      </c>
      <c r="BX440">
        <v>0</v>
      </c>
      <c r="BY440">
        <v>3</v>
      </c>
      <c r="BZ440">
        <v>15</v>
      </c>
      <c r="CA440">
        <v>29</v>
      </c>
      <c r="CB440">
        <v>6</v>
      </c>
      <c r="CC440">
        <v>14</v>
      </c>
      <c r="CD440">
        <v>8</v>
      </c>
      <c r="CE440">
        <v>16</v>
      </c>
      <c r="CF440">
        <v>28</v>
      </c>
      <c r="CG440">
        <v>23</v>
      </c>
      <c r="CH440">
        <v>1</v>
      </c>
      <c r="CI440">
        <v>14</v>
      </c>
      <c r="CJ440">
        <v>20</v>
      </c>
      <c r="CK440">
        <v>23</v>
      </c>
      <c r="CL440">
        <v>10</v>
      </c>
      <c r="CM440">
        <v>0</v>
      </c>
      <c r="CN440">
        <v>20</v>
      </c>
      <c r="CO440">
        <v>0</v>
      </c>
      <c r="CP440">
        <v>13</v>
      </c>
      <c r="CQ440">
        <v>9</v>
      </c>
      <c r="CR440">
        <v>1</v>
      </c>
      <c r="CS440">
        <v>6</v>
      </c>
      <c r="CT440">
        <v>17</v>
      </c>
      <c r="CU440">
        <v>13</v>
      </c>
      <c r="CV440">
        <v>9</v>
      </c>
      <c r="CW440">
        <v>9</v>
      </c>
      <c r="CX440">
        <v>1</v>
      </c>
      <c r="CY440">
        <v>13</v>
      </c>
      <c r="CZ440">
        <v>5</v>
      </c>
      <c r="DA440">
        <v>3</v>
      </c>
      <c r="DB440">
        <v>2</v>
      </c>
      <c r="DC440">
        <v>1</v>
      </c>
      <c r="DD440">
        <v>1</v>
      </c>
      <c r="DE440">
        <v>1</v>
      </c>
      <c r="DF440">
        <v>2</v>
      </c>
      <c r="DG440">
        <v>4</v>
      </c>
      <c r="DH440">
        <v>1</v>
      </c>
      <c r="DI440">
        <v>2</v>
      </c>
      <c r="DJ440">
        <v>2</v>
      </c>
      <c r="DK440">
        <v>7</v>
      </c>
      <c r="DL440">
        <v>4</v>
      </c>
      <c r="DM440">
        <v>6</v>
      </c>
      <c r="DN440">
        <v>1</v>
      </c>
      <c r="DO440">
        <v>4</v>
      </c>
      <c r="DP440">
        <v>1</v>
      </c>
      <c r="DQ440">
        <v>3</v>
      </c>
      <c r="DR440">
        <v>3</v>
      </c>
      <c r="DS440">
        <v>4</v>
      </c>
      <c r="DT440">
        <v>4</v>
      </c>
      <c r="DU440">
        <v>0</v>
      </c>
      <c r="DV440">
        <v>6</v>
      </c>
      <c r="DW440">
        <v>0</v>
      </c>
      <c r="DX440">
        <v>0</v>
      </c>
      <c r="DY440">
        <v>0</v>
      </c>
      <c r="DZ440">
        <v>7</v>
      </c>
      <c r="EA440">
        <v>11</v>
      </c>
      <c r="EB440">
        <v>1</v>
      </c>
      <c r="EC440">
        <v>2</v>
      </c>
      <c r="ED440">
        <v>0</v>
      </c>
      <c r="EE440">
        <v>2</v>
      </c>
      <c r="EF440">
        <v>0</v>
      </c>
      <c r="EG440">
        <v>3</v>
      </c>
      <c r="EH440">
        <v>2</v>
      </c>
      <c r="EI440">
        <v>0</v>
      </c>
      <c r="EJ440">
        <v>2</v>
      </c>
      <c r="EK440">
        <v>1</v>
      </c>
      <c r="EL440">
        <v>1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1</v>
      </c>
      <c r="ES440">
        <v>1</v>
      </c>
      <c r="ET440">
        <v>0</v>
      </c>
      <c r="EU440">
        <v>0</v>
      </c>
      <c r="EV440">
        <v>0</v>
      </c>
      <c r="EW440">
        <v>1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1</v>
      </c>
      <c r="FM440">
        <v>0</v>
      </c>
      <c r="FN440">
        <v>2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1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1</v>
      </c>
      <c r="GR440">
        <v>0</v>
      </c>
      <c r="GS440">
        <v>4</v>
      </c>
    </row>
    <row r="441" spans="1:201" x14ac:dyDescent="0.3">
      <c r="A441" t="s">
        <v>322</v>
      </c>
      <c r="B441" t="s">
        <v>335</v>
      </c>
      <c r="C441" t="s">
        <v>203</v>
      </c>
      <c r="D441" s="1">
        <v>5016</v>
      </c>
      <c r="E441">
        <v>584</v>
      </c>
      <c r="F441">
        <v>256</v>
      </c>
      <c r="G441" s="1">
        <v>1505</v>
      </c>
      <c r="H441">
        <v>30</v>
      </c>
      <c r="I441">
        <v>29</v>
      </c>
      <c r="J441">
        <v>17</v>
      </c>
      <c r="K441">
        <v>37</v>
      </c>
      <c r="L441">
        <v>85</v>
      </c>
      <c r="M441">
        <v>28</v>
      </c>
      <c r="N441">
        <v>14</v>
      </c>
      <c r="O441">
        <v>30</v>
      </c>
      <c r="P441">
        <v>423</v>
      </c>
      <c r="Q441">
        <v>2</v>
      </c>
      <c r="R441">
        <v>4</v>
      </c>
      <c r="S441">
        <v>126</v>
      </c>
      <c r="T441">
        <v>34</v>
      </c>
      <c r="U441">
        <v>17</v>
      </c>
      <c r="V441">
        <v>20</v>
      </c>
      <c r="W441">
        <v>797</v>
      </c>
      <c r="X441">
        <v>79</v>
      </c>
      <c r="Y441">
        <v>3</v>
      </c>
      <c r="Z441">
        <v>5</v>
      </c>
      <c r="AA441">
        <v>142</v>
      </c>
      <c r="AB441">
        <v>32</v>
      </c>
      <c r="AC441">
        <v>97</v>
      </c>
      <c r="AD441">
        <v>10</v>
      </c>
      <c r="AE441">
        <v>0</v>
      </c>
      <c r="AF441">
        <v>73</v>
      </c>
      <c r="AG441">
        <v>10</v>
      </c>
      <c r="AH441">
        <v>63</v>
      </c>
      <c r="AI441">
        <v>4</v>
      </c>
      <c r="AJ441">
        <v>1</v>
      </c>
      <c r="AK441">
        <v>9</v>
      </c>
      <c r="AL441">
        <v>5</v>
      </c>
      <c r="AM441">
        <v>41</v>
      </c>
      <c r="AN441">
        <v>30</v>
      </c>
      <c r="AO441">
        <v>1</v>
      </c>
      <c r="AP441">
        <v>0</v>
      </c>
      <c r="AQ441">
        <v>4</v>
      </c>
      <c r="AR441">
        <v>3</v>
      </c>
      <c r="AS441">
        <v>10</v>
      </c>
      <c r="AT441">
        <v>17</v>
      </c>
      <c r="AU441">
        <v>13</v>
      </c>
      <c r="AV441">
        <v>5</v>
      </c>
      <c r="AW441">
        <v>47</v>
      </c>
      <c r="AX441">
        <v>3</v>
      </c>
      <c r="AY441">
        <v>12</v>
      </c>
      <c r="AZ441">
        <v>2</v>
      </c>
      <c r="BA441">
        <v>15</v>
      </c>
      <c r="BB441">
        <v>14</v>
      </c>
      <c r="BC441">
        <v>18</v>
      </c>
      <c r="BD441">
        <v>0</v>
      </c>
      <c r="BE441">
        <v>0</v>
      </c>
      <c r="BF441">
        <v>1</v>
      </c>
      <c r="BG441">
        <v>9</v>
      </c>
      <c r="BH441">
        <v>16</v>
      </c>
      <c r="BI441">
        <v>1</v>
      </c>
      <c r="BJ441">
        <v>2</v>
      </c>
      <c r="BK441">
        <v>1</v>
      </c>
      <c r="BL441">
        <v>6</v>
      </c>
      <c r="BM441">
        <v>2</v>
      </c>
      <c r="BN441">
        <v>9</v>
      </c>
      <c r="BO441">
        <v>1</v>
      </c>
      <c r="BP441">
        <v>1</v>
      </c>
      <c r="BQ441">
        <v>0</v>
      </c>
      <c r="BR441">
        <v>11</v>
      </c>
      <c r="BS441">
        <v>5</v>
      </c>
      <c r="BT441">
        <v>0</v>
      </c>
      <c r="BU441">
        <v>1</v>
      </c>
      <c r="BV441">
        <v>4</v>
      </c>
      <c r="BW441">
        <v>23</v>
      </c>
      <c r="BX441">
        <v>0</v>
      </c>
      <c r="BY441">
        <v>3</v>
      </c>
      <c r="BZ441">
        <v>6</v>
      </c>
      <c r="CA441">
        <v>11</v>
      </c>
      <c r="CB441">
        <v>2</v>
      </c>
      <c r="CC441">
        <v>0</v>
      </c>
      <c r="CD441">
        <v>0</v>
      </c>
      <c r="CE441">
        <v>2</v>
      </c>
      <c r="CF441">
        <v>4</v>
      </c>
      <c r="CG441">
        <v>4</v>
      </c>
      <c r="CH441">
        <v>1</v>
      </c>
      <c r="CI441">
        <v>6</v>
      </c>
      <c r="CJ441">
        <v>6</v>
      </c>
      <c r="CK441">
        <v>7</v>
      </c>
      <c r="CL441">
        <v>4</v>
      </c>
      <c r="CM441">
        <v>0</v>
      </c>
      <c r="CN441">
        <v>10</v>
      </c>
      <c r="CO441">
        <v>0</v>
      </c>
      <c r="CP441">
        <v>2</v>
      </c>
      <c r="CQ441">
        <v>1</v>
      </c>
      <c r="CR441">
        <v>1</v>
      </c>
      <c r="CS441">
        <v>2</v>
      </c>
      <c r="CT441">
        <v>3</v>
      </c>
      <c r="CU441">
        <v>6</v>
      </c>
      <c r="CV441">
        <v>2</v>
      </c>
      <c r="CW441">
        <v>3</v>
      </c>
      <c r="CX441">
        <v>1</v>
      </c>
      <c r="CY441">
        <v>1</v>
      </c>
      <c r="CZ441">
        <v>0</v>
      </c>
      <c r="DA441">
        <v>1</v>
      </c>
      <c r="DB441">
        <v>0</v>
      </c>
      <c r="DC441">
        <v>0</v>
      </c>
      <c r="DD441">
        <v>0</v>
      </c>
      <c r="DE441">
        <v>0</v>
      </c>
      <c r="DF441">
        <v>1</v>
      </c>
      <c r="DG441">
        <v>1</v>
      </c>
      <c r="DH441">
        <v>0</v>
      </c>
      <c r="DI441">
        <v>0</v>
      </c>
      <c r="DJ441">
        <v>0</v>
      </c>
      <c r="DK441">
        <v>1</v>
      </c>
      <c r="DL441">
        <v>0</v>
      </c>
      <c r="DM441">
        <v>0</v>
      </c>
      <c r="DN441">
        <v>0</v>
      </c>
      <c r="DO441">
        <v>3</v>
      </c>
      <c r="DP441">
        <v>0</v>
      </c>
      <c r="DQ441">
        <v>0</v>
      </c>
      <c r="DR441">
        <v>1</v>
      </c>
      <c r="DS441">
        <v>2</v>
      </c>
      <c r="DT441">
        <v>1</v>
      </c>
      <c r="DU441">
        <v>0</v>
      </c>
      <c r="DV441">
        <v>2</v>
      </c>
      <c r="DW441">
        <v>0</v>
      </c>
      <c r="DX441">
        <v>0</v>
      </c>
      <c r="DY441">
        <v>0</v>
      </c>
      <c r="DZ441">
        <v>1</v>
      </c>
      <c r="EA441">
        <v>5</v>
      </c>
      <c r="EB441">
        <v>1</v>
      </c>
      <c r="EC441">
        <v>2</v>
      </c>
      <c r="ED441">
        <v>0</v>
      </c>
      <c r="EE441">
        <v>0</v>
      </c>
      <c r="EF441">
        <v>0</v>
      </c>
      <c r="EG441">
        <v>1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1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1</v>
      </c>
      <c r="GR441">
        <v>0</v>
      </c>
      <c r="GS441">
        <v>4</v>
      </c>
    </row>
    <row r="442" spans="1:201" x14ac:dyDescent="0.3">
      <c r="A442" t="s">
        <v>322</v>
      </c>
      <c r="B442" t="s">
        <v>335</v>
      </c>
      <c r="C442" t="s">
        <v>204</v>
      </c>
      <c r="D442" s="1">
        <v>11669</v>
      </c>
      <c r="E442" s="1">
        <v>1511</v>
      </c>
      <c r="F442">
        <v>302</v>
      </c>
      <c r="G442" s="1">
        <v>4458</v>
      </c>
      <c r="H442">
        <v>23</v>
      </c>
      <c r="I442">
        <v>39</v>
      </c>
      <c r="J442">
        <v>32</v>
      </c>
      <c r="K442">
        <v>159</v>
      </c>
      <c r="L442">
        <v>227</v>
      </c>
      <c r="M442">
        <v>114</v>
      </c>
      <c r="N442">
        <v>150</v>
      </c>
      <c r="O442">
        <v>108</v>
      </c>
      <c r="P442">
        <v>557</v>
      </c>
      <c r="Q442">
        <v>5</v>
      </c>
      <c r="R442">
        <v>14</v>
      </c>
      <c r="S442">
        <v>751</v>
      </c>
      <c r="T442">
        <v>155</v>
      </c>
      <c r="U442">
        <v>98</v>
      </c>
      <c r="V442">
        <v>23</v>
      </c>
      <c r="W442">
        <v>996</v>
      </c>
      <c r="X442">
        <v>122</v>
      </c>
      <c r="Y442">
        <v>9</v>
      </c>
      <c r="Z442">
        <v>27</v>
      </c>
      <c r="AA442">
        <v>222</v>
      </c>
      <c r="AB442">
        <v>102</v>
      </c>
      <c r="AC442">
        <v>107</v>
      </c>
      <c r="AD442">
        <v>7</v>
      </c>
      <c r="AE442">
        <v>1</v>
      </c>
      <c r="AF442">
        <v>61</v>
      </c>
      <c r="AG442">
        <v>41</v>
      </c>
      <c r="AH442">
        <v>125</v>
      </c>
      <c r="AI442">
        <v>8</v>
      </c>
      <c r="AJ442">
        <v>4</v>
      </c>
      <c r="AK442">
        <v>9</v>
      </c>
      <c r="AL442">
        <v>34</v>
      </c>
      <c r="AM442">
        <v>186</v>
      </c>
      <c r="AN442">
        <v>40</v>
      </c>
      <c r="AO442">
        <v>2</v>
      </c>
      <c r="AP442">
        <v>0</v>
      </c>
      <c r="AQ442">
        <v>22</v>
      </c>
      <c r="AR442">
        <v>6</v>
      </c>
      <c r="AS442">
        <v>21</v>
      </c>
      <c r="AT442">
        <v>65</v>
      </c>
      <c r="AU442">
        <v>23</v>
      </c>
      <c r="AV442">
        <v>7</v>
      </c>
      <c r="AW442">
        <v>79</v>
      </c>
      <c r="AX442">
        <v>2</v>
      </c>
      <c r="AY442">
        <v>37</v>
      </c>
      <c r="AZ442">
        <v>1</v>
      </c>
      <c r="BA442">
        <v>42</v>
      </c>
      <c r="BB442">
        <v>13</v>
      </c>
      <c r="BC442">
        <v>30</v>
      </c>
      <c r="BD442">
        <v>0</v>
      </c>
      <c r="BE442">
        <v>3</v>
      </c>
      <c r="BF442">
        <v>2</v>
      </c>
      <c r="BG442">
        <v>3</v>
      </c>
      <c r="BH442">
        <v>29</v>
      </c>
      <c r="BI442">
        <v>5</v>
      </c>
      <c r="BJ442">
        <v>5</v>
      </c>
      <c r="BK442">
        <v>1</v>
      </c>
      <c r="BL442">
        <v>10</v>
      </c>
      <c r="BM442">
        <v>7</v>
      </c>
      <c r="BN442">
        <v>20</v>
      </c>
      <c r="BO442">
        <v>5</v>
      </c>
      <c r="BP442">
        <v>3</v>
      </c>
      <c r="BQ442">
        <v>2</v>
      </c>
      <c r="BR442">
        <v>32</v>
      </c>
      <c r="BS442">
        <v>5</v>
      </c>
      <c r="BT442">
        <v>0</v>
      </c>
      <c r="BU442">
        <v>8</v>
      </c>
      <c r="BV442">
        <v>13</v>
      </c>
      <c r="BW442">
        <v>24</v>
      </c>
      <c r="BX442">
        <v>0</v>
      </c>
      <c r="BY442">
        <v>0</v>
      </c>
      <c r="BZ442">
        <v>9</v>
      </c>
      <c r="CA442">
        <v>18</v>
      </c>
      <c r="CB442">
        <v>4</v>
      </c>
      <c r="CC442">
        <v>14</v>
      </c>
      <c r="CD442">
        <v>8</v>
      </c>
      <c r="CE442">
        <v>14</v>
      </c>
      <c r="CF442">
        <v>24</v>
      </c>
      <c r="CG442">
        <v>19</v>
      </c>
      <c r="CH442">
        <v>0</v>
      </c>
      <c r="CI442">
        <v>8</v>
      </c>
      <c r="CJ442">
        <v>14</v>
      </c>
      <c r="CK442">
        <v>16</v>
      </c>
      <c r="CL442">
        <v>6</v>
      </c>
      <c r="CM442">
        <v>0</v>
      </c>
      <c r="CN442">
        <v>10</v>
      </c>
      <c r="CO442">
        <v>0</v>
      </c>
      <c r="CP442">
        <v>11</v>
      </c>
      <c r="CQ442">
        <v>8</v>
      </c>
      <c r="CR442">
        <v>0</v>
      </c>
      <c r="CS442">
        <v>4</v>
      </c>
      <c r="CT442">
        <v>14</v>
      </c>
      <c r="CU442">
        <v>7</v>
      </c>
      <c r="CV442">
        <v>7</v>
      </c>
      <c r="CW442">
        <v>6</v>
      </c>
      <c r="CX442">
        <v>0</v>
      </c>
      <c r="CY442">
        <v>12</v>
      </c>
      <c r="CZ442">
        <v>5</v>
      </c>
      <c r="DA442">
        <v>2</v>
      </c>
      <c r="DB442">
        <v>2</v>
      </c>
      <c r="DC442">
        <v>1</v>
      </c>
      <c r="DD442">
        <v>1</v>
      </c>
      <c r="DE442">
        <v>1</v>
      </c>
      <c r="DF442">
        <v>1</v>
      </c>
      <c r="DG442">
        <v>3</v>
      </c>
      <c r="DH442">
        <v>1</v>
      </c>
      <c r="DI442">
        <v>2</v>
      </c>
      <c r="DJ442">
        <v>2</v>
      </c>
      <c r="DK442">
        <v>6</v>
      </c>
      <c r="DL442">
        <v>4</v>
      </c>
      <c r="DM442">
        <v>6</v>
      </c>
      <c r="DN442">
        <v>1</v>
      </c>
      <c r="DO442">
        <v>1</v>
      </c>
      <c r="DP442">
        <v>1</v>
      </c>
      <c r="DQ442">
        <v>3</v>
      </c>
      <c r="DR442">
        <v>2</v>
      </c>
      <c r="DS442">
        <v>2</v>
      </c>
      <c r="DT442">
        <v>3</v>
      </c>
      <c r="DU442">
        <v>0</v>
      </c>
      <c r="DV442">
        <v>4</v>
      </c>
      <c r="DW442">
        <v>0</v>
      </c>
      <c r="DX442">
        <v>0</v>
      </c>
      <c r="DY442">
        <v>0</v>
      </c>
      <c r="DZ442">
        <v>6</v>
      </c>
      <c r="EA442">
        <v>6</v>
      </c>
      <c r="EB442">
        <v>0</v>
      </c>
      <c r="EC442">
        <v>0</v>
      </c>
      <c r="ED442">
        <v>0</v>
      </c>
      <c r="EE442">
        <v>2</v>
      </c>
      <c r="EF442">
        <v>0</v>
      </c>
      <c r="EG442">
        <v>2</v>
      </c>
      <c r="EH442">
        <v>2</v>
      </c>
      <c r="EI442">
        <v>0</v>
      </c>
      <c r="EJ442">
        <v>2</v>
      </c>
      <c r="EK442">
        <v>1</v>
      </c>
      <c r="EL442">
        <v>1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1</v>
      </c>
      <c r="ET442">
        <v>0</v>
      </c>
      <c r="EU442">
        <v>0</v>
      </c>
      <c r="EV442">
        <v>0</v>
      </c>
      <c r="EW442">
        <v>1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1</v>
      </c>
      <c r="FM442">
        <v>0</v>
      </c>
      <c r="FN442">
        <v>2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1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</row>
    <row r="443" spans="1:201" x14ac:dyDescent="0.3">
      <c r="A443" t="s">
        <v>322</v>
      </c>
      <c r="B443" t="s">
        <v>336</v>
      </c>
      <c r="C443" t="s">
        <v>200</v>
      </c>
      <c r="D443" s="1">
        <v>4867</v>
      </c>
      <c r="E443">
        <v>172</v>
      </c>
      <c r="F443">
        <v>398</v>
      </c>
      <c r="G443">
        <v>765</v>
      </c>
      <c r="H443">
        <v>22</v>
      </c>
      <c r="I443">
        <v>72</v>
      </c>
      <c r="J443">
        <v>39</v>
      </c>
      <c r="K443">
        <v>45</v>
      </c>
      <c r="L443">
        <v>50</v>
      </c>
      <c r="M443">
        <v>100</v>
      </c>
      <c r="N443">
        <v>89</v>
      </c>
      <c r="O443">
        <v>46</v>
      </c>
      <c r="P443">
        <v>746</v>
      </c>
      <c r="Q443">
        <v>3</v>
      </c>
      <c r="R443">
        <v>11</v>
      </c>
      <c r="S443">
        <v>331</v>
      </c>
      <c r="T443">
        <v>76</v>
      </c>
      <c r="U443">
        <v>52</v>
      </c>
      <c r="V443">
        <v>8</v>
      </c>
      <c r="W443">
        <v>152</v>
      </c>
      <c r="X443">
        <v>152</v>
      </c>
      <c r="Y443">
        <v>1</v>
      </c>
      <c r="Z443">
        <v>7</v>
      </c>
      <c r="AA443">
        <v>482</v>
      </c>
      <c r="AB443">
        <v>25</v>
      </c>
      <c r="AC443">
        <v>123</v>
      </c>
      <c r="AD443">
        <v>20</v>
      </c>
      <c r="AE443">
        <v>0</v>
      </c>
      <c r="AF443">
        <v>137</v>
      </c>
      <c r="AG443">
        <v>50</v>
      </c>
      <c r="AH443">
        <v>52</v>
      </c>
      <c r="AI443">
        <v>5</v>
      </c>
      <c r="AJ443">
        <v>2</v>
      </c>
      <c r="AK443">
        <v>2</v>
      </c>
      <c r="AL443">
        <v>13</v>
      </c>
      <c r="AM443">
        <v>25</v>
      </c>
      <c r="AN443">
        <v>79</v>
      </c>
      <c r="AO443">
        <v>2</v>
      </c>
      <c r="AP443">
        <v>0</v>
      </c>
      <c r="AQ443">
        <v>9</v>
      </c>
      <c r="AR443">
        <v>5</v>
      </c>
      <c r="AS443">
        <v>29</v>
      </c>
      <c r="AT443">
        <v>60</v>
      </c>
      <c r="AU443">
        <v>9</v>
      </c>
      <c r="AV443">
        <v>1</v>
      </c>
      <c r="AW443">
        <v>29</v>
      </c>
      <c r="AX443">
        <v>3</v>
      </c>
      <c r="AY443">
        <v>12</v>
      </c>
      <c r="AZ443">
        <v>1</v>
      </c>
      <c r="BA443">
        <v>26</v>
      </c>
      <c r="BB443">
        <v>47</v>
      </c>
      <c r="BC443">
        <v>35</v>
      </c>
      <c r="BD443">
        <v>0</v>
      </c>
      <c r="BE443">
        <v>0</v>
      </c>
      <c r="BF443">
        <v>1</v>
      </c>
      <c r="BG443">
        <v>15</v>
      </c>
      <c r="BH443">
        <v>13</v>
      </c>
      <c r="BI443">
        <v>1</v>
      </c>
      <c r="BJ443">
        <v>1</v>
      </c>
      <c r="BK443">
        <v>1</v>
      </c>
      <c r="BL443">
        <v>0</v>
      </c>
      <c r="BM443">
        <v>0</v>
      </c>
      <c r="BN443">
        <v>8</v>
      </c>
      <c r="BO443">
        <v>1</v>
      </c>
      <c r="BP443">
        <v>6</v>
      </c>
      <c r="BQ443">
        <v>5</v>
      </c>
      <c r="BR443">
        <v>12</v>
      </c>
      <c r="BS443">
        <v>9</v>
      </c>
      <c r="BT443">
        <v>1</v>
      </c>
      <c r="BU443">
        <v>2</v>
      </c>
      <c r="BV443">
        <v>2</v>
      </c>
      <c r="BW443">
        <v>31</v>
      </c>
      <c r="BX443">
        <v>0</v>
      </c>
      <c r="BY443">
        <v>0</v>
      </c>
      <c r="BZ443">
        <v>10</v>
      </c>
      <c r="CA443">
        <v>12</v>
      </c>
      <c r="CB443">
        <v>0</v>
      </c>
      <c r="CC443">
        <v>7</v>
      </c>
      <c r="CD443">
        <v>3</v>
      </c>
      <c r="CE443">
        <v>2</v>
      </c>
      <c r="CF443">
        <v>0</v>
      </c>
      <c r="CG443">
        <v>2</v>
      </c>
      <c r="CH443">
        <v>0</v>
      </c>
      <c r="CI443">
        <v>4</v>
      </c>
      <c r="CJ443">
        <v>3</v>
      </c>
      <c r="CK443">
        <v>8</v>
      </c>
      <c r="CL443">
        <v>3</v>
      </c>
      <c r="CM443">
        <v>0</v>
      </c>
      <c r="CN443">
        <v>22</v>
      </c>
      <c r="CO443">
        <v>0</v>
      </c>
      <c r="CP443">
        <v>0</v>
      </c>
      <c r="CQ443">
        <v>2</v>
      </c>
      <c r="CR443">
        <v>1</v>
      </c>
      <c r="CS443">
        <v>5</v>
      </c>
      <c r="CT443">
        <v>3</v>
      </c>
      <c r="CU443">
        <v>2</v>
      </c>
      <c r="CV443">
        <v>2</v>
      </c>
      <c r="CW443">
        <v>6</v>
      </c>
      <c r="CX443">
        <v>0</v>
      </c>
      <c r="CY443">
        <v>2</v>
      </c>
      <c r="CZ443">
        <v>2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</v>
      </c>
      <c r="DJ443">
        <v>1</v>
      </c>
      <c r="DK443">
        <v>0</v>
      </c>
      <c r="DL443">
        <v>0</v>
      </c>
      <c r="DM443">
        <v>1</v>
      </c>
      <c r="DN443">
        <v>0</v>
      </c>
      <c r="DO443">
        <v>0</v>
      </c>
      <c r="DP443">
        <v>2</v>
      </c>
      <c r="DQ443">
        <v>0</v>
      </c>
      <c r="DR443">
        <v>1</v>
      </c>
      <c r="DS443">
        <v>4</v>
      </c>
      <c r="DT443">
        <v>2</v>
      </c>
      <c r="DU443">
        <v>0</v>
      </c>
      <c r="DV443">
        <v>0</v>
      </c>
      <c r="DW443">
        <v>0</v>
      </c>
      <c r="DX443">
        <v>0</v>
      </c>
      <c r="DY443">
        <v>1</v>
      </c>
      <c r="DZ443">
        <v>0</v>
      </c>
      <c r="EA443">
        <v>1</v>
      </c>
      <c r="EB443">
        <v>0</v>
      </c>
      <c r="EC443">
        <v>8</v>
      </c>
      <c r="ED443">
        <v>2</v>
      </c>
      <c r="EE443">
        <v>0</v>
      </c>
      <c r="EF443">
        <v>0</v>
      </c>
      <c r="EG443">
        <v>2</v>
      </c>
      <c r="EH443">
        <v>0</v>
      </c>
      <c r="EI443">
        <v>0</v>
      </c>
      <c r="EJ443">
        <v>2</v>
      </c>
      <c r="EK443">
        <v>1</v>
      </c>
      <c r="EL443">
        <v>0</v>
      </c>
      <c r="EM443">
        <v>1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1</v>
      </c>
      <c r="EX443">
        <v>0</v>
      </c>
      <c r="EY443">
        <v>2</v>
      </c>
      <c r="EZ443">
        <v>0</v>
      </c>
      <c r="FA443">
        <v>0</v>
      </c>
      <c r="FB443">
        <v>1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1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2</v>
      </c>
    </row>
    <row r="444" spans="1:201" x14ac:dyDescent="0.3">
      <c r="A444" t="s">
        <v>322</v>
      </c>
      <c r="B444" t="s">
        <v>336</v>
      </c>
      <c r="C444" t="s">
        <v>203</v>
      </c>
      <c r="D444" s="1">
        <v>2324</v>
      </c>
      <c r="E444">
        <v>51</v>
      </c>
      <c r="F444">
        <v>178</v>
      </c>
      <c r="G444">
        <v>366</v>
      </c>
      <c r="H444">
        <v>16</v>
      </c>
      <c r="I444">
        <v>37</v>
      </c>
      <c r="J444">
        <v>34</v>
      </c>
      <c r="K444">
        <v>17</v>
      </c>
      <c r="L444">
        <v>22</v>
      </c>
      <c r="M444">
        <v>14</v>
      </c>
      <c r="N444">
        <v>22</v>
      </c>
      <c r="O444">
        <v>15</v>
      </c>
      <c r="P444">
        <v>416</v>
      </c>
      <c r="Q444">
        <v>2</v>
      </c>
      <c r="R444">
        <v>8</v>
      </c>
      <c r="S444">
        <v>106</v>
      </c>
      <c r="T444">
        <v>17</v>
      </c>
      <c r="U444">
        <v>24</v>
      </c>
      <c r="V444">
        <v>8</v>
      </c>
      <c r="W444">
        <v>56</v>
      </c>
      <c r="X444">
        <v>83</v>
      </c>
      <c r="Y444">
        <v>0</v>
      </c>
      <c r="Z444">
        <v>4</v>
      </c>
      <c r="AA444">
        <v>291</v>
      </c>
      <c r="AB444">
        <v>11</v>
      </c>
      <c r="AC444">
        <v>67</v>
      </c>
      <c r="AD444">
        <v>7</v>
      </c>
      <c r="AE444">
        <v>0</v>
      </c>
      <c r="AF444">
        <v>81</v>
      </c>
      <c r="AG444">
        <v>22</v>
      </c>
      <c r="AH444">
        <v>24</v>
      </c>
      <c r="AI444">
        <v>3</v>
      </c>
      <c r="AJ444">
        <v>2</v>
      </c>
      <c r="AK444">
        <v>1</v>
      </c>
      <c r="AL444">
        <v>3</v>
      </c>
      <c r="AM444">
        <v>5</v>
      </c>
      <c r="AN444">
        <v>46</v>
      </c>
      <c r="AO444">
        <v>0</v>
      </c>
      <c r="AP444">
        <v>0</v>
      </c>
      <c r="AQ444">
        <v>2</v>
      </c>
      <c r="AR444">
        <v>2</v>
      </c>
      <c r="AS444">
        <v>16</v>
      </c>
      <c r="AT444">
        <v>30</v>
      </c>
      <c r="AU444">
        <v>4</v>
      </c>
      <c r="AV444">
        <v>1</v>
      </c>
      <c r="AW444">
        <v>14</v>
      </c>
      <c r="AX444">
        <v>1</v>
      </c>
      <c r="AY444">
        <v>3</v>
      </c>
      <c r="AZ444">
        <v>1</v>
      </c>
      <c r="BA444">
        <v>15</v>
      </c>
      <c r="BB444">
        <v>27</v>
      </c>
      <c r="BC444">
        <v>21</v>
      </c>
      <c r="BD444">
        <v>0</v>
      </c>
      <c r="BE444">
        <v>0</v>
      </c>
      <c r="BF444">
        <v>0</v>
      </c>
      <c r="BG444">
        <v>7</v>
      </c>
      <c r="BH444">
        <v>6</v>
      </c>
      <c r="BI444">
        <v>1</v>
      </c>
      <c r="BJ444">
        <v>1</v>
      </c>
      <c r="BK444">
        <v>1</v>
      </c>
      <c r="BL444">
        <v>0</v>
      </c>
      <c r="BM444">
        <v>0</v>
      </c>
      <c r="BN444">
        <v>3</v>
      </c>
      <c r="BO444">
        <v>0</v>
      </c>
      <c r="BP444">
        <v>6</v>
      </c>
      <c r="BQ444">
        <v>3</v>
      </c>
      <c r="BR444">
        <v>8</v>
      </c>
      <c r="BS444">
        <v>7</v>
      </c>
      <c r="BT444">
        <v>0</v>
      </c>
      <c r="BU444">
        <v>0</v>
      </c>
      <c r="BV444">
        <v>1</v>
      </c>
      <c r="BW444">
        <v>17</v>
      </c>
      <c r="BX444">
        <v>0</v>
      </c>
      <c r="BY444">
        <v>0</v>
      </c>
      <c r="BZ444">
        <v>5</v>
      </c>
      <c r="CA444">
        <v>4</v>
      </c>
      <c r="CB444">
        <v>0</v>
      </c>
      <c r="CC444">
        <v>3</v>
      </c>
      <c r="CD444">
        <v>1</v>
      </c>
      <c r="CE444">
        <v>1</v>
      </c>
      <c r="CF444">
        <v>0</v>
      </c>
      <c r="CG444">
        <v>1</v>
      </c>
      <c r="CH444">
        <v>0</v>
      </c>
      <c r="CI444">
        <v>2</v>
      </c>
      <c r="CJ444">
        <v>2</v>
      </c>
      <c r="CK444">
        <v>6</v>
      </c>
      <c r="CL444">
        <v>2</v>
      </c>
      <c r="CM444">
        <v>0</v>
      </c>
      <c r="CN444">
        <v>11</v>
      </c>
      <c r="CO444">
        <v>0</v>
      </c>
      <c r="CP444">
        <v>0</v>
      </c>
      <c r="CQ444">
        <v>1</v>
      </c>
      <c r="CR444">
        <v>1</v>
      </c>
      <c r="CS444">
        <v>3</v>
      </c>
      <c r="CT444">
        <v>2</v>
      </c>
      <c r="CU444">
        <v>1</v>
      </c>
      <c r="CV444">
        <v>1</v>
      </c>
      <c r="CW444">
        <v>4</v>
      </c>
      <c r="CX444">
        <v>0</v>
      </c>
      <c r="CY444">
        <v>1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1</v>
      </c>
      <c r="DQ444">
        <v>0</v>
      </c>
      <c r="DR444">
        <v>0</v>
      </c>
      <c r="DS444">
        <v>0</v>
      </c>
      <c r="DT444">
        <v>1</v>
      </c>
      <c r="DU444">
        <v>0</v>
      </c>
      <c r="DV444">
        <v>0</v>
      </c>
      <c r="DW444">
        <v>0</v>
      </c>
      <c r="DX444">
        <v>0</v>
      </c>
      <c r="DY444">
        <v>1</v>
      </c>
      <c r="DZ444">
        <v>0</v>
      </c>
      <c r="EA444">
        <v>0</v>
      </c>
      <c r="EB444">
        <v>0</v>
      </c>
      <c r="EC444">
        <v>3</v>
      </c>
      <c r="ED444">
        <v>2</v>
      </c>
      <c r="EE444">
        <v>0</v>
      </c>
      <c r="EF444">
        <v>0</v>
      </c>
      <c r="EG444">
        <v>1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1</v>
      </c>
      <c r="EX444">
        <v>0</v>
      </c>
      <c r="EY444">
        <v>2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1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2</v>
      </c>
    </row>
    <row r="445" spans="1:201" x14ac:dyDescent="0.3">
      <c r="A445" t="s">
        <v>322</v>
      </c>
      <c r="B445" t="s">
        <v>336</v>
      </c>
      <c r="C445" t="s">
        <v>204</v>
      </c>
      <c r="D445" s="1">
        <v>2543</v>
      </c>
      <c r="E445">
        <v>121</v>
      </c>
      <c r="F445">
        <v>220</v>
      </c>
      <c r="G445">
        <v>399</v>
      </c>
      <c r="H445">
        <v>6</v>
      </c>
      <c r="I445">
        <v>35</v>
      </c>
      <c r="J445">
        <v>5</v>
      </c>
      <c r="K445">
        <v>28</v>
      </c>
      <c r="L445">
        <v>28</v>
      </c>
      <c r="M445">
        <v>86</v>
      </c>
      <c r="N445">
        <v>67</v>
      </c>
      <c r="O445">
        <v>31</v>
      </c>
      <c r="P445">
        <v>330</v>
      </c>
      <c r="Q445">
        <v>1</v>
      </c>
      <c r="R445">
        <v>3</v>
      </c>
      <c r="S445">
        <v>225</v>
      </c>
      <c r="T445">
        <v>59</v>
      </c>
      <c r="U445">
        <v>28</v>
      </c>
      <c r="V445">
        <v>0</v>
      </c>
      <c r="W445">
        <v>96</v>
      </c>
      <c r="X445">
        <v>69</v>
      </c>
      <c r="Y445">
        <v>1</v>
      </c>
      <c r="Z445">
        <v>3</v>
      </c>
      <c r="AA445">
        <v>191</v>
      </c>
      <c r="AB445">
        <v>14</v>
      </c>
      <c r="AC445">
        <v>56</v>
      </c>
      <c r="AD445">
        <v>13</v>
      </c>
      <c r="AE445">
        <v>0</v>
      </c>
      <c r="AF445">
        <v>56</v>
      </c>
      <c r="AG445">
        <v>28</v>
      </c>
      <c r="AH445">
        <v>28</v>
      </c>
      <c r="AI445">
        <v>2</v>
      </c>
      <c r="AJ445">
        <v>0</v>
      </c>
      <c r="AK445">
        <v>1</v>
      </c>
      <c r="AL445">
        <v>10</v>
      </c>
      <c r="AM445">
        <v>20</v>
      </c>
      <c r="AN445">
        <v>33</v>
      </c>
      <c r="AO445">
        <v>2</v>
      </c>
      <c r="AP445">
        <v>0</v>
      </c>
      <c r="AQ445">
        <v>7</v>
      </c>
      <c r="AR445">
        <v>3</v>
      </c>
      <c r="AS445">
        <v>13</v>
      </c>
      <c r="AT445">
        <v>30</v>
      </c>
      <c r="AU445">
        <v>5</v>
      </c>
      <c r="AV445">
        <v>0</v>
      </c>
      <c r="AW445">
        <v>15</v>
      </c>
      <c r="AX445">
        <v>2</v>
      </c>
      <c r="AY445">
        <v>9</v>
      </c>
      <c r="AZ445">
        <v>0</v>
      </c>
      <c r="BA445">
        <v>11</v>
      </c>
      <c r="BB445">
        <v>20</v>
      </c>
      <c r="BC445">
        <v>14</v>
      </c>
      <c r="BD445">
        <v>0</v>
      </c>
      <c r="BE445">
        <v>0</v>
      </c>
      <c r="BF445">
        <v>1</v>
      </c>
      <c r="BG445">
        <v>8</v>
      </c>
      <c r="BH445">
        <v>7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5</v>
      </c>
      <c r="BO445">
        <v>1</v>
      </c>
      <c r="BP445">
        <v>0</v>
      </c>
      <c r="BQ445">
        <v>2</v>
      </c>
      <c r="BR445">
        <v>4</v>
      </c>
      <c r="BS445">
        <v>2</v>
      </c>
      <c r="BT445">
        <v>1</v>
      </c>
      <c r="BU445">
        <v>2</v>
      </c>
      <c r="BV445">
        <v>1</v>
      </c>
      <c r="BW445">
        <v>14</v>
      </c>
      <c r="BX445">
        <v>0</v>
      </c>
      <c r="BY445">
        <v>0</v>
      </c>
      <c r="BZ445">
        <v>5</v>
      </c>
      <c r="CA445">
        <v>8</v>
      </c>
      <c r="CB445">
        <v>0</v>
      </c>
      <c r="CC445">
        <v>4</v>
      </c>
      <c r="CD445">
        <v>2</v>
      </c>
      <c r="CE445">
        <v>1</v>
      </c>
      <c r="CF445">
        <v>0</v>
      </c>
      <c r="CG445">
        <v>1</v>
      </c>
      <c r="CH445">
        <v>0</v>
      </c>
      <c r="CI445">
        <v>2</v>
      </c>
      <c r="CJ445">
        <v>1</v>
      </c>
      <c r="CK445">
        <v>2</v>
      </c>
      <c r="CL445">
        <v>1</v>
      </c>
      <c r="CM445">
        <v>0</v>
      </c>
      <c r="CN445">
        <v>11</v>
      </c>
      <c r="CO445">
        <v>0</v>
      </c>
      <c r="CP445">
        <v>0</v>
      </c>
      <c r="CQ445">
        <v>1</v>
      </c>
      <c r="CR445">
        <v>0</v>
      </c>
      <c r="CS445">
        <v>2</v>
      </c>
      <c r="CT445">
        <v>1</v>
      </c>
      <c r="CU445">
        <v>1</v>
      </c>
      <c r="CV445">
        <v>1</v>
      </c>
      <c r="CW445">
        <v>2</v>
      </c>
      <c r="CX445">
        <v>0</v>
      </c>
      <c r="CY445">
        <v>1</v>
      </c>
      <c r="CZ445">
        <v>2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</v>
      </c>
      <c r="DJ445">
        <v>1</v>
      </c>
      <c r="DK445">
        <v>0</v>
      </c>
      <c r="DL445">
        <v>0</v>
      </c>
      <c r="DM445">
        <v>1</v>
      </c>
      <c r="DN445">
        <v>0</v>
      </c>
      <c r="DO445">
        <v>0</v>
      </c>
      <c r="DP445">
        <v>1</v>
      </c>
      <c r="DQ445">
        <v>0</v>
      </c>
      <c r="DR445">
        <v>1</v>
      </c>
      <c r="DS445">
        <v>4</v>
      </c>
      <c r="DT445">
        <v>1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1</v>
      </c>
      <c r="EB445">
        <v>0</v>
      </c>
      <c r="EC445">
        <v>5</v>
      </c>
      <c r="ED445">
        <v>0</v>
      </c>
      <c r="EE445">
        <v>0</v>
      </c>
      <c r="EF445">
        <v>0</v>
      </c>
      <c r="EG445">
        <v>1</v>
      </c>
      <c r="EH445">
        <v>0</v>
      </c>
      <c r="EI445">
        <v>0</v>
      </c>
      <c r="EJ445">
        <v>2</v>
      </c>
      <c r="EK445">
        <v>1</v>
      </c>
      <c r="EL445">
        <v>0</v>
      </c>
      <c r="EM445">
        <v>1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1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</row>
    <row r="446" spans="1:201" x14ac:dyDescent="0.3">
      <c r="A446" t="s">
        <v>322</v>
      </c>
      <c r="B446" t="s">
        <v>337</v>
      </c>
      <c r="C446" t="s">
        <v>200</v>
      </c>
      <c r="D446" s="1">
        <v>8108</v>
      </c>
      <c r="E446" s="1">
        <v>1062</v>
      </c>
      <c r="F446" s="1">
        <v>1062</v>
      </c>
      <c r="G446" s="1">
        <v>2578</v>
      </c>
      <c r="H446">
        <v>88</v>
      </c>
      <c r="I446">
        <v>183</v>
      </c>
      <c r="J446">
        <v>22</v>
      </c>
      <c r="K446">
        <v>139</v>
      </c>
      <c r="L446">
        <v>191</v>
      </c>
      <c r="M446">
        <v>149</v>
      </c>
      <c r="N446">
        <v>99</v>
      </c>
      <c r="O446">
        <v>303</v>
      </c>
      <c r="P446">
        <v>315</v>
      </c>
      <c r="Q446">
        <v>15</v>
      </c>
      <c r="R446">
        <v>138</v>
      </c>
      <c r="S446">
        <v>355</v>
      </c>
      <c r="T446">
        <v>83</v>
      </c>
      <c r="U446">
        <v>54</v>
      </c>
      <c r="V446">
        <v>79</v>
      </c>
      <c r="W446">
        <v>169</v>
      </c>
      <c r="X446">
        <v>133</v>
      </c>
      <c r="Y446">
        <v>11</v>
      </c>
      <c r="Z446">
        <v>16</v>
      </c>
      <c r="AA446">
        <v>139</v>
      </c>
      <c r="AB446">
        <v>75</v>
      </c>
      <c r="AC446">
        <v>45</v>
      </c>
      <c r="AD446">
        <v>12</v>
      </c>
      <c r="AE446">
        <v>0</v>
      </c>
      <c r="AF446">
        <v>57</v>
      </c>
      <c r="AG446">
        <v>19</v>
      </c>
      <c r="AH446">
        <v>66</v>
      </c>
      <c r="AI446">
        <v>4</v>
      </c>
      <c r="AJ446">
        <v>0</v>
      </c>
      <c r="AK446">
        <v>11</v>
      </c>
      <c r="AL446">
        <v>7</v>
      </c>
      <c r="AM446">
        <v>30</v>
      </c>
      <c r="AN446">
        <v>22</v>
      </c>
      <c r="AO446">
        <v>3</v>
      </c>
      <c r="AP446">
        <v>3</v>
      </c>
      <c r="AQ446">
        <v>5</v>
      </c>
      <c r="AR446">
        <v>5</v>
      </c>
      <c r="AS446">
        <v>5</v>
      </c>
      <c r="AT446">
        <v>41</v>
      </c>
      <c r="AU446">
        <v>13</v>
      </c>
      <c r="AV446">
        <v>8</v>
      </c>
      <c r="AW446">
        <v>33</v>
      </c>
      <c r="AX446">
        <v>1</v>
      </c>
      <c r="AY446">
        <v>40</v>
      </c>
      <c r="AZ446">
        <v>5</v>
      </c>
      <c r="BA446">
        <v>26</v>
      </c>
      <c r="BB446">
        <v>7</v>
      </c>
      <c r="BC446">
        <v>17</v>
      </c>
      <c r="BD446">
        <v>1</v>
      </c>
      <c r="BE446">
        <v>1</v>
      </c>
      <c r="BF446">
        <v>0</v>
      </c>
      <c r="BG446">
        <v>7</v>
      </c>
      <c r="BH446">
        <v>5</v>
      </c>
      <c r="BI446">
        <v>2</v>
      </c>
      <c r="BJ446">
        <v>4</v>
      </c>
      <c r="BK446">
        <v>0</v>
      </c>
      <c r="BL446">
        <v>0</v>
      </c>
      <c r="BM446">
        <v>2</v>
      </c>
      <c r="BN446">
        <v>4</v>
      </c>
      <c r="BO446">
        <v>2</v>
      </c>
      <c r="BP446">
        <v>1</v>
      </c>
      <c r="BQ446">
        <v>7</v>
      </c>
      <c r="BR446">
        <v>12</v>
      </c>
      <c r="BS446">
        <v>1</v>
      </c>
      <c r="BT446">
        <v>1</v>
      </c>
      <c r="BU446">
        <v>1</v>
      </c>
      <c r="BV446">
        <v>1</v>
      </c>
      <c r="BW446">
        <v>13</v>
      </c>
      <c r="BX446">
        <v>0</v>
      </c>
      <c r="BY446">
        <v>2</v>
      </c>
      <c r="BZ446">
        <v>6</v>
      </c>
      <c r="CA446">
        <v>15</v>
      </c>
      <c r="CB446">
        <v>0</v>
      </c>
      <c r="CC446">
        <v>3</v>
      </c>
      <c r="CD446">
        <v>1</v>
      </c>
      <c r="CE446">
        <v>2</v>
      </c>
      <c r="CF446">
        <v>6</v>
      </c>
      <c r="CG446">
        <v>3</v>
      </c>
      <c r="CH446">
        <v>1</v>
      </c>
      <c r="CI446">
        <v>3</v>
      </c>
      <c r="CJ446">
        <v>9</v>
      </c>
      <c r="CK446">
        <v>0</v>
      </c>
      <c r="CL446">
        <v>3</v>
      </c>
      <c r="CM446">
        <v>0</v>
      </c>
      <c r="CN446">
        <v>8</v>
      </c>
      <c r="CO446">
        <v>0</v>
      </c>
      <c r="CP446">
        <v>5</v>
      </c>
      <c r="CQ446">
        <v>1</v>
      </c>
      <c r="CR446">
        <v>0</v>
      </c>
      <c r="CS446">
        <v>1</v>
      </c>
      <c r="CT446">
        <v>3</v>
      </c>
      <c r="CU446">
        <v>4</v>
      </c>
      <c r="CV446">
        <v>1</v>
      </c>
      <c r="CW446">
        <v>1</v>
      </c>
      <c r="CX446">
        <v>0</v>
      </c>
      <c r="CY446">
        <v>4</v>
      </c>
      <c r="CZ446">
        <v>2</v>
      </c>
      <c r="DA446">
        <v>0</v>
      </c>
      <c r="DB446">
        <v>1</v>
      </c>
      <c r="DC446">
        <v>0</v>
      </c>
      <c r="DD446">
        <v>0</v>
      </c>
      <c r="DE446">
        <v>1</v>
      </c>
      <c r="DF446">
        <v>0</v>
      </c>
      <c r="DG446">
        <v>0</v>
      </c>
      <c r="DH446">
        <v>0</v>
      </c>
      <c r="DI446">
        <v>2</v>
      </c>
      <c r="DJ446">
        <v>1</v>
      </c>
      <c r="DK446">
        <v>0</v>
      </c>
      <c r="DL446">
        <v>0</v>
      </c>
      <c r="DM446">
        <v>0</v>
      </c>
      <c r="DN446">
        <v>2</v>
      </c>
      <c r="DO446">
        <v>0</v>
      </c>
      <c r="DP446">
        <v>1</v>
      </c>
      <c r="DQ446">
        <v>0</v>
      </c>
      <c r="DR446">
        <v>1</v>
      </c>
      <c r="DS446">
        <v>0</v>
      </c>
      <c r="DT446">
        <v>0</v>
      </c>
      <c r="DU446">
        <v>0</v>
      </c>
      <c r="DV446">
        <v>1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1</v>
      </c>
      <c r="EF446">
        <v>0</v>
      </c>
      <c r="EG446">
        <v>1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1</v>
      </c>
      <c r="ER446">
        <v>0</v>
      </c>
      <c r="ES446">
        <v>1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1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1</v>
      </c>
    </row>
    <row r="447" spans="1:201" x14ac:dyDescent="0.3">
      <c r="A447" t="s">
        <v>322</v>
      </c>
      <c r="B447" t="s">
        <v>337</v>
      </c>
      <c r="C447" t="s">
        <v>203</v>
      </c>
      <c r="D447" s="1">
        <v>3399</v>
      </c>
      <c r="E447">
        <v>383</v>
      </c>
      <c r="F447">
        <v>537</v>
      </c>
      <c r="G447">
        <v>913</v>
      </c>
      <c r="H447">
        <v>54</v>
      </c>
      <c r="I447">
        <v>133</v>
      </c>
      <c r="J447">
        <v>6</v>
      </c>
      <c r="K447">
        <v>55</v>
      </c>
      <c r="L447">
        <v>91</v>
      </c>
      <c r="M447">
        <v>83</v>
      </c>
      <c r="N447">
        <v>46</v>
      </c>
      <c r="O447">
        <v>127</v>
      </c>
      <c r="P447">
        <v>166</v>
      </c>
      <c r="Q447">
        <v>12</v>
      </c>
      <c r="R447">
        <v>99</v>
      </c>
      <c r="S447">
        <v>68</v>
      </c>
      <c r="T447">
        <v>14</v>
      </c>
      <c r="U447">
        <v>15</v>
      </c>
      <c r="V447">
        <v>54</v>
      </c>
      <c r="W447">
        <v>64</v>
      </c>
      <c r="X447">
        <v>81</v>
      </c>
      <c r="Y447">
        <v>3</v>
      </c>
      <c r="Z447">
        <v>2</v>
      </c>
      <c r="AA447">
        <v>61</v>
      </c>
      <c r="AB447">
        <v>27</v>
      </c>
      <c r="AC447">
        <v>28</v>
      </c>
      <c r="AD447">
        <v>3</v>
      </c>
      <c r="AE447">
        <v>0</v>
      </c>
      <c r="AF447">
        <v>37</v>
      </c>
      <c r="AG447">
        <v>5</v>
      </c>
      <c r="AH447">
        <v>41</v>
      </c>
      <c r="AI447">
        <v>2</v>
      </c>
      <c r="AJ447">
        <v>0</v>
      </c>
      <c r="AK447">
        <v>6</v>
      </c>
      <c r="AL447">
        <v>1</v>
      </c>
      <c r="AM447">
        <v>5</v>
      </c>
      <c r="AN447">
        <v>14</v>
      </c>
      <c r="AO447">
        <v>1</v>
      </c>
      <c r="AP447">
        <v>3</v>
      </c>
      <c r="AQ447">
        <v>0</v>
      </c>
      <c r="AR447">
        <v>3</v>
      </c>
      <c r="AS447">
        <v>2</v>
      </c>
      <c r="AT447">
        <v>14</v>
      </c>
      <c r="AU447">
        <v>5</v>
      </c>
      <c r="AV447">
        <v>7</v>
      </c>
      <c r="AW447">
        <v>17</v>
      </c>
      <c r="AX447">
        <v>0</v>
      </c>
      <c r="AY447">
        <v>14</v>
      </c>
      <c r="AZ447">
        <v>2</v>
      </c>
      <c r="BA447">
        <v>7</v>
      </c>
      <c r="BB447">
        <v>3</v>
      </c>
      <c r="BC447">
        <v>7</v>
      </c>
      <c r="BD447">
        <v>0</v>
      </c>
      <c r="BE447">
        <v>0</v>
      </c>
      <c r="BF447">
        <v>0</v>
      </c>
      <c r="BG447">
        <v>7</v>
      </c>
      <c r="BH447">
        <v>0</v>
      </c>
      <c r="BI447">
        <v>1</v>
      </c>
      <c r="BJ447">
        <v>2</v>
      </c>
      <c r="BK447">
        <v>0</v>
      </c>
      <c r="BL447">
        <v>0</v>
      </c>
      <c r="BM447">
        <v>2</v>
      </c>
      <c r="BN447">
        <v>1</v>
      </c>
      <c r="BO447">
        <v>0</v>
      </c>
      <c r="BP447">
        <v>1</v>
      </c>
      <c r="BQ447">
        <v>3</v>
      </c>
      <c r="BR447">
        <v>7</v>
      </c>
      <c r="BS447">
        <v>0</v>
      </c>
      <c r="BT447">
        <v>1</v>
      </c>
      <c r="BU447">
        <v>0</v>
      </c>
      <c r="BV447">
        <v>1</v>
      </c>
      <c r="BW447">
        <v>4</v>
      </c>
      <c r="BX447">
        <v>0</v>
      </c>
      <c r="BY447">
        <v>2</v>
      </c>
      <c r="BZ447">
        <v>4</v>
      </c>
      <c r="CA447">
        <v>9</v>
      </c>
      <c r="CB447">
        <v>0</v>
      </c>
      <c r="CC447">
        <v>1</v>
      </c>
      <c r="CD447">
        <v>0</v>
      </c>
      <c r="CE447">
        <v>1</v>
      </c>
      <c r="CF447">
        <v>4</v>
      </c>
      <c r="CG447">
        <v>0</v>
      </c>
      <c r="CH447">
        <v>0</v>
      </c>
      <c r="CI447">
        <v>0</v>
      </c>
      <c r="CJ447">
        <v>1</v>
      </c>
      <c r="CK447">
        <v>0</v>
      </c>
      <c r="CL447">
        <v>2</v>
      </c>
      <c r="CM447">
        <v>0</v>
      </c>
      <c r="CN447">
        <v>7</v>
      </c>
      <c r="CO447">
        <v>0</v>
      </c>
      <c r="CP447">
        <v>4</v>
      </c>
      <c r="CQ447">
        <v>0</v>
      </c>
      <c r="CR447">
        <v>0</v>
      </c>
      <c r="CS447">
        <v>0</v>
      </c>
      <c r="CT447">
        <v>2</v>
      </c>
      <c r="CU447">
        <v>2</v>
      </c>
      <c r="CV447">
        <v>0</v>
      </c>
      <c r="CW447">
        <v>1</v>
      </c>
      <c r="CX447">
        <v>0</v>
      </c>
      <c r="CY447">
        <v>1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1</v>
      </c>
      <c r="DF447">
        <v>0</v>
      </c>
      <c r="DG447">
        <v>0</v>
      </c>
      <c r="DH447">
        <v>0</v>
      </c>
      <c r="DI447">
        <v>0</v>
      </c>
      <c r="DJ447">
        <v>1</v>
      </c>
      <c r="DK447">
        <v>0</v>
      </c>
      <c r="DL447">
        <v>0</v>
      </c>
      <c r="DM447">
        <v>0</v>
      </c>
      <c r="DN447">
        <v>1</v>
      </c>
      <c r="DO447">
        <v>0</v>
      </c>
      <c r="DP447">
        <v>0</v>
      </c>
      <c r="DQ447">
        <v>0</v>
      </c>
      <c r="DR447">
        <v>1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1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1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1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</row>
    <row r="448" spans="1:201" x14ac:dyDescent="0.3">
      <c r="A448" t="s">
        <v>322</v>
      </c>
      <c r="B448" t="s">
        <v>337</v>
      </c>
      <c r="C448" t="s">
        <v>204</v>
      </c>
      <c r="D448" s="1">
        <v>4709</v>
      </c>
      <c r="E448">
        <v>679</v>
      </c>
      <c r="F448">
        <v>525</v>
      </c>
      <c r="G448" s="1">
        <v>1665</v>
      </c>
      <c r="H448">
        <v>34</v>
      </c>
      <c r="I448">
        <v>50</v>
      </c>
      <c r="J448">
        <v>16</v>
      </c>
      <c r="K448">
        <v>84</v>
      </c>
      <c r="L448">
        <v>100</v>
      </c>
      <c r="M448">
        <v>66</v>
      </c>
      <c r="N448">
        <v>53</v>
      </c>
      <c r="O448">
        <v>176</v>
      </c>
      <c r="P448">
        <v>149</v>
      </c>
      <c r="Q448">
        <v>3</v>
      </c>
      <c r="R448">
        <v>39</v>
      </c>
      <c r="S448">
        <v>287</v>
      </c>
      <c r="T448">
        <v>69</v>
      </c>
      <c r="U448">
        <v>39</v>
      </c>
      <c r="V448">
        <v>25</v>
      </c>
      <c r="W448">
        <v>105</v>
      </c>
      <c r="X448">
        <v>52</v>
      </c>
      <c r="Y448">
        <v>8</v>
      </c>
      <c r="Z448">
        <v>14</v>
      </c>
      <c r="AA448">
        <v>78</v>
      </c>
      <c r="AB448">
        <v>48</v>
      </c>
      <c r="AC448">
        <v>17</v>
      </c>
      <c r="AD448">
        <v>9</v>
      </c>
      <c r="AE448">
        <v>0</v>
      </c>
      <c r="AF448">
        <v>20</v>
      </c>
      <c r="AG448">
        <v>14</v>
      </c>
      <c r="AH448">
        <v>25</v>
      </c>
      <c r="AI448">
        <v>2</v>
      </c>
      <c r="AJ448">
        <v>0</v>
      </c>
      <c r="AK448">
        <v>5</v>
      </c>
      <c r="AL448">
        <v>6</v>
      </c>
      <c r="AM448">
        <v>25</v>
      </c>
      <c r="AN448">
        <v>8</v>
      </c>
      <c r="AO448">
        <v>2</v>
      </c>
      <c r="AP448">
        <v>0</v>
      </c>
      <c r="AQ448">
        <v>5</v>
      </c>
      <c r="AR448">
        <v>2</v>
      </c>
      <c r="AS448">
        <v>3</v>
      </c>
      <c r="AT448">
        <v>27</v>
      </c>
      <c r="AU448">
        <v>8</v>
      </c>
      <c r="AV448">
        <v>1</v>
      </c>
      <c r="AW448">
        <v>16</v>
      </c>
      <c r="AX448">
        <v>1</v>
      </c>
      <c r="AY448">
        <v>26</v>
      </c>
      <c r="AZ448">
        <v>3</v>
      </c>
      <c r="BA448">
        <v>19</v>
      </c>
      <c r="BB448">
        <v>4</v>
      </c>
      <c r="BC448">
        <v>10</v>
      </c>
      <c r="BD448">
        <v>1</v>
      </c>
      <c r="BE448">
        <v>1</v>
      </c>
      <c r="BF448">
        <v>0</v>
      </c>
      <c r="BG448">
        <v>0</v>
      </c>
      <c r="BH448">
        <v>5</v>
      </c>
      <c r="BI448">
        <v>1</v>
      </c>
      <c r="BJ448">
        <v>2</v>
      </c>
      <c r="BK448">
        <v>0</v>
      </c>
      <c r="BL448">
        <v>0</v>
      </c>
      <c r="BM448">
        <v>0</v>
      </c>
      <c r="BN448">
        <v>3</v>
      </c>
      <c r="BO448">
        <v>2</v>
      </c>
      <c r="BP448">
        <v>0</v>
      </c>
      <c r="BQ448">
        <v>4</v>
      </c>
      <c r="BR448">
        <v>5</v>
      </c>
      <c r="BS448">
        <v>1</v>
      </c>
      <c r="BT448">
        <v>0</v>
      </c>
      <c r="BU448">
        <v>1</v>
      </c>
      <c r="BV448">
        <v>0</v>
      </c>
      <c r="BW448">
        <v>9</v>
      </c>
      <c r="BX448">
        <v>0</v>
      </c>
      <c r="BY448">
        <v>0</v>
      </c>
      <c r="BZ448">
        <v>2</v>
      </c>
      <c r="CA448">
        <v>6</v>
      </c>
      <c r="CB448">
        <v>0</v>
      </c>
      <c r="CC448">
        <v>2</v>
      </c>
      <c r="CD448">
        <v>1</v>
      </c>
      <c r="CE448">
        <v>1</v>
      </c>
      <c r="CF448">
        <v>2</v>
      </c>
      <c r="CG448">
        <v>3</v>
      </c>
      <c r="CH448">
        <v>1</v>
      </c>
      <c r="CI448">
        <v>3</v>
      </c>
      <c r="CJ448">
        <v>8</v>
      </c>
      <c r="CK448">
        <v>0</v>
      </c>
      <c r="CL448">
        <v>1</v>
      </c>
      <c r="CM448">
        <v>0</v>
      </c>
      <c r="CN448">
        <v>1</v>
      </c>
      <c r="CO448">
        <v>0</v>
      </c>
      <c r="CP448">
        <v>1</v>
      </c>
      <c r="CQ448">
        <v>1</v>
      </c>
      <c r="CR448">
        <v>0</v>
      </c>
      <c r="CS448">
        <v>1</v>
      </c>
      <c r="CT448">
        <v>1</v>
      </c>
      <c r="CU448">
        <v>2</v>
      </c>
      <c r="CV448">
        <v>1</v>
      </c>
      <c r="CW448">
        <v>0</v>
      </c>
      <c r="CX448">
        <v>0</v>
      </c>
      <c r="CY448">
        <v>3</v>
      </c>
      <c r="CZ448">
        <v>2</v>
      </c>
      <c r="DA448">
        <v>0</v>
      </c>
      <c r="DB448">
        <v>1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2</v>
      </c>
      <c r="DJ448">
        <v>0</v>
      </c>
      <c r="DK448">
        <v>0</v>
      </c>
      <c r="DL448">
        <v>0</v>
      </c>
      <c r="DM448">
        <v>0</v>
      </c>
      <c r="DN448">
        <v>1</v>
      </c>
      <c r="DO448">
        <v>0</v>
      </c>
      <c r="DP448">
        <v>1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1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1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1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1</v>
      </c>
    </row>
    <row r="449" spans="1:201" x14ac:dyDescent="0.3">
      <c r="A449" t="s">
        <v>322</v>
      </c>
      <c r="B449" t="s">
        <v>338</v>
      </c>
      <c r="C449" t="s">
        <v>200</v>
      </c>
      <c r="D449" s="1">
        <v>14937</v>
      </c>
      <c r="E449" s="1">
        <v>2450</v>
      </c>
      <c r="F449">
        <v>657</v>
      </c>
      <c r="G449" s="1">
        <v>4514</v>
      </c>
      <c r="H449">
        <v>436</v>
      </c>
      <c r="I449">
        <v>366</v>
      </c>
      <c r="J449">
        <v>84</v>
      </c>
      <c r="K449">
        <v>171</v>
      </c>
      <c r="L449">
        <v>431</v>
      </c>
      <c r="M449">
        <v>309</v>
      </c>
      <c r="N449">
        <v>112</v>
      </c>
      <c r="O449" s="1">
        <v>1489</v>
      </c>
      <c r="P449">
        <v>468</v>
      </c>
      <c r="Q449">
        <v>28</v>
      </c>
      <c r="R449">
        <v>83</v>
      </c>
      <c r="S449">
        <v>506</v>
      </c>
      <c r="T449">
        <v>217</v>
      </c>
      <c r="U449">
        <v>177</v>
      </c>
      <c r="V449">
        <v>144</v>
      </c>
      <c r="W449">
        <v>284</v>
      </c>
      <c r="X449">
        <v>160</v>
      </c>
      <c r="Y449">
        <v>22</v>
      </c>
      <c r="Z449">
        <v>72</v>
      </c>
      <c r="AA449">
        <v>112</v>
      </c>
      <c r="AB449">
        <v>156</v>
      </c>
      <c r="AC449">
        <v>91</v>
      </c>
      <c r="AD449">
        <v>31</v>
      </c>
      <c r="AE449">
        <v>7</v>
      </c>
      <c r="AF449">
        <v>73</v>
      </c>
      <c r="AG449">
        <v>65</v>
      </c>
      <c r="AH449">
        <v>117</v>
      </c>
      <c r="AI449">
        <v>8</v>
      </c>
      <c r="AJ449">
        <v>6</v>
      </c>
      <c r="AK449">
        <v>15</v>
      </c>
      <c r="AL449">
        <v>27</v>
      </c>
      <c r="AM449">
        <v>55</v>
      </c>
      <c r="AN449">
        <v>31</v>
      </c>
      <c r="AO449">
        <v>8</v>
      </c>
      <c r="AP449">
        <v>0</v>
      </c>
      <c r="AQ449">
        <v>23</v>
      </c>
      <c r="AR449">
        <v>52</v>
      </c>
      <c r="AS449">
        <v>17</v>
      </c>
      <c r="AT449">
        <v>66</v>
      </c>
      <c r="AU449">
        <v>35</v>
      </c>
      <c r="AV449">
        <v>8</v>
      </c>
      <c r="AW449">
        <v>23</v>
      </c>
      <c r="AX449">
        <v>2</v>
      </c>
      <c r="AY449">
        <v>24</v>
      </c>
      <c r="AZ449">
        <v>6</v>
      </c>
      <c r="BA449">
        <v>35</v>
      </c>
      <c r="BB449">
        <v>52</v>
      </c>
      <c r="BC449">
        <v>30</v>
      </c>
      <c r="BD449">
        <v>0</v>
      </c>
      <c r="BE449">
        <v>4</v>
      </c>
      <c r="BF449">
        <v>4</v>
      </c>
      <c r="BG449">
        <v>4</v>
      </c>
      <c r="BH449">
        <v>20</v>
      </c>
      <c r="BI449">
        <v>6</v>
      </c>
      <c r="BJ449">
        <v>9</v>
      </c>
      <c r="BK449">
        <v>1</v>
      </c>
      <c r="BL449">
        <v>6</v>
      </c>
      <c r="BM449">
        <v>17</v>
      </c>
      <c r="BN449">
        <v>16</v>
      </c>
      <c r="BO449">
        <v>1</v>
      </c>
      <c r="BP449">
        <v>11</v>
      </c>
      <c r="BQ449">
        <v>4</v>
      </c>
      <c r="BR449">
        <v>27</v>
      </c>
      <c r="BS449">
        <v>14</v>
      </c>
      <c r="BT449">
        <v>0</v>
      </c>
      <c r="BU449">
        <v>21</v>
      </c>
      <c r="BV449">
        <v>29</v>
      </c>
      <c r="BW449">
        <v>17</v>
      </c>
      <c r="BX449">
        <v>3</v>
      </c>
      <c r="BY449">
        <v>10</v>
      </c>
      <c r="BZ449">
        <v>19</v>
      </c>
      <c r="CA449">
        <v>15</v>
      </c>
      <c r="CB449">
        <v>1</v>
      </c>
      <c r="CC449">
        <v>13</v>
      </c>
      <c r="CD449">
        <v>17</v>
      </c>
      <c r="CE449">
        <v>9</v>
      </c>
      <c r="CF449">
        <v>14</v>
      </c>
      <c r="CG449">
        <v>14</v>
      </c>
      <c r="CH449">
        <v>0</v>
      </c>
      <c r="CI449">
        <v>5</v>
      </c>
      <c r="CJ449">
        <v>15</v>
      </c>
      <c r="CK449">
        <v>9</v>
      </c>
      <c r="CL449">
        <v>10</v>
      </c>
      <c r="CM449">
        <v>2</v>
      </c>
      <c r="CN449">
        <v>3</v>
      </c>
      <c r="CO449">
        <v>1</v>
      </c>
      <c r="CP449">
        <v>2</v>
      </c>
      <c r="CQ449">
        <v>12</v>
      </c>
      <c r="CR449">
        <v>1</v>
      </c>
      <c r="CS449">
        <v>1</v>
      </c>
      <c r="CT449">
        <v>6</v>
      </c>
      <c r="CU449">
        <v>6</v>
      </c>
      <c r="CV449">
        <v>5</v>
      </c>
      <c r="CW449">
        <v>7</v>
      </c>
      <c r="CX449">
        <v>0</v>
      </c>
      <c r="CY449">
        <v>8</v>
      </c>
      <c r="CZ449">
        <v>7</v>
      </c>
      <c r="DA449">
        <v>1</v>
      </c>
      <c r="DB449">
        <v>5</v>
      </c>
      <c r="DC449">
        <v>0</v>
      </c>
      <c r="DD449">
        <v>1</v>
      </c>
      <c r="DE449">
        <v>0</v>
      </c>
      <c r="DF449">
        <v>8</v>
      </c>
      <c r="DG449">
        <v>6</v>
      </c>
      <c r="DH449">
        <v>8</v>
      </c>
      <c r="DI449">
        <v>2</v>
      </c>
      <c r="DJ449">
        <v>1</v>
      </c>
      <c r="DK449">
        <v>4</v>
      </c>
      <c r="DL449">
        <v>2</v>
      </c>
      <c r="DM449">
        <v>2</v>
      </c>
      <c r="DN449">
        <v>4</v>
      </c>
      <c r="DO449">
        <v>3</v>
      </c>
      <c r="DP449">
        <v>6</v>
      </c>
      <c r="DQ449">
        <v>4</v>
      </c>
      <c r="DR449">
        <v>2</v>
      </c>
      <c r="DS449">
        <v>2</v>
      </c>
      <c r="DT449">
        <v>3</v>
      </c>
      <c r="DU449">
        <v>1</v>
      </c>
      <c r="DV449">
        <v>3</v>
      </c>
      <c r="DW449">
        <v>0</v>
      </c>
      <c r="DX449">
        <v>0</v>
      </c>
      <c r="DY449">
        <v>2</v>
      </c>
      <c r="DZ449">
        <v>3</v>
      </c>
      <c r="EA449">
        <v>1</v>
      </c>
      <c r="EB449">
        <v>2</v>
      </c>
      <c r="EC449">
        <v>3</v>
      </c>
      <c r="ED449">
        <v>9</v>
      </c>
      <c r="EE449">
        <v>1</v>
      </c>
      <c r="EF449">
        <v>3</v>
      </c>
      <c r="EG449">
        <v>1</v>
      </c>
      <c r="EH449">
        <v>0</v>
      </c>
      <c r="EI449">
        <v>1</v>
      </c>
      <c r="EJ449">
        <v>5</v>
      </c>
      <c r="EK449">
        <v>2</v>
      </c>
      <c r="EL449">
        <v>26</v>
      </c>
      <c r="EM449">
        <v>0</v>
      </c>
      <c r="EN449">
        <v>7</v>
      </c>
      <c r="EO449">
        <v>2</v>
      </c>
      <c r="EP449">
        <v>0</v>
      </c>
      <c r="EQ449">
        <v>0</v>
      </c>
      <c r="ER449">
        <v>3</v>
      </c>
      <c r="ES449">
        <v>0</v>
      </c>
      <c r="ET449">
        <v>0</v>
      </c>
      <c r="EU449">
        <v>1</v>
      </c>
      <c r="EV449">
        <v>2</v>
      </c>
      <c r="EW449">
        <v>1</v>
      </c>
      <c r="EX449">
        <v>0</v>
      </c>
      <c r="EY449">
        <v>0</v>
      </c>
      <c r="EZ449">
        <v>0</v>
      </c>
      <c r="FA449">
        <v>0</v>
      </c>
      <c r="FB449">
        <v>1</v>
      </c>
      <c r="FC449">
        <v>0</v>
      </c>
      <c r="FD449">
        <v>0</v>
      </c>
      <c r="FE449">
        <v>1</v>
      </c>
      <c r="FF449">
        <v>0</v>
      </c>
      <c r="FG449">
        <v>1</v>
      </c>
      <c r="FH449">
        <v>0</v>
      </c>
      <c r="FI449">
        <v>0</v>
      </c>
      <c r="FJ449">
        <v>0</v>
      </c>
      <c r="FK449">
        <v>0</v>
      </c>
      <c r="FL449">
        <v>1</v>
      </c>
      <c r="FM449">
        <v>0</v>
      </c>
      <c r="FN449">
        <v>0</v>
      </c>
      <c r="FO449">
        <v>2</v>
      </c>
      <c r="FP449">
        <v>0</v>
      </c>
      <c r="FQ449">
        <v>2</v>
      </c>
      <c r="FR449">
        <v>0</v>
      </c>
      <c r="FS449">
        <v>0</v>
      </c>
      <c r="FT449">
        <v>0</v>
      </c>
      <c r="FU449">
        <v>1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4</v>
      </c>
    </row>
    <row r="450" spans="1:201" x14ac:dyDescent="0.3">
      <c r="A450" t="s">
        <v>322</v>
      </c>
      <c r="B450" t="s">
        <v>338</v>
      </c>
      <c r="C450" t="s">
        <v>203</v>
      </c>
      <c r="D450" s="1">
        <v>5635</v>
      </c>
      <c r="E450">
        <v>791</v>
      </c>
      <c r="F450">
        <v>331</v>
      </c>
      <c r="G450" s="1">
        <v>1527</v>
      </c>
      <c r="H450">
        <v>285</v>
      </c>
      <c r="I450">
        <v>260</v>
      </c>
      <c r="J450">
        <v>66</v>
      </c>
      <c r="K450">
        <v>67</v>
      </c>
      <c r="L450">
        <v>165</v>
      </c>
      <c r="M450">
        <v>95</v>
      </c>
      <c r="N450">
        <v>43</v>
      </c>
      <c r="O450">
        <v>561</v>
      </c>
      <c r="P450">
        <v>214</v>
      </c>
      <c r="Q450">
        <v>10</v>
      </c>
      <c r="R450">
        <v>53</v>
      </c>
      <c r="S450">
        <v>71</v>
      </c>
      <c r="T450">
        <v>25</v>
      </c>
      <c r="U450">
        <v>40</v>
      </c>
      <c r="V450">
        <v>101</v>
      </c>
      <c r="W450">
        <v>107</v>
      </c>
      <c r="X450">
        <v>73</v>
      </c>
      <c r="Y450">
        <v>8</v>
      </c>
      <c r="Z450">
        <v>26</v>
      </c>
      <c r="AA450">
        <v>43</v>
      </c>
      <c r="AB450">
        <v>52</v>
      </c>
      <c r="AC450">
        <v>42</v>
      </c>
      <c r="AD450">
        <v>11</v>
      </c>
      <c r="AE450">
        <v>2</v>
      </c>
      <c r="AF450">
        <v>45</v>
      </c>
      <c r="AG450">
        <v>16</v>
      </c>
      <c r="AH450">
        <v>53</v>
      </c>
      <c r="AI450">
        <v>1</v>
      </c>
      <c r="AJ450">
        <v>2</v>
      </c>
      <c r="AK450">
        <v>8</v>
      </c>
      <c r="AL450">
        <v>3</v>
      </c>
      <c r="AM450">
        <v>6</v>
      </c>
      <c r="AN450">
        <v>18</v>
      </c>
      <c r="AO450">
        <v>5</v>
      </c>
      <c r="AP450">
        <v>0</v>
      </c>
      <c r="AQ450">
        <v>7</v>
      </c>
      <c r="AR450">
        <v>24</v>
      </c>
      <c r="AS450">
        <v>7</v>
      </c>
      <c r="AT450">
        <v>25</v>
      </c>
      <c r="AU450">
        <v>10</v>
      </c>
      <c r="AV450">
        <v>4</v>
      </c>
      <c r="AW450">
        <v>10</v>
      </c>
      <c r="AX450">
        <v>2</v>
      </c>
      <c r="AY450">
        <v>7</v>
      </c>
      <c r="AZ450">
        <v>3</v>
      </c>
      <c r="BA450">
        <v>19</v>
      </c>
      <c r="BB450">
        <v>31</v>
      </c>
      <c r="BC450">
        <v>19</v>
      </c>
      <c r="BD450">
        <v>0</v>
      </c>
      <c r="BE450">
        <v>4</v>
      </c>
      <c r="BF450">
        <v>1</v>
      </c>
      <c r="BG450">
        <v>4</v>
      </c>
      <c r="BH450">
        <v>3</v>
      </c>
      <c r="BI450">
        <v>4</v>
      </c>
      <c r="BJ450">
        <v>4</v>
      </c>
      <c r="BK450">
        <v>0</v>
      </c>
      <c r="BL450">
        <v>3</v>
      </c>
      <c r="BM450">
        <v>13</v>
      </c>
      <c r="BN450">
        <v>3</v>
      </c>
      <c r="BO450">
        <v>0</v>
      </c>
      <c r="BP450">
        <v>9</v>
      </c>
      <c r="BQ450">
        <v>1</v>
      </c>
      <c r="BR450">
        <v>12</v>
      </c>
      <c r="BS450">
        <v>9</v>
      </c>
      <c r="BT450">
        <v>0</v>
      </c>
      <c r="BU450">
        <v>7</v>
      </c>
      <c r="BV450">
        <v>8</v>
      </c>
      <c r="BW450">
        <v>10</v>
      </c>
      <c r="BX450">
        <v>3</v>
      </c>
      <c r="BY450">
        <v>6</v>
      </c>
      <c r="BZ450">
        <v>8</v>
      </c>
      <c r="CA450">
        <v>8</v>
      </c>
      <c r="CB450">
        <v>1</v>
      </c>
      <c r="CC450">
        <v>4</v>
      </c>
      <c r="CD450">
        <v>5</v>
      </c>
      <c r="CE450">
        <v>0</v>
      </c>
      <c r="CF450">
        <v>6</v>
      </c>
      <c r="CG450">
        <v>5</v>
      </c>
      <c r="CH450">
        <v>0</v>
      </c>
      <c r="CI450">
        <v>2</v>
      </c>
      <c r="CJ450">
        <v>5</v>
      </c>
      <c r="CK450">
        <v>4</v>
      </c>
      <c r="CL450">
        <v>4</v>
      </c>
      <c r="CM450">
        <v>2</v>
      </c>
      <c r="CN450">
        <v>1</v>
      </c>
      <c r="CO450">
        <v>1</v>
      </c>
      <c r="CP450">
        <v>2</v>
      </c>
      <c r="CQ450">
        <v>6</v>
      </c>
      <c r="CR450">
        <v>1</v>
      </c>
      <c r="CS450">
        <v>1</v>
      </c>
      <c r="CT450">
        <v>3</v>
      </c>
      <c r="CU450">
        <v>4</v>
      </c>
      <c r="CV450">
        <v>2</v>
      </c>
      <c r="CW450">
        <v>3</v>
      </c>
      <c r="CX450">
        <v>0</v>
      </c>
      <c r="CY450">
        <v>1</v>
      </c>
      <c r="CZ450">
        <v>1</v>
      </c>
      <c r="DA450">
        <v>0</v>
      </c>
      <c r="DB450">
        <v>1</v>
      </c>
      <c r="DC450">
        <v>0</v>
      </c>
      <c r="DD450">
        <v>0</v>
      </c>
      <c r="DE450">
        <v>0</v>
      </c>
      <c r="DF450">
        <v>4</v>
      </c>
      <c r="DG450">
        <v>3</v>
      </c>
      <c r="DH450">
        <v>2</v>
      </c>
      <c r="DI450">
        <v>0</v>
      </c>
      <c r="DJ450">
        <v>1</v>
      </c>
      <c r="DK450">
        <v>0</v>
      </c>
      <c r="DL450">
        <v>1</v>
      </c>
      <c r="DM450">
        <v>0</v>
      </c>
      <c r="DN450">
        <v>1</v>
      </c>
      <c r="DO450">
        <v>2</v>
      </c>
      <c r="DP450">
        <v>2</v>
      </c>
      <c r="DQ450">
        <v>2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2</v>
      </c>
      <c r="EA450">
        <v>1</v>
      </c>
      <c r="EB450">
        <v>2</v>
      </c>
      <c r="EC450">
        <v>0</v>
      </c>
      <c r="ED450">
        <v>5</v>
      </c>
      <c r="EE450">
        <v>0</v>
      </c>
      <c r="EF450">
        <v>0</v>
      </c>
      <c r="EG450">
        <v>0</v>
      </c>
      <c r="EH450">
        <v>0</v>
      </c>
      <c r="EI450">
        <v>1</v>
      </c>
      <c r="EJ450">
        <v>0</v>
      </c>
      <c r="EK450">
        <v>0</v>
      </c>
      <c r="EL450">
        <v>15</v>
      </c>
      <c r="EM450">
        <v>0</v>
      </c>
      <c r="EN450">
        <v>3</v>
      </c>
      <c r="EO450">
        <v>2</v>
      </c>
      <c r="EP450">
        <v>0</v>
      </c>
      <c r="EQ450">
        <v>0</v>
      </c>
      <c r="ER450">
        <v>1</v>
      </c>
      <c r="ES450">
        <v>0</v>
      </c>
      <c r="ET450">
        <v>0</v>
      </c>
      <c r="EU450">
        <v>1</v>
      </c>
      <c r="EV450">
        <v>2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1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2</v>
      </c>
    </row>
    <row r="451" spans="1:201" x14ac:dyDescent="0.3">
      <c r="A451" t="s">
        <v>322</v>
      </c>
      <c r="B451" t="s">
        <v>338</v>
      </c>
      <c r="C451" t="s">
        <v>204</v>
      </c>
      <c r="D451" s="1">
        <v>9302</v>
      </c>
      <c r="E451" s="1">
        <v>1659</v>
      </c>
      <c r="F451">
        <v>326</v>
      </c>
      <c r="G451" s="1">
        <v>2987</v>
      </c>
      <c r="H451">
        <v>151</v>
      </c>
      <c r="I451">
        <v>106</v>
      </c>
      <c r="J451">
        <v>18</v>
      </c>
      <c r="K451">
        <v>104</v>
      </c>
      <c r="L451">
        <v>266</v>
      </c>
      <c r="M451">
        <v>214</v>
      </c>
      <c r="N451">
        <v>69</v>
      </c>
      <c r="O451">
        <v>928</v>
      </c>
      <c r="P451">
        <v>254</v>
      </c>
      <c r="Q451">
        <v>18</v>
      </c>
      <c r="R451">
        <v>30</v>
      </c>
      <c r="S451">
        <v>435</v>
      </c>
      <c r="T451">
        <v>192</v>
      </c>
      <c r="U451">
        <v>137</v>
      </c>
      <c r="V451">
        <v>43</v>
      </c>
      <c r="W451">
        <v>177</v>
      </c>
      <c r="X451">
        <v>87</v>
      </c>
      <c r="Y451">
        <v>14</v>
      </c>
      <c r="Z451">
        <v>46</v>
      </c>
      <c r="AA451">
        <v>69</v>
      </c>
      <c r="AB451">
        <v>104</v>
      </c>
      <c r="AC451">
        <v>49</v>
      </c>
      <c r="AD451">
        <v>20</v>
      </c>
      <c r="AE451">
        <v>5</v>
      </c>
      <c r="AF451">
        <v>28</v>
      </c>
      <c r="AG451">
        <v>49</v>
      </c>
      <c r="AH451">
        <v>64</v>
      </c>
      <c r="AI451">
        <v>7</v>
      </c>
      <c r="AJ451">
        <v>4</v>
      </c>
      <c r="AK451">
        <v>7</v>
      </c>
      <c r="AL451">
        <v>24</v>
      </c>
      <c r="AM451">
        <v>49</v>
      </c>
      <c r="AN451">
        <v>13</v>
      </c>
      <c r="AO451">
        <v>3</v>
      </c>
      <c r="AP451">
        <v>0</v>
      </c>
      <c r="AQ451">
        <v>16</v>
      </c>
      <c r="AR451">
        <v>28</v>
      </c>
      <c r="AS451">
        <v>10</v>
      </c>
      <c r="AT451">
        <v>41</v>
      </c>
      <c r="AU451">
        <v>25</v>
      </c>
      <c r="AV451">
        <v>4</v>
      </c>
      <c r="AW451">
        <v>13</v>
      </c>
      <c r="AX451">
        <v>0</v>
      </c>
      <c r="AY451">
        <v>17</v>
      </c>
      <c r="AZ451">
        <v>3</v>
      </c>
      <c r="BA451">
        <v>16</v>
      </c>
      <c r="BB451">
        <v>21</v>
      </c>
      <c r="BC451">
        <v>11</v>
      </c>
      <c r="BD451">
        <v>0</v>
      </c>
      <c r="BE451">
        <v>0</v>
      </c>
      <c r="BF451">
        <v>3</v>
      </c>
      <c r="BG451">
        <v>0</v>
      </c>
      <c r="BH451">
        <v>17</v>
      </c>
      <c r="BI451">
        <v>2</v>
      </c>
      <c r="BJ451">
        <v>5</v>
      </c>
      <c r="BK451">
        <v>1</v>
      </c>
      <c r="BL451">
        <v>3</v>
      </c>
      <c r="BM451">
        <v>4</v>
      </c>
      <c r="BN451">
        <v>13</v>
      </c>
      <c r="BO451">
        <v>1</v>
      </c>
      <c r="BP451">
        <v>2</v>
      </c>
      <c r="BQ451">
        <v>3</v>
      </c>
      <c r="BR451">
        <v>15</v>
      </c>
      <c r="BS451">
        <v>5</v>
      </c>
      <c r="BT451">
        <v>0</v>
      </c>
      <c r="BU451">
        <v>14</v>
      </c>
      <c r="BV451">
        <v>21</v>
      </c>
      <c r="BW451">
        <v>7</v>
      </c>
      <c r="BX451">
        <v>0</v>
      </c>
      <c r="BY451">
        <v>4</v>
      </c>
      <c r="BZ451">
        <v>11</v>
      </c>
      <c r="CA451">
        <v>7</v>
      </c>
      <c r="CB451">
        <v>0</v>
      </c>
      <c r="CC451">
        <v>9</v>
      </c>
      <c r="CD451">
        <v>12</v>
      </c>
      <c r="CE451">
        <v>9</v>
      </c>
      <c r="CF451">
        <v>8</v>
      </c>
      <c r="CG451">
        <v>9</v>
      </c>
      <c r="CH451">
        <v>0</v>
      </c>
      <c r="CI451">
        <v>3</v>
      </c>
      <c r="CJ451">
        <v>10</v>
      </c>
      <c r="CK451">
        <v>5</v>
      </c>
      <c r="CL451">
        <v>6</v>
      </c>
      <c r="CM451">
        <v>0</v>
      </c>
      <c r="CN451">
        <v>2</v>
      </c>
      <c r="CO451">
        <v>0</v>
      </c>
      <c r="CP451">
        <v>0</v>
      </c>
      <c r="CQ451">
        <v>6</v>
      </c>
      <c r="CR451">
        <v>0</v>
      </c>
      <c r="CS451">
        <v>0</v>
      </c>
      <c r="CT451">
        <v>3</v>
      </c>
      <c r="CU451">
        <v>2</v>
      </c>
      <c r="CV451">
        <v>3</v>
      </c>
      <c r="CW451">
        <v>4</v>
      </c>
      <c r="CX451">
        <v>0</v>
      </c>
      <c r="CY451">
        <v>7</v>
      </c>
      <c r="CZ451">
        <v>6</v>
      </c>
      <c r="DA451">
        <v>1</v>
      </c>
      <c r="DB451">
        <v>4</v>
      </c>
      <c r="DC451">
        <v>0</v>
      </c>
      <c r="DD451">
        <v>1</v>
      </c>
      <c r="DE451">
        <v>0</v>
      </c>
      <c r="DF451">
        <v>4</v>
      </c>
      <c r="DG451">
        <v>3</v>
      </c>
      <c r="DH451">
        <v>6</v>
      </c>
      <c r="DI451">
        <v>2</v>
      </c>
      <c r="DJ451">
        <v>0</v>
      </c>
      <c r="DK451">
        <v>4</v>
      </c>
      <c r="DL451">
        <v>1</v>
      </c>
      <c r="DM451">
        <v>2</v>
      </c>
      <c r="DN451">
        <v>3</v>
      </c>
      <c r="DO451">
        <v>1</v>
      </c>
      <c r="DP451">
        <v>4</v>
      </c>
      <c r="DQ451">
        <v>2</v>
      </c>
      <c r="DR451">
        <v>2</v>
      </c>
      <c r="DS451">
        <v>2</v>
      </c>
      <c r="DT451">
        <v>3</v>
      </c>
      <c r="DU451">
        <v>1</v>
      </c>
      <c r="DV451">
        <v>3</v>
      </c>
      <c r="DW451">
        <v>0</v>
      </c>
      <c r="DX451">
        <v>0</v>
      </c>
      <c r="DY451">
        <v>2</v>
      </c>
      <c r="DZ451">
        <v>1</v>
      </c>
      <c r="EA451">
        <v>0</v>
      </c>
      <c r="EB451">
        <v>0</v>
      </c>
      <c r="EC451">
        <v>3</v>
      </c>
      <c r="ED451">
        <v>4</v>
      </c>
      <c r="EE451">
        <v>1</v>
      </c>
      <c r="EF451">
        <v>3</v>
      </c>
      <c r="EG451">
        <v>1</v>
      </c>
      <c r="EH451">
        <v>0</v>
      </c>
      <c r="EI451">
        <v>0</v>
      </c>
      <c r="EJ451">
        <v>5</v>
      </c>
      <c r="EK451">
        <v>2</v>
      </c>
      <c r="EL451">
        <v>11</v>
      </c>
      <c r="EM451">
        <v>0</v>
      </c>
      <c r="EN451">
        <v>4</v>
      </c>
      <c r="EO451">
        <v>0</v>
      </c>
      <c r="EP451">
        <v>0</v>
      </c>
      <c r="EQ451">
        <v>0</v>
      </c>
      <c r="ER451">
        <v>2</v>
      </c>
      <c r="ES451">
        <v>0</v>
      </c>
      <c r="ET451">
        <v>0</v>
      </c>
      <c r="EU451">
        <v>0</v>
      </c>
      <c r="EV451">
        <v>0</v>
      </c>
      <c r="EW451">
        <v>1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1</v>
      </c>
      <c r="FF451">
        <v>0</v>
      </c>
      <c r="FG451">
        <v>1</v>
      </c>
      <c r="FH451">
        <v>0</v>
      </c>
      <c r="FI451">
        <v>0</v>
      </c>
      <c r="FJ451">
        <v>0</v>
      </c>
      <c r="FK451">
        <v>0</v>
      </c>
      <c r="FL451">
        <v>1</v>
      </c>
      <c r="FM451">
        <v>0</v>
      </c>
      <c r="FN451">
        <v>0</v>
      </c>
      <c r="FO451">
        <v>2</v>
      </c>
      <c r="FP451">
        <v>0</v>
      </c>
      <c r="FQ451">
        <v>2</v>
      </c>
      <c r="FR451">
        <v>0</v>
      </c>
      <c r="FS451">
        <v>0</v>
      </c>
      <c r="FT451">
        <v>0</v>
      </c>
      <c r="FU451">
        <v>1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2</v>
      </c>
    </row>
    <row r="452" spans="1:201" x14ac:dyDescent="0.3">
      <c r="A452" t="s">
        <v>322</v>
      </c>
      <c r="B452" t="s">
        <v>339</v>
      </c>
      <c r="C452" t="s">
        <v>200</v>
      </c>
      <c r="D452" s="1">
        <v>6409</v>
      </c>
      <c r="E452">
        <v>392</v>
      </c>
      <c r="F452" s="1">
        <v>1833</v>
      </c>
      <c r="G452">
        <v>982</v>
      </c>
      <c r="H452">
        <v>29</v>
      </c>
      <c r="I452">
        <v>109</v>
      </c>
      <c r="J452">
        <v>27</v>
      </c>
      <c r="K452">
        <v>33</v>
      </c>
      <c r="L452">
        <v>92</v>
      </c>
      <c r="M452">
        <v>99</v>
      </c>
      <c r="N452">
        <v>119</v>
      </c>
      <c r="O452">
        <v>116</v>
      </c>
      <c r="P452">
        <v>634</v>
      </c>
      <c r="Q452">
        <v>10</v>
      </c>
      <c r="R452">
        <v>14</v>
      </c>
      <c r="S452">
        <v>354</v>
      </c>
      <c r="T452">
        <v>78</v>
      </c>
      <c r="U452">
        <v>36</v>
      </c>
      <c r="V452">
        <v>9</v>
      </c>
      <c r="W452">
        <v>138</v>
      </c>
      <c r="X452">
        <v>299</v>
      </c>
      <c r="Y452">
        <v>19</v>
      </c>
      <c r="Z452">
        <v>18</v>
      </c>
      <c r="AA452">
        <v>65</v>
      </c>
      <c r="AB452">
        <v>22</v>
      </c>
      <c r="AC452">
        <v>136</v>
      </c>
      <c r="AD452">
        <v>39</v>
      </c>
      <c r="AE452">
        <v>0</v>
      </c>
      <c r="AF452">
        <v>106</v>
      </c>
      <c r="AG452">
        <v>39</v>
      </c>
      <c r="AH452">
        <v>41</v>
      </c>
      <c r="AI452">
        <v>17</v>
      </c>
      <c r="AJ452">
        <v>2</v>
      </c>
      <c r="AK452">
        <v>1</v>
      </c>
      <c r="AL452">
        <v>15</v>
      </c>
      <c r="AM452">
        <v>26</v>
      </c>
      <c r="AN452">
        <v>43</v>
      </c>
      <c r="AO452">
        <v>1</v>
      </c>
      <c r="AP452">
        <v>1</v>
      </c>
      <c r="AQ452">
        <v>12</v>
      </c>
      <c r="AR452">
        <v>0</v>
      </c>
      <c r="AS452">
        <v>26</v>
      </c>
      <c r="AT452">
        <v>36</v>
      </c>
      <c r="AU452">
        <v>17</v>
      </c>
      <c r="AV452">
        <v>0</v>
      </c>
      <c r="AW452">
        <v>11</v>
      </c>
      <c r="AX452">
        <v>0</v>
      </c>
      <c r="AY452">
        <v>10</v>
      </c>
      <c r="AZ452">
        <v>0</v>
      </c>
      <c r="BA452">
        <v>31</v>
      </c>
      <c r="BB452">
        <v>115</v>
      </c>
      <c r="BC452">
        <v>6</v>
      </c>
      <c r="BD452">
        <v>0</v>
      </c>
      <c r="BE452">
        <v>0</v>
      </c>
      <c r="BF452">
        <v>1</v>
      </c>
      <c r="BG452">
        <v>15</v>
      </c>
      <c r="BH452">
        <v>4</v>
      </c>
      <c r="BI452">
        <v>2</v>
      </c>
      <c r="BJ452">
        <v>0</v>
      </c>
      <c r="BK452">
        <v>0</v>
      </c>
      <c r="BL452">
        <v>0</v>
      </c>
      <c r="BM452">
        <v>1</v>
      </c>
      <c r="BN452">
        <v>6</v>
      </c>
      <c r="BO452">
        <v>0</v>
      </c>
      <c r="BP452">
        <v>0</v>
      </c>
      <c r="BQ452">
        <v>3</v>
      </c>
      <c r="BR452">
        <v>7</v>
      </c>
      <c r="BS452">
        <v>12</v>
      </c>
      <c r="BT452">
        <v>1</v>
      </c>
      <c r="BU452">
        <v>0</v>
      </c>
      <c r="BV452">
        <v>2</v>
      </c>
      <c r="BW452">
        <v>8</v>
      </c>
      <c r="BX452">
        <v>0</v>
      </c>
      <c r="BY452">
        <v>0</v>
      </c>
      <c r="BZ452">
        <v>1</v>
      </c>
      <c r="CA452">
        <v>3</v>
      </c>
      <c r="CB452">
        <v>0</v>
      </c>
      <c r="CC452">
        <v>4</v>
      </c>
      <c r="CD452">
        <v>4</v>
      </c>
      <c r="CE452">
        <v>3</v>
      </c>
      <c r="CF452">
        <v>5</v>
      </c>
      <c r="CG452">
        <v>8</v>
      </c>
      <c r="CH452">
        <v>0</v>
      </c>
      <c r="CI452">
        <v>5</v>
      </c>
      <c r="CJ452">
        <v>1</v>
      </c>
      <c r="CK452">
        <v>2</v>
      </c>
      <c r="CL452">
        <v>1</v>
      </c>
      <c r="CM452">
        <v>0</v>
      </c>
      <c r="CN452">
        <v>4</v>
      </c>
      <c r="CO452">
        <v>0</v>
      </c>
      <c r="CP452">
        <v>1</v>
      </c>
      <c r="CQ452">
        <v>3</v>
      </c>
      <c r="CR452">
        <v>0</v>
      </c>
      <c r="CS452">
        <v>7</v>
      </c>
      <c r="CT452">
        <v>6</v>
      </c>
      <c r="CU452">
        <v>1</v>
      </c>
      <c r="CV452">
        <v>1</v>
      </c>
      <c r="CW452">
        <v>3</v>
      </c>
      <c r="CX452">
        <v>0</v>
      </c>
      <c r="CY452">
        <v>0</v>
      </c>
      <c r="CZ452">
        <v>3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1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2</v>
      </c>
      <c r="DO452">
        <v>3</v>
      </c>
      <c r="DP452">
        <v>1</v>
      </c>
      <c r="DQ452">
        <v>0</v>
      </c>
      <c r="DR452">
        <v>3</v>
      </c>
      <c r="DS452">
        <v>0</v>
      </c>
      <c r="DT452">
        <v>0</v>
      </c>
      <c r="DU452">
        <v>0</v>
      </c>
      <c r="DV452">
        <v>1</v>
      </c>
      <c r="DW452">
        <v>0</v>
      </c>
      <c r="DX452">
        <v>0</v>
      </c>
      <c r="DY452">
        <v>0</v>
      </c>
      <c r="DZ452">
        <v>1</v>
      </c>
      <c r="EA452">
        <v>0</v>
      </c>
      <c r="EB452">
        <v>0</v>
      </c>
      <c r="EC452">
        <v>2</v>
      </c>
      <c r="ED452">
        <v>5</v>
      </c>
      <c r="EE452">
        <v>1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1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1</v>
      </c>
      <c r="ES452">
        <v>0</v>
      </c>
      <c r="ET452">
        <v>0</v>
      </c>
      <c r="EU452">
        <v>0</v>
      </c>
      <c r="EV452">
        <v>0</v>
      </c>
      <c r="EW452">
        <v>1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</row>
    <row r="453" spans="1:201" x14ac:dyDescent="0.3">
      <c r="A453" t="s">
        <v>322</v>
      </c>
      <c r="B453" t="s">
        <v>339</v>
      </c>
      <c r="C453" t="s">
        <v>203</v>
      </c>
      <c r="D453" s="1">
        <v>2886</v>
      </c>
      <c r="E453">
        <v>126</v>
      </c>
      <c r="F453">
        <v>956</v>
      </c>
      <c r="G453">
        <v>363</v>
      </c>
      <c r="H453">
        <v>22</v>
      </c>
      <c r="I453">
        <v>75</v>
      </c>
      <c r="J453">
        <v>16</v>
      </c>
      <c r="K453">
        <v>4</v>
      </c>
      <c r="L453">
        <v>69</v>
      </c>
      <c r="M453">
        <v>24</v>
      </c>
      <c r="N453">
        <v>39</v>
      </c>
      <c r="O453">
        <v>47</v>
      </c>
      <c r="P453">
        <v>315</v>
      </c>
      <c r="Q453">
        <v>5</v>
      </c>
      <c r="R453">
        <v>11</v>
      </c>
      <c r="S453">
        <v>92</v>
      </c>
      <c r="T453">
        <v>17</v>
      </c>
      <c r="U453">
        <v>12</v>
      </c>
      <c r="V453">
        <v>5</v>
      </c>
      <c r="W453">
        <v>48</v>
      </c>
      <c r="X453">
        <v>165</v>
      </c>
      <c r="Y453">
        <v>2</v>
      </c>
      <c r="Z453">
        <v>10</v>
      </c>
      <c r="AA453">
        <v>33</v>
      </c>
      <c r="AB453">
        <v>7</v>
      </c>
      <c r="AC453">
        <v>78</v>
      </c>
      <c r="AD453">
        <v>12</v>
      </c>
      <c r="AE453">
        <v>0</v>
      </c>
      <c r="AF453">
        <v>54</v>
      </c>
      <c r="AG453">
        <v>17</v>
      </c>
      <c r="AH453">
        <v>21</v>
      </c>
      <c r="AI453">
        <v>9</v>
      </c>
      <c r="AJ453">
        <v>1</v>
      </c>
      <c r="AK453">
        <v>1</v>
      </c>
      <c r="AL453">
        <v>3</v>
      </c>
      <c r="AM453">
        <v>4</v>
      </c>
      <c r="AN453">
        <v>24</v>
      </c>
      <c r="AO453">
        <v>0</v>
      </c>
      <c r="AP453">
        <v>1</v>
      </c>
      <c r="AQ453">
        <v>5</v>
      </c>
      <c r="AR453">
        <v>0</v>
      </c>
      <c r="AS453">
        <v>16</v>
      </c>
      <c r="AT453">
        <v>20</v>
      </c>
      <c r="AU453">
        <v>6</v>
      </c>
      <c r="AV453">
        <v>0</v>
      </c>
      <c r="AW453">
        <v>5</v>
      </c>
      <c r="AX453">
        <v>0</v>
      </c>
      <c r="AY453">
        <v>4</v>
      </c>
      <c r="AZ453">
        <v>0</v>
      </c>
      <c r="BA453">
        <v>11</v>
      </c>
      <c r="BB453">
        <v>61</v>
      </c>
      <c r="BC453">
        <v>2</v>
      </c>
      <c r="BD453">
        <v>0</v>
      </c>
      <c r="BE453">
        <v>0</v>
      </c>
      <c r="BF453">
        <v>1</v>
      </c>
      <c r="BG453">
        <v>12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3</v>
      </c>
      <c r="BO453">
        <v>0</v>
      </c>
      <c r="BP453">
        <v>0</v>
      </c>
      <c r="BQ453">
        <v>1</v>
      </c>
      <c r="BR453">
        <v>4</v>
      </c>
      <c r="BS453">
        <v>6</v>
      </c>
      <c r="BT453">
        <v>1</v>
      </c>
      <c r="BU453">
        <v>0</v>
      </c>
      <c r="BV453">
        <v>0</v>
      </c>
      <c r="BW453">
        <v>6</v>
      </c>
      <c r="BX453">
        <v>0</v>
      </c>
      <c r="BY453">
        <v>0</v>
      </c>
      <c r="BZ453">
        <v>0</v>
      </c>
      <c r="CA453">
        <v>1</v>
      </c>
      <c r="CB453">
        <v>0</v>
      </c>
      <c r="CC453">
        <v>2</v>
      </c>
      <c r="CD453">
        <v>0</v>
      </c>
      <c r="CE453">
        <v>0</v>
      </c>
      <c r="CF453">
        <v>3</v>
      </c>
      <c r="CG453">
        <v>4</v>
      </c>
      <c r="CH453">
        <v>0</v>
      </c>
      <c r="CI453">
        <v>1</v>
      </c>
      <c r="CJ453">
        <v>1</v>
      </c>
      <c r="CK453">
        <v>0</v>
      </c>
      <c r="CL453">
        <v>0</v>
      </c>
      <c r="CM453">
        <v>0</v>
      </c>
      <c r="CN453">
        <v>1</v>
      </c>
      <c r="CO453">
        <v>0</v>
      </c>
      <c r="CP453">
        <v>0</v>
      </c>
      <c r="CQ453">
        <v>2</v>
      </c>
      <c r="CR453">
        <v>0</v>
      </c>
      <c r="CS453">
        <v>3</v>
      </c>
      <c r="CT453">
        <v>3</v>
      </c>
      <c r="CU453">
        <v>0</v>
      </c>
      <c r="CV453">
        <v>0</v>
      </c>
      <c r="CW453">
        <v>1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1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1</v>
      </c>
      <c r="DP453">
        <v>0</v>
      </c>
      <c r="DQ453">
        <v>0</v>
      </c>
      <c r="DR453">
        <v>1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1</v>
      </c>
      <c r="EA453">
        <v>0</v>
      </c>
      <c r="EB453">
        <v>0</v>
      </c>
      <c r="EC453">
        <v>1</v>
      </c>
      <c r="ED453">
        <v>4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1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1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</row>
    <row r="454" spans="1:201" x14ac:dyDescent="0.3">
      <c r="A454" t="s">
        <v>322</v>
      </c>
      <c r="B454" t="s">
        <v>339</v>
      </c>
      <c r="C454" t="s">
        <v>204</v>
      </c>
      <c r="D454" s="1">
        <v>3523</v>
      </c>
      <c r="E454">
        <v>266</v>
      </c>
      <c r="F454">
        <v>877</v>
      </c>
      <c r="G454">
        <v>619</v>
      </c>
      <c r="H454">
        <v>7</v>
      </c>
      <c r="I454">
        <v>34</v>
      </c>
      <c r="J454">
        <v>11</v>
      </c>
      <c r="K454">
        <v>29</v>
      </c>
      <c r="L454">
        <v>23</v>
      </c>
      <c r="M454">
        <v>75</v>
      </c>
      <c r="N454">
        <v>80</v>
      </c>
      <c r="O454">
        <v>69</v>
      </c>
      <c r="P454">
        <v>319</v>
      </c>
      <c r="Q454">
        <v>5</v>
      </c>
      <c r="R454">
        <v>3</v>
      </c>
      <c r="S454">
        <v>262</v>
      </c>
      <c r="T454">
        <v>61</v>
      </c>
      <c r="U454">
        <v>24</v>
      </c>
      <c r="V454">
        <v>4</v>
      </c>
      <c r="W454">
        <v>90</v>
      </c>
      <c r="X454">
        <v>134</v>
      </c>
      <c r="Y454">
        <v>17</v>
      </c>
      <c r="Z454">
        <v>8</v>
      </c>
      <c r="AA454">
        <v>32</v>
      </c>
      <c r="AB454">
        <v>15</v>
      </c>
      <c r="AC454">
        <v>58</v>
      </c>
      <c r="AD454">
        <v>27</v>
      </c>
      <c r="AE454">
        <v>0</v>
      </c>
      <c r="AF454">
        <v>52</v>
      </c>
      <c r="AG454">
        <v>22</v>
      </c>
      <c r="AH454">
        <v>20</v>
      </c>
      <c r="AI454">
        <v>8</v>
      </c>
      <c r="AJ454">
        <v>1</v>
      </c>
      <c r="AK454">
        <v>0</v>
      </c>
      <c r="AL454">
        <v>12</v>
      </c>
      <c r="AM454">
        <v>22</v>
      </c>
      <c r="AN454">
        <v>19</v>
      </c>
      <c r="AO454">
        <v>1</v>
      </c>
      <c r="AP454">
        <v>0</v>
      </c>
      <c r="AQ454">
        <v>7</v>
      </c>
      <c r="AR454">
        <v>0</v>
      </c>
      <c r="AS454">
        <v>10</v>
      </c>
      <c r="AT454">
        <v>16</v>
      </c>
      <c r="AU454">
        <v>11</v>
      </c>
      <c r="AV454">
        <v>0</v>
      </c>
      <c r="AW454">
        <v>6</v>
      </c>
      <c r="AX454">
        <v>0</v>
      </c>
      <c r="AY454">
        <v>6</v>
      </c>
      <c r="AZ454">
        <v>0</v>
      </c>
      <c r="BA454">
        <v>20</v>
      </c>
      <c r="BB454">
        <v>54</v>
      </c>
      <c r="BC454">
        <v>4</v>
      </c>
      <c r="BD454">
        <v>0</v>
      </c>
      <c r="BE454">
        <v>0</v>
      </c>
      <c r="BF454">
        <v>0</v>
      </c>
      <c r="BG454">
        <v>3</v>
      </c>
      <c r="BH454">
        <v>3</v>
      </c>
      <c r="BI454">
        <v>2</v>
      </c>
      <c r="BJ454">
        <v>0</v>
      </c>
      <c r="BK454">
        <v>0</v>
      </c>
      <c r="BL454">
        <v>0</v>
      </c>
      <c r="BM454">
        <v>1</v>
      </c>
      <c r="BN454">
        <v>3</v>
      </c>
      <c r="BO454">
        <v>0</v>
      </c>
      <c r="BP454">
        <v>0</v>
      </c>
      <c r="BQ454">
        <v>2</v>
      </c>
      <c r="BR454">
        <v>3</v>
      </c>
      <c r="BS454">
        <v>6</v>
      </c>
      <c r="BT454">
        <v>0</v>
      </c>
      <c r="BU454">
        <v>0</v>
      </c>
      <c r="BV454">
        <v>2</v>
      </c>
      <c r="BW454">
        <v>2</v>
      </c>
      <c r="BX454">
        <v>0</v>
      </c>
      <c r="BY454">
        <v>0</v>
      </c>
      <c r="BZ454">
        <v>1</v>
      </c>
      <c r="CA454">
        <v>2</v>
      </c>
      <c r="CB454">
        <v>0</v>
      </c>
      <c r="CC454">
        <v>2</v>
      </c>
      <c r="CD454">
        <v>4</v>
      </c>
      <c r="CE454">
        <v>3</v>
      </c>
      <c r="CF454">
        <v>2</v>
      </c>
      <c r="CG454">
        <v>4</v>
      </c>
      <c r="CH454">
        <v>0</v>
      </c>
      <c r="CI454">
        <v>4</v>
      </c>
      <c r="CJ454">
        <v>0</v>
      </c>
      <c r="CK454">
        <v>2</v>
      </c>
      <c r="CL454">
        <v>1</v>
      </c>
      <c r="CM454">
        <v>0</v>
      </c>
      <c r="CN454">
        <v>3</v>
      </c>
      <c r="CO454">
        <v>0</v>
      </c>
      <c r="CP454">
        <v>1</v>
      </c>
      <c r="CQ454">
        <v>1</v>
      </c>
      <c r="CR454">
        <v>0</v>
      </c>
      <c r="CS454">
        <v>4</v>
      </c>
      <c r="CT454">
        <v>3</v>
      </c>
      <c r="CU454">
        <v>1</v>
      </c>
      <c r="CV454">
        <v>1</v>
      </c>
      <c r="CW454">
        <v>2</v>
      </c>
      <c r="CX454">
        <v>0</v>
      </c>
      <c r="CY454">
        <v>0</v>
      </c>
      <c r="CZ454">
        <v>3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2</v>
      </c>
      <c r="DO454">
        <v>2</v>
      </c>
      <c r="DP454">
        <v>1</v>
      </c>
      <c r="DQ454">
        <v>0</v>
      </c>
      <c r="DR454">
        <v>2</v>
      </c>
      <c r="DS454">
        <v>0</v>
      </c>
      <c r="DT454">
        <v>0</v>
      </c>
      <c r="DU454">
        <v>0</v>
      </c>
      <c r="DV454">
        <v>1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1</v>
      </c>
      <c r="ED454">
        <v>1</v>
      </c>
      <c r="EE454">
        <v>1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1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</row>
    <row r="455" spans="1:201" x14ac:dyDescent="0.3">
      <c r="A455" t="s">
        <v>322</v>
      </c>
      <c r="B455" t="s">
        <v>340</v>
      </c>
      <c r="C455" t="s">
        <v>200</v>
      </c>
      <c r="D455" s="1">
        <v>3449</v>
      </c>
      <c r="E455">
        <v>320</v>
      </c>
      <c r="F455" s="1">
        <v>1160</v>
      </c>
      <c r="G455">
        <v>610</v>
      </c>
      <c r="H455">
        <v>22</v>
      </c>
      <c r="I455">
        <v>55</v>
      </c>
      <c r="J455">
        <v>23</v>
      </c>
      <c r="K455">
        <v>31</v>
      </c>
      <c r="L455">
        <v>14</v>
      </c>
      <c r="M455">
        <v>109</v>
      </c>
      <c r="N455">
        <v>52</v>
      </c>
      <c r="O455">
        <v>107</v>
      </c>
      <c r="P455">
        <v>197</v>
      </c>
      <c r="Q455">
        <v>0</v>
      </c>
      <c r="R455">
        <v>4</v>
      </c>
      <c r="S455">
        <v>164</v>
      </c>
      <c r="T455">
        <v>35</v>
      </c>
      <c r="U455">
        <v>22</v>
      </c>
      <c r="V455">
        <v>9</v>
      </c>
      <c r="W455">
        <v>155</v>
      </c>
      <c r="X455">
        <v>20</v>
      </c>
      <c r="Y455">
        <v>5</v>
      </c>
      <c r="Z455">
        <v>6</v>
      </c>
      <c r="AA455">
        <v>32</v>
      </c>
      <c r="AB455">
        <v>11</v>
      </c>
      <c r="AC455">
        <v>52</v>
      </c>
      <c r="AD455">
        <v>14</v>
      </c>
      <c r="AE455">
        <v>0</v>
      </c>
      <c r="AF455">
        <v>35</v>
      </c>
      <c r="AG455">
        <v>5</v>
      </c>
      <c r="AH455">
        <v>9</v>
      </c>
      <c r="AI455">
        <v>13</v>
      </c>
      <c r="AJ455">
        <v>2</v>
      </c>
      <c r="AK455">
        <v>4</v>
      </c>
      <c r="AL455">
        <v>8</v>
      </c>
      <c r="AM455">
        <v>11</v>
      </c>
      <c r="AN455">
        <v>15</v>
      </c>
      <c r="AO455">
        <v>0</v>
      </c>
      <c r="AP455">
        <v>0</v>
      </c>
      <c r="AQ455">
        <v>11</v>
      </c>
      <c r="AR455">
        <v>2</v>
      </c>
      <c r="AS455">
        <v>5</v>
      </c>
      <c r="AT455">
        <v>3</v>
      </c>
      <c r="AU455">
        <v>2</v>
      </c>
      <c r="AV455">
        <v>3</v>
      </c>
      <c r="AW455">
        <v>6</v>
      </c>
      <c r="AX455">
        <v>0</v>
      </c>
      <c r="AY455">
        <v>5</v>
      </c>
      <c r="AZ455">
        <v>0</v>
      </c>
      <c r="BA455">
        <v>6</v>
      </c>
      <c r="BB455">
        <v>0</v>
      </c>
      <c r="BC455">
        <v>9</v>
      </c>
      <c r="BD455">
        <v>0</v>
      </c>
      <c r="BE455">
        <v>1</v>
      </c>
      <c r="BF455">
        <v>0</v>
      </c>
      <c r="BG455">
        <v>4</v>
      </c>
      <c r="BH455">
        <v>4</v>
      </c>
      <c r="BI455">
        <v>1</v>
      </c>
      <c r="BJ455">
        <v>1</v>
      </c>
      <c r="BK455">
        <v>0</v>
      </c>
      <c r="BL455">
        <v>0</v>
      </c>
      <c r="BM455">
        <v>0</v>
      </c>
      <c r="BN455">
        <v>3</v>
      </c>
      <c r="BO455">
        <v>1</v>
      </c>
      <c r="BP455">
        <v>1</v>
      </c>
      <c r="BQ455">
        <v>4</v>
      </c>
      <c r="BR455">
        <v>5</v>
      </c>
      <c r="BS455">
        <v>8</v>
      </c>
      <c r="BT455">
        <v>0</v>
      </c>
      <c r="BU455">
        <v>0</v>
      </c>
      <c r="BV455">
        <v>4</v>
      </c>
      <c r="BW455">
        <v>1</v>
      </c>
      <c r="BX455">
        <v>0</v>
      </c>
      <c r="BY455">
        <v>0</v>
      </c>
      <c r="BZ455">
        <v>1</v>
      </c>
      <c r="CA455">
        <v>0</v>
      </c>
      <c r="CB455">
        <v>0</v>
      </c>
      <c r="CC455">
        <v>1</v>
      </c>
      <c r="CD455">
        <v>2</v>
      </c>
      <c r="CE455">
        <v>0</v>
      </c>
      <c r="CF455">
        <v>0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0</v>
      </c>
      <c r="CN455">
        <v>0</v>
      </c>
      <c r="CO455">
        <v>0</v>
      </c>
      <c r="CP455">
        <v>2</v>
      </c>
      <c r="CQ455">
        <v>1</v>
      </c>
      <c r="CR455">
        <v>0</v>
      </c>
      <c r="CS455">
        <v>0</v>
      </c>
      <c r="CT455">
        <v>1</v>
      </c>
      <c r="CU455">
        <v>0</v>
      </c>
      <c r="CV455">
        <v>4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6</v>
      </c>
      <c r="DG455">
        <v>0</v>
      </c>
      <c r="DH455">
        <v>0</v>
      </c>
      <c r="DI455">
        <v>0</v>
      </c>
      <c r="DJ455">
        <v>0</v>
      </c>
      <c r="DK455">
        <v>1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1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1</v>
      </c>
    </row>
    <row r="456" spans="1:201" x14ac:dyDescent="0.3">
      <c r="A456" t="s">
        <v>322</v>
      </c>
      <c r="B456" t="s">
        <v>340</v>
      </c>
      <c r="C456" t="s">
        <v>203</v>
      </c>
      <c r="D456" s="1">
        <v>1365</v>
      </c>
      <c r="E456">
        <v>89</v>
      </c>
      <c r="F456">
        <v>588</v>
      </c>
      <c r="G456">
        <v>195</v>
      </c>
      <c r="H456">
        <v>18</v>
      </c>
      <c r="I456">
        <v>25</v>
      </c>
      <c r="J456">
        <v>6</v>
      </c>
      <c r="K456">
        <v>19</v>
      </c>
      <c r="L456">
        <v>7</v>
      </c>
      <c r="M456">
        <v>23</v>
      </c>
      <c r="N456">
        <v>5</v>
      </c>
      <c r="O456">
        <v>39</v>
      </c>
      <c r="P456">
        <v>80</v>
      </c>
      <c r="Q456">
        <v>0</v>
      </c>
      <c r="R456">
        <v>4</v>
      </c>
      <c r="S456">
        <v>13</v>
      </c>
      <c r="T456">
        <v>9</v>
      </c>
      <c r="U456">
        <v>7</v>
      </c>
      <c r="V456">
        <v>7</v>
      </c>
      <c r="W456">
        <v>77</v>
      </c>
      <c r="X456">
        <v>9</v>
      </c>
      <c r="Y456">
        <v>1</v>
      </c>
      <c r="Z456">
        <v>1</v>
      </c>
      <c r="AA456">
        <v>15</v>
      </c>
      <c r="AB456">
        <v>3</v>
      </c>
      <c r="AC456">
        <v>26</v>
      </c>
      <c r="AD456">
        <v>4</v>
      </c>
      <c r="AE456">
        <v>0</v>
      </c>
      <c r="AF456">
        <v>16</v>
      </c>
      <c r="AG456">
        <v>1</v>
      </c>
      <c r="AH456">
        <v>5</v>
      </c>
      <c r="AI456">
        <v>10</v>
      </c>
      <c r="AJ456">
        <v>0</v>
      </c>
      <c r="AK456">
        <v>2</v>
      </c>
      <c r="AL456">
        <v>2</v>
      </c>
      <c r="AM456">
        <v>2</v>
      </c>
      <c r="AN456">
        <v>7</v>
      </c>
      <c r="AO456">
        <v>0</v>
      </c>
      <c r="AP456">
        <v>0</v>
      </c>
      <c r="AQ456">
        <v>6</v>
      </c>
      <c r="AR456">
        <v>1</v>
      </c>
      <c r="AS456">
        <v>2</v>
      </c>
      <c r="AT456">
        <v>2</v>
      </c>
      <c r="AU456">
        <v>1</v>
      </c>
      <c r="AV456">
        <v>2</v>
      </c>
      <c r="AW456">
        <v>2</v>
      </c>
      <c r="AX456">
        <v>0</v>
      </c>
      <c r="AY456">
        <v>1</v>
      </c>
      <c r="AZ456">
        <v>0</v>
      </c>
      <c r="BA456">
        <v>2</v>
      </c>
      <c r="BB456">
        <v>0</v>
      </c>
      <c r="BC456">
        <v>5</v>
      </c>
      <c r="BD456">
        <v>0</v>
      </c>
      <c r="BE456">
        <v>0</v>
      </c>
      <c r="BF456">
        <v>0</v>
      </c>
      <c r="BG456">
        <v>2</v>
      </c>
      <c r="BH456">
        <v>1</v>
      </c>
      <c r="BI456">
        <v>0</v>
      </c>
      <c r="BJ456">
        <v>1</v>
      </c>
      <c r="BK456">
        <v>0</v>
      </c>
      <c r="BL456">
        <v>0</v>
      </c>
      <c r="BM456">
        <v>0</v>
      </c>
      <c r="BN456">
        <v>1</v>
      </c>
      <c r="BO456">
        <v>0</v>
      </c>
      <c r="BP456">
        <v>0</v>
      </c>
      <c r="BQ456">
        <v>2</v>
      </c>
      <c r="BR456">
        <v>3</v>
      </c>
      <c r="BS456">
        <v>5</v>
      </c>
      <c r="BT456">
        <v>0</v>
      </c>
      <c r="BU456">
        <v>0</v>
      </c>
      <c r="BV456">
        <v>2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2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5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1</v>
      </c>
    </row>
    <row r="457" spans="1:201" x14ac:dyDescent="0.3">
      <c r="A457" t="s">
        <v>322</v>
      </c>
      <c r="B457" t="s">
        <v>340</v>
      </c>
      <c r="C457" t="s">
        <v>204</v>
      </c>
      <c r="D457" s="1">
        <v>2084</v>
      </c>
      <c r="E457">
        <v>231</v>
      </c>
      <c r="F457">
        <v>572</v>
      </c>
      <c r="G457">
        <v>415</v>
      </c>
      <c r="H457">
        <v>4</v>
      </c>
      <c r="I457">
        <v>30</v>
      </c>
      <c r="J457">
        <v>17</v>
      </c>
      <c r="K457">
        <v>12</v>
      </c>
      <c r="L457">
        <v>7</v>
      </c>
      <c r="M457">
        <v>86</v>
      </c>
      <c r="N457">
        <v>47</v>
      </c>
      <c r="O457">
        <v>68</v>
      </c>
      <c r="P457">
        <v>117</v>
      </c>
      <c r="Q457">
        <v>0</v>
      </c>
      <c r="R457">
        <v>0</v>
      </c>
      <c r="S457">
        <v>151</v>
      </c>
      <c r="T457">
        <v>26</v>
      </c>
      <c r="U457">
        <v>15</v>
      </c>
      <c r="V457">
        <v>2</v>
      </c>
      <c r="W457">
        <v>78</v>
      </c>
      <c r="X457">
        <v>11</v>
      </c>
      <c r="Y457">
        <v>4</v>
      </c>
      <c r="Z457">
        <v>5</v>
      </c>
      <c r="AA457">
        <v>17</v>
      </c>
      <c r="AB457">
        <v>8</v>
      </c>
      <c r="AC457">
        <v>26</v>
      </c>
      <c r="AD457">
        <v>10</v>
      </c>
      <c r="AE457">
        <v>0</v>
      </c>
      <c r="AF457">
        <v>19</v>
      </c>
      <c r="AG457">
        <v>4</v>
      </c>
      <c r="AH457">
        <v>4</v>
      </c>
      <c r="AI457">
        <v>3</v>
      </c>
      <c r="AJ457">
        <v>2</v>
      </c>
      <c r="AK457">
        <v>2</v>
      </c>
      <c r="AL457">
        <v>6</v>
      </c>
      <c r="AM457">
        <v>9</v>
      </c>
      <c r="AN457">
        <v>8</v>
      </c>
      <c r="AO457">
        <v>0</v>
      </c>
      <c r="AP457">
        <v>0</v>
      </c>
      <c r="AQ457">
        <v>5</v>
      </c>
      <c r="AR457">
        <v>1</v>
      </c>
      <c r="AS457">
        <v>3</v>
      </c>
      <c r="AT457">
        <v>1</v>
      </c>
      <c r="AU457">
        <v>1</v>
      </c>
      <c r="AV457">
        <v>1</v>
      </c>
      <c r="AW457">
        <v>4</v>
      </c>
      <c r="AX457">
        <v>0</v>
      </c>
      <c r="AY457">
        <v>4</v>
      </c>
      <c r="AZ457">
        <v>0</v>
      </c>
      <c r="BA457">
        <v>4</v>
      </c>
      <c r="BB457">
        <v>0</v>
      </c>
      <c r="BC457">
        <v>4</v>
      </c>
      <c r="BD457">
        <v>0</v>
      </c>
      <c r="BE457">
        <v>1</v>
      </c>
      <c r="BF457">
        <v>0</v>
      </c>
      <c r="BG457">
        <v>2</v>
      </c>
      <c r="BH457">
        <v>3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2</v>
      </c>
      <c r="BO457">
        <v>1</v>
      </c>
      <c r="BP457">
        <v>1</v>
      </c>
      <c r="BQ457">
        <v>2</v>
      </c>
      <c r="BR457">
        <v>2</v>
      </c>
      <c r="BS457">
        <v>3</v>
      </c>
      <c r="BT457">
        <v>0</v>
      </c>
      <c r="BU457">
        <v>0</v>
      </c>
      <c r="BV457">
        <v>2</v>
      </c>
      <c r="BW457">
        <v>1</v>
      </c>
      <c r="BX457">
        <v>0</v>
      </c>
      <c r="BY457">
        <v>0</v>
      </c>
      <c r="BZ457">
        <v>1</v>
      </c>
      <c r="CA457">
        <v>0</v>
      </c>
      <c r="CB457">
        <v>0</v>
      </c>
      <c r="CC457">
        <v>1</v>
      </c>
      <c r="CD457">
        <v>2</v>
      </c>
      <c r="CE457">
        <v>0</v>
      </c>
      <c r="CF457">
        <v>0</v>
      </c>
      <c r="CG457">
        <v>1</v>
      </c>
      <c r="CH457">
        <v>0</v>
      </c>
      <c r="CI457">
        <v>1</v>
      </c>
      <c r="CJ457">
        <v>1</v>
      </c>
      <c r="CK457">
        <v>1</v>
      </c>
      <c r="CL457">
        <v>1</v>
      </c>
      <c r="CM457">
        <v>0</v>
      </c>
      <c r="CN457">
        <v>0</v>
      </c>
      <c r="CO457">
        <v>0</v>
      </c>
      <c r="CP457">
        <v>2</v>
      </c>
      <c r="CQ457">
        <v>1</v>
      </c>
      <c r="CR457">
        <v>0</v>
      </c>
      <c r="CS457">
        <v>0</v>
      </c>
      <c r="CT457">
        <v>1</v>
      </c>
      <c r="CU457">
        <v>0</v>
      </c>
      <c r="CV457">
        <v>2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1</v>
      </c>
      <c r="DG457">
        <v>0</v>
      </c>
      <c r="DH457">
        <v>0</v>
      </c>
      <c r="DI457">
        <v>0</v>
      </c>
      <c r="DJ457">
        <v>0</v>
      </c>
      <c r="DK457">
        <v>1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1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</row>
    <row r="458" spans="1:201" x14ac:dyDescent="0.3">
      <c r="A458" t="s">
        <v>322</v>
      </c>
      <c r="B458" t="s">
        <v>341</v>
      </c>
      <c r="C458" t="s">
        <v>200</v>
      </c>
      <c r="D458" s="1">
        <v>23886</v>
      </c>
      <c r="E458">
        <v>477</v>
      </c>
      <c r="F458" s="1">
        <v>14840</v>
      </c>
      <c r="G458" s="1">
        <v>5491</v>
      </c>
      <c r="H458">
        <v>205</v>
      </c>
      <c r="I458">
        <v>72</v>
      </c>
      <c r="J458">
        <v>89</v>
      </c>
      <c r="K458">
        <v>269</v>
      </c>
      <c r="L458">
        <v>121</v>
      </c>
      <c r="M458">
        <v>87</v>
      </c>
      <c r="N458">
        <v>133</v>
      </c>
      <c r="O458">
        <v>108</v>
      </c>
      <c r="P458">
        <v>246</v>
      </c>
      <c r="Q458">
        <v>13</v>
      </c>
      <c r="R458">
        <v>18</v>
      </c>
      <c r="S458">
        <v>302</v>
      </c>
      <c r="T458">
        <v>119</v>
      </c>
      <c r="U458">
        <v>36</v>
      </c>
      <c r="V458">
        <v>27</v>
      </c>
      <c r="W458">
        <v>345</v>
      </c>
      <c r="X458">
        <v>58</v>
      </c>
      <c r="Y458">
        <v>9</v>
      </c>
      <c r="Z458">
        <v>10</v>
      </c>
      <c r="AA458">
        <v>111</v>
      </c>
      <c r="AB458">
        <v>34</v>
      </c>
      <c r="AC458">
        <v>58</v>
      </c>
      <c r="AD458">
        <v>12</v>
      </c>
      <c r="AE458">
        <v>0</v>
      </c>
      <c r="AF458">
        <v>54</v>
      </c>
      <c r="AG458">
        <v>57</v>
      </c>
      <c r="AH458">
        <v>35</v>
      </c>
      <c r="AI458">
        <v>8</v>
      </c>
      <c r="AJ458">
        <v>4</v>
      </c>
      <c r="AK458">
        <v>3</v>
      </c>
      <c r="AL458">
        <v>18</v>
      </c>
      <c r="AM458">
        <v>68</v>
      </c>
      <c r="AN458">
        <v>24</v>
      </c>
      <c r="AO458">
        <v>2</v>
      </c>
      <c r="AP458">
        <v>0</v>
      </c>
      <c r="AQ458">
        <v>8</v>
      </c>
      <c r="AR458">
        <v>2</v>
      </c>
      <c r="AS458">
        <v>18</v>
      </c>
      <c r="AT458">
        <v>25</v>
      </c>
      <c r="AU458">
        <v>8</v>
      </c>
      <c r="AV458">
        <v>2</v>
      </c>
      <c r="AW458">
        <v>32</v>
      </c>
      <c r="AX458">
        <v>4</v>
      </c>
      <c r="AY458">
        <v>12</v>
      </c>
      <c r="AZ458">
        <v>0</v>
      </c>
      <c r="BA458">
        <v>17</v>
      </c>
      <c r="BB458">
        <v>14</v>
      </c>
      <c r="BC458">
        <v>10</v>
      </c>
      <c r="BD458">
        <v>0</v>
      </c>
      <c r="BE458">
        <v>1</v>
      </c>
      <c r="BF458">
        <v>0</v>
      </c>
      <c r="BG458">
        <v>5</v>
      </c>
      <c r="BH458">
        <v>9</v>
      </c>
      <c r="BI458">
        <v>2</v>
      </c>
      <c r="BJ458">
        <v>2</v>
      </c>
      <c r="BK458">
        <v>0</v>
      </c>
      <c r="BL458">
        <v>0</v>
      </c>
      <c r="BM458">
        <v>0</v>
      </c>
      <c r="BN458">
        <v>11</v>
      </c>
      <c r="BO458">
        <v>4</v>
      </c>
      <c r="BP458">
        <v>0</v>
      </c>
      <c r="BQ458">
        <v>5</v>
      </c>
      <c r="BR458">
        <v>12</v>
      </c>
      <c r="BS458">
        <v>4</v>
      </c>
      <c r="BT458">
        <v>2</v>
      </c>
      <c r="BU458">
        <v>4</v>
      </c>
      <c r="BV458">
        <v>0</v>
      </c>
      <c r="BW458">
        <v>10</v>
      </c>
      <c r="BX458">
        <v>0</v>
      </c>
      <c r="BY458">
        <v>3</v>
      </c>
      <c r="BZ458">
        <v>4</v>
      </c>
      <c r="CA458">
        <v>6</v>
      </c>
      <c r="CB458">
        <v>0</v>
      </c>
      <c r="CC458">
        <v>3</v>
      </c>
      <c r="CD458">
        <v>2</v>
      </c>
      <c r="CE458">
        <v>3</v>
      </c>
      <c r="CF458">
        <v>5</v>
      </c>
      <c r="CG458">
        <v>3</v>
      </c>
      <c r="CH458">
        <v>1</v>
      </c>
      <c r="CI458">
        <v>1</v>
      </c>
      <c r="CJ458">
        <v>5</v>
      </c>
      <c r="CK458">
        <v>5</v>
      </c>
      <c r="CL458">
        <v>5</v>
      </c>
      <c r="CM458">
        <v>1</v>
      </c>
      <c r="CN458">
        <v>0</v>
      </c>
      <c r="CO458">
        <v>1</v>
      </c>
      <c r="CP458">
        <v>2</v>
      </c>
      <c r="CQ458">
        <v>2</v>
      </c>
      <c r="CR458">
        <v>0</v>
      </c>
      <c r="CS458">
        <v>4</v>
      </c>
      <c r="CT458">
        <v>3</v>
      </c>
      <c r="CU458">
        <v>0</v>
      </c>
      <c r="CV458">
        <v>0</v>
      </c>
      <c r="CW458">
        <v>1</v>
      </c>
      <c r="CX458">
        <v>0</v>
      </c>
      <c r="CY458">
        <v>2</v>
      </c>
      <c r="CZ458">
        <v>2</v>
      </c>
      <c r="DA458">
        <v>0</v>
      </c>
      <c r="DB458">
        <v>0</v>
      </c>
      <c r="DC458">
        <v>0</v>
      </c>
      <c r="DD458">
        <v>2</v>
      </c>
      <c r="DE458">
        <v>0</v>
      </c>
      <c r="DF458">
        <v>1</v>
      </c>
      <c r="DG458">
        <v>0</v>
      </c>
      <c r="DH458">
        <v>0</v>
      </c>
      <c r="DI458">
        <v>0</v>
      </c>
      <c r="DJ458">
        <v>1</v>
      </c>
      <c r="DK458">
        <v>0</v>
      </c>
      <c r="DL458">
        <v>0</v>
      </c>
      <c r="DM458">
        <v>0</v>
      </c>
      <c r="DN458">
        <v>2</v>
      </c>
      <c r="DO458">
        <v>0</v>
      </c>
      <c r="DP458">
        <v>1</v>
      </c>
      <c r="DQ458">
        <v>1</v>
      </c>
      <c r="DR458">
        <v>3</v>
      </c>
      <c r="DS458">
        <v>1</v>
      </c>
      <c r="DT458">
        <v>0</v>
      </c>
      <c r="DU458">
        <v>0</v>
      </c>
      <c r="DV458">
        <v>0</v>
      </c>
      <c r="DW458">
        <v>6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3</v>
      </c>
      <c r="EF458">
        <v>1</v>
      </c>
      <c r="EG458">
        <v>0</v>
      </c>
      <c r="EH458">
        <v>1</v>
      </c>
      <c r="EI458">
        <v>0</v>
      </c>
      <c r="EJ458">
        <v>0</v>
      </c>
      <c r="EK458">
        <v>0</v>
      </c>
      <c r="EL458">
        <v>0</v>
      </c>
      <c r="EM458">
        <v>1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1</v>
      </c>
      <c r="ET458">
        <v>0</v>
      </c>
      <c r="EU458">
        <v>0</v>
      </c>
      <c r="EV458">
        <v>2</v>
      </c>
      <c r="EW458">
        <v>0</v>
      </c>
      <c r="EX458">
        <v>0</v>
      </c>
      <c r="EY458">
        <v>1</v>
      </c>
      <c r="EZ458">
        <v>0</v>
      </c>
      <c r="FA458">
        <v>0</v>
      </c>
      <c r="FB458">
        <v>1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1</v>
      </c>
      <c r="FR458">
        <v>0</v>
      </c>
      <c r="FS458">
        <v>0</v>
      </c>
      <c r="FT458">
        <v>1</v>
      </c>
      <c r="FU458">
        <v>0</v>
      </c>
      <c r="FV458">
        <v>2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3</v>
      </c>
    </row>
    <row r="459" spans="1:201" x14ac:dyDescent="0.3">
      <c r="A459" t="s">
        <v>322</v>
      </c>
      <c r="B459" t="s">
        <v>341</v>
      </c>
      <c r="C459" t="s">
        <v>203</v>
      </c>
      <c r="D459" s="1">
        <v>12399</v>
      </c>
      <c r="E459">
        <v>143</v>
      </c>
      <c r="F459" s="1">
        <v>8668</v>
      </c>
      <c r="G459" s="1">
        <v>2142</v>
      </c>
      <c r="H459">
        <v>120</v>
      </c>
      <c r="I459">
        <v>48</v>
      </c>
      <c r="J459">
        <v>77</v>
      </c>
      <c r="K459">
        <v>135</v>
      </c>
      <c r="L459">
        <v>92</v>
      </c>
      <c r="M459">
        <v>26</v>
      </c>
      <c r="N459">
        <v>71</v>
      </c>
      <c r="O459">
        <v>33</v>
      </c>
      <c r="P459">
        <v>127</v>
      </c>
      <c r="Q459">
        <v>11</v>
      </c>
      <c r="R459">
        <v>16</v>
      </c>
      <c r="S459">
        <v>48</v>
      </c>
      <c r="T459">
        <v>26</v>
      </c>
      <c r="U459">
        <v>9</v>
      </c>
      <c r="V459">
        <v>18</v>
      </c>
      <c r="W459">
        <v>159</v>
      </c>
      <c r="X459">
        <v>43</v>
      </c>
      <c r="Y459">
        <v>5</v>
      </c>
      <c r="Z459">
        <v>1</v>
      </c>
      <c r="AA459">
        <v>61</v>
      </c>
      <c r="AB459">
        <v>17</v>
      </c>
      <c r="AC459">
        <v>27</v>
      </c>
      <c r="AD459">
        <v>7</v>
      </c>
      <c r="AE459">
        <v>0</v>
      </c>
      <c r="AF459">
        <v>31</v>
      </c>
      <c r="AG459">
        <v>40</v>
      </c>
      <c r="AH459">
        <v>13</v>
      </c>
      <c r="AI459">
        <v>6</v>
      </c>
      <c r="AJ459">
        <v>0</v>
      </c>
      <c r="AK459">
        <v>3</v>
      </c>
      <c r="AL459">
        <v>1</v>
      </c>
      <c r="AM459">
        <v>14</v>
      </c>
      <c r="AN459">
        <v>19</v>
      </c>
      <c r="AO459">
        <v>2</v>
      </c>
      <c r="AP459">
        <v>0</v>
      </c>
      <c r="AQ459">
        <v>4</v>
      </c>
      <c r="AR459">
        <v>1</v>
      </c>
      <c r="AS459">
        <v>6</v>
      </c>
      <c r="AT459">
        <v>9</v>
      </c>
      <c r="AU459">
        <v>4</v>
      </c>
      <c r="AV459">
        <v>2</v>
      </c>
      <c r="AW459">
        <v>16</v>
      </c>
      <c r="AX459">
        <v>3</v>
      </c>
      <c r="AY459">
        <v>3</v>
      </c>
      <c r="AZ459">
        <v>0</v>
      </c>
      <c r="BA459">
        <v>4</v>
      </c>
      <c r="BB459">
        <v>6</v>
      </c>
      <c r="BC459">
        <v>7</v>
      </c>
      <c r="BD459">
        <v>0</v>
      </c>
      <c r="BE459">
        <v>1</v>
      </c>
      <c r="BF459">
        <v>0</v>
      </c>
      <c r="BG459">
        <v>5</v>
      </c>
      <c r="BH459">
        <v>0</v>
      </c>
      <c r="BI459">
        <v>1</v>
      </c>
      <c r="BJ459">
        <v>1</v>
      </c>
      <c r="BK459">
        <v>0</v>
      </c>
      <c r="BL459">
        <v>0</v>
      </c>
      <c r="BM459">
        <v>0</v>
      </c>
      <c r="BN459">
        <v>7</v>
      </c>
      <c r="BO459">
        <v>1</v>
      </c>
      <c r="BP459">
        <v>0</v>
      </c>
      <c r="BQ459">
        <v>3</v>
      </c>
      <c r="BR459">
        <v>5</v>
      </c>
      <c r="BS459">
        <v>2</v>
      </c>
      <c r="BT459">
        <v>2</v>
      </c>
      <c r="BU459">
        <v>1</v>
      </c>
      <c r="BV459">
        <v>0</v>
      </c>
      <c r="BW459">
        <v>1</v>
      </c>
      <c r="BX459">
        <v>0</v>
      </c>
      <c r="BY459">
        <v>3</v>
      </c>
      <c r="BZ459">
        <v>3</v>
      </c>
      <c r="CA459">
        <v>3</v>
      </c>
      <c r="CB459">
        <v>0</v>
      </c>
      <c r="CC459">
        <v>1</v>
      </c>
      <c r="CD459">
        <v>0</v>
      </c>
      <c r="CE459">
        <v>1</v>
      </c>
      <c r="CF459">
        <v>2</v>
      </c>
      <c r="CG459">
        <v>1</v>
      </c>
      <c r="CH459">
        <v>1</v>
      </c>
      <c r="CI459">
        <v>1</v>
      </c>
      <c r="CJ459">
        <v>2</v>
      </c>
      <c r="CK459">
        <v>2</v>
      </c>
      <c r="CL459">
        <v>0</v>
      </c>
      <c r="CM459">
        <v>1</v>
      </c>
      <c r="CN459">
        <v>0</v>
      </c>
      <c r="CO459">
        <v>1</v>
      </c>
      <c r="CP459">
        <v>2</v>
      </c>
      <c r="CQ459">
        <v>2</v>
      </c>
      <c r="CR459">
        <v>0</v>
      </c>
      <c r="CS459">
        <v>1</v>
      </c>
      <c r="CT459">
        <v>1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2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1</v>
      </c>
      <c r="DO459">
        <v>0</v>
      </c>
      <c r="DP459">
        <v>0</v>
      </c>
      <c r="DQ459">
        <v>0</v>
      </c>
      <c r="DR459">
        <v>0</v>
      </c>
      <c r="DS459">
        <v>1</v>
      </c>
      <c r="DT459">
        <v>0</v>
      </c>
      <c r="DU459">
        <v>0</v>
      </c>
      <c r="DV459">
        <v>0</v>
      </c>
      <c r="DW459">
        <v>3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1</v>
      </c>
      <c r="EF459">
        <v>1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1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1</v>
      </c>
      <c r="EW459">
        <v>0</v>
      </c>
      <c r="EX459">
        <v>0</v>
      </c>
      <c r="EY459">
        <v>1</v>
      </c>
      <c r="EZ459">
        <v>0</v>
      </c>
      <c r="FA459">
        <v>0</v>
      </c>
      <c r="FB459">
        <v>1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1</v>
      </c>
      <c r="FR459">
        <v>0</v>
      </c>
      <c r="FS459">
        <v>0</v>
      </c>
      <c r="FT459">
        <v>1</v>
      </c>
      <c r="FU459">
        <v>0</v>
      </c>
      <c r="FV459">
        <v>1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1</v>
      </c>
    </row>
    <row r="460" spans="1:201" x14ac:dyDescent="0.3">
      <c r="A460" t="s">
        <v>322</v>
      </c>
      <c r="B460" t="s">
        <v>341</v>
      </c>
      <c r="C460" t="s">
        <v>204</v>
      </c>
      <c r="D460" s="1">
        <v>11487</v>
      </c>
      <c r="E460">
        <v>334</v>
      </c>
      <c r="F460" s="1">
        <v>6172</v>
      </c>
      <c r="G460" s="1">
        <v>3349</v>
      </c>
      <c r="H460">
        <v>85</v>
      </c>
      <c r="I460">
        <v>24</v>
      </c>
      <c r="J460">
        <v>12</v>
      </c>
      <c r="K460">
        <v>134</v>
      </c>
      <c r="L460">
        <v>29</v>
      </c>
      <c r="M460">
        <v>61</v>
      </c>
      <c r="N460">
        <v>62</v>
      </c>
      <c r="O460">
        <v>75</v>
      </c>
      <c r="P460">
        <v>119</v>
      </c>
      <c r="Q460">
        <v>2</v>
      </c>
      <c r="R460">
        <v>2</v>
      </c>
      <c r="S460">
        <v>254</v>
      </c>
      <c r="T460">
        <v>93</v>
      </c>
      <c r="U460">
        <v>27</v>
      </c>
      <c r="V460">
        <v>9</v>
      </c>
      <c r="W460">
        <v>186</v>
      </c>
      <c r="X460">
        <v>15</v>
      </c>
      <c r="Y460">
        <v>4</v>
      </c>
      <c r="Z460">
        <v>9</v>
      </c>
      <c r="AA460">
        <v>50</v>
      </c>
      <c r="AB460">
        <v>17</v>
      </c>
      <c r="AC460">
        <v>31</v>
      </c>
      <c r="AD460">
        <v>5</v>
      </c>
      <c r="AE460">
        <v>0</v>
      </c>
      <c r="AF460">
        <v>23</v>
      </c>
      <c r="AG460">
        <v>17</v>
      </c>
      <c r="AH460">
        <v>22</v>
      </c>
      <c r="AI460">
        <v>2</v>
      </c>
      <c r="AJ460">
        <v>4</v>
      </c>
      <c r="AK460">
        <v>0</v>
      </c>
      <c r="AL460">
        <v>17</v>
      </c>
      <c r="AM460">
        <v>54</v>
      </c>
      <c r="AN460">
        <v>5</v>
      </c>
      <c r="AO460">
        <v>0</v>
      </c>
      <c r="AP460">
        <v>0</v>
      </c>
      <c r="AQ460">
        <v>4</v>
      </c>
      <c r="AR460">
        <v>1</v>
      </c>
      <c r="AS460">
        <v>12</v>
      </c>
      <c r="AT460">
        <v>16</v>
      </c>
      <c r="AU460">
        <v>4</v>
      </c>
      <c r="AV460">
        <v>0</v>
      </c>
      <c r="AW460">
        <v>16</v>
      </c>
      <c r="AX460">
        <v>1</v>
      </c>
      <c r="AY460">
        <v>9</v>
      </c>
      <c r="AZ460">
        <v>0</v>
      </c>
      <c r="BA460">
        <v>13</v>
      </c>
      <c r="BB460">
        <v>8</v>
      </c>
      <c r="BC460">
        <v>3</v>
      </c>
      <c r="BD460">
        <v>0</v>
      </c>
      <c r="BE460">
        <v>0</v>
      </c>
      <c r="BF460">
        <v>0</v>
      </c>
      <c r="BG460">
        <v>0</v>
      </c>
      <c r="BH460">
        <v>9</v>
      </c>
      <c r="BI460">
        <v>1</v>
      </c>
      <c r="BJ460">
        <v>1</v>
      </c>
      <c r="BK460">
        <v>0</v>
      </c>
      <c r="BL460">
        <v>0</v>
      </c>
      <c r="BM460">
        <v>0</v>
      </c>
      <c r="BN460">
        <v>4</v>
      </c>
      <c r="BO460">
        <v>3</v>
      </c>
      <c r="BP460">
        <v>0</v>
      </c>
      <c r="BQ460">
        <v>2</v>
      </c>
      <c r="BR460">
        <v>7</v>
      </c>
      <c r="BS460">
        <v>2</v>
      </c>
      <c r="BT460">
        <v>0</v>
      </c>
      <c r="BU460">
        <v>3</v>
      </c>
      <c r="BV460">
        <v>0</v>
      </c>
      <c r="BW460">
        <v>9</v>
      </c>
      <c r="BX460">
        <v>0</v>
      </c>
      <c r="BY460">
        <v>0</v>
      </c>
      <c r="BZ460">
        <v>1</v>
      </c>
      <c r="CA460">
        <v>3</v>
      </c>
      <c r="CB460">
        <v>0</v>
      </c>
      <c r="CC460">
        <v>2</v>
      </c>
      <c r="CD460">
        <v>2</v>
      </c>
      <c r="CE460">
        <v>2</v>
      </c>
      <c r="CF460">
        <v>3</v>
      </c>
      <c r="CG460">
        <v>2</v>
      </c>
      <c r="CH460">
        <v>0</v>
      </c>
      <c r="CI460">
        <v>0</v>
      </c>
      <c r="CJ460">
        <v>3</v>
      </c>
      <c r="CK460">
        <v>3</v>
      </c>
      <c r="CL460">
        <v>5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3</v>
      </c>
      <c r="CT460">
        <v>2</v>
      </c>
      <c r="CU460">
        <v>0</v>
      </c>
      <c r="CV460">
        <v>0</v>
      </c>
      <c r="CW460">
        <v>1</v>
      </c>
      <c r="CX460">
        <v>0</v>
      </c>
      <c r="CY460">
        <v>2</v>
      </c>
      <c r="CZ460">
        <v>2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1</v>
      </c>
      <c r="DG460">
        <v>0</v>
      </c>
      <c r="DH460">
        <v>0</v>
      </c>
      <c r="DI460">
        <v>0</v>
      </c>
      <c r="DJ460">
        <v>1</v>
      </c>
      <c r="DK460">
        <v>0</v>
      </c>
      <c r="DL460">
        <v>0</v>
      </c>
      <c r="DM460">
        <v>0</v>
      </c>
      <c r="DN460">
        <v>1</v>
      </c>
      <c r="DO460">
        <v>0</v>
      </c>
      <c r="DP460">
        <v>1</v>
      </c>
      <c r="DQ460">
        <v>1</v>
      </c>
      <c r="DR460">
        <v>3</v>
      </c>
      <c r="DS460">
        <v>0</v>
      </c>
      <c r="DT460">
        <v>0</v>
      </c>
      <c r="DU460">
        <v>0</v>
      </c>
      <c r="DV460">
        <v>0</v>
      </c>
      <c r="DW460">
        <v>3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2</v>
      </c>
      <c r="EF460">
        <v>0</v>
      </c>
      <c r="EG460">
        <v>0</v>
      </c>
      <c r="EH460">
        <v>1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1</v>
      </c>
      <c r="ET460">
        <v>0</v>
      </c>
      <c r="EU460">
        <v>0</v>
      </c>
      <c r="EV460">
        <v>1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1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2</v>
      </c>
    </row>
    <row r="461" spans="1:201" x14ac:dyDescent="0.3">
      <c r="A461" t="s">
        <v>322</v>
      </c>
      <c r="B461" t="s">
        <v>342</v>
      </c>
      <c r="C461" t="s">
        <v>200</v>
      </c>
      <c r="D461" s="1">
        <v>13090</v>
      </c>
      <c r="E461">
        <v>294</v>
      </c>
      <c r="F461">
        <v>494</v>
      </c>
      <c r="G461">
        <v>678</v>
      </c>
      <c r="H461">
        <v>61</v>
      </c>
      <c r="I461">
        <v>151</v>
      </c>
      <c r="J461">
        <v>40</v>
      </c>
      <c r="K461">
        <v>73</v>
      </c>
      <c r="L461">
        <v>248</v>
      </c>
      <c r="M461">
        <v>603</v>
      </c>
      <c r="N461">
        <v>154</v>
      </c>
      <c r="O461">
        <v>245</v>
      </c>
      <c r="P461" s="1">
        <v>1882</v>
      </c>
      <c r="Q461">
        <v>52</v>
      </c>
      <c r="R461">
        <v>156</v>
      </c>
      <c r="S461">
        <v>903</v>
      </c>
      <c r="T461">
        <v>200</v>
      </c>
      <c r="U461">
        <v>111</v>
      </c>
      <c r="V461">
        <v>366</v>
      </c>
      <c r="W461">
        <v>291</v>
      </c>
      <c r="X461">
        <v>604</v>
      </c>
      <c r="Y461">
        <v>20</v>
      </c>
      <c r="Z461">
        <v>58</v>
      </c>
      <c r="AA461">
        <v>360</v>
      </c>
      <c r="AB461">
        <v>392</v>
      </c>
      <c r="AC461">
        <v>309</v>
      </c>
      <c r="AD461">
        <v>107</v>
      </c>
      <c r="AE461">
        <v>23</v>
      </c>
      <c r="AF461">
        <v>194</v>
      </c>
      <c r="AG461">
        <v>142</v>
      </c>
      <c r="AH461">
        <v>284</v>
      </c>
      <c r="AI461">
        <v>189</v>
      </c>
      <c r="AJ461">
        <v>5</v>
      </c>
      <c r="AK461">
        <v>439</v>
      </c>
      <c r="AL461">
        <v>52</v>
      </c>
      <c r="AM461">
        <v>52</v>
      </c>
      <c r="AN461">
        <v>124</v>
      </c>
      <c r="AO461">
        <v>37</v>
      </c>
      <c r="AP461">
        <v>2</v>
      </c>
      <c r="AQ461">
        <v>85</v>
      </c>
      <c r="AR461">
        <v>66</v>
      </c>
      <c r="AS461">
        <v>43</v>
      </c>
      <c r="AT461">
        <v>127</v>
      </c>
      <c r="AU461">
        <v>72</v>
      </c>
      <c r="AV461">
        <v>89</v>
      </c>
      <c r="AW461">
        <v>75</v>
      </c>
      <c r="AX461">
        <v>7</v>
      </c>
      <c r="AY461">
        <v>31</v>
      </c>
      <c r="AZ461">
        <v>32</v>
      </c>
      <c r="BA461">
        <v>52</v>
      </c>
      <c r="BB461">
        <v>175</v>
      </c>
      <c r="BC461">
        <v>57</v>
      </c>
      <c r="BD461">
        <v>67</v>
      </c>
      <c r="BE461">
        <v>7</v>
      </c>
      <c r="BF461">
        <v>16</v>
      </c>
      <c r="BG461">
        <v>26</v>
      </c>
      <c r="BH461">
        <v>23</v>
      </c>
      <c r="BI461">
        <v>25</v>
      </c>
      <c r="BJ461">
        <v>23</v>
      </c>
      <c r="BK461">
        <v>2</v>
      </c>
      <c r="BL461">
        <v>49</v>
      </c>
      <c r="BM461">
        <v>45</v>
      </c>
      <c r="BN461">
        <v>36</v>
      </c>
      <c r="BO461">
        <v>7</v>
      </c>
      <c r="BP461">
        <v>81</v>
      </c>
      <c r="BQ461">
        <v>33</v>
      </c>
      <c r="BR461">
        <v>42</v>
      </c>
      <c r="BS461">
        <v>39</v>
      </c>
      <c r="BT461">
        <v>75</v>
      </c>
      <c r="BU461">
        <v>26</v>
      </c>
      <c r="BV461">
        <v>35</v>
      </c>
      <c r="BW461">
        <v>38</v>
      </c>
      <c r="BX461">
        <v>38</v>
      </c>
      <c r="BY461">
        <v>29</v>
      </c>
      <c r="BZ461">
        <v>70</v>
      </c>
      <c r="CA461">
        <v>31</v>
      </c>
      <c r="CB461">
        <v>49</v>
      </c>
      <c r="CC461">
        <v>32</v>
      </c>
      <c r="CD461">
        <v>20</v>
      </c>
      <c r="CE461">
        <v>9</v>
      </c>
      <c r="CF461">
        <v>11</v>
      </c>
      <c r="CG461">
        <v>14</v>
      </c>
      <c r="CH461">
        <v>85</v>
      </c>
      <c r="CI461">
        <v>24</v>
      </c>
      <c r="CJ461">
        <v>11</v>
      </c>
      <c r="CK461">
        <v>14</v>
      </c>
      <c r="CL461">
        <v>20</v>
      </c>
      <c r="CM461">
        <v>41</v>
      </c>
      <c r="CN461">
        <v>61</v>
      </c>
      <c r="CO461">
        <v>52</v>
      </c>
      <c r="CP461">
        <v>15</v>
      </c>
      <c r="CQ461">
        <v>6</v>
      </c>
      <c r="CR461">
        <v>49</v>
      </c>
      <c r="CS461">
        <v>18</v>
      </c>
      <c r="CT461">
        <v>8</v>
      </c>
      <c r="CU461">
        <v>3</v>
      </c>
      <c r="CV461">
        <v>3</v>
      </c>
      <c r="CW461">
        <v>7</v>
      </c>
      <c r="CX461">
        <v>0</v>
      </c>
      <c r="CY461">
        <v>0</v>
      </c>
      <c r="CZ461">
        <v>11</v>
      </c>
      <c r="DA461">
        <v>0</v>
      </c>
      <c r="DB461">
        <v>0</v>
      </c>
      <c r="DC461">
        <v>37</v>
      </c>
      <c r="DD461">
        <v>24</v>
      </c>
      <c r="DE461">
        <v>43</v>
      </c>
      <c r="DF461">
        <v>19</v>
      </c>
      <c r="DG461">
        <v>19</v>
      </c>
      <c r="DH461">
        <v>26</v>
      </c>
      <c r="DI461">
        <v>0</v>
      </c>
      <c r="DJ461">
        <v>3</v>
      </c>
      <c r="DK461">
        <v>0</v>
      </c>
      <c r="DL461">
        <v>0</v>
      </c>
      <c r="DM461">
        <v>3</v>
      </c>
      <c r="DN461">
        <v>8</v>
      </c>
      <c r="DO461">
        <v>2</v>
      </c>
      <c r="DP461">
        <v>13</v>
      </c>
      <c r="DQ461">
        <v>3</v>
      </c>
      <c r="DR461">
        <v>2</v>
      </c>
      <c r="DS461">
        <v>3</v>
      </c>
      <c r="DT461">
        <v>4</v>
      </c>
      <c r="DU461">
        <v>0</v>
      </c>
      <c r="DV461">
        <v>3</v>
      </c>
      <c r="DW461">
        <v>39</v>
      </c>
      <c r="DX461">
        <v>11</v>
      </c>
      <c r="DY461">
        <v>1</v>
      </c>
      <c r="DZ461">
        <v>5</v>
      </c>
      <c r="EA461">
        <v>2</v>
      </c>
      <c r="EB461">
        <v>6</v>
      </c>
      <c r="EC461">
        <v>14</v>
      </c>
      <c r="ED461">
        <v>10</v>
      </c>
      <c r="EE461">
        <v>2</v>
      </c>
      <c r="EF461">
        <v>2</v>
      </c>
      <c r="EG461">
        <v>1</v>
      </c>
      <c r="EH461">
        <v>2</v>
      </c>
      <c r="EI461">
        <v>1</v>
      </c>
      <c r="EJ461">
        <v>1</v>
      </c>
      <c r="EK461">
        <v>1</v>
      </c>
      <c r="EL461">
        <v>7</v>
      </c>
      <c r="EM461">
        <v>3</v>
      </c>
      <c r="EN461">
        <v>0</v>
      </c>
      <c r="EO461">
        <v>1</v>
      </c>
      <c r="EP461">
        <v>2</v>
      </c>
      <c r="EQ461">
        <v>1</v>
      </c>
      <c r="ER461">
        <v>0</v>
      </c>
      <c r="ES461">
        <v>1</v>
      </c>
      <c r="ET461">
        <v>2</v>
      </c>
      <c r="EU461">
        <v>3</v>
      </c>
      <c r="EV461">
        <v>0</v>
      </c>
      <c r="EW461">
        <v>0</v>
      </c>
      <c r="EX461">
        <v>6</v>
      </c>
      <c r="EY461">
        <v>0</v>
      </c>
      <c r="EZ461">
        <v>1</v>
      </c>
      <c r="FA461">
        <v>2</v>
      </c>
      <c r="FB461">
        <v>0</v>
      </c>
      <c r="FC461">
        <v>0</v>
      </c>
      <c r="FD461">
        <v>0</v>
      </c>
      <c r="FE461">
        <v>0</v>
      </c>
      <c r="FF461">
        <v>2</v>
      </c>
      <c r="FG461">
        <v>7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1</v>
      </c>
      <c r="FQ461">
        <v>0</v>
      </c>
      <c r="FR461">
        <v>2</v>
      </c>
      <c r="FS461">
        <v>4</v>
      </c>
      <c r="FT461">
        <v>0</v>
      </c>
      <c r="FU461">
        <v>0</v>
      </c>
      <c r="FV461">
        <v>0</v>
      </c>
      <c r="FW461">
        <v>0</v>
      </c>
      <c r="FX461">
        <v>1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1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1</v>
      </c>
    </row>
    <row r="462" spans="1:201" x14ac:dyDescent="0.3">
      <c r="A462" t="s">
        <v>322</v>
      </c>
      <c r="B462" t="s">
        <v>342</v>
      </c>
      <c r="C462" t="s">
        <v>203</v>
      </c>
      <c r="D462" s="1">
        <v>6744</v>
      </c>
      <c r="E462">
        <v>81</v>
      </c>
      <c r="F462">
        <v>233</v>
      </c>
      <c r="G462">
        <v>223</v>
      </c>
      <c r="H462">
        <v>27</v>
      </c>
      <c r="I462">
        <v>79</v>
      </c>
      <c r="J462">
        <v>20</v>
      </c>
      <c r="K462">
        <v>29</v>
      </c>
      <c r="L462">
        <v>72</v>
      </c>
      <c r="M462">
        <v>159</v>
      </c>
      <c r="N462">
        <v>68</v>
      </c>
      <c r="O462">
        <v>82</v>
      </c>
      <c r="P462" s="1">
        <v>1069</v>
      </c>
      <c r="Q462">
        <v>31</v>
      </c>
      <c r="R462">
        <v>95</v>
      </c>
      <c r="S462">
        <v>415</v>
      </c>
      <c r="T462">
        <v>51</v>
      </c>
      <c r="U462">
        <v>42</v>
      </c>
      <c r="V462">
        <v>251</v>
      </c>
      <c r="W462">
        <v>140</v>
      </c>
      <c r="X462">
        <v>322</v>
      </c>
      <c r="Y462">
        <v>13</v>
      </c>
      <c r="Z462">
        <v>27</v>
      </c>
      <c r="AA462">
        <v>204</v>
      </c>
      <c r="AB462">
        <v>273</v>
      </c>
      <c r="AC462">
        <v>178</v>
      </c>
      <c r="AD462">
        <v>66</v>
      </c>
      <c r="AE462">
        <v>9</v>
      </c>
      <c r="AF462">
        <v>119</v>
      </c>
      <c r="AG462">
        <v>81</v>
      </c>
      <c r="AH462">
        <v>144</v>
      </c>
      <c r="AI462">
        <v>154</v>
      </c>
      <c r="AJ462">
        <v>3</v>
      </c>
      <c r="AK462">
        <v>320</v>
      </c>
      <c r="AL462">
        <v>16</v>
      </c>
      <c r="AM462">
        <v>24</v>
      </c>
      <c r="AN462">
        <v>79</v>
      </c>
      <c r="AO462">
        <v>21</v>
      </c>
      <c r="AP462">
        <v>2</v>
      </c>
      <c r="AQ462">
        <v>41</v>
      </c>
      <c r="AR462">
        <v>27</v>
      </c>
      <c r="AS462">
        <v>18</v>
      </c>
      <c r="AT462">
        <v>67</v>
      </c>
      <c r="AU462">
        <v>38</v>
      </c>
      <c r="AV462">
        <v>57</v>
      </c>
      <c r="AW462">
        <v>45</v>
      </c>
      <c r="AX462">
        <v>6</v>
      </c>
      <c r="AY462">
        <v>19</v>
      </c>
      <c r="AZ462">
        <v>19</v>
      </c>
      <c r="BA462">
        <v>23</v>
      </c>
      <c r="BB462">
        <v>95</v>
      </c>
      <c r="BC462">
        <v>34</v>
      </c>
      <c r="BD462">
        <v>36</v>
      </c>
      <c r="BE462">
        <v>3</v>
      </c>
      <c r="BF462">
        <v>7</v>
      </c>
      <c r="BG462">
        <v>13</v>
      </c>
      <c r="BH462">
        <v>12</v>
      </c>
      <c r="BI462">
        <v>14</v>
      </c>
      <c r="BJ462">
        <v>12</v>
      </c>
      <c r="BK462">
        <v>0</v>
      </c>
      <c r="BL462">
        <v>17</v>
      </c>
      <c r="BM462">
        <v>23</v>
      </c>
      <c r="BN462">
        <v>20</v>
      </c>
      <c r="BO462">
        <v>5</v>
      </c>
      <c r="BP462">
        <v>52</v>
      </c>
      <c r="BQ462">
        <v>17</v>
      </c>
      <c r="BR462">
        <v>23</v>
      </c>
      <c r="BS462">
        <v>25</v>
      </c>
      <c r="BT462">
        <v>39</v>
      </c>
      <c r="BU462">
        <v>15</v>
      </c>
      <c r="BV462">
        <v>14</v>
      </c>
      <c r="BW462">
        <v>21</v>
      </c>
      <c r="BX462">
        <v>27</v>
      </c>
      <c r="BY462">
        <v>17</v>
      </c>
      <c r="BZ462">
        <v>45</v>
      </c>
      <c r="CA462">
        <v>16</v>
      </c>
      <c r="CB462">
        <v>27</v>
      </c>
      <c r="CC462">
        <v>15</v>
      </c>
      <c r="CD462">
        <v>6</v>
      </c>
      <c r="CE462">
        <v>4</v>
      </c>
      <c r="CF462">
        <v>6</v>
      </c>
      <c r="CG462">
        <v>2</v>
      </c>
      <c r="CH462">
        <v>68</v>
      </c>
      <c r="CI462">
        <v>11</v>
      </c>
      <c r="CJ462">
        <v>7</v>
      </c>
      <c r="CK462">
        <v>7</v>
      </c>
      <c r="CL462">
        <v>8</v>
      </c>
      <c r="CM462">
        <v>37</v>
      </c>
      <c r="CN462">
        <v>34</v>
      </c>
      <c r="CO462">
        <v>45</v>
      </c>
      <c r="CP462">
        <v>8</v>
      </c>
      <c r="CQ462">
        <v>2</v>
      </c>
      <c r="CR462">
        <v>30</v>
      </c>
      <c r="CS462">
        <v>12</v>
      </c>
      <c r="CT462">
        <v>3</v>
      </c>
      <c r="CU462">
        <v>0</v>
      </c>
      <c r="CV462">
        <v>2</v>
      </c>
      <c r="CW462">
        <v>5</v>
      </c>
      <c r="CX462">
        <v>0</v>
      </c>
      <c r="CY462">
        <v>0</v>
      </c>
      <c r="CZ462">
        <v>5</v>
      </c>
      <c r="DA462">
        <v>0</v>
      </c>
      <c r="DB462">
        <v>0</v>
      </c>
      <c r="DC462">
        <v>35</v>
      </c>
      <c r="DD462">
        <v>15</v>
      </c>
      <c r="DE462">
        <v>24</v>
      </c>
      <c r="DF462">
        <v>12</v>
      </c>
      <c r="DG462">
        <v>11</v>
      </c>
      <c r="DH462">
        <v>12</v>
      </c>
      <c r="DI462">
        <v>0</v>
      </c>
      <c r="DJ462">
        <v>2</v>
      </c>
      <c r="DK462">
        <v>0</v>
      </c>
      <c r="DL462">
        <v>0</v>
      </c>
      <c r="DM462">
        <v>0</v>
      </c>
      <c r="DN462">
        <v>3</v>
      </c>
      <c r="DO462">
        <v>0</v>
      </c>
      <c r="DP462">
        <v>7</v>
      </c>
      <c r="DQ462">
        <v>3</v>
      </c>
      <c r="DR462">
        <v>1</v>
      </c>
      <c r="DS462">
        <v>1</v>
      </c>
      <c r="DT462">
        <v>3</v>
      </c>
      <c r="DU462">
        <v>0</v>
      </c>
      <c r="DV462">
        <v>2</v>
      </c>
      <c r="DW462">
        <v>18</v>
      </c>
      <c r="DX462">
        <v>9</v>
      </c>
      <c r="DY462">
        <v>0</v>
      </c>
      <c r="DZ462">
        <v>3</v>
      </c>
      <c r="EA462">
        <v>1</v>
      </c>
      <c r="EB462">
        <v>4</v>
      </c>
      <c r="EC462">
        <v>9</v>
      </c>
      <c r="ED462">
        <v>4</v>
      </c>
      <c r="EE462">
        <v>0</v>
      </c>
      <c r="EF462">
        <v>2</v>
      </c>
      <c r="EG462">
        <v>1</v>
      </c>
      <c r="EH462">
        <v>1</v>
      </c>
      <c r="EI462">
        <v>1</v>
      </c>
      <c r="EJ462">
        <v>0</v>
      </c>
      <c r="EK462">
        <v>0</v>
      </c>
      <c r="EL462">
        <v>4</v>
      </c>
      <c r="EM462">
        <v>3</v>
      </c>
      <c r="EN462">
        <v>0</v>
      </c>
      <c r="EO462">
        <v>0</v>
      </c>
      <c r="EP462">
        <v>2</v>
      </c>
      <c r="EQ462">
        <v>0</v>
      </c>
      <c r="ER462">
        <v>0</v>
      </c>
      <c r="ES462">
        <v>0</v>
      </c>
      <c r="ET462">
        <v>0</v>
      </c>
      <c r="EU462">
        <v>2</v>
      </c>
      <c r="EV462">
        <v>0</v>
      </c>
      <c r="EW462">
        <v>0</v>
      </c>
      <c r="EX462">
        <v>6</v>
      </c>
      <c r="EY462">
        <v>0</v>
      </c>
      <c r="EZ462">
        <v>1</v>
      </c>
      <c r="FA462">
        <v>1</v>
      </c>
      <c r="FB462">
        <v>0</v>
      </c>
      <c r="FC462">
        <v>0</v>
      </c>
      <c r="FD462">
        <v>0</v>
      </c>
      <c r="FE462">
        <v>0</v>
      </c>
      <c r="FF462">
        <v>1</v>
      </c>
      <c r="FG462">
        <v>4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1</v>
      </c>
      <c r="FQ462">
        <v>0</v>
      </c>
      <c r="FR462">
        <v>2</v>
      </c>
      <c r="FS462">
        <v>3</v>
      </c>
      <c r="FT462">
        <v>0</v>
      </c>
      <c r="FU462">
        <v>0</v>
      </c>
      <c r="FV462">
        <v>0</v>
      </c>
      <c r="FW462">
        <v>0</v>
      </c>
      <c r="FX462">
        <v>1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1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</row>
    <row r="463" spans="1:201" x14ac:dyDescent="0.3">
      <c r="A463" t="s">
        <v>322</v>
      </c>
      <c r="B463" t="s">
        <v>342</v>
      </c>
      <c r="C463" t="s">
        <v>204</v>
      </c>
      <c r="D463" s="1">
        <v>6346</v>
      </c>
      <c r="E463">
        <v>213</v>
      </c>
      <c r="F463">
        <v>261</v>
      </c>
      <c r="G463">
        <v>455</v>
      </c>
      <c r="H463">
        <v>34</v>
      </c>
      <c r="I463">
        <v>72</v>
      </c>
      <c r="J463">
        <v>20</v>
      </c>
      <c r="K463">
        <v>44</v>
      </c>
      <c r="L463">
        <v>176</v>
      </c>
      <c r="M463">
        <v>444</v>
      </c>
      <c r="N463">
        <v>86</v>
      </c>
      <c r="O463">
        <v>163</v>
      </c>
      <c r="P463">
        <v>813</v>
      </c>
      <c r="Q463">
        <v>21</v>
      </c>
      <c r="R463">
        <v>61</v>
      </c>
      <c r="S463">
        <v>488</v>
      </c>
      <c r="T463">
        <v>149</v>
      </c>
      <c r="U463">
        <v>69</v>
      </c>
      <c r="V463">
        <v>115</v>
      </c>
      <c r="W463">
        <v>151</v>
      </c>
      <c r="X463">
        <v>282</v>
      </c>
      <c r="Y463">
        <v>7</v>
      </c>
      <c r="Z463">
        <v>31</v>
      </c>
      <c r="AA463">
        <v>156</v>
      </c>
      <c r="AB463">
        <v>119</v>
      </c>
      <c r="AC463">
        <v>131</v>
      </c>
      <c r="AD463">
        <v>41</v>
      </c>
      <c r="AE463">
        <v>14</v>
      </c>
      <c r="AF463">
        <v>75</v>
      </c>
      <c r="AG463">
        <v>61</v>
      </c>
      <c r="AH463">
        <v>140</v>
      </c>
      <c r="AI463">
        <v>35</v>
      </c>
      <c r="AJ463">
        <v>2</v>
      </c>
      <c r="AK463">
        <v>119</v>
      </c>
      <c r="AL463">
        <v>36</v>
      </c>
      <c r="AM463">
        <v>28</v>
      </c>
      <c r="AN463">
        <v>45</v>
      </c>
      <c r="AO463">
        <v>16</v>
      </c>
      <c r="AP463">
        <v>0</v>
      </c>
      <c r="AQ463">
        <v>44</v>
      </c>
      <c r="AR463">
        <v>39</v>
      </c>
      <c r="AS463">
        <v>25</v>
      </c>
      <c r="AT463">
        <v>60</v>
      </c>
      <c r="AU463">
        <v>34</v>
      </c>
      <c r="AV463">
        <v>32</v>
      </c>
      <c r="AW463">
        <v>30</v>
      </c>
      <c r="AX463">
        <v>1</v>
      </c>
      <c r="AY463">
        <v>12</v>
      </c>
      <c r="AZ463">
        <v>13</v>
      </c>
      <c r="BA463">
        <v>29</v>
      </c>
      <c r="BB463">
        <v>80</v>
      </c>
      <c r="BC463">
        <v>23</v>
      </c>
      <c r="BD463">
        <v>31</v>
      </c>
      <c r="BE463">
        <v>4</v>
      </c>
      <c r="BF463">
        <v>9</v>
      </c>
      <c r="BG463">
        <v>13</v>
      </c>
      <c r="BH463">
        <v>11</v>
      </c>
      <c r="BI463">
        <v>11</v>
      </c>
      <c r="BJ463">
        <v>11</v>
      </c>
      <c r="BK463">
        <v>2</v>
      </c>
      <c r="BL463">
        <v>32</v>
      </c>
      <c r="BM463">
        <v>22</v>
      </c>
      <c r="BN463">
        <v>16</v>
      </c>
      <c r="BO463">
        <v>2</v>
      </c>
      <c r="BP463">
        <v>29</v>
      </c>
      <c r="BQ463">
        <v>16</v>
      </c>
      <c r="BR463">
        <v>19</v>
      </c>
      <c r="BS463">
        <v>14</v>
      </c>
      <c r="BT463">
        <v>36</v>
      </c>
      <c r="BU463">
        <v>11</v>
      </c>
      <c r="BV463">
        <v>21</v>
      </c>
      <c r="BW463">
        <v>17</v>
      </c>
      <c r="BX463">
        <v>11</v>
      </c>
      <c r="BY463">
        <v>12</v>
      </c>
      <c r="BZ463">
        <v>25</v>
      </c>
      <c r="CA463">
        <v>15</v>
      </c>
      <c r="CB463">
        <v>22</v>
      </c>
      <c r="CC463">
        <v>17</v>
      </c>
      <c r="CD463">
        <v>14</v>
      </c>
      <c r="CE463">
        <v>5</v>
      </c>
      <c r="CF463">
        <v>5</v>
      </c>
      <c r="CG463">
        <v>12</v>
      </c>
      <c r="CH463">
        <v>17</v>
      </c>
      <c r="CI463">
        <v>13</v>
      </c>
      <c r="CJ463">
        <v>4</v>
      </c>
      <c r="CK463">
        <v>7</v>
      </c>
      <c r="CL463">
        <v>12</v>
      </c>
      <c r="CM463">
        <v>4</v>
      </c>
      <c r="CN463">
        <v>27</v>
      </c>
      <c r="CO463">
        <v>7</v>
      </c>
      <c r="CP463">
        <v>7</v>
      </c>
      <c r="CQ463">
        <v>4</v>
      </c>
      <c r="CR463">
        <v>19</v>
      </c>
      <c r="CS463">
        <v>6</v>
      </c>
      <c r="CT463">
        <v>5</v>
      </c>
      <c r="CU463">
        <v>3</v>
      </c>
      <c r="CV463">
        <v>1</v>
      </c>
      <c r="CW463">
        <v>2</v>
      </c>
      <c r="CX463">
        <v>0</v>
      </c>
      <c r="CY463">
        <v>0</v>
      </c>
      <c r="CZ463">
        <v>6</v>
      </c>
      <c r="DA463">
        <v>0</v>
      </c>
      <c r="DB463">
        <v>0</v>
      </c>
      <c r="DC463">
        <v>2</v>
      </c>
      <c r="DD463">
        <v>9</v>
      </c>
      <c r="DE463">
        <v>19</v>
      </c>
      <c r="DF463">
        <v>7</v>
      </c>
      <c r="DG463">
        <v>8</v>
      </c>
      <c r="DH463">
        <v>14</v>
      </c>
      <c r="DI463">
        <v>0</v>
      </c>
      <c r="DJ463">
        <v>1</v>
      </c>
      <c r="DK463">
        <v>0</v>
      </c>
      <c r="DL463">
        <v>0</v>
      </c>
      <c r="DM463">
        <v>3</v>
      </c>
      <c r="DN463">
        <v>5</v>
      </c>
      <c r="DO463">
        <v>2</v>
      </c>
      <c r="DP463">
        <v>6</v>
      </c>
      <c r="DQ463">
        <v>0</v>
      </c>
      <c r="DR463">
        <v>1</v>
      </c>
      <c r="DS463">
        <v>2</v>
      </c>
      <c r="DT463">
        <v>1</v>
      </c>
      <c r="DU463">
        <v>0</v>
      </c>
      <c r="DV463">
        <v>1</v>
      </c>
      <c r="DW463">
        <v>21</v>
      </c>
      <c r="DX463">
        <v>2</v>
      </c>
      <c r="DY463">
        <v>1</v>
      </c>
      <c r="DZ463">
        <v>2</v>
      </c>
      <c r="EA463">
        <v>1</v>
      </c>
      <c r="EB463">
        <v>2</v>
      </c>
      <c r="EC463">
        <v>5</v>
      </c>
      <c r="ED463">
        <v>6</v>
      </c>
      <c r="EE463">
        <v>2</v>
      </c>
      <c r="EF463">
        <v>0</v>
      </c>
      <c r="EG463">
        <v>0</v>
      </c>
      <c r="EH463">
        <v>1</v>
      </c>
      <c r="EI463">
        <v>0</v>
      </c>
      <c r="EJ463">
        <v>1</v>
      </c>
      <c r="EK463">
        <v>1</v>
      </c>
      <c r="EL463">
        <v>3</v>
      </c>
      <c r="EM463">
        <v>0</v>
      </c>
      <c r="EN463">
        <v>0</v>
      </c>
      <c r="EO463">
        <v>1</v>
      </c>
      <c r="EP463">
        <v>0</v>
      </c>
      <c r="EQ463">
        <v>1</v>
      </c>
      <c r="ER463">
        <v>0</v>
      </c>
      <c r="ES463">
        <v>1</v>
      </c>
      <c r="ET463">
        <v>2</v>
      </c>
      <c r="EU463">
        <v>1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1</v>
      </c>
      <c r="FB463">
        <v>0</v>
      </c>
      <c r="FC463">
        <v>0</v>
      </c>
      <c r="FD463">
        <v>0</v>
      </c>
      <c r="FE463">
        <v>0</v>
      </c>
      <c r="FF463">
        <v>1</v>
      </c>
      <c r="FG463">
        <v>3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1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1</v>
      </c>
    </row>
    <row r="464" spans="1:201" x14ac:dyDescent="0.3">
      <c r="A464" t="s">
        <v>322</v>
      </c>
      <c r="B464" t="s">
        <v>343</v>
      </c>
      <c r="C464" t="s">
        <v>200</v>
      </c>
      <c r="D464" s="1">
        <v>4449</v>
      </c>
      <c r="E464">
        <v>662</v>
      </c>
      <c r="F464">
        <v>763</v>
      </c>
      <c r="G464">
        <v>804</v>
      </c>
      <c r="H464">
        <v>65</v>
      </c>
      <c r="I464">
        <v>46</v>
      </c>
      <c r="J464">
        <v>26</v>
      </c>
      <c r="K464">
        <v>35</v>
      </c>
      <c r="L464">
        <v>70</v>
      </c>
      <c r="M464">
        <v>106</v>
      </c>
      <c r="N464">
        <v>84</v>
      </c>
      <c r="O464">
        <v>71</v>
      </c>
      <c r="P464">
        <v>146</v>
      </c>
      <c r="Q464">
        <v>2</v>
      </c>
      <c r="R464">
        <v>10</v>
      </c>
      <c r="S464">
        <v>406</v>
      </c>
      <c r="T464">
        <v>84</v>
      </c>
      <c r="U464">
        <v>18</v>
      </c>
      <c r="V464">
        <v>14</v>
      </c>
      <c r="W464">
        <v>450</v>
      </c>
      <c r="X464">
        <v>36</v>
      </c>
      <c r="Y464">
        <v>3</v>
      </c>
      <c r="Z464">
        <v>11</v>
      </c>
      <c r="AA464">
        <v>73</v>
      </c>
      <c r="AB464">
        <v>32</v>
      </c>
      <c r="AC464">
        <v>53</v>
      </c>
      <c r="AD464">
        <v>19</v>
      </c>
      <c r="AE464">
        <v>0</v>
      </c>
      <c r="AF464">
        <v>36</v>
      </c>
      <c r="AG464">
        <v>12</v>
      </c>
      <c r="AH464">
        <v>29</v>
      </c>
      <c r="AI464">
        <v>8</v>
      </c>
      <c r="AJ464">
        <v>2</v>
      </c>
      <c r="AK464">
        <v>4</v>
      </c>
      <c r="AL464">
        <v>11</v>
      </c>
      <c r="AM464">
        <v>47</v>
      </c>
      <c r="AN464">
        <v>19</v>
      </c>
      <c r="AO464">
        <v>1</v>
      </c>
      <c r="AP464">
        <v>0</v>
      </c>
      <c r="AQ464">
        <v>5</v>
      </c>
      <c r="AR464">
        <v>0</v>
      </c>
      <c r="AS464">
        <v>10</v>
      </c>
      <c r="AT464">
        <v>10</v>
      </c>
      <c r="AU464">
        <v>4</v>
      </c>
      <c r="AV464">
        <v>0</v>
      </c>
      <c r="AW464">
        <v>13</v>
      </c>
      <c r="AX464">
        <v>0</v>
      </c>
      <c r="AY464">
        <v>5</v>
      </c>
      <c r="AZ464">
        <v>3</v>
      </c>
      <c r="BA464">
        <v>9</v>
      </c>
      <c r="BB464">
        <v>21</v>
      </c>
      <c r="BC464">
        <v>7</v>
      </c>
      <c r="BD464">
        <v>0</v>
      </c>
      <c r="BE464">
        <v>3</v>
      </c>
      <c r="BF464">
        <v>0</v>
      </c>
      <c r="BG464">
        <v>3</v>
      </c>
      <c r="BH464">
        <v>2</v>
      </c>
      <c r="BI464">
        <v>1</v>
      </c>
      <c r="BJ464">
        <v>1</v>
      </c>
      <c r="BK464">
        <v>0</v>
      </c>
      <c r="BL464">
        <v>1</v>
      </c>
      <c r="BM464">
        <v>0</v>
      </c>
      <c r="BN464">
        <v>10</v>
      </c>
      <c r="BO464">
        <v>0</v>
      </c>
      <c r="BP464">
        <v>3</v>
      </c>
      <c r="BQ464">
        <v>4</v>
      </c>
      <c r="BR464">
        <v>6</v>
      </c>
      <c r="BS464">
        <v>5</v>
      </c>
      <c r="BT464">
        <v>0</v>
      </c>
      <c r="BU464">
        <v>0</v>
      </c>
      <c r="BV464">
        <v>2</v>
      </c>
      <c r="BW464">
        <v>1</v>
      </c>
      <c r="BX464">
        <v>0</v>
      </c>
      <c r="BY464">
        <v>1</v>
      </c>
      <c r="BZ464">
        <v>5</v>
      </c>
      <c r="CA464">
        <v>8</v>
      </c>
      <c r="CB464">
        <v>0</v>
      </c>
      <c r="CC464">
        <v>3</v>
      </c>
      <c r="CD464">
        <v>5</v>
      </c>
      <c r="CE464">
        <v>1</v>
      </c>
      <c r="CF464">
        <v>1</v>
      </c>
      <c r="CG464">
        <v>3</v>
      </c>
      <c r="CH464">
        <v>3</v>
      </c>
      <c r="CI464">
        <v>1</v>
      </c>
      <c r="CJ464">
        <v>2</v>
      </c>
      <c r="CK464">
        <v>2</v>
      </c>
      <c r="CL464">
        <v>0</v>
      </c>
      <c r="CM464">
        <v>0</v>
      </c>
      <c r="CN464">
        <v>0</v>
      </c>
      <c r="CO464">
        <v>0</v>
      </c>
      <c r="CP464">
        <v>1</v>
      </c>
      <c r="CQ464">
        <v>1</v>
      </c>
      <c r="CR464">
        <v>2</v>
      </c>
      <c r="CS464">
        <v>2</v>
      </c>
      <c r="CT464">
        <v>1</v>
      </c>
      <c r="CU464">
        <v>1</v>
      </c>
      <c r="CV464">
        <v>2</v>
      </c>
      <c r="CW464">
        <v>1</v>
      </c>
      <c r="CX464">
        <v>0</v>
      </c>
      <c r="CY464">
        <v>1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1</v>
      </c>
      <c r="DH464">
        <v>0</v>
      </c>
      <c r="DI464">
        <v>0</v>
      </c>
      <c r="DJ464">
        <v>2</v>
      </c>
      <c r="DK464">
        <v>1</v>
      </c>
      <c r="DL464">
        <v>0</v>
      </c>
      <c r="DM464">
        <v>1</v>
      </c>
      <c r="DN464">
        <v>0</v>
      </c>
      <c r="DO464">
        <v>0</v>
      </c>
      <c r="DP464">
        <v>0</v>
      </c>
      <c r="DQ464">
        <v>1</v>
      </c>
      <c r="DR464">
        <v>0</v>
      </c>
      <c r="DS464">
        <v>1</v>
      </c>
      <c r="DT464">
        <v>0</v>
      </c>
      <c r="DU464">
        <v>0</v>
      </c>
      <c r="DV464">
        <v>0</v>
      </c>
      <c r="DW464">
        <v>0</v>
      </c>
      <c r="DX464">
        <v>1</v>
      </c>
      <c r="DY464">
        <v>0</v>
      </c>
      <c r="DZ464">
        <v>1</v>
      </c>
      <c r="EA464">
        <v>0</v>
      </c>
      <c r="EB464">
        <v>0</v>
      </c>
      <c r="EC464">
        <v>0</v>
      </c>
      <c r="ED464">
        <v>0</v>
      </c>
      <c r="EE464">
        <v>1</v>
      </c>
      <c r="EF464">
        <v>1</v>
      </c>
      <c r="EG464">
        <v>1</v>
      </c>
      <c r="EH464">
        <v>0</v>
      </c>
      <c r="EI464">
        <v>0</v>
      </c>
      <c r="EJ464">
        <v>1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1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1</v>
      </c>
    </row>
    <row r="465" spans="1:201" x14ac:dyDescent="0.3">
      <c r="A465" t="s">
        <v>322</v>
      </c>
      <c r="B465" t="s">
        <v>343</v>
      </c>
      <c r="C465" t="s">
        <v>203</v>
      </c>
      <c r="D465" s="1">
        <v>1705</v>
      </c>
      <c r="E465">
        <v>185</v>
      </c>
      <c r="F465">
        <v>353</v>
      </c>
      <c r="G465">
        <v>284</v>
      </c>
      <c r="H465">
        <v>40</v>
      </c>
      <c r="I465">
        <v>21</v>
      </c>
      <c r="J465">
        <v>9</v>
      </c>
      <c r="K465">
        <v>11</v>
      </c>
      <c r="L465">
        <v>29</v>
      </c>
      <c r="M465">
        <v>22</v>
      </c>
      <c r="N465">
        <v>10</v>
      </c>
      <c r="O465">
        <v>21</v>
      </c>
      <c r="P465">
        <v>88</v>
      </c>
      <c r="Q465">
        <v>0</v>
      </c>
      <c r="R465">
        <v>8</v>
      </c>
      <c r="S465">
        <v>86</v>
      </c>
      <c r="T465">
        <v>11</v>
      </c>
      <c r="U465">
        <v>8</v>
      </c>
      <c r="V465">
        <v>12</v>
      </c>
      <c r="W465">
        <v>223</v>
      </c>
      <c r="X465">
        <v>22</v>
      </c>
      <c r="Y465">
        <v>0</v>
      </c>
      <c r="Z465">
        <v>2</v>
      </c>
      <c r="AA465">
        <v>38</v>
      </c>
      <c r="AB465">
        <v>11</v>
      </c>
      <c r="AC465">
        <v>32</v>
      </c>
      <c r="AD465">
        <v>8</v>
      </c>
      <c r="AE465">
        <v>0</v>
      </c>
      <c r="AF465">
        <v>17</v>
      </c>
      <c r="AG465">
        <v>3</v>
      </c>
      <c r="AH465">
        <v>14</v>
      </c>
      <c r="AI465">
        <v>6</v>
      </c>
      <c r="AJ465">
        <v>1</v>
      </c>
      <c r="AK465">
        <v>4</v>
      </c>
      <c r="AL465">
        <v>2</v>
      </c>
      <c r="AM465">
        <v>14</v>
      </c>
      <c r="AN465">
        <v>11</v>
      </c>
      <c r="AO465">
        <v>0</v>
      </c>
      <c r="AP465">
        <v>0</v>
      </c>
      <c r="AQ465">
        <v>0</v>
      </c>
      <c r="AR465">
        <v>0</v>
      </c>
      <c r="AS465">
        <v>5</v>
      </c>
      <c r="AT465">
        <v>5</v>
      </c>
      <c r="AU465">
        <v>2</v>
      </c>
      <c r="AV465">
        <v>0</v>
      </c>
      <c r="AW465">
        <v>5</v>
      </c>
      <c r="AX465">
        <v>0</v>
      </c>
      <c r="AY465">
        <v>4</v>
      </c>
      <c r="AZ465">
        <v>2</v>
      </c>
      <c r="BA465">
        <v>4</v>
      </c>
      <c r="BB465">
        <v>14</v>
      </c>
      <c r="BC465">
        <v>6</v>
      </c>
      <c r="BD465">
        <v>0</v>
      </c>
      <c r="BE465">
        <v>3</v>
      </c>
      <c r="BF465">
        <v>0</v>
      </c>
      <c r="BG465">
        <v>2</v>
      </c>
      <c r="BH465">
        <v>0</v>
      </c>
      <c r="BI465">
        <v>0</v>
      </c>
      <c r="BJ465">
        <v>1</v>
      </c>
      <c r="BK465">
        <v>0</v>
      </c>
      <c r="BL465">
        <v>1</v>
      </c>
      <c r="BM465">
        <v>0</v>
      </c>
      <c r="BN465">
        <v>3</v>
      </c>
      <c r="BO465">
        <v>0</v>
      </c>
      <c r="BP465">
        <v>3</v>
      </c>
      <c r="BQ465">
        <v>3</v>
      </c>
      <c r="BR465">
        <v>3</v>
      </c>
      <c r="BS465">
        <v>4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2</v>
      </c>
      <c r="CA465">
        <v>4</v>
      </c>
      <c r="CB465">
        <v>0</v>
      </c>
      <c r="CC465">
        <v>0</v>
      </c>
      <c r="CD465">
        <v>3</v>
      </c>
      <c r="CE465">
        <v>0</v>
      </c>
      <c r="CF465">
        <v>0</v>
      </c>
      <c r="CG465">
        <v>1</v>
      </c>
      <c r="CH465">
        <v>1</v>
      </c>
      <c r="CI465">
        <v>0</v>
      </c>
      <c r="CJ465">
        <v>1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1</v>
      </c>
      <c r="CQ465">
        <v>0</v>
      </c>
      <c r="CR465">
        <v>2</v>
      </c>
      <c r="CS465">
        <v>1</v>
      </c>
      <c r="CT465">
        <v>1</v>
      </c>
      <c r="CU465">
        <v>0</v>
      </c>
      <c r="CV465">
        <v>0</v>
      </c>
      <c r="CW465">
        <v>1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1</v>
      </c>
      <c r="DH465">
        <v>0</v>
      </c>
      <c r="DI465">
        <v>0</v>
      </c>
      <c r="DJ465">
        <v>1</v>
      </c>
      <c r="DK465">
        <v>1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1</v>
      </c>
      <c r="DR465">
        <v>0</v>
      </c>
      <c r="DS465">
        <v>1</v>
      </c>
      <c r="DT465">
        <v>0</v>
      </c>
      <c r="DU465">
        <v>0</v>
      </c>
      <c r="DV465">
        <v>0</v>
      </c>
      <c r="DW465">
        <v>0</v>
      </c>
      <c r="DX465">
        <v>1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1</v>
      </c>
      <c r="EG465">
        <v>1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1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1</v>
      </c>
    </row>
    <row r="466" spans="1:201" x14ac:dyDescent="0.3">
      <c r="A466" t="s">
        <v>322</v>
      </c>
      <c r="B466" t="s">
        <v>343</v>
      </c>
      <c r="C466" t="s">
        <v>204</v>
      </c>
      <c r="D466" s="1">
        <v>2744</v>
      </c>
      <c r="E466">
        <v>477</v>
      </c>
      <c r="F466">
        <v>410</v>
      </c>
      <c r="G466">
        <v>520</v>
      </c>
      <c r="H466">
        <v>25</v>
      </c>
      <c r="I466">
        <v>25</v>
      </c>
      <c r="J466">
        <v>17</v>
      </c>
      <c r="K466">
        <v>24</v>
      </c>
      <c r="L466">
        <v>41</v>
      </c>
      <c r="M466">
        <v>84</v>
      </c>
      <c r="N466">
        <v>74</v>
      </c>
      <c r="O466">
        <v>50</v>
      </c>
      <c r="P466">
        <v>58</v>
      </c>
      <c r="Q466">
        <v>2</v>
      </c>
      <c r="R466">
        <v>2</v>
      </c>
      <c r="S466">
        <v>320</v>
      </c>
      <c r="T466">
        <v>73</v>
      </c>
      <c r="U466">
        <v>10</v>
      </c>
      <c r="V466">
        <v>2</v>
      </c>
      <c r="W466">
        <v>227</v>
      </c>
      <c r="X466">
        <v>14</v>
      </c>
      <c r="Y466">
        <v>3</v>
      </c>
      <c r="Z466">
        <v>9</v>
      </c>
      <c r="AA466">
        <v>35</v>
      </c>
      <c r="AB466">
        <v>21</v>
      </c>
      <c r="AC466">
        <v>21</v>
      </c>
      <c r="AD466">
        <v>11</v>
      </c>
      <c r="AE466">
        <v>0</v>
      </c>
      <c r="AF466">
        <v>19</v>
      </c>
      <c r="AG466">
        <v>9</v>
      </c>
      <c r="AH466">
        <v>15</v>
      </c>
      <c r="AI466">
        <v>2</v>
      </c>
      <c r="AJ466">
        <v>1</v>
      </c>
      <c r="AK466">
        <v>0</v>
      </c>
      <c r="AL466">
        <v>9</v>
      </c>
      <c r="AM466">
        <v>33</v>
      </c>
      <c r="AN466">
        <v>8</v>
      </c>
      <c r="AO466">
        <v>1</v>
      </c>
      <c r="AP466">
        <v>0</v>
      </c>
      <c r="AQ466">
        <v>5</v>
      </c>
      <c r="AR466">
        <v>0</v>
      </c>
      <c r="AS466">
        <v>5</v>
      </c>
      <c r="AT466">
        <v>5</v>
      </c>
      <c r="AU466">
        <v>2</v>
      </c>
      <c r="AV466">
        <v>0</v>
      </c>
      <c r="AW466">
        <v>8</v>
      </c>
      <c r="AX466">
        <v>0</v>
      </c>
      <c r="AY466">
        <v>1</v>
      </c>
      <c r="AZ466">
        <v>1</v>
      </c>
      <c r="BA466">
        <v>5</v>
      </c>
      <c r="BB466">
        <v>7</v>
      </c>
      <c r="BC466">
        <v>1</v>
      </c>
      <c r="BD466">
        <v>0</v>
      </c>
      <c r="BE466">
        <v>0</v>
      </c>
      <c r="BF466">
        <v>0</v>
      </c>
      <c r="BG466">
        <v>1</v>
      </c>
      <c r="BH466">
        <v>2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7</v>
      </c>
      <c r="BO466">
        <v>0</v>
      </c>
      <c r="BP466">
        <v>0</v>
      </c>
      <c r="BQ466">
        <v>1</v>
      </c>
      <c r="BR466">
        <v>3</v>
      </c>
      <c r="BS466">
        <v>1</v>
      </c>
      <c r="BT466">
        <v>0</v>
      </c>
      <c r="BU466">
        <v>0</v>
      </c>
      <c r="BV466">
        <v>2</v>
      </c>
      <c r="BW466">
        <v>0</v>
      </c>
      <c r="BX466">
        <v>0</v>
      </c>
      <c r="BY466">
        <v>1</v>
      </c>
      <c r="BZ466">
        <v>3</v>
      </c>
      <c r="CA466">
        <v>4</v>
      </c>
      <c r="CB466">
        <v>0</v>
      </c>
      <c r="CC466">
        <v>3</v>
      </c>
      <c r="CD466">
        <v>2</v>
      </c>
      <c r="CE466">
        <v>1</v>
      </c>
      <c r="CF466">
        <v>1</v>
      </c>
      <c r="CG466">
        <v>2</v>
      </c>
      <c r="CH466">
        <v>2</v>
      </c>
      <c r="CI466">
        <v>1</v>
      </c>
      <c r="CJ466">
        <v>1</v>
      </c>
      <c r="CK466">
        <v>2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1</v>
      </c>
      <c r="CR466">
        <v>0</v>
      </c>
      <c r="CS466">
        <v>1</v>
      </c>
      <c r="CT466">
        <v>0</v>
      </c>
      <c r="CU466">
        <v>1</v>
      </c>
      <c r="CV466">
        <v>2</v>
      </c>
      <c r="CW466">
        <v>0</v>
      </c>
      <c r="CX466">
        <v>0</v>
      </c>
      <c r="CY466">
        <v>1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1</v>
      </c>
      <c r="DK466">
        <v>0</v>
      </c>
      <c r="DL466">
        <v>0</v>
      </c>
      <c r="DM466">
        <v>1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1</v>
      </c>
      <c r="EA466">
        <v>0</v>
      </c>
      <c r="EB466">
        <v>0</v>
      </c>
      <c r="EC466">
        <v>0</v>
      </c>
      <c r="ED466">
        <v>0</v>
      </c>
      <c r="EE466">
        <v>1</v>
      </c>
      <c r="EF466">
        <v>0</v>
      </c>
      <c r="EG466">
        <v>0</v>
      </c>
      <c r="EH466">
        <v>0</v>
      </c>
      <c r="EI466">
        <v>0</v>
      </c>
      <c r="EJ466">
        <v>1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</row>
    <row r="467" spans="1:201" x14ac:dyDescent="0.3">
      <c r="A467" t="s">
        <v>322</v>
      </c>
      <c r="B467" t="s">
        <v>344</v>
      </c>
      <c r="C467" t="s">
        <v>200</v>
      </c>
      <c r="D467" s="1">
        <v>11765</v>
      </c>
      <c r="E467" s="1">
        <v>1891</v>
      </c>
      <c r="F467">
        <v>704</v>
      </c>
      <c r="G467" s="1">
        <v>3967</v>
      </c>
      <c r="H467" s="1">
        <v>1370</v>
      </c>
      <c r="I467">
        <v>101</v>
      </c>
      <c r="J467">
        <v>16</v>
      </c>
      <c r="K467">
        <v>41</v>
      </c>
      <c r="L467">
        <v>62</v>
      </c>
      <c r="M467">
        <v>66</v>
      </c>
      <c r="N467">
        <v>28</v>
      </c>
      <c r="O467">
        <v>110</v>
      </c>
      <c r="P467" s="1">
        <v>1238</v>
      </c>
      <c r="Q467">
        <v>10</v>
      </c>
      <c r="R467">
        <v>25</v>
      </c>
      <c r="S467">
        <v>357</v>
      </c>
      <c r="T467">
        <v>81</v>
      </c>
      <c r="U467">
        <v>47</v>
      </c>
      <c r="V467">
        <v>21</v>
      </c>
      <c r="W467">
        <v>263</v>
      </c>
      <c r="X467">
        <v>57</v>
      </c>
      <c r="Y467">
        <v>13</v>
      </c>
      <c r="Z467">
        <v>2</v>
      </c>
      <c r="AA467">
        <v>143</v>
      </c>
      <c r="AB467">
        <v>38</v>
      </c>
      <c r="AC467">
        <v>74</v>
      </c>
      <c r="AD467">
        <v>2</v>
      </c>
      <c r="AE467">
        <v>1</v>
      </c>
      <c r="AF467">
        <v>58</v>
      </c>
      <c r="AG467">
        <v>21</v>
      </c>
      <c r="AH467">
        <v>86</v>
      </c>
      <c r="AI467">
        <v>5</v>
      </c>
      <c r="AJ467">
        <v>2</v>
      </c>
      <c r="AK467">
        <v>1</v>
      </c>
      <c r="AL467">
        <v>11</v>
      </c>
      <c r="AM467">
        <v>38</v>
      </c>
      <c r="AN467">
        <v>109</v>
      </c>
      <c r="AO467">
        <v>1</v>
      </c>
      <c r="AP467">
        <v>1</v>
      </c>
      <c r="AQ467">
        <v>9</v>
      </c>
      <c r="AR467">
        <v>1</v>
      </c>
      <c r="AS467">
        <v>47</v>
      </c>
      <c r="AT467">
        <v>38</v>
      </c>
      <c r="AU467">
        <v>6</v>
      </c>
      <c r="AV467">
        <v>3</v>
      </c>
      <c r="AW467">
        <v>52</v>
      </c>
      <c r="AX467">
        <v>0</v>
      </c>
      <c r="AY467">
        <v>40</v>
      </c>
      <c r="AZ467">
        <v>7</v>
      </c>
      <c r="BA467">
        <v>24</v>
      </c>
      <c r="BB467">
        <v>6</v>
      </c>
      <c r="BC467">
        <v>32</v>
      </c>
      <c r="BD467">
        <v>1</v>
      </c>
      <c r="BE467">
        <v>0</v>
      </c>
      <c r="BF467">
        <v>0</v>
      </c>
      <c r="BG467">
        <v>4</v>
      </c>
      <c r="BH467">
        <v>25</v>
      </c>
      <c r="BI467">
        <v>1</v>
      </c>
      <c r="BJ467">
        <v>4</v>
      </c>
      <c r="BK467">
        <v>0</v>
      </c>
      <c r="BL467">
        <v>1</v>
      </c>
      <c r="BM467">
        <v>2</v>
      </c>
      <c r="BN467">
        <v>33</v>
      </c>
      <c r="BO467">
        <v>7</v>
      </c>
      <c r="BP467">
        <v>3</v>
      </c>
      <c r="BQ467">
        <v>2</v>
      </c>
      <c r="BR467">
        <v>12</v>
      </c>
      <c r="BS467">
        <v>17</v>
      </c>
      <c r="BT467">
        <v>0</v>
      </c>
      <c r="BU467">
        <v>1</v>
      </c>
      <c r="BV467">
        <v>3</v>
      </c>
      <c r="BW467">
        <v>10</v>
      </c>
      <c r="BX467">
        <v>0</v>
      </c>
      <c r="BY467">
        <v>1</v>
      </c>
      <c r="BZ467">
        <v>17</v>
      </c>
      <c r="CA467">
        <v>31</v>
      </c>
      <c r="CB467">
        <v>5</v>
      </c>
      <c r="CC467">
        <v>2</v>
      </c>
      <c r="CD467">
        <v>3</v>
      </c>
      <c r="CE467">
        <v>27</v>
      </c>
      <c r="CF467">
        <v>10</v>
      </c>
      <c r="CG467">
        <v>5</v>
      </c>
      <c r="CH467">
        <v>1</v>
      </c>
      <c r="CI467">
        <v>5</v>
      </c>
      <c r="CJ467">
        <v>22</v>
      </c>
      <c r="CK467">
        <v>12</v>
      </c>
      <c r="CL467">
        <v>35</v>
      </c>
      <c r="CM467">
        <v>0</v>
      </c>
      <c r="CN467">
        <v>6</v>
      </c>
      <c r="CO467">
        <v>1</v>
      </c>
      <c r="CP467">
        <v>7</v>
      </c>
      <c r="CQ467">
        <v>0</v>
      </c>
      <c r="CR467">
        <v>5</v>
      </c>
      <c r="CS467">
        <v>2</v>
      </c>
      <c r="CT467">
        <v>17</v>
      </c>
      <c r="CU467">
        <v>4</v>
      </c>
      <c r="CV467">
        <v>5</v>
      </c>
      <c r="CW467">
        <v>3</v>
      </c>
      <c r="CX467">
        <v>0</v>
      </c>
      <c r="CY467">
        <v>5</v>
      </c>
      <c r="CZ467">
        <v>0</v>
      </c>
      <c r="DA467">
        <v>2</v>
      </c>
      <c r="DB467">
        <v>0</v>
      </c>
      <c r="DC467">
        <v>1</v>
      </c>
      <c r="DD467">
        <v>1</v>
      </c>
      <c r="DE467">
        <v>1</v>
      </c>
      <c r="DF467">
        <v>5</v>
      </c>
      <c r="DG467">
        <v>3</v>
      </c>
      <c r="DH467">
        <v>0</v>
      </c>
      <c r="DI467">
        <v>0</v>
      </c>
      <c r="DJ467">
        <v>1</v>
      </c>
      <c r="DK467">
        <v>9</v>
      </c>
      <c r="DL467">
        <v>2</v>
      </c>
      <c r="DM467">
        <v>0</v>
      </c>
      <c r="DN467">
        <v>0</v>
      </c>
      <c r="DO467">
        <v>2</v>
      </c>
      <c r="DP467">
        <v>7</v>
      </c>
      <c r="DQ467">
        <v>1</v>
      </c>
      <c r="DR467">
        <v>1</v>
      </c>
      <c r="DS467">
        <v>2</v>
      </c>
      <c r="DT467">
        <v>2</v>
      </c>
      <c r="DU467">
        <v>0</v>
      </c>
      <c r="DV467">
        <v>1</v>
      </c>
      <c r="DW467">
        <v>0</v>
      </c>
      <c r="DX467">
        <v>0</v>
      </c>
      <c r="DY467">
        <v>0</v>
      </c>
      <c r="DZ467">
        <v>6</v>
      </c>
      <c r="EA467">
        <v>0</v>
      </c>
      <c r="EB467">
        <v>1</v>
      </c>
      <c r="EC467">
        <v>0</v>
      </c>
      <c r="ED467">
        <v>15</v>
      </c>
      <c r="EE467">
        <v>2</v>
      </c>
      <c r="EF467">
        <v>0</v>
      </c>
      <c r="EG467">
        <v>0</v>
      </c>
      <c r="EH467">
        <v>1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1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1</v>
      </c>
      <c r="EX467">
        <v>0</v>
      </c>
      <c r="EY467">
        <v>0</v>
      </c>
      <c r="EZ467">
        <v>2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2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1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1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2</v>
      </c>
      <c r="GO467">
        <v>0</v>
      </c>
      <c r="GP467">
        <v>0</v>
      </c>
      <c r="GQ467">
        <v>0</v>
      </c>
      <c r="GR467">
        <v>0</v>
      </c>
      <c r="GS467">
        <v>6</v>
      </c>
    </row>
    <row r="468" spans="1:201" x14ac:dyDescent="0.3">
      <c r="A468" t="s">
        <v>322</v>
      </c>
      <c r="B468" t="s">
        <v>344</v>
      </c>
      <c r="C468" t="s">
        <v>203</v>
      </c>
      <c r="D468" s="1">
        <v>4967</v>
      </c>
      <c r="E468">
        <v>884</v>
      </c>
      <c r="F468">
        <v>329</v>
      </c>
      <c r="G468" s="1">
        <v>1145</v>
      </c>
      <c r="H468">
        <v>807</v>
      </c>
      <c r="I468">
        <v>66</v>
      </c>
      <c r="J468">
        <v>5</v>
      </c>
      <c r="K468">
        <v>7</v>
      </c>
      <c r="L468">
        <v>26</v>
      </c>
      <c r="M468">
        <v>13</v>
      </c>
      <c r="N468">
        <v>3</v>
      </c>
      <c r="O468">
        <v>40</v>
      </c>
      <c r="P468">
        <v>676</v>
      </c>
      <c r="Q468">
        <v>5</v>
      </c>
      <c r="R468">
        <v>19</v>
      </c>
      <c r="S468">
        <v>130</v>
      </c>
      <c r="T468">
        <v>26</v>
      </c>
      <c r="U468">
        <v>18</v>
      </c>
      <c r="V468">
        <v>15</v>
      </c>
      <c r="W468">
        <v>78</v>
      </c>
      <c r="X468">
        <v>32</v>
      </c>
      <c r="Y468">
        <v>2</v>
      </c>
      <c r="Z468">
        <v>0</v>
      </c>
      <c r="AA468">
        <v>82</v>
      </c>
      <c r="AB468">
        <v>15</v>
      </c>
      <c r="AC468">
        <v>50</v>
      </c>
      <c r="AD468">
        <v>2</v>
      </c>
      <c r="AE468">
        <v>0</v>
      </c>
      <c r="AF468">
        <v>37</v>
      </c>
      <c r="AG468">
        <v>10</v>
      </c>
      <c r="AH468">
        <v>39</v>
      </c>
      <c r="AI468">
        <v>3</v>
      </c>
      <c r="AJ468">
        <v>1</v>
      </c>
      <c r="AK468">
        <v>1</v>
      </c>
      <c r="AL468">
        <v>3</v>
      </c>
      <c r="AM468">
        <v>7</v>
      </c>
      <c r="AN468">
        <v>60</v>
      </c>
      <c r="AO468">
        <v>1</v>
      </c>
      <c r="AP468">
        <v>1</v>
      </c>
      <c r="AQ468">
        <v>3</v>
      </c>
      <c r="AR468">
        <v>1</v>
      </c>
      <c r="AS468">
        <v>22</v>
      </c>
      <c r="AT468">
        <v>19</v>
      </c>
      <c r="AU468">
        <v>3</v>
      </c>
      <c r="AV468">
        <v>3</v>
      </c>
      <c r="AW468">
        <v>25</v>
      </c>
      <c r="AX468">
        <v>0</v>
      </c>
      <c r="AY468">
        <v>19</v>
      </c>
      <c r="AZ468">
        <v>3</v>
      </c>
      <c r="BA468">
        <v>8</v>
      </c>
      <c r="BB468">
        <v>5</v>
      </c>
      <c r="BC468">
        <v>14</v>
      </c>
      <c r="BD468">
        <v>0</v>
      </c>
      <c r="BE468">
        <v>0</v>
      </c>
      <c r="BF468">
        <v>0</v>
      </c>
      <c r="BG468">
        <v>1</v>
      </c>
      <c r="BH468">
        <v>11</v>
      </c>
      <c r="BI468">
        <v>1</v>
      </c>
      <c r="BJ468">
        <v>2</v>
      </c>
      <c r="BK468">
        <v>0</v>
      </c>
      <c r="BL468">
        <v>0</v>
      </c>
      <c r="BM468">
        <v>0</v>
      </c>
      <c r="BN468">
        <v>16</v>
      </c>
      <c r="BO468">
        <v>5</v>
      </c>
      <c r="BP468">
        <v>2</v>
      </c>
      <c r="BQ468">
        <v>1</v>
      </c>
      <c r="BR468">
        <v>4</v>
      </c>
      <c r="BS468">
        <v>10</v>
      </c>
      <c r="BT468">
        <v>0</v>
      </c>
      <c r="BU468">
        <v>0</v>
      </c>
      <c r="BV468">
        <v>1</v>
      </c>
      <c r="BW468">
        <v>4</v>
      </c>
      <c r="BX468">
        <v>0</v>
      </c>
      <c r="BY468">
        <v>1</v>
      </c>
      <c r="BZ468">
        <v>4</v>
      </c>
      <c r="CA468">
        <v>19</v>
      </c>
      <c r="CB468">
        <v>4</v>
      </c>
      <c r="CC468">
        <v>0</v>
      </c>
      <c r="CD468">
        <v>1</v>
      </c>
      <c r="CE468">
        <v>17</v>
      </c>
      <c r="CF468">
        <v>4</v>
      </c>
      <c r="CG468">
        <v>1</v>
      </c>
      <c r="CH468">
        <v>0</v>
      </c>
      <c r="CI468">
        <v>1</v>
      </c>
      <c r="CJ468">
        <v>6</v>
      </c>
      <c r="CK468">
        <v>4</v>
      </c>
      <c r="CL468">
        <v>14</v>
      </c>
      <c r="CM468">
        <v>0</v>
      </c>
      <c r="CN468">
        <v>3</v>
      </c>
      <c r="CO468">
        <v>1</v>
      </c>
      <c r="CP468">
        <v>6</v>
      </c>
      <c r="CQ468">
        <v>0</v>
      </c>
      <c r="CR468">
        <v>3</v>
      </c>
      <c r="CS468">
        <v>2</v>
      </c>
      <c r="CT468">
        <v>10</v>
      </c>
      <c r="CU468">
        <v>2</v>
      </c>
      <c r="CV468">
        <v>2</v>
      </c>
      <c r="CW468">
        <v>0</v>
      </c>
      <c r="CX468">
        <v>0</v>
      </c>
      <c r="CY468">
        <v>1</v>
      </c>
      <c r="CZ468">
        <v>0</v>
      </c>
      <c r="DA468">
        <v>1</v>
      </c>
      <c r="DB468">
        <v>0</v>
      </c>
      <c r="DC468">
        <v>1</v>
      </c>
      <c r="DD468">
        <v>0</v>
      </c>
      <c r="DE468">
        <v>0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3</v>
      </c>
      <c r="DL468">
        <v>2</v>
      </c>
      <c r="DM468">
        <v>0</v>
      </c>
      <c r="DN468">
        <v>0</v>
      </c>
      <c r="DO468">
        <v>0</v>
      </c>
      <c r="DP468">
        <v>4</v>
      </c>
      <c r="DQ468">
        <v>0</v>
      </c>
      <c r="DR468">
        <v>1</v>
      </c>
      <c r="DS468">
        <v>2</v>
      </c>
      <c r="DT468">
        <v>2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5</v>
      </c>
      <c r="EA468">
        <v>0</v>
      </c>
      <c r="EB468">
        <v>1</v>
      </c>
      <c r="EC468">
        <v>0</v>
      </c>
      <c r="ED468">
        <v>8</v>
      </c>
      <c r="EE468">
        <v>0</v>
      </c>
      <c r="EF468">
        <v>0</v>
      </c>
      <c r="EG468">
        <v>0</v>
      </c>
      <c r="EH468">
        <v>1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1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1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1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2</v>
      </c>
      <c r="GO468">
        <v>0</v>
      </c>
      <c r="GP468">
        <v>0</v>
      </c>
      <c r="GQ468">
        <v>0</v>
      </c>
      <c r="GR468">
        <v>0</v>
      </c>
      <c r="GS468">
        <v>3</v>
      </c>
    </row>
    <row r="469" spans="1:201" x14ac:dyDescent="0.3">
      <c r="A469" t="s">
        <v>322</v>
      </c>
      <c r="B469" t="s">
        <v>344</v>
      </c>
      <c r="C469" t="s">
        <v>204</v>
      </c>
      <c r="D469" s="1">
        <v>6798</v>
      </c>
      <c r="E469" s="1">
        <v>1007</v>
      </c>
      <c r="F469">
        <v>375</v>
      </c>
      <c r="G469" s="1">
        <v>2822</v>
      </c>
      <c r="H469">
        <v>563</v>
      </c>
      <c r="I469">
        <v>35</v>
      </c>
      <c r="J469">
        <v>11</v>
      </c>
      <c r="K469">
        <v>34</v>
      </c>
      <c r="L469">
        <v>36</v>
      </c>
      <c r="M469">
        <v>53</v>
      </c>
      <c r="N469">
        <v>25</v>
      </c>
      <c r="O469">
        <v>70</v>
      </c>
      <c r="P469">
        <v>562</v>
      </c>
      <c r="Q469">
        <v>5</v>
      </c>
      <c r="R469">
        <v>6</v>
      </c>
      <c r="S469">
        <v>227</v>
      </c>
      <c r="T469">
        <v>55</v>
      </c>
      <c r="U469">
        <v>29</v>
      </c>
      <c r="V469">
        <v>6</v>
      </c>
      <c r="W469">
        <v>185</v>
      </c>
      <c r="X469">
        <v>25</v>
      </c>
      <c r="Y469">
        <v>11</v>
      </c>
      <c r="Z469">
        <v>2</v>
      </c>
      <c r="AA469">
        <v>61</v>
      </c>
      <c r="AB469">
        <v>23</v>
      </c>
      <c r="AC469">
        <v>24</v>
      </c>
      <c r="AD469">
        <v>0</v>
      </c>
      <c r="AE469">
        <v>1</v>
      </c>
      <c r="AF469">
        <v>21</v>
      </c>
      <c r="AG469">
        <v>11</v>
      </c>
      <c r="AH469">
        <v>47</v>
      </c>
      <c r="AI469">
        <v>2</v>
      </c>
      <c r="AJ469">
        <v>1</v>
      </c>
      <c r="AK469">
        <v>0</v>
      </c>
      <c r="AL469">
        <v>8</v>
      </c>
      <c r="AM469">
        <v>31</v>
      </c>
      <c r="AN469">
        <v>49</v>
      </c>
      <c r="AO469">
        <v>0</v>
      </c>
      <c r="AP469">
        <v>0</v>
      </c>
      <c r="AQ469">
        <v>6</v>
      </c>
      <c r="AR469">
        <v>0</v>
      </c>
      <c r="AS469">
        <v>25</v>
      </c>
      <c r="AT469">
        <v>19</v>
      </c>
      <c r="AU469">
        <v>3</v>
      </c>
      <c r="AV469">
        <v>0</v>
      </c>
      <c r="AW469">
        <v>27</v>
      </c>
      <c r="AX469">
        <v>0</v>
      </c>
      <c r="AY469">
        <v>21</v>
      </c>
      <c r="AZ469">
        <v>4</v>
      </c>
      <c r="BA469">
        <v>16</v>
      </c>
      <c r="BB469">
        <v>1</v>
      </c>
      <c r="BC469">
        <v>18</v>
      </c>
      <c r="BD469">
        <v>1</v>
      </c>
      <c r="BE469">
        <v>0</v>
      </c>
      <c r="BF469">
        <v>0</v>
      </c>
      <c r="BG469">
        <v>3</v>
      </c>
      <c r="BH469">
        <v>14</v>
      </c>
      <c r="BI469">
        <v>0</v>
      </c>
      <c r="BJ469">
        <v>2</v>
      </c>
      <c r="BK469">
        <v>0</v>
      </c>
      <c r="BL469">
        <v>1</v>
      </c>
      <c r="BM469">
        <v>2</v>
      </c>
      <c r="BN469">
        <v>17</v>
      </c>
      <c r="BO469">
        <v>2</v>
      </c>
      <c r="BP469">
        <v>1</v>
      </c>
      <c r="BQ469">
        <v>1</v>
      </c>
      <c r="BR469">
        <v>8</v>
      </c>
      <c r="BS469">
        <v>7</v>
      </c>
      <c r="BT469">
        <v>0</v>
      </c>
      <c r="BU469">
        <v>1</v>
      </c>
      <c r="BV469">
        <v>2</v>
      </c>
      <c r="BW469">
        <v>6</v>
      </c>
      <c r="BX469">
        <v>0</v>
      </c>
      <c r="BY469">
        <v>0</v>
      </c>
      <c r="BZ469">
        <v>13</v>
      </c>
      <c r="CA469">
        <v>12</v>
      </c>
      <c r="CB469">
        <v>1</v>
      </c>
      <c r="CC469">
        <v>2</v>
      </c>
      <c r="CD469">
        <v>2</v>
      </c>
      <c r="CE469">
        <v>10</v>
      </c>
      <c r="CF469">
        <v>6</v>
      </c>
      <c r="CG469">
        <v>4</v>
      </c>
      <c r="CH469">
        <v>1</v>
      </c>
      <c r="CI469">
        <v>4</v>
      </c>
      <c r="CJ469">
        <v>16</v>
      </c>
      <c r="CK469">
        <v>8</v>
      </c>
      <c r="CL469">
        <v>21</v>
      </c>
      <c r="CM469">
        <v>0</v>
      </c>
      <c r="CN469">
        <v>3</v>
      </c>
      <c r="CO469">
        <v>0</v>
      </c>
      <c r="CP469">
        <v>1</v>
      </c>
      <c r="CQ469">
        <v>0</v>
      </c>
      <c r="CR469">
        <v>2</v>
      </c>
      <c r="CS469">
        <v>0</v>
      </c>
      <c r="CT469">
        <v>7</v>
      </c>
      <c r="CU469">
        <v>2</v>
      </c>
      <c r="CV469">
        <v>3</v>
      </c>
      <c r="CW469">
        <v>3</v>
      </c>
      <c r="CX469">
        <v>0</v>
      </c>
      <c r="CY469">
        <v>4</v>
      </c>
      <c r="CZ469">
        <v>0</v>
      </c>
      <c r="DA469">
        <v>1</v>
      </c>
      <c r="DB469">
        <v>0</v>
      </c>
      <c r="DC469">
        <v>0</v>
      </c>
      <c r="DD469">
        <v>1</v>
      </c>
      <c r="DE469">
        <v>1</v>
      </c>
      <c r="DF469">
        <v>4</v>
      </c>
      <c r="DG469">
        <v>3</v>
      </c>
      <c r="DH469">
        <v>0</v>
      </c>
      <c r="DI469">
        <v>0</v>
      </c>
      <c r="DJ469">
        <v>1</v>
      </c>
      <c r="DK469">
        <v>6</v>
      </c>
      <c r="DL469">
        <v>0</v>
      </c>
      <c r="DM469">
        <v>0</v>
      </c>
      <c r="DN469">
        <v>0</v>
      </c>
      <c r="DO469">
        <v>2</v>
      </c>
      <c r="DP469">
        <v>3</v>
      </c>
      <c r="DQ469">
        <v>1</v>
      </c>
      <c r="DR469">
        <v>0</v>
      </c>
      <c r="DS469">
        <v>0</v>
      </c>
      <c r="DT469">
        <v>0</v>
      </c>
      <c r="DU469">
        <v>0</v>
      </c>
      <c r="DV469">
        <v>1</v>
      </c>
      <c r="DW469">
        <v>0</v>
      </c>
      <c r="DX469">
        <v>0</v>
      </c>
      <c r="DY469">
        <v>0</v>
      </c>
      <c r="DZ469">
        <v>1</v>
      </c>
      <c r="EA469">
        <v>0</v>
      </c>
      <c r="EB469">
        <v>0</v>
      </c>
      <c r="EC469">
        <v>0</v>
      </c>
      <c r="ED469">
        <v>7</v>
      </c>
      <c r="EE469">
        <v>2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1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1</v>
      </c>
      <c r="EX469">
        <v>0</v>
      </c>
      <c r="EY469">
        <v>0</v>
      </c>
      <c r="EZ469">
        <v>1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1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1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3</v>
      </c>
    </row>
    <row r="470" spans="1:201" x14ac:dyDescent="0.3">
      <c r="A470" t="s">
        <v>322</v>
      </c>
      <c r="B470" t="s">
        <v>306</v>
      </c>
      <c r="C470" t="s">
        <v>200</v>
      </c>
      <c r="D470" s="1">
        <v>10639</v>
      </c>
      <c r="E470" s="1">
        <v>1669</v>
      </c>
      <c r="F470">
        <v>895</v>
      </c>
      <c r="G470" s="1">
        <v>3330</v>
      </c>
      <c r="H470">
        <v>58</v>
      </c>
      <c r="I470">
        <v>359</v>
      </c>
      <c r="J470">
        <v>27</v>
      </c>
      <c r="K470">
        <v>49</v>
      </c>
      <c r="L470">
        <v>75</v>
      </c>
      <c r="M470">
        <v>98</v>
      </c>
      <c r="N470">
        <v>48</v>
      </c>
      <c r="O470">
        <v>258</v>
      </c>
      <c r="P470">
        <v>313</v>
      </c>
      <c r="Q470">
        <v>21</v>
      </c>
      <c r="R470">
        <v>22</v>
      </c>
      <c r="S470">
        <v>264</v>
      </c>
      <c r="T470">
        <v>666</v>
      </c>
      <c r="U470">
        <v>152</v>
      </c>
      <c r="V470">
        <v>58</v>
      </c>
      <c r="W470">
        <v>517</v>
      </c>
      <c r="X470">
        <v>119</v>
      </c>
      <c r="Y470">
        <v>5</v>
      </c>
      <c r="Z470">
        <v>24</v>
      </c>
      <c r="AA470">
        <v>153</v>
      </c>
      <c r="AB470">
        <v>47</v>
      </c>
      <c r="AC470">
        <v>124</v>
      </c>
      <c r="AD470">
        <v>3</v>
      </c>
      <c r="AE470">
        <v>1</v>
      </c>
      <c r="AF470">
        <v>121</v>
      </c>
      <c r="AG470">
        <v>43</v>
      </c>
      <c r="AH470">
        <v>159</v>
      </c>
      <c r="AI470">
        <v>15</v>
      </c>
      <c r="AJ470">
        <v>22</v>
      </c>
      <c r="AK470">
        <v>4</v>
      </c>
      <c r="AL470">
        <v>21</v>
      </c>
      <c r="AM470">
        <v>73</v>
      </c>
      <c r="AN470">
        <v>41</v>
      </c>
      <c r="AO470">
        <v>4</v>
      </c>
      <c r="AP470">
        <v>0</v>
      </c>
      <c r="AQ470">
        <v>16</v>
      </c>
      <c r="AR470">
        <v>9</v>
      </c>
      <c r="AS470">
        <v>8</v>
      </c>
      <c r="AT470">
        <v>38</v>
      </c>
      <c r="AU470">
        <v>7</v>
      </c>
      <c r="AV470">
        <v>6</v>
      </c>
      <c r="AW470">
        <v>35</v>
      </c>
      <c r="AX470">
        <v>0</v>
      </c>
      <c r="AY470">
        <v>25</v>
      </c>
      <c r="AZ470">
        <v>0</v>
      </c>
      <c r="BA470">
        <v>36</v>
      </c>
      <c r="BB470">
        <v>11</v>
      </c>
      <c r="BC470">
        <v>26</v>
      </c>
      <c r="BD470">
        <v>2</v>
      </c>
      <c r="BE470">
        <v>0</v>
      </c>
      <c r="BF470">
        <v>1</v>
      </c>
      <c r="BG470">
        <v>21</v>
      </c>
      <c r="BH470">
        <v>20</v>
      </c>
      <c r="BI470">
        <v>1</v>
      </c>
      <c r="BJ470">
        <v>3</v>
      </c>
      <c r="BK470">
        <v>0</v>
      </c>
      <c r="BL470">
        <v>4</v>
      </c>
      <c r="BM470">
        <v>1</v>
      </c>
      <c r="BN470">
        <v>6</v>
      </c>
      <c r="BO470">
        <v>0</v>
      </c>
      <c r="BP470">
        <v>21</v>
      </c>
      <c r="BQ470">
        <v>8</v>
      </c>
      <c r="BR470">
        <v>16</v>
      </c>
      <c r="BS470">
        <v>4</v>
      </c>
      <c r="BT470">
        <v>0</v>
      </c>
      <c r="BU470">
        <v>7</v>
      </c>
      <c r="BV470">
        <v>41</v>
      </c>
      <c r="BW470">
        <v>11</v>
      </c>
      <c r="BX470">
        <v>0</v>
      </c>
      <c r="BY470">
        <v>1</v>
      </c>
      <c r="BZ470">
        <v>26</v>
      </c>
      <c r="CA470">
        <v>10</v>
      </c>
      <c r="CB470">
        <v>0</v>
      </c>
      <c r="CC470">
        <v>3</v>
      </c>
      <c r="CD470">
        <v>2</v>
      </c>
      <c r="CE470">
        <v>2</v>
      </c>
      <c r="CF470">
        <v>21</v>
      </c>
      <c r="CG470">
        <v>20</v>
      </c>
      <c r="CH470">
        <v>18</v>
      </c>
      <c r="CI470">
        <v>7</v>
      </c>
      <c r="CJ470">
        <v>7</v>
      </c>
      <c r="CK470">
        <v>14</v>
      </c>
      <c r="CL470">
        <v>4</v>
      </c>
      <c r="CM470">
        <v>2</v>
      </c>
      <c r="CN470">
        <v>64</v>
      </c>
      <c r="CO470">
        <v>1</v>
      </c>
      <c r="CP470">
        <v>9</v>
      </c>
      <c r="CQ470">
        <v>9</v>
      </c>
      <c r="CR470">
        <v>15</v>
      </c>
      <c r="CS470">
        <v>8</v>
      </c>
      <c r="CT470">
        <v>1</v>
      </c>
      <c r="CU470">
        <v>10</v>
      </c>
      <c r="CV470">
        <v>1</v>
      </c>
      <c r="CW470">
        <v>3</v>
      </c>
      <c r="CX470">
        <v>0</v>
      </c>
      <c r="CY470">
        <v>7</v>
      </c>
      <c r="CZ470">
        <v>1</v>
      </c>
      <c r="DA470">
        <v>1</v>
      </c>
      <c r="DB470">
        <v>0</v>
      </c>
      <c r="DC470">
        <v>1</v>
      </c>
      <c r="DD470">
        <v>0</v>
      </c>
      <c r="DE470">
        <v>0</v>
      </c>
      <c r="DF470">
        <v>2</v>
      </c>
      <c r="DG470">
        <v>1</v>
      </c>
      <c r="DH470">
        <v>0</v>
      </c>
      <c r="DI470">
        <v>1</v>
      </c>
      <c r="DJ470">
        <v>4</v>
      </c>
      <c r="DK470">
        <v>11</v>
      </c>
      <c r="DL470">
        <v>17</v>
      </c>
      <c r="DM470">
        <v>4</v>
      </c>
      <c r="DN470">
        <v>1</v>
      </c>
      <c r="DO470">
        <v>5</v>
      </c>
      <c r="DP470">
        <v>0</v>
      </c>
      <c r="DQ470">
        <v>2</v>
      </c>
      <c r="DR470">
        <v>1</v>
      </c>
      <c r="DS470">
        <v>2</v>
      </c>
      <c r="DT470">
        <v>2</v>
      </c>
      <c r="DU470">
        <v>0</v>
      </c>
      <c r="DV470">
        <v>2</v>
      </c>
      <c r="DW470">
        <v>6</v>
      </c>
      <c r="DX470">
        <v>0</v>
      </c>
      <c r="DY470">
        <v>0</v>
      </c>
      <c r="DZ470">
        <v>1</v>
      </c>
      <c r="EA470">
        <v>0</v>
      </c>
      <c r="EB470">
        <v>2</v>
      </c>
      <c r="EC470">
        <v>2</v>
      </c>
      <c r="ED470">
        <v>3</v>
      </c>
      <c r="EE470">
        <v>8</v>
      </c>
      <c r="EF470">
        <v>0</v>
      </c>
      <c r="EG470">
        <v>11</v>
      </c>
      <c r="EH470">
        <v>6</v>
      </c>
      <c r="EI470">
        <v>7</v>
      </c>
      <c r="EJ470">
        <v>7</v>
      </c>
      <c r="EK470">
        <v>4</v>
      </c>
      <c r="EL470">
        <v>1</v>
      </c>
      <c r="EM470">
        <v>0</v>
      </c>
      <c r="EN470">
        <v>0</v>
      </c>
      <c r="EO470">
        <v>1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2</v>
      </c>
      <c r="EX470">
        <v>0</v>
      </c>
      <c r="EY470">
        <v>2</v>
      </c>
      <c r="EZ470">
        <v>0</v>
      </c>
      <c r="FA470">
        <v>0</v>
      </c>
      <c r="FB470">
        <v>1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2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5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1</v>
      </c>
      <c r="GB470">
        <v>0</v>
      </c>
      <c r="GC470">
        <v>0</v>
      </c>
      <c r="GD470">
        <v>1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1</v>
      </c>
    </row>
    <row r="471" spans="1:201" x14ac:dyDescent="0.3">
      <c r="A471" t="s">
        <v>322</v>
      </c>
      <c r="B471" t="s">
        <v>306</v>
      </c>
      <c r="C471" t="s">
        <v>203</v>
      </c>
      <c r="D471" s="1">
        <v>4954</v>
      </c>
      <c r="E471">
        <v>788</v>
      </c>
      <c r="F471">
        <v>479</v>
      </c>
      <c r="G471" s="1">
        <v>1364</v>
      </c>
      <c r="H471">
        <v>33</v>
      </c>
      <c r="I471">
        <v>190</v>
      </c>
      <c r="J471">
        <v>16</v>
      </c>
      <c r="K471">
        <v>15</v>
      </c>
      <c r="L471">
        <v>35</v>
      </c>
      <c r="M471">
        <v>26</v>
      </c>
      <c r="N471">
        <v>14</v>
      </c>
      <c r="O471">
        <v>101</v>
      </c>
      <c r="P471">
        <v>178</v>
      </c>
      <c r="Q471">
        <v>18</v>
      </c>
      <c r="R471">
        <v>16</v>
      </c>
      <c r="S471">
        <v>115</v>
      </c>
      <c r="T471">
        <v>321</v>
      </c>
      <c r="U471">
        <v>79</v>
      </c>
      <c r="V471">
        <v>45</v>
      </c>
      <c r="W471">
        <v>231</v>
      </c>
      <c r="X471">
        <v>70</v>
      </c>
      <c r="Y471">
        <v>1</v>
      </c>
      <c r="Z471">
        <v>12</v>
      </c>
      <c r="AA471">
        <v>66</v>
      </c>
      <c r="AB471">
        <v>26</v>
      </c>
      <c r="AC471">
        <v>67</v>
      </c>
      <c r="AD471">
        <v>1</v>
      </c>
      <c r="AE471">
        <v>1</v>
      </c>
      <c r="AF471">
        <v>68</v>
      </c>
      <c r="AG471">
        <v>18</v>
      </c>
      <c r="AH471">
        <v>88</v>
      </c>
      <c r="AI471">
        <v>7</v>
      </c>
      <c r="AJ471">
        <v>11</v>
      </c>
      <c r="AK471">
        <v>2</v>
      </c>
      <c r="AL471">
        <v>7</v>
      </c>
      <c r="AM471">
        <v>24</v>
      </c>
      <c r="AN471">
        <v>22</v>
      </c>
      <c r="AO471">
        <v>1</v>
      </c>
      <c r="AP471">
        <v>0</v>
      </c>
      <c r="AQ471">
        <v>10</v>
      </c>
      <c r="AR471">
        <v>4</v>
      </c>
      <c r="AS471">
        <v>4</v>
      </c>
      <c r="AT471">
        <v>15</v>
      </c>
      <c r="AU471">
        <v>5</v>
      </c>
      <c r="AV471">
        <v>6</v>
      </c>
      <c r="AW471">
        <v>15</v>
      </c>
      <c r="AX471">
        <v>0</v>
      </c>
      <c r="AY471">
        <v>10</v>
      </c>
      <c r="AZ471">
        <v>0</v>
      </c>
      <c r="BA471">
        <v>16</v>
      </c>
      <c r="BB471">
        <v>6</v>
      </c>
      <c r="BC471">
        <v>17</v>
      </c>
      <c r="BD471">
        <v>1</v>
      </c>
      <c r="BE471">
        <v>0</v>
      </c>
      <c r="BF471">
        <v>0</v>
      </c>
      <c r="BG471">
        <v>9</v>
      </c>
      <c r="BH471">
        <v>9</v>
      </c>
      <c r="BI471">
        <v>0</v>
      </c>
      <c r="BJ471">
        <v>1</v>
      </c>
      <c r="BK471">
        <v>0</v>
      </c>
      <c r="BL471">
        <v>4</v>
      </c>
      <c r="BM471">
        <v>1</v>
      </c>
      <c r="BN471">
        <v>4</v>
      </c>
      <c r="BO471">
        <v>0</v>
      </c>
      <c r="BP471">
        <v>17</v>
      </c>
      <c r="BQ471">
        <v>7</v>
      </c>
      <c r="BR471">
        <v>9</v>
      </c>
      <c r="BS471">
        <v>3</v>
      </c>
      <c r="BT471">
        <v>0</v>
      </c>
      <c r="BU471">
        <v>3</v>
      </c>
      <c r="BV471">
        <v>22</v>
      </c>
      <c r="BW471">
        <v>5</v>
      </c>
      <c r="BX471">
        <v>0</v>
      </c>
      <c r="BY471">
        <v>1</v>
      </c>
      <c r="BZ471">
        <v>13</v>
      </c>
      <c r="CA471">
        <v>5</v>
      </c>
      <c r="CB471">
        <v>0</v>
      </c>
      <c r="CC471">
        <v>2</v>
      </c>
      <c r="CD471">
        <v>1</v>
      </c>
      <c r="CE471">
        <v>0</v>
      </c>
      <c r="CF471">
        <v>11</v>
      </c>
      <c r="CG471">
        <v>10</v>
      </c>
      <c r="CH471">
        <v>8</v>
      </c>
      <c r="CI471">
        <v>2</v>
      </c>
      <c r="CJ471">
        <v>3</v>
      </c>
      <c r="CK471">
        <v>6</v>
      </c>
      <c r="CL471">
        <v>2</v>
      </c>
      <c r="CM471">
        <v>1</v>
      </c>
      <c r="CN471">
        <v>37</v>
      </c>
      <c r="CO471">
        <v>1</v>
      </c>
      <c r="CP471">
        <v>5</v>
      </c>
      <c r="CQ471">
        <v>8</v>
      </c>
      <c r="CR471">
        <v>7</v>
      </c>
      <c r="CS471">
        <v>3</v>
      </c>
      <c r="CT471">
        <v>0</v>
      </c>
      <c r="CU471">
        <v>4</v>
      </c>
      <c r="CV471">
        <v>0</v>
      </c>
      <c r="CW471">
        <v>1</v>
      </c>
      <c r="CX471">
        <v>0</v>
      </c>
      <c r="CY471">
        <v>3</v>
      </c>
      <c r="CZ471">
        <v>1</v>
      </c>
      <c r="DA471">
        <v>1</v>
      </c>
      <c r="DB471">
        <v>0</v>
      </c>
      <c r="DC471">
        <v>0</v>
      </c>
      <c r="DD471">
        <v>0</v>
      </c>
      <c r="DE471">
        <v>0</v>
      </c>
      <c r="DF471">
        <v>1</v>
      </c>
      <c r="DG471">
        <v>0</v>
      </c>
      <c r="DH471">
        <v>0</v>
      </c>
      <c r="DI471">
        <v>1</v>
      </c>
      <c r="DJ471">
        <v>3</v>
      </c>
      <c r="DK471">
        <v>1</v>
      </c>
      <c r="DL471">
        <v>8</v>
      </c>
      <c r="DM471">
        <v>2</v>
      </c>
      <c r="DN471">
        <v>0</v>
      </c>
      <c r="DO471">
        <v>3</v>
      </c>
      <c r="DP471">
        <v>0</v>
      </c>
      <c r="DQ471">
        <v>0</v>
      </c>
      <c r="DR471">
        <v>0</v>
      </c>
      <c r="DS471">
        <v>1</v>
      </c>
      <c r="DT471">
        <v>0</v>
      </c>
      <c r="DU471">
        <v>0</v>
      </c>
      <c r="DV471">
        <v>2</v>
      </c>
      <c r="DW471">
        <v>2</v>
      </c>
      <c r="DX471">
        <v>0</v>
      </c>
      <c r="DY471">
        <v>0</v>
      </c>
      <c r="DZ471">
        <v>1</v>
      </c>
      <c r="EA471">
        <v>0</v>
      </c>
      <c r="EB471">
        <v>0</v>
      </c>
      <c r="EC471">
        <v>1</v>
      </c>
      <c r="ED471">
        <v>0</v>
      </c>
      <c r="EE471">
        <v>5</v>
      </c>
      <c r="EF471">
        <v>0</v>
      </c>
      <c r="EG471">
        <v>7</v>
      </c>
      <c r="EH471">
        <v>3</v>
      </c>
      <c r="EI471">
        <v>2</v>
      </c>
      <c r="EJ471">
        <v>3</v>
      </c>
      <c r="EK471">
        <v>2</v>
      </c>
      <c r="EL471">
        <v>1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2</v>
      </c>
      <c r="EX471">
        <v>0</v>
      </c>
      <c r="EY471">
        <v>2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2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3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1</v>
      </c>
    </row>
    <row r="472" spans="1:201" x14ac:dyDescent="0.3">
      <c r="A472" t="s">
        <v>322</v>
      </c>
      <c r="B472" t="s">
        <v>306</v>
      </c>
      <c r="C472" t="s">
        <v>204</v>
      </c>
      <c r="D472" s="1">
        <v>5685</v>
      </c>
      <c r="E472">
        <v>881</v>
      </c>
      <c r="F472">
        <v>416</v>
      </c>
      <c r="G472" s="1">
        <v>1966</v>
      </c>
      <c r="H472">
        <v>25</v>
      </c>
      <c r="I472">
        <v>169</v>
      </c>
      <c r="J472">
        <v>11</v>
      </c>
      <c r="K472">
        <v>34</v>
      </c>
      <c r="L472">
        <v>40</v>
      </c>
      <c r="M472">
        <v>72</v>
      </c>
      <c r="N472">
        <v>34</v>
      </c>
      <c r="O472">
        <v>157</v>
      </c>
      <c r="P472">
        <v>135</v>
      </c>
      <c r="Q472">
        <v>3</v>
      </c>
      <c r="R472">
        <v>6</v>
      </c>
      <c r="S472">
        <v>149</v>
      </c>
      <c r="T472">
        <v>345</v>
      </c>
      <c r="U472">
        <v>73</v>
      </c>
      <c r="V472">
        <v>13</v>
      </c>
      <c r="W472">
        <v>286</v>
      </c>
      <c r="X472">
        <v>49</v>
      </c>
      <c r="Y472">
        <v>4</v>
      </c>
      <c r="Z472">
        <v>12</v>
      </c>
      <c r="AA472">
        <v>87</v>
      </c>
      <c r="AB472">
        <v>21</v>
      </c>
      <c r="AC472">
        <v>57</v>
      </c>
      <c r="AD472">
        <v>2</v>
      </c>
      <c r="AE472">
        <v>0</v>
      </c>
      <c r="AF472">
        <v>53</v>
      </c>
      <c r="AG472">
        <v>25</v>
      </c>
      <c r="AH472">
        <v>71</v>
      </c>
      <c r="AI472">
        <v>8</v>
      </c>
      <c r="AJ472">
        <v>11</v>
      </c>
      <c r="AK472">
        <v>2</v>
      </c>
      <c r="AL472">
        <v>14</v>
      </c>
      <c r="AM472">
        <v>49</v>
      </c>
      <c r="AN472">
        <v>19</v>
      </c>
      <c r="AO472">
        <v>3</v>
      </c>
      <c r="AP472">
        <v>0</v>
      </c>
      <c r="AQ472">
        <v>6</v>
      </c>
      <c r="AR472">
        <v>5</v>
      </c>
      <c r="AS472">
        <v>4</v>
      </c>
      <c r="AT472">
        <v>23</v>
      </c>
      <c r="AU472">
        <v>2</v>
      </c>
      <c r="AV472">
        <v>0</v>
      </c>
      <c r="AW472">
        <v>20</v>
      </c>
      <c r="AX472">
        <v>0</v>
      </c>
      <c r="AY472">
        <v>15</v>
      </c>
      <c r="AZ472">
        <v>0</v>
      </c>
      <c r="BA472">
        <v>20</v>
      </c>
      <c r="BB472">
        <v>5</v>
      </c>
      <c r="BC472">
        <v>9</v>
      </c>
      <c r="BD472">
        <v>1</v>
      </c>
      <c r="BE472">
        <v>0</v>
      </c>
      <c r="BF472">
        <v>1</v>
      </c>
      <c r="BG472">
        <v>12</v>
      </c>
      <c r="BH472">
        <v>11</v>
      </c>
      <c r="BI472">
        <v>1</v>
      </c>
      <c r="BJ472">
        <v>2</v>
      </c>
      <c r="BK472">
        <v>0</v>
      </c>
      <c r="BL472">
        <v>0</v>
      </c>
      <c r="BM472">
        <v>0</v>
      </c>
      <c r="BN472">
        <v>2</v>
      </c>
      <c r="BO472">
        <v>0</v>
      </c>
      <c r="BP472">
        <v>4</v>
      </c>
      <c r="BQ472">
        <v>1</v>
      </c>
      <c r="BR472">
        <v>7</v>
      </c>
      <c r="BS472">
        <v>1</v>
      </c>
      <c r="BT472">
        <v>0</v>
      </c>
      <c r="BU472">
        <v>4</v>
      </c>
      <c r="BV472">
        <v>19</v>
      </c>
      <c r="BW472">
        <v>6</v>
      </c>
      <c r="BX472">
        <v>0</v>
      </c>
      <c r="BY472">
        <v>0</v>
      </c>
      <c r="BZ472">
        <v>13</v>
      </c>
      <c r="CA472">
        <v>5</v>
      </c>
      <c r="CB472">
        <v>0</v>
      </c>
      <c r="CC472">
        <v>1</v>
      </c>
      <c r="CD472">
        <v>1</v>
      </c>
      <c r="CE472">
        <v>2</v>
      </c>
      <c r="CF472">
        <v>10</v>
      </c>
      <c r="CG472">
        <v>10</v>
      </c>
      <c r="CH472">
        <v>10</v>
      </c>
      <c r="CI472">
        <v>5</v>
      </c>
      <c r="CJ472">
        <v>4</v>
      </c>
      <c r="CK472">
        <v>8</v>
      </c>
      <c r="CL472">
        <v>2</v>
      </c>
      <c r="CM472">
        <v>1</v>
      </c>
      <c r="CN472">
        <v>27</v>
      </c>
      <c r="CO472">
        <v>0</v>
      </c>
      <c r="CP472">
        <v>4</v>
      </c>
      <c r="CQ472">
        <v>1</v>
      </c>
      <c r="CR472">
        <v>8</v>
      </c>
      <c r="CS472">
        <v>5</v>
      </c>
      <c r="CT472">
        <v>1</v>
      </c>
      <c r="CU472">
        <v>6</v>
      </c>
      <c r="CV472">
        <v>1</v>
      </c>
      <c r="CW472">
        <v>2</v>
      </c>
      <c r="CX472">
        <v>0</v>
      </c>
      <c r="CY472">
        <v>4</v>
      </c>
      <c r="CZ472">
        <v>0</v>
      </c>
      <c r="DA472">
        <v>0</v>
      </c>
      <c r="DB472">
        <v>0</v>
      </c>
      <c r="DC472">
        <v>1</v>
      </c>
      <c r="DD472">
        <v>0</v>
      </c>
      <c r="DE472">
        <v>0</v>
      </c>
      <c r="DF472">
        <v>1</v>
      </c>
      <c r="DG472">
        <v>1</v>
      </c>
      <c r="DH472">
        <v>0</v>
      </c>
      <c r="DI472">
        <v>0</v>
      </c>
      <c r="DJ472">
        <v>1</v>
      </c>
      <c r="DK472">
        <v>10</v>
      </c>
      <c r="DL472">
        <v>9</v>
      </c>
      <c r="DM472">
        <v>2</v>
      </c>
      <c r="DN472">
        <v>1</v>
      </c>
      <c r="DO472">
        <v>2</v>
      </c>
      <c r="DP472">
        <v>0</v>
      </c>
      <c r="DQ472">
        <v>2</v>
      </c>
      <c r="DR472">
        <v>1</v>
      </c>
      <c r="DS472">
        <v>1</v>
      </c>
      <c r="DT472">
        <v>2</v>
      </c>
      <c r="DU472">
        <v>0</v>
      </c>
      <c r="DV472">
        <v>0</v>
      </c>
      <c r="DW472">
        <v>4</v>
      </c>
      <c r="DX472">
        <v>0</v>
      </c>
      <c r="DY472">
        <v>0</v>
      </c>
      <c r="DZ472">
        <v>0</v>
      </c>
      <c r="EA472">
        <v>0</v>
      </c>
      <c r="EB472">
        <v>2</v>
      </c>
      <c r="EC472">
        <v>1</v>
      </c>
      <c r="ED472">
        <v>3</v>
      </c>
      <c r="EE472">
        <v>3</v>
      </c>
      <c r="EF472">
        <v>0</v>
      </c>
      <c r="EG472">
        <v>4</v>
      </c>
      <c r="EH472">
        <v>3</v>
      </c>
      <c r="EI472">
        <v>5</v>
      </c>
      <c r="EJ472">
        <v>4</v>
      </c>
      <c r="EK472">
        <v>2</v>
      </c>
      <c r="EL472">
        <v>0</v>
      </c>
      <c r="EM472">
        <v>0</v>
      </c>
      <c r="EN472">
        <v>0</v>
      </c>
      <c r="EO472">
        <v>1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1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2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1</v>
      </c>
      <c r="GB472">
        <v>0</v>
      </c>
      <c r="GC472">
        <v>0</v>
      </c>
      <c r="GD472">
        <v>1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</row>
    <row r="473" spans="1:201" x14ac:dyDescent="0.3">
      <c r="A473" t="s">
        <v>322</v>
      </c>
      <c r="B473" t="s">
        <v>345</v>
      </c>
      <c r="C473" t="s">
        <v>200</v>
      </c>
      <c r="D473" s="1">
        <v>6848</v>
      </c>
      <c r="E473">
        <v>999</v>
      </c>
      <c r="F473" s="1">
        <v>1047</v>
      </c>
      <c r="G473">
        <v>832</v>
      </c>
      <c r="H473">
        <v>412</v>
      </c>
      <c r="I473">
        <v>126</v>
      </c>
      <c r="J473">
        <v>22</v>
      </c>
      <c r="K473">
        <v>22</v>
      </c>
      <c r="L473">
        <v>113</v>
      </c>
      <c r="M473">
        <v>147</v>
      </c>
      <c r="N473">
        <v>94</v>
      </c>
      <c r="O473" s="1">
        <v>2081</v>
      </c>
      <c r="P473">
        <v>85</v>
      </c>
      <c r="Q473">
        <v>8</v>
      </c>
      <c r="R473">
        <v>104</v>
      </c>
      <c r="S473">
        <v>179</v>
      </c>
      <c r="T473">
        <v>48</v>
      </c>
      <c r="U473">
        <v>24</v>
      </c>
      <c r="V473">
        <v>18</v>
      </c>
      <c r="W473">
        <v>100</v>
      </c>
      <c r="X473">
        <v>22</v>
      </c>
      <c r="Y473">
        <v>13</v>
      </c>
      <c r="Z473">
        <v>10</v>
      </c>
      <c r="AA473">
        <v>26</v>
      </c>
      <c r="AB473">
        <v>14</v>
      </c>
      <c r="AC473">
        <v>23</v>
      </c>
      <c r="AD473">
        <v>9</v>
      </c>
      <c r="AE473">
        <v>0</v>
      </c>
      <c r="AF473">
        <v>25</v>
      </c>
      <c r="AG473">
        <v>18</v>
      </c>
      <c r="AH473">
        <v>17</v>
      </c>
      <c r="AI473">
        <v>7</v>
      </c>
      <c r="AJ473">
        <v>1</v>
      </c>
      <c r="AK473">
        <v>6</v>
      </c>
      <c r="AL473">
        <v>3</v>
      </c>
      <c r="AM473">
        <v>23</v>
      </c>
      <c r="AN473">
        <v>8</v>
      </c>
      <c r="AO473">
        <v>0</v>
      </c>
      <c r="AP473">
        <v>1</v>
      </c>
      <c r="AQ473">
        <v>9</v>
      </c>
      <c r="AR473">
        <v>4</v>
      </c>
      <c r="AS473">
        <v>9</v>
      </c>
      <c r="AT473">
        <v>16</v>
      </c>
      <c r="AU473">
        <v>13</v>
      </c>
      <c r="AV473">
        <v>1</v>
      </c>
      <c r="AW473">
        <v>6</v>
      </c>
      <c r="AX473">
        <v>1</v>
      </c>
      <c r="AY473">
        <v>9</v>
      </c>
      <c r="AZ473">
        <v>0</v>
      </c>
      <c r="BA473">
        <v>3</v>
      </c>
      <c r="BB473">
        <v>3</v>
      </c>
      <c r="BC473">
        <v>4</v>
      </c>
      <c r="BD473">
        <v>2</v>
      </c>
      <c r="BE473">
        <v>0</v>
      </c>
      <c r="BF473">
        <v>0</v>
      </c>
      <c r="BG473">
        <v>2</v>
      </c>
      <c r="BH473">
        <v>5</v>
      </c>
      <c r="BI473">
        <v>3</v>
      </c>
      <c r="BJ473">
        <v>2</v>
      </c>
      <c r="BK473">
        <v>0</v>
      </c>
      <c r="BL473">
        <v>0</v>
      </c>
      <c r="BM473">
        <v>0</v>
      </c>
      <c r="BN473">
        <v>1</v>
      </c>
      <c r="BO473">
        <v>1</v>
      </c>
      <c r="BP473">
        <v>1</v>
      </c>
      <c r="BQ473">
        <v>1</v>
      </c>
      <c r="BR473">
        <v>3</v>
      </c>
      <c r="BS473">
        <v>4</v>
      </c>
      <c r="BT473">
        <v>0</v>
      </c>
      <c r="BU473">
        <v>14</v>
      </c>
      <c r="BV473">
        <v>1</v>
      </c>
      <c r="BW473">
        <v>2</v>
      </c>
      <c r="BX473">
        <v>0</v>
      </c>
      <c r="BY473">
        <v>0</v>
      </c>
      <c r="BZ473">
        <v>3</v>
      </c>
      <c r="CA473">
        <v>4</v>
      </c>
      <c r="CB473">
        <v>0</v>
      </c>
      <c r="CC473">
        <v>1</v>
      </c>
      <c r="CD473">
        <v>0</v>
      </c>
      <c r="CE473">
        <v>3</v>
      </c>
      <c r="CF473">
        <v>0</v>
      </c>
      <c r="CG473">
        <v>0</v>
      </c>
      <c r="CH473">
        <v>2</v>
      </c>
      <c r="CI473">
        <v>1</v>
      </c>
      <c r="CJ473">
        <v>3</v>
      </c>
      <c r="CK473">
        <v>0</v>
      </c>
      <c r="CL473">
        <v>0</v>
      </c>
      <c r="CM473">
        <v>0</v>
      </c>
      <c r="CN473">
        <v>4</v>
      </c>
      <c r="CO473">
        <v>0</v>
      </c>
      <c r="CP473">
        <v>1</v>
      </c>
      <c r="CQ473">
        <v>2</v>
      </c>
      <c r="CR473">
        <v>0</v>
      </c>
      <c r="CS473">
        <v>1</v>
      </c>
      <c r="CT473">
        <v>0</v>
      </c>
      <c r="CU473">
        <v>0</v>
      </c>
      <c r="CV473">
        <v>2</v>
      </c>
      <c r="CW473">
        <v>0</v>
      </c>
      <c r="CX473">
        <v>7</v>
      </c>
      <c r="CY473">
        <v>1</v>
      </c>
      <c r="CZ473">
        <v>0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0</v>
      </c>
      <c r="DG473">
        <v>0</v>
      </c>
      <c r="DH473">
        <v>0</v>
      </c>
      <c r="DI473">
        <v>1</v>
      </c>
      <c r="DJ473">
        <v>0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2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1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</row>
    <row r="474" spans="1:201" x14ac:dyDescent="0.3">
      <c r="A474" t="s">
        <v>322</v>
      </c>
      <c r="B474" t="s">
        <v>345</v>
      </c>
      <c r="C474" t="s">
        <v>203</v>
      </c>
      <c r="D474" s="1">
        <v>2884</v>
      </c>
      <c r="E474">
        <v>343</v>
      </c>
      <c r="F474">
        <v>518</v>
      </c>
      <c r="G474">
        <v>256</v>
      </c>
      <c r="H474">
        <v>265</v>
      </c>
      <c r="I474">
        <v>74</v>
      </c>
      <c r="J474">
        <v>6</v>
      </c>
      <c r="K474">
        <v>3</v>
      </c>
      <c r="L474">
        <v>46</v>
      </c>
      <c r="M474">
        <v>27</v>
      </c>
      <c r="N474">
        <v>17</v>
      </c>
      <c r="O474">
        <v>948</v>
      </c>
      <c r="P474">
        <v>41</v>
      </c>
      <c r="Q474">
        <v>7</v>
      </c>
      <c r="R474">
        <v>86</v>
      </c>
      <c r="S474">
        <v>22</v>
      </c>
      <c r="T474">
        <v>7</v>
      </c>
      <c r="U474">
        <v>12</v>
      </c>
      <c r="V474">
        <v>12</v>
      </c>
      <c r="W474">
        <v>42</v>
      </c>
      <c r="X474">
        <v>10</v>
      </c>
      <c r="Y474">
        <v>3</v>
      </c>
      <c r="Z474">
        <v>2</v>
      </c>
      <c r="AA474">
        <v>8</v>
      </c>
      <c r="AB474">
        <v>5</v>
      </c>
      <c r="AC474">
        <v>14</v>
      </c>
      <c r="AD474">
        <v>2</v>
      </c>
      <c r="AE474">
        <v>0</v>
      </c>
      <c r="AF474">
        <v>13</v>
      </c>
      <c r="AG474">
        <v>11</v>
      </c>
      <c r="AH474">
        <v>6</v>
      </c>
      <c r="AI474">
        <v>5</v>
      </c>
      <c r="AJ474">
        <v>0</v>
      </c>
      <c r="AK474">
        <v>4</v>
      </c>
      <c r="AL474">
        <v>0</v>
      </c>
      <c r="AM474">
        <v>1</v>
      </c>
      <c r="AN474">
        <v>6</v>
      </c>
      <c r="AO474">
        <v>0</v>
      </c>
      <c r="AP474">
        <v>1</v>
      </c>
      <c r="AQ474">
        <v>1</v>
      </c>
      <c r="AR474">
        <v>2</v>
      </c>
      <c r="AS474">
        <v>1</v>
      </c>
      <c r="AT474">
        <v>4</v>
      </c>
      <c r="AU474">
        <v>11</v>
      </c>
      <c r="AV474">
        <v>1</v>
      </c>
      <c r="AW474">
        <v>2</v>
      </c>
      <c r="AX474">
        <v>1</v>
      </c>
      <c r="AY474">
        <v>3</v>
      </c>
      <c r="AZ474">
        <v>0</v>
      </c>
      <c r="BA474">
        <v>0</v>
      </c>
      <c r="BB474">
        <v>1</v>
      </c>
      <c r="BC474">
        <v>1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1</v>
      </c>
      <c r="BO474">
        <v>1</v>
      </c>
      <c r="BP474">
        <v>1</v>
      </c>
      <c r="BQ474">
        <v>0</v>
      </c>
      <c r="BR474">
        <v>0</v>
      </c>
      <c r="BS474">
        <v>3</v>
      </c>
      <c r="BT474">
        <v>0</v>
      </c>
      <c r="BU474">
        <v>4</v>
      </c>
      <c r="BV474">
        <v>0</v>
      </c>
      <c r="BW474">
        <v>1</v>
      </c>
      <c r="BX474">
        <v>0</v>
      </c>
      <c r="BY474">
        <v>0</v>
      </c>
      <c r="BZ474">
        <v>2</v>
      </c>
      <c r="CA474">
        <v>4</v>
      </c>
      <c r="CB474">
        <v>0</v>
      </c>
      <c r="CC474">
        <v>0</v>
      </c>
      <c r="CD474">
        <v>0</v>
      </c>
      <c r="CE474">
        <v>1</v>
      </c>
      <c r="CF474">
        <v>0</v>
      </c>
      <c r="CG474">
        <v>0</v>
      </c>
      <c r="CH474">
        <v>2</v>
      </c>
      <c r="CI474">
        <v>0</v>
      </c>
      <c r="CJ474">
        <v>2</v>
      </c>
      <c r="CK474">
        <v>0</v>
      </c>
      <c r="CL474">
        <v>0</v>
      </c>
      <c r="CM474">
        <v>0</v>
      </c>
      <c r="CN474">
        <v>2</v>
      </c>
      <c r="CO474">
        <v>0</v>
      </c>
      <c r="CP474">
        <v>1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5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1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1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</row>
    <row r="475" spans="1:201" x14ac:dyDescent="0.3">
      <c r="A475" t="s">
        <v>322</v>
      </c>
      <c r="B475" t="s">
        <v>345</v>
      </c>
      <c r="C475" t="s">
        <v>204</v>
      </c>
      <c r="D475" s="1">
        <v>3964</v>
      </c>
      <c r="E475">
        <v>656</v>
      </c>
      <c r="F475">
        <v>529</v>
      </c>
      <c r="G475">
        <v>576</v>
      </c>
      <c r="H475">
        <v>147</v>
      </c>
      <c r="I475">
        <v>52</v>
      </c>
      <c r="J475">
        <v>16</v>
      </c>
      <c r="K475">
        <v>19</v>
      </c>
      <c r="L475">
        <v>67</v>
      </c>
      <c r="M475">
        <v>120</v>
      </c>
      <c r="N475">
        <v>77</v>
      </c>
      <c r="O475" s="1">
        <v>1133</v>
      </c>
      <c r="P475">
        <v>44</v>
      </c>
      <c r="Q475">
        <v>1</v>
      </c>
      <c r="R475">
        <v>18</v>
      </c>
      <c r="S475">
        <v>157</v>
      </c>
      <c r="T475">
        <v>41</v>
      </c>
      <c r="U475">
        <v>12</v>
      </c>
      <c r="V475">
        <v>6</v>
      </c>
      <c r="W475">
        <v>58</v>
      </c>
      <c r="X475">
        <v>12</v>
      </c>
      <c r="Y475">
        <v>10</v>
      </c>
      <c r="Z475">
        <v>8</v>
      </c>
      <c r="AA475">
        <v>18</v>
      </c>
      <c r="AB475">
        <v>9</v>
      </c>
      <c r="AC475">
        <v>9</v>
      </c>
      <c r="AD475">
        <v>7</v>
      </c>
      <c r="AE475">
        <v>0</v>
      </c>
      <c r="AF475">
        <v>12</v>
      </c>
      <c r="AG475">
        <v>7</v>
      </c>
      <c r="AH475">
        <v>11</v>
      </c>
      <c r="AI475">
        <v>2</v>
      </c>
      <c r="AJ475">
        <v>1</v>
      </c>
      <c r="AK475">
        <v>2</v>
      </c>
      <c r="AL475">
        <v>3</v>
      </c>
      <c r="AM475">
        <v>22</v>
      </c>
      <c r="AN475">
        <v>2</v>
      </c>
      <c r="AO475">
        <v>0</v>
      </c>
      <c r="AP475">
        <v>0</v>
      </c>
      <c r="AQ475">
        <v>8</v>
      </c>
      <c r="AR475">
        <v>2</v>
      </c>
      <c r="AS475">
        <v>8</v>
      </c>
      <c r="AT475">
        <v>12</v>
      </c>
      <c r="AU475">
        <v>2</v>
      </c>
      <c r="AV475">
        <v>0</v>
      </c>
      <c r="AW475">
        <v>4</v>
      </c>
      <c r="AX475">
        <v>0</v>
      </c>
      <c r="AY475">
        <v>6</v>
      </c>
      <c r="AZ475">
        <v>0</v>
      </c>
      <c r="BA475">
        <v>3</v>
      </c>
      <c r="BB475">
        <v>2</v>
      </c>
      <c r="BC475">
        <v>3</v>
      </c>
      <c r="BD475">
        <v>1</v>
      </c>
      <c r="BE475">
        <v>0</v>
      </c>
      <c r="BF475">
        <v>0</v>
      </c>
      <c r="BG475">
        <v>2</v>
      </c>
      <c r="BH475">
        <v>5</v>
      </c>
      <c r="BI475">
        <v>3</v>
      </c>
      <c r="BJ475">
        <v>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</v>
      </c>
      <c r="BR475">
        <v>3</v>
      </c>
      <c r="BS475">
        <v>1</v>
      </c>
      <c r="BT475">
        <v>0</v>
      </c>
      <c r="BU475">
        <v>10</v>
      </c>
      <c r="BV475">
        <v>1</v>
      </c>
      <c r="BW475">
        <v>1</v>
      </c>
      <c r="BX475">
        <v>0</v>
      </c>
      <c r="BY475">
        <v>0</v>
      </c>
      <c r="BZ475">
        <v>1</v>
      </c>
      <c r="CA475">
        <v>0</v>
      </c>
      <c r="CB475">
        <v>0</v>
      </c>
      <c r="CC475">
        <v>1</v>
      </c>
      <c r="CD475">
        <v>0</v>
      </c>
      <c r="CE475">
        <v>2</v>
      </c>
      <c r="CF475">
        <v>0</v>
      </c>
      <c r="CG475">
        <v>0</v>
      </c>
      <c r="CH475">
        <v>0</v>
      </c>
      <c r="CI475">
        <v>1</v>
      </c>
      <c r="CJ475">
        <v>1</v>
      </c>
      <c r="CK475">
        <v>0</v>
      </c>
      <c r="CL475">
        <v>0</v>
      </c>
      <c r="CM475">
        <v>0</v>
      </c>
      <c r="CN475">
        <v>2</v>
      </c>
      <c r="CO475">
        <v>0</v>
      </c>
      <c r="CP475">
        <v>0</v>
      </c>
      <c r="CQ475">
        <v>2</v>
      </c>
      <c r="CR475">
        <v>0</v>
      </c>
      <c r="CS475">
        <v>1</v>
      </c>
      <c r="CT475">
        <v>0</v>
      </c>
      <c r="CU475">
        <v>0</v>
      </c>
      <c r="CV475">
        <v>2</v>
      </c>
      <c r="CW475">
        <v>0</v>
      </c>
      <c r="CX475">
        <v>2</v>
      </c>
      <c r="CY475">
        <v>1</v>
      </c>
      <c r="CZ475">
        <v>0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0</v>
      </c>
      <c r="DG475">
        <v>0</v>
      </c>
      <c r="DH475">
        <v>0</v>
      </c>
      <c r="DI475">
        <v>1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1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1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</row>
    <row r="476" spans="1:201" x14ac:dyDescent="0.3">
      <c r="A476" t="s">
        <v>346</v>
      </c>
      <c r="B476" t="s">
        <v>200</v>
      </c>
      <c r="C476" t="s">
        <v>200</v>
      </c>
      <c r="D476" s="1">
        <v>6571</v>
      </c>
      <c r="E476" s="1">
        <v>1068</v>
      </c>
      <c r="F476">
        <v>582</v>
      </c>
      <c r="G476" s="1">
        <v>1261</v>
      </c>
      <c r="H476">
        <v>429</v>
      </c>
      <c r="I476">
        <v>265</v>
      </c>
      <c r="J476">
        <v>371</v>
      </c>
      <c r="K476">
        <v>224</v>
      </c>
      <c r="L476">
        <v>397</v>
      </c>
      <c r="M476">
        <v>215</v>
      </c>
      <c r="N476">
        <v>350</v>
      </c>
      <c r="O476">
        <v>53</v>
      </c>
      <c r="P476">
        <v>140</v>
      </c>
      <c r="Q476">
        <v>145</v>
      </c>
      <c r="R476">
        <v>109</v>
      </c>
      <c r="S476">
        <v>120</v>
      </c>
      <c r="T476">
        <v>74</v>
      </c>
      <c r="U476">
        <v>123</v>
      </c>
      <c r="V476">
        <v>102</v>
      </c>
      <c r="W476">
        <v>41</v>
      </c>
      <c r="X476">
        <v>32</v>
      </c>
      <c r="Y476">
        <v>15</v>
      </c>
      <c r="Z476">
        <v>17</v>
      </c>
      <c r="AA476">
        <v>19</v>
      </c>
      <c r="AB476">
        <v>24</v>
      </c>
      <c r="AC476">
        <v>40</v>
      </c>
      <c r="AD476">
        <v>71</v>
      </c>
      <c r="AE476">
        <v>5</v>
      </c>
      <c r="AF476">
        <v>36</v>
      </c>
      <c r="AG476">
        <v>9</v>
      </c>
      <c r="AH476">
        <v>13</v>
      </c>
      <c r="AI476">
        <v>11</v>
      </c>
      <c r="AJ476">
        <v>2</v>
      </c>
      <c r="AK476">
        <v>9</v>
      </c>
      <c r="AL476">
        <v>7</v>
      </c>
      <c r="AM476">
        <v>6</v>
      </c>
      <c r="AN476">
        <v>12</v>
      </c>
      <c r="AO476">
        <v>9</v>
      </c>
      <c r="AP476">
        <v>10</v>
      </c>
      <c r="AQ476">
        <v>4</v>
      </c>
      <c r="AR476">
        <v>2</v>
      </c>
      <c r="AS476">
        <v>9</v>
      </c>
      <c r="AT476">
        <v>5</v>
      </c>
      <c r="AU476">
        <v>2</v>
      </c>
      <c r="AV476">
        <v>10</v>
      </c>
      <c r="AW476">
        <v>5</v>
      </c>
      <c r="AX476">
        <v>0</v>
      </c>
      <c r="AY476">
        <v>5</v>
      </c>
      <c r="AZ476">
        <v>1</v>
      </c>
      <c r="BA476">
        <v>1</v>
      </c>
      <c r="BB476">
        <v>0</v>
      </c>
      <c r="BC476">
        <v>1</v>
      </c>
      <c r="BD476">
        <v>0</v>
      </c>
      <c r="BE476">
        <v>5</v>
      </c>
      <c r="BF476">
        <v>1</v>
      </c>
      <c r="BG476">
        <v>8</v>
      </c>
      <c r="BH476">
        <v>5</v>
      </c>
      <c r="BI476">
        <v>0</v>
      </c>
      <c r="BJ476">
        <v>0</v>
      </c>
      <c r="BK476">
        <v>0</v>
      </c>
      <c r="BL476">
        <v>9</v>
      </c>
      <c r="BM476">
        <v>3</v>
      </c>
      <c r="BN476">
        <v>2</v>
      </c>
      <c r="BO476">
        <v>2</v>
      </c>
      <c r="BP476">
        <v>2</v>
      </c>
      <c r="BQ476">
        <v>1</v>
      </c>
      <c r="BR476">
        <v>0</v>
      </c>
      <c r="BS476">
        <v>5</v>
      </c>
      <c r="BT476">
        <v>3</v>
      </c>
      <c r="BU476">
        <v>2</v>
      </c>
      <c r="BV476">
        <v>4</v>
      </c>
      <c r="BW476">
        <v>0</v>
      </c>
      <c r="BX476">
        <v>3</v>
      </c>
      <c r="BY476">
        <v>0</v>
      </c>
      <c r="BZ476">
        <v>0</v>
      </c>
      <c r="CA476">
        <v>1</v>
      </c>
      <c r="CB476">
        <v>0</v>
      </c>
      <c r="CC476">
        <v>0</v>
      </c>
      <c r="CD476">
        <v>1</v>
      </c>
      <c r="CE476">
        <v>3</v>
      </c>
      <c r="CF476">
        <v>0</v>
      </c>
      <c r="CG476">
        <v>1</v>
      </c>
      <c r="CH476">
        <v>0</v>
      </c>
      <c r="CI476">
        <v>2</v>
      </c>
      <c r="CJ476">
        <v>4</v>
      </c>
      <c r="CK476">
        <v>0</v>
      </c>
      <c r="CL476">
        <v>0</v>
      </c>
      <c r="CM476">
        <v>0</v>
      </c>
      <c r="CN476">
        <v>1</v>
      </c>
      <c r="CO476">
        <v>0</v>
      </c>
      <c r="CP476">
        <v>1</v>
      </c>
      <c r="CQ476">
        <v>1</v>
      </c>
      <c r="CR476">
        <v>0</v>
      </c>
      <c r="CS476">
        <v>1</v>
      </c>
      <c r="CT476">
        <v>1</v>
      </c>
      <c r="CU476">
        <v>0</v>
      </c>
      <c r="CV476">
        <v>1</v>
      </c>
      <c r="CW476">
        <v>1</v>
      </c>
      <c r="CX476">
        <v>0</v>
      </c>
      <c r="CY476">
        <v>0</v>
      </c>
      <c r="CZ476">
        <v>1</v>
      </c>
      <c r="DA476">
        <v>7</v>
      </c>
      <c r="DB476">
        <v>0</v>
      </c>
      <c r="DC476">
        <v>1</v>
      </c>
      <c r="DD476">
        <v>0</v>
      </c>
      <c r="DE476">
        <v>1</v>
      </c>
      <c r="DF476">
        <v>0</v>
      </c>
      <c r="DG476">
        <v>0</v>
      </c>
      <c r="DH476">
        <v>3</v>
      </c>
      <c r="DI476">
        <v>0</v>
      </c>
      <c r="DJ476">
        <v>1</v>
      </c>
      <c r="DK476">
        <v>0</v>
      </c>
      <c r="DL476">
        <v>2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9</v>
      </c>
      <c r="DV476">
        <v>1</v>
      </c>
      <c r="DW476">
        <v>0</v>
      </c>
      <c r="DX476">
        <v>0</v>
      </c>
      <c r="DY476">
        <v>0</v>
      </c>
      <c r="DZ476">
        <v>1</v>
      </c>
      <c r="EA476">
        <v>2</v>
      </c>
      <c r="EB476">
        <v>2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1</v>
      </c>
      <c r="ET476">
        <v>2</v>
      </c>
      <c r="EU476">
        <v>0</v>
      </c>
      <c r="EV476">
        <v>1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1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</row>
    <row r="477" spans="1:201" x14ac:dyDescent="0.3">
      <c r="A477" t="s">
        <v>346</v>
      </c>
      <c r="B477" t="s">
        <v>200</v>
      </c>
      <c r="C477" t="s">
        <v>203</v>
      </c>
      <c r="D477" s="1">
        <v>4159</v>
      </c>
      <c r="E477">
        <v>611</v>
      </c>
      <c r="F477">
        <v>322</v>
      </c>
      <c r="G477">
        <v>619</v>
      </c>
      <c r="H477">
        <v>371</v>
      </c>
      <c r="I477">
        <v>179</v>
      </c>
      <c r="J477">
        <v>287</v>
      </c>
      <c r="K477">
        <v>177</v>
      </c>
      <c r="L477">
        <v>374</v>
      </c>
      <c r="M477">
        <v>127</v>
      </c>
      <c r="N477">
        <v>300</v>
      </c>
      <c r="O477">
        <v>26</v>
      </c>
      <c r="P477">
        <v>63</v>
      </c>
      <c r="Q477">
        <v>131</v>
      </c>
      <c r="R477">
        <v>85</v>
      </c>
      <c r="S477">
        <v>10</v>
      </c>
      <c r="T477">
        <v>43</v>
      </c>
      <c r="U477">
        <v>74</v>
      </c>
      <c r="V477">
        <v>89</v>
      </c>
      <c r="W477">
        <v>10</v>
      </c>
      <c r="X477">
        <v>22</v>
      </c>
      <c r="Y477">
        <v>13</v>
      </c>
      <c r="Z477">
        <v>5</v>
      </c>
      <c r="AA477">
        <v>14</v>
      </c>
      <c r="AB477">
        <v>11</v>
      </c>
      <c r="AC477">
        <v>26</v>
      </c>
      <c r="AD477">
        <v>22</v>
      </c>
      <c r="AE477">
        <v>5</v>
      </c>
      <c r="AF477">
        <v>23</v>
      </c>
      <c r="AG477">
        <v>2</v>
      </c>
      <c r="AH477">
        <v>9</v>
      </c>
      <c r="AI477">
        <v>8</v>
      </c>
      <c r="AJ477">
        <v>2</v>
      </c>
      <c r="AK477">
        <v>5</v>
      </c>
      <c r="AL477">
        <v>2</v>
      </c>
      <c r="AM477">
        <v>1</v>
      </c>
      <c r="AN477">
        <v>9</v>
      </c>
      <c r="AO477">
        <v>8</v>
      </c>
      <c r="AP477">
        <v>6</v>
      </c>
      <c r="AQ477">
        <v>0</v>
      </c>
      <c r="AR477">
        <v>1</v>
      </c>
      <c r="AS477">
        <v>4</v>
      </c>
      <c r="AT477">
        <v>3</v>
      </c>
      <c r="AU477">
        <v>0</v>
      </c>
      <c r="AV477">
        <v>5</v>
      </c>
      <c r="AW477">
        <v>1</v>
      </c>
      <c r="AX477">
        <v>0</v>
      </c>
      <c r="AY477">
        <v>2</v>
      </c>
      <c r="AZ477">
        <v>1</v>
      </c>
      <c r="BA477">
        <v>1</v>
      </c>
      <c r="BB477">
        <v>0</v>
      </c>
      <c r="BC477">
        <v>0</v>
      </c>
      <c r="BD477">
        <v>0</v>
      </c>
      <c r="BE477">
        <v>3</v>
      </c>
      <c r="BF477">
        <v>1</v>
      </c>
      <c r="BG477">
        <v>4</v>
      </c>
      <c r="BH477">
        <v>0</v>
      </c>
      <c r="BI477">
        <v>0</v>
      </c>
      <c r="BJ477">
        <v>0</v>
      </c>
      <c r="BK477">
        <v>0</v>
      </c>
      <c r="BL477">
        <v>4</v>
      </c>
      <c r="BM477">
        <v>0</v>
      </c>
      <c r="BN477">
        <v>2</v>
      </c>
      <c r="BO477">
        <v>2</v>
      </c>
      <c r="BP477">
        <v>1</v>
      </c>
      <c r="BQ477">
        <v>0</v>
      </c>
      <c r="BR477">
        <v>0</v>
      </c>
      <c r="BS477">
        <v>5</v>
      </c>
      <c r="BT477">
        <v>3</v>
      </c>
      <c r="BU477">
        <v>1</v>
      </c>
      <c r="BV477">
        <v>1</v>
      </c>
      <c r="BW477">
        <v>0</v>
      </c>
      <c r="BX477">
        <v>2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2</v>
      </c>
      <c r="CF477">
        <v>0</v>
      </c>
      <c r="CG477">
        <v>0</v>
      </c>
      <c r="CH477">
        <v>0</v>
      </c>
      <c r="CI477">
        <v>1</v>
      </c>
      <c r="CJ477">
        <v>1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1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4</v>
      </c>
      <c r="DB477">
        <v>0</v>
      </c>
      <c r="DC477">
        <v>1</v>
      </c>
      <c r="DD477">
        <v>0</v>
      </c>
      <c r="DE477">
        <v>1</v>
      </c>
      <c r="DF477">
        <v>0</v>
      </c>
      <c r="DG477">
        <v>0</v>
      </c>
      <c r="DH477">
        <v>2</v>
      </c>
      <c r="DI477">
        <v>0</v>
      </c>
      <c r="DJ477">
        <v>1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3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1</v>
      </c>
      <c r="EB477">
        <v>1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1</v>
      </c>
      <c r="ET477">
        <v>0</v>
      </c>
      <c r="EU477">
        <v>0</v>
      </c>
      <c r="EV477">
        <v>1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</row>
    <row r="478" spans="1:201" x14ac:dyDescent="0.3">
      <c r="A478" t="s">
        <v>346</v>
      </c>
      <c r="B478" t="s">
        <v>200</v>
      </c>
      <c r="C478" t="s">
        <v>204</v>
      </c>
      <c r="D478" s="1">
        <v>2412</v>
      </c>
      <c r="E478">
        <v>457</v>
      </c>
      <c r="F478">
        <v>260</v>
      </c>
      <c r="G478">
        <v>642</v>
      </c>
      <c r="H478">
        <v>58</v>
      </c>
      <c r="I478">
        <v>86</v>
      </c>
      <c r="J478">
        <v>84</v>
      </c>
      <c r="K478">
        <v>47</v>
      </c>
      <c r="L478">
        <v>23</v>
      </c>
      <c r="M478">
        <v>88</v>
      </c>
      <c r="N478">
        <v>50</v>
      </c>
      <c r="O478">
        <v>27</v>
      </c>
      <c r="P478">
        <v>77</v>
      </c>
      <c r="Q478">
        <v>14</v>
      </c>
      <c r="R478">
        <v>24</v>
      </c>
      <c r="S478">
        <v>110</v>
      </c>
      <c r="T478">
        <v>31</v>
      </c>
      <c r="U478">
        <v>49</v>
      </c>
      <c r="V478">
        <v>13</v>
      </c>
      <c r="W478">
        <v>31</v>
      </c>
      <c r="X478">
        <v>10</v>
      </c>
      <c r="Y478">
        <v>2</v>
      </c>
      <c r="Z478">
        <v>12</v>
      </c>
      <c r="AA478">
        <v>5</v>
      </c>
      <c r="AB478">
        <v>13</v>
      </c>
      <c r="AC478">
        <v>14</v>
      </c>
      <c r="AD478">
        <v>49</v>
      </c>
      <c r="AE478">
        <v>0</v>
      </c>
      <c r="AF478">
        <v>13</v>
      </c>
      <c r="AG478">
        <v>7</v>
      </c>
      <c r="AH478">
        <v>4</v>
      </c>
      <c r="AI478">
        <v>3</v>
      </c>
      <c r="AJ478">
        <v>0</v>
      </c>
      <c r="AK478">
        <v>4</v>
      </c>
      <c r="AL478">
        <v>5</v>
      </c>
      <c r="AM478">
        <v>5</v>
      </c>
      <c r="AN478">
        <v>3</v>
      </c>
      <c r="AO478">
        <v>1</v>
      </c>
      <c r="AP478">
        <v>4</v>
      </c>
      <c r="AQ478">
        <v>4</v>
      </c>
      <c r="AR478">
        <v>1</v>
      </c>
      <c r="AS478">
        <v>5</v>
      </c>
      <c r="AT478">
        <v>2</v>
      </c>
      <c r="AU478">
        <v>2</v>
      </c>
      <c r="AV478">
        <v>5</v>
      </c>
      <c r="AW478">
        <v>4</v>
      </c>
      <c r="AX478">
        <v>0</v>
      </c>
      <c r="AY478">
        <v>3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2</v>
      </c>
      <c r="BF478">
        <v>0</v>
      </c>
      <c r="BG478">
        <v>4</v>
      </c>
      <c r="BH478">
        <v>5</v>
      </c>
      <c r="BI478">
        <v>0</v>
      </c>
      <c r="BJ478">
        <v>0</v>
      </c>
      <c r="BK478">
        <v>0</v>
      </c>
      <c r="BL478">
        <v>5</v>
      </c>
      <c r="BM478">
        <v>3</v>
      </c>
      <c r="BN478">
        <v>0</v>
      </c>
      <c r="BO478">
        <v>0</v>
      </c>
      <c r="BP478">
        <v>1</v>
      </c>
      <c r="BQ478">
        <v>1</v>
      </c>
      <c r="BR478">
        <v>0</v>
      </c>
      <c r="BS478">
        <v>0</v>
      </c>
      <c r="BT478">
        <v>0</v>
      </c>
      <c r="BU478">
        <v>1</v>
      </c>
      <c r="BV478">
        <v>3</v>
      </c>
      <c r="BW478">
        <v>0</v>
      </c>
      <c r="BX478">
        <v>1</v>
      </c>
      <c r="BY478">
        <v>0</v>
      </c>
      <c r="BZ478">
        <v>0</v>
      </c>
      <c r="CA478">
        <v>1</v>
      </c>
      <c r="CB478">
        <v>0</v>
      </c>
      <c r="CC478">
        <v>0</v>
      </c>
      <c r="CD478">
        <v>1</v>
      </c>
      <c r="CE478">
        <v>1</v>
      </c>
      <c r="CF478">
        <v>0</v>
      </c>
      <c r="CG478">
        <v>1</v>
      </c>
      <c r="CH478">
        <v>0</v>
      </c>
      <c r="CI478">
        <v>1</v>
      </c>
      <c r="CJ478">
        <v>3</v>
      </c>
      <c r="CK478">
        <v>0</v>
      </c>
      <c r="CL478">
        <v>0</v>
      </c>
      <c r="CM478">
        <v>0</v>
      </c>
      <c r="CN478">
        <v>1</v>
      </c>
      <c r="CO478">
        <v>0</v>
      </c>
      <c r="CP478">
        <v>1</v>
      </c>
      <c r="CQ478">
        <v>0</v>
      </c>
      <c r="CR478">
        <v>0</v>
      </c>
      <c r="CS478">
        <v>1</v>
      </c>
      <c r="CT478">
        <v>1</v>
      </c>
      <c r="CU478">
        <v>0</v>
      </c>
      <c r="CV478">
        <v>1</v>
      </c>
      <c r="CW478">
        <v>1</v>
      </c>
      <c r="CX478">
        <v>0</v>
      </c>
      <c r="CY478">
        <v>0</v>
      </c>
      <c r="CZ478">
        <v>1</v>
      </c>
      <c r="DA478">
        <v>3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1</v>
      </c>
      <c r="DI478">
        <v>0</v>
      </c>
      <c r="DJ478">
        <v>0</v>
      </c>
      <c r="DK478">
        <v>0</v>
      </c>
      <c r="DL478">
        <v>2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6</v>
      </c>
      <c r="DV478">
        <v>1</v>
      </c>
      <c r="DW478">
        <v>0</v>
      </c>
      <c r="DX478">
        <v>0</v>
      </c>
      <c r="DY478">
        <v>0</v>
      </c>
      <c r="DZ478">
        <v>1</v>
      </c>
      <c r="EA478">
        <v>1</v>
      </c>
      <c r="EB478">
        <v>1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2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1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</row>
    <row r="479" spans="1:201" x14ac:dyDescent="0.3">
      <c r="A479" t="s">
        <v>347</v>
      </c>
      <c r="B479" t="s">
        <v>200</v>
      </c>
      <c r="C479" t="s">
        <v>200</v>
      </c>
      <c r="D479" s="1">
        <v>30175</v>
      </c>
      <c r="E479" s="1">
        <v>7169</v>
      </c>
      <c r="F479" s="1">
        <v>3778</v>
      </c>
      <c r="G479" s="1">
        <v>2381</v>
      </c>
      <c r="H479" s="1">
        <v>1135</v>
      </c>
      <c r="I479" s="1">
        <v>1876</v>
      </c>
      <c r="J479" s="1">
        <v>1252</v>
      </c>
      <c r="K479" s="1">
        <v>1563</v>
      </c>
      <c r="L479">
        <v>979</v>
      </c>
      <c r="M479" s="1">
        <v>1574</v>
      </c>
      <c r="N479" s="1">
        <v>1107</v>
      </c>
      <c r="O479">
        <v>317</v>
      </c>
      <c r="P479">
        <v>193</v>
      </c>
      <c r="Q479" s="1">
        <v>2456</v>
      </c>
      <c r="R479">
        <v>447</v>
      </c>
      <c r="S479">
        <v>342</v>
      </c>
      <c r="T479">
        <v>703</v>
      </c>
      <c r="U479">
        <v>321</v>
      </c>
      <c r="V479">
        <v>334</v>
      </c>
      <c r="W479">
        <v>168</v>
      </c>
      <c r="X479">
        <v>342</v>
      </c>
      <c r="Y479">
        <v>98</v>
      </c>
      <c r="Z479">
        <v>93</v>
      </c>
      <c r="AA479">
        <v>61</v>
      </c>
      <c r="AB479">
        <v>40</v>
      </c>
      <c r="AC479">
        <v>103</v>
      </c>
      <c r="AD479">
        <v>138</v>
      </c>
      <c r="AE479">
        <v>46</v>
      </c>
      <c r="AF479">
        <v>50</v>
      </c>
      <c r="AG479">
        <v>111</v>
      </c>
      <c r="AH479">
        <v>26</v>
      </c>
      <c r="AI479">
        <v>47</v>
      </c>
      <c r="AJ479">
        <v>13</v>
      </c>
      <c r="AK479">
        <v>15</v>
      </c>
      <c r="AL479">
        <v>24</v>
      </c>
      <c r="AM479">
        <v>5</v>
      </c>
      <c r="AN479">
        <v>28</v>
      </c>
      <c r="AO479">
        <v>31</v>
      </c>
      <c r="AP479">
        <v>0</v>
      </c>
      <c r="AQ479">
        <v>42</v>
      </c>
      <c r="AR479">
        <v>32</v>
      </c>
      <c r="AS479">
        <v>22</v>
      </c>
      <c r="AT479">
        <v>13</v>
      </c>
      <c r="AU479">
        <v>43</v>
      </c>
      <c r="AV479">
        <v>16</v>
      </c>
      <c r="AW479">
        <v>14</v>
      </c>
      <c r="AX479">
        <v>12</v>
      </c>
      <c r="AY479">
        <v>14</v>
      </c>
      <c r="AZ479">
        <v>108</v>
      </c>
      <c r="BA479">
        <v>6</v>
      </c>
      <c r="BB479">
        <v>0</v>
      </c>
      <c r="BC479">
        <v>5</v>
      </c>
      <c r="BD479">
        <v>10</v>
      </c>
      <c r="BE479">
        <v>0</v>
      </c>
      <c r="BF479">
        <v>25</v>
      </c>
      <c r="BG479">
        <v>23</v>
      </c>
      <c r="BH479">
        <v>31</v>
      </c>
      <c r="BI479">
        <v>51</v>
      </c>
      <c r="BJ479">
        <v>8</v>
      </c>
      <c r="BK479">
        <v>35</v>
      </c>
      <c r="BL479">
        <v>3</v>
      </c>
      <c r="BM479">
        <v>24</v>
      </c>
      <c r="BN479">
        <v>4</v>
      </c>
      <c r="BO479">
        <v>6</v>
      </c>
      <c r="BP479">
        <v>9</v>
      </c>
      <c r="BQ479">
        <v>11</v>
      </c>
      <c r="BR479">
        <v>7</v>
      </c>
      <c r="BS479">
        <v>3</v>
      </c>
      <c r="BT479">
        <v>3</v>
      </c>
      <c r="BU479">
        <v>6</v>
      </c>
      <c r="BV479">
        <v>8</v>
      </c>
      <c r="BW479">
        <v>2</v>
      </c>
      <c r="BX479">
        <v>2</v>
      </c>
      <c r="BY479">
        <v>0</v>
      </c>
      <c r="BZ479">
        <v>10</v>
      </c>
      <c r="CA479">
        <v>2</v>
      </c>
      <c r="CB479">
        <v>1</v>
      </c>
      <c r="CC479">
        <v>24</v>
      </c>
      <c r="CD479">
        <v>7</v>
      </c>
      <c r="CE479">
        <v>1</v>
      </c>
      <c r="CF479">
        <v>7</v>
      </c>
      <c r="CG479">
        <v>2</v>
      </c>
      <c r="CH479">
        <v>2</v>
      </c>
      <c r="CI479">
        <v>7</v>
      </c>
      <c r="CJ479">
        <v>24</v>
      </c>
      <c r="CK479">
        <v>2</v>
      </c>
      <c r="CL479">
        <v>2</v>
      </c>
      <c r="CM479">
        <v>2</v>
      </c>
      <c r="CN479">
        <v>0</v>
      </c>
      <c r="CO479">
        <v>0</v>
      </c>
      <c r="CP479">
        <v>6</v>
      </c>
      <c r="CQ479">
        <v>22</v>
      </c>
      <c r="CR479">
        <v>0</v>
      </c>
      <c r="CS479">
        <v>2</v>
      </c>
      <c r="CT479">
        <v>5</v>
      </c>
      <c r="CU479">
        <v>2</v>
      </c>
      <c r="CV479">
        <v>5</v>
      </c>
      <c r="CW479">
        <v>10</v>
      </c>
      <c r="CX479">
        <v>9</v>
      </c>
      <c r="CY479">
        <v>0</v>
      </c>
      <c r="CZ479">
        <v>1</v>
      </c>
      <c r="DA479">
        <v>1</v>
      </c>
      <c r="DB479">
        <v>0</v>
      </c>
      <c r="DC479">
        <v>0</v>
      </c>
      <c r="DD479">
        <v>0</v>
      </c>
      <c r="DE479">
        <v>1</v>
      </c>
      <c r="DF479">
        <v>0</v>
      </c>
      <c r="DG479">
        <v>1</v>
      </c>
      <c r="DH479">
        <v>0</v>
      </c>
      <c r="DI479">
        <v>0</v>
      </c>
      <c r="DJ479">
        <v>16</v>
      </c>
      <c r="DK479">
        <v>0</v>
      </c>
      <c r="DL479">
        <v>1</v>
      </c>
      <c r="DM479">
        <v>1</v>
      </c>
      <c r="DN479">
        <v>10</v>
      </c>
      <c r="DO479">
        <v>2</v>
      </c>
      <c r="DP479">
        <v>1</v>
      </c>
      <c r="DQ479">
        <v>0</v>
      </c>
      <c r="DR479">
        <v>1</v>
      </c>
      <c r="DS479">
        <v>2</v>
      </c>
      <c r="DT479">
        <v>1</v>
      </c>
      <c r="DU479">
        <v>0</v>
      </c>
      <c r="DV479">
        <v>0</v>
      </c>
      <c r="DW479">
        <v>2</v>
      </c>
      <c r="DX479">
        <v>0</v>
      </c>
      <c r="DY479">
        <v>1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2</v>
      </c>
      <c r="EF479">
        <v>0</v>
      </c>
      <c r="EG479">
        <v>0</v>
      </c>
      <c r="EH479">
        <v>1</v>
      </c>
      <c r="EI479">
        <v>0</v>
      </c>
      <c r="EJ479">
        <v>0</v>
      </c>
      <c r="EK479">
        <v>0</v>
      </c>
      <c r="EL479">
        <v>0</v>
      </c>
      <c r="EM479">
        <v>1</v>
      </c>
      <c r="EN479">
        <v>0</v>
      </c>
      <c r="EO479">
        <v>0</v>
      </c>
      <c r="EP479">
        <v>0</v>
      </c>
      <c r="EQ479">
        <v>2</v>
      </c>
      <c r="ER479">
        <v>0</v>
      </c>
      <c r="ES479">
        <v>1</v>
      </c>
      <c r="ET479">
        <v>1</v>
      </c>
      <c r="EU479">
        <v>0</v>
      </c>
      <c r="EV479">
        <v>1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1</v>
      </c>
      <c r="FC479">
        <v>0</v>
      </c>
      <c r="FD479">
        <v>0</v>
      </c>
      <c r="FE479">
        <v>1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1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3</v>
      </c>
    </row>
    <row r="480" spans="1:201" x14ac:dyDescent="0.3">
      <c r="A480" t="s">
        <v>347</v>
      </c>
      <c r="B480" t="s">
        <v>200</v>
      </c>
      <c r="C480" t="s">
        <v>203</v>
      </c>
      <c r="D480" s="1">
        <f>D483+D486+D489+D492+D495</f>
        <v>21164</v>
      </c>
      <c r="E480" s="1">
        <f t="shared" ref="E480:BP480" si="72">E483+E486+E489+E492+E495</f>
        <v>5085</v>
      </c>
      <c r="F480" s="1">
        <f t="shared" si="72"/>
        <v>2195</v>
      </c>
      <c r="G480" s="1">
        <f t="shared" si="72"/>
        <v>817</v>
      </c>
      <c r="H480" s="1">
        <f t="shared" si="72"/>
        <v>938</v>
      </c>
      <c r="I480" s="1">
        <f t="shared" si="72"/>
        <v>1622</v>
      </c>
      <c r="J480" s="1">
        <f t="shared" si="72"/>
        <v>1045</v>
      </c>
      <c r="K480" s="1">
        <f t="shared" si="72"/>
        <v>1456</v>
      </c>
      <c r="L480" s="1">
        <f t="shared" si="72"/>
        <v>906</v>
      </c>
      <c r="M480" s="1">
        <f t="shared" si="72"/>
        <v>1097</v>
      </c>
      <c r="N480" s="1">
        <f t="shared" si="72"/>
        <v>685</v>
      </c>
      <c r="O480" s="1">
        <f t="shared" si="72"/>
        <v>173</v>
      </c>
      <c r="P480" s="1">
        <f t="shared" si="72"/>
        <v>111</v>
      </c>
      <c r="Q480" s="1">
        <f t="shared" si="72"/>
        <v>2227</v>
      </c>
      <c r="R480" s="1">
        <f t="shared" si="72"/>
        <v>400</v>
      </c>
      <c r="S480" s="1">
        <f t="shared" si="72"/>
        <v>41</v>
      </c>
      <c r="T480" s="1">
        <f t="shared" si="72"/>
        <v>477</v>
      </c>
      <c r="U480" s="1">
        <f t="shared" si="72"/>
        <v>187</v>
      </c>
      <c r="V480" s="1">
        <f t="shared" si="72"/>
        <v>273</v>
      </c>
      <c r="W480" s="1">
        <f t="shared" si="72"/>
        <v>84</v>
      </c>
      <c r="X480" s="1">
        <f t="shared" si="72"/>
        <v>214</v>
      </c>
      <c r="Y480" s="1">
        <f t="shared" si="72"/>
        <v>59</v>
      </c>
      <c r="Z480" s="1">
        <f t="shared" si="72"/>
        <v>55</v>
      </c>
      <c r="AA480" s="1">
        <f t="shared" si="72"/>
        <v>46</v>
      </c>
      <c r="AB480" s="1">
        <f t="shared" si="72"/>
        <v>24</v>
      </c>
      <c r="AC480" s="1">
        <f t="shared" si="72"/>
        <v>78</v>
      </c>
      <c r="AD480" s="1">
        <f t="shared" si="72"/>
        <v>40</v>
      </c>
      <c r="AE480" s="1">
        <f t="shared" si="72"/>
        <v>46</v>
      </c>
      <c r="AF480" s="1">
        <f t="shared" si="72"/>
        <v>37</v>
      </c>
      <c r="AG480" s="1">
        <f t="shared" si="72"/>
        <v>83</v>
      </c>
      <c r="AH480" s="1">
        <f t="shared" si="72"/>
        <v>21</v>
      </c>
      <c r="AI480" s="1">
        <f t="shared" si="72"/>
        <v>33</v>
      </c>
      <c r="AJ480" s="1">
        <f t="shared" si="72"/>
        <v>7</v>
      </c>
      <c r="AK480" s="1">
        <f t="shared" si="72"/>
        <v>8</v>
      </c>
      <c r="AL480" s="1">
        <f t="shared" si="72"/>
        <v>12</v>
      </c>
      <c r="AM480" s="1">
        <f t="shared" si="72"/>
        <v>1</v>
      </c>
      <c r="AN480" s="1">
        <f t="shared" si="72"/>
        <v>19</v>
      </c>
      <c r="AO480" s="1">
        <f t="shared" si="72"/>
        <v>27</v>
      </c>
      <c r="AP480" s="1">
        <f t="shared" si="72"/>
        <v>0</v>
      </c>
      <c r="AQ480" s="1">
        <f t="shared" si="72"/>
        <v>22</v>
      </c>
      <c r="AR480" s="1">
        <f t="shared" si="72"/>
        <v>23</v>
      </c>
      <c r="AS480" s="1">
        <f t="shared" si="72"/>
        <v>7</v>
      </c>
      <c r="AT480" s="1">
        <f t="shared" si="72"/>
        <v>8</v>
      </c>
      <c r="AU480" s="1">
        <f t="shared" si="72"/>
        <v>22</v>
      </c>
      <c r="AV480" s="1">
        <f t="shared" si="72"/>
        <v>12</v>
      </c>
      <c r="AW480" s="1">
        <f t="shared" si="72"/>
        <v>9</v>
      </c>
      <c r="AX480" s="1">
        <f t="shared" si="72"/>
        <v>9</v>
      </c>
      <c r="AY480" s="1">
        <f t="shared" si="72"/>
        <v>5</v>
      </c>
      <c r="AZ480" s="1">
        <f t="shared" si="72"/>
        <v>59</v>
      </c>
      <c r="BA480" s="1">
        <f t="shared" si="72"/>
        <v>1</v>
      </c>
      <c r="BB480" s="1">
        <f t="shared" si="72"/>
        <v>0</v>
      </c>
      <c r="BC480" s="1">
        <f t="shared" si="72"/>
        <v>4</v>
      </c>
      <c r="BD480" s="1">
        <f t="shared" si="72"/>
        <v>10</v>
      </c>
      <c r="BE480" s="1">
        <f t="shared" si="72"/>
        <v>0</v>
      </c>
      <c r="BF480" s="1">
        <f t="shared" si="72"/>
        <v>20</v>
      </c>
      <c r="BG480" s="1">
        <f t="shared" si="72"/>
        <v>17</v>
      </c>
      <c r="BH480" s="1">
        <f t="shared" si="72"/>
        <v>23</v>
      </c>
      <c r="BI480" s="1">
        <f t="shared" si="72"/>
        <v>48</v>
      </c>
      <c r="BJ480" s="1">
        <f t="shared" si="72"/>
        <v>7</v>
      </c>
      <c r="BK480" s="1">
        <f t="shared" si="72"/>
        <v>33</v>
      </c>
      <c r="BL480" s="1">
        <f t="shared" si="72"/>
        <v>3</v>
      </c>
      <c r="BM480" s="1">
        <f t="shared" si="72"/>
        <v>19</v>
      </c>
      <c r="BN480" s="1">
        <f t="shared" si="72"/>
        <v>0</v>
      </c>
      <c r="BO480" s="1">
        <f t="shared" si="72"/>
        <v>2</v>
      </c>
      <c r="BP480" s="1">
        <f t="shared" si="72"/>
        <v>4</v>
      </c>
      <c r="BQ480" s="1">
        <f t="shared" ref="BQ480:EB480" si="73">BQ483+BQ486+BQ489+BQ492+BQ495</f>
        <v>8</v>
      </c>
      <c r="BR480" s="1">
        <f t="shared" si="73"/>
        <v>5</v>
      </c>
      <c r="BS480" s="1">
        <f t="shared" si="73"/>
        <v>3</v>
      </c>
      <c r="BT480" s="1">
        <f t="shared" si="73"/>
        <v>2</v>
      </c>
      <c r="BU480" s="1">
        <f t="shared" si="73"/>
        <v>4</v>
      </c>
      <c r="BV480" s="1">
        <f t="shared" si="73"/>
        <v>3</v>
      </c>
      <c r="BW480" s="1">
        <f t="shared" si="73"/>
        <v>2</v>
      </c>
      <c r="BX480" s="1">
        <f t="shared" si="73"/>
        <v>2</v>
      </c>
      <c r="BY480" s="1">
        <f t="shared" si="73"/>
        <v>0</v>
      </c>
      <c r="BZ480" s="1">
        <f t="shared" si="73"/>
        <v>10</v>
      </c>
      <c r="CA480" s="1">
        <f t="shared" si="73"/>
        <v>1</v>
      </c>
      <c r="CB480" s="1">
        <f t="shared" si="73"/>
        <v>1</v>
      </c>
      <c r="CC480" s="1">
        <f t="shared" si="73"/>
        <v>17</v>
      </c>
      <c r="CD480" s="1">
        <f t="shared" si="73"/>
        <v>3</v>
      </c>
      <c r="CE480" s="1">
        <f t="shared" si="73"/>
        <v>0</v>
      </c>
      <c r="CF480" s="1">
        <f t="shared" si="73"/>
        <v>5</v>
      </c>
      <c r="CG480" s="1">
        <f t="shared" si="73"/>
        <v>2</v>
      </c>
      <c r="CH480" s="1">
        <f t="shared" si="73"/>
        <v>1</v>
      </c>
      <c r="CI480" s="1">
        <f t="shared" si="73"/>
        <v>4</v>
      </c>
      <c r="CJ480" s="1">
        <f t="shared" si="73"/>
        <v>24</v>
      </c>
      <c r="CK480" s="1">
        <f t="shared" si="73"/>
        <v>1</v>
      </c>
      <c r="CL480" s="1">
        <f t="shared" si="73"/>
        <v>1</v>
      </c>
      <c r="CM480" s="1">
        <f t="shared" si="73"/>
        <v>2</v>
      </c>
      <c r="CN480" s="1">
        <f t="shared" si="73"/>
        <v>0</v>
      </c>
      <c r="CO480" s="1">
        <f t="shared" si="73"/>
        <v>0</v>
      </c>
      <c r="CP480" s="1">
        <f t="shared" si="73"/>
        <v>4</v>
      </c>
      <c r="CQ480" s="1">
        <f t="shared" si="73"/>
        <v>17</v>
      </c>
      <c r="CR480" s="1">
        <f t="shared" si="73"/>
        <v>0</v>
      </c>
      <c r="CS480" s="1">
        <f t="shared" si="73"/>
        <v>1</v>
      </c>
      <c r="CT480" s="1">
        <f t="shared" si="73"/>
        <v>5</v>
      </c>
      <c r="CU480" s="1">
        <f t="shared" si="73"/>
        <v>0</v>
      </c>
      <c r="CV480" s="1">
        <f t="shared" si="73"/>
        <v>2</v>
      </c>
      <c r="CW480" s="1">
        <f t="shared" si="73"/>
        <v>5</v>
      </c>
      <c r="CX480" s="1">
        <f t="shared" si="73"/>
        <v>4</v>
      </c>
      <c r="CY480" s="1">
        <f t="shared" si="73"/>
        <v>0</v>
      </c>
      <c r="CZ480" s="1">
        <f t="shared" si="73"/>
        <v>1</v>
      </c>
      <c r="DA480" s="1">
        <f t="shared" si="73"/>
        <v>0</v>
      </c>
      <c r="DB480" s="1">
        <f t="shared" si="73"/>
        <v>0</v>
      </c>
      <c r="DC480" s="1">
        <f t="shared" si="73"/>
        <v>0</v>
      </c>
      <c r="DD480" s="1">
        <f t="shared" si="73"/>
        <v>0</v>
      </c>
      <c r="DE480" s="1">
        <f t="shared" si="73"/>
        <v>1</v>
      </c>
      <c r="DF480" s="1">
        <f t="shared" si="73"/>
        <v>0</v>
      </c>
      <c r="DG480" s="1">
        <f t="shared" si="73"/>
        <v>1</v>
      </c>
      <c r="DH480" s="1">
        <f t="shared" si="73"/>
        <v>0</v>
      </c>
      <c r="DI480" s="1">
        <f t="shared" si="73"/>
        <v>0</v>
      </c>
      <c r="DJ480" s="1">
        <f t="shared" si="73"/>
        <v>12</v>
      </c>
      <c r="DK480" s="1">
        <f t="shared" si="73"/>
        <v>0</v>
      </c>
      <c r="DL480" s="1">
        <f t="shared" si="73"/>
        <v>0</v>
      </c>
      <c r="DM480" s="1">
        <f t="shared" si="73"/>
        <v>0</v>
      </c>
      <c r="DN480" s="1">
        <f t="shared" si="73"/>
        <v>5</v>
      </c>
      <c r="DO480" s="1">
        <f t="shared" si="73"/>
        <v>0</v>
      </c>
      <c r="DP480" s="1">
        <f t="shared" si="73"/>
        <v>1</v>
      </c>
      <c r="DQ480" s="1">
        <f t="shared" si="73"/>
        <v>0</v>
      </c>
      <c r="DR480" s="1">
        <f t="shared" si="73"/>
        <v>0</v>
      </c>
      <c r="DS480" s="1">
        <f t="shared" si="73"/>
        <v>1</v>
      </c>
      <c r="DT480" s="1">
        <f t="shared" si="73"/>
        <v>0</v>
      </c>
      <c r="DU480" s="1">
        <f t="shared" si="73"/>
        <v>0</v>
      </c>
      <c r="DV480" s="1">
        <f t="shared" si="73"/>
        <v>0</v>
      </c>
      <c r="DW480" s="1">
        <f t="shared" si="73"/>
        <v>1</v>
      </c>
      <c r="DX480" s="1">
        <f t="shared" si="73"/>
        <v>0</v>
      </c>
      <c r="DY480" s="1">
        <f t="shared" si="73"/>
        <v>0</v>
      </c>
      <c r="DZ480" s="1">
        <f t="shared" si="73"/>
        <v>0</v>
      </c>
      <c r="EA480" s="1">
        <f t="shared" si="73"/>
        <v>0</v>
      </c>
      <c r="EB480" s="1">
        <f t="shared" si="73"/>
        <v>0</v>
      </c>
      <c r="EC480" s="1">
        <f t="shared" ref="EC480:GN480" si="74">EC483+EC486+EC489+EC492+EC495</f>
        <v>0</v>
      </c>
      <c r="ED480" s="1">
        <f t="shared" si="74"/>
        <v>0</v>
      </c>
      <c r="EE480" s="1">
        <f t="shared" si="74"/>
        <v>1</v>
      </c>
      <c r="EF480" s="1">
        <f t="shared" si="74"/>
        <v>0</v>
      </c>
      <c r="EG480" s="1">
        <f t="shared" si="74"/>
        <v>0</v>
      </c>
      <c r="EH480" s="1">
        <f t="shared" si="74"/>
        <v>0</v>
      </c>
      <c r="EI480" s="1">
        <f t="shared" si="74"/>
        <v>0</v>
      </c>
      <c r="EJ480" s="1">
        <f t="shared" si="74"/>
        <v>0</v>
      </c>
      <c r="EK480" s="1">
        <f t="shared" si="74"/>
        <v>0</v>
      </c>
      <c r="EL480" s="1">
        <f t="shared" si="74"/>
        <v>0</v>
      </c>
      <c r="EM480" s="1">
        <f t="shared" si="74"/>
        <v>1</v>
      </c>
      <c r="EN480" s="1">
        <f t="shared" si="74"/>
        <v>0</v>
      </c>
      <c r="EO480" s="1">
        <f t="shared" si="74"/>
        <v>0</v>
      </c>
      <c r="EP480" s="1">
        <f t="shared" si="74"/>
        <v>0</v>
      </c>
      <c r="EQ480" s="1">
        <f t="shared" si="74"/>
        <v>2</v>
      </c>
      <c r="ER480" s="1">
        <f t="shared" si="74"/>
        <v>0</v>
      </c>
      <c r="ES480" s="1">
        <f t="shared" si="74"/>
        <v>0</v>
      </c>
      <c r="ET480" s="1">
        <f t="shared" si="74"/>
        <v>0</v>
      </c>
      <c r="EU480" s="1">
        <f t="shared" si="74"/>
        <v>0</v>
      </c>
      <c r="EV480" s="1">
        <f t="shared" si="74"/>
        <v>0</v>
      </c>
      <c r="EW480" s="1">
        <f t="shared" si="74"/>
        <v>0</v>
      </c>
      <c r="EX480" s="1">
        <f t="shared" si="74"/>
        <v>0</v>
      </c>
      <c r="EY480" s="1">
        <f t="shared" si="74"/>
        <v>0</v>
      </c>
      <c r="EZ480" s="1">
        <f t="shared" si="74"/>
        <v>0</v>
      </c>
      <c r="FA480" s="1">
        <f t="shared" si="74"/>
        <v>0</v>
      </c>
      <c r="FB480" s="1">
        <f t="shared" si="74"/>
        <v>0</v>
      </c>
      <c r="FC480" s="1">
        <f t="shared" si="74"/>
        <v>0</v>
      </c>
      <c r="FD480" s="1">
        <f t="shared" si="74"/>
        <v>0</v>
      </c>
      <c r="FE480" s="1">
        <f t="shared" si="74"/>
        <v>0</v>
      </c>
      <c r="FF480" s="1">
        <f t="shared" si="74"/>
        <v>0</v>
      </c>
      <c r="FG480" s="1">
        <f t="shared" si="74"/>
        <v>0</v>
      </c>
      <c r="FH480" s="1">
        <f t="shared" si="74"/>
        <v>0</v>
      </c>
      <c r="FI480" s="1">
        <f t="shared" si="74"/>
        <v>0</v>
      </c>
      <c r="FJ480" s="1">
        <f t="shared" si="74"/>
        <v>0</v>
      </c>
      <c r="FK480" s="1">
        <f t="shared" si="74"/>
        <v>0</v>
      </c>
      <c r="FL480" s="1">
        <f t="shared" si="74"/>
        <v>0</v>
      </c>
      <c r="FM480" s="1">
        <f t="shared" si="74"/>
        <v>0</v>
      </c>
      <c r="FN480" s="1">
        <f t="shared" si="74"/>
        <v>0</v>
      </c>
      <c r="FO480" s="1">
        <f t="shared" si="74"/>
        <v>0</v>
      </c>
      <c r="FP480" s="1">
        <f t="shared" si="74"/>
        <v>0</v>
      </c>
      <c r="FQ480" s="1">
        <f t="shared" si="74"/>
        <v>0</v>
      </c>
      <c r="FR480" s="1">
        <f t="shared" si="74"/>
        <v>0</v>
      </c>
      <c r="FS480" s="1">
        <f t="shared" si="74"/>
        <v>0</v>
      </c>
      <c r="FT480" s="1">
        <f t="shared" si="74"/>
        <v>0</v>
      </c>
      <c r="FU480" s="1">
        <f t="shared" si="74"/>
        <v>0</v>
      </c>
      <c r="FV480" s="1">
        <f t="shared" si="74"/>
        <v>0</v>
      </c>
      <c r="FW480" s="1">
        <f t="shared" si="74"/>
        <v>0</v>
      </c>
      <c r="FX480" s="1">
        <f t="shared" si="74"/>
        <v>0</v>
      </c>
      <c r="FY480" s="1">
        <f t="shared" si="74"/>
        <v>0</v>
      </c>
      <c r="FZ480" s="1">
        <f t="shared" si="74"/>
        <v>0</v>
      </c>
      <c r="GA480" s="1">
        <f t="shared" si="74"/>
        <v>0</v>
      </c>
      <c r="GB480" s="1">
        <f t="shared" si="74"/>
        <v>0</v>
      </c>
      <c r="GC480" s="1">
        <f t="shared" si="74"/>
        <v>0</v>
      </c>
      <c r="GD480" s="1">
        <f t="shared" si="74"/>
        <v>0</v>
      </c>
      <c r="GE480" s="1">
        <f t="shared" si="74"/>
        <v>0</v>
      </c>
      <c r="GF480" s="1">
        <f t="shared" si="74"/>
        <v>0</v>
      </c>
      <c r="GG480" s="1">
        <f t="shared" si="74"/>
        <v>0</v>
      </c>
      <c r="GH480" s="1">
        <f t="shared" si="74"/>
        <v>0</v>
      </c>
      <c r="GI480" s="1">
        <f t="shared" si="74"/>
        <v>0</v>
      </c>
      <c r="GJ480" s="1">
        <f t="shared" si="74"/>
        <v>0</v>
      </c>
      <c r="GK480" s="1">
        <f t="shared" si="74"/>
        <v>0</v>
      </c>
      <c r="GL480" s="1">
        <f t="shared" si="74"/>
        <v>0</v>
      </c>
      <c r="GM480" s="1">
        <f t="shared" si="74"/>
        <v>0</v>
      </c>
      <c r="GN480" s="1">
        <f t="shared" si="74"/>
        <v>0</v>
      </c>
      <c r="GO480" s="1">
        <f t="shared" ref="GO480:GS480" si="75">GO483+GO486+GO489+GO492+GO495</f>
        <v>0</v>
      </c>
      <c r="GP480" s="1">
        <f t="shared" si="75"/>
        <v>0</v>
      </c>
      <c r="GQ480" s="1">
        <f t="shared" si="75"/>
        <v>0</v>
      </c>
      <c r="GR480" s="1">
        <f t="shared" si="75"/>
        <v>0</v>
      </c>
      <c r="GS480" s="1">
        <f t="shared" si="75"/>
        <v>2</v>
      </c>
    </row>
    <row r="481" spans="1:201" x14ac:dyDescent="0.3">
      <c r="A481" t="s">
        <v>347</v>
      </c>
      <c r="B481" t="s">
        <v>200</v>
      </c>
      <c r="C481" t="s">
        <v>204</v>
      </c>
      <c r="D481" s="1">
        <f>D484+D487+D490+D493+D496</f>
        <v>9011</v>
      </c>
      <c r="E481" s="1">
        <f t="shared" ref="E481:BP481" si="76">E484+E487+E490+E493+E496</f>
        <v>2084</v>
      </c>
      <c r="F481" s="1">
        <f t="shared" si="76"/>
        <v>1583</v>
      </c>
      <c r="G481" s="1">
        <f t="shared" si="76"/>
        <v>1564</v>
      </c>
      <c r="H481" s="1">
        <f t="shared" si="76"/>
        <v>197</v>
      </c>
      <c r="I481" s="1">
        <f t="shared" si="76"/>
        <v>254</v>
      </c>
      <c r="J481" s="1">
        <f t="shared" si="76"/>
        <v>207</v>
      </c>
      <c r="K481" s="1">
        <f t="shared" si="76"/>
        <v>107</v>
      </c>
      <c r="L481" s="1">
        <f t="shared" si="76"/>
        <v>73</v>
      </c>
      <c r="M481" s="1">
        <f t="shared" si="76"/>
        <v>477</v>
      </c>
      <c r="N481" s="1">
        <f t="shared" si="76"/>
        <v>422</v>
      </c>
      <c r="O481" s="1">
        <f t="shared" si="76"/>
        <v>144</v>
      </c>
      <c r="P481" s="1">
        <f t="shared" si="76"/>
        <v>82</v>
      </c>
      <c r="Q481" s="1">
        <f t="shared" si="76"/>
        <v>229</v>
      </c>
      <c r="R481" s="1">
        <f t="shared" si="76"/>
        <v>47</v>
      </c>
      <c r="S481" s="1">
        <f t="shared" si="76"/>
        <v>301</v>
      </c>
      <c r="T481" s="1">
        <f t="shared" si="76"/>
        <v>226</v>
      </c>
      <c r="U481" s="1">
        <f t="shared" si="76"/>
        <v>134</v>
      </c>
      <c r="V481" s="1">
        <f t="shared" si="76"/>
        <v>61</v>
      </c>
      <c r="W481" s="1">
        <f t="shared" si="76"/>
        <v>84</v>
      </c>
      <c r="X481" s="1">
        <f t="shared" si="76"/>
        <v>128</v>
      </c>
      <c r="Y481" s="1">
        <f t="shared" si="76"/>
        <v>39</v>
      </c>
      <c r="Z481" s="1">
        <f t="shared" si="76"/>
        <v>38</v>
      </c>
      <c r="AA481" s="1">
        <f t="shared" si="76"/>
        <v>15</v>
      </c>
      <c r="AB481" s="1">
        <f t="shared" si="76"/>
        <v>16</v>
      </c>
      <c r="AC481" s="1">
        <f t="shared" si="76"/>
        <v>25</v>
      </c>
      <c r="AD481" s="1">
        <f t="shared" si="76"/>
        <v>98</v>
      </c>
      <c r="AE481" s="1">
        <f t="shared" si="76"/>
        <v>0</v>
      </c>
      <c r="AF481" s="1">
        <f t="shared" si="76"/>
        <v>13</v>
      </c>
      <c r="AG481" s="1">
        <f t="shared" si="76"/>
        <v>28</v>
      </c>
      <c r="AH481" s="1">
        <f t="shared" si="76"/>
        <v>5</v>
      </c>
      <c r="AI481" s="1">
        <f t="shared" si="76"/>
        <v>14</v>
      </c>
      <c r="AJ481" s="1">
        <f t="shared" si="76"/>
        <v>6</v>
      </c>
      <c r="AK481" s="1">
        <f t="shared" si="76"/>
        <v>7</v>
      </c>
      <c r="AL481" s="1">
        <f t="shared" si="76"/>
        <v>12</v>
      </c>
      <c r="AM481" s="1">
        <f t="shared" si="76"/>
        <v>4</v>
      </c>
      <c r="AN481" s="1">
        <f t="shared" si="76"/>
        <v>9</v>
      </c>
      <c r="AO481" s="1">
        <f t="shared" si="76"/>
        <v>4</v>
      </c>
      <c r="AP481" s="1">
        <f t="shared" si="76"/>
        <v>0</v>
      </c>
      <c r="AQ481" s="1">
        <f t="shared" si="76"/>
        <v>20</v>
      </c>
      <c r="AR481" s="1">
        <f t="shared" si="76"/>
        <v>9</v>
      </c>
      <c r="AS481" s="1">
        <f t="shared" si="76"/>
        <v>15</v>
      </c>
      <c r="AT481" s="1">
        <f t="shared" si="76"/>
        <v>5</v>
      </c>
      <c r="AU481" s="1">
        <f t="shared" si="76"/>
        <v>21</v>
      </c>
      <c r="AV481" s="1">
        <f t="shared" si="76"/>
        <v>4</v>
      </c>
      <c r="AW481" s="1">
        <f t="shared" si="76"/>
        <v>5</v>
      </c>
      <c r="AX481" s="1">
        <f t="shared" si="76"/>
        <v>3</v>
      </c>
      <c r="AY481" s="1">
        <f t="shared" si="76"/>
        <v>9</v>
      </c>
      <c r="AZ481" s="1">
        <f t="shared" si="76"/>
        <v>49</v>
      </c>
      <c r="BA481" s="1">
        <f t="shared" si="76"/>
        <v>5</v>
      </c>
      <c r="BB481" s="1">
        <f t="shared" si="76"/>
        <v>0</v>
      </c>
      <c r="BC481" s="1">
        <f t="shared" si="76"/>
        <v>1</v>
      </c>
      <c r="BD481" s="1">
        <f t="shared" si="76"/>
        <v>0</v>
      </c>
      <c r="BE481" s="1">
        <f t="shared" si="76"/>
        <v>0</v>
      </c>
      <c r="BF481" s="1">
        <f t="shared" si="76"/>
        <v>5</v>
      </c>
      <c r="BG481" s="1">
        <f t="shared" si="76"/>
        <v>6</v>
      </c>
      <c r="BH481" s="1">
        <f t="shared" si="76"/>
        <v>8</v>
      </c>
      <c r="BI481" s="1">
        <f t="shared" si="76"/>
        <v>3</v>
      </c>
      <c r="BJ481" s="1">
        <f t="shared" si="76"/>
        <v>1</v>
      </c>
      <c r="BK481" s="1">
        <f t="shared" si="76"/>
        <v>2</v>
      </c>
      <c r="BL481" s="1">
        <f t="shared" si="76"/>
        <v>0</v>
      </c>
      <c r="BM481" s="1">
        <f t="shared" si="76"/>
        <v>5</v>
      </c>
      <c r="BN481" s="1">
        <f t="shared" si="76"/>
        <v>4</v>
      </c>
      <c r="BO481" s="1">
        <f t="shared" si="76"/>
        <v>4</v>
      </c>
      <c r="BP481" s="1">
        <f t="shared" si="76"/>
        <v>5</v>
      </c>
      <c r="BQ481" s="1">
        <f t="shared" ref="BQ481:EB481" si="77">BQ484+BQ487+BQ490+BQ493+BQ496</f>
        <v>3</v>
      </c>
      <c r="BR481" s="1">
        <f t="shared" si="77"/>
        <v>2</v>
      </c>
      <c r="BS481" s="1">
        <f t="shared" si="77"/>
        <v>0</v>
      </c>
      <c r="BT481" s="1">
        <f t="shared" si="77"/>
        <v>1</v>
      </c>
      <c r="BU481" s="1">
        <f t="shared" si="77"/>
        <v>2</v>
      </c>
      <c r="BV481" s="1">
        <f t="shared" si="77"/>
        <v>5</v>
      </c>
      <c r="BW481" s="1">
        <f t="shared" si="77"/>
        <v>0</v>
      </c>
      <c r="BX481" s="1">
        <f t="shared" si="77"/>
        <v>0</v>
      </c>
      <c r="BY481" s="1">
        <f t="shared" si="77"/>
        <v>0</v>
      </c>
      <c r="BZ481" s="1">
        <f t="shared" si="77"/>
        <v>0</v>
      </c>
      <c r="CA481" s="1">
        <f t="shared" si="77"/>
        <v>1</v>
      </c>
      <c r="CB481" s="1">
        <f t="shared" si="77"/>
        <v>0</v>
      </c>
      <c r="CC481" s="1">
        <f t="shared" si="77"/>
        <v>7</v>
      </c>
      <c r="CD481" s="1">
        <f t="shared" si="77"/>
        <v>4</v>
      </c>
      <c r="CE481" s="1">
        <f t="shared" si="77"/>
        <v>1</v>
      </c>
      <c r="CF481" s="1">
        <f t="shared" si="77"/>
        <v>2</v>
      </c>
      <c r="CG481" s="1">
        <f t="shared" si="77"/>
        <v>0</v>
      </c>
      <c r="CH481" s="1">
        <f t="shared" si="77"/>
        <v>1</v>
      </c>
      <c r="CI481" s="1">
        <f t="shared" si="77"/>
        <v>3</v>
      </c>
      <c r="CJ481" s="1">
        <f t="shared" si="77"/>
        <v>0</v>
      </c>
      <c r="CK481" s="1">
        <f t="shared" si="77"/>
        <v>1</v>
      </c>
      <c r="CL481" s="1">
        <f t="shared" si="77"/>
        <v>1</v>
      </c>
      <c r="CM481" s="1">
        <f t="shared" si="77"/>
        <v>0</v>
      </c>
      <c r="CN481" s="1">
        <f t="shared" si="77"/>
        <v>0</v>
      </c>
      <c r="CO481" s="1">
        <f t="shared" si="77"/>
        <v>0</v>
      </c>
      <c r="CP481" s="1">
        <f t="shared" si="77"/>
        <v>2</v>
      </c>
      <c r="CQ481" s="1">
        <f t="shared" si="77"/>
        <v>5</v>
      </c>
      <c r="CR481" s="1">
        <f t="shared" si="77"/>
        <v>0</v>
      </c>
      <c r="CS481" s="1">
        <f t="shared" si="77"/>
        <v>1</v>
      </c>
      <c r="CT481" s="1">
        <f t="shared" si="77"/>
        <v>0</v>
      </c>
      <c r="CU481" s="1">
        <f t="shared" si="77"/>
        <v>2</v>
      </c>
      <c r="CV481" s="1">
        <f t="shared" si="77"/>
        <v>3</v>
      </c>
      <c r="CW481" s="1">
        <f t="shared" si="77"/>
        <v>5</v>
      </c>
      <c r="CX481" s="1">
        <f t="shared" si="77"/>
        <v>5</v>
      </c>
      <c r="CY481" s="1">
        <f t="shared" si="77"/>
        <v>0</v>
      </c>
      <c r="CZ481" s="1">
        <f t="shared" si="77"/>
        <v>0</v>
      </c>
      <c r="DA481" s="1">
        <f t="shared" si="77"/>
        <v>1</v>
      </c>
      <c r="DB481" s="1">
        <f t="shared" si="77"/>
        <v>0</v>
      </c>
      <c r="DC481" s="1">
        <f t="shared" si="77"/>
        <v>0</v>
      </c>
      <c r="DD481" s="1">
        <f t="shared" si="77"/>
        <v>0</v>
      </c>
      <c r="DE481" s="1">
        <f t="shared" si="77"/>
        <v>0</v>
      </c>
      <c r="DF481" s="1">
        <f t="shared" si="77"/>
        <v>0</v>
      </c>
      <c r="DG481" s="1">
        <f t="shared" si="77"/>
        <v>0</v>
      </c>
      <c r="DH481" s="1">
        <f t="shared" si="77"/>
        <v>0</v>
      </c>
      <c r="DI481" s="1">
        <f t="shared" si="77"/>
        <v>0</v>
      </c>
      <c r="DJ481" s="1">
        <f t="shared" si="77"/>
        <v>4</v>
      </c>
      <c r="DK481" s="1">
        <f t="shared" si="77"/>
        <v>0</v>
      </c>
      <c r="DL481" s="1">
        <f t="shared" si="77"/>
        <v>1</v>
      </c>
      <c r="DM481" s="1">
        <f t="shared" si="77"/>
        <v>1</v>
      </c>
      <c r="DN481" s="1">
        <f t="shared" si="77"/>
        <v>5</v>
      </c>
      <c r="DO481" s="1">
        <f t="shared" si="77"/>
        <v>2</v>
      </c>
      <c r="DP481" s="1">
        <f t="shared" si="77"/>
        <v>0</v>
      </c>
      <c r="DQ481" s="1">
        <f t="shared" si="77"/>
        <v>0</v>
      </c>
      <c r="DR481" s="1">
        <f t="shared" si="77"/>
        <v>1</v>
      </c>
      <c r="DS481" s="1">
        <f t="shared" si="77"/>
        <v>1</v>
      </c>
      <c r="DT481" s="1">
        <f t="shared" si="77"/>
        <v>1</v>
      </c>
      <c r="DU481" s="1">
        <f t="shared" si="77"/>
        <v>0</v>
      </c>
      <c r="DV481" s="1">
        <f t="shared" si="77"/>
        <v>0</v>
      </c>
      <c r="DW481" s="1">
        <f t="shared" si="77"/>
        <v>1</v>
      </c>
      <c r="DX481" s="1">
        <f t="shared" si="77"/>
        <v>0</v>
      </c>
      <c r="DY481" s="1">
        <f t="shared" si="77"/>
        <v>1</v>
      </c>
      <c r="DZ481" s="1">
        <f t="shared" si="77"/>
        <v>0</v>
      </c>
      <c r="EA481" s="1">
        <f t="shared" si="77"/>
        <v>0</v>
      </c>
      <c r="EB481" s="1">
        <f t="shared" si="77"/>
        <v>0</v>
      </c>
      <c r="EC481" s="1">
        <f t="shared" ref="EC481:GN481" si="78">EC484+EC487+EC490+EC493+EC496</f>
        <v>0</v>
      </c>
      <c r="ED481" s="1">
        <f t="shared" si="78"/>
        <v>0</v>
      </c>
      <c r="EE481" s="1">
        <f t="shared" si="78"/>
        <v>1</v>
      </c>
      <c r="EF481" s="1">
        <f t="shared" si="78"/>
        <v>0</v>
      </c>
      <c r="EG481" s="1">
        <f t="shared" si="78"/>
        <v>0</v>
      </c>
      <c r="EH481" s="1">
        <f t="shared" si="78"/>
        <v>1</v>
      </c>
      <c r="EI481" s="1">
        <f t="shared" si="78"/>
        <v>0</v>
      </c>
      <c r="EJ481" s="1">
        <f t="shared" si="78"/>
        <v>0</v>
      </c>
      <c r="EK481" s="1">
        <f t="shared" si="78"/>
        <v>0</v>
      </c>
      <c r="EL481" s="1">
        <f t="shared" si="78"/>
        <v>0</v>
      </c>
      <c r="EM481" s="1">
        <f t="shared" si="78"/>
        <v>0</v>
      </c>
      <c r="EN481" s="1">
        <f t="shared" si="78"/>
        <v>0</v>
      </c>
      <c r="EO481" s="1">
        <f t="shared" si="78"/>
        <v>0</v>
      </c>
      <c r="EP481" s="1">
        <f t="shared" si="78"/>
        <v>0</v>
      </c>
      <c r="EQ481" s="1">
        <f t="shared" si="78"/>
        <v>0</v>
      </c>
      <c r="ER481" s="1">
        <f t="shared" si="78"/>
        <v>0</v>
      </c>
      <c r="ES481" s="1">
        <f t="shared" si="78"/>
        <v>1</v>
      </c>
      <c r="ET481" s="1">
        <f t="shared" si="78"/>
        <v>1</v>
      </c>
      <c r="EU481" s="1">
        <f t="shared" si="78"/>
        <v>0</v>
      </c>
      <c r="EV481" s="1">
        <f t="shared" si="78"/>
        <v>1</v>
      </c>
      <c r="EW481" s="1">
        <f t="shared" si="78"/>
        <v>0</v>
      </c>
      <c r="EX481" s="1">
        <f t="shared" si="78"/>
        <v>0</v>
      </c>
      <c r="EY481" s="1">
        <f t="shared" si="78"/>
        <v>0</v>
      </c>
      <c r="EZ481" s="1">
        <f t="shared" si="78"/>
        <v>0</v>
      </c>
      <c r="FA481" s="1">
        <f t="shared" si="78"/>
        <v>0</v>
      </c>
      <c r="FB481" s="1">
        <f t="shared" si="78"/>
        <v>1</v>
      </c>
      <c r="FC481" s="1">
        <f t="shared" si="78"/>
        <v>0</v>
      </c>
      <c r="FD481" s="1">
        <f t="shared" si="78"/>
        <v>0</v>
      </c>
      <c r="FE481" s="1">
        <f t="shared" si="78"/>
        <v>1</v>
      </c>
      <c r="FF481" s="1">
        <f t="shared" si="78"/>
        <v>0</v>
      </c>
      <c r="FG481" s="1">
        <f t="shared" si="78"/>
        <v>0</v>
      </c>
      <c r="FH481" s="1">
        <f t="shared" si="78"/>
        <v>0</v>
      </c>
      <c r="FI481" s="1">
        <f t="shared" si="78"/>
        <v>0</v>
      </c>
      <c r="FJ481" s="1">
        <f t="shared" si="78"/>
        <v>0</v>
      </c>
      <c r="FK481" s="1">
        <f t="shared" si="78"/>
        <v>0</v>
      </c>
      <c r="FL481" s="1">
        <f t="shared" si="78"/>
        <v>0</v>
      </c>
      <c r="FM481" s="1">
        <f t="shared" si="78"/>
        <v>0</v>
      </c>
      <c r="FN481" s="1">
        <f t="shared" si="78"/>
        <v>0</v>
      </c>
      <c r="FO481" s="1">
        <f t="shared" si="78"/>
        <v>0</v>
      </c>
      <c r="FP481" s="1">
        <f t="shared" si="78"/>
        <v>0</v>
      </c>
      <c r="FQ481" s="1">
        <f t="shared" si="78"/>
        <v>0</v>
      </c>
      <c r="FR481" s="1">
        <f t="shared" si="78"/>
        <v>0</v>
      </c>
      <c r="FS481" s="1">
        <f t="shared" si="78"/>
        <v>0</v>
      </c>
      <c r="FT481" s="1">
        <f t="shared" si="78"/>
        <v>0</v>
      </c>
      <c r="FU481" s="1">
        <f t="shared" si="78"/>
        <v>0</v>
      </c>
      <c r="FV481" s="1">
        <f t="shared" si="78"/>
        <v>0</v>
      </c>
      <c r="FW481" s="1">
        <f t="shared" si="78"/>
        <v>1</v>
      </c>
      <c r="FX481" s="1">
        <f t="shared" si="78"/>
        <v>0</v>
      </c>
      <c r="FY481" s="1">
        <f t="shared" si="78"/>
        <v>0</v>
      </c>
      <c r="FZ481" s="1">
        <f t="shared" si="78"/>
        <v>0</v>
      </c>
      <c r="GA481" s="1">
        <f t="shared" si="78"/>
        <v>0</v>
      </c>
      <c r="GB481" s="1">
        <f t="shared" si="78"/>
        <v>0</v>
      </c>
      <c r="GC481" s="1">
        <f t="shared" si="78"/>
        <v>0</v>
      </c>
      <c r="GD481" s="1">
        <f t="shared" si="78"/>
        <v>0</v>
      </c>
      <c r="GE481" s="1">
        <f t="shared" si="78"/>
        <v>0</v>
      </c>
      <c r="GF481" s="1">
        <f t="shared" si="78"/>
        <v>0</v>
      </c>
      <c r="GG481" s="1">
        <f t="shared" si="78"/>
        <v>0</v>
      </c>
      <c r="GH481" s="1">
        <f t="shared" si="78"/>
        <v>0</v>
      </c>
      <c r="GI481" s="1">
        <f t="shared" si="78"/>
        <v>0</v>
      </c>
      <c r="GJ481" s="1">
        <f t="shared" si="78"/>
        <v>0</v>
      </c>
      <c r="GK481" s="1">
        <f t="shared" si="78"/>
        <v>0</v>
      </c>
      <c r="GL481" s="1">
        <f t="shared" si="78"/>
        <v>0</v>
      </c>
      <c r="GM481" s="1">
        <f t="shared" si="78"/>
        <v>0</v>
      </c>
      <c r="GN481" s="1">
        <f t="shared" si="78"/>
        <v>0</v>
      </c>
      <c r="GO481" s="1">
        <f t="shared" ref="GO481:GS481" si="79">GO484+GO487+GO490+GO493+GO496</f>
        <v>0</v>
      </c>
      <c r="GP481" s="1">
        <f t="shared" si="79"/>
        <v>0</v>
      </c>
      <c r="GQ481" s="1">
        <f t="shared" si="79"/>
        <v>0</v>
      </c>
      <c r="GR481" s="1">
        <f t="shared" si="79"/>
        <v>0</v>
      </c>
      <c r="GS481" s="1">
        <f t="shared" si="79"/>
        <v>1</v>
      </c>
    </row>
    <row r="482" spans="1:201" x14ac:dyDescent="0.3">
      <c r="A482" t="s">
        <v>347</v>
      </c>
      <c r="B482" t="s">
        <v>297</v>
      </c>
      <c r="C482" t="s">
        <v>200</v>
      </c>
      <c r="D482" s="1">
        <v>4880</v>
      </c>
      <c r="E482">
        <v>982</v>
      </c>
      <c r="F482">
        <v>938</v>
      </c>
      <c r="G482">
        <v>756</v>
      </c>
      <c r="H482">
        <v>258</v>
      </c>
      <c r="I482">
        <v>139</v>
      </c>
      <c r="J482">
        <v>56</v>
      </c>
      <c r="K482">
        <v>125</v>
      </c>
      <c r="L482">
        <v>190</v>
      </c>
      <c r="M482">
        <v>180</v>
      </c>
      <c r="N482">
        <v>113</v>
      </c>
      <c r="O482">
        <v>108</v>
      </c>
      <c r="P482">
        <v>76</v>
      </c>
      <c r="Q482">
        <v>76</v>
      </c>
      <c r="R482">
        <v>59</v>
      </c>
      <c r="S482">
        <v>116</v>
      </c>
      <c r="T482">
        <v>109</v>
      </c>
      <c r="U482">
        <v>35</v>
      </c>
      <c r="V482">
        <v>99</v>
      </c>
      <c r="W482">
        <v>79</v>
      </c>
      <c r="X482">
        <v>64</v>
      </c>
      <c r="Y482">
        <v>11</v>
      </c>
      <c r="Z482">
        <v>16</v>
      </c>
      <c r="AA482">
        <v>6</v>
      </c>
      <c r="AB482">
        <v>2</v>
      </c>
      <c r="AC482">
        <v>28</v>
      </c>
      <c r="AD482">
        <v>59</v>
      </c>
      <c r="AE482">
        <v>8</v>
      </c>
      <c r="AF482">
        <v>26</v>
      </c>
      <c r="AG482">
        <v>11</v>
      </c>
      <c r="AH482">
        <v>3</v>
      </c>
      <c r="AI482">
        <v>3</v>
      </c>
      <c r="AJ482">
        <v>0</v>
      </c>
      <c r="AK482">
        <v>8</v>
      </c>
      <c r="AL482">
        <v>5</v>
      </c>
      <c r="AM482">
        <v>0</v>
      </c>
      <c r="AN482">
        <v>3</v>
      </c>
      <c r="AO482">
        <v>2</v>
      </c>
      <c r="AP482">
        <v>0</v>
      </c>
      <c r="AQ482">
        <v>9</v>
      </c>
      <c r="AR482">
        <v>15</v>
      </c>
      <c r="AS482">
        <v>8</v>
      </c>
      <c r="AT482">
        <v>2</v>
      </c>
      <c r="AU482">
        <v>18</v>
      </c>
      <c r="AV482">
        <v>1</v>
      </c>
      <c r="AW482">
        <v>6</v>
      </c>
      <c r="AX482">
        <v>0</v>
      </c>
      <c r="AY482">
        <v>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2</v>
      </c>
      <c r="BG482">
        <v>7</v>
      </c>
      <c r="BH482">
        <v>1</v>
      </c>
      <c r="BI482">
        <v>0</v>
      </c>
      <c r="BJ482">
        <v>1</v>
      </c>
      <c r="BK482">
        <v>0</v>
      </c>
      <c r="BL482">
        <v>1</v>
      </c>
      <c r="BM482">
        <v>2</v>
      </c>
      <c r="BN482">
        <v>1</v>
      </c>
      <c r="BO482">
        <v>0</v>
      </c>
      <c r="BP482">
        <v>1</v>
      </c>
      <c r="BQ482">
        <v>1</v>
      </c>
      <c r="BR482">
        <v>1</v>
      </c>
      <c r="BS482">
        <v>1</v>
      </c>
      <c r="BT482">
        <v>0</v>
      </c>
      <c r="BU482">
        <v>4</v>
      </c>
      <c r="BV482">
        <v>1</v>
      </c>
      <c r="BW482">
        <v>1</v>
      </c>
      <c r="BX482">
        <v>0</v>
      </c>
      <c r="BY482">
        <v>0</v>
      </c>
      <c r="BZ482">
        <v>1</v>
      </c>
      <c r="CA482">
        <v>1</v>
      </c>
      <c r="CB482">
        <v>1</v>
      </c>
      <c r="CC482">
        <v>0</v>
      </c>
      <c r="CD482">
        <v>2</v>
      </c>
      <c r="CE482">
        <v>1</v>
      </c>
      <c r="CF482">
        <v>1</v>
      </c>
      <c r="CG482">
        <v>1</v>
      </c>
      <c r="CH482">
        <v>0</v>
      </c>
      <c r="CI482">
        <v>1</v>
      </c>
      <c r="CJ482">
        <v>24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</v>
      </c>
      <c r="CQ482">
        <v>0</v>
      </c>
      <c r="CR482">
        <v>0</v>
      </c>
      <c r="CS482">
        <v>0</v>
      </c>
      <c r="CT482">
        <v>0</v>
      </c>
      <c r="CU482">
        <v>2</v>
      </c>
      <c r="CV482">
        <v>1</v>
      </c>
      <c r="CW482">
        <v>1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1</v>
      </c>
      <c r="DK482">
        <v>0</v>
      </c>
      <c r="DL482">
        <v>0</v>
      </c>
      <c r="DM482">
        <v>0</v>
      </c>
      <c r="DN482">
        <v>0</v>
      </c>
      <c r="DO482">
        <v>1</v>
      </c>
      <c r="DP482">
        <v>0</v>
      </c>
      <c r="DQ482">
        <v>0</v>
      </c>
      <c r="DR482">
        <v>1</v>
      </c>
      <c r="DS482">
        <v>1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1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1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1</v>
      </c>
    </row>
    <row r="483" spans="1:201" x14ac:dyDescent="0.3">
      <c r="A483" t="s">
        <v>347</v>
      </c>
      <c r="B483" t="s">
        <v>297</v>
      </c>
      <c r="C483" t="s">
        <v>203</v>
      </c>
      <c r="D483" s="1">
        <v>2584</v>
      </c>
      <c r="E483">
        <v>502</v>
      </c>
      <c r="F483">
        <v>519</v>
      </c>
      <c r="G483">
        <v>302</v>
      </c>
      <c r="H483">
        <v>163</v>
      </c>
      <c r="I483">
        <v>109</v>
      </c>
      <c r="J483">
        <v>39</v>
      </c>
      <c r="K483">
        <v>93</v>
      </c>
      <c r="L483">
        <v>154</v>
      </c>
      <c r="M483">
        <v>90</v>
      </c>
      <c r="N483">
        <v>9</v>
      </c>
      <c r="O483">
        <v>52</v>
      </c>
      <c r="P483">
        <v>36</v>
      </c>
      <c r="Q483">
        <v>59</v>
      </c>
      <c r="R483">
        <v>46</v>
      </c>
      <c r="S483">
        <v>20</v>
      </c>
      <c r="T483">
        <v>40</v>
      </c>
      <c r="U483">
        <v>23</v>
      </c>
      <c r="V483">
        <v>64</v>
      </c>
      <c r="W483">
        <v>43</v>
      </c>
      <c r="X483">
        <v>45</v>
      </c>
      <c r="Y483">
        <v>8</v>
      </c>
      <c r="Z483">
        <v>5</v>
      </c>
      <c r="AA483">
        <v>4</v>
      </c>
      <c r="AB483">
        <v>2</v>
      </c>
      <c r="AC483">
        <v>15</v>
      </c>
      <c r="AD483">
        <v>15</v>
      </c>
      <c r="AE483">
        <v>8</v>
      </c>
      <c r="AF483">
        <v>22</v>
      </c>
      <c r="AG483">
        <v>7</v>
      </c>
      <c r="AH483">
        <v>1</v>
      </c>
      <c r="AI483">
        <v>1</v>
      </c>
      <c r="AJ483">
        <v>0</v>
      </c>
      <c r="AK483">
        <v>5</v>
      </c>
      <c r="AL483">
        <v>2</v>
      </c>
      <c r="AM483">
        <v>0</v>
      </c>
      <c r="AN483">
        <v>3</v>
      </c>
      <c r="AO483">
        <v>2</v>
      </c>
      <c r="AP483">
        <v>0</v>
      </c>
      <c r="AQ483">
        <v>3</v>
      </c>
      <c r="AR483">
        <v>11</v>
      </c>
      <c r="AS483">
        <v>1</v>
      </c>
      <c r="AT483">
        <v>1</v>
      </c>
      <c r="AU483">
        <v>7</v>
      </c>
      <c r="AV483">
        <v>1</v>
      </c>
      <c r="AW483">
        <v>4</v>
      </c>
      <c r="AX483">
        <v>0</v>
      </c>
      <c r="AY483">
        <v>2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4</v>
      </c>
      <c r="BH483">
        <v>1</v>
      </c>
      <c r="BI483">
        <v>0</v>
      </c>
      <c r="BJ483">
        <v>1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1</v>
      </c>
      <c r="BQ483">
        <v>0</v>
      </c>
      <c r="BR483">
        <v>1</v>
      </c>
      <c r="BS483">
        <v>1</v>
      </c>
      <c r="BT483">
        <v>0</v>
      </c>
      <c r="BU483">
        <v>2</v>
      </c>
      <c r="BV483">
        <v>0</v>
      </c>
      <c r="BW483">
        <v>1</v>
      </c>
      <c r="BX483">
        <v>0</v>
      </c>
      <c r="BY483">
        <v>0</v>
      </c>
      <c r="BZ483">
        <v>1</v>
      </c>
      <c r="CA483">
        <v>1</v>
      </c>
      <c r="CB483">
        <v>1</v>
      </c>
      <c r="CC483">
        <v>0</v>
      </c>
      <c r="CD483">
        <v>0</v>
      </c>
      <c r="CE483">
        <v>0</v>
      </c>
      <c r="CF483">
        <v>1</v>
      </c>
      <c r="CG483">
        <v>1</v>
      </c>
      <c r="CH483">
        <v>0</v>
      </c>
      <c r="CI483">
        <v>1</v>
      </c>
      <c r="CJ483">
        <v>24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1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1</v>
      </c>
    </row>
    <row r="484" spans="1:201" x14ac:dyDescent="0.3">
      <c r="A484" t="s">
        <v>347</v>
      </c>
      <c r="B484" t="s">
        <v>297</v>
      </c>
      <c r="C484" t="s">
        <v>204</v>
      </c>
      <c r="D484" s="1">
        <v>2296</v>
      </c>
      <c r="E484">
        <v>480</v>
      </c>
      <c r="F484">
        <v>419</v>
      </c>
      <c r="G484">
        <v>454</v>
      </c>
      <c r="H484">
        <v>95</v>
      </c>
      <c r="I484">
        <v>30</v>
      </c>
      <c r="J484">
        <v>17</v>
      </c>
      <c r="K484">
        <v>32</v>
      </c>
      <c r="L484">
        <v>36</v>
      </c>
      <c r="M484">
        <v>90</v>
      </c>
      <c r="N484">
        <v>104</v>
      </c>
      <c r="O484">
        <v>56</v>
      </c>
      <c r="P484">
        <v>40</v>
      </c>
      <c r="Q484">
        <v>17</v>
      </c>
      <c r="R484">
        <v>13</v>
      </c>
      <c r="S484">
        <v>96</v>
      </c>
      <c r="T484">
        <v>69</v>
      </c>
      <c r="U484">
        <v>12</v>
      </c>
      <c r="V484">
        <v>35</v>
      </c>
      <c r="W484">
        <v>36</v>
      </c>
      <c r="X484">
        <v>19</v>
      </c>
      <c r="Y484">
        <v>3</v>
      </c>
      <c r="Z484">
        <v>11</v>
      </c>
      <c r="AA484">
        <v>2</v>
      </c>
      <c r="AB484">
        <v>0</v>
      </c>
      <c r="AC484">
        <v>13</v>
      </c>
      <c r="AD484">
        <v>44</v>
      </c>
      <c r="AE484">
        <v>0</v>
      </c>
      <c r="AF484">
        <v>4</v>
      </c>
      <c r="AG484">
        <v>4</v>
      </c>
      <c r="AH484">
        <v>2</v>
      </c>
      <c r="AI484">
        <v>2</v>
      </c>
      <c r="AJ484">
        <v>0</v>
      </c>
      <c r="AK484">
        <v>3</v>
      </c>
      <c r="AL484">
        <v>3</v>
      </c>
      <c r="AM484">
        <v>0</v>
      </c>
      <c r="AN484">
        <v>0</v>
      </c>
      <c r="AO484">
        <v>0</v>
      </c>
      <c r="AP484">
        <v>0</v>
      </c>
      <c r="AQ484">
        <v>6</v>
      </c>
      <c r="AR484">
        <v>4</v>
      </c>
      <c r="AS484">
        <v>7</v>
      </c>
      <c r="AT484">
        <v>1</v>
      </c>
      <c r="AU484">
        <v>11</v>
      </c>
      <c r="AV484">
        <v>0</v>
      </c>
      <c r="AW484">
        <v>2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2</v>
      </c>
      <c r="BG484">
        <v>3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1</v>
      </c>
      <c r="BO484">
        <v>0</v>
      </c>
      <c r="BP484">
        <v>0</v>
      </c>
      <c r="BQ484">
        <v>1</v>
      </c>
      <c r="BR484">
        <v>0</v>
      </c>
      <c r="BS484">
        <v>0</v>
      </c>
      <c r="BT484">
        <v>0</v>
      </c>
      <c r="BU484">
        <v>2</v>
      </c>
      <c r="BV484">
        <v>1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2</v>
      </c>
      <c r="CE484">
        <v>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2</v>
      </c>
      <c r="CV484">
        <v>1</v>
      </c>
      <c r="CW484">
        <v>1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1</v>
      </c>
      <c r="DP484">
        <v>0</v>
      </c>
      <c r="DQ484">
        <v>0</v>
      </c>
      <c r="DR484">
        <v>1</v>
      </c>
      <c r="DS484">
        <v>1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1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1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</row>
    <row r="485" spans="1:201" x14ac:dyDescent="0.3">
      <c r="A485" t="s">
        <v>347</v>
      </c>
      <c r="B485" t="s">
        <v>298</v>
      </c>
      <c r="C485" t="s">
        <v>200</v>
      </c>
      <c r="D485" s="1">
        <v>11114</v>
      </c>
      <c r="E485" s="1">
        <v>3298</v>
      </c>
      <c r="F485">
        <v>548</v>
      </c>
      <c r="G485">
        <v>341</v>
      </c>
      <c r="H485">
        <v>229</v>
      </c>
      <c r="I485" s="1">
        <v>1194</v>
      </c>
      <c r="J485">
        <v>181</v>
      </c>
      <c r="K485">
        <v>666</v>
      </c>
      <c r="L485">
        <v>105</v>
      </c>
      <c r="M485">
        <v>713</v>
      </c>
      <c r="N485">
        <v>554</v>
      </c>
      <c r="O485">
        <v>103</v>
      </c>
      <c r="P485">
        <v>66</v>
      </c>
      <c r="Q485" s="1">
        <v>1449</v>
      </c>
      <c r="R485">
        <v>166</v>
      </c>
      <c r="S485">
        <v>54</v>
      </c>
      <c r="T485">
        <v>450</v>
      </c>
      <c r="U485">
        <v>123</v>
      </c>
      <c r="V485">
        <v>31</v>
      </c>
      <c r="W485">
        <v>22</v>
      </c>
      <c r="X485">
        <v>116</v>
      </c>
      <c r="Y485">
        <v>4</v>
      </c>
      <c r="Z485">
        <v>37</v>
      </c>
      <c r="AA485">
        <v>39</v>
      </c>
      <c r="AB485">
        <v>22</v>
      </c>
      <c r="AC485">
        <v>46</v>
      </c>
      <c r="AD485">
        <v>24</v>
      </c>
      <c r="AE485">
        <v>5</v>
      </c>
      <c r="AF485">
        <v>4</v>
      </c>
      <c r="AG485">
        <v>63</v>
      </c>
      <c r="AH485">
        <v>10</v>
      </c>
      <c r="AI485">
        <v>22</v>
      </c>
      <c r="AJ485">
        <v>7</v>
      </c>
      <c r="AK485">
        <v>3</v>
      </c>
      <c r="AL485">
        <v>13</v>
      </c>
      <c r="AM485">
        <v>1</v>
      </c>
      <c r="AN485">
        <v>13</v>
      </c>
      <c r="AO485">
        <v>14</v>
      </c>
      <c r="AP485">
        <v>0</v>
      </c>
      <c r="AQ485">
        <v>22</v>
      </c>
      <c r="AR485">
        <v>3</v>
      </c>
      <c r="AS485">
        <v>7</v>
      </c>
      <c r="AT485">
        <v>4</v>
      </c>
      <c r="AU485">
        <v>1</v>
      </c>
      <c r="AV485">
        <v>7</v>
      </c>
      <c r="AW485">
        <v>6</v>
      </c>
      <c r="AX485">
        <v>6</v>
      </c>
      <c r="AY485">
        <v>4</v>
      </c>
      <c r="AZ485">
        <v>108</v>
      </c>
      <c r="BA485">
        <v>3</v>
      </c>
      <c r="BB485">
        <v>0</v>
      </c>
      <c r="BC485">
        <v>0</v>
      </c>
      <c r="BD485">
        <v>7</v>
      </c>
      <c r="BE485">
        <v>0</v>
      </c>
      <c r="BF485">
        <v>5</v>
      </c>
      <c r="BG485">
        <v>9</v>
      </c>
      <c r="BH485">
        <v>7</v>
      </c>
      <c r="BI485">
        <v>35</v>
      </c>
      <c r="BJ485">
        <v>1</v>
      </c>
      <c r="BK485">
        <v>6</v>
      </c>
      <c r="BL485">
        <v>0</v>
      </c>
      <c r="BM485">
        <v>4</v>
      </c>
      <c r="BN485">
        <v>2</v>
      </c>
      <c r="BO485">
        <v>1</v>
      </c>
      <c r="BP485">
        <v>1</v>
      </c>
      <c r="BQ485">
        <v>3</v>
      </c>
      <c r="BR485">
        <v>3</v>
      </c>
      <c r="BS485">
        <v>2</v>
      </c>
      <c r="BT485">
        <v>1</v>
      </c>
      <c r="BU485">
        <v>0</v>
      </c>
      <c r="BV485">
        <v>5</v>
      </c>
      <c r="BW485">
        <v>1</v>
      </c>
      <c r="BX485">
        <v>2</v>
      </c>
      <c r="BY485">
        <v>0</v>
      </c>
      <c r="BZ485">
        <v>9</v>
      </c>
      <c r="CA485">
        <v>0</v>
      </c>
      <c r="CB485">
        <v>0</v>
      </c>
      <c r="CC485">
        <v>21</v>
      </c>
      <c r="CD485">
        <v>4</v>
      </c>
      <c r="CE485">
        <v>0</v>
      </c>
      <c r="CF485">
        <v>6</v>
      </c>
      <c r="CG485">
        <v>0</v>
      </c>
      <c r="CH485">
        <v>2</v>
      </c>
      <c r="CI485">
        <v>0</v>
      </c>
      <c r="CJ485">
        <v>0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5</v>
      </c>
      <c r="CQ485">
        <v>18</v>
      </c>
      <c r="CR485">
        <v>0</v>
      </c>
      <c r="CS485">
        <v>2</v>
      </c>
      <c r="CT485">
        <v>0</v>
      </c>
      <c r="CU485">
        <v>0</v>
      </c>
      <c r="CV485">
        <v>0</v>
      </c>
      <c r="CW485">
        <v>7</v>
      </c>
      <c r="CX485">
        <v>6</v>
      </c>
      <c r="CY485">
        <v>0</v>
      </c>
      <c r="CZ485">
        <v>1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10</v>
      </c>
      <c r="DK485">
        <v>0</v>
      </c>
      <c r="DL485">
        <v>0</v>
      </c>
      <c r="DM485">
        <v>1</v>
      </c>
      <c r="DN485">
        <v>9</v>
      </c>
      <c r="DO485">
        <v>0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  <c r="DV485">
        <v>0</v>
      </c>
      <c r="DW485">
        <v>2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1</v>
      </c>
      <c r="EF485">
        <v>0</v>
      </c>
      <c r="EG485">
        <v>0</v>
      </c>
      <c r="EH485">
        <v>1</v>
      </c>
      <c r="EI485">
        <v>0</v>
      </c>
      <c r="EJ485">
        <v>0</v>
      </c>
      <c r="EK485">
        <v>0</v>
      </c>
      <c r="EL485">
        <v>0</v>
      </c>
      <c r="EM485">
        <v>1</v>
      </c>
      <c r="EN485">
        <v>0</v>
      </c>
      <c r="EO485">
        <v>0</v>
      </c>
      <c r="EP485">
        <v>0</v>
      </c>
      <c r="EQ485">
        <v>2</v>
      </c>
      <c r="ER485">
        <v>0</v>
      </c>
      <c r="ES485">
        <v>1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1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</row>
    <row r="486" spans="1:201" x14ac:dyDescent="0.3">
      <c r="A486" t="s">
        <v>347</v>
      </c>
      <c r="B486" t="s">
        <v>298</v>
      </c>
      <c r="C486" t="s">
        <v>203</v>
      </c>
      <c r="D486" s="1">
        <v>9060</v>
      </c>
      <c r="E486" s="1">
        <v>2770</v>
      </c>
      <c r="F486">
        <v>328</v>
      </c>
      <c r="G486">
        <v>108</v>
      </c>
      <c r="H486">
        <v>195</v>
      </c>
      <c r="I486" s="1">
        <v>1077</v>
      </c>
      <c r="J486">
        <v>158</v>
      </c>
      <c r="K486">
        <v>643</v>
      </c>
      <c r="L486">
        <v>94</v>
      </c>
      <c r="M486">
        <v>605</v>
      </c>
      <c r="N486">
        <v>443</v>
      </c>
      <c r="O486">
        <v>72</v>
      </c>
      <c r="P486">
        <v>45</v>
      </c>
      <c r="Q486" s="1">
        <v>1333</v>
      </c>
      <c r="R486">
        <v>155</v>
      </c>
      <c r="S486">
        <v>14</v>
      </c>
      <c r="T486">
        <v>348</v>
      </c>
      <c r="U486">
        <v>69</v>
      </c>
      <c r="V486">
        <v>25</v>
      </c>
      <c r="W486">
        <v>11</v>
      </c>
      <c r="X486">
        <v>73</v>
      </c>
      <c r="Y486">
        <v>4</v>
      </c>
      <c r="Z486">
        <v>24</v>
      </c>
      <c r="AA486">
        <v>30</v>
      </c>
      <c r="AB486">
        <v>13</v>
      </c>
      <c r="AC486">
        <v>40</v>
      </c>
      <c r="AD486">
        <v>5</v>
      </c>
      <c r="AE486">
        <v>5</v>
      </c>
      <c r="AF486">
        <v>3</v>
      </c>
      <c r="AG486">
        <v>47</v>
      </c>
      <c r="AH486">
        <v>10</v>
      </c>
      <c r="AI486">
        <v>14</v>
      </c>
      <c r="AJ486">
        <v>5</v>
      </c>
      <c r="AK486">
        <v>1</v>
      </c>
      <c r="AL486">
        <v>10</v>
      </c>
      <c r="AM486">
        <v>0</v>
      </c>
      <c r="AN486">
        <v>8</v>
      </c>
      <c r="AO486">
        <v>13</v>
      </c>
      <c r="AP486">
        <v>0</v>
      </c>
      <c r="AQ486">
        <v>14</v>
      </c>
      <c r="AR486">
        <v>3</v>
      </c>
      <c r="AS486">
        <v>4</v>
      </c>
      <c r="AT486">
        <v>4</v>
      </c>
      <c r="AU486">
        <v>1</v>
      </c>
      <c r="AV486">
        <v>5</v>
      </c>
      <c r="AW486">
        <v>3</v>
      </c>
      <c r="AX486">
        <v>5</v>
      </c>
      <c r="AY486">
        <v>2</v>
      </c>
      <c r="AZ486">
        <v>59</v>
      </c>
      <c r="BA486">
        <v>1</v>
      </c>
      <c r="BB486">
        <v>0</v>
      </c>
      <c r="BC486">
        <v>0</v>
      </c>
      <c r="BD486">
        <v>7</v>
      </c>
      <c r="BE486">
        <v>0</v>
      </c>
      <c r="BF486">
        <v>5</v>
      </c>
      <c r="BG486">
        <v>7</v>
      </c>
      <c r="BH486">
        <v>4</v>
      </c>
      <c r="BI486">
        <v>33</v>
      </c>
      <c r="BJ486">
        <v>1</v>
      </c>
      <c r="BK486">
        <v>6</v>
      </c>
      <c r="BL486">
        <v>0</v>
      </c>
      <c r="BM486">
        <v>4</v>
      </c>
      <c r="BN486">
        <v>0</v>
      </c>
      <c r="BO486">
        <v>1</v>
      </c>
      <c r="BP486">
        <v>1</v>
      </c>
      <c r="BQ486">
        <v>3</v>
      </c>
      <c r="BR486">
        <v>2</v>
      </c>
      <c r="BS486">
        <v>2</v>
      </c>
      <c r="BT486">
        <v>0</v>
      </c>
      <c r="BU486">
        <v>0</v>
      </c>
      <c r="BV486">
        <v>1</v>
      </c>
      <c r="BW486">
        <v>1</v>
      </c>
      <c r="BX486">
        <v>2</v>
      </c>
      <c r="BY486">
        <v>0</v>
      </c>
      <c r="BZ486">
        <v>9</v>
      </c>
      <c r="CA486">
        <v>0</v>
      </c>
      <c r="CB486">
        <v>0</v>
      </c>
      <c r="CC486">
        <v>16</v>
      </c>
      <c r="CD486">
        <v>2</v>
      </c>
      <c r="CE486">
        <v>0</v>
      </c>
      <c r="CF486">
        <v>4</v>
      </c>
      <c r="CG486">
        <v>0</v>
      </c>
      <c r="CH486">
        <v>1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0</v>
      </c>
      <c r="CO486">
        <v>0</v>
      </c>
      <c r="CP486">
        <v>3</v>
      </c>
      <c r="CQ486">
        <v>16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5</v>
      </c>
      <c r="CX486">
        <v>2</v>
      </c>
      <c r="CY486">
        <v>0</v>
      </c>
      <c r="CZ486">
        <v>1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9</v>
      </c>
      <c r="DK486">
        <v>0</v>
      </c>
      <c r="DL486">
        <v>0</v>
      </c>
      <c r="DM486">
        <v>0</v>
      </c>
      <c r="DN486">
        <v>5</v>
      </c>
      <c r="DO486">
        <v>0</v>
      </c>
      <c r="DP486">
        <v>0</v>
      </c>
      <c r="DQ486">
        <v>0</v>
      </c>
      <c r="DR486">
        <v>0</v>
      </c>
      <c r="DS486">
        <v>1</v>
      </c>
      <c r="DT486">
        <v>0</v>
      </c>
      <c r="DU486">
        <v>0</v>
      </c>
      <c r="DV486">
        <v>0</v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1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</v>
      </c>
      <c r="EN486">
        <v>0</v>
      </c>
      <c r="EO486">
        <v>0</v>
      </c>
      <c r="EP486">
        <v>0</v>
      </c>
      <c r="EQ486">
        <v>2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</row>
    <row r="487" spans="1:201" x14ac:dyDescent="0.3">
      <c r="A487" t="s">
        <v>347</v>
      </c>
      <c r="B487" t="s">
        <v>298</v>
      </c>
      <c r="C487" t="s">
        <v>204</v>
      </c>
      <c r="D487" s="1">
        <v>2054</v>
      </c>
      <c r="E487">
        <v>528</v>
      </c>
      <c r="F487">
        <v>220</v>
      </c>
      <c r="G487">
        <v>233</v>
      </c>
      <c r="H487">
        <v>34</v>
      </c>
      <c r="I487">
        <v>117</v>
      </c>
      <c r="J487">
        <v>23</v>
      </c>
      <c r="K487">
        <v>23</v>
      </c>
      <c r="L487">
        <v>11</v>
      </c>
      <c r="M487">
        <v>108</v>
      </c>
      <c r="N487">
        <v>111</v>
      </c>
      <c r="O487">
        <v>31</v>
      </c>
      <c r="P487">
        <v>21</v>
      </c>
      <c r="Q487">
        <v>116</v>
      </c>
      <c r="R487">
        <v>11</v>
      </c>
      <c r="S487">
        <v>40</v>
      </c>
      <c r="T487">
        <v>102</v>
      </c>
      <c r="U487">
        <v>54</v>
      </c>
      <c r="V487">
        <v>6</v>
      </c>
      <c r="W487">
        <v>11</v>
      </c>
      <c r="X487">
        <v>43</v>
      </c>
      <c r="Y487">
        <v>0</v>
      </c>
      <c r="Z487">
        <v>13</v>
      </c>
      <c r="AA487">
        <v>9</v>
      </c>
      <c r="AB487">
        <v>9</v>
      </c>
      <c r="AC487">
        <v>6</v>
      </c>
      <c r="AD487">
        <v>19</v>
      </c>
      <c r="AE487">
        <v>0</v>
      </c>
      <c r="AF487">
        <v>1</v>
      </c>
      <c r="AG487">
        <v>16</v>
      </c>
      <c r="AH487">
        <v>0</v>
      </c>
      <c r="AI487">
        <v>8</v>
      </c>
      <c r="AJ487">
        <v>2</v>
      </c>
      <c r="AK487">
        <v>2</v>
      </c>
      <c r="AL487">
        <v>3</v>
      </c>
      <c r="AM487">
        <v>1</v>
      </c>
      <c r="AN487">
        <v>5</v>
      </c>
      <c r="AO487">
        <v>1</v>
      </c>
      <c r="AP487">
        <v>0</v>
      </c>
      <c r="AQ487">
        <v>8</v>
      </c>
      <c r="AR487">
        <v>0</v>
      </c>
      <c r="AS487">
        <v>3</v>
      </c>
      <c r="AT487">
        <v>0</v>
      </c>
      <c r="AU487">
        <v>0</v>
      </c>
      <c r="AV487">
        <v>2</v>
      </c>
      <c r="AW487">
        <v>3</v>
      </c>
      <c r="AX487">
        <v>1</v>
      </c>
      <c r="AY487">
        <v>2</v>
      </c>
      <c r="AZ487">
        <v>49</v>
      </c>
      <c r="BA487">
        <v>2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</v>
      </c>
      <c r="BH487">
        <v>3</v>
      </c>
      <c r="BI487">
        <v>2</v>
      </c>
      <c r="BJ487">
        <v>0</v>
      </c>
      <c r="BK487">
        <v>0</v>
      </c>
      <c r="BL487">
        <v>0</v>
      </c>
      <c r="BM487">
        <v>0</v>
      </c>
      <c r="BN487">
        <v>2</v>
      </c>
      <c r="BO487">
        <v>0</v>
      </c>
      <c r="BP487">
        <v>0</v>
      </c>
      <c r="BQ487">
        <v>0</v>
      </c>
      <c r="BR487">
        <v>1</v>
      </c>
      <c r="BS487">
        <v>0</v>
      </c>
      <c r="BT487">
        <v>1</v>
      </c>
      <c r="BU487">
        <v>0</v>
      </c>
      <c r="BV487">
        <v>4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5</v>
      </c>
      <c r="CD487">
        <v>2</v>
      </c>
      <c r="CE487">
        <v>0</v>
      </c>
      <c r="CF487">
        <v>2</v>
      </c>
      <c r="CG487">
        <v>0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2</v>
      </c>
      <c r="CQ487">
        <v>2</v>
      </c>
      <c r="CR487">
        <v>0</v>
      </c>
      <c r="CS487">
        <v>1</v>
      </c>
      <c r="CT487">
        <v>0</v>
      </c>
      <c r="CU487">
        <v>0</v>
      </c>
      <c r="CV487">
        <v>0</v>
      </c>
      <c r="CW487">
        <v>2</v>
      </c>
      <c r="CX487">
        <v>4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1</v>
      </c>
      <c r="DK487">
        <v>0</v>
      </c>
      <c r="DL487">
        <v>0</v>
      </c>
      <c r="DM487">
        <v>1</v>
      </c>
      <c r="DN487">
        <v>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1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1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1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1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</row>
    <row r="488" spans="1:201" x14ac:dyDescent="0.3">
      <c r="A488" t="s">
        <v>347</v>
      </c>
      <c r="B488" t="s">
        <v>299</v>
      </c>
      <c r="C488" t="s">
        <v>200</v>
      </c>
      <c r="D488" s="1">
        <v>2987</v>
      </c>
      <c r="E488">
        <v>804</v>
      </c>
      <c r="F488">
        <v>325</v>
      </c>
      <c r="G488">
        <v>257</v>
      </c>
      <c r="H488">
        <v>146</v>
      </c>
      <c r="I488">
        <v>82</v>
      </c>
      <c r="J488">
        <v>100</v>
      </c>
      <c r="K488">
        <v>304</v>
      </c>
      <c r="L488">
        <v>166</v>
      </c>
      <c r="M488">
        <v>168</v>
      </c>
      <c r="N488">
        <v>97</v>
      </c>
      <c r="O488">
        <v>14</v>
      </c>
      <c r="P488">
        <v>21</v>
      </c>
      <c r="Q488">
        <v>214</v>
      </c>
      <c r="R488">
        <v>40</v>
      </c>
      <c r="S488">
        <v>57</v>
      </c>
      <c r="T488">
        <v>17</v>
      </c>
      <c r="U488">
        <v>14</v>
      </c>
      <c r="V488">
        <v>29</v>
      </c>
      <c r="W488">
        <v>7</v>
      </c>
      <c r="X488">
        <v>4</v>
      </c>
      <c r="Y488">
        <v>7</v>
      </c>
      <c r="Z488">
        <v>2</v>
      </c>
      <c r="AA488">
        <v>0</v>
      </c>
      <c r="AB488">
        <v>0</v>
      </c>
      <c r="AC488">
        <v>8</v>
      </c>
      <c r="AD488">
        <v>23</v>
      </c>
      <c r="AE488">
        <v>9</v>
      </c>
      <c r="AF488">
        <v>5</v>
      </c>
      <c r="AG488">
        <v>0</v>
      </c>
      <c r="AH488">
        <v>3</v>
      </c>
      <c r="AI488">
        <v>1</v>
      </c>
      <c r="AJ488">
        <v>2</v>
      </c>
      <c r="AK488">
        <v>0</v>
      </c>
      <c r="AL488">
        <v>2</v>
      </c>
      <c r="AM488">
        <v>1</v>
      </c>
      <c r="AN488">
        <v>3</v>
      </c>
      <c r="AO488">
        <v>0</v>
      </c>
      <c r="AP488">
        <v>0</v>
      </c>
      <c r="AQ488">
        <v>4</v>
      </c>
      <c r="AR488">
        <v>1</v>
      </c>
      <c r="AS488">
        <v>0</v>
      </c>
      <c r="AT488">
        <v>3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3</v>
      </c>
      <c r="BG488">
        <v>3</v>
      </c>
      <c r="BH488">
        <v>0</v>
      </c>
      <c r="BI488">
        <v>5</v>
      </c>
      <c r="BJ488">
        <v>0</v>
      </c>
      <c r="BK488">
        <v>1</v>
      </c>
      <c r="BL488">
        <v>0</v>
      </c>
      <c r="BM488">
        <v>16</v>
      </c>
      <c r="BN488">
        <v>0</v>
      </c>
      <c r="BO488">
        <v>5</v>
      </c>
      <c r="BP488">
        <v>1</v>
      </c>
      <c r="BQ488">
        <v>1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2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3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2</v>
      </c>
      <c r="CX488">
        <v>2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1</v>
      </c>
      <c r="DF488">
        <v>0</v>
      </c>
      <c r="DG488">
        <v>0</v>
      </c>
      <c r="DH488">
        <v>0</v>
      </c>
      <c r="DI488">
        <v>0</v>
      </c>
      <c r="DJ488">
        <v>1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</row>
    <row r="489" spans="1:201" x14ac:dyDescent="0.3">
      <c r="A489" t="s">
        <v>347</v>
      </c>
      <c r="B489" t="s">
        <v>299</v>
      </c>
      <c r="C489" t="s">
        <v>203</v>
      </c>
      <c r="D489" s="1">
        <v>1873</v>
      </c>
      <c r="E489">
        <v>465</v>
      </c>
      <c r="F489">
        <v>178</v>
      </c>
      <c r="G489">
        <v>73</v>
      </c>
      <c r="H489">
        <v>120</v>
      </c>
      <c r="I489">
        <v>57</v>
      </c>
      <c r="J489">
        <v>70</v>
      </c>
      <c r="K489">
        <v>291</v>
      </c>
      <c r="L489">
        <v>163</v>
      </c>
      <c r="M489">
        <v>76</v>
      </c>
      <c r="N489">
        <v>30</v>
      </c>
      <c r="O489">
        <v>6</v>
      </c>
      <c r="P489">
        <v>10</v>
      </c>
      <c r="Q489">
        <v>184</v>
      </c>
      <c r="R489">
        <v>36</v>
      </c>
      <c r="S489">
        <v>2</v>
      </c>
      <c r="T489">
        <v>7</v>
      </c>
      <c r="U489">
        <v>4</v>
      </c>
      <c r="V489">
        <v>27</v>
      </c>
      <c r="W489">
        <v>1</v>
      </c>
      <c r="X489">
        <v>2</v>
      </c>
      <c r="Y489">
        <v>5</v>
      </c>
      <c r="Z489">
        <v>1</v>
      </c>
      <c r="AA489">
        <v>0</v>
      </c>
      <c r="AB489">
        <v>0</v>
      </c>
      <c r="AC489">
        <v>4</v>
      </c>
      <c r="AD489">
        <v>7</v>
      </c>
      <c r="AE489">
        <v>9</v>
      </c>
      <c r="AF489">
        <v>4</v>
      </c>
      <c r="AG489">
        <v>0</v>
      </c>
      <c r="AH489">
        <v>2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3</v>
      </c>
      <c r="AO489">
        <v>0</v>
      </c>
      <c r="AP489">
        <v>0</v>
      </c>
      <c r="AQ489">
        <v>1</v>
      </c>
      <c r="AR489">
        <v>1</v>
      </c>
      <c r="AS489">
        <v>0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3</v>
      </c>
      <c r="BG489">
        <v>3</v>
      </c>
      <c r="BH489">
        <v>0</v>
      </c>
      <c r="BI489">
        <v>5</v>
      </c>
      <c r="BJ489">
        <v>0</v>
      </c>
      <c r="BK489">
        <v>1</v>
      </c>
      <c r="BL489">
        <v>0</v>
      </c>
      <c r="BM489">
        <v>13</v>
      </c>
      <c r="BN489">
        <v>0</v>
      </c>
      <c r="BO489">
        <v>1</v>
      </c>
      <c r="BP489">
        <v>0</v>
      </c>
      <c r="BQ489">
        <v>1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1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2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1</v>
      </c>
      <c r="DF489">
        <v>0</v>
      </c>
      <c r="DG489">
        <v>0</v>
      </c>
      <c r="DH489">
        <v>0</v>
      </c>
      <c r="DI489">
        <v>0</v>
      </c>
      <c r="DJ489">
        <v>1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</row>
    <row r="490" spans="1:201" x14ac:dyDescent="0.3">
      <c r="A490" t="s">
        <v>347</v>
      </c>
      <c r="B490" t="s">
        <v>299</v>
      </c>
      <c r="C490" t="s">
        <v>204</v>
      </c>
      <c r="D490" s="1">
        <v>1114</v>
      </c>
      <c r="E490">
        <v>339</v>
      </c>
      <c r="F490">
        <v>147</v>
      </c>
      <c r="G490">
        <v>184</v>
      </c>
      <c r="H490">
        <v>26</v>
      </c>
      <c r="I490">
        <v>25</v>
      </c>
      <c r="J490">
        <v>30</v>
      </c>
      <c r="K490">
        <v>13</v>
      </c>
      <c r="L490">
        <v>3</v>
      </c>
      <c r="M490">
        <v>92</v>
      </c>
      <c r="N490">
        <v>67</v>
      </c>
      <c r="O490">
        <v>8</v>
      </c>
      <c r="P490">
        <v>11</v>
      </c>
      <c r="Q490">
        <v>30</v>
      </c>
      <c r="R490">
        <v>4</v>
      </c>
      <c r="S490">
        <v>55</v>
      </c>
      <c r="T490">
        <v>10</v>
      </c>
      <c r="U490">
        <v>10</v>
      </c>
      <c r="V490">
        <v>2</v>
      </c>
      <c r="W490">
        <v>6</v>
      </c>
      <c r="X490">
        <v>2</v>
      </c>
      <c r="Y490">
        <v>2</v>
      </c>
      <c r="Z490">
        <v>1</v>
      </c>
      <c r="AA490">
        <v>0</v>
      </c>
      <c r="AB490">
        <v>0</v>
      </c>
      <c r="AC490">
        <v>4</v>
      </c>
      <c r="AD490">
        <v>16</v>
      </c>
      <c r="AE490">
        <v>0</v>
      </c>
      <c r="AF490">
        <v>1</v>
      </c>
      <c r="AG490">
        <v>0</v>
      </c>
      <c r="AH490">
        <v>1</v>
      </c>
      <c r="AI490">
        <v>0</v>
      </c>
      <c r="AJ490">
        <v>2</v>
      </c>
      <c r="AK490">
        <v>0</v>
      </c>
      <c r="AL490">
        <v>2</v>
      </c>
      <c r="AM490">
        <v>1</v>
      </c>
      <c r="AN490">
        <v>0</v>
      </c>
      <c r="AO490">
        <v>0</v>
      </c>
      <c r="AP490">
        <v>0</v>
      </c>
      <c r="AQ490">
        <v>3</v>
      </c>
      <c r="AR490">
        <v>0</v>
      </c>
      <c r="AS490">
        <v>0</v>
      </c>
      <c r="AT490">
        <v>2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3</v>
      </c>
      <c r="BN490">
        <v>0</v>
      </c>
      <c r="BO490">
        <v>4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2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2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2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</row>
    <row r="491" spans="1:201" x14ac:dyDescent="0.3">
      <c r="A491" t="s">
        <v>347</v>
      </c>
      <c r="B491" t="s">
        <v>348</v>
      </c>
      <c r="C491" t="s">
        <v>200</v>
      </c>
      <c r="D491" s="1">
        <v>9329</v>
      </c>
      <c r="E491" s="1">
        <v>1669</v>
      </c>
      <c r="F491" s="1">
        <v>1510</v>
      </c>
      <c r="G491">
        <v>733</v>
      </c>
      <c r="H491">
        <v>469</v>
      </c>
      <c r="I491">
        <v>417</v>
      </c>
      <c r="J491">
        <v>854</v>
      </c>
      <c r="K491">
        <v>430</v>
      </c>
      <c r="L491">
        <v>496</v>
      </c>
      <c r="M491">
        <v>408</v>
      </c>
      <c r="N491">
        <v>294</v>
      </c>
      <c r="O491">
        <v>62</v>
      </c>
      <c r="P491">
        <v>21</v>
      </c>
      <c r="Q491">
        <v>691</v>
      </c>
      <c r="R491">
        <v>181</v>
      </c>
      <c r="S491">
        <v>68</v>
      </c>
      <c r="T491">
        <v>103</v>
      </c>
      <c r="U491">
        <v>139</v>
      </c>
      <c r="V491">
        <v>139</v>
      </c>
      <c r="W491">
        <v>15</v>
      </c>
      <c r="X491">
        <v>151</v>
      </c>
      <c r="Y491">
        <v>72</v>
      </c>
      <c r="Z491">
        <v>32</v>
      </c>
      <c r="AA491">
        <v>16</v>
      </c>
      <c r="AB491">
        <v>10</v>
      </c>
      <c r="AC491">
        <v>11</v>
      </c>
      <c r="AD491">
        <v>11</v>
      </c>
      <c r="AE491">
        <v>23</v>
      </c>
      <c r="AF491">
        <v>11</v>
      </c>
      <c r="AG491">
        <v>36</v>
      </c>
      <c r="AH491">
        <v>10</v>
      </c>
      <c r="AI491">
        <v>11</v>
      </c>
      <c r="AJ491">
        <v>4</v>
      </c>
      <c r="AK491">
        <v>4</v>
      </c>
      <c r="AL491">
        <v>1</v>
      </c>
      <c r="AM491">
        <v>2</v>
      </c>
      <c r="AN491">
        <v>6</v>
      </c>
      <c r="AO491">
        <v>15</v>
      </c>
      <c r="AP491">
        <v>0</v>
      </c>
      <c r="AQ491">
        <v>5</v>
      </c>
      <c r="AR491">
        <v>12</v>
      </c>
      <c r="AS491">
        <v>4</v>
      </c>
      <c r="AT491">
        <v>2</v>
      </c>
      <c r="AU491">
        <v>21</v>
      </c>
      <c r="AV491">
        <v>6</v>
      </c>
      <c r="AW491">
        <v>2</v>
      </c>
      <c r="AX491">
        <v>6</v>
      </c>
      <c r="AY491">
        <v>4</v>
      </c>
      <c r="AZ491">
        <v>0</v>
      </c>
      <c r="BA491">
        <v>2</v>
      </c>
      <c r="BB491">
        <v>0</v>
      </c>
      <c r="BC491">
        <v>4</v>
      </c>
      <c r="BD491">
        <v>3</v>
      </c>
      <c r="BE491">
        <v>0</v>
      </c>
      <c r="BF491">
        <v>15</v>
      </c>
      <c r="BG491">
        <v>1</v>
      </c>
      <c r="BH491">
        <v>22</v>
      </c>
      <c r="BI491">
        <v>10</v>
      </c>
      <c r="BJ491">
        <v>6</v>
      </c>
      <c r="BK491">
        <v>27</v>
      </c>
      <c r="BL491">
        <v>2</v>
      </c>
      <c r="BM491">
        <v>2</v>
      </c>
      <c r="BN491">
        <v>0</v>
      </c>
      <c r="BO491">
        <v>0</v>
      </c>
      <c r="BP491">
        <v>5</v>
      </c>
      <c r="BQ491">
        <v>5</v>
      </c>
      <c r="BR491">
        <v>3</v>
      </c>
      <c r="BS491">
        <v>0</v>
      </c>
      <c r="BT491">
        <v>2</v>
      </c>
      <c r="BU491">
        <v>1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2</v>
      </c>
      <c r="CD491">
        <v>1</v>
      </c>
      <c r="CE491">
        <v>0</v>
      </c>
      <c r="CF491">
        <v>0</v>
      </c>
      <c r="CG491">
        <v>0</v>
      </c>
      <c r="CH491">
        <v>0</v>
      </c>
      <c r="CI491">
        <v>4</v>
      </c>
      <c r="CJ491">
        <v>0</v>
      </c>
      <c r="CK491">
        <v>2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1</v>
      </c>
      <c r="CR491">
        <v>0</v>
      </c>
      <c r="CS491">
        <v>0</v>
      </c>
      <c r="CT491">
        <v>5</v>
      </c>
      <c r="CU491">
        <v>0</v>
      </c>
      <c r="CV491">
        <v>4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1</v>
      </c>
      <c r="DH491">
        <v>0</v>
      </c>
      <c r="DI491">
        <v>0</v>
      </c>
      <c r="DJ491">
        <v>4</v>
      </c>
      <c r="DK491">
        <v>0</v>
      </c>
      <c r="DL491">
        <v>1</v>
      </c>
      <c r="DM491">
        <v>0</v>
      </c>
      <c r="DN491">
        <v>1</v>
      </c>
      <c r="DO491">
        <v>0</v>
      </c>
      <c r="DP491">
        <v>1</v>
      </c>
      <c r="DQ491">
        <v>0</v>
      </c>
      <c r="DR491">
        <v>0</v>
      </c>
      <c r="DS491">
        <v>0</v>
      </c>
      <c r="DT491">
        <v>1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1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2</v>
      </c>
    </row>
    <row r="492" spans="1:201" x14ac:dyDescent="0.3">
      <c r="A492" t="s">
        <v>347</v>
      </c>
      <c r="B492" t="s">
        <v>348</v>
      </c>
      <c r="C492" t="s">
        <v>203</v>
      </c>
      <c r="D492" s="1">
        <v>6814</v>
      </c>
      <c r="E492" s="1">
        <v>1187</v>
      </c>
      <c r="F492">
        <v>905</v>
      </c>
      <c r="G492">
        <v>239</v>
      </c>
      <c r="H492">
        <v>438</v>
      </c>
      <c r="I492">
        <v>357</v>
      </c>
      <c r="J492">
        <v>746</v>
      </c>
      <c r="K492">
        <v>394</v>
      </c>
      <c r="L492">
        <v>477</v>
      </c>
      <c r="M492">
        <v>317</v>
      </c>
      <c r="N492">
        <v>195</v>
      </c>
      <c r="O492">
        <v>39</v>
      </c>
      <c r="P492">
        <v>15</v>
      </c>
      <c r="Q492">
        <v>627</v>
      </c>
      <c r="R492">
        <v>162</v>
      </c>
      <c r="S492">
        <v>4</v>
      </c>
      <c r="T492">
        <v>73</v>
      </c>
      <c r="U492">
        <v>86</v>
      </c>
      <c r="V492">
        <v>122</v>
      </c>
      <c r="W492">
        <v>7</v>
      </c>
      <c r="X492">
        <v>90</v>
      </c>
      <c r="Y492">
        <v>42</v>
      </c>
      <c r="Z492">
        <v>20</v>
      </c>
      <c r="AA492">
        <v>12</v>
      </c>
      <c r="AB492">
        <v>6</v>
      </c>
      <c r="AC492">
        <v>11</v>
      </c>
      <c r="AD492">
        <v>3</v>
      </c>
      <c r="AE492">
        <v>23</v>
      </c>
      <c r="AF492">
        <v>6</v>
      </c>
      <c r="AG492">
        <v>28</v>
      </c>
      <c r="AH492">
        <v>8</v>
      </c>
      <c r="AI492">
        <v>8</v>
      </c>
      <c r="AJ492">
        <v>2</v>
      </c>
      <c r="AK492">
        <v>2</v>
      </c>
      <c r="AL492">
        <v>0</v>
      </c>
      <c r="AM492">
        <v>1</v>
      </c>
      <c r="AN492">
        <v>4</v>
      </c>
      <c r="AO492">
        <v>12</v>
      </c>
      <c r="AP492">
        <v>0</v>
      </c>
      <c r="AQ492">
        <v>4</v>
      </c>
      <c r="AR492">
        <v>8</v>
      </c>
      <c r="AS492">
        <v>1</v>
      </c>
      <c r="AT492">
        <v>2</v>
      </c>
      <c r="AU492">
        <v>12</v>
      </c>
      <c r="AV492">
        <v>4</v>
      </c>
      <c r="AW492">
        <v>2</v>
      </c>
      <c r="AX492">
        <v>4</v>
      </c>
      <c r="AY492">
        <v>1</v>
      </c>
      <c r="AZ492">
        <v>0</v>
      </c>
      <c r="BA492">
        <v>0</v>
      </c>
      <c r="BB492">
        <v>0</v>
      </c>
      <c r="BC492">
        <v>3</v>
      </c>
      <c r="BD492">
        <v>3</v>
      </c>
      <c r="BE492">
        <v>0</v>
      </c>
      <c r="BF492">
        <v>12</v>
      </c>
      <c r="BG492">
        <v>1</v>
      </c>
      <c r="BH492">
        <v>18</v>
      </c>
      <c r="BI492">
        <v>9</v>
      </c>
      <c r="BJ492">
        <v>5</v>
      </c>
      <c r="BK492">
        <v>25</v>
      </c>
      <c r="BL492">
        <v>2</v>
      </c>
      <c r="BM492">
        <v>2</v>
      </c>
      <c r="BN492">
        <v>0</v>
      </c>
      <c r="BO492">
        <v>0</v>
      </c>
      <c r="BP492">
        <v>1</v>
      </c>
      <c r="BQ492">
        <v>4</v>
      </c>
      <c r="BR492">
        <v>2</v>
      </c>
      <c r="BS492">
        <v>0</v>
      </c>
      <c r="BT492">
        <v>2</v>
      </c>
      <c r="BU492">
        <v>1</v>
      </c>
      <c r="BV492">
        <v>1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1</v>
      </c>
      <c r="CE492">
        <v>0</v>
      </c>
      <c r="CF492">
        <v>0</v>
      </c>
      <c r="CG492">
        <v>0</v>
      </c>
      <c r="CH492">
        <v>0</v>
      </c>
      <c r="CI492">
        <v>3</v>
      </c>
      <c r="CJ492">
        <v>0</v>
      </c>
      <c r="CK492">
        <v>1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5</v>
      </c>
      <c r="CU492">
        <v>0</v>
      </c>
      <c r="CV492">
        <v>2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1</v>
      </c>
      <c r="DH492">
        <v>0</v>
      </c>
      <c r="DI492">
        <v>0</v>
      </c>
      <c r="DJ492">
        <v>1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1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1</v>
      </c>
    </row>
    <row r="493" spans="1:201" x14ac:dyDescent="0.3">
      <c r="A493" t="s">
        <v>347</v>
      </c>
      <c r="B493" t="s">
        <v>348</v>
      </c>
      <c r="C493" t="s">
        <v>204</v>
      </c>
      <c r="D493" s="1">
        <v>2515</v>
      </c>
      <c r="E493">
        <v>482</v>
      </c>
      <c r="F493">
        <v>605</v>
      </c>
      <c r="G493">
        <v>494</v>
      </c>
      <c r="H493">
        <v>31</v>
      </c>
      <c r="I493">
        <v>60</v>
      </c>
      <c r="J493">
        <v>108</v>
      </c>
      <c r="K493">
        <v>36</v>
      </c>
      <c r="L493">
        <v>19</v>
      </c>
      <c r="M493">
        <v>91</v>
      </c>
      <c r="N493">
        <v>99</v>
      </c>
      <c r="O493">
        <v>23</v>
      </c>
      <c r="P493">
        <v>6</v>
      </c>
      <c r="Q493">
        <v>64</v>
      </c>
      <c r="R493">
        <v>19</v>
      </c>
      <c r="S493">
        <v>64</v>
      </c>
      <c r="T493">
        <v>30</v>
      </c>
      <c r="U493">
        <v>53</v>
      </c>
      <c r="V493">
        <v>17</v>
      </c>
      <c r="W493">
        <v>8</v>
      </c>
      <c r="X493">
        <v>61</v>
      </c>
      <c r="Y493">
        <v>30</v>
      </c>
      <c r="Z493">
        <v>12</v>
      </c>
      <c r="AA493">
        <v>4</v>
      </c>
      <c r="AB493">
        <v>4</v>
      </c>
      <c r="AC493">
        <v>0</v>
      </c>
      <c r="AD493">
        <v>8</v>
      </c>
      <c r="AE493">
        <v>0</v>
      </c>
      <c r="AF493">
        <v>5</v>
      </c>
      <c r="AG493">
        <v>8</v>
      </c>
      <c r="AH493">
        <v>2</v>
      </c>
      <c r="AI493">
        <v>3</v>
      </c>
      <c r="AJ493">
        <v>2</v>
      </c>
      <c r="AK493">
        <v>2</v>
      </c>
      <c r="AL493">
        <v>1</v>
      </c>
      <c r="AM493">
        <v>1</v>
      </c>
      <c r="AN493">
        <v>2</v>
      </c>
      <c r="AO493">
        <v>3</v>
      </c>
      <c r="AP493">
        <v>0</v>
      </c>
      <c r="AQ493">
        <v>1</v>
      </c>
      <c r="AR493">
        <v>4</v>
      </c>
      <c r="AS493">
        <v>3</v>
      </c>
      <c r="AT493">
        <v>0</v>
      </c>
      <c r="AU493">
        <v>9</v>
      </c>
      <c r="AV493">
        <v>2</v>
      </c>
      <c r="AW493">
        <v>0</v>
      </c>
      <c r="AX493">
        <v>2</v>
      </c>
      <c r="AY493">
        <v>3</v>
      </c>
      <c r="AZ493">
        <v>0</v>
      </c>
      <c r="BA493">
        <v>2</v>
      </c>
      <c r="BB493">
        <v>0</v>
      </c>
      <c r="BC493">
        <v>1</v>
      </c>
      <c r="BD493">
        <v>0</v>
      </c>
      <c r="BE493">
        <v>0</v>
      </c>
      <c r="BF493">
        <v>3</v>
      </c>
      <c r="BG493">
        <v>0</v>
      </c>
      <c r="BH493">
        <v>4</v>
      </c>
      <c r="BI493">
        <v>1</v>
      </c>
      <c r="BJ493">
        <v>1</v>
      </c>
      <c r="BK493">
        <v>2</v>
      </c>
      <c r="BL493">
        <v>0</v>
      </c>
      <c r="BM493">
        <v>0</v>
      </c>
      <c r="BN493">
        <v>0</v>
      </c>
      <c r="BO493">
        <v>0</v>
      </c>
      <c r="BP493">
        <v>4</v>
      </c>
      <c r="BQ493">
        <v>1</v>
      </c>
      <c r="BR493">
        <v>1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1</v>
      </c>
      <c r="CJ493">
        <v>0</v>
      </c>
      <c r="CK493">
        <v>1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</v>
      </c>
      <c r="CR493">
        <v>0</v>
      </c>
      <c r="CS493">
        <v>0</v>
      </c>
      <c r="CT493">
        <v>0</v>
      </c>
      <c r="CU493">
        <v>0</v>
      </c>
      <c r="CV493">
        <v>2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</v>
      </c>
      <c r="DK493">
        <v>0</v>
      </c>
      <c r="DL493">
        <v>1</v>
      </c>
      <c r="DM493">
        <v>0</v>
      </c>
      <c r="DN493">
        <v>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1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1</v>
      </c>
    </row>
    <row r="494" spans="1:201" x14ac:dyDescent="0.3">
      <c r="A494" t="s">
        <v>347</v>
      </c>
      <c r="B494" t="s">
        <v>306</v>
      </c>
      <c r="C494" t="s">
        <v>200</v>
      </c>
      <c r="D494" s="1">
        <v>1865</v>
      </c>
      <c r="E494">
        <v>416</v>
      </c>
      <c r="F494">
        <v>457</v>
      </c>
      <c r="G494">
        <v>294</v>
      </c>
      <c r="H494">
        <v>33</v>
      </c>
      <c r="I494">
        <v>44</v>
      </c>
      <c r="J494">
        <v>61</v>
      </c>
      <c r="K494">
        <v>38</v>
      </c>
      <c r="L494">
        <v>22</v>
      </c>
      <c r="M494">
        <v>105</v>
      </c>
      <c r="N494">
        <v>49</v>
      </c>
      <c r="O494">
        <v>30</v>
      </c>
      <c r="P494">
        <v>9</v>
      </c>
      <c r="Q494">
        <v>26</v>
      </c>
      <c r="R494">
        <v>1</v>
      </c>
      <c r="S494">
        <v>47</v>
      </c>
      <c r="T494">
        <v>24</v>
      </c>
      <c r="U494">
        <v>10</v>
      </c>
      <c r="V494">
        <v>36</v>
      </c>
      <c r="W494">
        <v>45</v>
      </c>
      <c r="X494">
        <v>7</v>
      </c>
      <c r="Y494">
        <v>4</v>
      </c>
      <c r="Z494">
        <v>6</v>
      </c>
      <c r="AA494">
        <v>0</v>
      </c>
      <c r="AB494">
        <v>6</v>
      </c>
      <c r="AC494">
        <v>10</v>
      </c>
      <c r="AD494">
        <v>21</v>
      </c>
      <c r="AE494">
        <v>1</v>
      </c>
      <c r="AF494">
        <v>4</v>
      </c>
      <c r="AG494">
        <v>1</v>
      </c>
      <c r="AH494">
        <v>0</v>
      </c>
      <c r="AI494">
        <v>10</v>
      </c>
      <c r="AJ494">
        <v>0</v>
      </c>
      <c r="AK494">
        <v>0</v>
      </c>
      <c r="AL494">
        <v>3</v>
      </c>
      <c r="AM494">
        <v>1</v>
      </c>
      <c r="AN494">
        <v>3</v>
      </c>
      <c r="AO494">
        <v>0</v>
      </c>
      <c r="AP494">
        <v>0</v>
      </c>
      <c r="AQ494">
        <v>2</v>
      </c>
      <c r="AR494">
        <v>1</v>
      </c>
      <c r="AS494">
        <v>3</v>
      </c>
      <c r="AT494">
        <v>2</v>
      </c>
      <c r="AU494">
        <v>3</v>
      </c>
      <c r="AV494">
        <v>2</v>
      </c>
      <c r="AW494">
        <v>0</v>
      </c>
      <c r="AX494">
        <v>0</v>
      </c>
      <c r="AY494">
        <v>3</v>
      </c>
      <c r="AZ494">
        <v>0</v>
      </c>
      <c r="BA494">
        <v>1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3</v>
      </c>
      <c r="BH494">
        <v>1</v>
      </c>
      <c r="BI494">
        <v>1</v>
      </c>
      <c r="BJ494">
        <v>0</v>
      </c>
      <c r="BK494">
        <v>1</v>
      </c>
      <c r="BL494">
        <v>0</v>
      </c>
      <c r="BM494">
        <v>0</v>
      </c>
      <c r="BN494">
        <v>1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0</v>
      </c>
      <c r="CC494">
        <v>1</v>
      </c>
      <c r="CD494">
        <v>0</v>
      </c>
      <c r="CE494">
        <v>0</v>
      </c>
      <c r="CF494">
        <v>0</v>
      </c>
      <c r="CG494">
        <v>1</v>
      </c>
      <c r="CH494">
        <v>0</v>
      </c>
      <c r="CI494">
        <v>0</v>
      </c>
      <c r="CJ494">
        <v>0</v>
      </c>
      <c r="CK494">
        <v>0</v>
      </c>
      <c r="CL494">
        <v>2</v>
      </c>
      <c r="CM494">
        <v>1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0</v>
      </c>
      <c r="CZ494">
        <v>0</v>
      </c>
      <c r="DA494">
        <v>1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1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1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1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</row>
    <row r="495" spans="1:201" x14ac:dyDescent="0.3">
      <c r="A495" t="s">
        <v>347</v>
      </c>
      <c r="B495" t="s">
        <v>306</v>
      </c>
      <c r="C495" t="s">
        <v>203</v>
      </c>
      <c r="D495">
        <v>833</v>
      </c>
      <c r="E495">
        <v>161</v>
      </c>
      <c r="F495">
        <v>265</v>
      </c>
      <c r="G495">
        <v>95</v>
      </c>
      <c r="H495">
        <v>22</v>
      </c>
      <c r="I495">
        <v>22</v>
      </c>
      <c r="J495">
        <v>32</v>
      </c>
      <c r="K495">
        <v>35</v>
      </c>
      <c r="L495">
        <v>18</v>
      </c>
      <c r="M495">
        <v>9</v>
      </c>
      <c r="N495">
        <v>8</v>
      </c>
      <c r="O495">
        <v>4</v>
      </c>
      <c r="P495">
        <v>5</v>
      </c>
      <c r="Q495">
        <v>24</v>
      </c>
      <c r="R495">
        <v>1</v>
      </c>
      <c r="S495">
        <v>1</v>
      </c>
      <c r="T495">
        <v>9</v>
      </c>
      <c r="U495">
        <v>5</v>
      </c>
      <c r="V495">
        <v>35</v>
      </c>
      <c r="W495">
        <v>22</v>
      </c>
      <c r="X495">
        <v>4</v>
      </c>
      <c r="Y495">
        <v>0</v>
      </c>
      <c r="Z495">
        <v>5</v>
      </c>
      <c r="AA495">
        <v>0</v>
      </c>
      <c r="AB495">
        <v>3</v>
      </c>
      <c r="AC495">
        <v>8</v>
      </c>
      <c r="AD495">
        <v>10</v>
      </c>
      <c r="AE495">
        <v>1</v>
      </c>
      <c r="AF495">
        <v>2</v>
      </c>
      <c r="AG495">
        <v>1</v>
      </c>
      <c r="AH495">
        <v>0</v>
      </c>
      <c r="AI495">
        <v>9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2</v>
      </c>
      <c r="AV495">
        <v>2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0</v>
      </c>
      <c r="BG495">
        <v>2</v>
      </c>
      <c r="BH495">
        <v>0</v>
      </c>
      <c r="BI495">
        <v>1</v>
      </c>
      <c r="BJ495">
        <v>0</v>
      </c>
      <c r="BK495">
        <v>1</v>
      </c>
      <c r="BL495">
        <v>0</v>
      </c>
      <c r="BM495">
        <v>0</v>
      </c>
      <c r="BN495">
        <v>0</v>
      </c>
      <c r="BO495">
        <v>0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1</v>
      </c>
      <c r="CH495">
        <v>0</v>
      </c>
      <c r="CI495">
        <v>0</v>
      </c>
      <c r="CJ495">
        <v>0</v>
      </c>
      <c r="CK495">
        <v>0</v>
      </c>
      <c r="CL495">
        <v>1</v>
      </c>
      <c r="CM495">
        <v>1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</row>
    <row r="496" spans="1:201" x14ac:dyDescent="0.3">
      <c r="A496" t="s">
        <v>347</v>
      </c>
      <c r="B496" t="s">
        <v>306</v>
      </c>
      <c r="C496" t="s">
        <v>204</v>
      </c>
      <c r="D496" s="1">
        <v>1032</v>
      </c>
      <c r="E496">
        <v>255</v>
      </c>
      <c r="F496">
        <v>192</v>
      </c>
      <c r="G496">
        <v>199</v>
      </c>
      <c r="H496">
        <v>11</v>
      </c>
      <c r="I496">
        <v>22</v>
      </c>
      <c r="J496">
        <v>29</v>
      </c>
      <c r="K496">
        <v>3</v>
      </c>
      <c r="L496">
        <v>4</v>
      </c>
      <c r="M496">
        <v>96</v>
      </c>
      <c r="N496">
        <v>41</v>
      </c>
      <c r="O496">
        <v>26</v>
      </c>
      <c r="P496">
        <v>4</v>
      </c>
      <c r="Q496">
        <v>2</v>
      </c>
      <c r="R496">
        <v>0</v>
      </c>
      <c r="S496">
        <v>46</v>
      </c>
      <c r="T496">
        <v>15</v>
      </c>
      <c r="U496">
        <v>5</v>
      </c>
      <c r="V496">
        <v>1</v>
      </c>
      <c r="W496">
        <v>23</v>
      </c>
      <c r="X496">
        <v>3</v>
      </c>
      <c r="Y496">
        <v>4</v>
      </c>
      <c r="Z496">
        <v>1</v>
      </c>
      <c r="AA496">
        <v>0</v>
      </c>
      <c r="AB496">
        <v>3</v>
      </c>
      <c r="AC496">
        <v>2</v>
      </c>
      <c r="AD496">
        <v>11</v>
      </c>
      <c r="AE496">
        <v>0</v>
      </c>
      <c r="AF496">
        <v>2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3</v>
      </c>
      <c r="AM496">
        <v>1</v>
      </c>
      <c r="AN496">
        <v>2</v>
      </c>
      <c r="AO496">
        <v>0</v>
      </c>
      <c r="AP496">
        <v>0</v>
      </c>
      <c r="AQ496">
        <v>2</v>
      </c>
      <c r="AR496">
        <v>1</v>
      </c>
      <c r="AS496">
        <v>2</v>
      </c>
      <c r="AT496">
        <v>2</v>
      </c>
      <c r="AU496">
        <v>1</v>
      </c>
      <c r="AV496">
        <v>0</v>
      </c>
      <c r="AW496">
        <v>0</v>
      </c>
      <c r="AX496">
        <v>0</v>
      </c>
      <c r="AY496">
        <v>3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0</v>
      </c>
      <c r="BP496">
        <v>0</v>
      </c>
      <c r="BQ496">
        <v>1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0</v>
      </c>
      <c r="CC496">
        <v>1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0</v>
      </c>
      <c r="CZ496">
        <v>0</v>
      </c>
      <c r="DA496">
        <v>1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1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1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1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1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</row>
    <row r="497" spans="1:201" x14ac:dyDescent="0.3">
      <c r="A497" t="s">
        <v>349</v>
      </c>
      <c r="B497" t="s">
        <v>200</v>
      </c>
      <c r="C497" t="s">
        <v>200</v>
      </c>
      <c r="D497" s="1">
        <v>95046</v>
      </c>
      <c r="E497" s="1">
        <v>10102</v>
      </c>
      <c r="F497" s="1">
        <v>21955</v>
      </c>
      <c r="G497" s="1">
        <v>13663</v>
      </c>
      <c r="H497" s="1">
        <v>2289</v>
      </c>
      <c r="I497" s="1">
        <v>4185</v>
      </c>
      <c r="J497" s="1">
        <v>1278</v>
      </c>
      <c r="K497" s="1">
        <v>2618</v>
      </c>
      <c r="L497" s="1">
        <v>5039</v>
      </c>
      <c r="M497" s="1">
        <v>3019</v>
      </c>
      <c r="N497" s="1">
        <v>2406</v>
      </c>
      <c r="O497" s="1">
        <v>3227</v>
      </c>
      <c r="P497" s="1">
        <v>1402</v>
      </c>
      <c r="Q497" s="1">
        <v>1035</v>
      </c>
      <c r="R497" s="1">
        <v>1900</v>
      </c>
      <c r="S497" s="1">
        <v>1591</v>
      </c>
      <c r="T497" s="1">
        <v>2124</v>
      </c>
      <c r="U497" s="1">
        <v>2531</v>
      </c>
      <c r="V497" s="1">
        <v>1645</v>
      </c>
      <c r="W497" s="1">
        <v>2089</v>
      </c>
      <c r="X497">
        <v>482</v>
      </c>
      <c r="Y497">
        <v>273</v>
      </c>
      <c r="Z497" s="1">
        <v>1410</v>
      </c>
      <c r="AA497">
        <v>188</v>
      </c>
      <c r="AB497">
        <v>135</v>
      </c>
      <c r="AC497">
        <v>265</v>
      </c>
      <c r="AD497">
        <v>209</v>
      </c>
      <c r="AE497">
        <v>188</v>
      </c>
      <c r="AF497">
        <v>286</v>
      </c>
      <c r="AG497">
        <v>190</v>
      </c>
      <c r="AH497">
        <v>109</v>
      </c>
      <c r="AI497">
        <v>715</v>
      </c>
      <c r="AJ497">
        <v>372</v>
      </c>
      <c r="AK497">
        <v>98</v>
      </c>
      <c r="AL497">
        <v>283</v>
      </c>
      <c r="AM497">
        <v>142</v>
      </c>
      <c r="AN497">
        <v>139</v>
      </c>
      <c r="AO497">
        <v>513</v>
      </c>
      <c r="AP497">
        <v>290</v>
      </c>
      <c r="AQ497">
        <v>135</v>
      </c>
      <c r="AR497">
        <v>131</v>
      </c>
      <c r="AS497">
        <v>75</v>
      </c>
      <c r="AT497">
        <v>59</v>
      </c>
      <c r="AU497">
        <v>97</v>
      </c>
      <c r="AV497">
        <v>188</v>
      </c>
      <c r="AW497">
        <v>66</v>
      </c>
      <c r="AX497">
        <v>525</v>
      </c>
      <c r="AY497">
        <v>59</v>
      </c>
      <c r="AZ497">
        <v>300</v>
      </c>
      <c r="BA497">
        <v>68</v>
      </c>
      <c r="BB497">
        <v>17</v>
      </c>
      <c r="BC497">
        <v>49</v>
      </c>
      <c r="BD497">
        <v>627</v>
      </c>
      <c r="BE497">
        <v>16</v>
      </c>
      <c r="BF497">
        <v>96</v>
      </c>
      <c r="BG497">
        <v>60</v>
      </c>
      <c r="BH497">
        <v>35</v>
      </c>
      <c r="BI497">
        <v>58</v>
      </c>
      <c r="BJ497">
        <v>90</v>
      </c>
      <c r="BK497">
        <v>10</v>
      </c>
      <c r="BL497">
        <v>55</v>
      </c>
      <c r="BM497">
        <v>17</v>
      </c>
      <c r="BN497">
        <v>42</v>
      </c>
      <c r="BO497">
        <v>412</v>
      </c>
      <c r="BP497">
        <v>22</v>
      </c>
      <c r="BQ497">
        <v>50</v>
      </c>
      <c r="BR497">
        <v>30</v>
      </c>
      <c r="BS497">
        <v>42</v>
      </c>
      <c r="BT497">
        <v>170</v>
      </c>
      <c r="BU497">
        <v>181</v>
      </c>
      <c r="BV497">
        <v>27</v>
      </c>
      <c r="BW497">
        <v>26</v>
      </c>
      <c r="BX497">
        <v>5</v>
      </c>
      <c r="BY497">
        <v>19</v>
      </c>
      <c r="BZ497">
        <v>13</v>
      </c>
      <c r="CA497">
        <v>13</v>
      </c>
      <c r="CB497">
        <v>75</v>
      </c>
      <c r="CC497">
        <v>22</v>
      </c>
      <c r="CD497">
        <v>20</v>
      </c>
      <c r="CE497">
        <v>17</v>
      </c>
      <c r="CF497">
        <v>9</v>
      </c>
      <c r="CG497">
        <v>20</v>
      </c>
      <c r="CH497">
        <v>17</v>
      </c>
      <c r="CI497">
        <v>13</v>
      </c>
      <c r="CJ497">
        <v>8</v>
      </c>
      <c r="CK497">
        <v>18</v>
      </c>
      <c r="CL497">
        <v>11</v>
      </c>
      <c r="CM497">
        <v>12</v>
      </c>
      <c r="CN497">
        <v>2</v>
      </c>
      <c r="CO497">
        <v>30</v>
      </c>
      <c r="CP497">
        <v>19</v>
      </c>
      <c r="CQ497">
        <v>10</v>
      </c>
      <c r="CR497">
        <v>16</v>
      </c>
      <c r="CS497">
        <v>18</v>
      </c>
      <c r="CT497">
        <v>13</v>
      </c>
      <c r="CU497">
        <v>7</v>
      </c>
      <c r="CV497">
        <v>20</v>
      </c>
      <c r="CW497">
        <v>13</v>
      </c>
      <c r="CX497">
        <v>2</v>
      </c>
      <c r="CY497">
        <v>10</v>
      </c>
      <c r="CZ497">
        <v>17</v>
      </c>
      <c r="DA497">
        <v>15</v>
      </c>
      <c r="DB497">
        <v>68</v>
      </c>
      <c r="DC497">
        <v>2</v>
      </c>
      <c r="DD497">
        <v>3</v>
      </c>
      <c r="DE497">
        <v>1</v>
      </c>
      <c r="DF497">
        <v>2</v>
      </c>
      <c r="DG497">
        <v>3</v>
      </c>
      <c r="DH497">
        <v>8</v>
      </c>
      <c r="DI497">
        <v>10</v>
      </c>
      <c r="DJ497">
        <v>3</v>
      </c>
      <c r="DK497">
        <v>1</v>
      </c>
      <c r="DL497">
        <v>3</v>
      </c>
      <c r="DM497">
        <v>5</v>
      </c>
      <c r="DN497">
        <v>3</v>
      </c>
      <c r="DO497">
        <v>10</v>
      </c>
      <c r="DP497">
        <v>4</v>
      </c>
      <c r="DQ497">
        <v>6</v>
      </c>
      <c r="DR497">
        <v>6</v>
      </c>
      <c r="DS497">
        <v>7</v>
      </c>
      <c r="DT497">
        <v>5</v>
      </c>
      <c r="DU497">
        <v>12</v>
      </c>
      <c r="DV497">
        <v>4</v>
      </c>
      <c r="DW497">
        <v>0</v>
      </c>
      <c r="DX497">
        <v>12</v>
      </c>
      <c r="DY497">
        <v>7</v>
      </c>
      <c r="DZ497">
        <v>1</v>
      </c>
      <c r="EA497">
        <v>3</v>
      </c>
      <c r="EB497">
        <v>5</v>
      </c>
      <c r="EC497">
        <v>3</v>
      </c>
      <c r="ED497">
        <v>0</v>
      </c>
      <c r="EE497">
        <v>2</v>
      </c>
      <c r="EF497">
        <v>1</v>
      </c>
      <c r="EG497">
        <v>4</v>
      </c>
      <c r="EH497">
        <v>6</v>
      </c>
      <c r="EI497">
        <v>0</v>
      </c>
      <c r="EJ497">
        <v>2</v>
      </c>
      <c r="EK497">
        <v>4</v>
      </c>
      <c r="EL497">
        <v>0</v>
      </c>
      <c r="EM497">
        <v>9</v>
      </c>
      <c r="EN497">
        <v>4</v>
      </c>
      <c r="EO497">
        <v>9</v>
      </c>
      <c r="EP497">
        <v>4</v>
      </c>
      <c r="EQ497">
        <v>8</v>
      </c>
      <c r="ER497">
        <v>0</v>
      </c>
      <c r="ES497">
        <v>6</v>
      </c>
      <c r="ET497">
        <v>3</v>
      </c>
      <c r="EU497">
        <v>2</v>
      </c>
      <c r="EV497">
        <v>1</v>
      </c>
      <c r="EW497">
        <v>0</v>
      </c>
      <c r="EX497">
        <v>0</v>
      </c>
      <c r="EY497">
        <v>3</v>
      </c>
      <c r="EZ497">
        <v>7</v>
      </c>
      <c r="FA497">
        <v>9</v>
      </c>
      <c r="FB497">
        <v>2</v>
      </c>
      <c r="FC497">
        <v>0</v>
      </c>
      <c r="FD497">
        <v>1</v>
      </c>
      <c r="FE497">
        <v>2</v>
      </c>
      <c r="FF497">
        <v>0</v>
      </c>
      <c r="FG497">
        <v>0</v>
      </c>
      <c r="FH497">
        <v>2</v>
      </c>
      <c r="FI497">
        <v>0</v>
      </c>
      <c r="FJ497">
        <v>7</v>
      </c>
      <c r="FK497">
        <v>1</v>
      </c>
      <c r="FL497">
        <v>0</v>
      </c>
      <c r="FM497">
        <v>5</v>
      </c>
      <c r="FN497">
        <v>0</v>
      </c>
      <c r="FO497">
        <v>2</v>
      </c>
      <c r="FP497">
        <v>2</v>
      </c>
      <c r="FQ497">
        <v>0</v>
      </c>
      <c r="FR497">
        <v>0</v>
      </c>
      <c r="FS497">
        <v>1</v>
      </c>
      <c r="FT497">
        <v>4</v>
      </c>
      <c r="FU497">
        <v>0</v>
      </c>
      <c r="FV497">
        <v>0</v>
      </c>
      <c r="FW497">
        <v>0</v>
      </c>
      <c r="FX497">
        <v>2</v>
      </c>
      <c r="FY497">
        <v>1</v>
      </c>
      <c r="FZ497">
        <v>1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1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27</v>
      </c>
    </row>
    <row r="498" spans="1:201" x14ac:dyDescent="0.3">
      <c r="A498" t="s">
        <v>349</v>
      </c>
      <c r="B498" t="s">
        <v>200</v>
      </c>
      <c r="C498" t="s">
        <v>203</v>
      </c>
      <c r="D498" s="1">
        <f>D501+D504+D507+D510+D513+D516+D519+D522+D525+D528</f>
        <v>53549</v>
      </c>
      <c r="E498" s="1">
        <f t="shared" ref="E498:BP498" si="80">E501+E504+E507+E510+E513+E516+E519+E522+E525+E528</f>
        <v>4958</v>
      </c>
      <c r="F498" s="1">
        <f t="shared" si="80"/>
        <v>12423</v>
      </c>
      <c r="G498" s="1">
        <f t="shared" si="80"/>
        <v>5316</v>
      </c>
      <c r="H498" s="1">
        <f t="shared" si="80"/>
        <v>1892</v>
      </c>
      <c r="I498" s="1">
        <f t="shared" si="80"/>
        <v>2485</v>
      </c>
      <c r="J498" s="1">
        <f t="shared" si="80"/>
        <v>1004</v>
      </c>
      <c r="K498" s="1">
        <f t="shared" si="80"/>
        <v>2346</v>
      </c>
      <c r="L498" s="1">
        <f t="shared" si="80"/>
        <v>3927</v>
      </c>
      <c r="M498" s="1">
        <f t="shared" si="80"/>
        <v>1862</v>
      </c>
      <c r="N498" s="1">
        <f t="shared" si="80"/>
        <v>1323</v>
      </c>
      <c r="O498" s="1">
        <f t="shared" si="80"/>
        <v>1466</v>
      </c>
      <c r="P498" s="1">
        <f t="shared" si="80"/>
        <v>736</v>
      </c>
      <c r="Q498" s="1">
        <f t="shared" si="80"/>
        <v>925</v>
      </c>
      <c r="R498" s="1">
        <f t="shared" si="80"/>
        <v>1494</v>
      </c>
      <c r="S498" s="1">
        <f t="shared" si="80"/>
        <v>271</v>
      </c>
      <c r="T498" s="1">
        <f t="shared" si="80"/>
        <v>1005</v>
      </c>
      <c r="U498" s="1">
        <f t="shared" si="80"/>
        <v>1277</v>
      </c>
      <c r="V498" s="1">
        <f t="shared" si="80"/>
        <v>1287</v>
      </c>
      <c r="W498" s="1">
        <f t="shared" si="80"/>
        <v>1096</v>
      </c>
      <c r="X498" s="1">
        <f t="shared" si="80"/>
        <v>295</v>
      </c>
      <c r="Y498" s="1">
        <f t="shared" si="80"/>
        <v>186</v>
      </c>
      <c r="Z498" s="1">
        <f t="shared" si="80"/>
        <v>835</v>
      </c>
      <c r="AA498" s="1">
        <f t="shared" si="80"/>
        <v>103</v>
      </c>
      <c r="AB498" s="1">
        <f t="shared" si="80"/>
        <v>45</v>
      </c>
      <c r="AC498" s="1">
        <f t="shared" si="80"/>
        <v>162</v>
      </c>
      <c r="AD498" s="1">
        <f t="shared" si="80"/>
        <v>70</v>
      </c>
      <c r="AE498" s="1">
        <f t="shared" si="80"/>
        <v>185</v>
      </c>
      <c r="AF498" s="1">
        <f t="shared" si="80"/>
        <v>184</v>
      </c>
      <c r="AG498" s="1">
        <f t="shared" si="80"/>
        <v>104</v>
      </c>
      <c r="AH498" s="1">
        <f t="shared" si="80"/>
        <v>60</v>
      </c>
      <c r="AI498" s="1">
        <f t="shared" si="80"/>
        <v>464</v>
      </c>
      <c r="AJ498" s="1">
        <f t="shared" si="80"/>
        <v>188</v>
      </c>
      <c r="AK498" s="1">
        <f t="shared" si="80"/>
        <v>60</v>
      </c>
      <c r="AL498" s="1">
        <f t="shared" si="80"/>
        <v>114</v>
      </c>
      <c r="AM498" s="1">
        <f t="shared" si="80"/>
        <v>40</v>
      </c>
      <c r="AN498" s="1">
        <f t="shared" si="80"/>
        <v>81</v>
      </c>
      <c r="AO498" s="1">
        <f t="shared" si="80"/>
        <v>340</v>
      </c>
      <c r="AP498" s="1">
        <f t="shared" si="80"/>
        <v>181</v>
      </c>
      <c r="AQ498" s="1">
        <f t="shared" si="80"/>
        <v>44</v>
      </c>
      <c r="AR498" s="1">
        <f t="shared" si="80"/>
        <v>72</v>
      </c>
      <c r="AS498" s="1">
        <f t="shared" si="80"/>
        <v>25</v>
      </c>
      <c r="AT498" s="1">
        <f t="shared" si="80"/>
        <v>20</v>
      </c>
      <c r="AU498" s="1">
        <f t="shared" si="80"/>
        <v>43</v>
      </c>
      <c r="AV498" s="1">
        <f t="shared" si="80"/>
        <v>164</v>
      </c>
      <c r="AW498" s="1">
        <f t="shared" si="80"/>
        <v>29</v>
      </c>
      <c r="AX498" s="1">
        <f t="shared" si="80"/>
        <v>365</v>
      </c>
      <c r="AY498" s="1">
        <f t="shared" si="80"/>
        <v>22</v>
      </c>
      <c r="AZ498" s="1">
        <f t="shared" si="80"/>
        <v>169</v>
      </c>
      <c r="BA498" s="1">
        <f t="shared" si="80"/>
        <v>25</v>
      </c>
      <c r="BB498" s="1">
        <f t="shared" si="80"/>
        <v>10</v>
      </c>
      <c r="BC498" s="1">
        <f t="shared" si="80"/>
        <v>29</v>
      </c>
      <c r="BD498" s="1">
        <f t="shared" si="80"/>
        <v>443</v>
      </c>
      <c r="BE498" s="1">
        <f t="shared" si="80"/>
        <v>9</v>
      </c>
      <c r="BF498" s="1">
        <f t="shared" si="80"/>
        <v>59</v>
      </c>
      <c r="BG498" s="1">
        <f t="shared" si="80"/>
        <v>41</v>
      </c>
      <c r="BH498" s="1">
        <f t="shared" si="80"/>
        <v>6</v>
      </c>
      <c r="BI498" s="1">
        <f t="shared" si="80"/>
        <v>27</v>
      </c>
      <c r="BJ498" s="1">
        <f t="shared" si="80"/>
        <v>65</v>
      </c>
      <c r="BK498" s="1">
        <f t="shared" si="80"/>
        <v>5</v>
      </c>
      <c r="BL498" s="1">
        <f t="shared" si="80"/>
        <v>28</v>
      </c>
      <c r="BM498" s="1">
        <f t="shared" si="80"/>
        <v>9</v>
      </c>
      <c r="BN498" s="1">
        <f t="shared" si="80"/>
        <v>18</v>
      </c>
      <c r="BO498" s="1">
        <f t="shared" si="80"/>
        <v>260</v>
      </c>
      <c r="BP498" s="1">
        <f t="shared" si="80"/>
        <v>12</v>
      </c>
      <c r="BQ498" s="1">
        <f t="shared" ref="BQ498:EB498" si="81">BQ501+BQ504+BQ507+BQ510+BQ513+BQ516+BQ519+BQ522+BQ525+BQ528</f>
        <v>23</v>
      </c>
      <c r="BR498" s="1">
        <f t="shared" si="81"/>
        <v>18</v>
      </c>
      <c r="BS498" s="1">
        <f t="shared" si="81"/>
        <v>31</v>
      </c>
      <c r="BT498" s="1">
        <f t="shared" si="81"/>
        <v>108</v>
      </c>
      <c r="BU498" s="1">
        <f t="shared" si="81"/>
        <v>117</v>
      </c>
      <c r="BV498" s="1">
        <f t="shared" si="81"/>
        <v>7</v>
      </c>
      <c r="BW498" s="1">
        <f t="shared" si="81"/>
        <v>18</v>
      </c>
      <c r="BX498" s="1">
        <f t="shared" si="81"/>
        <v>3</v>
      </c>
      <c r="BY498" s="1">
        <f t="shared" si="81"/>
        <v>16</v>
      </c>
      <c r="BZ498" s="1">
        <f t="shared" si="81"/>
        <v>10</v>
      </c>
      <c r="CA498" s="1">
        <f t="shared" si="81"/>
        <v>8</v>
      </c>
      <c r="CB498" s="1">
        <f t="shared" si="81"/>
        <v>46</v>
      </c>
      <c r="CC498" s="1">
        <f t="shared" si="81"/>
        <v>8</v>
      </c>
      <c r="CD498" s="1">
        <f t="shared" si="81"/>
        <v>4</v>
      </c>
      <c r="CE498" s="1">
        <f t="shared" si="81"/>
        <v>10</v>
      </c>
      <c r="CF498" s="1">
        <f t="shared" si="81"/>
        <v>5</v>
      </c>
      <c r="CG498" s="1">
        <f t="shared" si="81"/>
        <v>4</v>
      </c>
      <c r="CH498" s="1">
        <f t="shared" si="81"/>
        <v>14</v>
      </c>
      <c r="CI498" s="1">
        <f t="shared" si="81"/>
        <v>2</v>
      </c>
      <c r="CJ498" s="1">
        <f t="shared" si="81"/>
        <v>6</v>
      </c>
      <c r="CK498" s="1">
        <f t="shared" si="81"/>
        <v>11</v>
      </c>
      <c r="CL498" s="1">
        <f t="shared" si="81"/>
        <v>4</v>
      </c>
      <c r="CM498" s="1">
        <f t="shared" si="81"/>
        <v>8</v>
      </c>
      <c r="CN498" s="1">
        <f t="shared" si="81"/>
        <v>2</v>
      </c>
      <c r="CO498" s="1">
        <f t="shared" si="81"/>
        <v>20</v>
      </c>
      <c r="CP498" s="1">
        <f t="shared" si="81"/>
        <v>11</v>
      </c>
      <c r="CQ498" s="1">
        <f t="shared" si="81"/>
        <v>6</v>
      </c>
      <c r="CR498" s="1">
        <f t="shared" si="81"/>
        <v>12</v>
      </c>
      <c r="CS498" s="1">
        <f t="shared" si="81"/>
        <v>8</v>
      </c>
      <c r="CT498" s="1">
        <f t="shared" si="81"/>
        <v>4</v>
      </c>
      <c r="CU498" s="1">
        <f t="shared" si="81"/>
        <v>3</v>
      </c>
      <c r="CV498" s="1">
        <f t="shared" si="81"/>
        <v>7</v>
      </c>
      <c r="CW498" s="1">
        <f t="shared" si="81"/>
        <v>4</v>
      </c>
      <c r="CX498" s="1">
        <f t="shared" si="81"/>
        <v>2</v>
      </c>
      <c r="CY498" s="1">
        <f t="shared" si="81"/>
        <v>3</v>
      </c>
      <c r="CZ498" s="1">
        <f t="shared" si="81"/>
        <v>5</v>
      </c>
      <c r="DA498" s="1">
        <f t="shared" si="81"/>
        <v>8</v>
      </c>
      <c r="DB498" s="1">
        <f t="shared" si="81"/>
        <v>48</v>
      </c>
      <c r="DC498" s="1">
        <f t="shared" si="81"/>
        <v>1</v>
      </c>
      <c r="DD498" s="1">
        <f t="shared" si="81"/>
        <v>2</v>
      </c>
      <c r="DE498" s="1">
        <f t="shared" si="81"/>
        <v>1</v>
      </c>
      <c r="DF498" s="1">
        <f t="shared" si="81"/>
        <v>2</v>
      </c>
      <c r="DG498" s="1">
        <f t="shared" si="81"/>
        <v>2</v>
      </c>
      <c r="DH498" s="1">
        <f t="shared" si="81"/>
        <v>3</v>
      </c>
      <c r="DI498" s="1">
        <f t="shared" si="81"/>
        <v>5</v>
      </c>
      <c r="DJ498" s="1">
        <f t="shared" si="81"/>
        <v>0</v>
      </c>
      <c r="DK498" s="1">
        <f t="shared" si="81"/>
        <v>0</v>
      </c>
      <c r="DL498" s="1">
        <f t="shared" si="81"/>
        <v>1</v>
      </c>
      <c r="DM498" s="1">
        <f t="shared" si="81"/>
        <v>2</v>
      </c>
      <c r="DN498" s="1">
        <f t="shared" si="81"/>
        <v>1</v>
      </c>
      <c r="DO498" s="1">
        <f t="shared" si="81"/>
        <v>4</v>
      </c>
      <c r="DP498" s="1">
        <f t="shared" si="81"/>
        <v>1</v>
      </c>
      <c r="DQ498" s="1">
        <f t="shared" si="81"/>
        <v>5</v>
      </c>
      <c r="DR498" s="1">
        <f t="shared" si="81"/>
        <v>1</v>
      </c>
      <c r="DS498" s="1">
        <f t="shared" si="81"/>
        <v>5</v>
      </c>
      <c r="DT498" s="1">
        <f t="shared" si="81"/>
        <v>1</v>
      </c>
      <c r="DU498" s="1">
        <f t="shared" si="81"/>
        <v>4</v>
      </c>
      <c r="DV498" s="1">
        <f t="shared" si="81"/>
        <v>1</v>
      </c>
      <c r="DW498" s="1">
        <f t="shared" si="81"/>
        <v>0</v>
      </c>
      <c r="DX498" s="1">
        <f t="shared" si="81"/>
        <v>7</v>
      </c>
      <c r="DY498" s="1">
        <f t="shared" si="81"/>
        <v>2</v>
      </c>
      <c r="DZ498" s="1">
        <f t="shared" si="81"/>
        <v>0</v>
      </c>
      <c r="EA498" s="1">
        <f t="shared" si="81"/>
        <v>0</v>
      </c>
      <c r="EB498" s="1">
        <f t="shared" si="81"/>
        <v>3</v>
      </c>
      <c r="EC498" s="1">
        <f t="shared" ref="EC498:GN498" si="82">EC501+EC504+EC507+EC510+EC513+EC516+EC519+EC522+EC525+EC528</f>
        <v>3</v>
      </c>
      <c r="ED498" s="1">
        <f t="shared" si="82"/>
        <v>0</v>
      </c>
      <c r="EE498" s="1">
        <f t="shared" si="82"/>
        <v>0</v>
      </c>
      <c r="EF498" s="1">
        <f t="shared" si="82"/>
        <v>0</v>
      </c>
      <c r="EG498" s="1">
        <f t="shared" si="82"/>
        <v>2</v>
      </c>
      <c r="EH498" s="1">
        <f t="shared" si="82"/>
        <v>5</v>
      </c>
      <c r="EI498" s="1">
        <f t="shared" si="82"/>
        <v>0</v>
      </c>
      <c r="EJ498" s="1">
        <f t="shared" si="82"/>
        <v>0</v>
      </c>
      <c r="EK498" s="1">
        <f t="shared" si="82"/>
        <v>2</v>
      </c>
      <c r="EL498" s="1">
        <f t="shared" si="82"/>
        <v>0</v>
      </c>
      <c r="EM498" s="1">
        <f t="shared" si="82"/>
        <v>9</v>
      </c>
      <c r="EN498" s="1">
        <f t="shared" si="82"/>
        <v>1</v>
      </c>
      <c r="EO498" s="1">
        <f t="shared" si="82"/>
        <v>6</v>
      </c>
      <c r="EP498" s="1">
        <f t="shared" si="82"/>
        <v>4</v>
      </c>
      <c r="EQ498" s="1">
        <f t="shared" si="82"/>
        <v>4</v>
      </c>
      <c r="ER498" s="1">
        <f t="shared" si="82"/>
        <v>0</v>
      </c>
      <c r="ES498" s="1">
        <f t="shared" si="82"/>
        <v>4</v>
      </c>
      <c r="ET498" s="1">
        <f t="shared" si="82"/>
        <v>1</v>
      </c>
      <c r="EU498" s="1">
        <f t="shared" si="82"/>
        <v>2</v>
      </c>
      <c r="EV498" s="1">
        <f t="shared" si="82"/>
        <v>1</v>
      </c>
      <c r="EW498" s="1">
        <f t="shared" si="82"/>
        <v>0</v>
      </c>
      <c r="EX498" s="1">
        <f t="shared" si="82"/>
        <v>0</v>
      </c>
      <c r="EY498" s="1">
        <f t="shared" si="82"/>
        <v>2</v>
      </c>
      <c r="EZ498" s="1">
        <f t="shared" si="82"/>
        <v>5</v>
      </c>
      <c r="FA498" s="1">
        <f t="shared" si="82"/>
        <v>4</v>
      </c>
      <c r="FB498" s="1">
        <f t="shared" si="82"/>
        <v>0</v>
      </c>
      <c r="FC498" s="1">
        <f t="shared" si="82"/>
        <v>0</v>
      </c>
      <c r="FD498" s="1">
        <f t="shared" si="82"/>
        <v>1</v>
      </c>
      <c r="FE498" s="1">
        <f t="shared" si="82"/>
        <v>1</v>
      </c>
      <c r="FF498" s="1">
        <f t="shared" si="82"/>
        <v>0</v>
      </c>
      <c r="FG498" s="1">
        <f t="shared" si="82"/>
        <v>0</v>
      </c>
      <c r="FH498" s="1">
        <f t="shared" si="82"/>
        <v>2</v>
      </c>
      <c r="FI498" s="1">
        <f t="shared" si="82"/>
        <v>0</v>
      </c>
      <c r="FJ498" s="1">
        <f t="shared" si="82"/>
        <v>1</v>
      </c>
      <c r="FK498" s="1">
        <f t="shared" si="82"/>
        <v>1</v>
      </c>
      <c r="FL498" s="1">
        <f t="shared" si="82"/>
        <v>0</v>
      </c>
      <c r="FM498" s="1">
        <f t="shared" si="82"/>
        <v>4</v>
      </c>
      <c r="FN498" s="1">
        <f t="shared" si="82"/>
        <v>0</v>
      </c>
      <c r="FO498" s="1">
        <f t="shared" si="82"/>
        <v>1</v>
      </c>
      <c r="FP498" s="1">
        <f t="shared" si="82"/>
        <v>0</v>
      </c>
      <c r="FQ498" s="1">
        <f t="shared" si="82"/>
        <v>0</v>
      </c>
      <c r="FR498" s="1">
        <f t="shared" si="82"/>
        <v>0</v>
      </c>
      <c r="FS498" s="1">
        <f t="shared" si="82"/>
        <v>0</v>
      </c>
      <c r="FT498" s="1">
        <f t="shared" si="82"/>
        <v>2</v>
      </c>
      <c r="FU498" s="1">
        <f t="shared" si="82"/>
        <v>0</v>
      </c>
      <c r="FV498" s="1">
        <f t="shared" si="82"/>
        <v>0</v>
      </c>
      <c r="FW498" s="1">
        <f t="shared" si="82"/>
        <v>0</v>
      </c>
      <c r="FX498" s="1">
        <f t="shared" si="82"/>
        <v>2</v>
      </c>
      <c r="FY498" s="1">
        <f t="shared" si="82"/>
        <v>0</v>
      </c>
      <c r="FZ498" s="1">
        <f t="shared" si="82"/>
        <v>0</v>
      </c>
      <c r="GA498" s="1">
        <f t="shared" si="82"/>
        <v>0</v>
      </c>
      <c r="GB498" s="1">
        <f t="shared" si="82"/>
        <v>0</v>
      </c>
      <c r="GC498" s="1">
        <f t="shared" si="82"/>
        <v>0</v>
      </c>
      <c r="GD498" s="1">
        <f t="shared" si="82"/>
        <v>0</v>
      </c>
      <c r="GE498" s="1">
        <f t="shared" si="82"/>
        <v>0</v>
      </c>
      <c r="GF498" s="1">
        <f t="shared" si="82"/>
        <v>0</v>
      </c>
      <c r="GG498" s="1">
        <f t="shared" si="82"/>
        <v>0</v>
      </c>
      <c r="GH498" s="1">
        <f t="shared" si="82"/>
        <v>0</v>
      </c>
      <c r="GI498" s="1">
        <f t="shared" si="82"/>
        <v>0</v>
      </c>
      <c r="GJ498" s="1">
        <f t="shared" si="82"/>
        <v>0</v>
      </c>
      <c r="GK498" s="1">
        <f t="shared" si="82"/>
        <v>0</v>
      </c>
      <c r="GL498" s="1">
        <f t="shared" si="82"/>
        <v>0</v>
      </c>
      <c r="GM498" s="1">
        <f t="shared" si="82"/>
        <v>0</v>
      </c>
      <c r="GN498" s="1">
        <f t="shared" si="82"/>
        <v>0</v>
      </c>
      <c r="GO498" s="1">
        <f t="shared" ref="GO498:GS498" si="83">GO501+GO504+GO507+GO510+GO513+GO516+GO519+GO522+GO525+GO528</f>
        <v>0</v>
      </c>
      <c r="GP498" s="1">
        <f t="shared" si="83"/>
        <v>0</v>
      </c>
      <c r="GQ498" s="1">
        <f t="shared" si="83"/>
        <v>0</v>
      </c>
      <c r="GR498" s="1">
        <f t="shared" si="83"/>
        <v>0</v>
      </c>
      <c r="GS498" s="1">
        <f t="shared" si="83"/>
        <v>12</v>
      </c>
    </row>
    <row r="499" spans="1:201" x14ac:dyDescent="0.3">
      <c r="A499" t="s">
        <v>349</v>
      </c>
      <c r="B499" t="s">
        <v>200</v>
      </c>
      <c r="C499" t="s">
        <v>204</v>
      </c>
      <c r="D499" s="1">
        <f>D502+D505+D508+D511+D514+D517+D520+D523+D526+D529</f>
        <v>41497</v>
      </c>
      <c r="E499" s="1">
        <f t="shared" ref="E499:BP499" si="84">E502+E505+E508+E511+E514+E517+E520+E523+E526+E529</f>
        <v>5144</v>
      </c>
      <c r="F499" s="1">
        <f t="shared" si="84"/>
        <v>9532</v>
      </c>
      <c r="G499" s="1">
        <f t="shared" si="84"/>
        <v>8347</v>
      </c>
      <c r="H499" s="1">
        <f t="shared" si="84"/>
        <v>397</v>
      </c>
      <c r="I499" s="1">
        <f t="shared" si="84"/>
        <v>1700</v>
      </c>
      <c r="J499" s="1">
        <f t="shared" si="84"/>
        <v>274</v>
      </c>
      <c r="K499" s="1">
        <f t="shared" si="84"/>
        <v>272</v>
      </c>
      <c r="L499" s="1">
        <f t="shared" si="84"/>
        <v>1112</v>
      </c>
      <c r="M499" s="1">
        <f t="shared" si="84"/>
        <v>1157</v>
      </c>
      <c r="N499" s="1">
        <f t="shared" si="84"/>
        <v>1083</v>
      </c>
      <c r="O499" s="1">
        <f t="shared" si="84"/>
        <v>1761</v>
      </c>
      <c r="P499" s="1">
        <f t="shared" si="84"/>
        <v>666</v>
      </c>
      <c r="Q499" s="1">
        <f t="shared" si="84"/>
        <v>110</v>
      </c>
      <c r="R499" s="1">
        <f t="shared" si="84"/>
        <v>406</v>
      </c>
      <c r="S499" s="1">
        <f t="shared" si="84"/>
        <v>1320</v>
      </c>
      <c r="T499" s="1">
        <f t="shared" si="84"/>
        <v>1119</v>
      </c>
      <c r="U499" s="1">
        <f t="shared" si="84"/>
        <v>1254</v>
      </c>
      <c r="V499" s="1">
        <f t="shared" si="84"/>
        <v>358</v>
      </c>
      <c r="W499" s="1">
        <f t="shared" si="84"/>
        <v>993</v>
      </c>
      <c r="X499" s="1">
        <f t="shared" si="84"/>
        <v>187</v>
      </c>
      <c r="Y499" s="1">
        <f t="shared" si="84"/>
        <v>87</v>
      </c>
      <c r="Z499" s="1">
        <f t="shared" si="84"/>
        <v>575</v>
      </c>
      <c r="AA499" s="1">
        <f t="shared" si="84"/>
        <v>85</v>
      </c>
      <c r="AB499" s="1">
        <f t="shared" si="84"/>
        <v>90</v>
      </c>
      <c r="AC499" s="1">
        <f t="shared" si="84"/>
        <v>103</v>
      </c>
      <c r="AD499" s="1">
        <f t="shared" si="84"/>
        <v>139</v>
      </c>
      <c r="AE499" s="1">
        <f t="shared" si="84"/>
        <v>3</v>
      </c>
      <c r="AF499" s="1">
        <f t="shared" si="84"/>
        <v>102</v>
      </c>
      <c r="AG499" s="1">
        <f t="shared" si="84"/>
        <v>86</v>
      </c>
      <c r="AH499" s="1">
        <f t="shared" si="84"/>
        <v>49</v>
      </c>
      <c r="AI499" s="1">
        <f t="shared" si="84"/>
        <v>251</v>
      </c>
      <c r="AJ499" s="1">
        <f t="shared" si="84"/>
        <v>184</v>
      </c>
      <c r="AK499" s="1">
        <f t="shared" si="84"/>
        <v>38</v>
      </c>
      <c r="AL499" s="1">
        <f t="shared" si="84"/>
        <v>169</v>
      </c>
      <c r="AM499" s="1">
        <f t="shared" si="84"/>
        <v>102</v>
      </c>
      <c r="AN499" s="1">
        <f t="shared" si="84"/>
        <v>58</v>
      </c>
      <c r="AO499" s="1">
        <f t="shared" si="84"/>
        <v>173</v>
      </c>
      <c r="AP499" s="1">
        <f t="shared" si="84"/>
        <v>109</v>
      </c>
      <c r="AQ499" s="1">
        <f t="shared" si="84"/>
        <v>91</v>
      </c>
      <c r="AR499" s="1">
        <f t="shared" si="84"/>
        <v>59</v>
      </c>
      <c r="AS499" s="1">
        <f t="shared" si="84"/>
        <v>50</v>
      </c>
      <c r="AT499" s="1">
        <f t="shared" si="84"/>
        <v>39</v>
      </c>
      <c r="AU499" s="1">
        <f t="shared" si="84"/>
        <v>54</v>
      </c>
      <c r="AV499" s="1">
        <f t="shared" si="84"/>
        <v>24</v>
      </c>
      <c r="AW499" s="1">
        <f t="shared" si="84"/>
        <v>37</v>
      </c>
      <c r="AX499" s="1">
        <f t="shared" si="84"/>
        <v>160</v>
      </c>
      <c r="AY499" s="1">
        <f t="shared" si="84"/>
        <v>37</v>
      </c>
      <c r="AZ499" s="1">
        <f t="shared" si="84"/>
        <v>131</v>
      </c>
      <c r="BA499" s="1">
        <f t="shared" si="84"/>
        <v>43</v>
      </c>
      <c r="BB499" s="1">
        <f t="shared" si="84"/>
        <v>7</v>
      </c>
      <c r="BC499" s="1">
        <f t="shared" si="84"/>
        <v>20</v>
      </c>
      <c r="BD499" s="1">
        <f t="shared" si="84"/>
        <v>184</v>
      </c>
      <c r="BE499" s="1">
        <f t="shared" si="84"/>
        <v>7</v>
      </c>
      <c r="BF499" s="1">
        <f t="shared" si="84"/>
        <v>37</v>
      </c>
      <c r="BG499" s="1">
        <f t="shared" si="84"/>
        <v>19</v>
      </c>
      <c r="BH499" s="1">
        <f t="shared" si="84"/>
        <v>29</v>
      </c>
      <c r="BI499" s="1">
        <f t="shared" si="84"/>
        <v>31</v>
      </c>
      <c r="BJ499" s="1">
        <f t="shared" si="84"/>
        <v>25</v>
      </c>
      <c r="BK499" s="1">
        <f t="shared" si="84"/>
        <v>5</v>
      </c>
      <c r="BL499" s="1">
        <f t="shared" si="84"/>
        <v>27</v>
      </c>
      <c r="BM499" s="1">
        <f t="shared" si="84"/>
        <v>8</v>
      </c>
      <c r="BN499" s="1">
        <f t="shared" si="84"/>
        <v>24</v>
      </c>
      <c r="BO499" s="1">
        <f t="shared" si="84"/>
        <v>152</v>
      </c>
      <c r="BP499" s="1">
        <f t="shared" si="84"/>
        <v>10</v>
      </c>
      <c r="BQ499" s="1">
        <f t="shared" ref="BQ499:EB499" si="85">BQ502+BQ505+BQ508+BQ511+BQ514+BQ517+BQ520+BQ523+BQ526+BQ529</f>
        <v>27</v>
      </c>
      <c r="BR499" s="1">
        <f t="shared" si="85"/>
        <v>12</v>
      </c>
      <c r="BS499" s="1">
        <f t="shared" si="85"/>
        <v>11</v>
      </c>
      <c r="BT499" s="1">
        <f t="shared" si="85"/>
        <v>62</v>
      </c>
      <c r="BU499" s="1">
        <f t="shared" si="85"/>
        <v>64</v>
      </c>
      <c r="BV499" s="1">
        <f t="shared" si="85"/>
        <v>20</v>
      </c>
      <c r="BW499" s="1">
        <f t="shared" si="85"/>
        <v>8</v>
      </c>
      <c r="BX499" s="1">
        <f t="shared" si="85"/>
        <v>2</v>
      </c>
      <c r="BY499" s="1">
        <f t="shared" si="85"/>
        <v>3</v>
      </c>
      <c r="BZ499" s="1">
        <f t="shared" si="85"/>
        <v>3</v>
      </c>
      <c r="CA499" s="1">
        <f t="shared" si="85"/>
        <v>5</v>
      </c>
      <c r="CB499" s="1">
        <f t="shared" si="85"/>
        <v>29</v>
      </c>
      <c r="CC499" s="1">
        <f t="shared" si="85"/>
        <v>14</v>
      </c>
      <c r="CD499" s="1">
        <f t="shared" si="85"/>
        <v>16</v>
      </c>
      <c r="CE499" s="1">
        <f t="shared" si="85"/>
        <v>7</v>
      </c>
      <c r="CF499" s="1">
        <f t="shared" si="85"/>
        <v>4</v>
      </c>
      <c r="CG499" s="1">
        <f t="shared" si="85"/>
        <v>16</v>
      </c>
      <c r="CH499" s="1">
        <f t="shared" si="85"/>
        <v>3</v>
      </c>
      <c r="CI499" s="1">
        <f t="shared" si="85"/>
        <v>11</v>
      </c>
      <c r="CJ499" s="1">
        <f t="shared" si="85"/>
        <v>2</v>
      </c>
      <c r="CK499" s="1">
        <f t="shared" si="85"/>
        <v>7</v>
      </c>
      <c r="CL499" s="1">
        <f t="shared" si="85"/>
        <v>7</v>
      </c>
      <c r="CM499" s="1">
        <f t="shared" si="85"/>
        <v>4</v>
      </c>
      <c r="CN499" s="1">
        <f t="shared" si="85"/>
        <v>0</v>
      </c>
      <c r="CO499" s="1">
        <f t="shared" si="85"/>
        <v>10</v>
      </c>
      <c r="CP499" s="1">
        <f t="shared" si="85"/>
        <v>8</v>
      </c>
      <c r="CQ499" s="1">
        <f t="shared" si="85"/>
        <v>4</v>
      </c>
      <c r="CR499" s="1">
        <f t="shared" si="85"/>
        <v>4</v>
      </c>
      <c r="CS499" s="1">
        <f t="shared" si="85"/>
        <v>10</v>
      </c>
      <c r="CT499" s="1">
        <f t="shared" si="85"/>
        <v>9</v>
      </c>
      <c r="CU499" s="1">
        <f t="shared" si="85"/>
        <v>4</v>
      </c>
      <c r="CV499" s="1">
        <f t="shared" si="85"/>
        <v>13</v>
      </c>
      <c r="CW499" s="1">
        <f t="shared" si="85"/>
        <v>9</v>
      </c>
      <c r="CX499" s="1">
        <f t="shared" si="85"/>
        <v>0</v>
      </c>
      <c r="CY499" s="1">
        <f t="shared" si="85"/>
        <v>7</v>
      </c>
      <c r="CZ499" s="1">
        <f t="shared" si="85"/>
        <v>12</v>
      </c>
      <c r="DA499" s="1">
        <f t="shared" si="85"/>
        <v>7</v>
      </c>
      <c r="DB499" s="1">
        <f t="shared" si="85"/>
        <v>20</v>
      </c>
      <c r="DC499" s="1">
        <f t="shared" si="85"/>
        <v>1</v>
      </c>
      <c r="DD499" s="1">
        <f t="shared" si="85"/>
        <v>1</v>
      </c>
      <c r="DE499" s="1">
        <f t="shared" si="85"/>
        <v>0</v>
      </c>
      <c r="DF499" s="1">
        <f t="shared" si="85"/>
        <v>0</v>
      </c>
      <c r="DG499" s="1">
        <f t="shared" si="85"/>
        <v>1</v>
      </c>
      <c r="DH499" s="1">
        <f t="shared" si="85"/>
        <v>5</v>
      </c>
      <c r="DI499" s="1">
        <f t="shared" si="85"/>
        <v>5</v>
      </c>
      <c r="DJ499" s="1">
        <f t="shared" si="85"/>
        <v>3</v>
      </c>
      <c r="DK499" s="1">
        <f t="shared" si="85"/>
        <v>1</v>
      </c>
      <c r="DL499" s="1">
        <f t="shared" si="85"/>
        <v>2</v>
      </c>
      <c r="DM499" s="1">
        <f t="shared" si="85"/>
        <v>3</v>
      </c>
      <c r="DN499" s="1">
        <f t="shared" si="85"/>
        <v>2</v>
      </c>
      <c r="DO499" s="1">
        <f t="shared" si="85"/>
        <v>6</v>
      </c>
      <c r="DP499" s="1">
        <f t="shared" si="85"/>
        <v>3</v>
      </c>
      <c r="DQ499" s="1">
        <f t="shared" si="85"/>
        <v>1</v>
      </c>
      <c r="DR499" s="1">
        <f t="shared" si="85"/>
        <v>5</v>
      </c>
      <c r="DS499" s="1">
        <f t="shared" si="85"/>
        <v>2</v>
      </c>
      <c r="DT499" s="1">
        <f t="shared" si="85"/>
        <v>4</v>
      </c>
      <c r="DU499" s="1">
        <f t="shared" si="85"/>
        <v>8</v>
      </c>
      <c r="DV499" s="1">
        <f t="shared" si="85"/>
        <v>3</v>
      </c>
      <c r="DW499" s="1">
        <f t="shared" si="85"/>
        <v>0</v>
      </c>
      <c r="DX499" s="1">
        <f t="shared" si="85"/>
        <v>5</v>
      </c>
      <c r="DY499" s="1">
        <f t="shared" si="85"/>
        <v>5</v>
      </c>
      <c r="DZ499" s="1">
        <f t="shared" si="85"/>
        <v>1</v>
      </c>
      <c r="EA499" s="1">
        <f t="shared" si="85"/>
        <v>3</v>
      </c>
      <c r="EB499" s="1">
        <f t="shared" si="85"/>
        <v>2</v>
      </c>
      <c r="EC499" s="1">
        <f t="shared" ref="EC499:GN499" si="86">EC502+EC505+EC508+EC511+EC514+EC517+EC520+EC523+EC526+EC529</f>
        <v>0</v>
      </c>
      <c r="ED499" s="1">
        <f t="shared" si="86"/>
        <v>0</v>
      </c>
      <c r="EE499" s="1">
        <f t="shared" si="86"/>
        <v>2</v>
      </c>
      <c r="EF499" s="1">
        <f t="shared" si="86"/>
        <v>1</v>
      </c>
      <c r="EG499" s="1">
        <f t="shared" si="86"/>
        <v>2</v>
      </c>
      <c r="EH499" s="1">
        <f t="shared" si="86"/>
        <v>1</v>
      </c>
      <c r="EI499" s="1">
        <f t="shared" si="86"/>
        <v>0</v>
      </c>
      <c r="EJ499" s="1">
        <f t="shared" si="86"/>
        <v>2</v>
      </c>
      <c r="EK499" s="1">
        <f t="shared" si="86"/>
        <v>2</v>
      </c>
      <c r="EL499" s="1">
        <f t="shared" si="86"/>
        <v>0</v>
      </c>
      <c r="EM499" s="1">
        <f t="shared" si="86"/>
        <v>0</v>
      </c>
      <c r="EN499" s="1">
        <f t="shared" si="86"/>
        <v>3</v>
      </c>
      <c r="EO499" s="1">
        <f t="shared" si="86"/>
        <v>3</v>
      </c>
      <c r="EP499" s="1">
        <f t="shared" si="86"/>
        <v>0</v>
      </c>
      <c r="EQ499" s="1">
        <f t="shared" si="86"/>
        <v>4</v>
      </c>
      <c r="ER499" s="1">
        <f t="shared" si="86"/>
        <v>0</v>
      </c>
      <c r="ES499" s="1">
        <f t="shared" si="86"/>
        <v>2</v>
      </c>
      <c r="ET499" s="1">
        <f t="shared" si="86"/>
        <v>2</v>
      </c>
      <c r="EU499" s="1">
        <f t="shared" si="86"/>
        <v>0</v>
      </c>
      <c r="EV499" s="1">
        <f t="shared" si="86"/>
        <v>0</v>
      </c>
      <c r="EW499" s="1">
        <f t="shared" si="86"/>
        <v>0</v>
      </c>
      <c r="EX499" s="1">
        <f t="shared" si="86"/>
        <v>0</v>
      </c>
      <c r="EY499" s="1">
        <f t="shared" si="86"/>
        <v>1</v>
      </c>
      <c r="EZ499" s="1">
        <f t="shared" si="86"/>
        <v>2</v>
      </c>
      <c r="FA499" s="1">
        <f t="shared" si="86"/>
        <v>5</v>
      </c>
      <c r="FB499" s="1">
        <f t="shared" si="86"/>
        <v>2</v>
      </c>
      <c r="FC499" s="1">
        <f t="shared" si="86"/>
        <v>0</v>
      </c>
      <c r="FD499" s="1">
        <f t="shared" si="86"/>
        <v>0</v>
      </c>
      <c r="FE499" s="1">
        <f t="shared" si="86"/>
        <v>1</v>
      </c>
      <c r="FF499" s="1">
        <f t="shared" si="86"/>
        <v>0</v>
      </c>
      <c r="FG499" s="1">
        <f t="shared" si="86"/>
        <v>0</v>
      </c>
      <c r="FH499" s="1">
        <f t="shared" si="86"/>
        <v>0</v>
      </c>
      <c r="FI499" s="1">
        <f t="shared" si="86"/>
        <v>0</v>
      </c>
      <c r="FJ499" s="1">
        <f t="shared" si="86"/>
        <v>6</v>
      </c>
      <c r="FK499" s="1">
        <f t="shared" si="86"/>
        <v>0</v>
      </c>
      <c r="FL499" s="1">
        <f t="shared" si="86"/>
        <v>0</v>
      </c>
      <c r="FM499" s="1">
        <f t="shared" si="86"/>
        <v>1</v>
      </c>
      <c r="FN499" s="1">
        <f t="shared" si="86"/>
        <v>0</v>
      </c>
      <c r="FO499" s="1">
        <f t="shared" si="86"/>
        <v>1</v>
      </c>
      <c r="FP499" s="1">
        <f t="shared" si="86"/>
        <v>2</v>
      </c>
      <c r="FQ499" s="1">
        <f t="shared" si="86"/>
        <v>0</v>
      </c>
      <c r="FR499" s="1">
        <f t="shared" si="86"/>
        <v>0</v>
      </c>
      <c r="FS499" s="1">
        <f t="shared" si="86"/>
        <v>1</v>
      </c>
      <c r="FT499" s="1">
        <f t="shared" si="86"/>
        <v>2</v>
      </c>
      <c r="FU499" s="1">
        <f t="shared" si="86"/>
        <v>0</v>
      </c>
      <c r="FV499" s="1">
        <f t="shared" si="86"/>
        <v>0</v>
      </c>
      <c r="FW499" s="1">
        <f t="shared" si="86"/>
        <v>0</v>
      </c>
      <c r="FX499" s="1">
        <f t="shared" si="86"/>
        <v>0</v>
      </c>
      <c r="FY499" s="1">
        <f t="shared" si="86"/>
        <v>1</v>
      </c>
      <c r="FZ499" s="1">
        <f t="shared" si="86"/>
        <v>1</v>
      </c>
      <c r="GA499" s="1">
        <f t="shared" si="86"/>
        <v>0</v>
      </c>
      <c r="GB499" s="1">
        <f t="shared" si="86"/>
        <v>0</v>
      </c>
      <c r="GC499" s="1">
        <f t="shared" si="86"/>
        <v>0</v>
      </c>
      <c r="GD499" s="1">
        <f t="shared" si="86"/>
        <v>0</v>
      </c>
      <c r="GE499" s="1">
        <f t="shared" si="86"/>
        <v>0</v>
      </c>
      <c r="GF499" s="1">
        <f t="shared" si="86"/>
        <v>0</v>
      </c>
      <c r="GG499" s="1">
        <f t="shared" si="86"/>
        <v>0</v>
      </c>
      <c r="GH499" s="1">
        <f t="shared" si="86"/>
        <v>0</v>
      </c>
      <c r="GI499" s="1">
        <f t="shared" si="86"/>
        <v>1</v>
      </c>
      <c r="GJ499" s="1">
        <f t="shared" si="86"/>
        <v>0</v>
      </c>
      <c r="GK499" s="1">
        <f t="shared" si="86"/>
        <v>0</v>
      </c>
      <c r="GL499" s="1">
        <f t="shared" si="86"/>
        <v>0</v>
      </c>
      <c r="GM499" s="1">
        <f t="shared" si="86"/>
        <v>0</v>
      </c>
      <c r="GN499" s="1">
        <f t="shared" si="86"/>
        <v>0</v>
      </c>
      <c r="GO499" s="1">
        <f t="shared" ref="GO499:GS499" si="87">GO502+GO505+GO508+GO511+GO514+GO517+GO520+GO523+GO526+GO529</f>
        <v>0</v>
      </c>
      <c r="GP499" s="1">
        <f t="shared" si="87"/>
        <v>0</v>
      </c>
      <c r="GQ499" s="1">
        <f t="shared" si="87"/>
        <v>0</v>
      </c>
      <c r="GR499" s="1">
        <f t="shared" si="87"/>
        <v>0</v>
      </c>
      <c r="GS499" s="1">
        <f t="shared" si="87"/>
        <v>15</v>
      </c>
    </row>
    <row r="500" spans="1:201" x14ac:dyDescent="0.3">
      <c r="A500" t="s">
        <v>349</v>
      </c>
      <c r="B500" t="s">
        <v>350</v>
      </c>
      <c r="C500" t="s">
        <v>200</v>
      </c>
      <c r="D500" s="1">
        <v>1275</v>
      </c>
      <c r="E500">
        <v>185</v>
      </c>
      <c r="F500">
        <v>57</v>
      </c>
      <c r="G500">
        <v>59</v>
      </c>
      <c r="H500">
        <v>158</v>
      </c>
      <c r="I500">
        <v>69</v>
      </c>
      <c r="J500">
        <v>56</v>
      </c>
      <c r="K500">
        <v>79</v>
      </c>
      <c r="L500">
        <v>159</v>
      </c>
      <c r="M500">
        <v>92</v>
      </c>
      <c r="N500">
        <v>77</v>
      </c>
      <c r="O500">
        <v>6</v>
      </c>
      <c r="P500">
        <v>28</v>
      </c>
      <c r="Q500">
        <v>45</v>
      </c>
      <c r="R500">
        <v>40</v>
      </c>
      <c r="S500">
        <v>21</v>
      </c>
      <c r="T500">
        <v>9</v>
      </c>
      <c r="U500">
        <v>6</v>
      </c>
      <c r="V500">
        <v>29</v>
      </c>
      <c r="W500">
        <v>9</v>
      </c>
      <c r="X500">
        <v>1</v>
      </c>
      <c r="Y500">
        <v>24</v>
      </c>
      <c r="Z500">
        <v>10</v>
      </c>
      <c r="AA500">
        <v>1</v>
      </c>
      <c r="AB500">
        <v>0</v>
      </c>
      <c r="AC500">
        <v>1</v>
      </c>
      <c r="AD500">
        <v>8</v>
      </c>
      <c r="AE500">
        <v>33</v>
      </c>
      <c r="AF500">
        <v>4</v>
      </c>
      <c r="AG500">
        <v>0</v>
      </c>
      <c r="AH500">
        <v>1</v>
      </c>
      <c r="AI500">
        <v>0</v>
      </c>
      <c r="AJ500">
        <v>1</v>
      </c>
      <c r="AK500">
        <v>0</v>
      </c>
      <c r="AL500">
        <v>1</v>
      </c>
      <c r="AM500">
        <v>0</v>
      </c>
      <c r="AN500">
        <v>1</v>
      </c>
      <c r="AO500">
        <v>0</v>
      </c>
      <c r="AP500">
        <v>0</v>
      </c>
      <c r="AQ500">
        <v>1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1</v>
      </c>
      <c r="BR500">
        <v>0</v>
      </c>
      <c r="BS500">
        <v>1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</row>
    <row r="501" spans="1:201" x14ac:dyDescent="0.3">
      <c r="A501" t="s">
        <v>349</v>
      </c>
      <c r="B501" t="s">
        <v>350</v>
      </c>
      <c r="C501" t="s">
        <v>203</v>
      </c>
      <c r="D501">
        <v>899</v>
      </c>
      <c r="E501">
        <v>96</v>
      </c>
      <c r="F501">
        <v>22</v>
      </c>
      <c r="G501">
        <v>19</v>
      </c>
      <c r="H501">
        <v>133</v>
      </c>
      <c r="I501">
        <v>55</v>
      </c>
      <c r="J501">
        <v>41</v>
      </c>
      <c r="K501">
        <v>68</v>
      </c>
      <c r="L501">
        <v>149</v>
      </c>
      <c r="M501">
        <v>53</v>
      </c>
      <c r="N501">
        <v>56</v>
      </c>
      <c r="O501">
        <v>3</v>
      </c>
      <c r="P501">
        <v>16</v>
      </c>
      <c r="Q501">
        <v>44</v>
      </c>
      <c r="R501">
        <v>35</v>
      </c>
      <c r="S501">
        <v>2</v>
      </c>
      <c r="T501">
        <v>8</v>
      </c>
      <c r="U501">
        <v>3</v>
      </c>
      <c r="V501">
        <v>25</v>
      </c>
      <c r="W501">
        <v>3</v>
      </c>
      <c r="X501">
        <v>1</v>
      </c>
      <c r="Y501">
        <v>20</v>
      </c>
      <c r="Z501">
        <v>7</v>
      </c>
      <c r="AA501">
        <v>1</v>
      </c>
      <c r="AB501">
        <v>0</v>
      </c>
      <c r="AC501">
        <v>1</v>
      </c>
      <c r="AD501">
        <v>1</v>
      </c>
      <c r="AE501">
        <v>33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1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</row>
    <row r="502" spans="1:201" x14ac:dyDescent="0.3">
      <c r="A502" t="s">
        <v>349</v>
      </c>
      <c r="B502" t="s">
        <v>350</v>
      </c>
      <c r="C502" t="s">
        <v>204</v>
      </c>
      <c r="D502">
        <v>376</v>
      </c>
      <c r="E502">
        <v>89</v>
      </c>
      <c r="F502">
        <v>35</v>
      </c>
      <c r="G502">
        <v>40</v>
      </c>
      <c r="H502">
        <v>25</v>
      </c>
      <c r="I502">
        <v>14</v>
      </c>
      <c r="J502">
        <v>15</v>
      </c>
      <c r="K502">
        <v>11</v>
      </c>
      <c r="L502">
        <v>10</v>
      </c>
      <c r="M502">
        <v>39</v>
      </c>
      <c r="N502">
        <v>21</v>
      </c>
      <c r="O502">
        <v>3</v>
      </c>
      <c r="P502">
        <v>12</v>
      </c>
      <c r="Q502">
        <v>1</v>
      </c>
      <c r="R502">
        <v>5</v>
      </c>
      <c r="S502">
        <v>19</v>
      </c>
      <c r="T502">
        <v>1</v>
      </c>
      <c r="U502">
        <v>3</v>
      </c>
      <c r="V502">
        <v>4</v>
      </c>
      <c r="W502">
        <v>6</v>
      </c>
      <c r="X502">
        <v>0</v>
      </c>
      <c r="Y502">
        <v>4</v>
      </c>
      <c r="Z502">
        <v>3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4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1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</row>
    <row r="503" spans="1:201" x14ac:dyDescent="0.3">
      <c r="A503" t="s">
        <v>349</v>
      </c>
      <c r="B503" t="s">
        <v>351</v>
      </c>
      <c r="C503" t="s">
        <v>200</v>
      </c>
      <c r="D503" s="1">
        <v>3928</v>
      </c>
      <c r="E503">
        <v>714</v>
      </c>
      <c r="F503">
        <v>862</v>
      </c>
      <c r="G503">
        <v>559</v>
      </c>
      <c r="H503">
        <v>80</v>
      </c>
      <c r="I503">
        <v>58</v>
      </c>
      <c r="J503">
        <v>55</v>
      </c>
      <c r="K503">
        <v>61</v>
      </c>
      <c r="L503">
        <v>363</v>
      </c>
      <c r="M503">
        <v>184</v>
      </c>
      <c r="N503">
        <v>117</v>
      </c>
      <c r="O503">
        <v>342</v>
      </c>
      <c r="P503">
        <v>28</v>
      </c>
      <c r="Q503">
        <v>40</v>
      </c>
      <c r="R503">
        <v>45</v>
      </c>
      <c r="S503">
        <v>103</v>
      </c>
      <c r="T503">
        <v>27</v>
      </c>
      <c r="U503">
        <v>18</v>
      </c>
      <c r="V503">
        <v>37</v>
      </c>
      <c r="W503">
        <v>60</v>
      </c>
      <c r="X503">
        <v>16</v>
      </c>
      <c r="Y503">
        <v>8</v>
      </c>
      <c r="Z503">
        <v>7</v>
      </c>
      <c r="AA503">
        <v>7</v>
      </c>
      <c r="AB503">
        <v>2</v>
      </c>
      <c r="AC503">
        <v>6</v>
      </c>
      <c r="AD503">
        <v>8</v>
      </c>
      <c r="AE503">
        <v>4</v>
      </c>
      <c r="AF503">
        <v>10</v>
      </c>
      <c r="AG503">
        <v>6</v>
      </c>
      <c r="AH503">
        <v>9</v>
      </c>
      <c r="AI503">
        <v>1</v>
      </c>
      <c r="AJ503">
        <v>0</v>
      </c>
      <c r="AK503">
        <v>0</v>
      </c>
      <c r="AL503">
        <v>4</v>
      </c>
      <c r="AM503">
        <v>2</v>
      </c>
      <c r="AN503">
        <v>5</v>
      </c>
      <c r="AO503">
        <v>5</v>
      </c>
      <c r="AP503">
        <v>1</v>
      </c>
      <c r="AQ503">
        <v>6</v>
      </c>
      <c r="AR503">
        <v>1</v>
      </c>
      <c r="AS503">
        <v>4</v>
      </c>
      <c r="AT503">
        <v>2</v>
      </c>
      <c r="AU503">
        <v>0</v>
      </c>
      <c r="AV503">
        <v>0</v>
      </c>
      <c r="AW503">
        <v>4</v>
      </c>
      <c r="AX503">
        <v>0</v>
      </c>
      <c r="AY503">
        <v>3</v>
      </c>
      <c r="AZ503">
        <v>18</v>
      </c>
      <c r="BA503">
        <v>1</v>
      </c>
      <c r="BB503">
        <v>0</v>
      </c>
      <c r="BC503">
        <v>1</v>
      </c>
      <c r="BD503">
        <v>0</v>
      </c>
      <c r="BE503">
        <v>0</v>
      </c>
      <c r="BF503">
        <v>2</v>
      </c>
      <c r="BG503">
        <v>2</v>
      </c>
      <c r="BH503">
        <v>1</v>
      </c>
      <c r="BI503">
        <v>2</v>
      </c>
      <c r="BJ503">
        <v>0</v>
      </c>
      <c r="BK503">
        <v>1</v>
      </c>
      <c r="BL503">
        <v>1</v>
      </c>
      <c r="BM503">
        <v>0</v>
      </c>
      <c r="BN503">
        <v>0</v>
      </c>
      <c r="BO503">
        <v>1</v>
      </c>
      <c r="BP503">
        <v>0</v>
      </c>
      <c r="BQ503">
        <v>2</v>
      </c>
      <c r="BR503">
        <v>1</v>
      </c>
      <c r="BS503">
        <v>1</v>
      </c>
      <c r="BT503">
        <v>1</v>
      </c>
      <c r="BU503">
        <v>1</v>
      </c>
      <c r="BV503">
        <v>2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1</v>
      </c>
      <c r="CC503">
        <v>3</v>
      </c>
      <c r="CD503">
        <v>1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1</v>
      </c>
      <c r="CM503">
        <v>0</v>
      </c>
      <c r="CN503">
        <v>0</v>
      </c>
      <c r="CO503">
        <v>0</v>
      </c>
      <c r="CP503">
        <v>3</v>
      </c>
      <c r="CQ503">
        <v>1</v>
      </c>
      <c r="CR503">
        <v>0</v>
      </c>
      <c r="CS503">
        <v>1</v>
      </c>
      <c r="CT503">
        <v>1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1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1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</row>
    <row r="504" spans="1:201" x14ac:dyDescent="0.3">
      <c r="A504" t="s">
        <v>349</v>
      </c>
      <c r="B504" t="s">
        <v>351</v>
      </c>
      <c r="C504" t="s">
        <v>203</v>
      </c>
      <c r="D504" s="1">
        <v>1747</v>
      </c>
      <c r="E504">
        <v>254</v>
      </c>
      <c r="F504">
        <v>465</v>
      </c>
      <c r="G504">
        <v>182</v>
      </c>
      <c r="H504">
        <v>40</v>
      </c>
      <c r="I504">
        <v>32</v>
      </c>
      <c r="J504">
        <v>42</v>
      </c>
      <c r="K504">
        <v>48</v>
      </c>
      <c r="L504">
        <v>164</v>
      </c>
      <c r="M504">
        <v>96</v>
      </c>
      <c r="N504">
        <v>59</v>
      </c>
      <c r="O504">
        <v>125</v>
      </c>
      <c r="P504">
        <v>15</v>
      </c>
      <c r="Q504">
        <v>34</v>
      </c>
      <c r="R504">
        <v>35</v>
      </c>
      <c r="S504">
        <v>5</v>
      </c>
      <c r="T504">
        <v>6</v>
      </c>
      <c r="U504">
        <v>4</v>
      </c>
      <c r="V504">
        <v>26</v>
      </c>
      <c r="W504">
        <v>29</v>
      </c>
      <c r="X504">
        <v>12</v>
      </c>
      <c r="Y504">
        <v>1</v>
      </c>
      <c r="Z504">
        <v>6</v>
      </c>
      <c r="AA504">
        <v>3</v>
      </c>
      <c r="AB504">
        <v>0</v>
      </c>
      <c r="AC504">
        <v>4</v>
      </c>
      <c r="AD504">
        <v>2</v>
      </c>
      <c r="AE504">
        <v>4</v>
      </c>
      <c r="AF504">
        <v>8</v>
      </c>
      <c r="AG504">
        <v>4</v>
      </c>
      <c r="AH504">
        <v>7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2</v>
      </c>
      <c r="AO504">
        <v>5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8</v>
      </c>
      <c r="BA504">
        <v>0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2</v>
      </c>
      <c r="BH504">
        <v>0</v>
      </c>
      <c r="BI504">
        <v>1</v>
      </c>
      <c r="BJ504">
        <v>0</v>
      </c>
      <c r="BK504">
        <v>1</v>
      </c>
      <c r="BL504">
        <v>1</v>
      </c>
      <c r="BM504">
        <v>0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0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</v>
      </c>
      <c r="CC504">
        <v>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</v>
      </c>
      <c r="CQ504">
        <v>0</v>
      </c>
      <c r="CR504">
        <v>0</v>
      </c>
      <c r="CS504">
        <v>1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</row>
    <row r="505" spans="1:201" x14ac:dyDescent="0.3">
      <c r="A505" t="s">
        <v>349</v>
      </c>
      <c r="B505" t="s">
        <v>351</v>
      </c>
      <c r="C505" t="s">
        <v>204</v>
      </c>
      <c r="D505" s="1">
        <v>2181</v>
      </c>
      <c r="E505">
        <v>460</v>
      </c>
      <c r="F505">
        <v>397</v>
      </c>
      <c r="G505">
        <v>377</v>
      </c>
      <c r="H505">
        <v>40</v>
      </c>
      <c r="I505">
        <v>26</v>
      </c>
      <c r="J505">
        <v>13</v>
      </c>
      <c r="K505">
        <v>13</v>
      </c>
      <c r="L505">
        <v>199</v>
      </c>
      <c r="M505">
        <v>88</v>
      </c>
      <c r="N505">
        <v>58</v>
      </c>
      <c r="O505">
        <v>217</v>
      </c>
      <c r="P505">
        <v>13</v>
      </c>
      <c r="Q505">
        <v>6</v>
      </c>
      <c r="R505">
        <v>10</v>
      </c>
      <c r="S505">
        <v>98</v>
      </c>
      <c r="T505">
        <v>21</v>
      </c>
      <c r="U505">
        <v>14</v>
      </c>
      <c r="V505">
        <v>11</v>
      </c>
      <c r="W505">
        <v>31</v>
      </c>
      <c r="X505">
        <v>4</v>
      </c>
      <c r="Y505">
        <v>7</v>
      </c>
      <c r="Z505">
        <v>1</v>
      </c>
      <c r="AA505">
        <v>4</v>
      </c>
      <c r="AB505">
        <v>2</v>
      </c>
      <c r="AC505">
        <v>2</v>
      </c>
      <c r="AD505">
        <v>6</v>
      </c>
      <c r="AE505">
        <v>0</v>
      </c>
      <c r="AF505">
        <v>2</v>
      </c>
      <c r="AG505">
        <v>2</v>
      </c>
      <c r="AH505">
        <v>2</v>
      </c>
      <c r="AI505">
        <v>0</v>
      </c>
      <c r="AJ505">
        <v>0</v>
      </c>
      <c r="AK505">
        <v>0</v>
      </c>
      <c r="AL505">
        <v>4</v>
      </c>
      <c r="AM505">
        <v>2</v>
      </c>
      <c r="AN505">
        <v>3</v>
      </c>
      <c r="AO505">
        <v>0</v>
      </c>
      <c r="AP505">
        <v>0</v>
      </c>
      <c r="AQ505">
        <v>5</v>
      </c>
      <c r="AR505">
        <v>0</v>
      </c>
      <c r="AS505">
        <v>3</v>
      </c>
      <c r="AT505">
        <v>1</v>
      </c>
      <c r="AU505">
        <v>0</v>
      </c>
      <c r="AV505">
        <v>0</v>
      </c>
      <c r="AW505">
        <v>3</v>
      </c>
      <c r="AX505">
        <v>0</v>
      </c>
      <c r="AY505">
        <v>3</v>
      </c>
      <c r="AZ505">
        <v>10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2</v>
      </c>
      <c r="BG505">
        <v>0</v>
      </c>
      <c r="BH505">
        <v>1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2</v>
      </c>
      <c r="BR505">
        <v>1</v>
      </c>
      <c r="BS505">
        <v>1</v>
      </c>
      <c r="BT505">
        <v>0</v>
      </c>
      <c r="BU505">
        <v>1</v>
      </c>
      <c r="BV505">
        <v>2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2</v>
      </c>
      <c r="CD505">
        <v>1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</v>
      </c>
      <c r="CL505">
        <v>1</v>
      </c>
      <c r="CM505">
        <v>0</v>
      </c>
      <c r="CN505">
        <v>0</v>
      </c>
      <c r="CO505">
        <v>0</v>
      </c>
      <c r="CP505">
        <v>2</v>
      </c>
      <c r="CQ505">
        <v>1</v>
      </c>
      <c r="CR505">
        <v>0</v>
      </c>
      <c r="CS505">
        <v>0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1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</row>
    <row r="506" spans="1:201" x14ac:dyDescent="0.3">
      <c r="A506" t="s">
        <v>349</v>
      </c>
      <c r="B506" t="s">
        <v>352</v>
      </c>
      <c r="C506" t="s">
        <v>200</v>
      </c>
      <c r="D506" s="1">
        <v>13897</v>
      </c>
      <c r="E506" s="1">
        <v>1913</v>
      </c>
      <c r="F506" s="1">
        <v>3131</v>
      </c>
      <c r="G506" s="1">
        <v>1714</v>
      </c>
      <c r="H506">
        <v>596</v>
      </c>
      <c r="I506">
        <v>362</v>
      </c>
      <c r="J506">
        <v>333</v>
      </c>
      <c r="K506">
        <v>923</v>
      </c>
      <c r="L506" s="1">
        <v>1037</v>
      </c>
      <c r="M506">
        <v>733</v>
      </c>
      <c r="N506">
        <v>446</v>
      </c>
      <c r="O506">
        <v>428</v>
      </c>
      <c r="P506">
        <v>96</v>
      </c>
      <c r="Q506">
        <v>292</v>
      </c>
      <c r="R506">
        <v>583</v>
      </c>
      <c r="S506">
        <v>150</v>
      </c>
      <c r="T506">
        <v>119</v>
      </c>
      <c r="U506">
        <v>108</v>
      </c>
      <c r="V506">
        <v>237</v>
      </c>
      <c r="W506">
        <v>112</v>
      </c>
      <c r="X506">
        <v>31</v>
      </c>
      <c r="Y506">
        <v>64</v>
      </c>
      <c r="Z506">
        <v>55</v>
      </c>
      <c r="AA506">
        <v>19</v>
      </c>
      <c r="AB506">
        <v>4</v>
      </c>
      <c r="AC506">
        <v>22</v>
      </c>
      <c r="AD506">
        <v>14</v>
      </c>
      <c r="AE506">
        <v>27</v>
      </c>
      <c r="AF506">
        <v>20</v>
      </c>
      <c r="AG506">
        <v>13</v>
      </c>
      <c r="AH506">
        <v>5</v>
      </c>
      <c r="AI506">
        <v>17</v>
      </c>
      <c r="AJ506">
        <v>57</v>
      </c>
      <c r="AK506">
        <v>5</v>
      </c>
      <c r="AL506">
        <v>19</v>
      </c>
      <c r="AM506">
        <v>6</v>
      </c>
      <c r="AN506">
        <v>10</v>
      </c>
      <c r="AO506">
        <v>8</v>
      </c>
      <c r="AP506">
        <v>5</v>
      </c>
      <c r="AQ506">
        <v>11</v>
      </c>
      <c r="AR506">
        <v>13</v>
      </c>
      <c r="AS506">
        <v>3</v>
      </c>
      <c r="AT506">
        <v>5</v>
      </c>
      <c r="AU506">
        <v>15</v>
      </c>
      <c r="AV506">
        <v>10</v>
      </c>
      <c r="AW506">
        <v>4</v>
      </c>
      <c r="AX506">
        <v>4</v>
      </c>
      <c r="AY506">
        <v>6</v>
      </c>
      <c r="AZ506">
        <v>24</v>
      </c>
      <c r="BA506">
        <v>2</v>
      </c>
      <c r="BB506">
        <v>0</v>
      </c>
      <c r="BC506">
        <v>0</v>
      </c>
      <c r="BD506">
        <v>1</v>
      </c>
      <c r="BE506">
        <v>1</v>
      </c>
      <c r="BF506">
        <v>4</v>
      </c>
      <c r="BG506">
        <v>5</v>
      </c>
      <c r="BH506">
        <v>1</v>
      </c>
      <c r="BI506">
        <v>3</v>
      </c>
      <c r="BJ506">
        <v>2</v>
      </c>
      <c r="BK506">
        <v>0</v>
      </c>
      <c r="BL506">
        <v>0</v>
      </c>
      <c r="BM506">
        <v>0</v>
      </c>
      <c r="BN506">
        <v>7</v>
      </c>
      <c r="BO506">
        <v>6</v>
      </c>
      <c r="BP506">
        <v>0</v>
      </c>
      <c r="BQ506">
        <v>2</v>
      </c>
      <c r="BR506">
        <v>0</v>
      </c>
      <c r="BS506">
        <v>3</v>
      </c>
      <c r="BT506">
        <v>1</v>
      </c>
      <c r="BU506">
        <v>4</v>
      </c>
      <c r="BV506">
        <v>3</v>
      </c>
      <c r="BW506">
        <v>1</v>
      </c>
      <c r="BX506">
        <v>2</v>
      </c>
      <c r="BY506">
        <v>2</v>
      </c>
      <c r="BZ506">
        <v>0</v>
      </c>
      <c r="CA506">
        <v>0</v>
      </c>
      <c r="CB506">
        <v>3</v>
      </c>
      <c r="CC506">
        <v>2</v>
      </c>
      <c r="CD506">
        <v>3</v>
      </c>
      <c r="CE506">
        <v>1</v>
      </c>
      <c r="CF506">
        <v>1</v>
      </c>
      <c r="CG506">
        <v>3</v>
      </c>
      <c r="CH506">
        <v>0</v>
      </c>
      <c r="CI506">
        <v>2</v>
      </c>
      <c r="CJ506">
        <v>1</v>
      </c>
      <c r="CK506">
        <v>1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0</v>
      </c>
      <c r="CR506">
        <v>0</v>
      </c>
      <c r="CS506">
        <v>4</v>
      </c>
      <c r="CT506">
        <v>1</v>
      </c>
      <c r="CU506">
        <v>0</v>
      </c>
      <c r="CV506">
        <v>1</v>
      </c>
      <c r="CW506">
        <v>0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0</v>
      </c>
      <c r="DD506">
        <v>0</v>
      </c>
      <c r="DE506">
        <v>1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1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1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1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1</v>
      </c>
      <c r="ER506">
        <v>0</v>
      </c>
      <c r="ES506">
        <v>1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1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1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4</v>
      </c>
      <c r="FU506">
        <v>0</v>
      </c>
      <c r="FV506">
        <v>0</v>
      </c>
      <c r="FW506">
        <v>0</v>
      </c>
      <c r="FX506">
        <v>1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</row>
    <row r="507" spans="1:201" x14ac:dyDescent="0.3">
      <c r="A507" t="s">
        <v>349</v>
      </c>
      <c r="B507" t="s">
        <v>352</v>
      </c>
      <c r="C507" t="s">
        <v>203</v>
      </c>
      <c r="D507" s="1">
        <v>8832</v>
      </c>
      <c r="E507" s="1">
        <v>1072</v>
      </c>
      <c r="F507" s="1">
        <v>1787</v>
      </c>
      <c r="G507">
        <v>663</v>
      </c>
      <c r="H507">
        <v>533</v>
      </c>
      <c r="I507">
        <v>209</v>
      </c>
      <c r="J507">
        <v>265</v>
      </c>
      <c r="K507">
        <v>877</v>
      </c>
      <c r="L507">
        <v>955</v>
      </c>
      <c r="M507">
        <v>557</v>
      </c>
      <c r="N507">
        <v>271</v>
      </c>
      <c r="O507">
        <v>211</v>
      </c>
      <c r="P507">
        <v>48</v>
      </c>
      <c r="Q507">
        <v>261</v>
      </c>
      <c r="R507">
        <v>471</v>
      </c>
      <c r="S507">
        <v>18</v>
      </c>
      <c r="T507">
        <v>39</v>
      </c>
      <c r="U507">
        <v>48</v>
      </c>
      <c r="V507">
        <v>205</v>
      </c>
      <c r="W507">
        <v>53</v>
      </c>
      <c r="X507">
        <v>20</v>
      </c>
      <c r="Y507">
        <v>37</v>
      </c>
      <c r="Z507">
        <v>26</v>
      </c>
      <c r="AA507">
        <v>6</v>
      </c>
      <c r="AB507">
        <v>1</v>
      </c>
      <c r="AC507">
        <v>11</v>
      </c>
      <c r="AD507">
        <v>4</v>
      </c>
      <c r="AE507">
        <v>26</v>
      </c>
      <c r="AF507">
        <v>14</v>
      </c>
      <c r="AG507">
        <v>4</v>
      </c>
      <c r="AH507">
        <v>2</v>
      </c>
      <c r="AI507">
        <v>10</v>
      </c>
      <c r="AJ507">
        <v>22</v>
      </c>
      <c r="AK507">
        <v>3</v>
      </c>
      <c r="AL507">
        <v>8</v>
      </c>
      <c r="AM507">
        <v>1</v>
      </c>
      <c r="AN507">
        <v>5</v>
      </c>
      <c r="AO507">
        <v>5</v>
      </c>
      <c r="AP507">
        <v>4</v>
      </c>
      <c r="AQ507">
        <v>0</v>
      </c>
      <c r="AR507">
        <v>8</v>
      </c>
      <c r="AS507">
        <v>0</v>
      </c>
      <c r="AT507">
        <v>1</v>
      </c>
      <c r="AU507">
        <v>6</v>
      </c>
      <c r="AV507">
        <v>7</v>
      </c>
      <c r="AW507">
        <v>1</v>
      </c>
      <c r="AX507">
        <v>3</v>
      </c>
      <c r="AY507">
        <v>2</v>
      </c>
      <c r="AZ507">
        <v>10</v>
      </c>
      <c r="BA507">
        <v>0</v>
      </c>
      <c r="BB507">
        <v>0</v>
      </c>
      <c r="BC507">
        <v>0</v>
      </c>
      <c r="BD507">
        <v>1</v>
      </c>
      <c r="BE507">
        <v>1</v>
      </c>
      <c r="BF507">
        <v>3</v>
      </c>
      <c r="BG507">
        <v>4</v>
      </c>
      <c r="BH507">
        <v>1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4</v>
      </c>
      <c r="BO507">
        <v>4</v>
      </c>
      <c r="BP507">
        <v>0</v>
      </c>
      <c r="BQ507">
        <v>2</v>
      </c>
      <c r="BR507">
        <v>0</v>
      </c>
      <c r="BS507">
        <v>2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2</v>
      </c>
      <c r="BZ507">
        <v>0</v>
      </c>
      <c r="CA507">
        <v>0</v>
      </c>
      <c r="CB507">
        <v>2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1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1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1</v>
      </c>
      <c r="ER507">
        <v>0</v>
      </c>
      <c r="ES507">
        <v>1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1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1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2</v>
      </c>
      <c r="FU507">
        <v>0</v>
      </c>
      <c r="FV507">
        <v>0</v>
      </c>
      <c r="FW507">
        <v>0</v>
      </c>
      <c r="FX507">
        <v>1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</row>
    <row r="508" spans="1:201" x14ac:dyDescent="0.3">
      <c r="A508" t="s">
        <v>349</v>
      </c>
      <c r="B508" t="s">
        <v>352</v>
      </c>
      <c r="C508" t="s">
        <v>204</v>
      </c>
      <c r="D508" s="1">
        <v>5065</v>
      </c>
      <c r="E508">
        <v>841</v>
      </c>
      <c r="F508" s="1">
        <v>1344</v>
      </c>
      <c r="G508" s="1">
        <v>1051</v>
      </c>
      <c r="H508">
        <v>63</v>
      </c>
      <c r="I508">
        <v>153</v>
      </c>
      <c r="J508">
        <v>68</v>
      </c>
      <c r="K508">
        <v>46</v>
      </c>
      <c r="L508">
        <v>82</v>
      </c>
      <c r="M508">
        <v>176</v>
      </c>
      <c r="N508">
        <v>175</v>
      </c>
      <c r="O508">
        <v>217</v>
      </c>
      <c r="P508">
        <v>48</v>
      </c>
      <c r="Q508">
        <v>31</v>
      </c>
      <c r="R508">
        <v>112</v>
      </c>
      <c r="S508">
        <v>132</v>
      </c>
      <c r="T508">
        <v>80</v>
      </c>
      <c r="U508">
        <v>60</v>
      </c>
      <c r="V508">
        <v>32</v>
      </c>
      <c r="W508">
        <v>59</v>
      </c>
      <c r="X508">
        <v>11</v>
      </c>
      <c r="Y508">
        <v>27</v>
      </c>
      <c r="Z508">
        <v>29</v>
      </c>
      <c r="AA508">
        <v>13</v>
      </c>
      <c r="AB508">
        <v>3</v>
      </c>
      <c r="AC508">
        <v>11</v>
      </c>
      <c r="AD508">
        <v>10</v>
      </c>
      <c r="AE508">
        <v>1</v>
      </c>
      <c r="AF508">
        <v>6</v>
      </c>
      <c r="AG508">
        <v>9</v>
      </c>
      <c r="AH508">
        <v>3</v>
      </c>
      <c r="AI508">
        <v>7</v>
      </c>
      <c r="AJ508">
        <v>35</v>
      </c>
      <c r="AK508">
        <v>2</v>
      </c>
      <c r="AL508">
        <v>11</v>
      </c>
      <c r="AM508">
        <v>5</v>
      </c>
      <c r="AN508">
        <v>5</v>
      </c>
      <c r="AO508">
        <v>3</v>
      </c>
      <c r="AP508">
        <v>1</v>
      </c>
      <c r="AQ508">
        <v>11</v>
      </c>
      <c r="AR508">
        <v>5</v>
      </c>
      <c r="AS508">
        <v>3</v>
      </c>
      <c r="AT508">
        <v>4</v>
      </c>
      <c r="AU508">
        <v>9</v>
      </c>
      <c r="AV508">
        <v>3</v>
      </c>
      <c r="AW508">
        <v>3</v>
      </c>
      <c r="AX508">
        <v>1</v>
      </c>
      <c r="AY508">
        <v>4</v>
      </c>
      <c r="AZ508">
        <v>14</v>
      </c>
      <c r="BA508">
        <v>2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1</v>
      </c>
      <c r="BH508">
        <v>0</v>
      </c>
      <c r="BI508">
        <v>2</v>
      </c>
      <c r="BJ508">
        <v>2</v>
      </c>
      <c r="BK508">
        <v>0</v>
      </c>
      <c r="BL508">
        <v>0</v>
      </c>
      <c r="BM508">
        <v>0</v>
      </c>
      <c r="BN508">
        <v>3</v>
      </c>
      <c r="BO508">
        <v>2</v>
      </c>
      <c r="BP508">
        <v>0</v>
      </c>
      <c r="BQ508">
        <v>0</v>
      </c>
      <c r="BR508">
        <v>0</v>
      </c>
      <c r="BS508">
        <v>1</v>
      </c>
      <c r="BT508">
        <v>0</v>
      </c>
      <c r="BU508">
        <v>3</v>
      </c>
      <c r="BV508">
        <v>2</v>
      </c>
      <c r="BW508">
        <v>0</v>
      </c>
      <c r="BX508">
        <v>1</v>
      </c>
      <c r="BY508">
        <v>0</v>
      </c>
      <c r="BZ508">
        <v>0</v>
      </c>
      <c r="CA508">
        <v>0</v>
      </c>
      <c r="CB508">
        <v>1</v>
      </c>
      <c r="CC508">
        <v>2</v>
      </c>
      <c r="CD508">
        <v>3</v>
      </c>
      <c r="CE508">
        <v>1</v>
      </c>
      <c r="CF508">
        <v>1</v>
      </c>
      <c r="CG508">
        <v>3</v>
      </c>
      <c r="CH508">
        <v>0</v>
      </c>
      <c r="CI508">
        <v>2</v>
      </c>
      <c r="CJ508">
        <v>1</v>
      </c>
      <c r="CK508">
        <v>1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4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1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1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1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1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2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</row>
    <row r="509" spans="1:201" x14ac:dyDescent="0.3">
      <c r="A509" t="s">
        <v>349</v>
      </c>
      <c r="B509" t="s">
        <v>298</v>
      </c>
      <c r="C509" t="s">
        <v>200</v>
      </c>
      <c r="D509" s="1">
        <v>1045</v>
      </c>
      <c r="E509">
        <v>139</v>
      </c>
      <c r="F509">
        <v>236</v>
      </c>
      <c r="G509">
        <v>209</v>
      </c>
      <c r="H509">
        <v>32</v>
      </c>
      <c r="I509">
        <v>21</v>
      </c>
      <c r="J509">
        <v>17</v>
      </c>
      <c r="K509">
        <v>50</v>
      </c>
      <c r="L509">
        <v>67</v>
      </c>
      <c r="M509">
        <v>42</v>
      </c>
      <c r="N509">
        <v>28</v>
      </c>
      <c r="O509">
        <v>7</v>
      </c>
      <c r="P509">
        <v>7</v>
      </c>
      <c r="Q509">
        <v>10</v>
      </c>
      <c r="R509">
        <v>22</v>
      </c>
      <c r="S509">
        <v>14</v>
      </c>
      <c r="T509">
        <v>5</v>
      </c>
      <c r="U509">
        <v>0</v>
      </c>
      <c r="V509">
        <v>24</v>
      </c>
      <c r="W509">
        <v>72</v>
      </c>
      <c r="X509">
        <v>4</v>
      </c>
      <c r="Y509">
        <v>0</v>
      </c>
      <c r="Z509">
        <v>8</v>
      </c>
      <c r="AA509">
        <v>2</v>
      </c>
      <c r="AB509">
        <v>0</v>
      </c>
      <c r="AC509">
        <v>2</v>
      </c>
      <c r="AD509">
        <v>0</v>
      </c>
      <c r="AE509">
        <v>5</v>
      </c>
      <c r="AF509">
        <v>1</v>
      </c>
      <c r="AG509">
        <v>0</v>
      </c>
      <c r="AH509">
        <v>0</v>
      </c>
      <c r="AI509">
        <v>3</v>
      </c>
      <c r="AJ509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4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5</v>
      </c>
      <c r="BP509">
        <v>0</v>
      </c>
      <c r="BQ509">
        <v>0</v>
      </c>
      <c r="BR509">
        <v>1</v>
      </c>
      <c r="BS509">
        <v>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1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2</v>
      </c>
    </row>
    <row r="510" spans="1:201" x14ac:dyDescent="0.3">
      <c r="A510" t="s">
        <v>349</v>
      </c>
      <c r="B510" t="s">
        <v>298</v>
      </c>
      <c r="C510" t="s">
        <v>203</v>
      </c>
      <c r="D510">
        <v>585</v>
      </c>
      <c r="E510">
        <v>62</v>
      </c>
      <c r="F510">
        <v>134</v>
      </c>
      <c r="G510">
        <v>68</v>
      </c>
      <c r="H510">
        <v>25</v>
      </c>
      <c r="I510">
        <v>14</v>
      </c>
      <c r="J510">
        <v>8</v>
      </c>
      <c r="K510">
        <v>47</v>
      </c>
      <c r="L510">
        <v>63</v>
      </c>
      <c r="M510">
        <v>25</v>
      </c>
      <c r="N510">
        <v>12</v>
      </c>
      <c r="O510">
        <v>3</v>
      </c>
      <c r="P510">
        <v>2</v>
      </c>
      <c r="Q510">
        <v>9</v>
      </c>
      <c r="R510">
        <v>20</v>
      </c>
      <c r="S510">
        <v>2</v>
      </c>
      <c r="T510">
        <v>3</v>
      </c>
      <c r="U510">
        <v>0</v>
      </c>
      <c r="V510">
        <v>20</v>
      </c>
      <c r="W510">
        <v>38</v>
      </c>
      <c r="X510">
        <v>4</v>
      </c>
      <c r="Y510">
        <v>0</v>
      </c>
      <c r="Z510">
        <v>7</v>
      </c>
      <c r="AA510">
        <v>2</v>
      </c>
      <c r="AB510">
        <v>0</v>
      </c>
      <c r="AC510">
        <v>2</v>
      </c>
      <c r="AD510">
        <v>0</v>
      </c>
      <c r="AE510">
        <v>5</v>
      </c>
      <c r="AF510">
        <v>1</v>
      </c>
      <c r="AG510">
        <v>0</v>
      </c>
      <c r="AH510">
        <v>0</v>
      </c>
      <c r="AI510">
        <v>3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1</v>
      </c>
      <c r="BP510">
        <v>0</v>
      </c>
      <c r="BQ510">
        <v>0</v>
      </c>
      <c r="BR510">
        <v>1</v>
      </c>
      <c r="BS510">
        <v>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</row>
    <row r="511" spans="1:201" x14ac:dyDescent="0.3">
      <c r="A511" t="s">
        <v>349</v>
      </c>
      <c r="B511" t="s">
        <v>298</v>
      </c>
      <c r="C511" t="s">
        <v>204</v>
      </c>
      <c r="D511">
        <v>460</v>
      </c>
      <c r="E511">
        <v>77</v>
      </c>
      <c r="F511">
        <v>102</v>
      </c>
      <c r="G511">
        <v>141</v>
      </c>
      <c r="H511">
        <v>7</v>
      </c>
      <c r="I511">
        <v>7</v>
      </c>
      <c r="J511">
        <v>9</v>
      </c>
      <c r="K511">
        <v>3</v>
      </c>
      <c r="L511">
        <v>4</v>
      </c>
      <c r="M511">
        <v>17</v>
      </c>
      <c r="N511">
        <v>16</v>
      </c>
      <c r="O511">
        <v>4</v>
      </c>
      <c r="P511">
        <v>5</v>
      </c>
      <c r="Q511">
        <v>1</v>
      </c>
      <c r="R511">
        <v>2</v>
      </c>
      <c r="S511">
        <v>12</v>
      </c>
      <c r="T511">
        <v>2</v>
      </c>
      <c r="U511">
        <v>0</v>
      </c>
      <c r="V511">
        <v>4</v>
      </c>
      <c r="W511">
        <v>34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1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2</v>
      </c>
    </row>
    <row r="512" spans="1:201" x14ac:dyDescent="0.3">
      <c r="A512" t="s">
        <v>349</v>
      </c>
      <c r="B512" t="s">
        <v>353</v>
      </c>
      <c r="C512" t="s">
        <v>200</v>
      </c>
      <c r="D512" s="1">
        <v>14794</v>
      </c>
      <c r="E512" s="1">
        <v>2023</v>
      </c>
      <c r="F512" s="1">
        <v>3512</v>
      </c>
      <c r="G512" s="1">
        <v>2790</v>
      </c>
      <c r="H512">
        <v>164</v>
      </c>
      <c r="I512" s="1">
        <v>1081</v>
      </c>
      <c r="J512">
        <v>89</v>
      </c>
      <c r="K512">
        <v>196</v>
      </c>
      <c r="L512">
        <v>661</v>
      </c>
      <c r="M512">
        <v>209</v>
      </c>
      <c r="N512">
        <v>233</v>
      </c>
      <c r="O512">
        <v>723</v>
      </c>
      <c r="P512">
        <v>54</v>
      </c>
      <c r="Q512">
        <v>49</v>
      </c>
      <c r="R512">
        <v>148</v>
      </c>
      <c r="S512">
        <v>187</v>
      </c>
      <c r="T512">
        <v>204</v>
      </c>
      <c r="U512">
        <v>183</v>
      </c>
      <c r="V512">
        <v>156</v>
      </c>
      <c r="W512">
        <v>512</v>
      </c>
      <c r="X512">
        <v>89</v>
      </c>
      <c r="Y512">
        <v>26</v>
      </c>
      <c r="Z512">
        <v>252</v>
      </c>
      <c r="AA512">
        <v>55</v>
      </c>
      <c r="AB512">
        <v>33</v>
      </c>
      <c r="AC512">
        <v>15</v>
      </c>
      <c r="AD512">
        <v>14</v>
      </c>
      <c r="AE512">
        <v>5</v>
      </c>
      <c r="AF512">
        <v>15</v>
      </c>
      <c r="AG512">
        <v>29</v>
      </c>
      <c r="AH512">
        <v>31</v>
      </c>
      <c r="AI512">
        <v>112</v>
      </c>
      <c r="AJ512">
        <v>66</v>
      </c>
      <c r="AK512">
        <v>15</v>
      </c>
      <c r="AL512">
        <v>16</v>
      </c>
      <c r="AM512">
        <v>6</v>
      </c>
      <c r="AN512">
        <v>8</v>
      </c>
      <c r="AO512">
        <v>22</v>
      </c>
      <c r="AP512">
        <v>61</v>
      </c>
      <c r="AQ512">
        <v>23</v>
      </c>
      <c r="AR512">
        <v>22</v>
      </c>
      <c r="AS512">
        <v>10</v>
      </c>
      <c r="AT512">
        <v>5</v>
      </c>
      <c r="AU512">
        <v>36</v>
      </c>
      <c r="AV512">
        <v>20</v>
      </c>
      <c r="AW512">
        <v>7</v>
      </c>
      <c r="AX512">
        <v>77</v>
      </c>
      <c r="AY512">
        <v>8</v>
      </c>
      <c r="AZ512">
        <v>33</v>
      </c>
      <c r="BA512">
        <v>1</v>
      </c>
      <c r="BB512">
        <v>5</v>
      </c>
      <c r="BC512">
        <v>0</v>
      </c>
      <c r="BD512">
        <v>66</v>
      </c>
      <c r="BE512">
        <v>10</v>
      </c>
      <c r="BF512">
        <v>51</v>
      </c>
      <c r="BG512">
        <v>5</v>
      </c>
      <c r="BH512">
        <v>8</v>
      </c>
      <c r="BI512">
        <v>9</v>
      </c>
      <c r="BJ512">
        <v>6</v>
      </c>
      <c r="BK512">
        <v>3</v>
      </c>
      <c r="BL512">
        <v>2</v>
      </c>
      <c r="BM512">
        <v>4</v>
      </c>
      <c r="BN512">
        <v>2</v>
      </c>
      <c r="BO512">
        <v>84</v>
      </c>
      <c r="BP512">
        <v>0</v>
      </c>
      <c r="BQ512">
        <v>9</v>
      </c>
      <c r="BR512">
        <v>6</v>
      </c>
      <c r="BS512">
        <v>1</v>
      </c>
      <c r="BT512">
        <v>1</v>
      </c>
      <c r="BU512">
        <v>144</v>
      </c>
      <c r="BV512">
        <v>2</v>
      </c>
      <c r="BW512">
        <v>0</v>
      </c>
      <c r="BX512">
        <v>1</v>
      </c>
      <c r="BY512">
        <v>6</v>
      </c>
      <c r="BZ512">
        <v>4</v>
      </c>
      <c r="CA512">
        <v>1</v>
      </c>
      <c r="CB512">
        <v>0</v>
      </c>
      <c r="CC512">
        <v>1</v>
      </c>
      <c r="CD512">
        <v>2</v>
      </c>
      <c r="CE512">
        <v>0</v>
      </c>
      <c r="CF512">
        <v>1</v>
      </c>
      <c r="CG512">
        <v>1</v>
      </c>
      <c r="CH512">
        <v>3</v>
      </c>
      <c r="CI512">
        <v>3</v>
      </c>
      <c r="CJ512">
        <v>3</v>
      </c>
      <c r="CK512">
        <v>6</v>
      </c>
      <c r="CL512">
        <v>0</v>
      </c>
      <c r="CM512">
        <v>8</v>
      </c>
      <c r="CN512">
        <v>0</v>
      </c>
      <c r="CO512">
        <v>2</v>
      </c>
      <c r="CP512">
        <v>3</v>
      </c>
      <c r="CQ512">
        <v>0</v>
      </c>
      <c r="CR512">
        <v>4</v>
      </c>
      <c r="CS512">
        <v>2</v>
      </c>
      <c r="CT512">
        <v>3</v>
      </c>
      <c r="CU512">
        <v>1</v>
      </c>
      <c r="CV512">
        <v>0</v>
      </c>
      <c r="CW512">
        <v>2</v>
      </c>
      <c r="CX512">
        <v>0</v>
      </c>
      <c r="CY512">
        <v>0</v>
      </c>
      <c r="CZ512">
        <v>0</v>
      </c>
      <c r="DA512">
        <v>1</v>
      </c>
      <c r="DB512">
        <v>11</v>
      </c>
      <c r="DC512">
        <v>0</v>
      </c>
      <c r="DD512">
        <v>2</v>
      </c>
      <c r="DE512">
        <v>0</v>
      </c>
      <c r="DF512">
        <v>0</v>
      </c>
      <c r="DG512">
        <v>0</v>
      </c>
      <c r="DH512">
        <v>1</v>
      </c>
      <c r="DI512">
        <v>2</v>
      </c>
      <c r="DJ512">
        <v>0</v>
      </c>
      <c r="DK512">
        <v>0</v>
      </c>
      <c r="DL512">
        <v>1</v>
      </c>
      <c r="DM512">
        <v>0</v>
      </c>
      <c r="DN512">
        <v>0</v>
      </c>
      <c r="DO512">
        <v>1</v>
      </c>
      <c r="DP512">
        <v>3</v>
      </c>
      <c r="DQ512">
        <v>1</v>
      </c>
      <c r="DR512">
        <v>0</v>
      </c>
      <c r="DS512">
        <v>0</v>
      </c>
      <c r="DT512">
        <v>1</v>
      </c>
      <c r="DU512">
        <v>0</v>
      </c>
      <c r="DV512">
        <v>1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1</v>
      </c>
      <c r="EC512">
        <v>0</v>
      </c>
      <c r="ED512">
        <v>0</v>
      </c>
      <c r="EE512">
        <v>0</v>
      </c>
      <c r="EF512">
        <v>0</v>
      </c>
      <c r="EG512">
        <v>1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1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1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3</v>
      </c>
    </row>
    <row r="513" spans="1:201" x14ac:dyDescent="0.3">
      <c r="A513" t="s">
        <v>349</v>
      </c>
      <c r="B513" t="s">
        <v>353</v>
      </c>
      <c r="C513" t="s">
        <v>203</v>
      </c>
      <c r="D513" s="1">
        <v>7534</v>
      </c>
      <c r="E513">
        <v>865</v>
      </c>
      <c r="F513" s="1">
        <v>2002</v>
      </c>
      <c r="G513" s="1">
        <v>1148</v>
      </c>
      <c r="H513">
        <v>118</v>
      </c>
      <c r="I513">
        <v>717</v>
      </c>
      <c r="J513">
        <v>55</v>
      </c>
      <c r="K513">
        <v>150</v>
      </c>
      <c r="L513">
        <v>371</v>
      </c>
      <c r="M513">
        <v>72</v>
      </c>
      <c r="N513">
        <v>58</v>
      </c>
      <c r="O513">
        <v>356</v>
      </c>
      <c r="P513">
        <v>27</v>
      </c>
      <c r="Q513">
        <v>37</v>
      </c>
      <c r="R513">
        <v>116</v>
      </c>
      <c r="S513">
        <v>24</v>
      </c>
      <c r="T513">
        <v>75</v>
      </c>
      <c r="U513">
        <v>80</v>
      </c>
      <c r="V513">
        <v>105</v>
      </c>
      <c r="W513">
        <v>287</v>
      </c>
      <c r="X513">
        <v>54</v>
      </c>
      <c r="Y513">
        <v>11</v>
      </c>
      <c r="Z513">
        <v>130</v>
      </c>
      <c r="AA513">
        <v>33</v>
      </c>
      <c r="AB513">
        <v>11</v>
      </c>
      <c r="AC513">
        <v>7</v>
      </c>
      <c r="AD513">
        <v>5</v>
      </c>
      <c r="AE513">
        <v>5</v>
      </c>
      <c r="AF513">
        <v>9</v>
      </c>
      <c r="AG513">
        <v>10</v>
      </c>
      <c r="AH513">
        <v>14</v>
      </c>
      <c r="AI513">
        <v>63</v>
      </c>
      <c r="AJ513">
        <v>26</v>
      </c>
      <c r="AK513">
        <v>9</v>
      </c>
      <c r="AL513">
        <v>8</v>
      </c>
      <c r="AM513">
        <v>3</v>
      </c>
      <c r="AN513">
        <v>5</v>
      </c>
      <c r="AO513">
        <v>12</v>
      </c>
      <c r="AP513">
        <v>36</v>
      </c>
      <c r="AQ513">
        <v>5</v>
      </c>
      <c r="AR513">
        <v>11</v>
      </c>
      <c r="AS513">
        <v>2</v>
      </c>
      <c r="AT513">
        <v>3</v>
      </c>
      <c r="AU513">
        <v>14</v>
      </c>
      <c r="AV513">
        <v>14</v>
      </c>
      <c r="AW513">
        <v>3</v>
      </c>
      <c r="AX513">
        <v>53</v>
      </c>
      <c r="AY513">
        <v>2</v>
      </c>
      <c r="AZ513">
        <v>19</v>
      </c>
      <c r="BA513">
        <v>1</v>
      </c>
      <c r="BB513">
        <v>3</v>
      </c>
      <c r="BC513">
        <v>0</v>
      </c>
      <c r="BD513">
        <v>38</v>
      </c>
      <c r="BE513">
        <v>5</v>
      </c>
      <c r="BF513">
        <v>32</v>
      </c>
      <c r="BG513">
        <v>2</v>
      </c>
      <c r="BH513">
        <v>0</v>
      </c>
      <c r="BI513">
        <v>3</v>
      </c>
      <c r="BJ513">
        <v>3</v>
      </c>
      <c r="BK513">
        <v>1</v>
      </c>
      <c r="BL513">
        <v>2</v>
      </c>
      <c r="BM513">
        <v>1</v>
      </c>
      <c r="BN513">
        <v>0</v>
      </c>
      <c r="BO513">
        <v>43</v>
      </c>
      <c r="BP513">
        <v>0</v>
      </c>
      <c r="BQ513">
        <v>3</v>
      </c>
      <c r="BR513">
        <v>2</v>
      </c>
      <c r="BS513">
        <v>1</v>
      </c>
      <c r="BT513">
        <v>1</v>
      </c>
      <c r="BU513">
        <v>100</v>
      </c>
      <c r="BV513">
        <v>0</v>
      </c>
      <c r="BW513">
        <v>0</v>
      </c>
      <c r="BX513">
        <v>1</v>
      </c>
      <c r="BY513">
        <v>3</v>
      </c>
      <c r="BZ513">
        <v>4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2</v>
      </c>
      <c r="CI513">
        <v>2</v>
      </c>
      <c r="CJ513">
        <v>3</v>
      </c>
      <c r="CK513">
        <v>6</v>
      </c>
      <c r="CL513">
        <v>0</v>
      </c>
      <c r="CM513">
        <v>4</v>
      </c>
      <c r="CN513">
        <v>0</v>
      </c>
      <c r="CO513">
        <v>2</v>
      </c>
      <c r="CP513">
        <v>2</v>
      </c>
      <c r="CQ513">
        <v>0</v>
      </c>
      <c r="CR513">
        <v>2</v>
      </c>
      <c r="CS513">
        <v>1</v>
      </c>
      <c r="CT513">
        <v>2</v>
      </c>
      <c r="CU513">
        <v>1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</v>
      </c>
      <c r="DB513">
        <v>9</v>
      </c>
      <c r="DC513">
        <v>0</v>
      </c>
      <c r="DD513">
        <v>1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1</v>
      </c>
      <c r="DQ513">
        <v>1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1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1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1</v>
      </c>
    </row>
    <row r="514" spans="1:201" x14ac:dyDescent="0.3">
      <c r="A514" t="s">
        <v>349</v>
      </c>
      <c r="B514" t="s">
        <v>353</v>
      </c>
      <c r="C514" t="s">
        <v>204</v>
      </c>
      <c r="D514" s="1">
        <v>7260</v>
      </c>
      <c r="E514" s="1">
        <v>1158</v>
      </c>
      <c r="F514" s="1">
        <v>1510</v>
      </c>
      <c r="G514" s="1">
        <v>1642</v>
      </c>
      <c r="H514">
        <v>46</v>
      </c>
      <c r="I514">
        <v>364</v>
      </c>
      <c r="J514">
        <v>34</v>
      </c>
      <c r="K514">
        <v>46</v>
      </c>
      <c r="L514">
        <v>290</v>
      </c>
      <c r="M514">
        <v>137</v>
      </c>
      <c r="N514">
        <v>175</v>
      </c>
      <c r="O514">
        <v>367</v>
      </c>
      <c r="P514">
        <v>27</v>
      </c>
      <c r="Q514">
        <v>12</v>
      </c>
      <c r="R514">
        <v>32</v>
      </c>
      <c r="S514">
        <v>163</v>
      </c>
      <c r="T514">
        <v>129</v>
      </c>
      <c r="U514">
        <v>103</v>
      </c>
      <c r="V514">
        <v>51</v>
      </c>
      <c r="W514">
        <v>225</v>
      </c>
      <c r="X514">
        <v>35</v>
      </c>
      <c r="Y514">
        <v>15</v>
      </c>
      <c r="Z514">
        <v>122</v>
      </c>
      <c r="AA514">
        <v>22</v>
      </c>
      <c r="AB514">
        <v>22</v>
      </c>
      <c r="AC514">
        <v>8</v>
      </c>
      <c r="AD514">
        <v>9</v>
      </c>
      <c r="AE514">
        <v>0</v>
      </c>
      <c r="AF514">
        <v>6</v>
      </c>
      <c r="AG514">
        <v>19</v>
      </c>
      <c r="AH514">
        <v>17</v>
      </c>
      <c r="AI514">
        <v>49</v>
      </c>
      <c r="AJ514">
        <v>40</v>
      </c>
      <c r="AK514">
        <v>6</v>
      </c>
      <c r="AL514">
        <v>8</v>
      </c>
      <c r="AM514">
        <v>3</v>
      </c>
      <c r="AN514">
        <v>3</v>
      </c>
      <c r="AO514">
        <v>10</v>
      </c>
      <c r="AP514">
        <v>25</v>
      </c>
      <c r="AQ514">
        <v>18</v>
      </c>
      <c r="AR514">
        <v>11</v>
      </c>
      <c r="AS514">
        <v>8</v>
      </c>
      <c r="AT514">
        <v>2</v>
      </c>
      <c r="AU514">
        <v>22</v>
      </c>
      <c r="AV514">
        <v>6</v>
      </c>
      <c r="AW514">
        <v>4</v>
      </c>
      <c r="AX514">
        <v>24</v>
      </c>
      <c r="AY514">
        <v>6</v>
      </c>
      <c r="AZ514">
        <v>14</v>
      </c>
      <c r="BA514">
        <v>0</v>
      </c>
      <c r="BB514">
        <v>2</v>
      </c>
      <c r="BC514">
        <v>0</v>
      </c>
      <c r="BD514">
        <v>28</v>
      </c>
      <c r="BE514">
        <v>5</v>
      </c>
      <c r="BF514">
        <v>19</v>
      </c>
      <c r="BG514">
        <v>3</v>
      </c>
      <c r="BH514">
        <v>8</v>
      </c>
      <c r="BI514">
        <v>6</v>
      </c>
      <c r="BJ514">
        <v>3</v>
      </c>
      <c r="BK514">
        <v>2</v>
      </c>
      <c r="BL514">
        <v>0</v>
      </c>
      <c r="BM514">
        <v>3</v>
      </c>
      <c r="BN514">
        <v>2</v>
      </c>
      <c r="BO514">
        <v>41</v>
      </c>
      <c r="BP514">
        <v>0</v>
      </c>
      <c r="BQ514">
        <v>6</v>
      </c>
      <c r="BR514">
        <v>4</v>
      </c>
      <c r="BS514">
        <v>0</v>
      </c>
      <c r="BT514">
        <v>0</v>
      </c>
      <c r="BU514">
        <v>44</v>
      </c>
      <c r="BV514">
        <v>2</v>
      </c>
      <c r="BW514">
        <v>0</v>
      </c>
      <c r="BX514">
        <v>0</v>
      </c>
      <c r="BY514">
        <v>3</v>
      </c>
      <c r="BZ514">
        <v>0</v>
      </c>
      <c r="CA514">
        <v>0</v>
      </c>
      <c r="CB514">
        <v>0</v>
      </c>
      <c r="CC514">
        <v>1</v>
      </c>
      <c r="CD514">
        <v>2</v>
      </c>
      <c r="CE514">
        <v>0</v>
      </c>
      <c r="CF514">
        <v>1</v>
      </c>
      <c r="CG514">
        <v>1</v>
      </c>
      <c r="CH514">
        <v>1</v>
      </c>
      <c r="CI514">
        <v>1</v>
      </c>
      <c r="CJ514">
        <v>0</v>
      </c>
      <c r="CK514">
        <v>0</v>
      </c>
      <c r="CL514">
        <v>0</v>
      </c>
      <c r="CM514">
        <v>4</v>
      </c>
      <c r="CN514">
        <v>0</v>
      </c>
      <c r="CO514">
        <v>0</v>
      </c>
      <c r="CP514">
        <v>1</v>
      </c>
      <c r="CQ514">
        <v>0</v>
      </c>
      <c r="CR514">
        <v>2</v>
      </c>
      <c r="CS514">
        <v>1</v>
      </c>
      <c r="CT514">
        <v>1</v>
      </c>
      <c r="CU514">
        <v>0</v>
      </c>
      <c r="CV514">
        <v>0</v>
      </c>
      <c r="CW514">
        <v>2</v>
      </c>
      <c r="CX514">
        <v>0</v>
      </c>
      <c r="CY514">
        <v>0</v>
      </c>
      <c r="CZ514">
        <v>0</v>
      </c>
      <c r="DA514">
        <v>0</v>
      </c>
      <c r="DB514">
        <v>2</v>
      </c>
      <c r="DC514">
        <v>0</v>
      </c>
      <c r="DD514">
        <v>1</v>
      </c>
      <c r="DE514">
        <v>0</v>
      </c>
      <c r="DF514">
        <v>0</v>
      </c>
      <c r="DG514">
        <v>0</v>
      </c>
      <c r="DH514">
        <v>1</v>
      </c>
      <c r="DI514">
        <v>2</v>
      </c>
      <c r="DJ514">
        <v>0</v>
      </c>
      <c r="DK514">
        <v>0</v>
      </c>
      <c r="DL514">
        <v>1</v>
      </c>
      <c r="DM514">
        <v>0</v>
      </c>
      <c r="DN514">
        <v>0</v>
      </c>
      <c r="DO514">
        <v>1</v>
      </c>
      <c r="DP514">
        <v>2</v>
      </c>
      <c r="DQ514">
        <v>0</v>
      </c>
      <c r="DR514">
        <v>0</v>
      </c>
      <c r="DS514">
        <v>0</v>
      </c>
      <c r="DT514">
        <v>1</v>
      </c>
      <c r="DU514">
        <v>0</v>
      </c>
      <c r="DV514">
        <v>1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1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1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2</v>
      </c>
    </row>
    <row r="515" spans="1:201" x14ac:dyDescent="0.3">
      <c r="A515" t="s">
        <v>349</v>
      </c>
      <c r="B515" t="s">
        <v>354</v>
      </c>
      <c r="C515" t="s">
        <v>200</v>
      </c>
      <c r="D515" s="1">
        <v>18083</v>
      </c>
      <c r="E515" s="1">
        <v>1038</v>
      </c>
      <c r="F515" s="1">
        <v>9525</v>
      </c>
      <c r="G515" s="1">
        <v>3792</v>
      </c>
      <c r="H515">
        <v>113</v>
      </c>
      <c r="I515">
        <v>155</v>
      </c>
      <c r="J515">
        <v>105</v>
      </c>
      <c r="K515">
        <v>64</v>
      </c>
      <c r="L515">
        <v>929</v>
      </c>
      <c r="M515">
        <v>192</v>
      </c>
      <c r="N515">
        <v>227</v>
      </c>
      <c r="O515">
        <v>630</v>
      </c>
      <c r="P515">
        <v>103</v>
      </c>
      <c r="Q515">
        <v>45</v>
      </c>
      <c r="R515">
        <v>101</v>
      </c>
      <c r="S515">
        <v>213</v>
      </c>
      <c r="T515">
        <v>75</v>
      </c>
      <c r="U515">
        <v>29</v>
      </c>
      <c r="V515">
        <v>120</v>
      </c>
      <c r="W515">
        <v>191</v>
      </c>
      <c r="X515">
        <v>42</v>
      </c>
      <c r="Y515">
        <v>38</v>
      </c>
      <c r="Z515">
        <v>23</v>
      </c>
      <c r="AA515">
        <v>10</v>
      </c>
      <c r="AB515">
        <v>11</v>
      </c>
      <c r="AC515">
        <v>19</v>
      </c>
      <c r="AD515">
        <v>11</v>
      </c>
      <c r="AE515">
        <v>2</v>
      </c>
      <c r="AF515">
        <v>15</v>
      </c>
      <c r="AG515">
        <v>11</v>
      </c>
      <c r="AH515">
        <v>8</v>
      </c>
      <c r="AI515">
        <v>10</v>
      </c>
      <c r="AJ515">
        <v>6</v>
      </c>
      <c r="AK515">
        <v>8</v>
      </c>
      <c r="AL515">
        <v>8</v>
      </c>
      <c r="AM515">
        <v>18</v>
      </c>
      <c r="AN515">
        <v>9</v>
      </c>
      <c r="AO515">
        <v>10</v>
      </c>
      <c r="AP515">
        <v>0</v>
      </c>
      <c r="AQ515">
        <v>19</v>
      </c>
      <c r="AR515">
        <v>24</v>
      </c>
      <c r="AS515">
        <v>3</v>
      </c>
      <c r="AT515">
        <v>5</v>
      </c>
      <c r="AU515">
        <v>5</v>
      </c>
      <c r="AV515">
        <v>4</v>
      </c>
      <c r="AW515">
        <v>1</v>
      </c>
      <c r="AX515">
        <v>5</v>
      </c>
      <c r="AY515">
        <v>7</v>
      </c>
      <c r="AZ515">
        <v>5</v>
      </c>
      <c r="BA515">
        <v>8</v>
      </c>
      <c r="BB515">
        <v>0</v>
      </c>
      <c r="BC515">
        <v>2</v>
      </c>
      <c r="BD515">
        <v>0</v>
      </c>
      <c r="BE515">
        <v>0</v>
      </c>
      <c r="BF515">
        <v>1</v>
      </c>
      <c r="BG515">
        <v>4</v>
      </c>
      <c r="BH515">
        <v>2</v>
      </c>
      <c r="BI515">
        <v>5</v>
      </c>
      <c r="BJ515">
        <v>4</v>
      </c>
      <c r="BK515">
        <v>0</v>
      </c>
      <c r="BL515">
        <v>3</v>
      </c>
      <c r="BM515">
        <v>0</v>
      </c>
      <c r="BN515">
        <v>6</v>
      </c>
      <c r="BO515">
        <v>1</v>
      </c>
      <c r="BP515">
        <v>0</v>
      </c>
      <c r="BQ515">
        <v>8</v>
      </c>
      <c r="BR515">
        <v>4</v>
      </c>
      <c r="BS515">
        <v>3</v>
      </c>
      <c r="BT515">
        <v>3</v>
      </c>
      <c r="BU515">
        <v>4</v>
      </c>
      <c r="BV515">
        <v>3</v>
      </c>
      <c r="BW515">
        <v>0</v>
      </c>
      <c r="BX515">
        <v>0</v>
      </c>
      <c r="BY515">
        <v>0</v>
      </c>
      <c r="BZ515">
        <v>1</v>
      </c>
      <c r="CA515">
        <v>1</v>
      </c>
      <c r="CB515">
        <v>0</v>
      </c>
      <c r="CC515">
        <v>1</v>
      </c>
      <c r="CD515">
        <v>2</v>
      </c>
      <c r="CE515">
        <v>0</v>
      </c>
      <c r="CF515">
        <v>1</v>
      </c>
      <c r="CG515">
        <v>0</v>
      </c>
      <c r="CH515">
        <v>2</v>
      </c>
      <c r="CI515">
        <v>1</v>
      </c>
      <c r="CJ515">
        <v>0</v>
      </c>
      <c r="CK515">
        <v>2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1</v>
      </c>
      <c r="CU515">
        <v>0</v>
      </c>
      <c r="CV515">
        <v>3</v>
      </c>
      <c r="CW515">
        <v>1</v>
      </c>
      <c r="CX515">
        <v>0</v>
      </c>
      <c r="CY515">
        <v>1</v>
      </c>
      <c r="CZ515">
        <v>1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0</v>
      </c>
      <c r="DP515">
        <v>0</v>
      </c>
      <c r="DQ515">
        <v>1</v>
      </c>
      <c r="DR515">
        <v>2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1</v>
      </c>
      <c r="DZ515">
        <v>1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1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1</v>
      </c>
      <c r="EP515">
        <v>3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1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1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1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4</v>
      </c>
    </row>
    <row r="516" spans="1:201" x14ac:dyDescent="0.3">
      <c r="A516" t="s">
        <v>349</v>
      </c>
      <c r="B516" t="s">
        <v>354</v>
      </c>
      <c r="C516" t="s">
        <v>203</v>
      </c>
      <c r="D516" s="1">
        <v>9247</v>
      </c>
      <c r="E516">
        <v>343</v>
      </c>
      <c r="F516" s="1">
        <v>5465</v>
      </c>
      <c r="G516" s="1">
        <v>1563</v>
      </c>
      <c r="H516">
        <v>79</v>
      </c>
      <c r="I516">
        <v>89</v>
      </c>
      <c r="J516">
        <v>71</v>
      </c>
      <c r="K516">
        <v>41</v>
      </c>
      <c r="L516">
        <v>580</v>
      </c>
      <c r="M516">
        <v>52</v>
      </c>
      <c r="N516">
        <v>69</v>
      </c>
      <c r="O516">
        <v>268</v>
      </c>
      <c r="P516">
        <v>62</v>
      </c>
      <c r="Q516">
        <v>42</v>
      </c>
      <c r="R516">
        <v>68</v>
      </c>
      <c r="S516">
        <v>30</v>
      </c>
      <c r="T516">
        <v>21</v>
      </c>
      <c r="U516">
        <v>5</v>
      </c>
      <c r="V516">
        <v>87</v>
      </c>
      <c r="W516">
        <v>99</v>
      </c>
      <c r="X516">
        <v>24</v>
      </c>
      <c r="Y516">
        <v>30</v>
      </c>
      <c r="Z516">
        <v>9</v>
      </c>
      <c r="AA516">
        <v>8</v>
      </c>
      <c r="AB516">
        <v>1</v>
      </c>
      <c r="AC516">
        <v>12</v>
      </c>
      <c r="AD516">
        <v>2</v>
      </c>
      <c r="AE516">
        <v>2</v>
      </c>
      <c r="AF516">
        <v>9</v>
      </c>
      <c r="AG516">
        <v>6</v>
      </c>
      <c r="AH516">
        <v>3</v>
      </c>
      <c r="AI516">
        <v>8</v>
      </c>
      <c r="AJ516">
        <v>3</v>
      </c>
      <c r="AK516">
        <v>2</v>
      </c>
      <c r="AL516">
        <v>0</v>
      </c>
      <c r="AM516">
        <v>3</v>
      </c>
      <c r="AN516">
        <v>2</v>
      </c>
      <c r="AO516">
        <v>4</v>
      </c>
      <c r="AP516">
        <v>0</v>
      </c>
      <c r="AQ516">
        <v>12</v>
      </c>
      <c r="AR516">
        <v>12</v>
      </c>
      <c r="AS516">
        <v>1</v>
      </c>
      <c r="AT516">
        <v>1</v>
      </c>
      <c r="AU516">
        <v>2</v>
      </c>
      <c r="AV516">
        <v>3</v>
      </c>
      <c r="AW516">
        <v>0</v>
      </c>
      <c r="AX516">
        <v>4</v>
      </c>
      <c r="AY516">
        <v>2</v>
      </c>
      <c r="AZ516">
        <v>2</v>
      </c>
      <c r="BA516">
        <v>3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2</v>
      </c>
      <c r="BH516">
        <v>0</v>
      </c>
      <c r="BI516">
        <v>2</v>
      </c>
      <c r="BJ516">
        <v>3</v>
      </c>
      <c r="BK516">
        <v>0</v>
      </c>
      <c r="BL516">
        <v>1</v>
      </c>
      <c r="BM516">
        <v>0</v>
      </c>
      <c r="BN516">
        <v>3</v>
      </c>
      <c r="BO516">
        <v>1</v>
      </c>
      <c r="BP516">
        <v>0</v>
      </c>
      <c r="BQ516">
        <v>4</v>
      </c>
      <c r="BR516">
        <v>4</v>
      </c>
      <c r="BS516">
        <v>3</v>
      </c>
      <c r="BT516">
        <v>1</v>
      </c>
      <c r="BU516">
        <v>1</v>
      </c>
      <c r="BV516">
        <v>0</v>
      </c>
      <c r="BW516">
        <v>0</v>
      </c>
      <c r="BX516">
        <v>0</v>
      </c>
      <c r="BY516">
        <v>0</v>
      </c>
      <c r="BZ516">
        <v>1</v>
      </c>
      <c r="CA516">
        <v>1</v>
      </c>
      <c r="CB516">
        <v>0</v>
      </c>
      <c r="CC516">
        <v>1</v>
      </c>
      <c r="CD516">
        <v>1</v>
      </c>
      <c r="CE516">
        <v>0</v>
      </c>
      <c r="CF516">
        <v>1</v>
      </c>
      <c r="CG516">
        <v>0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1</v>
      </c>
      <c r="CT516">
        <v>1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1</v>
      </c>
      <c r="DN516">
        <v>0</v>
      </c>
      <c r="DO516">
        <v>0</v>
      </c>
      <c r="DP516">
        <v>0</v>
      </c>
      <c r="DQ516">
        <v>0</v>
      </c>
      <c r="DR516">
        <v>1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1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1</v>
      </c>
      <c r="EP516">
        <v>3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1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1</v>
      </c>
    </row>
    <row r="517" spans="1:201" x14ac:dyDescent="0.3">
      <c r="A517" t="s">
        <v>349</v>
      </c>
      <c r="B517" t="s">
        <v>354</v>
      </c>
      <c r="C517" t="s">
        <v>204</v>
      </c>
      <c r="D517" s="1">
        <v>8836</v>
      </c>
      <c r="E517">
        <v>695</v>
      </c>
      <c r="F517" s="1">
        <v>4060</v>
      </c>
      <c r="G517" s="1">
        <v>2229</v>
      </c>
      <c r="H517">
        <v>34</v>
      </c>
      <c r="I517">
        <v>66</v>
      </c>
      <c r="J517">
        <v>34</v>
      </c>
      <c r="K517">
        <v>23</v>
      </c>
      <c r="L517">
        <v>349</v>
      </c>
      <c r="M517">
        <v>140</v>
      </c>
      <c r="N517">
        <v>158</v>
      </c>
      <c r="O517">
        <v>362</v>
      </c>
      <c r="P517">
        <v>41</v>
      </c>
      <c r="Q517">
        <v>3</v>
      </c>
      <c r="R517">
        <v>33</v>
      </c>
      <c r="S517">
        <v>183</v>
      </c>
      <c r="T517">
        <v>54</v>
      </c>
      <c r="U517">
        <v>24</v>
      </c>
      <c r="V517">
        <v>33</v>
      </c>
      <c r="W517">
        <v>92</v>
      </c>
      <c r="X517">
        <v>18</v>
      </c>
      <c r="Y517">
        <v>8</v>
      </c>
      <c r="Z517">
        <v>14</v>
      </c>
      <c r="AA517">
        <v>2</v>
      </c>
      <c r="AB517">
        <v>10</v>
      </c>
      <c r="AC517">
        <v>7</v>
      </c>
      <c r="AD517">
        <v>9</v>
      </c>
      <c r="AE517">
        <v>0</v>
      </c>
      <c r="AF517">
        <v>6</v>
      </c>
      <c r="AG517">
        <v>5</v>
      </c>
      <c r="AH517">
        <v>5</v>
      </c>
      <c r="AI517">
        <v>2</v>
      </c>
      <c r="AJ517">
        <v>3</v>
      </c>
      <c r="AK517">
        <v>6</v>
      </c>
      <c r="AL517">
        <v>8</v>
      </c>
      <c r="AM517">
        <v>15</v>
      </c>
      <c r="AN517">
        <v>7</v>
      </c>
      <c r="AO517">
        <v>6</v>
      </c>
      <c r="AP517">
        <v>0</v>
      </c>
      <c r="AQ517">
        <v>7</v>
      </c>
      <c r="AR517">
        <v>12</v>
      </c>
      <c r="AS517">
        <v>2</v>
      </c>
      <c r="AT517">
        <v>4</v>
      </c>
      <c r="AU517">
        <v>3</v>
      </c>
      <c r="AV517">
        <v>1</v>
      </c>
      <c r="AW517">
        <v>1</v>
      </c>
      <c r="AX517">
        <v>1</v>
      </c>
      <c r="AY517">
        <v>5</v>
      </c>
      <c r="AZ517">
        <v>3</v>
      </c>
      <c r="BA517">
        <v>5</v>
      </c>
      <c r="BB517">
        <v>0</v>
      </c>
      <c r="BC517">
        <v>1</v>
      </c>
      <c r="BD517">
        <v>0</v>
      </c>
      <c r="BE517">
        <v>0</v>
      </c>
      <c r="BF517">
        <v>1</v>
      </c>
      <c r="BG517">
        <v>2</v>
      </c>
      <c r="BH517">
        <v>2</v>
      </c>
      <c r="BI517">
        <v>3</v>
      </c>
      <c r="BJ517">
        <v>1</v>
      </c>
      <c r="BK517">
        <v>0</v>
      </c>
      <c r="BL517">
        <v>2</v>
      </c>
      <c r="BM517">
        <v>0</v>
      </c>
      <c r="BN517">
        <v>3</v>
      </c>
      <c r="BO517">
        <v>0</v>
      </c>
      <c r="BP517">
        <v>0</v>
      </c>
      <c r="BQ517">
        <v>4</v>
      </c>
      <c r="BR517">
        <v>0</v>
      </c>
      <c r="BS517">
        <v>0</v>
      </c>
      <c r="BT517">
        <v>2</v>
      </c>
      <c r="BU517">
        <v>3</v>
      </c>
      <c r="BV517">
        <v>3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1</v>
      </c>
      <c r="CE517">
        <v>0</v>
      </c>
      <c r="CF517">
        <v>0</v>
      </c>
      <c r="CG517">
        <v>0</v>
      </c>
      <c r="CH517">
        <v>1</v>
      </c>
      <c r="CI517">
        <v>1</v>
      </c>
      <c r="CJ517">
        <v>0</v>
      </c>
      <c r="CK517">
        <v>2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3</v>
      </c>
      <c r="CW517">
        <v>1</v>
      </c>
      <c r="CX517">
        <v>0</v>
      </c>
      <c r="CY517">
        <v>1</v>
      </c>
      <c r="CZ517">
        <v>1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1</v>
      </c>
      <c r="DR517">
        <v>1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1</v>
      </c>
      <c r="DZ517">
        <v>1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1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1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3</v>
      </c>
    </row>
    <row r="518" spans="1:201" x14ac:dyDescent="0.3">
      <c r="A518" t="s">
        <v>349</v>
      </c>
      <c r="B518" t="s">
        <v>300</v>
      </c>
      <c r="C518" t="s">
        <v>200</v>
      </c>
      <c r="D518" s="1">
        <v>16642</v>
      </c>
      <c r="E518" s="1">
        <v>2037</v>
      </c>
      <c r="F518" s="1">
        <v>2423</v>
      </c>
      <c r="G518" s="1">
        <v>1768</v>
      </c>
      <c r="H518">
        <v>840</v>
      </c>
      <c r="I518">
        <v>352</v>
      </c>
      <c r="J518">
        <v>504</v>
      </c>
      <c r="K518">
        <v>679</v>
      </c>
      <c r="L518" s="1">
        <v>1524</v>
      </c>
      <c r="M518" s="1">
        <v>1063</v>
      </c>
      <c r="N518">
        <v>942</v>
      </c>
      <c r="O518">
        <v>410</v>
      </c>
      <c r="P518">
        <v>211</v>
      </c>
      <c r="Q518">
        <v>343</v>
      </c>
      <c r="R518">
        <v>825</v>
      </c>
      <c r="S518">
        <v>347</v>
      </c>
      <c r="T518">
        <v>146</v>
      </c>
      <c r="U518">
        <v>113</v>
      </c>
      <c r="V518">
        <v>666</v>
      </c>
      <c r="W518">
        <v>233</v>
      </c>
      <c r="X518">
        <v>68</v>
      </c>
      <c r="Y518">
        <v>91</v>
      </c>
      <c r="Z518">
        <v>37</v>
      </c>
      <c r="AA518">
        <v>19</v>
      </c>
      <c r="AB518">
        <v>19</v>
      </c>
      <c r="AC518">
        <v>44</v>
      </c>
      <c r="AD518">
        <v>37</v>
      </c>
      <c r="AE518">
        <v>38</v>
      </c>
      <c r="AF518">
        <v>47</v>
      </c>
      <c r="AG518">
        <v>24</v>
      </c>
      <c r="AH518">
        <v>7</v>
      </c>
      <c r="AI518">
        <v>63</v>
      </c>
      <c r="AJ518">
        <v>17</v>
      </c>
      <c r="AK518">
        <v>21</v>
      </c>
      <c r="AL518">
        <v>14</v>
      </c>
      <c r="AM518">
        <v>39</v>
      </c>
      <c r="AN518">
        <v>17</v>
      </c>
      <c r="AO518">
        <v>13</v>
      </c>
      <c r="AP518">
        <v>104</v>
      </c>
      <c r="AQ518">
        <v>19</v>
      </c>
      <c r="AR518">
        <v>5</v>
      </c>
      <c r="AS518">
        <v>10</v>
      </c>
      <c r="AT518">
        <v>6</v>
      </c>
      <c r="AU518">
        <v>5</v>
      </c>
      <c r="AV518">
        <v>52</v>
      </c>
      <c r="AW518">
        <v>10</v>
      </c>
      <c r="AX518">
        <v>17</v>
      </c>
      <c r="AY518">
        <v>14</v>
      </c>
      <c r="AZ518">
        <v>18</v>
      </c>
      <c r="BA518">
        <v>9</v>
      </c>
      <c r="BB518">
        <v>1</v>
      </c>
      <c r="BC518">
        <v>2</v>
      </c>
      <c r="BD518">
        <v>28</v>
      </c>
      <c r="BE518">
        <v>3</v>
      </c>
      <c r="BF518">
        <v>5</v>
      </c>
      <c r="BG518">
        <v>11</v>
      </c>
      <c r="BH518">
        <v>5</v>
      </c>
      <c r="BI518">
        <v>5</v>
      </c>
      <c r="BJ518">
        <v>7</v>
      </c>
      <c r="BK518">
        <v>0</v>
      </c>
      <c r="BL518">
        <v>4</v>
      </c>
      <c r="BM518">
        <v>6</v>
      </c>
      <c r="BN518">
        <v>11</v>
      </c>
      <c r="BO518">
        <v>39</v>
      </c>
      <c r="BP518">
        <v>4</v>
      </c>
      <c r="BQ518">
        <v>3</v>
      </c>
      <c r="BR518">
        <v>1</v>
      </c>
      <c r="BS518">
        <v>4</v>
      </c>
      <c r="BT518">
        <v>109</v>
      </c>
      <c r="BU518">
        <v>3</v>
      </c>
      <c r="BV518">
        <v>3</v>
      </c>
      <c r="BW518">
        <v>5</v>
      </c>
      <c r="BX518">
        <v>0</v>
      </c>
      <c r="BY518">
        <v>0</v>
      </c>
      <c r="BZ518">
        <v>0</v>
      </c>
      <c r="CA518">
        <v>4</v>
      </c>
      <c r="CB518">
        <v>2</v>
      </c>
      <c r="CC518">
        <v>2</v>
      </c>
      <c r="CD518">
        <v>3</v>
      </c>
      <c r="CE518">
        <v>4</v>
      </c>
      <c r="CF518">
        <v>0</v>
      </c>
      <c r="CG518">
        <v>2</v>
      </c>
      <c r="CH518">
        <v>1</v>
      </c>
      <c r="CI518">
        <v>3</v>
      </c>
      <c r="CJ518">
        <v>0</v>
      </c>
      <c r="CK518">
        <v>1</v>
      </c>
      <c r="CL518">
        <v>6</v>
      </c>
      <c r="CM518">
        <v>2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3</v>
      </c>
      <c r="CT518">
        <v>1</v>
      </c>
      <c r="CU518">
        <v>0</v>
      </c>
      <c r="CV518">
        <v>5</v>
      </c>
      <c r="CW518">
        <v>2</v>
      </c>
      <c r="CX518">
        <v>1</v>
      </c>
      <c r="CY518">
        <v>2</v>
      </c>
      <c r="CZ518">
        <v>0</v>
      </c>
      <c r="DA518">
        <v>0</v>
      </c>
      <c r="DB518">
        <v>8</v>
      </c>
      <c r="DC518">
        <v>0</v>
      </c>
      <c r="DD518">
        <v>0</v>
      </c>
      <c r="DE518">
        <v>0</v>
      </c>
      <c r="DF518">
        <v>0</v>
      </c>
      <c r="DG518">
        <v>1</v>
      </c>
      <c r="DH518">
        <v>0</v>
      </c>
      <c r="DI518">
        <v>1</v>
      </c>
      <c r="DJ518">
        <v>0</v>
      </c>
      <c r="DK518">
        <v>0</v>
      </c>
      <c r="DL518">
        <v>0</v>
      </c>
      <c r="DM518">
        <v>2</v>
      </c>
      <c r="DN518">
        <v>2</v>
      </c>
      <c r="DO518">
        <v>0</v>
      </c>
      <c r="DP518">
        <v>0</v>
      </c>
      <c r="DQ518">
        <v>1</v>
      </c>
      <c r="DR518">
        <v>0</v>
      </c>
      <c r="DS518">
        <v>0</v>
      </c>
      <c r="DT518">
        <v>0</v>
      </c>
      <c r="DU518">
        <v>0</v>
      </c>
      <c r="DV518">
        <v>1</v>
      </c>
      <c r="DW518">
        <v>0</v>
      </c>
      <c r="DX518">
        <v>1</v>
      </c>
      <c r="DY518">
        <v>1</v>
      </c>
      <c r="DZ518">
        <v>0</v>
      </c>
      <c r="EA518">
        <v>1</v>
      </c>
      <c r="EB518">
        <v>0</v>
      </c>
      <c r="EC518">
        <v>0</v>
      </c>
      <c r="ED518">
        <v>0</v>
      </c>
      <c r="EE518">
        <v>1</v>
      </c>
      <c r="EF518">
        <v>0</v>
      </c>
      <c r="EG518">
        <v>1</v>
      </c>
      <c r="EH518">
        <v>0</v>
      </c>
      <c r="EI518">
        <v>0</v>
      </c>
      <c r="EJ518">
        <v>1</v>
      </c>
      <c r="EK518">
        <v>1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1</v>
      </c>
      <c r="ET518">
        <v>1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2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1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1</v>
      </c>
    </row>
    <row r="519" spans="1:201" x14ac:dyDescent="0.3">
      <c r="A519" t="s">
        <v>349</v>
      </c>
      <c r="B519" t="s">
        <v>300</v>
      </c>
      <c r="C519" t="s">
        <v>203</v>
      </c>
      <c r="D519" s="1">
        <v>10832</v>
      </c>
      <c r="E519" s="1">
        <v>1067</v>
      </c>
      <c r="F519" s="1">
        <v>1348</v>
      </c>
      <c r="G519">
        <v>578</v>
      </c>
      <c r="H519">
        <v>756</v>
      </c>
      <c r="I519">
        <v>236</v>
      </c>
      <c r="J519">
        <v>445</v>
      </c>
      <c r="K519">
        <v>622</v>
      </c>
      <c r="L519" s="1">
        <v>1436</v>
      </c>
      <c r="M519">
        <v>779</v>
      </c>
      <c r="N519">
        <v>675</v>
      </c>
      <c r="O519">
        <v>203</v>
      </c>
      <c r="P519">
        <v>128</v>
      </c>
      <c r="Q519">
        <v>311</v>
      </c>
      <c r="R519">
        <v>668</v>
      </c>
      <c r="S519">
        <v>47</v>
      </c>
      <c r="T519">
        <v>48</v>
      </c>
      <c r="U519">
        <v>56</v>
      </c>
      <c r="V519">
        <v>564</v>
      </c>
      <c r="W519">
        <v>115</v>
      </c>
      <c r="X519">
        <v>53</v>
      </c>
      <c r="Y519">
        <v>82</v>
      </c>
      <c r="Z519">
        <v>26</v>
      </c>
      <c r="AA519">
        <v>11</v>
      </c>
      <c r="AB519">
        <v>5</v>
      </c>
      <c r="AC519">
        <v>26</v>
      </c>
      <c r="AD519">
        <v>17</v>
      </c>
      <c r="AE519">
        <v>36</v>
      </c>
      <c r="AF519">
        <v>35</v>
      </c>
      <c r="AG519">
        <v>10</v>
      </c>
      <c r="AH519">
        <v>2</v>
      </c>
      <c r="AI519">
        <v>47</v>
      </c>
      <c r="AJ519">
        <v>11</v>
      </c>
      <c r="AK519">
        <v>16</v>
      </c>
      <c r="AL519">
        <v>4</v>
      </c>
      <c r="AM519">
        <v>8</v>
      </c>
      <c r="AN519">
        <v>9</v>
      </c>
      <c r="AO519">
        <v>8</v>
      </c>
      <c r="AP519">
        <v>58</v>
      </c>
      <c r="AQ519">
        <v>6</v>
      </c>
      <c r="AR519">
        <v>4</v>
      </c>
      <c r="AS519">
        <v>2</v>
      </c>
      <c r="AT519">
        <v>1</v>
      </c>
      <c r="AU519">
        <v>3</v>
      </c>
      <c r="AV519">
        <v>47</v>
      </c>
      <c r="AW519">
        <v>3</v>
      </c>
      <c r="AX519">
        <v>10</v>
      </c>
      <c r="AY519">
        <v>6</v>
      </c>
      <c r="AZ519">
        <v>10</v>
      </c>
      <c r="BA519">
        <v>3</v>
      </c>
      <c r="BB519">
        <v>1</v>
      </c>
      <c r="BC519">
        <v>1</v>
      </c>
      <c r="BD519">
        <v>18</v>
      </c>
      <c r="BE519">
        <v>2</v>
      </c>
      <c r="BF519">
        <v>5</v>
      </c>
      <c r="BG519">
        <v>7</v>
      </c>
      <c r="BH519">
        <v>1</v>
      </c>
      <c r="BI519">
        <v>3</v>
      </c>
      <c r="BJ519">
        <v>3</v>
      </c>
      <c r="BK519">
        <v>0</v>
      </c>
      <c r="BL519">
        <v>2</v>
      </c>
      <c r="BM519">
        <v>4</v>
      </c>
      <c r="BN519">
        <v>3</v>
      </c>
      <c r="BO519">
        <v>27</v>
      </c>
      <c r="BP519">
        <v>3</v>
      </c>
      <c r="BQ519">
        <v>1</v>
      </c>
      <c r="BR519">
        <v>1</v>
      </c>
      <c r="BS519">
        <v>2</v>
      </c>
      <c r="BT519">
        <v>68</v>
      </c>
      <c r="BU519">
        <v>1</v>
      </c>
      <c r="BV519">
        <v>1</v>
      </c>
      <c r="BW519">
        <v>3</v>
      </c>
      <c r="BX519">
        <v>0</v>
      </c>
      <c r="BY519">
        <v>0</v>
      </c>
      <c r="BZ519">
        <v>0</v>
      </c>
      <c r="CA519">
        <v>1</v>
      </c>
      <c r="CB519">
        <v>2</v>
      </c>
      <c r="CC519">
        <v>0</v>
      </c>
      <c r="CD519">
        <v>2</v>
      </c>
      <c r="CE519">
        <v>2</v>
      </c>
      <c r="CF519">
        <v>0</v>
      </c>
      <c r="CG519">
        <v>0</v>
      </c>
      <c r="CH519">
        <v>1</v>
      </c>
      <c r="CI519">
        <v>0</v>
      </c>
      <c r="CJ519">
        <v>0</v>
      </c>
      <c r="CK519">
        <v>1</v>
      </c>
      <c r="CL519">
        <v>4</v>
      </c>
      <c r="CM519">
        <v>2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</v>
      </c>
      <c r="CT519">
        <v>0</v>
      </c>
      <c r="CU519">
        <v>0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</v>
      </c>
      <c r="DB519">
        <v>4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1</v>
      </c>
      <c r="DJ519">
        <v>0</v>
      </c>
      <c r="DK519">
        <v>0</v>
      </c>
      <c r="DL519">
        <v>0</v>
      </c>
      <c r="DM519">
        <v>0</v>
      </c>
      <c r="DN519">
        <v>1</v>
      </c>
      <c r="DO519">
        <v>0</v>
      </c>
      <c r="DP519">
        <v>0</v>
      </c>
      <c r="DQ519">
        <v>1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1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1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1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2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1</v>
      </c>
    </row>
    <row r="520" spans="1:201" x14ac:dyDescent="0.3">
      <c r="A520" t="s">
        <v>349</v>
      </c>
      <c r="B520" t="s">
        <v>300</v>
      </c>
      <c r="C520" t="s">
        <v>204</v>
      </c>
      <c r="D520" s="1">
        <v>5810</v>
      </c>
      <c r="E520">
        <v>970</v>
      </c>
      <c r="F520" s="1">
        <v>1075</v>
      </c>
      <c r="G520" s="1">
        <v>1190</v>
      </c>
      <c r="H520">
        <v>84</v>
      </c>
      <c r="I520">
        <v>116</v>
      </c>
      <c r="J520">
        <v>59</v>
      </c>
      <c r="K520">
        <v>57</v>
      </c>
      <c r="L520">
        <v>88</v>
      </c>
      <c r="M520">
        <v>284</v>
      </c>
      <c r="N520">
        <v>267</v>
      </c>
      <c r="O520">
        <v>207</v>
      </c>
      <c r="P520">
        <v>83</v>
      </c>
      <c r="Q520">
        <v>32</v>
      </c>
      <c r="R520">
        <v>157</v>
      </c>
      <c r="S520">
        <v>300</v>
      </c>
      <c r="T520">
        <v>98</v>
      </c>
      <c r="U520">
        <v>57</v>
      </c>
      <c r="V520">
        <v>102</v>
      </c>
      <c r="W520">
        <v>118</v>
      </c>
      <c r="X520">
        <v>15</v>
      </c>
      <c r="Y520">
        <v>9</v>
      </c>
      <c r="Z520">
        <v>11</v>
      </c>
      <c r="AA520">
        <v>8</v>
      </c>
      <c r="AB520">
        <v>14</v>
      </c>
      <c r="AC520">
        <v>18</v>
      </c>
      <c r="AD520">
        <v>20</v>
      </c>
      <c r="AE520">
        <v>2</v>
      </c>
      <c r="AF520">
        <v>12</v>
      </c>
      <c r="AG520">
        <v>14</v>
      </c>
      <c r="AH520">
        <v>5</v>
      </c>
      <c r="AI520">
        <v>16</v>
      </c>
      <c r="AJ520">
        <v>6</v>
      </c>
      <c r="AK520">
        <v>5</v>
      </c>
      <c r="AL520">
        <v>10</v>
      </c>
      <c r="AM520">
        <v>31</v>
      </c>
      <c r="AN520">
        <v>8</v>
      </c>
      <c r="AO520">
        <v>5</v>
      </c>
      <c r="AP520">
        <v>46</v>
      </c>
      <c r="AQ520">
        <v>13</v>
      </c>
      <c r="AR520">
        <v>1</v>
      </c>
      <c r="AS520">
        <v>8</v>
      </c>
      <c r="AT520">
        <v>5</v>
      </c>
      <c r="AU520">
        <v>2</v>
      </c>
      <c r="AV520">
        <v>5</v>
      </c>
      <c r="AW520">
        <v>7</v>
      </c>
      <c r="AX520">
        <v>7</v>
      </c>
      <c r="AY520">
        <v>8</v>
      </c>
      <c r="AZ520">
        <v>8</v>
      </c>
      <c r="BA520">
        <v>6</v>
      </c>
      <c r="BB520">
        <v>0</v>
      </c>
      <c r="BC520">
        <v>1</v>
      </c>
      <c r="BD520">
        <v>10</v>
      </c>
      <c r="BE520">
        <v>1</v>
      </c>
      <c r="BF520">
        <v>0</v>
      </c>
      <c r="BG520">
        <v>4</v>
      </c>
      <c r="BH520">
        <v>4</v>
      </c>
      <c r="BI520">
        <v>2</v>
      </c>
      <c r="BJ520">
        <v>4</v>
      </c>
      <c r="BK520">
        <v>0</v>
      </c>
      <c r="BL520">
        <v>2</v>
      </c>
      <c r="BM520">
        <v>2</v>
      </c>
      <c r="BN520">
        <v>8</v>
      </c>
      <c r="BO520">
        <v>12</v>
      </c>
      <c r="BP520">
        <v>1</v>
      </c>
      <c r="BQ520">
        <v>2</v>
      </c>
      <c r="BR520">
        <v>0</v>
      </c>
      <c r="BS520">
        <v>2</v>
      </c>
      <c r="BT520">
        <v>41</v>
      </c>
      <c r="BU520">
        <v>2</v>
      </c>
      <c r="BV520">
        <v>2</v>
      </c>
      <c r="BW520">
        <v>2</v>
      </c>
      <c r="BX520">
        <v>0</v>
      </c>
      <c r="BY520">
        <v>0</v>
      </c>
      <c r="BZ520">
        <v>0</v>
      </c>
      <c r="CA520">
        <v>3</v>
      </c>
      <c r="CB520">
        <v>0</v>
      </c>
      <c r="CC520">
        <v>2</v>
      </c>
      <c r="CD520">
        <v>1</v>
      </c>
      <c r="CE520">
        <v>2</v>
      </c>
      <c r="CF520">
        <v>0</v>
      </c>
      <c r="CG520">
        <v>2</v>
      </c>
      <c r="CH520">
        <v>0</v>
      </c>
      <c r="CI520">
        <v>3</v>
      </c>
      <c r="CJ520">
        <v>0</v>
      </c>
      <c r="CK520">
        <v>0</v>
      </c>
      <c r="CL520">
        <v>2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1</v>
      </c>
      <c r="CT520">
        <v>1</v>
      </c>
      <c r="CU520">
        <v>0</v>
      </c>
      <c r="CV520">
        <v>4</v>
      </c>
      <c r="CW520">
        <v>1</v>
      </c>
      <c r="CX520">
        <v>0</v>
      </c>
      <c r="CY520">
        <v>1</v>
      </c>
      <c r="CZ520">
        <v>0</v>
      </c>
      <c r="DA520">
        <v>0</v>
      </c>
      <c r="DB520">
        <v>4</v>
      </c>
      <c r="DC520">
        <v>0</v>
      </c>
      <c r="DD520">
        <v>0</v>
      </c>
      <c r="DE520">
        <v>0</v>
      </c>
      <c r="DF520">
        <v>0</v>
      </c>
      <c r="DG520">
        <v>1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2</v>
      </c>
      <c r="DN520">
        <v>1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1</v>
      </c>
      <c r="DW520">
        <v>0</v>
      </c>
      <c r="DX520">
        <v>0</v>
      </c>
      <c r="DY520">
        <v>1</v>
      </c>
      <c r="DZ520">
        <v>0</v>
      </c>
      <c r="EA520">
        <v>1</v>
      </c>
      <c r="EB520">
        <v>0</v>
      </c>
      <c r="EC520">
        <v>0</v>
      </c>
      <c r="ED520">
        <v>0</v>
      </c>
      <c r="EE520">
        <v>1</v>
      </c>
      <c r="EF520">
        <v>0</v>
      </c>
      <c r="EG520">
        <v>0</v>
      </c>
      <c r="EH520">
        <v>0</v>
      </c>
      <c r="EI520">
        <v>0</v>
      </c>
      <c r="EJ520">
        <v>1</v>
      </c>
      <c r="EK520">
        <v>1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1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1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</row>
    <row r="521" spans="1:201" x14ac:dyDescent="0.3">
      <c r="A521" t="s">
        <v>349</v>
      </c>
      <c r="B521" t="s">
        <v>355</v>
      </c>
      <c r="C521" t="s">
        <v>200</v>
      </c>
      <c r="D521" s="1">
        <v>18979</v>
      </c>
      <c r="E521" s="1">
        <v>1452</v>
      </c>
      <c r="F521" s="1">
        <v>1055</v>
      </c>
      <c r="G521" s="1">
        <v>1300</v>
      </c>
      <c r="H521">
        <v>221</v>
      </c>
      <c r="I521" s="1">
        <v>2007</v>
      </c>
      <c r="J521">
        <v>86</v>
      </c>
      <c r="K521">
        <v>179</v>
      </c>
      <c r="L521">
        <v>257</v>
      </c>
      <c r="M521">
        <v>327</v>
      </c>
      <c r="N521">
        <v>148</v>
      </c>
      <c r="O521">
        <v>536</v>
      </c>
      <c r="P521">
        <v>774</v>
      </c>
      <c r="Q521">
        <v>85</v>
      </c>
      <c r="R521">
        <v>127</v>
      </c>
      <c r="S521">
        <v>331</v>
      </c>
      <c r="T521" s="1">
        <v>1456</v>
      </c>
      <c r="U521" s="1">
        <v>2014</v>
      </c>
      <c r="V521">
        <v>338</v>
      </c>
      <c r="W521">
        <v>183</v>
      </c>
      <c r="X521">
        <v>219</v>
      </c>
      <c r="Y521">
        <v>9</v>
      </c>
      <c r="Z521">
        <v>966</v>
      </c>
      <c r="AA521">
        <v>54</v>
      </c>
      <c r="AB521">
        <v>43</v>
      </c>
      <c r="AC521">
        <v>123</v>
      </c>
      <c r="AD521">
        <v>82</v>
      </c>
      <c r="AE521">
        <v>5</v>
      </c>
      <c r="AF521">
        <v>136</v>
      </c>
      <c r="AG521">
        <v>94</v>
      </c>
      <c r="AH521">
        <v>39</v>
      </c>
      <c r="AI521">
        <v>500</v>
      </c>
      <c r="AJ521">
        <v>206</v>
      </c>
      <c r="AK521">
        <v>48</v>
      </c>
      <c r="AL521">
        <v>215</v>
      </c>
      <c r="AM521">
        <v>35</v>
      </c>
      <c r="AN521">
        <v>60</v>
      </c>
      <c r="AO521">
        <v>422</v>
      </c>
      <c r="AP521">
        <v>112</v>
      </c>
      <c r="AQ521">
        <v>42</v>
      </c>
      <c r="AR521">
        <v>53</v>
      </c>
      <c r="AS521">
        <v>38</v>
      </c>
      <c r="AT521">
        <v>32</v>
      </c>
      <c r="AU521">
        <v>34</v>
      </c>
      <c r="AV521">
        <v>102</v>
      </c>
      <c r="AW521">
        <v>34</v>
      </c>
      <c r="AX521">
        <v>411</v>
      </c>
      <c r="AY521">
        <v>16</v>
      </c>
      <c r="AZ521">
        <v>202</v>
      </c>
      <c r="BA521">
        <v>36</v>
      </c>
      <c r="BB521">
        <v>9</v>
      </c>
      <c r="BC521">
        <v>34</v>
      </c>
      <c r="BD521">
        <v>526</v>
      </c>
      <c r="BE521">
        <v>1</v>
      </c>
      <c r="BF521">
        <v>25</v>
      </c>
      <c r="BG521">
        <v>27</v>
      </c>
      <c r="BH521">
        <v>13</v>
      </c>
      <c r="BI521">
        <v>34</v>
      </c>
      <c r="BJ521">
        <v>71</v>
      </c>
      <c r="BK521">
        <v>3</v>
      </c>
      <c r="BL521">
        <v>45</v>
      </c>
      <c r="BM521">
        <v>7</v>
      </c>
      <c r="BN521">
        <v>12</v>
      </c>
      <c r="BO521">
        <v>252</v>
      </c>
      <c r="BP521">
        <v>17</v>
      </c>
      <c r="BQ521">
        <v>22</v>
      </c>
      <c r="BR521">
        <v>15</v>
      </c>
      <c r="BS521">
        <v>23</v>
      </c>
      <c r="BT521">
        <v>55</v>
      </c>
      <c r="BU521">
        <v>25</v>
      </c>
      <c r="BV521">
        <v>10</v>
      </c>
      <c r="BW521">
        <v>16</v>
      </c>
      <c r="BX521">
        <v>2</v>
      </c>
      <c r="BY521">
        <v>9</v>
      </c>
      <c r="BZ521">
        <v>7</v>
      </c>
      <c r="CA521">
        <v>6</v>
      </c>
      <c r="CB521">
        <v>69</v>
      </c>
      <c r="CC521">
        <v>11</v>
      </c>
      <c r="CD521">
        <v>5</v>
      </c>
      <c r="CE521">
        <v>4</v>
      </c>
      <c r="CF521">
        <v>5</v>
      </c>
      <c r="CG521">
        <v>8</v>
      </c>
      <c r="CH521">
        <v>10</v>
      </c>
      <c r="CI521">
        <v>2</v>
      </c>
      <c r="CJ521">
        <v>3</v>
      </c>
      <c r="CK521">
        <v>6</v>
      </c>
      <c r="CL521">
        <v>2</v>
      </c>
      <c r="CM521">
        <v>1</v>
      </c>
      <c r="CN521">
        <v>2</v>
      </c>
      <c r="CO521">
        <v>28</v>
      </c>
      <c r="CP521">
        <v>12</v>
      </c>
      <c r="CQ521">
        <v>7</v>
      </c>
      <c r="CR521">
        <v>12</v>
      </c>
      <c r="CS521">
        <v>5</v>
      </c>
      <c r="CT521">
        <v>6</v>
      </c>
      <c r="CU521">
        <v>5</v>
      </c>
      <c r="CV521">
        <v>9</v>
      </c>
      <c r="CW521">
        <v>7</v>
      </c>
      <c r="CX521">
        <v>1</v>
      </c>
      <c r="CY521">
        <v>2</v>
      </c>
      <c r="CZ521">
        <v>15</v>
      </c>
      <c r="DA521">
        <v>14</v>
      </c>
      <c r="DB521">
        <v>46</v>
      </c>
      <c r="DC521">
        <v>2</v>
      </c>
      <c r="DD521">
        <v>1</v>
      </c>
      <c r="DE521">
        <v>0</v>
      </c>
      <c r="DF521">
        <v>0</v>
      </c>
      <c r="DG521">
        <v>2</v>
      </c>
      <c r="DH521">
        <v>7</v>
      </c>
      <c r="DI521">
        <v>5</v>
      </c>
      <c r="DJ521">
        <v>3</v>
      </c>
      <c r="DK521">
        <v>0</v>
      </c>
      <c r="DL521">
        <v>1</v>
      </c>
      <c r="DM521">
        <v>2</v>
      </c>
      <c r="DN521">
        <v>1</v>
      </c>
      <c r="DO521">
        <v>8</v>
      </c>
      <c r="DP521">
        <v>1</v>
      </c>
      <c r="DQ521">
        <v>3</v>
      </c>
      <c r="DR521">
        <v>2</v>
      </c>
      <c r="DS521">
        <v>5</v>
      </c>
      <c r="DT521">
        <v>3</v>
      </c>
      <c r="DU521">
        <v>12</v>
      </c>
      <c r="DV521">
        <v>2</v>
      </c>
      <c r="DW521">
        <v>0</v>
      </c>
      <c r="DX521">
        <v>11</v>
      </c>
      <c r="DY521">
        <v>4</v>
      </c>
      <c r="DZ521">
        <v>0</v>
      </c>
      <c r="EA521">
        <v>2</v>
      </c>
      <c r="EB521">
        <v>3</v>
      </c>
      <c r="EC521">
        <v>3</v>
      </c>
      <c r="ED521">
        <v>0</v>
      </c>
      <c r="EE521">
        <v>1</v>
      </c>
      <c r="EF521">
        <v>1</v>
      </c>
      <c r="EG521">
        <v>1</v>
      </c>
      <c r="EH521">
        <v>0</v>
      </c>
      <c r="EI521">
        <v>0</v>
      </c>
      <c r="EJ521">
        <v>0</v>
      </c>
      <c r="EK521">
        <v>3</v>
      </c>
      <c r="EL521">
        <v>0</v>
      </c>
      <c r="EM521">
        <v>8</v>
      </c>
      <c r="EN521">
        <v>1</v>
      </c>
      <c r="EO521">
        <v>8</v>
      </c>
      <c r="EP521">
        <v>0</v>
      </c>
      <c r="EQ521">
        <v>7</v>
      </c>
      <c r="ER521">
        <v>0</v>
      </c>
      <c r="ES521">
        <v>4</v>
      </c>
      <c r="ET521">
        <v>1</v>
      </c>
      <c r="EU521">
        <v>2</v>
      </c>
      <c r="EV521">
        <v>0</v>
      </c>
      <c r="EW521">
        <v>0</v>
      </c>
      <c r="EX521">
        <v>0</v>
      </c>
      <c r="EY521">
        <v>1</v>
      </c>
      <c r="EZ521">
        <v>5</v>
      </c>
      <c r="FA521">
        <v>8</v>
      </c>
      <c r="FB521">
        <v>2</v>
      </c>
      <c r="FC521">
        <v>0</v>
      </c>
      <c r="FD521">
        <v>1</v>
      </c>
      <c r="FE521">
        <v>1</v>
      </c>
      <c r="FF521">
        <v>0</v>
      </c>
      <c r="FG521">
        <v>0</v>
      </c>
      <c r="FH521">
        <v>1</v>
      </c>
      <c r="FI521">
        <v>0</v>
      </c>
      <c r="FJ521">
        <v>6</v>
      </c>
      <c r="FK521">
        <v>0</v>
      </c>
      <c r="FL521">
        <v>0</v>
      </c>
      <c r="FM521">
        <v>4</v>
      </c>
      <c r="FN521">
        <v>0</v>
      </c>
      <c r="FO521">
        <v>2</v>
      </c>
      <c r="FP521">
        <v>2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1</v>
      </c>
      <c r="FY521">
        <v>1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1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16</v>
      </c>
    </row>
    <row r="522" spans="1:201" x14ac:dyDescent="0.3">
      <c r="A522" t="s">
        <v>349</v>
      </c>
      <c r="B522" t="s">
        <v>355</v>
      </c>
      <c r="C522" t="s">
        <v>203</v>
      </c>
      <c r="D522" s="1">
        <v>10381</v>
      </c>
      <c r="E522">
        <v>791</v>
      </c>
      <c r="F522">
        <v>554</v>
      </c>
      <c r="G522">
        <v>470</v>
      </c>
      <c r="H522">
        <v>151</v>
      </c>
      <c r="I522" s="1">
        <v>1096</v>
      </c>
      <c r="J522">
        <v>59</v>
      </c>
      <c r="K522">
        <v>121</v>
      </c>
      <c r="L522">
        <v>179</v>
      </c>
      <c r="M522">
        <v>170</v>
      </c>
      <c r="N522">
        <v>61</v>
      </c>
      <c r="O522">
        <v>227</v>
      </c>
      <c r="P522">
        <v>376</v>
      </c>
      <c r="Q522">
        <v>61</v>
      </c>
      <c r="R522">
        <v>75</v>
      </c>
      <c r="S522">
        <v>107</v>
      </c>
      <c r="T522">
        <v>774</v>
      </c>
      <c r="U522" s="1">
        <v>1057</v>
      </c>
      <c r="V522">
        <v>230</v>
      </c>
      <c r="W522">
        <v>92</v>
      </c>
      <c r="X522">
        <v>117</v>
      </c>
      <c r="Y522">
        <v>3</v>
      </c>
      <c r="Z522">
        <v>602</v>
      </c>
      <c r="AA522">
        <v>27</v>
      </c>
      <c r="AB522">
        <v>12</v>
      </c>
      <c r="AC522">
        <v>74</v>
      </c>
      <c r="AD522">
        <v>24</v>
      </c>
      <c r="AE522">
        <v>5</v>
      </c>
      <c r="AF522">
        <v>77</v>
      </c>
      <c r="AG522">
        <v>61</v>
      </c>
      <c r="AH522">
        <v>23</v>
      </c>
      <c r="AI522">
        <v>327</v>
      </c>
      <c r="AJ522">
        <v>118</v>
      </c>
      <c r="AK522">
        <v>29</v>
      </c>
      <c r="AL522">
        <v>92</v>
      </c>
      <c r="AM522">
        <v>9</v>
      </c>
      <c r="AN522">
        <v>35</v>
      </c>
      <c r="AO522">
        <v>294</v>
      </c>
      <c r="AP522">
        <v>78</v>
      </c>
      <c r="AQ522">
        <v>15</v>
      </c>
      <c r="AR522">
        <v>26</v>
      </c>
      <c r="AS522">
        <v>19</v>
      </c>
      <c r="AT522">
        <v>12</v>
      </c>
      <c r="AU522">
        <v>17</v>
      </c>
      <c r="AV522">
        <v>93</v>
      </c>
      <c r="AW522">
        <v>16</v>
      </c>
      <c r="AX522">
        <v>289</v>
      </c>
      <c r="AY522">
        <v>6</v>
      </c>
      <c r="AZ522">
        <v>120</v>
      </c>
      <c r="BA522">
        <v>11</v>
      </c>
      <c r="BB522">
        <v>6</v>
      </c>
      <c r="BC522">
        <v>17</v>
      </c>
      <c r="BD522">
        <v>382</v>
      </c>
      <c r="BE522">
        <v>1</v>
      </c>
      <c r="BF522">
        <v>16</v>
      </c>
      <c r="BG522">
        <v>18</v>
      </c>
      <c r="BH522">
        <v>3</v>
      </c>
      <c r="BI522">
        <v>17</v>
      </c>
      <c r="BJ522">
        <v>56</v>
      </c>
      <c r="BK522">
        <v>2</v>
      </c>
      <c r="BL522">
        <v>22</v>
      </c>
      <c r="BM522">
        <v>4</v>
      </c>
      <c r="BN522">
        <v>5</v>
      </c>
      <c r="BO522">
        <v>167</v>
      </c>
      <c r="BP522">
        <v>8</v>
      </c>
      <c r="BQ522">
        <v>11</v>
      </c>
      <c r="BR522">
        <v>8</v>
      </c>
      <c r="BS522">
        <v>18</v>
      </c>
      <c r="BT522">
        <v>36</v>
      </c>
      <c r="BU522">
        <v>14</v>
      </c>
      <c r="BV522">
        <v>4</v>
      </c>
      <c r="BW522">
        <v>11</v>
      </c>
      <c r="BX522">
        <v>1</v>
      </c>
      <c r="BY522">
        <v>9</v>
      </c>
      <c r="BZ522">
        <v>5</v>
      </c>
      <c r="CA522">
        <v>4</v>
      </c>
      <c r="CB522">
        <v>41</v>
      </c>
      <c r="CC522">
        <v>6</v>
      </c>
      <c r="CD522">
        <v>1</v>
      </c>
      <c r="CE522">
        <v>3</v>
      </c>
      <c r="CF522">
        <v>3</v>
      </c>
      <c r="CG522">
        <v>3</v>
      </c>
      <c r="CH522">
        <v>9</v>
      </c>
      <c r="CI522">
        <v>0</v>
      </c>
      <c r="CJ522">
        <v>2</v>
      </c>
      <c r="CK522">
        <v>3</v>
      </c>
      <c r="CL522">
        <v>0</v>
      </c>
      <c r="CM522">
        <v>1</v>
      </c>
      <c r="CN522">
        <v>2</v>
      </c>
      <c r="CO522">
        <v>18</v>
      </c>
      <c r="CP522">
        <v>7</v>
      </c>
      <c r="CQ522">
        <v>4</v>
      </c>
      <c r="CR522">
        <v>10</v>
      </c>
      <c r="CS522">
        <v>2</v>
      </c>
      <c r="CT522">
        <v>1</v>
      </c>
      <c r="CU522">
        <v>2</v>
      </c>
      <c r="CV522">
        <v>3</v>
      </c>
      <c r="CW522">
        <v>2</v>
      </c>
      <c r="CX522">
        <v>1</v>
      </c>
      <c r="CY522">
        <v>0</v>
      </c>
      <c r="CZ522">
        <v>5</v>
      </c>
      <c r="DA522">
        <v>7</v>
      </c>
      <c r="DB522">
        <v>32</v>
      </c>
      <c r="DC522">
        <v>1</v>
      </c>
      <c r="DD522">
        <v>1</v>
      </c>
      <c r="DE522">
        <v>0</v>
      </c>
      <c r="DF522">
        <v>0</v>
      </c>
      <c r="DG522">
        <v>2</v>
      </c>
      <c r="DH522">
        <v>3</v>
      </c>
      <c r="DI522">
        <v>3</v>
      </c>
      <c r="DJ522">
        <v>0</v>
      </c>
      <c r="DK522">
        <v>0</v>
      </c>
      <c r="DL522">
        <v>0</v>
      </c>
      <c r="DM522">
        <v>1</v>
      </c>
      <c r="DN522">
        <v>0</v>
      </c>
      <c r="DO522">
        <v>4</v>
      </c>
      <c r="DP522">
        <v>0</v>
      </c>
      <c r="DQ522">
        <v>3</v>
      </c>
      <c r="DR522">
        <v>0</v>
      </c>
      <c r="DS522">
        <v>3</v>
      </c>
      <c r="DT522">
        <v>1</v>
      </c>
      <c r="DU522">
        <v>4</v>
      </c>
      <c r="DV522">
        <v>1</v>
      </c>
      <c r="DW522">
        <v>0</v>
      </c>
      <c r="DX522">
        <v>6</v>
      </c>
      <c r="DY522">
        <v>1</v>
      </c>
      <c r="DZ522">
        <v>0</v>
      </c>
      <c r="EA522">
        <v>0</v>
      </c>
      <c r="EB522">
        <v>2</v>
      </c>
      <c r="EC522">
        <v>3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2</v>
      </c>
      <c r="EL522">
        <v>0</v>
      </c>
      <c r="EM522">
        <v>8</v>
      </c>
      <c r="EN522">
        <v>1</v>
      </c>
      <c r="EO522">
        <v>5</v>
      </c>
      <c r="EP522">
        <v>0</v>
      </c>
      <c r="EQ522">
        <v>3</v>
      </c>
      <c r="ER522">
        <v>0</v>
      </c>
      <c r="ES522">
        <v>2</v>
      </c>
      <c r="ET522">
        <v>0</v>
      </c>
      <c r="EU522">
        <v>2</v>
      </c>
      <c r="EV522">
        <v>0</v>
      </c>
      <c r="EW522">
        <v>0</v>
      </c>
      <c r="EX522">
        <v>0</v>
      </c>
      <c r="EY522">
        <v>1</v>
      </c>
      <c r="EZ522">
        <v>3</v>
      </c>
      <c r="FA522">
        <v>3</v>
      </c>
      <c r="FB522">
        <v>0</v>
      </c>
      <c r="FC522">
        <v>0</v>
      </c>
      <c r="FD522">
        <v>1</v>
      </c>
      <c r="FE522">
        <v>1</v>
      </c>
      <c r="FF522">
        <v>0</v>
      </c>
      <c r="FG522">
        <v>0</v>
      </c>
      <c r="FH522">
        <v>1</v>
      </c>
      <c r="FI522">
        <v>0</v>
      </c>
      <c r="FJ522">
        <v>1</v>
      </c>
      <c r="FK522">
        <v>0</v>
      </c>
      <c r="FL522">
        <v>0</v>
      </c>
      <c r="FM522">
        <v>3</v>
      </c>
      <c r="FN522">
        <v>0</v>
      </c>
      <c r="FO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1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8</v>
      </c>
    </row>
    <row r="523" spans="1:201" x14ac:dyDescent="0.3">
      <c r="A523" t="s">
        <v>349</v>
      </c>
      <c r="B523" t="s">
        <v>355</v>
      </c>
      <c r="C523" t="s">
        <v>204</v>
      </c>
      <c r="D523" s="1">
        <v>8598</v>
      </c>
      <c r="E523">
        <v>661</v>
      </c>
      <c r="F523">
        <v>501</v>
      </c>
      <c r="G523">
        <v>830</v>
      </c>
      <c r="H523">
        <v>70</v>
      </c>
      <c r="I523">
        <v>911</v>
      </c>
      <c r="J523">
        <v>27</v>
      </c>
      <c r="K523">
        <v>58</v>
      </c>
      <c r="L523">
        <v>78</v>
      </c>
      <c r="M523">
        <v>157</v>
      </c>
      <c r="N523">
        <v>87</v>
      </c>
      <c r="O523">
        <v>309</v>
      </c>
      <c r="P523">
        <v>398</v>
      </c>
      <c r="Q523">
        <v>24</v>
      </c>
      <c r="R523">
        <v>52</v>
      </c>
      <c r="S523">
        <v>224</v>
      </c>
      <c r="T523">
        <v>682</v>
      </c>
      <c r="U523">
        <v>957</v>
      </c>
      <c r="V523">
        <v>108</v>
      </c>
      <c r="W523">
        <v>91</v>
      </c>
      <c r="X523">
        <v>102</v>
      </c>
      <c r="Y523">
        <v>6</v>
      </c>
      <c r="Z523">
        <v>364</v>
      </c>
      <c r="AA523">
        <v>27</v>
      </c>
      <c r="AB523">
        <v>31</v>
      </c>
      <c r="AC523">
        <v>49</v>
      </c>
      <c r="AD523">
        <v>58</v>
      </c>
      <c r="AE523">
        <v>0</v>
      </c>
      <c r="AF523">
        <v>59</v>
      </c>
      <c r="AG523">
        <v>33</v>
      </c>
      <c r="AH523">
        <v>16</v>
      </c>
      <c r="AI523">
        <v>173</v>
      </c>
      <c r="AJ523">
        <v>88</v>
      </c>
      <c r="AK523">
        <v>19</v>
      </c>
      <c r="AL523">
        <v>123</v>
      </c>
      <c r="AM523">
        <v>26</v>
      </c>
      <c r="AN523">
        <v>25</v>
      </c>
      <c r="AO523">
        <v>128</v>
      </c>
      <c r="AP523">
        <v>34</v>
      </c>
      <c r="AQ523">
        <v>27</v>
      </c>
      <c r="AR523">
        <v>27</v>
      </c>
      <c r="AS523">
        <v>19</v>
      </c>
      <c r="AT523">
        <v>20</v>
      </c>
      <c r="AU523">
        <v>17</v>
      </c>
      <c r="AV523">
        <v>9</v>
      </c>
      <c r="AW523">
        <v>18</v>
      </c>
      <c r="AX523">
        <v>122</v>
      </c>
      <c r="AY523">
        <v>10</v>
      </c>
      <c r="AZ523">
        <v>82</v>
      </c>
      <c r="BA523">
        <v>25</v>
      </c>
      <c r="BB523">
        <v>3</v>
      </c>
      <c r="BC523">
        <v>17</v>
      </c>
      <c r="BD523">
        <v>144</v>
      </c>
      <c r="BE523">
        <v>0</v>
      </c>
      <c r="BF523">
        <v>9</v>
      </c>
      <c r="BG523">
        <v>9</v>
      </c>
      <c r="BH523">
        <v>10</v>
      </c>
      <c r="BI523">
        <v>17</v>
      </c>
      <c r="BJ523">
        <v>15</v>
      </c>
      <c r="BK523">
        <v>1</v>
      </c>
      <c r="BL523">
        <v>23</v>
      </c>
      <c r="BM523">
        <v>3</v>
      </c>
      <c r="BN523">
        <v>7</v>
      </c>
      <c r="BO523">
        <v>85</v>
      </c>
      <c r="BP523">
        <v>9</v>
      </c>
      <c r="BQ523">
        <v>11</v>
      </c>
      <c r="BR523">
        <v>7</v>
      </c>
      <c r="BS523">
        <v>5</v>
      </c>
      <c r="BT523">
        <v>19</v>
      </c>
      <c r="BU523">
        <v>11</v>
      </c>
      <c r="BV523">
        <v>6</v>
      </c>
      <c r="BW523">
        <v>5</v>
      </c>
      <c r="BX523">
        <v>1</v>
      </c>
      <c r="BY523">
        <v>0</v>
      </c>
      <c r="BZ523">
        <v>2</v>
      </c>
      <c r="CA523">
        <v>2</v>
      </c>
      <c r="CB523">
        <v>28</v>
      </c>
      <c r="CC523">
        <v>5</v>
      </c>
      <c r="CD523">
        <v>4</v>
      </c>
      <c r="CE523">
        <v>1</v>
      </c>
      <c r="CF523">
        <v>2</v>
      </c>
      <c r="CG523">
        <v>5</v>
      </c>
      <c r="CH523">
        <v>1</v>
      </c>
      <c r="CI523">
        <v>2</v>
      </c>
      <c r="CJ523">
        <v>1</v>
      </c>
      <c r="CK523">
        <v>3</v>
      </c>
      <c r="CL523">
        <v>2</v>
      </c>
      <c r="CM523">
        <v>0</v>
      </c>
      <c r="CN523">
        <v>0</v>
      </c>
      <c r="CO523">
        <v>10</v>
      </c>
      <c r="CP523">
        <v>5</v>
      </c>
      <c r="CQ523">
        <v>3</v>
      </c>
      <c r="CR523">
        <v>2</v>
      </c>
      <c r="CS523">
        <v>3</v>
      </c>
      <c r="CT523">
        <v>5</v>
      </c>
      <c r="CU523">
        <v>3</v>
      </c>
      <c r="CV523">
        <v>6</v>
      </c>
      <c r="CW523">
        <v>5</v>
      </c>
      <c r="CX523">
        <v>0</v>
      </c>
      <c r="CY523">
        <v>2</v>
      </c>
      <c r="CZ523">
        <v>10</v>
      </c>
      <c r="DA523">
        <v>7</v>
      </c>
      <c r="DB523">
        <v>14</v>
      </c>
      <c r="DC523">
        <v>1</v>
      </c>
      <c r="DD523">
        <v>0</v>
      </c>
      <c r="DE523">
        <v>0</v>
      </c>
      <c r="DF523">
        <v>0</v>
      </c>
      <c r="DG523">
        <v>0</v>
      </c>
      <c r="DH523">
        <v>4</v>
      </c>
      <c r="DI523">
        <v>2</v>
      </c>
      <c r="DJ523">
        <v>3</v>
      </c>
      <c r="DK523">
        <v>0</v>
      </c>
      <c r="DL523">
        <v>1</v>
      </c>
      <c r="DM523">
        <v>1</v>
      </c>
      <c r="DN523">
        <v>1</v>
      </c>
      <c r="DO523">
        <v>4</v>
      </c>
      <c r="DP523">
        <v>1</v>
      </c>
      <c r="DQ523">
        <v>0</v>
      </c>
      <c r="DR523">
        <v>2</v>
      </c>
      <c r="DS523">
        <v>2</v>
      </c>
      <c r="DT523">
        <v>2</v>
      </c>
      <c r="DU523">
        <v>8</v>
      </c>
      <c r="DV523">
        <v>1</v>
      </c>
      <c r="DW523">
        <v>0</v>
      </c>
      <c r="DX523">
        <v>5</v>
      </c>
      <c r="DY523">
        <v>3</v>
      </c>
      <c r="DZ523">
        <v>0</v>
      </c>
      <c r="EA523">
        <v>2</v>
      </c>
      <c r="EB523">
        <v>1</v>
      </c>
      <c r="EC523">
        <v>0</v>
      </c>
      <c r="ED523">
        <v>0</v>
      </c>
      <c r="EE523">
        <v>1</v>
      </c>
      <c r="EF523">
        <v>1</v>
      </c>
      <c r="EG523">
        <v>1</v>
      </c>
      <c r="EH523">
        <v>0</v>
      </c>
      <c r="EI523">
        <v>0</v>
      </c>
      <c r="EJ523">
        <v>0</v>
      </c>
      <c r="EK523">
        <v>1</v>
      </c>
      <c r="EL523">
        <v>0</v>
      </c>
      <c r="EM523">
        <v>0</v>
      </c>
      <c r="EN523">
        <v>0</v>
      </c>
      <c r="EO523">
        <v>3</v>
      </c>
      <c r="EP523">
        <v>0</v>
      </c>
      <c r="EQ523">
        <v>4</v>
      </c>
      <c r="ER523">
        <v>0</v>
      </c>
      <c r="ES523">
        <v>2</v>
      </c>
      <c r="ET523">
        <v>1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2</v>
      </c>
      <c r="FA523">
        <v>5</v>
      </c>
      <c r="FB523">
        <v>2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5</v>
      </c>
      <c r="FK523">
        <v>0</v>
      </c>
      <c r="FL523">
        <v>0</v>
      </c>
      <c r="FM523">
        <v>1</v>
      </c>
      <c r="FN523">
        <v>0</v>
      </c>
      <c r="FO523">
        <v>1</v>
      </c>
      <c r="FP523">
        <v>2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1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1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8</v>
      </c>
    </row>
    <row r="524" spans="1:201" x14ac:dyDescent="0.3">
      <c r="A524" t="s">
        <v>349</v>
      </c>
      <c r="B524" t="s">
        <v>356</v>
      </c>
      <c r="C524" t="s">
        <v>200</v>
      </c>
      <c r="D524">
        <v>670</v>
      </c>
      <c r="E524">
        <v>173</v>
      </c>
      <c r="F524">
        <v>20</v>
      </c>
      <c r="G524">
        <v>9</v>
      </c>
      <c r="H524">
        <v>4</v>
      </c>
      <c r="I524">
        <v>0</v>
      </c>
      <c r="J524">
        <v>1</v>
      </c>
      <c r="K524">
        <v>275</v>
      </c>
      <c r="L524">
        <v>0</v>
      </c>
      <c r="M524">
        <v>5</v>
      </c>
      <c r="N524">
        <v>4</v>
      </c>
      <c r="O524">
        <v>2</v>
      </c>
      <c r="P524">
        <v>1</v>
      </c>
      <c r="Q524">
        <v>111</v>
      </c>
      <c r="R524">
        <v>0</v>
      </c>
      <c r="S524">
        <v>3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5</v>
      </c>
      <c r="AE524">
        <v>52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1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</row>
    <row r="525" spans="1:201" x14ac:dyDescent="0.3">
      <c r="A525" t="s">
        <v>349</v>
      </c>
      <c r="B525" t="s">
        <v>356</v>
      </c>
      <c r="C525" t="s">
        <v>203</v>
      </c>
      <c r="D525">
        <v>619</v>
      </c>
      <c r="E525">
        <v>153</v>
      </c>
      <c r="F525">
        <v>13</v>
      </c>
      <c r="G525">
        <v>6</v>
      </c>
      <c r="H525">
        <v>2</v>
      </c>
      <c r="I525">
        <v>0</v>
      </c>
      <c r="J525">
        <v>1</v>
      </c>
      <c r="K525">
        <v>275</v>
      </c>
      <c r="L525">
        <v>0</v>
      </c>
      <c r="M525">
        <v>1</v>
      </c>
      <c r="N525">
        <v>0</v>
      </c>
      <c r="O525">
        <v>1</v>
      </c>
      <c r="P525">
        <v>1</v>
      </c>
      <c r="Q525">
        <v>111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</v>
      </c>
      <c r="AE525">
        <v>52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</row>
    <row r="526" spans="1:201" x14ac:dyDescent="0.3">
      <c r="A526" t="s">
        <v>349</v>
      </c>
      <c r="B526" t="s">
        <v>356</v>
      </c>
      <c r="C526" t="s">
        <v>204</v>
      </c>
      <c r="D526">
        <v>51</v>
      </c>
      <c r="E526">
        <v>20</v>
      </c>
      <c r="F526">
        <v>7</v>
      </c>
      <c r="G526">
        <v>3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4</v>
      </c>
      <c r="N526">
        <v>4</v>
      </c>
      <c r="O526">
        <v>1</v>
      </c>
      <c r="P526">
        <v>0</v>
      </c>
      <c r="Q526">
        <v>0</v>
      </c>
      <c r="R526">
        <v>0</v>
      </c>
      <c r="S526">
        <v>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</row>
    <row r="527" spans="1:201" x14ac:dyDescent="0.3">
      <c r="A527" t="s">
        <v>349</v>
      </c>
      <c r="B527" t="s">
        <v>306</v>
      </c>
      <c r="C527" t="s">
        <v>200</v>
      </c>
      <c r="D527" s="1">
        <v>5733</v>
      </c>
      <c r="E527">
        <v>428</v>
      </c>
      <c r="F527" s="1">
        <v>1134</v>
      </c>
      <c r="G527" s="1">
        <v>1463</v>
      </c>
      <c r="H527">
        <v>81</v>
      </c>
      <c r="I527">
        <v>80</v>
      </c>
      <c r="J527">
        <v>32</v>
      </c>
      <c r="K527">
        <v>112</v>
      </c>
      <c r="L527">
        <v>42</v>
      </c>
      <c r="M527">
        <v>172</v>
      </c>
      <c r="N527">
        <v>184</v>
      </c>
      <c r="O527">
        <v>143</v>
      </c>
      <c r="P527">
        <v>100</v>
      </c>
      <c r="Q527">
        <v>15</v>
      </c>
      <c r="R527">
        <v>9</v>
      </c>
      <c r="S527">
        <v>222</v>
      </c>
      <c r="T527">
        <v>82</v>
      </c>
      <c r="U527">
        <v>60</v>
      </c>
      <c r="V527">
        <v>38</v>
      </c>
      <c r="W527">
        <v>717</v>
      </c>
      <c r="X527">
        <v>12</v>
      </c>
      <c r="Y527">
        <v>13</v>
      </c>
      <c r="Z527">
        <v>52</v>
      </c>
      <c r="AA527">
        <v>21</v>
      </c>
      <c r="AB527">
        <v>23</v>
      </c>
      <c r="AC527">
        <v>33</v>
      </c>
      <c r="AD527">
        <v>30</v>
      </c>
      <c r="AE527">
        <v>17</v>
      </c>
      <c r="AF527">
        <v>38</v>
      </c>
      <c r="AG527">
        <v>13</v>
      </c>
      <c r="AH527">
        <v>9</v>
      </c>
      <c r="AI527">
        <v>9</v>
      </c>
      <c r="AJ527">
        <v>15</v>
      </c>
      <c r="AK527">
        <v>1</v>
      </c>
      <c r="AL527">
        <v>6</v>
      </c>
      <c r="AM527">
        <v>35</v>
      </c>
      <c r="AN527">
        <v>29</v>
      </c>
      <c r="AO527">
        <v>33</v>
      </c>
      <c r="AP527">
        <v>7</v>
      </c>
      <c r="AQ527">
        <v>10</v>
      </c>
      <c r="AR527">
        <v>13</v>
      </c>
      <c r="AS527">
        <v>5</v>
      </c>
      <c r="AT527">
        <v>4</v>
      </c>
      <c r="AU527">
        <v>2</v>
      </c>
      <c r="AV527">
        <v>0</v>
      </c>
      <c r="AW527">
        <v>6</v>
      </c>
      <c r="AX527">
        <v>11</v>
      </c>
      <c r="AY527">
        <v>5</v>
      </c>
      <c r="AZ527">
        <v>0</v>
      </c>
      <c r="BA527">
        <v>11</v>
      </c>
      <c r="BB527">
        <v>2</v>
      </c>
      <c r="BC527">
        <v>10</v>
      </c>
      <c r="BD527">
        <v>6</v>
      </c>
      <c r="BE527">
        <v>1</v>
      </c>
      <c r="BF527">
        <v>8</v>
      </c>
      <c r="BG527">
        <v>6</v>
      </c>
      <c r="BH527">
        <v>5</v>
      </c>
      <c r="BI527">
        <v>0</v>
      </c>
      <c r="BJ527">
        <v>0</v>
      </c>
      <c r="BK527">
        <v>3</v>
      </c>
      <c r="BL527">
        <v>0</v>
      </c>
      <c r="BM527">
        <v>0</v>
      </c>
      <c r="BN527">
        <v>4</v>
      </c>
      <c r="BO527">
        <v>24</v>
      </c>
      <c r="BP527">
        <v>1</v>
      </c>
      <c r="BQ527">
        <v>3</v>
      </c>
      <c r="BR527">
        <v>2</v>
      </c>
      <c r="BS527">
        <v>5</v>
      </c>
      <c r="BT527">
        <v>0</v>
      </c>
      <c r="BU527">
        <v>0</v>
      </c>
      <c r="BV527">
        <v>4</v>
      </c>
      <c r="BW527">
        <v>4</v>
      </c>
      <c r="BX527">
        <v>0</v>
      </c>
      <c r="BY527">
        <v>2</v>
      </c>
      <c r="BZ527">
        <v>1</v>
      </c>
      <c r="CA527">
        <v>1</v>
      </c>
      <c r="CB527">
        <v>0</v>
      </c>
      <c r="CC527">
        <v>2</v>
      </c>
      <c r="CD527">
        <v>4</v>
      </c>
      <c r="CE527">
        <v>8</v>
      </c>
      <c r="CF527">
        <v>1</v>
      </c>
      <c r="CG527">
        <v>4</v>
      </c>
      <c r="CH527">
        <v>0</v>
      </c>
      <c r="CI527">
        <v>2</v>
      </c>
      <c r="CJ527">
        <v>1</v>
      </c>
      <c r="CK527">
        <v>1</v>
      </c>
      <c r="CL527">
        <v>2</v>
      </c>
      <c r="CM527">
        <v>1</v>
      </c>
      <c r="CN527">
        <v>0</v>
      </c>
      <c r="CO527">
        <v>0</v>
      </c>
      <c r="CP527">
        <v>0</v>
      </c>
      <c r="CQ527">
        <v>2</v>
      </c>
      <c r="CR527">
        <v>0</v>
      </c>
      <c r="CS527">
        <v>2</v>
      </c>
      <c r="CT527">
        <v>0</v>
      </c>
      <c r="CU527">
        <v>1</v>
      </c>
      <c r="CV527">
        <v>2</v>
      </c>
      <c r="CW527">
        <v>1</v>
      </c>
      <c r="CX527">
        <v>0</v>
      </c>
      <c r="CY527">
        <v>4</v>
      </c>
      <c r="CZ527">
        <v>0</v>
      </c>
      <c r="DA527">
        <v>0</v>
      </c>
      <c r="DB527">
        <v>3</v>
      </c>
      <c r="DC527">
        <v>0</v>
      </c>
      <c r="DD527">
        <v>0</v>
      </c>
      <c r="DE527">
        <v>0</v>
      </c>
      <c r="DF527">
        <v>1</v>
      </c>
      <c r="DG527">
        <v>0</v>
      </c>
      <c r="DH527">
        <v>0</v>
      </c>
      <c r="DI527">
        <v>2</v>
      </c>
      <c r="DJ527">
        <v>0</v>
      </c>
      <c r="DK527">
        <v>0</v>
      </c>
      <c r="DL527">
        <v>1</v>
      </c>
      <c r="DM527">
        <v>0</v>
      </c>
      <c r="DN527">
        <v>0</v>
      </c>
      <c r="DO527">
        <v>1</v>
      </c>
      <c r="DP527">
        <v>0</v>
      </c>
      <c r="DQ527">
        <v>0</v>
      </c>
      <c r="DR527">
        <v>1</v>
      </c>
      <c r="DS527">
        <v>2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1</v>
      </c>
      <c r="DZ527">
        <v>0</v>
      </c>
      <c r="EA527">
        <v>0</v>
      </c>
      <c r="EB527">
        <v>1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5</v>
      </c>
      <c r="EI527">
        <v>0</v>
      </c>
      <c r="EJ527">
        <v>0</v>
      </c>
      <c r="EK527">
        <v>0</v>
      </c>
      <c r="EL527">
        <v>0</v>
      </c>
      <c r="EM527">
        <v>1</v>
      </c>
      <c r="EN527">
        <v>2</v>
      </c>
      <c r="EO527">
        <v>0</v>
      </c>
      <c r="EP527">
        <v>1</v>
      </c>
      <c r="EQ527">
        <v>0</v>
      </c>
      <c r="ER527">
        <v>0</v>
      </c>
      <c r="ES527">
        <v>0</v>
      </c>
      <c r="ET527">
        <v>1</v>
      </c>
      <c r="EU527">
        <v>0</v>
      </c>
      <c r="EV527">
        <v>0</v>
      </c>
      <c r="EW527">
        <v>0</v>
      </c>
      <c r="EX527">
        <v>0</v>
      </c>
      <c r="EY527">
        <v>1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1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1</v>
      </c>
    </row>
    <row r="528" spans="1:201" x14ac:dyDescent="0.3">
      <c r="A528" t="s">
        <v>349</v>
      </c>
      <c r="B528" t="s">
        <v>306</v>
      </c>
      <c r="C528" t="s">
        <v>203</v>
      </c>
      <c r="D528" s="1">
        <v>2873</v>
      </c>
      <c r="E528">
        <v>255</v>
      </c>
      <c r="F528">
        <v>633</v>
      </c>
      <c r="G528">
        <v>619</v>
      </c>
      <c r="H528">
        <v>55</v>
      </c>
      <c r="I528">
        <v>37</v>
      </c>
      <c r="J528">
        <v>17</v>
      </c>
      <c r="K528">
        <v>97</v>
      </c>
      <c r="L528">
        <v>30</v>
      </c>
      <c r="M528">
        <v>57</v>
      </c>
      <c r="N528">
        <v>62</v>
      </c>
      <c r="O528">
        <v>69</v>
      </c>
      <c r="P528">
        <v>61</v>
      </c>
      <c r="Q528">
        <v>15</v>
      </c>
      <c r="R528">
        <v>6</v>
      </c>
      <c r="S528">
        <v>35</v>
      </c>
      <c r="T528">
        <v>31</v>
      </c>
      <c r="U528">
        <v>24</v>
      </c>
      <c r="V528">
        <v>25</v>
      </c>
      <c r="W528">
        <v>380</v>
      </c>
      <c r="X528">
        <v>10</v>
      </c>
      <c r="Y528">
        <v>2</v>
      </c>
      <c r="Z528">
        <v>22</v>
      </c>
      <c r="AA528">
        <v>12</v>
      </c>
      <c r="AB528">
        <v>15</v>
      </c>
      <c r="AC528">
        <v>25</v>
      </c>
      <c r="AD528">
        <v>13</v>
      </c>
      <c r="AE528">
        <v>17</v>
      </c>
      <c r="AF528">
        <v>31</v>
      </c>
      <c r="AG528">
        <v>9</v>
      </c>
      <c r="AH528">
        <v>8</v>
      </c>
      <c r="AI528">
        <v>5</v>
      </c>
      <c r="AJ528">
        <v>7</v>
      </c>
      <c r="AK528">
        <v>1</v>
      </c>
      <c r="AL528">
        <v>2</v>
      </c>
      <c r="AM528">
        <v>16</v>
      </c>
      <c r="AN528">
        <v>22</v>
      </c>
      <c r="AO528">
        <v>12</v>
      </c>
      <c r="AP528">
        <v>4</v>
      </c>
      <c r="AQ528">
        <v>4</v>
      </c>
      <c r="AR528">
        <v>10</v>
      </c>
      <c r="AS528">
        <v>0</v>
      </c>
      <c r="AT528">
        <v>1</v>
      </c>
      <c r="AU528">
        <v>1</v>
      </c>
      <c r="AV528">
        <v>0</v>
      </c>
      <c r="AW528">
        <v>5</v>
      </c>
      <c r="AX528">
        <v>6</v>
      </c>
      <c r="AY528">
        <v>4</v>
      </c>
      <c r="AZ528">
        <v>0</v>
      </c>
      <c r="BA528">
        <v>7</v>
      </c>
      <c r="BB528">
        <v>0</v>
      </c>
      <c r="BC528">
        <v>9</v>
      </c>
      <c r="BD528">
        <v>4</v>
      </c>
      <c r="BE528">
        <v>0</v>
      </c>
      <c r="BF528">
        <v>3</v>
      </c>
      <c r="BG528">
        <v>6</v>
      </c>
      <c r="BH528">
        <v>1</v>
      </c>
      <c r="BI528">
        <v>0</v>
      </c>
      <c r="BJ528">
        <v>0</v>
      </c>
      <c r="BK528">
        <v>1</v>
      </c>
      <c r="BL528">
        <v>0</v>
      </c>
      <c r="BM528">
        <v>0</v>
      </c>
      <c r="BN528">
        <v>3</v>
      </c>
      <c r="BO528">
        <v>16</v>
      </c>
      <c r="BP528">
        <v>1</v>
      </c>
      <c r="BQ528">
        <v>1</v>
      </c>
      <c r="BR528">
        <v>2</v>
      </c>
      <c r="BS528">
        <v>4</v>
      </c>
      <c r="BT528">
        <v>0</v>
      </c>
      <c r="BU528">
        <v>0</v>
      </c>
      <c r="BV528">
        <v>1</v>
      </c>
      <c r="BW528">
        <v>3</v>
      </c>
      <c r="BX528">
        <v>0</v>
      </c>
      <c r="BY528">
        <v>2</v>
      </c>
      <c r="BZ528">
        <v>0</v>
      </c>
      <c r="CA528">
        <v>1</v>
      </c>
      <c r="CB528">
        <v>0</v>
      </c>
      <c r="CC528">
        <v>0</v>
      </c>
      <c r="CD528">
        <v>0</v>
      </c>
      <c r="CE528">
        <v>5</v>
      </c>
      <c r="CF528">
        <v>1</v>
      </c>
      <c r="CG528">
        <v>1</v>
      </c>
      <c r="CH528">
        <v>0</v>
      </c>
      <c r="CI528">
        <v>0</v>
      </c>
      <c r="CJ528">
        <v>1</v>
      </c>
      <c r="CK528">
        <v>1</v>
      </c>
      <c r="CL528">
        <v>0</v>
      </c>
      <c r="CM528">
        <v>1</v>
      </c>
      <c r="CN528">
        <v>0</v>
      </c>
      <c r="CO528">
        <v>0</v>
      </c>
      <c r="CP528">
        <v>0</v>
      </c>
      <c r="CQ528">
        <v>2</v>
      </c>
      <c r="CR528">
        <v>0</v>
      </c>
      <c r="CS528">
        <v>1</v>
      </c>
      <c r="CT528">
        <v>0</v>
      </c>
      <c r="CU528">
        <v>0</v>
      </c>
      <c r="CV528">
        <v>2</v>
      </c>
      <c r="CW528">
        <v>1</v>
      </c>
      <c r="CX528">
        <v>0</v>
      </c>
      <c r="CY528">
        <v>1</v>
      </c>
      <c r="CZ528">
        <v>0</v>
      </c>
      <c r="DA528">
        <v>0</v>
      </c>
      <c r="DB528">
        <v>3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0</v>
      </c>
      <c r="DI528">
        <v>1</v>
      </c>
      <c r="DJ528">
        <v>0</v>
      </c>
      <c r="DK528">
        <v>0</v>
      </c>
      <c r="DL528">
        <v>1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2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1</v>
      </c>
      <c r="DZ528">
        <v>0</v>
      </c>
      <c r="EA528">
        <v>0</v>
      </c>
      <c r="EB528">
        <v>1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4</v>
      </c>
      <c r="EI528">
        <v>0</v>
      </c>
      <c r="EJ528">
        <v>0</v>
      </c>
      <c r="EK528">
        <v>0</v>
      </c>
      <c r="EL528">
        <v>0</v>
      </c>
      <c r="EM528">
        <v>1</v>
      </c>
      <c r="EN528">
        <v>0</v>
      </c>
      <c r="EO528">
        <v>0</v>
      </c>
      <c r="EP528">
        <v>1</v>
      </c>
      <c r="EQ528">
        <v>0</v>
      </c>
      <c r="ER528">
        <v>0</v>
      </c>
      <c r="ES528">
        <v>0</v>
      </c>
      <c r="ET528">
        <v>1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1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1</v>
      </c>
    </row>
    <row r="529" spans="1:201" x14ac:dyDescent="0.3">
      <c r="A529" t="s">
        <v>349</v>
      </c>
      <c r="B529" t="s">
        <v>306</v>
      </c>
      <c r="C529" t="s">
        <v>204</v>
      </c>
      <c r="D529" s="1">
        <v>2860</v>
      </c>
      <c r="E529">
        <v>173</v>
      </c>
      <c r="F529">
        <v>501</v>
      </c>
      <c r="G529">
        <v>844</v>
      </c>
      <c r="H529">
        <v>26</v>
      </c>
      <c r="I529">
        <v>43</v>
      </c>
      <c r="J529">
        <v>15</v>
      </c>
      <c r="K529">
        <v>15</v>
      </c>
      <c r="L529">
        <v>12</v>
      </c>
      <c r="M529">
        <v>115</v>
      </c>
      <c r="N529">
        <v>122</v>
      </c>
      <c r="O529">
        <v>74</v>
      </c>
      <c r="P529">
        <v>39</v>
      </c>
      <c r="Q529">
        <v>0</v>
      </c>
      <c r="R529">
        <v>3</v>
      </c>
      <c r="S529">
        <v>187</v>
      </c>
      <c r="T529">
        <v>51</v>
      </c>
      <c r="U529">
        <v>36</v>
      </c>
      <c r="V529">
        <v>13</v>
      </c>
      <c r="W529">
        <v>337</v>
      </c>
      <c r="X529">
        <v>2</v>
      </c>
      <c r="Y529">
        <v>11</v>
      </c>
      <c r="Z529">
        <v>30</v>
      </c>
      <c r="AA529">
        <v>9</v>
      </c>
      <c r="AB529">
        <v>8</v>
      </c>
      <c r="AC529">
        <v>8</v>
      </c>
      <c r="AD529">
        <v>17</v>
      </c>
      <c r="AE529">
        <v>0</v>
      </c>
      <c r="AF529">
        <v>7</v>
      </c>
      <c r="AG529">
        <v>4</v>
      </c>
      <c r="AH529">
        <v>1</v>
      </c>
      <c r="AI529">
        <v>4</v>
      </c>
      <c r="AJ529">
        <v>8</v>
      </c>
      <c r="AK529">
        <v>0</v>
      </c>
      <c r="AL529">
        <v>4</v>
      </c>
      <c r="AM529">
        <v>19</v>
      </c>
      <c r="AN529">
        <v>7</v>
      </c>
      <c r="AO529">
        <v>21</v>
      </c>
      <c r="AP529">
        <v>3</v>
      </c>
      <c r="AQ529">
        <v>6</v>
      </c>
      <c r="AR529">
        <v>3</v>
      </c>
      <c r="AS529">
        <v>5</v>
      </c>
      <c r="AT529">
        <v>3</v>
      </c>
      <c r="AU529">
        <v>1</v>
      </c>
      <c r="AV529">
        <v>0</v>
      </c>
      <c r="AW529">
        <v>1</v>
      </c>
      <c r="AX529">
        <v>5</v>
      </c>
      <c r="AY529">
        <v>1</v>
      </c>
      <c r="AZ529">
        <v>0</v>
      </c>
      <c r="BA529">
        <v>4</v>
      </c>
      <c r="BB529">
        <v>2</v>
      </c>
      <c r="BC529">
        <v>1</v>
      </c>
      <c r="BD529">
        <v>2</v>
      </c>
      <c r="BE529">
        <v>1</v>
      </c>
      <c r="BF529">
        <v>5</v>
      </c>
      <c r="BG529">
        <v>0</v>
      </c>
      <c r="BH529">
        <v>4</v>
      </c>
      <c r="BI529">
        <v>0</v>
      </c>
      <c r="BJ529">
        <v>0</v>
      </c>
      <c r="BK529">
        <v>2</v>
      </c>
      <c r="BL529">
        <v>0</v>
      </c>
      <c r="BM529">
        <v>0</v>
      </c>
      <c r="BN529">
        <v>1</v>
      </c>
      <c r="BO529">
        <v>8</v>
      </c>
      <c r="BP529">
        <v>0</v>
      </c>
      <c r="BQ529">
        <v>2</v>
      </c>
      <c r="BR529">
        <v>0</v>
      </c>
      <c r="BS529">
        <v>1</v>
      </c>
      <c r="BT529">
        <v>0</v>
      </c>
      <c r="BU529">
        <v>0</v>
      </c>
      <c r="BV529">
        <v>3</v>
      </c>
      <c r="BW529">
        <v>1</v>
      </c>
      <c r="BX529">
        <v>0</v>
      </c>
      <c r="BY529">
        <v>0</v>
      </c>
      <c r="BZ529">
        <v>1</v>
      </c>
      <c r="CA529">
        <v>0</v>
      </c>
      <c r="CB529">
        <v>0</v>
      </c>
      <c r="CC529">
        <v>2</v>
      </c>
      <c r="CD529">
        <v>4</v>
      </c>
      <c r="CE529">
        <v>3</v>
      </c>
      <c r="CF529">
        <v>0</v>
      </c>
      <c r="CG529">
        <v>3</v>
      </c>
      <c r="CH529">
        <v>0</v>
      </c>
      <c r="CI529">
        <v>2</v>
      </c>
      <c r="CJ529">
        <v>0</v>
      </c>
      <c r="CK529">
        <v>0</v>
      </c>
      <c r="CL529">
        <v>2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1</v>
      </c>
      <c r="CT529">
        <v>0</v>
      </c>
      <c r="CU529">
        <v>1</v>
      </c>
      <c r="CV529">
        <v>0</v>
      </c>
      <c r="CW529">
        <v>0</v>
      </c>
      <c r="CX529">
        <v>0</v>
      </c>
      <c r="CY529">
        <v>3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1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1</v>
      </c>
      <c r="DP529">
        <v>0</v>
      </c>
      <c r="DQ529">
        <v>0</v>
      </c>
      <c r="DR529">
        <v>1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1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2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1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</row>
    <row r="530" spans="1:201" x14ac:dyDescent="0.3">
      <c r="A530" t="s">
        <v>357</v>
      </c>
      <c r="B530" t="s">
        <v>200</v>
      </c>
      <c r="C530" t="s">
        <v>200</v>
      </c>
      <c r="D530" s="1">
        <v>65698</v>
      </c>
      <c r="E530" s="1">
        <v>21159</v>
      </c>
      <c r="F530" s="1">
        <v>1551</v>
      </c>
      <c r="G530" s="1">
        <v>3889</v>
      </c>
      <c r="H530" s="1">
        <v>5109</v>
      </c>
      <c r="I530" s="1">
        <v>2663</v>
      </c>
      <c r="J530" s="1">
        <v>4613</v>
      </c>
      <c r="K530" s="1">
        <v>5727</v>
      </c>
      <c r="L530" s="1">
        <v>1476</v>
      </c>
      <c r="M530" s="1">
        <v>4249</v>
      </c>
      <c r="N530" s="1">
        <v>2436</v>
      </c>
      <c r="O530">
        <v>798</v>
      </c>
      <c r="P530">
        <v>242</v>
      </c>
      <c r="Q530" s="1">
        <v>4109</v>
      </c>
      <c r="R530">
        <v>822</v>
      </c>
      <c r="S530">
        <v>795</v>
      </c>
      <c r="T530">
        <v>560</v>
      </c>
      <c r="U530">
        <v>206</v>
      </c>
      <c r="V530">
        <v>214</v>
      </c>
      <c r="W530">
        <v>132</v>
      </c>
      <c r="X530">
        <v>207</v>
      </c>
      <c r="Y530" s="1">
        <v>1858</v>
      </c>
      <c r="Z530">
        <v>80</v>
      </c>
      <c r="AA530">
        <v>37</v>
      </c>
      <c r="AB530">
        <v>52</v>
      </c>
      <c r="AC530">
        <v>65</v>
      </c>
      <c r="AD530">
        <v>235</v>
      </c>
      <c r="AE530" s="1">
        <v>1368</v>
      </c>
      <c r="AF530">
        <v>48</v>
      </c>
      <c r="AG530">
        <v>176</v>
      </c>
      <c r="AH530">
        <v>24</v>
      </c>
      <c r="AI530">
        <v>53</v>
      </c>
      <c r="AJ530">
        <v>8</v>
      </c>
      <c r="AK530">
        <v>21</v>
      </c>
      <c r="AL530">
        <v>25</v>
      </c>
      <c r="AM530">
        <v>3</v>
      </c>
      <c r="AN530">
        <v>34</v>
      </c>
      <c r="AO530">
        <v>33</v>
      </c>
      <c r="AP530">
        <v>87</v>
      </c>
      <c r="AQ530">
        <v>40</v>
      </c>
      <c r="AR530">
        <v>1</v>
      </c>
      <c r="AS530">
        <v>26</v>
      </c>
      <c r="AT530">
        <v>4</v>
      </c>
      <c r="AU530">
        <v>5</v>
      </c>
      <c r="AV530">
        <v>4</v>
      </c>
      <c r="AW530">
        <v>4</v>
      </c>
      <c r="AX530">
        <v>98</v>
      </c>
      <c r="AY530">
        <v>15</v>
      </c>
      <c r="AZ530">
        <v>8</v>
      </c>
      <c r="BA530">
        <v>2</v>
      </c>
      <c r="BB530">
        <v>0</v>
      </c>
      <c r="BC530">
        <v>8</v>
      </c>
      <c r="BD530">
        <v>6</v>
      </c>
      <c r="BE530">
        <v>11</v>
      </c>
      <c r="BF530">
        <v>8</v>
      </c>
      <c r="BG530">
        <v>9</v>
      </c>
      <c r="BH530">
        <v>4</v>
      </c>
      <c r="BI530">
        <v>5</v>
      </c>
      <c r="BJ530">
        <v>24</v>
      </c>
      <c r="BK530">
        <v>4</v>
      </c>
      <c r="BL530">
        <v>2</v>
      </c>
      <c r="BM530">
        <v>13</v>
      </c>
      <c r="BN530">
        <v>5</v>
      </c>
      <c r="BO530">
        <v>8</v>
      </c>
      <c r="BP530">
        <v>4</v>
      </c>
      <c r="BQ530">
        <v>5</v>
      </c>
      <c r="BR530">
        <v>2</v>
      </c>
      <c r="BS530">
        <v>6</v>
      </c>
      <c r="BT530">
        <v>13</v>
      </c>
      <c r="BU530">
        <v>0</v>
      </c>
      <c r="BV530">
        <v>11</v>
      </c>
      <c r="BW530">
        <v>5</v>
      </c>
      <c r="BX530">
        <v>0</v>
      </c>
      <c r="BY530">
        <v>1</v>
      </c>
      <c r="BZ530">
        <v>13</v>
      </c>
      <c r="CA530">
        <v>1</v>
      </c>
      <c r="CB530">
        <v>5</v>
      </c>
      <c r="CC530">
        <v>10</v>
      </c>
      <c r="CD530">
        <v>1</v>
      </c>
      <c r="CE530">
        <v>62</v>
      </c>
      <c r="CF530">
        <v>6</v>
      </c>
      <c r="CG530">
        <v>1</v>
      </c>
      <c r="CH530">
        <v>0</v>
      </c>
      <c r="CI530">
        <v>1</v>
      </c>
      <c r="CJ530">
        <v>0</v>
      </c>
      <c r="CK530">
        <v>1</v>
      </c>
      <c r="CL530">
        <v>1</v>
      </c>
      <c r="CM530">
        <v>0</v>
      </c>
      <c r="CN530">
        <v>2</v>
      </c>
      <c r="CO530">
        <v>2</v>
      </c>
      <c r="CP530">
        <v>4</v>
      </c>
      <c r="CQ530">
        <v>15</v>
      </c>
      <c r="CR530">
        <v>0</v>
      </c>
      <c r="CS530">
        <v>4</v>
      </c>
      <c r="CT530">
        <v>1</v>
      </c>
      <c r="CU530">
        <v>1</v>
      </c>
      <c r="CV530">
        <v>2</v>
      </c>
      <c r="CW530">
        <v>1</v>
      </c>
      <c r="CX530">
        <v>5</v>
      </c>
      <c r="CY530">
        <v>0</v>
      </c>
      <c r="CZ530">
        <v>1</v>
      </c>
      <c r="DA530">
        <v>0</v>
      </c>
      <c r="DB530">
        <v>1</v>
      </c>
      <c r="DC530">
        <v>2</v>
      </c>
      <c r="DD530">
        <v>0</v>
      </c>
      <c r="DE530">
        <v>2</v>
      </c>
      <c r="DF530">
        <v>1</v>
      </c>
      <c r="DG530">
        <v>0</v>
      </c>
      <c r="DH530">
        <v>0</v>
      </c>
      <c r="DI530">
        <v>2</v>
      </c>
      <c r="DJ530">
        <v>2</v>
      </c>
      <c r="DK530">
        <v>1</v>
      </c>
      <c r="DL530">
        <v>2</v>
      </c>
      <c r="DM530">
        <v>1</v>
      </c>
      <c r="DN530">
        <v>4</v>
      </c>
      <c r="DO530">
        <v>0</v>
      </c>
      <c r="DP530">
        <v>0</v>
      </c>
      <c r="DQ530">
        <v>2</v>
      </c>
      <c r="DR530">
        <v>0</v>
      </c>
      <c r="DS530">
        <v>2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4</v>
      </c>
      <c r="EI530">
        <v>1</v>
      </c>
      <c r="EJ530">
        <v>0</v>
      </c>
      <c r="EK530">
        <v>0</v>
      </c>
      <c r="EL530">
        <v>1</v>
      </c>
      <c r="EM530">
        <v>0</v>
      </c>
      <c r="EN530">
        <v>1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1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2</v>
      </c>
    </row>
    <row r="531" spans="1:201" x14ac:dyDescent="0.3">
      <c r="A531" t="s">
        <v>357</v>
      </c>
      <c r="B531" t="s">
        <v>200</v>
      </c>
      <c r="C531" t="s">
        <v>203</v>
      </c>
      <c r="D531" s="1">
        <f>D534+D537+D540+D543+D546+D549+D552+D555+D558+D561+D564+D567+D570+D573+D576+D579+D582+D585+D588+D591+D594+D597</f>
        <v>46776</v>
      </c>
      <c r="E531" s="1">
        <f t="shared" ref="E531:BP531" si="88">E534+E537+E540+E543+E546+E549+E552+E555+E558+E561+E564+E567+E570+E573+E576+E579+E582+E585+E588+E591+E594+E597</f>
        <v>13867</v>
      </c>
      <c r="F531" s="1">
        <f t="shared" si="88"/>
        <v>827</v>
      </c>
      <c r="G531" s="1">
        <f t="shared" si="88"/>
        <v>1727</v>
      </c>
      <c r="H531" s="1">
        <f t="shared" si="88"/>
        <v>4328</v>
      </c>
      <c r="I531" s="1">
        <f t="shared" si="88"/>
        <v>2188</v>
      </c>
      <c r="J531" s="1">
        <f t="shared" si="88"/>
        <v>3071</v>
      </c>
      <c r="K531" s="1">
        <f t="shared" si="88"/>
        <v>5623</v>
      </c>
      <c r="L531" s="1">
        <f t="shared" si="88"/>
        <v>1352</v>
      </c>
      <c r="M531" s="1">
        <f t="shared" si="88"/>
        <v>2671</v>
      </c>
      <c r="N531" s="1">
        <f t="shared" si="88"/>
        <v>1469</v>
      </c>
      <c r="O531" s="1">
        <f t="shared" si="88"/>
        <v>404</v>
      </c>
      <c r="P531" s="1">
        <f t="shared" si="88"/>
        <v>131</v>
      </c>
      <c r="Q531" s="1">
        <f t="shared" si="88"/>
        <v>3798</v>
      </c>
      <c r="R531" s="1">
        <f t="shared" si="88"/>
        <v>740</v>
      </c>
      <c r="S531" s="1">
        <f t="shared" si="88"/>
        <v>61</v>
      </c>
      <c r="T531" s="1">
        <f t="shared" si="88"/>
        <v>401</v>
      </c>
      <c r="U531" s="1">
        <f t="shared" si="88"/>
        <v>112</v>
      </c>
      <c r="V531" s="1">
        <f t="shared" si="88"/>
        <v>174</v>
      </c>
      <c r="W531" s="1">
        <f t="shared" si="88"/>
        <v>65</v>
      </c>
      <c r="X531" s="1">
        <f t="shared" si="88"/>
        <v>132</v>
      </c>
      <c r="Y531" s="1">
        <f t="shared" si="88"/>
        <v>1284</v>
      </c>
      <c r="Z531" s="1">
        <f t="shared" si="88"/>
        <v>50</v>
      </c>
      <c r="AA531" s="1">
        <f t="shared" si="88"/>
        <v>30</v>
      </c>
      <c r="AB531" s="1">
        <f t="shared" si="88"/>
        <v>36</v>
      </c>
      <c r="AC531" s="1">
        <f t="shared" si="88"/>
        <v>50</v>
      </c>
      <c r="AD531" s="1">
        <f t="shared" si="88"/>
        <v>55</v>
      </c>
      <c r="AE531" s="1">
        <f t="shared" si="88"/>
        <v>1358</v>
      </c>
      <c r="AF531" s="1">
        <f t="shared" si="88"/>
        <v>36</v>
      </c>
      <c r="AG531" s="1">
        <f t="shared" si="88"/>
        <v>160</v>
      </c>
      <c r="AH531" s="1">
        <f t="shared" si="88"/>
        <v>22</v>
      </c>
      <c r="AI531" s="1">
        <f t="shared" si="88"/>
        <v>44</v>
      </c>
      <c r="AJ531" s="1">
        <f t="shared" si="88"/>
        <v>3</v>
      </c>
      <c r="AK531" s="1">
        <f t="shared" si="88"/>
        <v>14</v>
      </c>
      <c r="AL531" s="1">
        <f t="shared" si="88"/>
        <v>11</v>
      </c>
      <c r="AM531" s="1">
        <f t="shared" si="88"/>
        <v>1</v>
      </c>
      <c r="AN531" s="1">
        <f t="shared" si="88"/>
        <v>14</v>
      </c>
      <c r="AO531" s="1">
        <f t="shared" si="88"/>
        <v>33</v>
      </c>
      <c r="AP531" s="1">
        <f t="shared" si="88"/>
        <v>59</v>
      </c>
      <c r="AQ531" s="1">
        <f t="shared" si="88"/>
        <v>21</v>
      </c>
      <c r="AR531" s="1">
        <f t="shared" si="88"/>
        <v>1</v>
      </c>
      <c r="AS531" s="1">
        <f t="shared" si="88"/>
        <v>7</v>
      </c>
      <c r="AT531" s="1">
        <f t="shared" si="88"/>
        <v>3</v>
      </c>
      <c r="AU531" s="1">
        <f t="shared" si="88"/>
        <v>3</v>
      </c>
      <c r="AV531" s="1">
        <f t="shared" si="88"/>
        <v>3</v>
      </c>
      <c r="AW531" s="1">
        <f t="shared" si="88"/>
        <v>2</v>
      </c>
      <c r="AX531" s="1">
        <f t="shared" si="88"/>
        <v>94</v>
      </c>
      <c r="AY531" s="1">
        <f t="shared" si="88"/>
        <v>7</v>
      </c>
      <c r="AZ531" s="1">
        <f t="shared" si="88"/>
        <v>6</v>
      </c>
      <c r="BA531" s="1">
        <f t="shared" si="88"/>
        <v>0</v>
      </c>
      <c r="BB531" s="1">
        <f t="shared" si="88"/>
        <v>0</v>
      </c>
      <c r="BC531" s="1">
        <f t="shared" si="88"/>
        <v>6</v>
      </c>
      <c r="BD531" s="1">
        <f t="shared" si="88"/>
        <v>6</v>
      </c>
      <c r="BE531" s="1">
        <f t="shared" si="88"/>
        <v>5</v>
      </c>
      <c r="BF531" s="1">
        <f t="shared" si="88"/>
        <v>4</v>
      </c>
      <c r="BG531" s="1">
        <f t="shared" si="88"/>
        <v>5</v>
      </c>
      <c r="BH531" s="1">
        <f t="shared" si="88"/>
        <v>3</v>
      </c>
      <c r="BI531" s="1">
        <f t="shared" si="88"/>
        <v>2</v>
      </c>
      <c r="BJ531" s="1">
        <f t="shared" si="88"/>
        <v>22</v>
      </c>
      <c r="BK531" s="1">
        <f t="shared" si="88"/>
        <v>4</v>
      </c>
      <c r="BL531" s="1">
        <f t="shared" si="88"/>
        <v>2</v>
      </c>
      <c r="BM531" s="1">
        <f t="shared" si="88"/>
        <v>12</v>
      </c>
      <c r="BN531" s="1">
        <f t="shared" si="88"/>
        <v>0</v>
      </c>
      <c r="BO531" s="1">
        <f t="shared" si="88"/>
        <v>3</v>
      </c>
      <c r="BP531" s="1">
        <f t="shared" si="88"/>
        <v>3</v>
      </c>
      <c r="BQ531" s="1">
        <f t="shared" ref="BQ531:EB531" si="89">BQ534+BQ537+BQ540+BQ543+BQ546+BQ549+BQ552+BQ555+BQ558+BQ561+BQ564+BQ567+BQ570+BQ573+BQ576+BQ579+BQ582+BQ585+BQ588+BQ591+BQ594+BQ597</f>
        <v>2</v>
      </c>
      <c r="BR531" s="1">
        <f t="shared" si="89"/>
        <v>2</v>
      </c>
      <c r="BS531" s="1">
        <f t="shared" si="89"/>
        <v>6</v>
      </c>
      <c r="BT531" s="1">
        <f t="shared" si="89"/>
        <v>13</v>
      </c>
      <c r="BU531" s="1">
        <f t="shared" si="89"/>
        <v>0</v>
      </c>
      <c r="BV531" s="1">
        <f t="shared" si="89"/>
        <v>2</v>
      </c>
      <c r="BW531" s="1">
        <f t="shared" si="89"/>
        <v>2</v>
      </c>
      <c r="BX531" s="1">
        <f t="shared" si="89"/>
        <v>0</v>
      </c>
      <c r="BY531" s="1">
        <f t="shared" si="89"/>
        <v>1</v>
      </c>
      <c r="BZ531" s="1">
        <f t="shared" si="89"/>
        <v>13</v>
      </c>
      <c r="CA531" s="1">
        <f t="shared" si="89"/>
        <v>1</v>
      </c>
      <c r="CB531" s="1">
        <f t="shared" si="89"/>
        <v>4</v>
      </c>
      <c r="CC531" s="1">
        <f t="shared" si="89"/>
        <v>7</v>
      </c>
      <c r="CD531" s="1">
        <f t="shared" si="89"/>
        <v>0</v>
      </c>
      <c r="CE531" s="1">
        <f t="shared" si="89"/>
        <v>62</v>
      </c>
      <c r="CF531" s="1">
        <f t="shared" si="89"/>
        <v>2</v>
      </c>
      <c r="CG531" s="1">
        <f t="shared" si="89"/>
        <v>1</v>
      </c>
      <c r="CH531" s="1">
        <f t="shared" si="89"/>
        <v>0</v>
      </c>
      <c r="CI531" s="1">
        <f t="shared" si="89"/>
        <v>0</v>
      </c>
      <c r="CJ531" s="1">
        <f t="shared" si="89"/>
        <v>0</v>
      </c>
      <c r="CK531" s="1">
        <f t="shared" si="89"/>
        <v>1</v>
      </c>
      <c r="CL531" s="1">
        <f t="shared" si="89"/>
        <v>1</v>
      </c>
      <c r="CM531" s="1">
        <f t="shared" si="89"/>
        <v>0</v>
      </c>
      <c r="CN531" s="1">
        <f t="shared" si="89"/>
        <v>0</v>
      </c>
      <c r="CO531" s="1">
        <f t="shared" si="89"/>
        <v>2</v>
      </c>
      <c r="CP531" s="1">
        <f t="shared" si="89"/>
        <v>0</v>
      </c>
      <c r="CQ531" s="1">
        <f t="shared" si="89"/>
        <v>13</v>
      </c>
      <c r="CR531" s="1">
        <f t="shared" si="89"/>
        <v>0</v>
      </c>
      <c r="CS531" s="1">
        <f t="shared" si="89"/>
        <v>0</v>
      </c>
      <c r="CT531" s="1">
        <f t="shared" si="89"/>
        <v>1</v>
      </c>
      <c r="CU531" s="1">
        <f t="shared" si="89"/>
        <v>0</v>
      </c>
      <c r="CV531" s="1">
        <f t="shared" si="89"/>
        <v>1</v>
      </c>
      <c r="CW531" s="1">
        <f t="shared" si="89"/>
        <v>0</v>
      </c>
      <c r="CX531" s="1">
        <f t="shared" si="89"/>
        <v>4</v>
      </c>
      <c r="CY531" s="1">
        <f t="shared" si="89"/>
        <v>0</v>
      </c>
      <c r="CZ531" s="1">
        <f t="shared" si="89"/>
        <v>1</v>
      </c>
      <c r="DA531" s="1">
        <f t="shared" si="89"/>
        <v>0</v>
      </c>
      <c r="DB531" s="1">
        <f t="shared" si="89"/>
        <v>0</v>
      </c>
      <c r="DC531" s="1">
        <f t="shared" si="89"/>
        <v>2</v>
      </c>
      <c r="DD531" s="1">
        <f t="shared" si="89"/>
        <v>0</v>
      </c>
      <c r="DE531" s="1">
        <f t="shared" si="89"/>
        <v>0</v>
      </c>
      <c r="DF531" s="1">
        <f t="shared" si="89"/>
        <v>0</v>
      </c>
      <c r="DG531" s="1">
        <f t="shared" si="89"/>
        <v>0</v>
      </c>
      <c r="DH531" s="1">
        <f t="shared" si="89"/>
        <v>0</v>
      </c>
      <c r="DI531" s="1">
        <f t="shared" si="89"/>
        <v>0</v>
      </c>
      <c r="DJ531" s="1">
        <f t="shared" si="89"/>
        <v>2</v>
      </c>
      <c r="DK531" s="1">
        <f t="shared" si="89"/>
        <v>0</v>
      </c>
      <c r="DL531" s="1">
        <f t="shared" si="89"/>
        <v>1</v>
      </c>
      <c r="DM531" s="1">
        <f t="shared" si="89"/>
        <v>0</v>
      </c>
      <c r="DN531" s="1">
        <f t="shared" si="89"/>
        <v>1</v>
      </c>
      <c r="DO531" s="1">
        <f t="shared" si="89"/>
        <v>0</v>
      </c>
      <c r="DP531" s="1">
        <f t="shared" si="89"/>
        <v>0</v>
      </c>
      <c r="DQ531" s="1">
        <f t="shared" si="89"/>
        <v>0</v>
      </c>
      <c r="DR531" s="1">
        <f t="shared" si="89"/>
        <v>0</v>
      </c>
      <c r="DS531" s="1">
        <f t="shared" si="89"/>
        <v>0</v>
      </c>
      <c r="DT531" s="1">
        <f t="shared" si="89"/>
        <v>0</v>
      </c>
      <c r="DU531" s="1">
        <f t="shared" si="89"/>
        <v>0</v>
      </c>
      <c r="DV531" s="1">
        <f t="shared" si="89"/>
        <v>0</v>
      </c>
      <c r="DW531" s="1">
        <f t="shared" si="89"/>
        <v>0</v>
      </c>
      <c r="DX531" s="1">
        <f t="shared" si="89"/>
        <v>0</v>
      </c>
      <c r="DY531" s="1">
        <f t="shared" si="89"/>
        <v>0</v>
      </c>
      <c r="DZ531" s="1">
        <f t="shared" si="89"/>
        <v>0</v>
      </c>
      <c r="EA531" s="1">
        <f t="shared" si="89"/>
        <v>0</v>
      </c>
      <c r="EB531" s="1">
        <f t="shared" si="89"/>
        <v>0</v>
      </c>
      <c r="EC531" s="1">
        <f t="shared" ref="EC531:GN531" si="90">EC534+EC537+EC540+EC543+EC546+EC549+EC552+EC555+EC558+EC561+EC564+EC567+EC570+EC573+EC576+EC579+EC582+EC585+EC588+EC591+EC594+EC597</f>
        <v>0</v>
      </c>
      <c r="ED531" s="1">
        <f t="shared" si="90"/>
        <v>0</v>
      </c>
      <c r="EE531" s="1">
        <f t="shared" si="90"/>
        <v>0</v>
      </c>
      <c r="EF531" s="1">
        <f t="shared" si="90"/>
        <v>0</v>
      </c>
      <c r="EG531" s="1">
        <f t="shared" si="90"/>
        <v>0</v>
      </c>
      <c r="EH531" s="1">
        <f t="shared" si="90"/>
        <v>0</v>
      </c>
      <c r="EI531" s="1">
        <f t="shared" si="90"/>
        <v>1</v>
      </c>
      <c r="EJ531" s="1">
        <f t="shared" si="90"/>
        <v>0</v>
      </c>
      <c r="EK531" s="1">
        <f t="shared" si="90"/>
        <v>0</v>
      </c>
      <c r="EL531" s="1">
        <f t="shared" si="90"/>
        <v>0</v>
      </c>
      <c r="EM531" s="1">
        <f t="shared" si="90"/>
        <v>0</v>
      </c>
      <c r="EN531" s="1">
        <f t="shared" si="90"/>
        <v>0</v>
      </c>
      <c r="EO531" s="1">
        <f t="shared" si="90"/>
        <v>0</v>
      </c>
      <c r="EP531" s="1">
        <f t="shared" si="90"/>
        <v>0</v>
      </c>
      <c r="EQ531" s="1">
        <f t="shared" si="90"/>
        <v>0</v>
      </c>
      <c r="ER531" s="1">
        <f t="shared" si="90"/>
        <v>0</v>
      </c>
      <c r="ES531" s="1">
        <f t="shared" si="90"/>
        <v>0</v>
      </c>
      <c r="ET531" s="1">
        <f t="shared" si="90"/>
        <v>1</v>
      </c>
      <c r="EU531" s="1">
        <f t="shared" si="90"/>
        <v>0</v>
      </c>
      <c r="EV531" s="1">
        <f t="shared" si="90"/>
        <v>0</v>
      </c>
      <c r="EW531" s="1">
        <f t="shared" si="90"/>
        <v>0</v>
      </c>
      <c r="EX531" s="1">
        <f t="shared" si="90"/>
        <v>0</v>
      </c>
      <c r="EY531" s="1">
        <f t="shared" si="90"/>
        <v>0</v>
      </c>
      <c r="EZ531" s="1">
        <f t="shared" si="90"/>
        <v>0</v>
      </c>
      <c r="FA531" s="1">
        <f t="shared" si="90"/>
        <v>0</v>
      </c>
      <c r="FB531" s="1">
        <f t="shared" si="90"/>
        <v>0</v>
      </c>
      <c r="FC531" s="1">
        <f t="shared" si="90"/>
        <v>0</v>
      </c>
      <c r="FD531" s="1">
        <f t="shared" si="90"/>
        <v>0</v>
      </c>
      <c r="FE531" s="1">
        <f t="shared" si="90"/>
        <v>0</v>
      </c>
      <c r="FF531" s="1">
        <f t="shared" si="90"/>
        <v>0</v>
      </c>
      <c r="FG531" s="1">
        <f t="shared" si="90"/>
        <v>0</v>
      </c>
      <c r="FH531" s="1">
        <f t="shared" si="90"/>
        <v>0</v>
      </c>
      <c r="FI531" s="1">
        <f t="shared" si="90"/>
        <v>0</v>
      </c>
      <c r="FJ531" s="1">
        <f t="shared" si="90"/>
        <v>0</v>
      </c>
      <c r="FK531" s="1">
        <f t="shared" si="90"/>
        <v>0</v>
      </c>
      <c r="FL531" s="1">
        <f t="shared" si="90"/>
        <v>0</v>
      </c>
      <c r="FM531" s="1">
        <f t="shared" si="90"/>
        <v>0</v>
      </c>
      <c r="FN531" s="1">
        <f t="shared" si="90"/>
        <v>0</v>
      </c>
      <c r="FO531" s="1">
        <f t="shared" si="90"/>
        <v>1</v>
      </c>
      <c r="FP531" s="1">
        <f t="shared" si="90"/>
        <v>0</v>
      </c>
      <c r="FQ531" s="1">
        <f t="shared" si="90"/>
        <v>0</v>
      </c>
      <c r="FR531" s="1">
        <f t="shared" si="90"/>
        <v>0</v>
      </c>
      <c r="FS531" s="1">
        <f t="shared" si="90"/>
        <v>0</v>
      </c>
      <c r="FT531" s="1">
        <f t="shared" si="90"/>
        <v>0</v>
      </c>
      <c r="FU531" s="1">
        <f t="shared" si="90"/>
        <v>0</v>
      </c>
      <c r="FV531" s="1">
        <f t="shared" si="90"/>
        <v>0</v>
      </c>
      <c r="FW531" s="1">
        <f t="shared" si="90"/>
        <v>0</v>
      </c>
      <c r="FX531" s="1">
        <f t="shared" si="90"/>
        <v>0</v>
      </c>
      <c r="FY531" s="1">
        <f t="shared" si="90"/>
        <v>0</v>
      </c>
      <c r="FZ531" s="1">
        <f t="shared" si="90"/>
        <v>0</v>
      </c>
      <c r="GA531" s="1">
        <f t="shared" si="90"/>
        <v>0</v>
      </c>
      <c r="GB531" s="1">
        <f t="shared" si="90"/>
        <v>0</v>
      </c>
      <c r="GC531" s="1">
        <f t="shared" si="90"/>
        <v>0</v>
      </c>
      <c r="GD531" s="1">
        <f t="shared" si="90"/>
        <v>0</v>
      </c>
      <c r="GE531" s="1">
        <f t="shared" si="90"/>
        <v>0</v>
      </c>
      <c r="GF531" s="1">
        <f t="shared" si="90"/>
        <v>0</v>
      </c>
      <c r="GG531" s="1">
        <f t="shared" si="90"/>
        <v>0</v>
      </c>
      <c r="GH531" s="1">
        <f t="shared" si="90"/>
        <v>0</v>
      </c>
      <c r="GI531" s="1">
        <f t="shared" si="90"/>
        <v>0</v>
      </c>
      <c r="GJ531" s="1">
        <f t="shared" si="90"/>
        <v>0</v>
      </c>
      <c r="GK531" s="1">
        <f t="shared" si="90"/>
        <v>0</v>
      </c>
      <c r="GL531" s="1">
        <f t="shared" si="90"/>
        <v>0</v>
      </c>
      <c r="GM531" s="1">
        <f t="shared" si="90"/>
        <v>0</v>
      </c>
      <c r="GN531" s="1">
        <f t="shared" si="90"/>
        <v>0</v>
      </c>
      <c r="GO531" s="1">
        <f t="shared" ref="GO531:GS531" si="91">GO534+GO537+GO540+GO543+GO546+GO549+GO552+GO555+GO558+GO561+GO564+GO567+GO570+GO573+GO576+GO579+GO582+GO585+GO588+GO591+GO594+GO597</f>
        <v>0</v>
      </c>
      <c r="GP531" s="1">
        <f t="shared" si="91"/>
        <v>0</v>
      </c>
      <c r="GQ531" s="1">
        <f t="shared" si="91"/>
        <v>0</v>
      </c>
      <c r="GR531" s="1">
        <f t="shared" si="91"/>
        <v>0</v>
      </c>
      <c r="GS531" s="1">
        <f t="shared" si="91"/>
        <v>0</v>
      </c>
    </row>
    <row r="532" spans="1:201" x14ac:dyDescent="0.3">
      <c r="A532" t="s">
        <v>357</v>
      </c>
      <c r="B532" t="s">
        <v>200</v>
      </c>
      <c r="C532" t="s">
        <v>204</v>
      </c>
      <c r="D532" s="1">
        <f>D535+D538+D541+D544+D547+D550+D553+D556+D559+D562+D565+D568+D571+D574+D577+D580+D583+D586+D589+D592+D595+D598</f>
        <v>18922</v>
      </c>
      <c r="E532" s="1">
        <f t="shared" ref="E532:BP532" si="92">E535+E538+E541+E544+E547+E550+E553+E556+E559+E562+E565+E568+E571+E574+E577+E580+E583+E586+E589+E592+E595+E598</f>
        <v>7292</v>
      </c>
      <c r="F532" s="1">
        <f t="shared" si="92"/>
        <v>724</v>
      </c>
      <c r="G532" s="1">
        <f t="shared" si="92"/>
        <v>2162</v>
      </c>
      <c r="H532" s="1">
        <f t="shared" si="92"/>
        <v>781</v>
      </c>
      <c r="I532" s="1">
        <f t="shared" si="92"/>
        <v>475</v>
      </c>
      <c r="J532" s="1">
        <f t="shared" si="92"/>
        <v>1542</v>
      </c>
      <c r="K532" s="1">
        <f t="shared" si="92"/>
        <v>104</v>
      </c>
      <c r="L532" s="1">
        <f t="shared" si="92"/>
        <v>124</v>
      </c>
      <c r="M532" s="1">
        <f t="shared" si="92"/>
        <v>1578</v>
      </c>
      <c r="N532" s="1">
        <f t="shared" si="92"/>
        <v>967</v>
      </c>
      <c r="O532" s="1">
        <f t="shared" si="92"/>
        <v>394</v>
      </c>
      <c r="P532" s="1">
        <f t="shared" si="92"/>
        <v>111</v>
      </c>
      <c r="Q532" s="1">
        <f t="shared" si="92"/>
        <v>311</v>
      </c>
      <c r="R532" s="1">
        <f t="shared" si="92"/>
        <v>82</v>
      </c>
      <c r="S532" s="1">
        <f t="shared" si="92"/>
        <v>734</v>
      </c>
      <c r="T532" s="1">
        <f t="shared" si="92"/>
        <v>159</v>
      </c>
      <c r="U532" s="1">
        <f t="shared" si="92"/>
        <v>94</v>
      </c>
      <c r="V532" s="1">
        <f t="shared" si="92"/>
        <v>40</v>
      </c>
      <c r="W532" s="1">
        <f t="shared" si="92"/>
        <v>67</v>
      </c>
      <c r="X532" s="1">
        <f t="shared" si="92"/>
        <v>75</v>
      </c>
      <c r="Y532" s="1">
        <f t="shared" si="92"/>
        <v>574</v>
      </c>
      <c r="Z532" s="1">
        <f t="shared" si="92"/>
        <v>30</v>
      </c>
      <c r="AA532" s="1">
        <f t="shared" si="92"/>
        <v>7</v>
      </c>
      <c r="AB532" s="1">
        <f t="shared" si="92"/>
        <v>16</v>
      </c>
      <c r="AC532" s="1">
        <f t="shared" si="92"/>
        <v>15</v>
      </c>
      <c r="AD532" s="1">
        <f t="shared" si="92"/>
        <v>180</v>
      </c>
      <c r="AE532" s="1">
        <f t="shared" si="92"/>
        <v>10</v>
      </c>
      <c r="AF532" s="1">
        <f t="shared" si="92"/>
        <v>12</v>
      </c>
      <c r="AG532" s="1">
        <f t="shared" si="92"/>
        <v>16</v>
      </c>
      <c r="AH532" s="1">
        <f t="shared" si="92"/>
        <v>2</v>
      </c>
      <c r="AI532" s="1">
        <f t="shared" si="92"/>
        <v>9</v>
      </c>
      <c r="AJ532" s="1">
        <f t="shared" si="92"/>
        <v>5</v>
      </c>
      <c r="AK532" s="1">
        <f t="shared" si="92"/>
        <v>7</v>
      </c>
      <c r="AL532" s="1">
        <f t="shared" si="92"/>
        <v>14</v>
      </c>
      <c r="AM532" s="1">
        <f t="shared" si="92"/>
        <v>2</v>
      </c>
      <c r="AN532" s="1">
        <f t="shared" si="92"/>
        <v>20</v>
      </c>
      <c r="AO532" s="1">
        <f t="shared" si="92"/>
        <v>0</v>
      </c>
      <c r="AP532" s="1">
        <f t="shared" si="92"/>
        <v>28</v>
      </c>
      <c r="AQ532" s="1">
        <f t="shared" si="92"/>
        <v>19</v>
      </c>
      <c r="AR532" s="1">
        <f t="shared" si="92"/>
        <v>0</v>
      </c>
      <c r="AS532" s="1">
        <f t="shared" si="92"/>
        <v>19</v>
      </c>
      <c r="AT532" s="1">
        <f t="shared" si="92"/>
        <v>1</v>
      </c>
      <c r="AU532" s="1">
        <f t="shared" si="92"/>
        <v>2</v>
      </c>
      <c r="AV532" s="1">
        <f t="shared" si="92"/>
        <v>1</v>
      </c>
      <c r="AW532" s="1">
        <f t="shared" si="92"/>
        <v>2</v>
      </c>
      <c r="AX532" s="1">
        <f t="shared" si="92"/>
        <v>4</v>
      </c>
      <c r="AY532" s="1">
        <f t="shared" si="92"/>
        <v>8</v>
      </c>
      <c r="AZ532" s="1">
        <f t="shared" si="92"/>
        <v>2</v>
      </c>
      <c r="BA532" s="1">
        <f t="shared" si="92"/>
        <v>2</v>
      </c>
      <c r="BB532" s="1">
        <f t="shared" si="92"/>
        <v>0</v>
      </c>
      <c r="BC532" s="1">
        <f t="shared" si="92"/>
        <v>2</v>
      </c>
      <c r="BD532" s="1">
        <f t="shared" si="92"/>
        <v>0</v>
      </c>
      <c r="BE532" s="1">
        <f t="shared" si="92"/>
        <v>6</v>
      </c>
      <c r="BF532" s="1">
        <f t="shared" si="92"/>
        <v>4</v>
      </c>
      <c r="BG532" s="1">
        <f t="shared" si="92"/>
        <v>4</v>
      </c>
      <c r="BH532" s="1">
        <f t="shared" si="92"/>
        <v>1</v>
      </c>
      <c r="BI532" s="1">
        <f t="shared" si="92"/>
        <v>3</v>
      </c>
      <c r="BJ532" s="1">
        <f t="shared" si="92"/>
        <v>2</v>
      </c>
      <c r="BK532" s="1">
        <f t="shared" si="92"/>
        <v>0</v>
      </c>
      <c r="BL532" s="1">
        <f t="shared" si="92"/>
        <v>0</v>
      </c>
      <c r="BM532" s="1">
        <f t="shared" si="92"/>
        <v>1</v>
      </c>
      <c r="BN532" s="1">
        <f t="shared" si="92"/>
        <v>5</v>
      </c>
      <c r="BO532" s="1">
        <f t="shared" si="92"/>
        <v>5</v>
      </c>
      <c r="BP532" s="1">
        <f t="shared" si="92"/>
        <v>1</v>
      </c>
      <c r="BQ532" s="1">
        <f t="shared" ref="BQ532:EB532" si="93">BQ535+BQ538+BQ541+BQ544+BQ547+BQ550+BQ553+BQ556+BQ559+BQ562+BQ565+BQ568+BQ571+BQ574+BQ577+BQ580+BQ583+BQ586+BQ589+BQ592+BQ595+BQ598</f>
        <v>3</v>
      </c>
      <c r="BR532" s="1">
        <f t="shared" si="93"/>
        <v>0</v>
      </c>
      <c r="BS532" s="1">
        <f t="shared" si="93"/>
        <v>0</v>
      </c>
      <c r="BT532" s="1">
        <f t="shared" si="93"/>
        <v>0</v>
      </c>
      <c r="BU532" s="1">
        <f t="shared" si="93"/>
        <v>0</v>
      </c>
      <c r="BV532" s="1">
        <f t="shared" si="93"/>
        <v>9</v>
      </c>
      <c r="BW532" s="1">
        <f t="shared" si="93"/>
        <v>3</v>
      </c>
      <c r="BX532" s="1">
        <f t="shared" si="93"/>
        <v>0</v>
      </c>
      <c r="BY532" s="1">
        <f t="shared" si="93"/>
        <v>0</v>
      </c>
      <c r="BZ532" s="1">
        <f t="shared" si="93"/>
        <v>0</v>
      </c>
      <c r="CA532" s="1">
        <f t="shared" si="93"/>
        <v>0</v>
      </c>
      <c r="CB532" s="1">
        <f t="shared" si="93"/>
        <v>1</v>
      </c>
      <c r="CC532" s="1">
        <f t="shared" si="93"/>
        <v>3</v>
      </c>
      <c r="CD532" s="1">
        <f t="shared" si="93"/>
        <v>1</v>
      </c>
      <c r="CE532" s="1">
        <f t="shared" si="93"/>
        <v>0</v>
      </c>
      <c r="CF532" s="1">
        <f t="shared" si="93"/>
        <v>4</v>
      </c>
      <c r="CG532" s="1">
        <f t="shared" si="93"/>
        <v>0</v>
      </c>
      <c r="CH532" s="1">
        <f t="shared" si="93"/>
        <v>0</v>
      </c>
      <c r="CI532" s="1">
        <f t="shared" si="93"/>
        <v>1</v>
      </c>
      <c r="CJ532" s="1">
        <f t="shared" si="93"/>
        <v>0</v>
      </c>
      <c r="CK532" s="1">
        <f t="shared" si="93"/>
        <v>0</v>
      </c>
      <c r="CL532" s="1">
        <f t="shared" si="93"/>
        <v>0</v>
      </c>
      <c r="CM532" s="1">
        <f t="shared" si="93"/>
        <v>0</v>
      </c>
      <c r="CN532" s="1">
        <f t="shared" si="93"/>
        <v>2</v>
      </c>
      <c r="CO532" s="1">
        <f t="shared" si="93"/>
        <v>0</v>
      </c>
      <c r="CP532" s="1">
        <f t="shared" si="93"/>
        <v>4</v>
      </c>
      <c r="CQ532" s="1">
        <f t="shared" si="93"/>
        <v>2</v>
      </c>
      <c r="CR532" s="1">
        <f t="shared" si="93"/>
        <v>0</v>
      </c>
      <c r="CS532" s="1">
        <f t="shared" si="93"/>
        <v>4</v>
      </c>
      <c r="CT532" s="1">
        <f t="shared" si="93"/>
        <v>0</v>
      </c>
      <c r="CU532" s="1">
        <f t="shared" si="93"/>
        <v>1</v>
      </c>
      <c r="CV532" s="1">
        <f t="shared" si="93"/>
        <v>1</v>
      </c>
      <c r="CW532" s="1">
        <f t="shared" si="93"/>
        <v>1</v>
      </c>
      <c r="CX532" s="1">
        <f t="shared" si="93"/>
        <v>1</v>
      </c>
      <c r="CY532" s="1">
        <f t="shared" si="93"/>
        <v>0</v>
      </c>
      <c r="CZ532" s="1">
        <f t="shared" si="93"/>
        <v>0</v>
      </c>
      <c r="DA532" s="1">
        <f t="shared" si="93"/>
        <v>0</v>
      </c>
      <c r="DB532" s="1">
        <f t="shared" si="93"/>
        <v>1</v>
      </c>
      <c r="DC532" s="1">
        <f t="shared" si="93"/>
        <v>0</v>
      </c>
      <c r="DD532" s="1">
        <f t="shared" si="93"/>
        <v>0</v>
      </c>
      <c r="DE532" s="1">
        <f t="shared" si="93"/>
        <v>2</v>
      </c>
      <c r="DF532" s="1">
        <f t="shared" si="93"/>
        <v>1</v>
      </c>
      <c r="DG532" s="1">
        <f t="shared" si="93"/>
        <v>0</v>
      </c>
      <c r="DH532" s="1">
        <f t="shared" si="93"/>
        <v>0</v>
      </c>
      <c r="DI532" s="1">
        <f t="shared" si="93"/>
        <v>2</v>
      </c>
      <c r="DJ532" s="1">
        <f t="shared" si="93"/>
        <v>0</v>
      </c>
      <c r="DK532" s="1">
        <f t="shared" si="93"/>
        <v>1</v>
      </c>
      <c r="DL532" s="1">
        <f t="shared" si="93"/>
        <v>1</v>
      </c>
      <c r="DM532" s="1">
        <f t="shared" si="93"/>
        <v>1</v>
      </c>
      <c r="DN532" s="1">
        <f t="shared" si="93"/>
        <v>3</v>
      </c>
      <c r="DO532" s="1">
        <f t="shared" si="93"/>
        <v>0</v>
      </c>
      <c r="DP532" s="1">
        <f t="shared" si="93"/>
        <v>0</v>
      </c>
      <c r="DQ532" s="1">
        <f t="shared" si="93"/>
        <v>2</v>
      </c>
      <c r="DR532" s="1">
        <f t="shared" si="93"/>
        <v>0</v>
      </c>
      <c r="DS532" s="1">
        <f t="shared" si="93"/>
        <v>2</v>
      </c>
      <c r="DT532" s="1">
        <f t="shared" si="93"/>
        <v>0</v>
      </c>
      <c r="DU532" s="1">
        <f t="shared" si="93"/>
        <v>0</v>
      </c>
      <c r="DV532" s="1">
        <f t="shared" si="93"/>
        <v>0</v>
      </c>
      <c r="DW532" s="1">
        <f t="shared" si="93"/>
        <v>0</v>
      </c>
      <c r="DX532" s="1">
        <f t="shared" si="93"/>
        <v>0</v>
      </c>
      <c r="DY532" s="1">
        <f t="shared" si="93"/>
        <v>0</v>
      </c>
      <c r="DZ532" s="1">
        <f t="shared" si="93"/>
        <v>0</v>
      </c>
      <c r="EA532" s="1">
        <f t="shared" si="93"/>
        <v>0</v>
      </c>
      <c r="EB532" s="1">
        <f t="shared" si="93"/>
        <v>0</v>
      </c>
      <c r="EC532" s="1">
        <f t="shared" ref="EC532:GN532" si="94">EC535+EC538+EC541+EC544+EC547+EC550+EC553+EC556+EC559+EC562+EC565+EC568+EC571+EC574+EC577+EC580+EC583+EC586+EC589+EC592+EC595+EC598</f>
        <v>0</v>
      </c>
      <c r="ED532" s="1">
        <f t="shared" si="94"/>
        <v>0</v>
      </c>
      <c r="EE532" s="1">
        <f t="shared" si="94"/>
        <v>0</v>
      </c>
      <c r="EF532" s="1">
        <f t="shared" si="94"/>
        <v>0</v>
      </c>
      <c r="EG532" s="1">
        <f t="shared" si="94"/>
        <v>0</v>
      </c>
      <c r="EH532" s="1">
        <f t="shared" si="94"/>
        <v>4</v>
      </c>
      <c r="EI532" s="1">
        <f t="shared" si="94"/>
        <v>0</v>
      </c>
      <c r="EJ532" s="1">
        <f t="shared" si="94"/>
        <v>0</v>
      </c>
      <c r="EK532" s="1">
        <f t="shared" si="94"/>
        <v>0</v>
      </c>
      <c r="EL532" s="1">
        <f t="shared" si="94"/>
        <v>1</v>
      </c>
      <c r="EM532" s="1">
        <f t="shared" si="94"/>
        <v>0</v>
      </c>
      <c r="EN532" s="1">
        <f t="shared" si="94"/>
        <v>1</v>
      </c>
      <c r="EO532" s="1">
        <f t="shared" si="94"/>
        <v>0</v>
      </c>
      <c r="EP532" s="1">
        <f t="shared" si="94"/>
        <v>0</v>
      </c>
      <c r="EQ532" s="1">
        <f t="shared" si="94"/>
        <v>0</v>
      </c>
      <c r="ER532" s="1">
        <f t="shared" si="94"/>
        <v>0</v>
      </c>
      <c r="ES532" s="1">
        <f t="shared" si="94"/>
        <v>0</v>
      </c>
      <c r="ET532" s="1">
        <f t="shared" si="94"/>
        <v>0</v>
      </c>
      <c r="EU532" s="1">
        <f t="shared" si="94"/>
        <v>0</v>
      </c>
      <c r="EV532" s="1">
        <f t="shared" si="94"/>
        <v>0</v>
      </c>
      <c r="EW532" s="1">
        <f t="shared" si="94"/>
        <v>0</v>
      </c>
      <c r="EX532" s="1">
        <f t="shared" si="94"/>
        <v>0</v>
      </c>
      <c r="EY532" s="1">
        <f t="shared" si="94"/>
        <v>0</v>
      </c>
      <c r="EZ532" s="1">
        <f t="shared" si="94"/>
        <v>0</v>
      </c>
      <c r="FA532" s="1">
        <f t="shared" si="94"/>
        <v>0</v>
      </c>
      <c r="FB532" s="1">
        <f t="shared" si="94"/>
        <v>0</v>
      </c>
      <c r="FC532" s="1">
        <f t="shared" si="94"/>
        <v>0</v>
      </c>
      <c r="FD532" s="1">
        <f t="shared" si="94"/>
        <v>0</v>
      </c>
      <c r="FE532" s="1">
        <f t="shared" si="94"/>
        <v>0</v>
      </c>
      <c r="FF532" s="1">
        <f t="shared" si="94"/>
        <v>0</v>
      </c>
      <c r="FG532" s="1">
        <f t="shared" si="94"/>
        <v>0</v>
      </c>
      <c r="FH532" s="1">
        <f t="shared" si="94"/>
        <v>0</v>
      </c>
      <c r="FI532" s="1">
        <f t="shared" si="94"/>
        <v>0</v>
      </c>
      <c r="FJ532" s="1">
        <f t="shared" si="94"/>
        <v>0</v>
      </c>
      <c r="FK532" s="1">
        <f t="shared" si="94"/>
        <v>0</v>
      </c>
      <c r="FL532" s="1">
        <f t="shared" si="94"/>
        <v>0</v>
      </c>
      <c r="FM532" s="1">
        <f t="shared" si="94"/>
        <v>0</v>
      </c>
      <c r="FN532" s="1">
        <f t="shared" si="94"/>
        <v>0</v>
      </c>
      <c r="FO532" s="1">
        <f t="shared" si="94"/>
        <v>0</v>
      </c>
      <c r="FP532" s="1">
        <f t="shared" si="94"/>
        <v>0</v>
      </c>
      <c r="FQ532" s="1">
        <f t="shared" si="94"/>
        <v>0</v>
      </c>
      <c r="FR532" s="1">
        <f t="shared" si="94"/>
        <v>0</v>
      </c>
      <c r="FS532" s="1">
        <f t="shared" si="94"/>
        <v>0</v>
      </c>
      <c r="FT532" s="1">
        <f t="shared" si="94"/>
        <v>0</v>
      </c>
      <c r="FU532" s="1">
        <f t="shared" si="94"/>
        <v>0</v>
      </c>
      <c r="FV532" s="1">
        <f t="shared" si="94"/>
        <v>0</v>
      </c>
      <c r="FW532" s="1">
        <f t="shared" si="94"/>
        <v>0</v>
      </c>
      <c r="FX532" s="1">
        <f t="shared" si="94"/>
        <v>0</v>
      </c>
      <c r="FY532" s="1">
        <f t="shared" si="94"/>
        <v>0</v>
      </c>
      <c r="FZ532" s="1">
        <f t="shared" si="94"/>
        <v>0</v>
      </c>
      <c r="GA532" s="1">
        <f t="shared" si="94"/>
        <v>0</v>
      </c>
      <c r="GB532" s="1">
        <f t="shared" si="94"/>
        <v>0</v>
      </c>
      <c r="GC532" s="1">
        <f t="shared" si="94"/>
        <v>0</v>
      </c>
      <c r="GD532" s="1">
        <f t="shared" si="94"/>
        <v>0</v>
      </c>
      <c r="GE532" s="1">
        <f t="shared" si="94"/>
        <v>0</v>
      </c>
      <c r="GF532" s="1">
        <f t="shared" si="94"/>
        <v>0</v>
      </c>
      <c r="GG532" s="1">
        <f t="shared" si="94"/>
        <v>0</v>
      </c>
      <c r="GH532" s="1">
        <f t="shared" si="94"/>
        <v>0</v>
      </c>
      <c r="GI532" s="1">
        <f t="shared" si="94"/>
        <v>0</v>
      </c>
      <c r="GJ532" s="1">
        <f t="shared" si="94"/>
        <v>0</v>
      </c>
      <c r="GK532" s="1">
        <f t="shared" si="94"/>
        <v>0</v>
      </c>
      <c r="GL532" s="1">
        <f t="shared" si="94"/>
        <v>0</v>
      </c>
      <c r="GM532" s="1">
        <f t="shared" si="94"/>
        <v>0</v>
      </c>
      <c r="GN532" s="1">
        <f t="shared" si="94"/>
        <v>0</v>
      </c>
      <c r="GO532" s="1">
        <f t="shared" ref="GO532:GS532" si="95">GO535+GO538+GO541+GO544+GO547+GO550+GO553+GO556+GO559+GO562+GO565+GO568+GO571+GO574+GO577+GO580+GO583+GO586+GO589+GO592+GO595+GO598</f>
        <v>0</v>
      </c>
      <c r="GP532" s="1">
        <f t="shared" si="95"/>
        <v>0</v>
      </c>
      <c r="GQ532" s="1">
        <f t="shared" si="95"/>
        <v>0</v>
      </c>
      <c r="GR532" s="1">
        <f t="shared" si="95"/>
        <v>0</v>
      </c>
      <c r="GS532" s="1">
        <f t="shared" si="95"/>
        <v>2</v>
      </c>
    </row>
    <row r="533" spans="1:201" x14ac:dyDescent="0.3">
      <c r="A533" t="s">
        <v>357</v>
      </c>
      <c r="B533" t="s">
        <v>358</v>
      </c>
      <c r="C533" t="s">
        <v>200</v>
      </c>
      <c r="D533">
        <v>747</v>
      </c>
      <c r="E533">
        <v>231</v>
      </c>
      <c r="F533">
        <v>18</v>
      </c>
      <c r="G533">
        <v>21</v>
      </c>
      <c r="H533">
        <v>93</v>
      </c>
      <c r="I533">
        <v>3</v>
      </c>
      <c r="J533">
        <v>132</v>
      </c>
      <c r="K533">
        <v>14</v>
      </c>
      <c r="L533">
        <v>8</v>
      </c>
      <c r="M533">
        <v>45</v>
      </c>
      <c r="N533">
        <v>31</v>
      </c>
      <c r="O533">
        <v>1</v>
      </c>
      <c r="P533">
        <v>7</v>
      </c>
      <c r="Q533">
        <v>67</v>
      </c>
      <c r="R533">
        <v>4</v>
      </c>
      <c r="S533">
        <v>31</v>
      </c>
      <c r="T533">
        <v>5</v>
      </c>
      <c r="U533">
        <v>1</v>
      </c>
      <c r="V533">
        <v>3</v>
      </c>
      <c r="W533">
        <v>0</v>
      </c>
      <c r="X533">
        <v>0</v>
      </c>
      <c r="Y533">
        <v>5</v>
      </c>
      <c r="Z533">
        <v>0</v>
      </c>
      <c r="AA533">
        <v>2</v>
      </c>
      <c r="AB533">
        <v>1</v>
      </c>
      <c r="AC533">
        <v>1</v>
      </c>
      <c r="AD533">
        <v>4</v>
      </c>
      <c r="AE533">
        <v>6</v>
      </c>
      <c r="AF533">
        <v>0</v>
      </c>
      <c r="AG533">
        <v>2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2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0</v>
      </c>
      <c r="BE533">
        <v>0</v>
      </c>
      <c r="BF533">
        <v>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2</v>
      </c>
      <c r="BX533">
        <v>0</v>
      </c>
      <c r="BY533">
        <v>0</v>
      </c>
      <c r="BZ533">
        <v>0</v>
      </c>
      <c r="CA533">
        <v>0</v>
      </c>
      <c r="CB533">
        <v>1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</row>
    <row r="534" spans="1:201" x14ac:dyDescent="0.3">
      <c r="A534" t="s">
        <v>357</v>
      </c>
      <c r="B534" t="s">
        <v>358</v>
      </c>
      <c r="C534" t="s">
        <v>203</v>
      </c>
      <c r="D534">
        <v>422</v>
      </c>
      <c r="E534">
        <v>106</v>
      </c>
      <c r="F534">
        <v>9</v>
      </c>
      <c r="G534">
        <v>3</v>
      </c>
      <c r="H534">
        <v>83</v>
      </c>
      <c r="I534">
        <v>1</v>
      </c>
      <c r="J534">
        <v>67</v>
      </c>
      <c r="K534">
        <v>12</v>
      </c>
      <c r="L534">
        <v>7</v>
      </c>
      <c r="M534">
        <v>17</v>
      </c>
      <c r="N534">
        <v>19</v>
      </c>
      <c r="O534">
        <v>1</v>
      </c>
      <c r="P534">
        <v>4</v>
      </c>
      <c r="Q534">
        <v>63</v>
      </c>
      <c r="R534">
        <v>4</v>
      </c>
      <c r="S534">
        <v>1</v>
      </c>
      <c r="T534">
        <v>4</v>
      </c>
      <c r="U534">
        <v>0</v>
      </c>
      <c r="V534">
        <v>3</v>
      </c>
      <c r="W534">
        <v>0</v>
      </c>
      <c r="X534">
        <v>0</v>
      </c>
      <c r="Y534">
        <v>1</v>
      </c>
      <c r="Z534">
        <v>0</v>
      </c>
      <c r="AA534">
        <v>2</v>
      </c>
      <c r="AB534">
        <v>1</v>
      </c>
      <c r="AC534">
        <v>1</v>
      </c>
      <c r="AD534">
        <v>0</v>
      </c>
      <c r="AE534">
        <v>6</v>
      </c>
      <c r="AF534">
        <v>0</v>
      </c>
      <c r="AG534">
        <v>2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2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1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</row>
    <row r="535" spans="1:201" x14ac:dyDescent="0.3">
      <c r="A535" t="s">
        <v>357</v>
      </c>
      <c r="B535" t="s">
        <v>358</v>
      </c>
      <c r="C535" t="s">
        <v>204</v>
      </c>
      <c r="D535">
        <v>325</v>
      </c>
      <c r="E535">
        <v>125</v>
      </c>
      <c r="F535">
        <v>9</v>
      </c>
      <c r="G535">
        <v>18</v>
      </c>
      <c r="H535">
        <v>10</v>
      </c>
      <c r="I535">
        <v>2</v>
      </c>
      <c r="J535">
        <v>65</v>
      </c>
      <c r="K535">
        <v>2</v>
      </c>
      <c r="L535">
        <v>1</v>
      </c>
      <c r="M535">
        <v>28</v>
      </c>
      <c r="N535">
        <v>12</v>
      </c>
      <c r="O535">
        <v>0</v>
      </c>
      <c r="P535">
        <v>3</v>
      </c>
      <c r="Q535">
        <v>4</v>
      </c>
      <c r="R535">
        <v>0</v>
      </c>
      <c r="S535">
        <v>30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0</v>
      </c>
      <c r="AC535">
        <v>0</v>
      </c>
      <c r="AD535">
        <v>4</v>
      </c>
      <c r="AE535" s="1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2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</row>
    <row r="536" spans="1:201" x14ac:dyDescent="0.3">
      <c r="A536" t="s">
        <v>357</v>
      </c>
      <c r="B536" t="s">
        <v>359</v>
      </c>
      <c r="C536" t="s">
        <v>200</v>
      </c>
      <c r="D536" s="1">
        <v>2842</v>
      </c>
      <c r="E536" s="1">
        <v>1346</v>
      </c>
      <c r="F536">
        <v>25</v>
      </c>
      <c r="G536">
        <v>24</v>
      </c>
      <c r="H536">
        <v>129</v>
      </c>
      <c r="I536">
        <v>11</v>
      </c>
      <c r="J536">
        <v>141</v>
      </c>
      <c r="K536">
        <v>178</v>
      </c>
      <c r="L536">
        <v>82</v>
      </c>
      <c r="M536">
        <v>472</v>
      </c>
      <c r="N536">
        <v>67</v>
      </c>
      <c r="O536">
        <v>6</v>
      </c>
      <c r="P536">
        <v>5</v>
      </c>
      <c r="Q536">
        <v>141</v>
      </c>
      <c r="R536">
        <v>3</v>
      </c>
      <c r="S536">
        <v>14</v>
      </c>
      <c r="T536">
        <v>0</v>
      </c>
      <c r="U536">
        <v>1</v>
      </c>
      <c r="V536">
        <v>0</v>
      </c>
      <c r="W536">
        <v>3</v>
      </c>
      <c r="X536">
        <v>0</v>
      </c>
      <c r="Y536">
        <v>92</v>
      </c>
      <c r="Z536">
        <v>1</v>
      </c>
      <c r="AA536">
        <v>0</v>
      </c>
      <c r="AB536">
        <v>0</v>
      </c>
      <c r="AC536">
        <v>0</v>
      </c>
      <c r="AD536">
        <v>6</v>
      </c>
      <c r="AE536">
        <v>91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1</v>
      </c>
    </row>
    <row r="537" spans="1:201" x14ac:dyDescent="0.3">
      <c r="A537" t="s">
        <v>357</v>
      </c>
      <c r="B537" t="s">
        <v>359</v>
      </c>
      <c r="C537" t="s">
        <v>203</v>
      </c>
      <c r="D537" s="1">
        <v>2164</v>
      </c>
      <c r="E537" s="1">
        <v>1092</v>
      </c>
      <c r="F537">
        <v>7</v>
      </c>
      <c r="G537">
        <v>4</v>
      </c>
      <c r="H537">
        <v>101</v>
      </c>
      <c r="I537">
        <v>7</v>
      </c>
      <c r="J537">
        <v>101</v>
      </c>
      <c r="K537">
        <v>175</v>
      </c>
      <c r="L537">
        <v>82</v>
      </c>
      <c r="M537">
        <v>278</v>
      </c>
      <c r="N537">
        <v>19</v>
      </c>
      <c r="O537">
        <v>2</v>
      </c>
      <c r="P537">
        <v>2</v>
      </c>
      <c r="Q537">
        <v>136</v>
      </c>
      <c r="R537">
        <v>3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56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91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</v>
      </c>
      <c r="BS537">
        <v>1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</row>
    <row r="538" spans="1:201" x14ac:dyDescent="0.3">
      <c r="A538" t="s">
        <v>357</v>
      </c>
      <c r="B538" t="s">
        <v>359</v>
      </c>
      <c r="C538" t="s">
        <v>204</v>
      </c>
      <c r="D538">
        <v>678</v>
      </c>
      <c r="E538">
        <v>254</v>
      </c>
      <c r="F538">
        <v>18</v>
      </c>
      <c r="G538">
        <v>20</v>
      </c>
      <c r="H538">
        <v>28</v>
      </c>
      <c r="I538">
        <v>4</v>
      </c>
      <c r="J538">
        <v>40</v>
      </c>
      <c r="K538">
        <v>3</v>
      </c>
      <c r="L538">
        <v>0</v>
      </c>
      <c r="M538">
        <v>194</v>
      </c>
      <c r="N538">
        <v>48</v>
      </c>
      <c r="O538">
        <v>4</v>
      </c>
      <c r="P538">
        <v>3</v>
      </c>
      <c r="Q538">
        <v>5</v>
      </c>
      <c r="R538">
        <v>0</v>
      </c>
      <c r="S538">
        <v>13</v>
      </c>
      <c r="T538">
        <v>0</v>
      </c>
      <c r="U538">
        <v>1</v>
      </c>
      <c r="V538">
        <v>0</v>
      </c>
      <c r="W538">
        <v>3</v>
      </c>
      <c r="X538">
        <v>0</v>
      </c>
      <c r="Y538">
        <v>36</v>
      </c>
      <c r="Z538">
        <v>1</v>
      </c>
      <c r="AA538">
        <v>0</v>
      </c>
      <c r="AB538">
        <v>0</v>
      </c>
      <c r="AC538">
        <v>0</v>
      </c>
      <c r="AD538">
        <v>2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1</v>
      </c>
    </row>
    <row r="539" spans="1:201" x14ac:dyDescent="0.3">
      <c r="A539" t="s">
        <v>357</v>
      </c>
      <c r="B539" t="s">
        <v>360</v>
      </c>
      <c r="C539" t="s">
        <v>200</v>
      </c>
      <c r="D539">
        <v>646</v>
      </c>
      <c r="E539">
        <v>146</v>
      </c>
      <c r="F539">
        <v>23</v>
      </c>
      <c r="G539">
        <v>20</v>
      </c>
      <c r="H539">
        <v>117</v>
      </c>
      <c r="I539">
        <v>13</v>
      </c>
      <c r="J539">
        <v>128</v>
      </c>
      <c r="K539">
        <v>37</v>
      </c>
      <c r="L539">
        <v>31</v>
      </c>
      <c r="M539">
        <v>8</v>
      </c>
      <c r="N539">
        <v>29</v>
      </c>
      <c r="O539">
        <v>0</v>
      </c>
      <c r="P539">
        <v>6</v>
      </c>
      <c r="Q539">
        <v>41</v>
      </c>
      <c r="R539">
        <v>12</v>
      </c>
      <c r="S539">
        <v>19</v>
      </c>
      <c r="T539">
        <v>2</v>
      </c>
      <c r="U539">
        <v>0</v>
      </c>
      <c r="V539">
        <v>2</v>
      </c>
      <c r="W539">
        <v>1</v>
      </c>
      <c r="X539">
        <v>2</v>
      </c>
      <c r="Y539">
        <v>2</v>
      </c>
      <c r="Z539">
        <v>1</v>
      </c>
      <c r="AA539">
        <v>0</v>
      </c>
      <c r="AB539">
        <v>0</v>
      </c>
      <c r="AC539">
        <v>0</v>
      </c>
      <c r="AD539">
        <v>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1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</row>
    <row r="540" spans="1:201" x14ac:dyDescent="0.3">
      <c r="A540" t="s">
        <v>357</v>
      </c>
      <c r="B540" t="s">
        <v>360</v>
      </c>
      <c r="C540" t="s">
        <v>203</v>
      </c>
      <c r="D540">
        <v>411</v>
      </c>
      <c r="E540">
        <v>88</v>
      </c>
      <c r="F540">
        <v>11</v>
      </c>
      <c r="G540">
        <v>2</v>
      </c>
      <c r="H540">
        <v>87</v>
      </c>
      <c r="I540">
        <v>8</v>
      </c>
      <c r="J540">
        <v>68</v>
      </c>
      <c r="K540">
        <v>37</v>
      </c>
      <c r="L540">
        <v>30</v>
      </c>
      <c r="M540">
        <v>2</v>
      </c>
      <c r="N540">
        <v>19</v>
      </c>
      <c r="O540">
        <v>0</v>
      </c>
      <c r="P540">
        <v>2</v>
      </c>
      <c r="Q540">
        <v>36</v>
      </c>
      <c r="R540">
        <v>12</v>
      </c>
      <c r="S540">
        <v>0</v>
      </c>
      <c r="T540">
        <v>1</v>
      </c>
      <c r="U540">
        <v>0</v>
      </c>
      <c r="V540">
        <v>2</v>
      </c>
      <c r="W540">
        <v>0</v>
      </c>
      <c r="X540">
        <v>0</v>
      </c>
      <c r="Y540">
        <v>2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1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</row>
    <row r="541" spans="1:201" x14ac:dyDescent="0.3">
      <c r="A541" t="s">
        <v>357</v>
      </c>
      <c r="B541" t="s">
        <v>360</v>
      </c>
      <c r="C541" t="s">
        <v>204</v>
      </c>
      <c r="D541">
        <v>235</v>
      </c>
      <c r="E541">
        <v>58</v>
      </c>
      <c r="F541">
        <v>12</v>
      </c>
      <c r="G541">
        <v>18</v>
      </c>
      <c r="H541">
        <v>30</v>
      </c>
      <c r="I541">
        <v>5</v>
      </c>
      <c r="J541">
        <v>60</v>
      </c>
      <c r="K541">
        <v>0</v>
      </c>
      <c r="L541">
        <v>1</v>
      </c>
      <c r="M541">
        <v>6</v>
      </c>
      <c r="N541">
        <v>10</v>
      </c>
      <c r="O541">
        <v>0</v>
      </c>
      <c r="P541">
        <v>4</v>
      </c>
      <c r="Q541">
        <v>5</v>
      </c>
      <c r="R541">
        <v>0</v>
      </c>
      <c r="S541">
        <v>19</v>
      </c>
      <c r="T541">
        <v>1</v>
      </c>
      <c r="U541">
        <v>0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</row>
    <row r="542" spans="1:201" x14ac:dyDescent="0.3">
      <c r="A542" t="s">
        <v>357</v>
      </c>
      <c r="B542" t="s">
        <v>361</v>
      </c>
      <c r="C542" t="s">
        <v>200</v>
      </c>
      <c r="D542" s="1">
        <v>2362</v>
      </c>
      <c r="E542">
        <v>687</v>
      </c>
      <c r="F542">
        <v>142</v>
      </c>
      <c r="G542">
        <v>347</v>
      </c>
      <c r="H542">
        <v>146</v>
      </c>
      <c r="I542">
        <v>91</v>
      </c>
      <c r="J542">
        <v>128</v>
      </c>
      <c r="K542">
        <v>98</v>
      </c>
      <c r="L542">
        <v>66</v>
      </c>
      <c r="M542">
        <v>147</v>
      </c>
      <c r="N542">
        <v>50</v>
      </c>
      <c r="O542">
        <v>39</v>
      </c>
      <c r="P542">
        <v>28</v>
      </c>
      <c r="Q542">
        <v>69</v>
      </c>
      <c r="R542">
        <v>30</v>
      </c>
      <c r="S542">
        <v>74</v>
      </c>
      <c r="T542">
        <v>25</v>
      </c>
      <c r="U542">
        <v>18</v>
      </c>
      <c r="V542">
        <v>14</v>
      </c>
      <c r="W542">
        <v>8</v>
      </c>
      <c r="X542">
        <v>2</v>
      </c>
      <c r="Y542">
        <v>19</v>
      </c>
      <c r="Z542">
        <v>4</v>
      </c>
      <c r="AA542">
        <v>1</v>
      </c>
      <c r="AB542">
        <v>0</v>
      </c>
      <c r="AC542">
        <v>5</v>
      </c>
      <c r="AD542">
        <v>26</v>
      </c>
      <c r="AE542">
        <v>22</v>
      </c>
      <c r="AF542">
        <v>4</v>
      </c>
      <c r="AG542">
        <v>3</v>
      </c>
      <c r="AH542">
        <v>0</v>
      </c>
      <c r="AI542">
        <v>1</v>
      </c>
      <c r="AJ542">
        <v>0</v>
      </c>
      <c r="AK542">
        <v>2</v>
      </c>
      <c r="AL542">
        <v>1</v>
      </c>
      <c r="AM542">
        <v>0</v>
      </c>
      <c r="AN542">
        <v>2</v>
      </c>
      <c r="AO542">
        <v>6</v>
      </c>
      <c r="AP542">
        <v>10</v>
      </c>
      <c r="AQ542">
        <v>8</v>
      </c>
      <c r="AR542">
        <v>0</v>
      </c>
      <c r="AS542">
        <v>11</v>
      </c>
      <c r="AT542">
        <v>0</v>
      </c>
      <c r="AU542">
        <v>1</v>
      </c>
      <c r="AV542">
        <v>1</v>
      </c>
      <c r="AW542">
        <v>0</v>
      </c>
      <c r="AX542">
        <v>1</v>
      </c>
      <c r="AY542">
        <v>2</v>
      </c>
      <c r="AZ542">
        <v>0</v>
      </c>
      <c r="BA542">
        <v>0</v>
      </c>
      <c r="BB542">
        <v>0</v>
      </c>
      <c r="BC542">
        <v>0</v>
      </c>
      <c r="BD542">
        <v>3</v>
      </c>
      <c r="BE542">
        <v>0</v>
      </c>
      <c r="BF542">
        <v>0</v>
      </c>
      <c r="BG542">
        <v>1</v>
      </c>
      <c r="BH542">
        <v>1</v>
      </c>
      <c r="BI542">
        <v>1</v>
      </c>
      <c r="BJ542">
        <v>2</v>
      </c>
      <c r="BK542">
        <v>0</v>
      </c>
      <c r="BL542">
        <v>0</v>
      </c>
      <c r="BM542">
        <v>5</v>
      </c>
      <c r="BN542">
        <v>1</v>
      </c>
      <c r="BO542">
        <v>0</v>
      </c>
      <c r="BP542">
        <v>0</v>
      </c>
      <c r="BQ542">
        <v>1</v>
      </c>
      <c r="BR542">
        <v>0</v>
      </c>
      <c r="BS542">
        <v>0</v>
      </c>
      <c r="BT542">
        <v>2</v>
      </c>
      <c r="BU542">
        <v>0</v>
      </c>
      <c r="BV542">
        <v>4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1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</row>
    <row r="543" spans="1:201" x14ac:dyDescent="0.3">
      <c r="A543" t="s">
        <v>357</v>
      </c>
      <c r="B543" t="s">
        <v>361</v>
      </c>
      <c r="C543" t="s">
        <v>203</v>
      </c>
      <c r="D543" s="1">
        <v>1373</v>
      </c>
      <c r="E543">
        <v>336</v>
      </c>
      <c r="F543">
        <v>78</v>
      </c>
      <c r="G543">
        <v>199</v>
      </c>
      <c r="H543">
        <v>127</v>
      </c>
      <c r="I543">
        <v>69</v>
      </c>
      <c r="J543">
        <v>74</v>
      </c>
      <c r="K543">
        <v>91</v>
      </c>
      <c r="L543">
        <v>64</v>
      </c>
      <c r="M543">
        <v>57</v>
      </c>
      <c r="N543">
        <v>19</v>
      </c>
      <c r="O543">
        <v>15</v>
      </c>
      <c r="P543">
        <v>14</v>
      </c>
      <c r="Q543">
        <v>62</v>
      </c>
      <c r="R543">
        <v>30</v>
      </c>
      <c r="S543">
        <v>5</v>
      </c>
      <c r="T543">
        <v>18</v>
      </c>
      <c r="U543">
        <v>14</v>
      </c>
      <c r="V543">
        <v>14</v>
      </c>
      <c r="W543">
        <v>5</v>
      </c>
      <c r="X543">
        <v>2</v>
      </c>
      <c r="Y543">
        <v>1</v>
      </c>
      <c r="Z543">
        <v>2</v>
      </c>
      <c r="AA543">
        <v>1</v>
      </c>
      <c r="AB543">
        <v>0</v>
      </c>
      <c r="AC543">
        <v>4</v>
      </c>
      <c r="AD543">
        <v>7</v>
      </c>
      <c r="AE543">
        <v>22</v>
      </c>
      <c r="AF543">
        <v>3</v>
      </c>
      <c r="AG543">
        <v>3</v>
      </c>
      <c r="AH543">
        <v>0</v>
      </c>
      <c r="AI543">
        <v>1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6</v>
      </c>
      <c r="AP543">
        <v>8</v>
      </c>
      <c r="AQ543">
        <v>3</v>
      </c>
      <c r="AR543">
        <v>0</v>
      </c>
      <c r="AS543">
        <v>2</v>
      </c>
      <c r="AT543">
        <v>0</v>
      </c>
      <c r="AU543">
        <v>1</v>
      </c>
      <c r="AV543">
        <v>1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3</v>
      </c>
      <c r="BE543">
        <v>0</v>
      </c>
      <c r="BF543">
        <v>0</v>
      </c>
      <c r="BG543">
        <v>0</v>
      </c>
      <c r="BH543">
        <v>1</v>
      </c>
      <c r="BI543">
        <v>0</v>
      </c>
      <c r="BJ543">
        <v>1</v>
      </c>
      <c r="BK543">
        <v>0</v>
      </c>
      <c r="BL543">
        <v>0</v>
      </c>
      <c r="BM543">
        <v>5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2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1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</row>
    <row r="544" spans="1:201" x14ac:dyDescent="0.3">
      <c r="A544" t="s">
        <v>357</v>
      </c>
      <c r="B544" t="s">
        <v>361</v>
      </c>
      <c r="C544" t="s">
        <v>204</v>
      </c>
      <c r="D544">
        <v>989</v>
      </c>
      <c r="E544">
        <v>351</v>
      </c>
      <c r="F544">
        <v>64</v>
      </c>
      <c r="G544">
        <v>148</v>
      </c>
      <c r="H544">
        <v>19</v>
      </c>
      <c r="I544">
        <v>22</v>
      </c>
      <c r="J544">
        <v>54</v>
      </c>
      <c r="K544">
        <v>7</v>
      </c>
      <c r="L544">
        <v>2</v>
      </c>
      <c r="M544">
        <v>90</v>
      </c>
      <c r="N544">
        <v>31</v>
      </c>
      <c r="O544">
        <v>24</v>
      </c>
      <c r="P544">
        <v>14</v>
      </c>
      <c r="Q544">
        <v>7</v>
      </c>
      <c r="R544">
        <v>0</v>
      </c>
      <c r="S544">
        <v>69</v>
      </c>
      <c r="T544">
        <v>7</v>
      </c>
      <c r="U544">
        <v>4</v>
      </c>
      <c r="V544">
        <v>0</v>
      </c>
      <c r="W544">
        <v>3</v>
      </c>
      <c r="X544">
        <v>0</v>
      </c>
      <c r="Y544">
        <v>18</v>
      </c>
      <c r="Z544">
        <v>2</v>
      </c>
      <c r="AA544">
        <v>0</v>
      </c>
      <c r="AB544">
        <v>0</v>
      </c>
      <c r="AC544">
        <v>1</v>
      </c>
      <c r="AD544">
        <v>19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2</v>
      </c>
      <c r="AO544">
        <v>0</v>
      </c>
      <c r="AP544">
        <v>2</v>
      </c>
      <c r="AQ544">
        <v>5</v>
      </c>
      <c r="AR544">
        <v>0</v>
      </c>
      <c r="AS544">
        <v>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0</v>
      </c>
      <c r="BI544">
        <v>1</v>
      </c>
      <c r="BJ544">
        <v>1</v>
      </c>
      <c r="BK544">
        <v>0</v>
      </c>
      <c r="BL544">
        <v>0</v>
      </c>
      <c r="BM544">
        <v>0</v>
      </c>
      <c r="BN544">
        <v>1</v>
      </c>
      <c r="BO544">
        <v>0</v>
      </c>
      <c r="BP544">
        <v>0</v>
      </c>
      <c r="BQ544">
        <v>1</v>
      </c>
      <c r="BR544">
        <v>0</v>
      </c>
      <c r="BS544">
        <v>0</v>
      </c>
      <c r="BT544">
        <v>0</v>
      </c>
      <c r="BU544">
        <v>0</v>
      </c>
      <c r="BV544">
        <v>4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</row>
    <row r="545" spans="1:201" x14ac:dyDescent="0.3">
      <c r="A545" t="s">
        <v>357</v>
      </c>
      <c r="B545" t="s">
        <v>362</v>
      </c>
      <c r="C545" t="s">
        <v>200</v>
      </c>
      <c r="D545">
        <v>220</v>
      </c>
      <c r="E545">
        <v>70</v>
      </c>
      <c r="F545">
        <v>11</v>
      </c>
      <c r="G545">
        <v>14</v>
      </c>
      <c r="H545">
        <v>32</v>
      </c>
      <c r="I545">
        <v>14</v>
      </c>
      <c r="J545">
        <v>16</v>
      </c>
      <c r="K545">
        <v>1</v>
      </c>
      <c r="L545">
        <v>2</v>
      </c>
      <c r="M545">
        <v>9</v>
      </c>
      <c r="N545">
        <v>12</v>
      </c>
      <c r="O545">
        <v>0</v>
      </c>
      <c r="P545">
        <v>7</v>
      </c>
      <c r="Q545">
        <v>2</v>
      </c>
      <c r="R545">
        <v>0</v>
      </c>
      <c r="S545">
        <v>20</v>
      </c>
      <c r="T545">
        <v>0</v>
      </c>
      <c r="U545">
        <v>0</v>
      </c>
      <c r="V545">
        <v>0</v>
      </c>
      <c r="W545">
        <v>3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3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</row>
    <row r="546" spans="1:201" x14ac:dyDescent="0.3">
      <c r="A546" t="s">
        <v>357</v>
      </c>
      <c r="B546" t="s">
        <v>362</v>
      </c>
      <c r="C546" t="s">
        <v>203</v>
      </c>
      <c r="D546">
        <v>88</v>
      </c>
      <c r="E546">
        <v>19</v>
      </c>
      <c r="F546">
        <v>6</v>
      </c>
      <c r="G546">
        <v>1</v>
      </c>
      <c r="H546">
        <v>23</v>
      </c>
      <c r="I546">
        <v>10</v>
      </c>
      <c r="J546">
        <v>9</v>
      </c>
      <c r="K546">
        <v>0</v>
      </c>
      <c r="L546">
        <v>2</v>
      </c>
      <c r="M546">
        <v>0</v>
      </c>
      <c r="N546">
        <v>7</v>
      </c>
      <c r="O546">
        <v>0</v>
      </c>
      <c r="P546">
        <v>3</v>
      </c>
      <c r="Q546">
        <v>2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</row>
    <row r="547" spans="1:201" x14ac:dyDescent="0.3">
      <c r="A547" t="s">
        <v>357</v>
      </c>
      <c r="B547" t="s">
        <v>362</v>
      </c>
      <c r="C547" t="s">
        <v>204</v>
      </c>
      <c r="D547">
        <v>132</v>
      </c>
      <c r="E547">
        <v>51</v>
      </c>
      <c r="F547">
        <v>5</v>
      </c>
      <c r="G547">
        <v>13</v>
      </c>
      <c r="H547">
        <v>9</v>
      </c>
      <c r="I547">
        <v>4</v>
      </c>
      <c r="J547">
        <v>7</v>
      </c>
      <c r="K547">
        <v>1</v>
      </c>
      <c r="L547">
        <v>0</v>
      </c>
      <c r="M547">
        <v>9</v>
      </c>
      <c r="N547">
        <v>5</v>
      </c>
      <c r="O547">
        <v>0</v>
      </c>
      <c r="P547">
        <v>4</v>
      </c>
      <c r="Q547">
        <v>0</v>
      </c>
      <c r="R547">
        <v>0</v>
      </c>
      <c r="S547">
        <v>19</v>
      </c>
      <c r="T547">
        <v>0</v>
      </c>
      <c r="U547">
        <v>0</v>
      </c>
      <c r="V547">
        <v>0</v>
      </c>
      <c r="W547">
        <v>2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</row>
    <row r="548" spans="1:201" x14ac:dyDescent="0.3">
      <c r="A548" t="s">
        <v>357</v>
      </c>
      <c r="B548" t="s">
        <v>363</v>
      </c>
      <c r="C548" t="s">
        <v>200</v>
      </c>
      <c r="D548" s="1">
        <v>5624</v>
      </c>
      <c r="E548" s="1">
        <v>2091</v>
      </c>
      <c r="F548">
        <v>102</v>
      </c>
      <c r="G548">
        <v>577</v>
      </c>
      <c r="H548">
        <v>518</v>
      </c>
      <c r="I548">
        <v>105</v>
      </c>
      <c r="J548">
        <v>559</v>
      </c>
      <c r="K548">
        <v>87</v>
      </c>
      <c r="L548">
        <v>174</v>
      </c>
      <c r="M548">
        <v>213</v>
      </c>
      <c r="N548">
        <v>326</v>
      </c>
      <c r="O548">
        <v>38</v>
      </c>
      <c r="P548">
        <v>21</v>
      </c>
      <c r="Q548">
        <v>203</v>
      </c>
      <c r="R548">
        <v>120</v>
      </c>
      <c r="S548">
        <v>78</v>
      </c>
      <c r="T548">
        <v>9</v>
      </c>
      <c r="U548">
        <v>2</v>
      </c>
      <c r="V548">
        <v>34</v>
      </c>
      <c r="W548">
        <v>17</v>
      </c>
      <c r="X548">
        <v>46</v>
      </c>
      <c r="Y548">
        <v>140</v>
      </c>
      <c r="Z548">
        <v>6</v>
      </c>
      <c r="AA548">
        <v>1</v>
      </c>
      <c r="AB548">
        <v>1</v>
      </c>
      <c r="AC548">
        <v>9</v>
      </c>
      <c r="AD548">
        <v>17</v>
      </c>
      <c r="AE548">
        <v>26</v>
      </c>
      <c r="AF548">
        <v>2</v>
      </c>
      <c r="AG548">
        <v>1</v>
      </c>
      <c r="AH548">
        <v>2</v>
      </c>
      <c r="AI548">
        <v>10</v>
      </c>
      <c r="AJ548">
        <v>0</v>
      </c>
      <c r="AK548">
        <v>1</v>
      </c>
      <c r="AL548">
        <v>0</v>
      </c>
      <c r="AM548">
        <v>0</v>
      </c>
      <c r="AN548">
        <v>4</v>
      </c>
      <c r="AO548">
        <v>0</v>
      </c>
      <c r="AP548">
        <v>51</v>
      </c>
      <c r="AQ548">
        <v>5</v>
      </c>
      <c r="AR548">
        <v>0</v>
      </c>
      <c r="AS548">
        <v>3</v>
      </c>
      <c r="AT548">
        <v>0</v>
      </c>
      <c r="AU548">
        <v>0</v>
      </c>
      <c r="AV548">
        <v>1</v>
      </c>
      <c r="AW548">
        <v>2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2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1</v>
      </c>
      <c r="BM548">
        <v>0</v>
      </c>
      <c r="BN548">
        <v>0</v>
      </c>
      <c r="BO548">
        <v>6</v>
      </c>
      <c r="BP548">
        <v>3</v>
      </c>
      <c r="BQ548">
        <v>0</v>
      </c>
      <c r="BR548">
        <v>0</v>
      </c>
      <c r="BS548">
        <v>1</v>
      </c>
      <c r="BT548">
        <v>1</v>
      </c>
      <c r="BU548">
        <v>0</v>
      </c>
      <c r="BV548">
        <v>4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2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1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1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</row>
    <row r="549" spans="1:201" x14ac:dyDescent="0.3">
      <c r="A549" t="s">
        <v>357</v>
      </c>
      <c r="B549" t="s">
        <v>363</v>
      </c>
      <c r="C549" t="s">
        <v>203</v>
      </c>
      <c r="D549" s="1">
        <v>3495</v>
      </c>
      <c r="E549" s="1">
        <v>1112</v>
      </c>
      <c r="F549">
        <v>57</v>
      </c>
      <c r="G549">
        <v>295</v>
      </c>
      <c r="H549">
        <v>416</v>
      </c>
      <c r="I549">
        <v>76</v>
      </c>
      <c r="J549">
        <v>413</v>
      </c>
      <c r="K549">
        <v>80</v>
      </c>
      <c r="L549">
        <v>172</v>
      </c>
      <c r="M549">
        <v>100</v>
      </c>
      <c r="N549">
        <v>228</v>
      </c>
      <c r="O549">
        <v>22</v>
      </c>
      <c r="P549">
        <v>15</v>
      </c>
      <c r="Q549">
        <v>157</v>
      </c>
      <c r="R549">
        <v>109</v>
      </c>
      <c r="S549">
        <v>3</v>
      </c>
      <c r="T549">
        <v>4</v>
      </c>
      <c r="U549">
        <v>1</v>
      </c>
      <c r="V549">
        <v>20</v>
      </c>
      <c r="W549">
        <v>11</v>
      </c>
      <c r="X549">
        <v>26</v>
      </c>
      <c r="Y549">
        <v>78</v>
      </c>
      <c r="Z549">
        <v>2</v>
      </c>
      <c r="AA549">
        <v>1</v>
      </c>
      <c r="AB549">
        <v>0</v>
      </c>
      <c r="AC549">
        <v>6</v>
      </c>
      <c r="AD549">
        <v>5</v>
      </c>
      <c r="AE549">
        <v>26</v>
      </c>
      <c r="AF549">
        <v>2</v>
      </c>
      <c r="AG549">
        <v>1</v>
      </c>
      <c r="AH549">
        <v>1</v>
      </c>
      <c r="AI549">
        <v>7</v>
      </c>
      <c r="AJ549">
        <v>0</v>
      </c>
      <c r="AK549">
        <v>1</v>
      </c>
      <c r="AL549">
        <v>0</v>
      </c>
      <c r="AM549">
        <v>0</v>
      </c>
      <c r="AN549">
        <v>3</v>
      </c>
      <c r="AO549">
        <v>0</v>
      </c>
      <c r="AP549">
        <v>29</v>
      </c>
      <c r="AQ549">
        <v>2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</v>
      </c>
      <c r="BM549">
        <v>0</v>
      </c>
      <c r="BN549">
        <v>0</v>
      </c>
      <c r="BO549">
        <v>2</v>
      </c>
      <c r="BP549">
        <v>2</v>
      </c>
      <c r="BQ549">
        <v>0</v>
      </c>
      <c r="BR549">
        <v>0</v>
      </c>
      <c r="BS549">
        <v>1</v>
      </c>
      <c r="BT549">
        <v>1</v>
      </c>
      <c r="BU549">
        <v>0</v>
      </c>
      <c r="BV549">
        <v>2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1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1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</row>
    <row r="550" spans="1:201" x14ac:dyDescent="0.3">
      <c r="A550" t="s">
        <v>357</v>
      </c>
      <c r="B550" t="s">
        <v>363</v>
      </c>
      <c r="C550" t="s">
        <v>204</v>
      </c>
      <c r="D550" s="1">
        <v>2129</v>
      </c>
      <c r="E550">
        <v>979</v>
      </c>
      <c r="F550">
        <v>45</v>
      </c>
      <c r="G550">
        <v>282</v>
      </c>
      <c r="H550">
        <v>102</v>
      </c>
      <c r="I550">
        <v>29</v>
      </c>
      <c r="J550">
        <v>146</v>
      </c>
      <c r="K550">
        <v>7</v>
      </c>
      <c r="L550">
        <v>2</v>
      </c>
      <c r="M550">
        <v>113</v>
      </c>
      <c r="N550">
        <v>98</v>
      </c>
      <c r="O550">
        <v>16</v>
      </c>
      <c r="P550">
        <v>6</v>
      </c>
      <c r="Q550">
        <v>46</v>
      </c>
      <c r="R550">
        <v>11</v>
      </c>
      <c r="S550">
        <v>75</v>
      </c>
      <c r="T550">
        <v>5</v>
      </c>
      <c r="U550">
        <v>1</v>
      </c>
      <c r="V550">
        <v>14</v>
      </c>
      <c r="W550">
        <v>6</v>
      </c>
      <c r="X550">
        <v>20</v>
      </c>
      <c r="Y550">
        <v>62</v>
      </c>
      <c r="Z550">
        <v>4</v>
      </c>
      <c r="AA550">
        <v>0</v>
      </c>
      <c r="AB550">
        <v>1</v>
      </c>
      <c r="AC550">
        <v>3</v>
      </c>
      <c r="AD550">
        <v>12</v>
      </c>
      <c r="AE550">
        <v>0</v>
      </c>
      <c r="AF550">
        <v>0</v>
      </c>
      <c r="AG550">
        <v>0</v>
      </c>
      <c r="AH550">
        <v>1</v>
      </c>
      <c r="AI550">
        <v>3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22</v>
      </c>
      <c r="AQ550">
        <v>3</v>
      </c>
      <c r="AR550">
        <v>0</v>
      </c>
      <c r="AS550">
        <v>3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4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1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</row>
    <row r="551" spans="1:201" x14ac:dyDescent="0.3">
      <c r="A551" t="s">
        <v>357</v>
      </c>
      <c r="B551" t="s">
        <v>364</v>
      </c>
      <c r="C551" t="s">
        <v>200</v>
      </c>
      <c r="D551" s="1">
        <v>1408</v>
      </c>
      <c r="E551">
        <v>294</v>
      </c>
      <c r="F551">
        <v>11</v>
      </c>
      <c r="G551">
        <v>39</v>
      </c>
      <c r="H551">
        <v>180</v>
      </c>
      <c r="I551">
        <v>31</v>
      </c>
      <c r="J551">
        <v>384</v>
      </c>
      <c r="K551">
        <v>51</v>
      </c>
      <c r="L551">
        <v>74</v>
      </c>
      <c r="M551">
        <v>125</v>
      </c>
      <c r="N551">
        <v>63</v>
      </c>
      <c r="O551">
        <v>5</v>
      </c>
      <c r="P551">
        <v>7</v>
      </c>
      <c r="Q551">
        <v>50</v>
      </c>
      <c r="R551">
        <v>12</v>
      </c>
      <c r="S551">
        <v>14</v>
      </c>
      <c r="T551">
        <v>2</v>
      </c>
      <c r="U551">
        <v>0</v>
      </c>
      <c r="V551">
        <v>3</v>
      </c>
      <c r="W551">
        <v>0</v>
      </c>
      <c r="X551">
        <v>1</v>
      </c>
      <c r="Y551">
        <v>50</v>
      </c>
      <c r="Z551">
        <v>0</v>
      </c>
      <c r="AA551">
        <v>1</v>
      </c>
      <c r="AB551">
        <v>1</v>
      </c>
      <c r="AC551">
        <v>1</v>
      </c>
      <c r="AD551">
        <v>1</v>
      </c>
      <c r="AE551">
        <v>3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1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</row>
    <row r="552" spans="1:201" x14ac:dyDescent="0.3">
      <c r="A552" t="s">
        <v>357</v>
      </c>
      <c r="B552" t="s">
        <v>364</v>
      </c>
      <c r="C552" t="s">
        <v>203</v>
      </c>
      <c r="D552">
        <v>763</v>
      </c>
      <c r="E552">
        <v>151</v>
      </c>
      <c r="F552">
        <v>7</v>
      </c>
      <c r="G552">
        <v>11</v>
      </c>
      <c r="H552">
        <v>124</v>
      </c>
      <c r="I552">
        <v>28</v>
      </c>
      <c r="J552">
        <v>130</v>
      </c>
      <c r="K552">
        <v>50</v>
      </c>
      <c r="L552">
        <v>73</v>
      </c>
      <c r="M552">
        <v>60</v>
      </c>
      <c r="N552">
        <v>33</v>
      </c>
      <c r="O552">
        <v>3</v>
      </c>
      <c r="P552">
        <v>5</v>
      </c>
      <c r="Q552">
        <v>46</v>
      </c>
      <c r="R552">
        <v>12</v>
      </c>
      <c r="S552">
        <v>0</v>
      </c>
      <c r="T552">
        <v>1</v>
      </c>
      <c r="U552">
        <v>0</v>
      </c>
      <c r="V552">
        <v>3</v>
      </c>
      <c r="W552">
        <v>0</v>
      </c>
      <c r="X552">
        <v>1</v>
      </c>
      <c r="Y552">
        <v>16</v>
      </c>
      <c r="Z552">
        <v>0</v>
      </c>
      <c r="AA552">
        <v>1</v>
      </c>
      <c r="AB552">
        <v>1</v>
      </c>
      <c r="AC552">
        <v>1</v>
      </c>
      <c r="AD552">
        <v>0</v>
      </c>
      <c r="AE552">
        <v>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</row>
    <row r="553" spans="1:201" x14ac:dyDescent="0.3">
      <c r="A553" t="s">
        <v>357</v>
      </c>
      <c r="B553" t="s">
        <v>364</v>
      </c>
      <c r="C553" t="s">
        <v>204</v>
      </c>
      <c r="D553">
        <v>645</v>
      </c>
      <c r="E553">
        <v>143</v>
      </c>
      <c r="F553">
        <v>4</v>
      </c>
      <c r="G553">
        <v>28</v>
      </c>
      <c r="H553">
        <v>56</v>
      </c>
      <c r="I553">
        <v>3</v>
      </c>
      <c r="J553">
        <v>254</v>
      </c>
      <c r="K553">
        <v>1</v>
      </c>
      <c r="L553">
        <v>1</v>
      </c>
      <c r="M553">
        <v>65</v>
      </c>
      <c r="N553">
        <v>30</v>
      </c>
      <c r="O553">
        <v>2</v>
      </c>
      <c r="P553">
        <v>2</v>
      </c>
      <c r="Q553">
        <v>4</v>
      </c>
      <c r="R553">
        <v>0</v>
      </c>
      <c r="S553">
        <v>14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34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1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</row>
    <row r="554" spans="1:201" x14ac:dyDescent="0.3">
      <c r="A554" t="s">
        <v>357</v>
      </c>
      <c r="B554" t="s">
        <v>365</v>
      </c>
      <c r="C554" t="s">
        <v>200</v>
      </c>
      <c r="D554" s="1">
        <v>4930</v>
      </c>
      <c r="E554" s="1">
        <v>2005</v>
      </c>
      <c r="F554">
        <v>212</v>
      </c>
      <c r="G554">
        <v>404</v>
      </c>
      <c r="H554">
        <v>131</v>
      </c>
      <c r="I554">
        <v>227</v>
      </c>
      <c r="J554">
        <v>84</v>
      </c>
      <c r="K554">
        <v>560</v>
      </c>
      <c r="L554">
        <v>63</v>
      </c>
      <c r="M554">
        <v>218</v>
      </c>
      <c r="N554">
        <v>121</v>
      </c>
      <c r="O554">
        <v>230</v>
      </c>
      <c r="P554">
        <v>29</v>
      </c>
      <c r="Q554">
        <v>98</v>
      </c>
      <c r="R554">
        <v>31</v>
      </c>
      <c r="S554">
        <v>50</v>
      </c>
      <c r="T554">
        <v>100</v>
      </c>
      <c r="U554">
        <v>13</v>
      </c>
      <c r="V554">
        <v>2</v>
      </c>
      <c r="W554">
        <v>15</v>
      </c>
      <c r="X554">
        <v>13</v>
      </c>
      <c r="Y554">
        <v>32</v>
      </c>
      <c r="Z554">
        <v>11</v>
      </c>
      <c r="AA554">
        <v>9</v>
      </c>
      <c r="AB554">
        <v>6</v>
      </c>
      <c r="AC554">
        <v>3</v>
      </c>
      <c r="AD554">
        <v>16</v>
      </c>
      <c r="AE554">
        <v>25</v>
      </c>
      <c r="AF554">
        <v>11</v>
      </c>
      <c r="AG554">
        <v>43</v>
      </c>
      <c r="AH554">
        <v>2</v>
      </c>
      <c r="AI554">
        <v>11</v>
      </c>
      <c r="AJ554">
        <v>1</v>
      </c>
      <c r="AK554">
        <v>0</v>
      </c>
      <c r="AL554">
        <v>6</v>
      </c>
      <c r="AM554">
        <v>0</v>
      </c>
      <c r="AN554">
        <v>3</v>
      </c>
      <c r="AO554">
        <v>3</v>
      </c>
      <c r="AP554">
        <v>2</v>
      </c>
      <c r="AQ554">
        <v>3</v>
      </c>
      <c r="AR554">
        <v>0</v>
      </c>
      <c r="AS554">
        <v>1</v>
      </c>
      <c r="AT554">
        <v>2</v>
      </c>
      <c r="AU554">
        <v>2</v>
      </c>
      <c r="AV554">
        <v>0</v>
      </c>
      <c r="AW554">
        <v>1</v>
      </c>
      <c r="AX554">
        <v>16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3</v>
      </c>
      <c r="BE554">
        <v>0</v>
      </c>
      <c r="BF554">
        <v>0</v>
      </c>
      <c r="BG554">
        <v>0</v>
      </c>
      <c r="BH554">
        <v>0</v>
      </c>
      <c r="BI554">
        <v>3</v>
      </c>
      <c r="BJ554">
        <v>3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1</v>
      </c>
      <c r="BQ554">
        <v>4</v>
      </c>
      <c r="BR554">
        <v>0</v>
      </c>
      <c r="BS554">
        <v>0</v>
      </c>
      <c r="BT554">
        <v>1</v>
      </c>
      <c r="BU554">
        <v>0</v>
      </c>
      <c r="BV554">
        <v>0</v>
      </c>
      <c r="BW554">
        <v>2</v>
      </c>
      <c r="BX554">
        <v>0</v>
      </c>
      <c r="BY554">
        <v>1</v>
      </c>
      <c r="BZ554">
        <v>0</v>
      </c>
      <c r="CA554">
        <v>0</v>
      </c>
      <c r="CB554">
        <v>0</v>
      </c>
      <c r="CC554">
        <v>8</v>
      </c>
      <c r="CD554">
        <v>1</v>
      </c>
      <c r="CE554">
        <v>62</v>
      </c>
      <c r="CF554">
        <v>4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1</v>
      </c>
      <c r="CP554">
        <v>2</v>
      </c>
      <c r="CQ554">
        <v>9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1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1</v>
      </c>
      <c r="DK554">
        <v>0</v>
      </c>
      <c r="DL554">
        <v>0</v>
      </c>
      <c r="DM554">
        <v>0</v>
      </c>
      <c r="DN554">
        <v>1</v>
      </c>
      <c r="DO554">
        <v>0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4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1</v>
      </c>
    </row>
    <row r="555" spans="1:201" x14ac:dyDescent="0.3">
      <c r="A555" t="s">
        <v>357</v>
      </c>
      <c r="B555" t="s">
        <v>365</v>
      </c>
      <c r="C555" t="s">
        <v>203</v>
      </c>
      <c r="D555" s="1">
        <v>3302</v>
      </c>
      <c r="E555" s="1">
        <v>1404</v>
      </c>
      <c r="F555">
        <v>108</v>
      </c>
      <c r="G555">
        <v>189</v>
      </c>
      <c r="H555">
        <v>91</v>
      </c>
      <c r="I555">
        <v>196</v>
      </c>
      <c r="J555">
        <v>54</v>
      </c>
      <c r="K555">
        <v>550</v>
      </c>
      <c r="L555">
        <v>53</v>
      </c>
      <c r="M555">
        <v>64</v>
      </c>
      <c r="N555">
        <v>25</v>
      </c>
      <c r="O555">
        <v>104</v>
      </c>
      <c r="P555">
        <v>14</v>
      </c>
      <c r="Q555">
        <v>77</v>
      </c>
      <c r="R555">
        <v>28</v>
      </c>
      <c r="S555">
        <v>5</v>
      </c>
      <c r="T555">
        <v>61</v>
      </c>
      <c r="U555">
        <v>7</v>
      </c>
      <c r="V555">
        <v>2</v>
      </c>
      <c r="W555">
        <v>6</v>
      </c>
      <c r="X555">
        <v>8</v>
      </c>
      <c r="Y555">
        <v>20</v>
      </c>
      <c r="Z555">
        <v>6</v>
      </c>
      <c r="AA555">
        <v>8</v>
      </c>
      <c r="AB555">
        <v>4</v>
      </c>
      <c r="AC555">
        <v>3</v>
      </c>
      <c r="AD555">
        <v>5</v>
      </c>
      <c r="AE555">
        <v>25</v>
      </c>
      <c r="AF555">
        <v>7</v>
      </c>
      <c r="AG555">
        <v>38</v>
      </c>
      <c r="AH555">
        <v>2</v>
      </c>
      <c r="AI555">
        <v>11</v>
      </c>
      <c r="AJ555">
        <v>1</v>
      </c>
      <c r="AK555">
        <v>0</v>
      </c>
      <c r="AL555">
        <v>4</v>
      </c>
      <c r="AM555">
        <v>0</v>
      </c>
      <c r="AN555">
        <v>2</v>
      </c>
      <c r="AO555">
        <v>3</v>
      </c>
      <c r="AP555">
        <v>1</v>
      </c>
      <c r="AQ555">
        <v>2</v>
      </c>
      <c r="AR555">
        <v>0</v>
      </c>
      <c r="AS555">
        <v>0</v>
      </c>
      <c r="AT555">
        <v>1</v>
      </c>
      <c r="AU555">
        <v>0</v>
      </c>
      <c r="AV555">
        <v>0</v>
      </c>
      <c r="AW555">
        <v>0</v>
      </c>
      <c r="AX555">
        <v>16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3</v>
      </c>
      <c r="BE555">
        <v>0</v>
      </c>
      <c r="BF555">
        <v>0</v>
      </c>
      <c r="BG555">
        <v>0</v>
      </c>
      <c r="BH555">
        <v>0</v>
      </c>
      <c r="BI555">
        <v>2</v>
      </c>
      <c r="BJ555">
        <v>3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1</v>
      </c>
      <c r="BQ555">
        <v>2</v>
      </c>
      <c r="BR555">
        <v>0</v>
      </c>
      <c r="BS555">
        <v>0</v>
      </c>
      <c r="BT555">
        <v>1</v>
      </c>
      <c r="BU555">
        <v>0</v>
      </c>
      <c r="BV555">
        <v>0</v>
      </c>
      <c r="BW555">
        <v>1</v>
      </c>
      <c r="BX555">
        <v>0</v>
      </c>
      <c r="BY555">
        <v>1</v>
      </c>
      <c r="BZ555">
        <v>0</v>
      </c>
      <c r="CA555">
        <v>0</v>
      </c>
      <c r="CB555">
        <v>0</v>
      </c>
      <c r="CC555">
        <v>6</v>
      </c>
      <c r="CD555">
        <v>0</v>
      </c>
      <c r="CE555">
        <v>62</v>
      </c>
      <c r="CF555">
        <v>2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</v>
      </c>
      <c r="CP555">
        <v>0</v>
      </c>
      <c r="CQ555">
        <v>9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1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1</v>
      </c>
      <c r="DK555">
        <v>0</v>
      </c>
      <c r="DL555">
        <v>0</v>
      </c>
      <c r="DM555">
        <v>0</v>
      </c>
      <c r="DN555">
        <v>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</row>
    <row r="556" spans="1:201" x14ac:dyDescent="0.3">
      <c r="A556" t="s">
        <v>357</v>
      </c>
      <c r="B556" t="s">
        <v>365</v>
      </c>
      <c r="C556" t="s">
        <v>204</v>
      </c>
      <c r="D556" s="1">
        <v>1628</v>
      </c>
      <c r="E556">
        <v>601</v>
      </c>
      <c r="F556">
        <v>104</v>
      </c>
      <c r="G556">
        <v>215</v>
      </c>
      <c r="H556">
        <v>40</v>
      </c>
      <c r="I556">
        <v>31</v>
      </c>
      <c r="J556">
        <v>30</v>
      </c>
      <c r="K556">
        <v>10</v>
      </c>
      <c r="L556">
        <v>10</v>
      </c>
      <c r="M556">
        <v>154</v>
      </c>
      <c r="N556">
        <v>96</v>
      </c>
      <c r="O556">
        <v>126</v>
      </c>
      <c r="P556">
        <v>15</v>
      </c>
      <c r="Q556">
        <v>21</v>
      </c>
      <c r="R556">
        <v>3</v>
      </c>
      <c r="S556">
        <v>45</v>
      </c>
      <c r="T556">
        <v>39</v>
      </c>
      <c r="U556">
        <v>6</v>
      </c>
      <c r="V556">
        <v>0</v>
      </c>
      <c r="W556">
        <v>9</v>
      </c>
      <c r="X556">
        <v>5</v>
      </c>
      <c r="Y556">
        <v>12</v>
      </c>
      <c r="Z556">
        <v>5</v>
      </c>
      <c r="AA556">
        <v>1</v>
      </c>
      <c r="AB556">
        <v>2</v>
      </c>
      <c r="AC556">
        <v>0</v>
      </c>
      <c r="AD556">
        <v>11</v>
      </c>
      <c r="AE556">
        <v>0</v>
      </c>
      <c r="AF556">
        <v>4</v>
      </c>
      <c r="AG556">
        <v>5</v>
      </c>
      <c r="AH556">
        <v>0</v>
      </c>
      <c r="AI556">
        <v>0</v>
      </c>
      <c r="AJ556">
        <v>0</v>
      </c>
      <c r="AK556">
        <v>0</v>
      </c>
      <c r="AL556">
        <v>2</v>
      </c>
      <c r="AM556">
        <v>0</v>
      </c>
      <c r="AN556">
        <v>1</v>
      </c>
      <c r="AO556">
        <v>0</v>
      </c>
      <c r="AP556">
        <v>1</v>
      </c>
      <c r="AQ556">
        <v>1</v>
      </c>
      <c r="AR556">
        <v>0</v>
      </c>
      <c r="AS556">
        <v>1</v>
      </c>
      <c r="AT556">
        <v>1</v>
      </c>
      <c r="AU556">
        <v>2</v>
      </c>
      <c r="AV556">
        <v>0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0</v>
      </c>
      <c r="BQ556">
        <v>2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2</v>
      </c>
      <c r="CD556">
        <v>1</v>
      </c>
      <c r="CE556">
        <v>0</v>
      </c>
      <c r="CF556">
        <v>2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2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1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4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1</v>
      </c>
    </row>
    <row r="557" spans="1:201" x14ac:dyDescent="0.3">
      <c r="A557" t="s">
        <v>357</v>
      </c>
      <c r="B557" t="s">
        <v>366</v>
      </c>
      <c r="C557" t="s">
        <v>200</v>
      </c>
      <c r="D557" s="1">
        <v>2591</v>
      </c>
      <c r="E557">
        <v>647</v>
      </c>
      <c r="F557">
        <v>42</v>
      </c>
      <c r="G557">
        <v>181</v>
      </c>
      <c r="H557">
        <v>314</v>
      </c>
      <c r="I557">
        <v>29</v>
      </c>
      <c r="J557">
        <v>212</v>
      </c>
      <c r="K557">
        <v>120</v>
      </c>
      <c r="L557">
        <v>142</v>
      </c>
      <c r="M557">
        <v>114</v>
      </c>
      <c r="N557">
        <v>161</v>
      </c>
      <c r="O557">
        <v>10</v>
      </c>
      <c r="P557">
        <v>20</v>
      </c>
      <c r="Q557">
        <v>85</v>
      </c>
      <c r="R557">
        <v>18</v>
      </c>
      <c r="S557">
        <v>47</v>
      </c>
      <c r="T557">
        <v>13</v>
      </c>
      <c r="U557">
        <v>2</v>
      </c>
      <c r="V557">
        <v>6</v>
      </c>
      <c r="W557">
        <v>7</v>
      </c>
      <c r="X557">
        <v>5</v>
      </c>
      <c r="Y557">
        <v>297</v>
      </c>
      <c r="Z557">
        <v>1</v>
      </c>
      <c r="AA557">
        <v>14</v>
      </c>
      <c r="AB557">
        <v>6</v>
      </c>
      <c r="AC557">
        <v>4</v>
      </c>
      <c r="AD557">
        <v>18</v>
      </c>
      <c r="AE557">
        <v>15</v>
      </c>
      <c r="AF557">
        <v>4</v>
      </c>
      <c r="AG557">
        <v>23</v>
      </c>
      <c r="AH557">
        <v>0</v>
      </c>
      <c r="AI557">
        <v>0</v>
      </c>
      <c r="AJ557">
        <v>0</v>
      </c>
      <c r="AK557">
        <v>1</v>
      </c>
      <c r="AL557">
        <v>5</v>
      </c>
      <c r="AM557">
        <v>0</v>
      </c>
      <c r="AN557">
        <v>2</v>
      </c>
      <c r="AO557">
        <v>0</v>
      </c>
      <c r="AP557">
        <v>5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2</v>
      </c>
      <c r="BO557">
        <v>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4</v>
      </c>
      <c r="CA557">
        <v>0</v>
      </c>
      <c r="CB557">
        <v>0</v>
      </c>
      <c r="CC557">
        <v>2</v>
      </c>
      <c r="CD557">
        <v>0</v>
      </c>
      <c r="CE557">
        <v>0</v>
      </c>
      <c r="CF557">
        <v>1</v>
      </c>
      <c r="CG557">
        <v>1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1</v>
      </c>
      <c r="CQ557">
        <v>4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0</v>
      </c>
      <c r="CX557">
        <v>1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</row>
    <row r="558" spans="1:201" x14ac:dyDescent="0.3">
      <c r="A558" t="s">
        <v>357</v>
      </c>
      <c r="B558" t="s">
        <v>366</v>
      </c>
      <c r="C558" t="s">
        <v>203</v>
      </c>
      <c r="D558" s="1">
        <v>1708</v>
      </c>
      <c r="E558">
        <v>354</v>
      </c>
      <c r="F558">
        <v>19</v>
      </c>
      <c r="G558">
        <v>68</v>
      </c>
      <c r="H558">
        <v>280</v>
      </c>
      <c r="I558">
        <v>24</v>
      </c>
      <c r="J558">
        <v>152</v>
      </c>
      <c r="K558">
        <v>115</v>
      </c>
      <c r="L558">
        <v>137</v>
      </c>
      <c r="M558">
        <v>54</v>
      </c>
      <c r="N558">
        <v>117</v>
      </c>
      <c r="O558">
        <v>4</v>
      </c>
      <c r="P558">
        <v>7</v>
      </c>
      <c r="Q558">
        <v>73</v>
      </c>
      <c r="R558">
        <v>17</v>
      </c>
      <c r="S558">
        <v>3</v>
      </c>
      <c r="T558">
        <v>4</v>
      </c>
      <c r="U558">
        <v>0</v>
      </c>
      <c r="V558">
        <v>5</v>
      </c>
      <c r="W558">
        <v>6</v>
      </c>
      <c r="X558">
        <v>4</v>
      </c>
      <c r="Y558">
        <v>183</v>
      </c>
      <c r="Z558">
        <v>0</v>
      </c>
      <c r="AA558">
        <v>10</v>
      </c>
      <c r="AB558">
        <v>3</v>
      </c>
      <c r="AC558">
        <v>3</v>
      </c>
      <c r="AD558">
        <v>4</v>
      </c>
      <c r="AE558">
        <v>15</v>
      </c>
      <c r="AF558">
        <v>3</v>
      </c>
      <c r="AG558">
        <v>21</v>
      </c>
      <c r="AH558">
        <v>0</v>
      </c>
      <c r="AI558">
        <v>0</v>
      </c>
      <c r="AJ558">
        <v>0</v>
      </c>
      <c r="AK558">
        <v>1</v>
      </c>
      <c r="AL558">
        <v>3</v>
      </c>
      <c r="AM558">
        <v>0</v>
      </c>
      <c r="AN558">
        <v>1</v>
      </c>
      <c r="AO558">
        <v>0</v>
      </c>
      <c r="AP558">
        <v>5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4</v>
      </c>
      <c r="CA558">
        <v>0</v>
      </c>
      <c r="CB558">
        <v>0</v>
      </c>
      <c r="CC558">
        <v>1</v>
      </c>
      <c r="CD558">
        <v>0</v>
      </c>
      <c r="CE558">
        <v>0</v>
      </c>
      <c r="CF558">
        <v>0</v>
      </c>
      <c r="CG558">
        <v>1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3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</row>
    <row r="559" spans="1:201" x14ac:dyDescent="0.3">
      <c r="A559" t="s">
        <v>357</v>
      </c>
      <c r="B559" t="s">
        <v>366</v>
      </c>
      <c r="C559" t="s">
        <v>204</v>
      </c>
      <c r="D559">
        <v>883</v>
      </c>
      <c r="E559">
        <v>293</v>
      </c>
      <c r="F559">
        <v>23</v>
      </c>
      <c r="G559">
        <v>113</v>
      </c>
      <c r="H559">
        <v>34</v>
      </c>
      <c r="I559">
        <v>5</v>
      </c>
      <c r="J559">
        <v>60</v>
      </c>
      <c r="K559">
        <v>5</v>
      </c>
      <c r="L559">
        <v>5</v>
      </c>
      <c r="M559">
        <v>60</v>
      </c>
      <c r="N559">
        <v>44</v>
      </c>
      <c r="O559">
        <v>6</v>
      </c>
      <c r="P559">
        <v>13</v>
      </c>
      <c r="Q559">
        <v>12</v>
      </c>
      <c r="R559">
        <v>1</v>
      </c>
      <c r="S559">
        <v>44</v>
      </c>
      <c r="T559">
        <v>9</v>
      </c>
      <c r="U559">
        <v>2</v>
      </c>
      <c r="V559">
        <v>1</v>
      </c>
      <c r="W559">
        <v>1</v>
      </c>
      <c r="X559">
        <v>1</v>
      </c>
      <c r="Y559">
        <v>114</v>
      </c>
      <c r="Z559">
        <v>1</v>
      </c>
      <c r="AA559">
        <v>4</v>
      </c>
      <c r="AB559">
        <v>3</v>
      </c>
      <c r="AC559">
        <v>1</v>
      </c>
      <c r="AD559">
        <v>14</v>
      </c>
      <c r="AE559">
        <v>0</v>
      </c>
      <c r="AF559">
        <v>1</v>
      </c>
      <c r="AG559">
        <v>2</v>
      </c>
      <c r="AH559">
        <v>0</v>
      </c>
      <c r="AI559">
        <v>0</v>
      </c>
      <c r="AJ559">
        <v>0</v>
      </c>
      <c r="AK559">
        <v>0</v>
      </c>
      <c r="AL559">
        <v>2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1</v>
      </c>
      <c r="CD559">
        <v>0</v>
      </c>
      <c r="CE559">
        <v>0</v>
      </c>
      <c r="CF559">
        <v>1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1</v>
      </c>
      <c r="CQ559">
        <v>1</v>
      </c>
      <c r="CR559">
        <v>0</v>
      </c>
      <c r="CS559">
        <v>0</v>
      </c>
      <c r="CT559">
        <v>0</v>
      </c>
      <c r="CU559">
        <v>0</v>
      </c>
      <c r="CV559">
        <v>1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1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</row>
    <row r="560" spans="1:201" x14ac:dyDescent="0.3">
      <c r="A560" t="s">
        <v>357</v>
      </c>
      <c r="B560" t="s">
        <v>367</v>
      </c>
      <c r="C560" t="s">
        <v>200</v>
      </c>
      <c r="D560" s="1">
        <v>1199</v>
      </c>
      <c r="E560">
        <v>710</v>
      </c>
      <c r="F560">
        <v>12</v>
      </c>
      <c r="G560">
        <v>18</v>
      </c>
      <c r="H560">
        <v>89</v>
      </c>
      <c r="I560">
        <v>1</v>
      </c>
      <c r="J560">
        <v>95</v>
      </c>
      <c r="K560">
        <v>3</v>
      </c>
      <c r="L560">
        <v>55</v>
      </c>
      <c r="M560">
        <v>50</v>
      </c>
      <c r="N560">
        <v>38</v>
      </c>
      <c r="O560">
        <v>3</v>
      </c>
      <c r="P560">
        <v>5</v>
      </c>
      <c r="Q560">
        <v>27</v>
      </c>
      <c r="R560">
        <v>15</v>
      </c>
      <c r="S560">
        <v>19</v>
      </c>
      <c r="T560">
        <v>3</v>
      </c>
      <c r="U560">
        <v>1</v>
      </c>
      <c r="V560">
        <v>0</v>
      </c>
      <c r="W560">
        <v>1</v>
      </c>
      <c r="X560">
        <v>1</v>
      </c>
      <c r="Y560">
        <v>30</v>
      </c>
      <c r="Z560">
        <v>1</v>
      </c>
      <c r="AA560">
        <v>0</v>
      </c>
      <c r="AB560">
        <v>0</v>
      </c>
      <c r="AC560">
        <v>0</v>
      </c>
      <c r="AD560">
        <v>7</v>
      </c>
      <c r="AE560">
        <v>10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3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1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</row>
    <row r="561" spans="1:201" x14ac:dyDescent="0.3">
      <c r="A561" t="s">
        <v>357</v>
      </c>
      <c r="B561" t="s">
        <v>367</v>
      </c>
      <c r="C561" t="s">
        <v>203</v>
      </c>
      <c r="D561">
        <v>631</v>
      </c>
      <c r="E561">
        <v>336</v>
      </c>
      <c r="F561">
        <v>3</v>
      </c>
      <c r="G561">
        <v>3</v>
      </c>
      <c r="H561">
        <v>73</v>
      </c>
      <c r="I561">
        <v>1</v>
      </c>
      <c r="J561">
        <v>46</v>
      </c>
      <c r="K561">
        <v>1</v>
      </c>
      <c r="L561">
        <v>53</v>
      </c>
      <c r="M561">
        <v>30</v>
      </c>
      <c r="N561">
        <v>19</v>
      </c>
      <c r="O561">
        <v>0</v>
      </c>
      <c r="P561">
        <v>2</v>
      </c>
      <c r="Q561">
        <v>23</v>
      </c>
      <c r="R561">
        <v>10</v>
      </c>
      <c r="S561">
        <v>0</v>
      </c>
      <c r="T561">
        <v>2</v>
      </c>
      <c r="U561">
        <v>0</v>
      </c>
      <c r="V561">
        <v>0</v>
      </c>
      <c r="W561">
        <v>1</v>
      </c>
      <c r="X561">
        <v>1</v>
      </c>
      <c r="Y561">
        <v>13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3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</row>
    <row r="562" spans="1:201" x14ac:dyDescent="0.3">
      <c r="A562" t="s">
        <v>357</v>
      </c>
      <c r="B562" t="s">
        <v>367</v>
      </c>
      <c r="C562" t="s">
        <v>204</v>
      </c>
      <c r="D562">
        <v>568</v>
      </c>
      <c r="E562">
        <v>374</v>
      </c>
      <c r="F562">
        <v>9</v>
      </c>
      <c r="G562">
        <v>15</v>
      </c>
      <c r="H562">
        <v>16</v>
      </c>
      <c r="I562">
        <v>0</v>
      </c>
      <c r="J562">
        <v>49</v>
      </c>
      <c r="K562">
        <v>2</v>
      </c>
      <c r="L562">
        <v>2</v>
      </c>
      <c r="M562">
        <v>20</v>
      </c>
      <c r="N562">
        <v>19</v>
      </c>
      <c r="O562">
        <v>3</v>
      </c>
      <c r="P562">
        <v>3</v>
      </c>
      <c r="Q562">
        <v>4</v>
      </c>
      <c r="R562">
        <v>5</v>
      </c>
      <c r="S562">
        <v>19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17</v>
      </c>
      <c r="Z562">
        <v>1</v>
      </c>
      <c r="AA562">
        <v>0</v>
      </c>
      <c r="AB562">
        <v>0</v>
      </c>
      <c r="AC562">
        <v>0</v>
      </c>
      <c r="AD562">
        <v>6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1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</row>
    <row r="563" spans="1:201" x14ac:dyDescent="0.3">
      <c r="A563" t="s">
        <v>357</v>
      </c>
      <c r="B563" t="s">
        <v>368</v>
      </c>
      <c r="C563" t="s">
        <v>200</v>
      </c>
      <c r="D563" s="1">
        <v>3557</v>
      </c>
      <c r="E563" s="1">
        <v>1170</v>
      </c>
      <c r="F563">
        <v>117</v>
      </c>
      <c r="G563">
        <v>280</v>
      </c>
      <c r="H563">
        <v>308</v>
      </c>
      <c r="I563">
        <v>356</v>
      </c>
      <c r="J563">
        <v>176</v>
      </c>
      <c r="K563">
        <v>68</v>
      </c>
      <c r="L563">
        <v>136</v>
      </c>
      <c r="M563">
        <v>127</v>
      </c>
      <c r="N563">
        <v>116</v>
      </c>
      <c r="O563">
        <v>208</v>
      </c>
      <c r="P563">
        <v>40</v>
      </c>
      <c r="Q563">
        <v>41</v>
      </c>
      <c r="R563">
        <v>25</v>
      </c>
      <c r="S563">
        <v>86</v>
      </c>
      <c r="T563">
        <v>25</v>
      </c>
      <c r="U563">
        <v>12</v>
      </c>
      <c r="V563">
        <v>26</v>
      </c>
      <c r="W563">
        <v>18</v>
      </c>
      <c r="X563">
        <v>59</v>
      </c>
      <c r="Y563">
        <v>23</v>
      </c>
      <c r="Z563">
        <v>3</v>
      </c>
      <c r="AA563">
        <v>6</v>
      </c>
      <c r="AB563">
        <v>2</v>
      </c>
      <c r="AC563">
        <v>12</v>
      </c>
      <c r="AD563">
        <v>39</v>
      </c>
      <c r="AE563">
        <v>2</v>
      </c>
      <c r="AF563">
        <v>7</v>
      </c>
      <c r="AG563">
        <v>4</v>
      </c>
      <c r="AH563">
        <v>5</v>
      </c>
      <c r="AI563">
        <v>2</v>
      </c>
      <c r="AJ563">
        <v>0</v>
      </c>
      <c r="AK563">
        <v>4</v>
      </c>
      <c r="AL563">
        <v>4</v>
      </c>
      <c r="AM563">
        <v>0</v>
      </c>
      <c r="AN563">
        <v>6</v>
      </c>
      <c r="AO563">
        <v>0</v>
      </c>
      <c r="AP563">
        <v>0</v>
      </c>
      <c r="AQ563">
        <v>1</v>
      </c>
      <c r="AR563">
        <v>0</v>
      </c>
      <c r="AS563">
        <v>5</v>
      </c>
      <c r="AT563">
        <v>0</v>
      </c>
      <c r="AU563">
        <v>0</v>
      </c>
      <c r="AV563">
        <v>2</v>
      </c>
      <c r="AW563">
        <v>0</v>
      </c>
      <c r="AX563">
        <v>0</v>
      </c>
      <c r="AY563">
        <v>6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8</v>
      </c>
      <c r="BF563">
        <v>3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2</v>
      </c>
      <c r="BT563">
        <v>0</v>
      </c>
      <c r="BU563">
        <v>0</v>
      </c>
      <c r="BV563">
        <v>2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0</v>
      </c>
      <c r="CR563">
        <v>0</v>
      </c>
      <c r="CS563">
        <v>2</v>
      </c>
      <c r="CT563">
        <v>1</v>
      </c>
      <c r="CU563">
        <v>1</v>
      </c>
      <c r="CV563">
        <v>0</v>
      </c>
      <c r="CW563">
        <v>1</v>
      </c>
      <c r="CX563">
        <v>0</v>
      </c>
      <c r="CY563">
        <v>0</v>
      </c>
      <c r="CZ563">
        <v>0</v>
      </c>
      <c r="DA563">
        <v>0</v>
      </c>
      <c r="DB563">
        <v>1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2</v>
      </c>
      <c r="DJ563">
        <v>0</v>
      </c>
      <c r="DK563">
        <v>0</v>
      </c>
      <c r="DL563">
        <v>0</v>
      </c>
      <c r="DM563">
        <v>1</v>
      </c>
      <c r="DN563">
        <v>1</v>
      </c>
      <c r="DO563">
        <v>0</v>
      </c>
      <c r="DP563">
        <v>0</v>
      </c>
      <c r="DQ563">
        <v>0</v>
      </c>
      <c r="DR563">
        <v>0</v>
      </c>
      <c r="DS563">
        <v>1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</row>
    <row r="564" spans="1:201" x14ac:dyDescent="0.3">
      <c r="A564" t="s">
        <v>357</v>
      </c>
      <c r="B564" t="s">
        <v>368</v>
      </c>
      <c r="C564" t="s">
        <v>203</v>
      </c>
      <c r="D564" s="1">
        <v>1894</v>
      </c>
      <c r="E564">
        <v>550</v>
      </c>
      <c r="F564">
        <v>78</v>
      </c>
      <c r="G564">
        <v>78</v>
      </c>
      <c r="H564">
        <v>228</v>
      </c>
      <c r="I564">
        <v>263</v>
      </c>
      <c r="J564">
        <v>139</v>
      </c>
      <c r="K564">
        <v>53</v>
      </c>
      <c r="L564">
        <v>71</v>
      </c>
      <c r="M564">
        <v>58</v>
      </c>
      <c r="N564">
        <v>64</v>
      </c>
      <c r="O564">
        <v>89</v>
      </c>
      <c r="P564">
        <v>23</v>
      </c>
      <c r="Q564">
        <v>33</v>
      </c>
      <c r="R564">
        <v>17</v>
      </c>
      <c r="S564">
        <v>9</v>
      </c>
      <c r="T564">
        <v>13</v>
      </c>
      <c r="U564">
        <v>4</v>
      </c>
      <c r="V564">
        <v>19</v>
      </c>
      <c r="W564">
        <v>9</v>
      </c>
      <c r="X564">
        <v>33</v>
      </c>
      <c r="Y564">
        <v>2</v>
      </c>
      <c r="Z564">
        <v>0</v>
      </c>
      <c r="AA564">
        <v>5</v>
      </c>
      <c r="AB564">
        <v>0</v>
      </c>
      <c r="AC564">
        <v>7</v>
      </c>
      <c r="AD564">
        <v>8</v>
      </c>
      <c r="AE564">
        <v>2</v>
      </c>
      <c r="AF564">
        <v>6</v>
      </c>
      <c r="AG564">
        <v>1</v>
      </c>
      <c r="AH564">
        <v>4</v>
      </c>
      <c r="AI564">
        <v>1</v>
      </c>
      <c r="AJ564">
        <v>0</v>
      </c>
      <c r="AK564">
        <v>2</v>
      </c>
      <c r="AL564">
        <v>1</v>
      </c>
      <c r="AM564">
        <v>0</v>
      </c>
      <c r="AN564">
        <v>2</v>
      </c>
      <c r="AO564">
        <v>0</v>
      </c>
      <c r="AP564">
        <v>0</v>
      </c>
      <c r="AQ564">
        <v>0</v>
      </c>
      <c r="AR564">
        <v>0</v>
      </c>
      <c r="AS564">
        <v>3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6</v>
      </c>
      <c r="AZ564">
        <v>0</v>
      </c>
      <c r="BA564">
        <v>0</v>
      </c>
      <c r="BB564">
        <v>0</v>
      </c>
      <c r="BC564">
        <v>1</v>
      </c>
      <c r="BD564">
        <v>0</v>
      </c>
      <c r="BE564">
        <v>3</v>
      </c>
      <c r="BF564">
        <v>3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</v>
      </c>
      <c r="BS564">
        <v>2</v>
      </c>
      <c r="BT564">
        <v>0</v>
      </c>
      <c r="BU564">
        <v>0</v>
      </c>
      <c r="BV564">
        <v>0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</row>
    <row r="565" spans="1:201" x14ac:dyDescent="0.3">
      <c r="A565" t="s">
        <v>357</v>
      </c>
      <c r="B565" t="s">
        <v>368</v>
      </c>
      <c r="C565" t="s">
        <v>204</v>
      </c>
      <c r="D565" s="1">
        <v>1663</v>
      </c>
      <c r="E565">
        <v>620</v>
      </c>
      <c r="F565">
        <v>39</v>
      </c>
      <c r="G565">
        <v>202</v>
      </c>
      <c r="H565">
        <v>80</v>
      </c>
      <c r="I565">
        <v>93</v>
      </c>
      <c r="J565">
        <v>37</v>
      </c>
      <c r="K565">
        <v>15</v>
      </c>
      <c r="L565">
        <v>65</v>
      </c>
      <c r="M565">
        <v>69</v>
      </c>
      <c r="N565">
        <v>52</v>
      </c>
      <c r="O565">
        <v>119</v>
      </c>
      <c r="P565">
        <v>17</v>
      </c>
      <c r="Q565">
        <v>8</v>
      </c>
      <c r="R565">
        <v>8</v>
      </c>
      <c r="S565">
        <v>77</v>
      </c>
      <c r="T565">
        <v>12</v>
      </c>
      <c r="U565">
        <v>8</v>
      </c>
      <c r="V565">
        <v>7</v>
      </c>
      <c r="W565">
        <v>9</v>
      </c>
      <c r="X565">
        <v>26</v>
      </c>
      <c r="Y565">
        <v>21</v>
      </c>
      <c r="Z565">
        <v>3</v>
      </c>
      <c r="AA565">
        <v>1</v>
      </c>
      <c r="AB565">
        <v>2</v>
      </c>
      <c r="AC565">
        <v>5</v>
      </c>
      <c r="AD565">
        <v>31</v>
      </c>
      <c r="AE565">
        <v>0</v>
      </c>
      <c r="AF565">
        <v>1</v>
      </c>
      <c r="AG565">
        <v>3</v>
      </c>
      <c r="AH565">
        <v>1</v>
      </c>
      <c r="AI565">
        <v>1</v>
      </c>
      <c r="AJ565">
        <v>0</v>
      </c>
      <c r="AK565">
        <v>2</v>
      </c>
      <c r="AL565">
        <v>3</v>
      </c>
      <c r="AM565">
        <v>0</v>
      </c>
      <c r="AN565">
        <v>4</v>
      </c>
      <c r="AO565">
        <v>0</v>
      </c>
      <c r="AP565">
        <v>0</v>
      </c>
      <c r="AQ565">
        <v>1</v>
      </c>
      <c r="AR565">
        <v>0</v>
      </c>
      <c r="AS565">
        <v>2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5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2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1</v>
      </c>
      <c r="CQ565">
        <v>0</v>
      </c>
      <c r="CR565">
        <v>0</v>
      </c>
      <c r="CS565">
        <v>2</v>
      </c>
      <c r="CT565">
        <v>0</v>
      </c>
      <c r="CU565">
        <v>1</v>
      </c>
      <c r="CV565">
        <v>0</v>
      </c>
      <c r="CW565">
        <v>1</v>
      </c>
      <c r="CX565">
        <v>0</v>
      </c>
      <c r="CY565">
        <v>0</v>
      </c>
      <c r="CZ565">
        <v>0</v>
      </c>
      <c r="DA565">
        <v>0</v>
      </c>
      <c r="DB565">
        <v>1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2</v>
      </c>
      <c r="DJ565">
        <v>0</v>
      </c>
      <c r="DK565">
        <v>0</v>
      </c>
      <c r="DL565">
        <v>0</v>
      </c>
      <c r="DM565">
        <v>1</v>
      </c>
      <c r="DN565">
        <v>1</v>
      </c>
      <c r="DO565">
        <v>0</v>
      </c>
      <c r="DP565">
        <v>0</v>
      </c>
      <c r="DQ565">
        <v>0</v>
      </c>
      <c r="DR565">
        <v>0</v>
      </c>
      <c r="DS565">
        <v>1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</row>
    <row r="566" spans="1:201" x14ac:dyDescent="0.3">
      <c r="A566" t="s">
        <v>357</v>
      </c>
      <c r="B566" t="s">
        <v>369</v>
      </c>
      <c r="C566" t="s">
        <v>200</v>
      </c>
      <c r="D566" s="1">
        <v>1984</v>
      </c>
      <c r="E566">
        <v>692</v>
      </c>
      <c r="F566">
        <v>17</v>
      </c>
      <c r="G566">
        <v>35</v>
      </c>
      <c r="H566">
        <v>117</v>
      </c>
      <c r="I566">
        <v>3</v>
      </c>
      <c r="J566">
        <v>126</v>
      </c>
      <c r="K566">
        <v>487</v>
      </c>
      <c r="L566">
        <v>9</v>
      </c>
      <c r="M566">
        <v>40</v>
      </c>
      <c r="N566">
        <v>101</v>
      </c>
      <c r="O566">
        <v>0</v>
      </c>
      <c r="P566">
        <v>1</v>
      </c>
      <c r="Q566">
        <v>174</v>
      </c>
      <c r="R566">
        <v>3</v>
      </c>
      <c r="S566">
        <v>2</v>
      </c>
      <c r="T566">
        <v>2</v>
      </c>
      <c r="U566">
        <v>0</v>
      </c>
      <c r="V566">
        <v>1</v>
      </c>
      <c r="W566">
        <v>0</v>
      </c>
      <c r="X566">
        <v>5</v>
      </c>
      <c r="Y566">
        <v>4</v>
      </c>
      <c r="Z566">
        <v>0</v>
      </c>
      <c r="AA566">
        <v>0</v>
      </c>
      <c r="AB566">
        <v>0</v>
      </c>
      <c r="AC566">
        <v>10</v>
      </c>
      <c r="AD566">
        <v>7</v>
      </c>
      <c r="AE566">
        <v>126</v>
      </c>
      <c r="AF566">
        <v>1</v>
      </c>
      <c r="AG566">
        <v>1</v>
      </c>
      <c r="AH566">
        <v>4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0</v>
      </c>
      <c r="BI566">
        <v>0</v>
      </c>
      <c r="BJ566">
        <v>3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9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1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1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</row>
    <row r="567" spans="1:201" x14ac:dyDescent="0.3">
      <c r="A567" t="s">
        <v>357</v>
      </c>
      <c r="B567" t="s">
        <v>369</v>
      </c>
      <c r="C567" t="s">
        <v>203</v>
      </c>
      <c r="D567" s="1">
        <v>1631</v>
      </c>
      <c r="E567">
        <v>509</v>
      </c>
      <c r="F567">
        <v>6</v>
      </c>
      <c r="G567">
        <v>12</v>
      </c>
      <c r="H567">
        <v>103</v>
      </c>
      <c r="I567">
        <v>2</v>
      </c>
      <c r="J567">
        <v>91</v>
      </c>
      <c r="K567">
        <v>486</v>
      </c>
      <c r="L567">
        <v>9</v>
      </c>
      <c r="M567">
        <v>13</v>
      </c>
      <c r="N567">
        <v>59</v>
      </c>
      <c r="O567">
        <v>0</v>
      </c>
      <c r="P567">
        <v>1</v>
      </c>
      <c r="Q567">
        <v>168</v>
      </c>
      <c r="R567">
        <v>3</v>
      </c>
      <c r="S567">
        <v>0</v>
      </c>
      <c r="T567">
        <v>1</v>
      </c>
      <c r="U567">
        <v>0</v>
      </c>
      <c r="V567">
        <v>1</v>
      </c>
      <c r="W567">
        <v>0</v>
      </c>
      <c r="X567">
        <v>5</v>
      </c>
      <c r="Y567">
        <v>3</v>
      </c>
      <c r="Z567">
        <v>0</v>
      </c>
      <c r="AA567">
        <v>0</v>
      </c>
      <c r="AB567">
        <v>0</v>
      </c>
      <c r="AC567">
        <v>10</v>
      </c>
      <c r="AD567">
        <v>4</v>
      </c>
      <c r="AE567">
        <v>126</v>
      </c>
      <c r="AF567">
        <v>1</v>
      </c>
      <c r="AG567">
        <v>1</v>
      </c>
      <c r="AH567">
        <v>4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2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9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1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</row>
    <row r="568" spans="1:201" x14ac:dyDescent="0.3">
      <c r="A568" t="s">
        <v>357</v>
      </c>
      <c r="B568" t="s">
        <v>369</v>
      </c>
      <c r="C568" t="s">
        <v>204</v>
      </c>
      <c r="D568">
        <v>353</v>
      </c>
      <c r="E568">
        <v>183</v>
      </c>
      <c r="F568">
        <v>11</v>
      </c>
      <c r="G568">
        <v>23</v>
      </c>
      <c r="H568">
        <v>14</v>
      </c>
      <c r="I568">
        <v>1</v>
      </c>
      <c r="J568">
        <v>35</v>
      </c>
      <c r="K568">
        <v>1</v>
      </c>
      <c r="L568">
        <v>0</v>
      </c>
      <c r="M568">
        <v>27</v>
      </c>
      <c r="N568">
        <v>42</v>
      </c>
      <c r="O568">
        <v>0</v>
      </c>
      <c r="P568">
        <v>0</v>
      </c>
      <c r="Q568">
        <v>6</v>
      </c>
      <c r="R568">
        <v>0</v>
      </c>
      <c r="S568">
        <v>2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3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1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</row>
    <row r="569" spans="1:201" x14ac:dyDescent="0.3">
      <c r="A569" t="s">
        <v>357</v>
      </c>
      <c r="B569" t="s">
        <v>370</v>
      </c>
      <c r="C569" t="s">
        <v>200</v>
      </c>
      <c r="D569" s="1">
        <v>7570</v>
      </c>
      <c r="E569" s="1">
        <v>2463</v>
      </c>
      <c r="F569">
        <v>86</v>
      </c>
      <c r="G569">
        <v>848</v>
      </c>
      <c r="H569">
        <v>277</v>
      </c>
      <c r="I569">
        <v>335</v>
      </c>
      <c r="J569">
        <v>174</v>
      </c>
      <c r="K569" s="1">
        <v>1580</v>
      </c>
      <c r="L569">
        <v>156</v>
      </c>
      <c r="M569">
        <v>462</v>
      </c>
      <c r="N569">
        <v>244</v>
      </c>
      <c r="O569">
        <v>37</v>
      </c>
      <c r="P569">
        <v>33</v>
      </c>
      <c r="Q569">
        <v>317</v>
      </c>
      <c r="R569">
        <v>46</v>
      </c>
      <c r="S569">
        <v>103</v>
      </c>
      <c r="T569">
        <v>32</v>
      </c>
      <c r="U569">
        <v>10</v>
      </c>
      <c r="V569">
        <v>40</v>
      </c>
      <c r="W569">
        <v>24</v>
      </c>
      <c r="X569">
        <v>22</v>
      </c>
      <c r="Y569">
        <v>12</v>
      </c>
      <c r="Z569">
        <v>7</v>
      </c>
      <c r="AA569">
        <v>0</v>
      </c>
      <c r="AB569">
        <v>2</v>
      </c>
      <c r="AC569">
        <v>6</v>
      </c>
      <c r="AD569">
        <v>24</v>
      </c>
      <c r="AE569">
        <v>149</v>
      </c>
      <c r="AF569">
        <v>15</v>
      </c>
      <c r="AG569">
        <v>11</v>
      </c>
      <c r="AH569">
        <v>3</v>
      </c>
      <c r="AI569">
        <v>1</v>
      </c>
      <c r="AJ569">
        <v>2</v>
      </c>
      <c r="AK569">
        <v>5</v>
      </c>
      <c r="AL569">
        <v>1</v>
      </c>
      <c r="AM569">
        <v>2</v>
      </c>
      <c r="AN569">
        <v>10</v>
      </c>
      <c r="AO569">
        <v>0</v>
      </c>
      <c r="AP569">
        <v>1</v>
      </c>
      <c r="AQ569">
        <v>1</v>
      </c>
      <c r="AR569">
        <v>0</v>
      </c>
      <c r="AS569">
        <v>1</v>
      </c>
      <c r="AT569">
        <v>0</v>
      </c>
      <c r="AU569">
        <v>1</v>
      </c>
      <c r="AV569">
        <v>0</v>
      </c>
      <c r="AW569">
        <v>0</v>
      </c>
      <c r="AX569">
        <v>4</v>
      </c>
      <c r="AY569">
        <v>3</v>
      </c>
      <c r="AZ569">
        <v>0</v>
      </c>
      <c r="BA569">
        <v>0</v>
      </c>
      <c r="BB569">
        <v>0</v>
      </c>
      <c r="BC569">
        <v>2</v>
      </c>
      <c r="BD569">
        <v>0</v>
      </c>
      <c r="BE569">
        <v>0</v>
      </c>
      <c r="BF569">
        <v>0</v>
      </c>
      <c r="BG569">
        <v>3</v>
      </c>
      <c r="BH569">
        <v>2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2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0</v>
      </c>
      <c r="CD569">
        <v>0</v>
      </c>
      <c r="CE569">
        <v>0</v>
      </c>
      <c r="CF569">
        <v>1</v>
      </c>
      <c r="CG569">
        <v>0</v>
      </c>
      <c r="CH569">
        <v>0</v>
      </c>
      <c r="CI569">
        <v>1</v>
      </c>
      <c r="CJ569">
        <v>0</v>
      </c>
      <c r="CK569">
        <v>1</v>
      </c>
      <c r="CL569">
        <v>0</v>
      </c>
      <c r="CM569">
        <v>0</v>
      </c>
      <c r="CN569">
        <v>0</v>
      </c>
      <c r="CO569">
        <v>1</v>
      </c>
      <c r="CP569">
        <v>0</v>
      </c>
      <c r="CQ569">
        <v>0</v>
      </c>
      <c r="CR569">
        <v>0</v>
      </c>
      <c r="CS569">
        <v>1</v>
      </c>
      <c r="CT569">
        <v>0</v>
      </c>
      <c r="CU569">
        <v>0</v>
      </c>
      <c r="CV569">
        <v>1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2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1</v>
      </c>
      <c r="EM569">
        <v>0</v>
      </c>
      <c r="EN569">
        <v>1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</row>
    <row r="570" spans="1:201" x14ac:dyDescent="0.3">
      <c r="A570" t="s">
        <v>357</v>
      </c>
      <c r="B570" t="s">
        <v>370</v>
      </c>
      <c r="C570" t="s">
        <v>203</v>
      </c>
      <c r="D570" s="1">
        <v>5721</v>
      </c>
      <c r="E570" s="1">
        <v>1866</v>
      </c>
      <c r="F570">
        <v>35</v>
      </c>
      <c r="G570">
        <v>439</v>
      </c>
      <c r="H570">
        <v>232</v>
      </c>
      <c r="I570">
        <v>267</v>
      </c>
      <c r="J570">
        <v>133</v>
      </c>
      <c r="K570" s="1">
        <v>1563</v>
      </c>
      <c r="L570">
        <v>151</v>
      </c>
      <c r="M570">
        <v>214</v>
      </c>
      <c r="N570">
        <v>137</v>
      </c>
      <c r="O570">
        <v>22</v>
      </c>
      <c r="P570">
        <v>20</v>
      </c>
      <c r="Q570">
        <v>288</v>
      </c>
      <c r="R570">
        <v>41</v>
      </c>
      <c r="S570">
        <v>23</v>
      </c>
      <c r="T570">
        <v>12</v>
      </c>
      <c r="U570">
        <v>4</v>
      </c>
      <c r="V570">
        <v>37</v>
      </c>
      <c r="W570">
        <v>11</v>
      </c>
      <c r="X570">
        <v>15</v>
      </c>
      <c r="Y570">
        <v>5</v>
      </c>
      <c r="Z570">
        <v>5</v>
      </c>
      <c r="AA570">
        <v>0</v>
      </c>
      <c r="AB570">
        <v>1</v>
      </c>
      <c r="AC570">
        <v>4</v>
      </c>
      <c r="AD570">
        <v>1</v>
      </c>
      <c r="AE570">
        <v>149</v>
      </c>
      <c r="AF570">
        <v>13</v>
      </c>
      <c r="AG570">
        <v>8</v>
      </c>
      <c r="AH570">
        <v>3</v>
      </c>
      <c r="AI570">
        <v>1</v>
      </c>
      <c r="AJ570">
        <v>0</v>
      </c>
      <c r="AK570">
        <v>2</v>
      </c>
      <c r="AL570">
        <v>0</v>
      </c>
      <c r="AM570">
        <v>1</v>
      </c>
      <c r="AN570">
        <v>4</v>
      </c>
      <c r="AO570">
        <v>0</v>
      </c>
      <c r="AP570">
        <v>1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0</v>
      </c>
      <c r="AX570">
        <v>4</v>
      </c>
      <c r="AY570">
        <v>0</v>
      </c>
      <c r="AZ570">
        <v>0</v>
      </c>
      <c r="BA570">
        <v>0</v>
      </c>
      <c r="BB570">
        <v>0</v>
      </c>
      <c r="BC570">
        <v>1</v>
      </c>
      <c r="BD570">
        <v>0</v>
      </c>
      <c r="BE570">
        <v>0</v>
      </c>
      <c r="BF570">
        <v>0</v>
      </c>
      <c r="BG570">
        <v>2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1</v>
      </c>
      <c r="CL570">
        <v>0</v>
      </c>
      <c r="CM570">
        <v>0</v>
      </c>
      <c r="CN570">
        <v>0</v>
      </c>
      <c r="CO570">
        <v>1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1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</row>
    <row r="571" spans="1:201" x14ac:dyDescent="0.3">
      <c r="A571" t="s">
        <v>357</v>
      </c>
      <c r="B571" t="s">
        <v>370</v>
      </c>
      <c r="C571" t="s">
        <v>204</v>
      </c>
      <c r="D571" s="1">
        <v>1849</v>
      </c>
      <c r="E571">
        <v>597</v>
      </c>
      <c r="F571">
        <v>51</v>
      </c>
      <c r="G571">
        <v>409</v>
      </c>
      <c r="H571">
        <v>45</v>
      </c>
      <c r="I571">
        <v>68</v>
      </c>
      <c r="J571">
        <v>41</v>
      </c>
      <c r="K571">
        <v>17</v>
      </c>
      <c r="L571">
        <v>5</v>
      </c>
      <c r="M571">
        <v>248</v>
      </c>
      <c r="N571">
        <v>107</v>
      </c>
      <c r="O571">
        <v>15</v>
      </c>
      <c r="P571">
        <v>13</v>
      </c>
      <c r="Q571">
        <v>29</v>
      </c>
      <c r="R571">
        <v>5</v>
      </c>
      <c r="S571">
        <v>80</v>
      </c>
      <c r="T571">
        <v>20</v>
      </c>
      <c r="U571">
        <v>6</v>
      </c>
      <c r="V571">
        <v>3</v>
      </c>
      <c r="W571">
        <v>13</v>
      </c>
      <c r="X571">
        <v>7</v>
      </c>
      <c r="Y571">
        <v>7</v>
      </c>
      <c r="Z571">
        <v>2</v>
      </c>
      <c r="AA571">
        <v>0</v>
      </c>
      <c r="AB571">
        <v>1</v>
      </c>
      <c r="AC571">
        <v>2</v>
      </c>
      <c r="AD571">
        <v>23</v>
      </c>
      <c r="AE571">
        <v>0</v>
      </c>
      <c r="AF571">
        <v>2</v>
      </c>
      <c r="AG571">
        <v>3</v>
      </c>
      <c r="AH571">
        <v>0</v>
      </c>
      <c r="AI571">
        <v>0</v>
      </c>
      <c r="AJ571">
        <v>2</v>
      </c>
      <c r="AK571">
        <v>3</v>
      </c>
      <c r="AL571">
        <v>1</v>
      </c>
      <c r="AM571">
        <v>1</v>
      </c>
      <c r="AN571">
        <v>6</v>
      </c>
      <c r="AO571">
        <v>0</v>
      </c>
      <c r="AP571">
        <v>0</v>
      </c>
      <c r="AQ571">
        <v>1</v>
      </c>
      <c r="AR571">
        <v>0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3</v>
      </c>
      <c r="AZ571">
        <v>0</v>
      </c>
      <c r="BA571">
        <v>0</v>
      </c>
      <c r="BB571">
        <v>0</v>
      </c>
      <c r="BC571">
        <v>1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1</v>
      </c>
      <c r="CG571">
        <v>0</v>
      </c>
      <c r="CH571">
        <v>0</v>
      </c>
      <c r="CI571">
        <v>1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1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2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1</v>
      </c>
      <c r="EM571">
        <v>0</v>
      </c>
      <c r="EN571">
        <v>1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</row>
    <row r="572" spans="1:201" x14ac:dyDescent="0.3">
      <c r="A572" t="s">
        <v>357</v>
      </c>
      <c r="B572" t="s">
        <v>371</v>
      </c>
      <c r="C572" t="s">
        <v>200</v>
      </c>
      <c r="D572" s="1">
        <v>1330</v>
      </c>
      <c r="E572">
        <v>440</v>
      </c>
      <c r="F572">
        <v>71</v>
      </c>
      <c r="G572">
        <v>112</v>
      </c>
      <c r="H572">
        <v>125</v>
      </c>
      <c r="I572">
        <v>6</v>
      </c>
      <c r="J572">
        <v>105</v>
      </c>
      <c r="K572">
        <v>168</v>
      </c>
      <c r="L572">
        <v>21</v>
      </c>
      <c r="M572">
        <v>38</v>
      </c>
      <c r="N572">
        <v>27</v>
      </c>
      <c r="O572">
        <v>7</v>
      </c>
      <c r="P572">
        <v>5</v>
      </c>
      <c r="Q572">
        <v>117</v>
      </c>
      <c r="R572">
        <v>3</v>
      </c>
      <c r="S572">
        <v>17</v>
      </c>
      <c r="T572">
        <v>1</v>
      </c>
      <c r="U572">
        <v>2</v>
      </c>
      <c r="V572">
        <v>0</v>
      </c>
      <c r="W572">
        <v>13</v>
      </c>
      <c r="X572">
        <v>3</v>
      </c>
      <c r="Y572">
        <v>11</v>
      </c>
      <c r="Z572">
        <v>10</v>
      </c>
      <c r="AA572">
        <v>1</v>
      </c>
      <c r="AB572">
        <v>0</v>
      </c>
      <c r="AC572">
        <v>2</v>
      </c>
      <c r="AD572">
        <v>12</v>
      </c>
      <c r="AE572">
        <v>4</v>
      </c>
      <c r="AF572">
        <v>2</v>
      </c>
      <c r="AG572">
        <v>2</v>
      </c>
      <c r="AH572">
        <v>1</v>
      </c>
      <c r="AI572">
        <v>1</v>
      </c>
      <c r="AJ572">
        <v>0</v>
      </c>
      <c r="AK572">
        <v>0</v>
      </c>
      <c r="AL572">
        <v>2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</row>
    <row r="573" spans="1:201" x14ac:dyDescent="0.3">
      <c r="A573" t="s">
        <v>357</v>
      </c>
      <c r="B573" t="s">
        <v>371</v>
      </c>
      <c r="C573" t="s">
        <v>203</v>
      </c>
      <c r="D573">
        <v>945</v>
      </c>
      <c r="E573">
        <v>285</v>
      </c>
      <c r="F573">
        <v>48</v>
      </c>
      <c r="G573">
        <v>61</v>
      </c>
      <c r="H573">
        <v>110</v>
      </c>
      <c r="I573">
        <v>3</v>
      </c>
      <c r="J573">
        <v>73</v>
      </c>
      <c r="K573">
        <v>166</v>
      </c>
      <c r="L573">
        <v>16</v>
      </c>
      <c r="M573">
        <v>16</v>
      </c>
      <c r="N573">
        <v>11</v>
      </c>
      <c r="O573">
        <v>2</v>
      </c>
      <c r="P573">
        <v>1</v>
      </c>
      <c r="Q573">
        <v>114</v>
      </c>
      <c r="R573">
        <v>3</v>
      </c>
      <c r="S573">
        <v>0</v>
      </c>
      <c r="T573">
        <v>0</v>
      </c>
      <c r="U573">
        <v>0</v>
      </c>
      <c r="V573">
        <v>0</v>
      </c>
      <c r="W573">
        <v>6</v>
      </c>
      <c r="X573">
        <v>2</v>
      </c>
      <c r="Y573">
        <v>5</v>
      </c>
      <c r="Z573">
        <v>8</v>
      </c>
      <c r="AA573">
        <v>0</v>
      </c>
      <c r="AB573">
        <v>0</v>
      </c>
      <c r="AC573">
        <v>2</v>
      </c>
      <c r="AD573">
        <v>4</v>
      </c>
      <c r="AE573">
        <v>4</v>
      </c>
      <c r="AF573">
        <v>1</v>
      </c>
      <c r="AG573">
        <v>1</v>
      </c>
      <c r="AH573">
        <v>1</v>
      </c>
      <c r="AI573">
        <v>1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</row>
    <row r="574" spans="1:201" x14ac:dyDescent="0.3">
      <c r="A574" t="s">
        <v>357</v>
      </c>
      <c r="B574" t="s">
        <v>371</v>
      </c>
      <c r="C574" t="s">
        <v>204</v>
      </c>
      <c r="D574">
        <v>385</v>
      </c>
      <c r="E574">
        <v>155</v>
      </c>
      <c r="F574">
        <v>23</v>
      </c>
      <c r="G574">
        <v>51</v>
      </c>
      <c r="H574">
        <v>15</v>
      </c>
      <c r="I574">
        <v>3</v>
      </c>
      <c r="J574">
        <v>32</v>
      </c>
      <c r="K574">
        <v>2</v>
      </c>
      <c r="L574">
        <v>5</v>
      </c>
      <c r="M574">
        <v>22</v>
      </c>
      <c r="N574">
        <v>16</v>
      </c>
      <c r="O574">
        <v>5</v>
      </c>
      <c r="P574">
        <v>4</v>
      </c>
      <c r="Q574">
        <v>3</v>
      </c>
      <c r="R574">
        <v>0</v>
      </c>
      <c r="S574">
        <v>17</v>
      </c>
      <c r="T574">
        <v>1</v>
      </c>
      <c r="U574">
        <v>2</v>
      </c>
      <c r="V574">
        <v>0</v>
      </c>
      <c r="W574">
        <v>7</v>
      </c>
      <c r="X574">
        <v>1</v>
      </c>
      <c r="Y574">
        <v>6</v>
      </c>
      <c r="Z574">
        <v>2</v>
      </c>
      <c r="AA574">
        <v>1</v>
      </c>
      <c r="AB574">
        <v>0</v>
      </c>
      <c r="AC574">
        <v>0</v>
      </c>
      <c r="AD574">
        <v>8</v>
      </c>
      <c r="AE574">
        <v>0</v>
      </c>
      <c r="AF574">
        <v>1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</row>
    <row r="575" spans="1:201" x14ac:dyDescent="0.3">
      <c r="A575" t="s">
        <v>357</v>
      </c>
      <c r="B575" t="s">
        <v>372</v>
      </c>
      <c r="C575" t="s">
        <v>200</v>
      </c>
      <c r="D575" s="1">
        <v>10425</v>
      </c>
      <c r="E575" s="1">
        <v>2750</v>
      </c>
      <c r="F575">
        <v>489</v>
      </c>
      <c r="G575">
        <v>678</v>
      </c>
      <c r="H575" s="1">
        <v>1713</v>
      </c>
      <c r="I575" s="1">
        <v>1196</v>
      </c>
      <c r="J575">
        <v>721</v>
      </c>
      <c r="K575">
        <v>268</v>
      </c>
      <c r="L575">
        <v>139</v>
      </c>
      <c r="M575">
        <v>363</v>
      </c>
      <c r="N575">
        <v>448</v>
      </c>
      <c r="O575">
        <v>65</v>
      </c>
      <c r="P575">
        <v>6</v>
      </c>
      <c r="Q575">
        <v>442</v>
      </c>
      <c r="R575">
        <v>347</v>
      </c>
      <c r="S575">
        <v>30</v>
      </c>
      <c r="T575">
        <v>233</v>
      </c>
      <c r="U575">
        <v>99</v>
      </c>
      <c r="V575">
        <v>29</v>
      </c>
      <c r="W575">
        <v>6</v>
      </c>
      <c r="X575">
        <v>9</v>
      </c>
      <c r="Y575">
        <v>29</v>
      </c>
      <c r="Z575">
        <v>27</v>
      </c>
      <c r="AA575">
        <v>0</v>
      </c>
      <c r="AB575">
        <v>30</v>
      </c>
      <c r="AC575">
        <v>5</v>
      </c>
      <c r="AD575">
        <v>4</v>
      </c>
      <c r="AE575">
        <v>30</v>
      </c>
      <c r="AF575">
        <v>0</v>
      </c>
      <c r="AG575">
        <v>73</v>
      </c>
      <c r="AH575">
        <v>6</v>
      </c>
      <c r="AI575">
        <v>23</v>
      </c>
      <c r="AJ575">
        <v>3</v>
      </c>
      <c r="AK575">
        <v>3</v>
      </c>
      <c r="AL575">
        <v>3</v>
      </c>
      <c r="AM575">
        <v>0</v>
      </c>
      <c r="AN575">
        <v>2</v>
      </c>
      <c r="AO575">
        <v>5</v>
      </c>
      <c r="AP575">
        <v>2</v>
      </c>
      <c r="AQ575">
        <v>19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73</v>
      </c>
      <c r="AY575">
        <v>0</v>
      </c>
      <c r="AZ575">
        <v>8</v>
      </c>
      <c r="BA575">
        <v>0</v>
      </c>
      <c r="BB575">
        <v>0</v>
      </c>
      <c r="BC575">
        <v>0</v>
      </c>
      <c r="BD575">
        <v>0</v>
      </c>
      <c r="BE575">
        <v>3</v>
      </c>
      <c r="BF575">
        <v>0</v>
      </c>
      <c r="BG575">
        <v>0</v>
      </c>
      <c r="BH575">
        <v>1</v>
      </c>
      <c r="BI575">
        <v>1</v>
      </c>
      <c r="BJ575">
        <v>13</v>
      </c>
      <c r="BK575">
        <v>4</v>
      </c>
      <c r="BL575">
        <v>0</v>
      </c>
      <c r="BM575">
        <v>5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9</v>
      </c>
      <c r="BU575">
        <v>0</v>
      </c>
      <c r="BV575">
        <v>1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1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3</v>
      </c>
      <c r="CY575">
        <v>0</v>
      </c>
      <c r="CZ575">
        <v>0</v>
      </c>
      <c r="DA575">
        <v>0</v>
      </c>
      <c r="DB575">
        <v>0</v>
      </c>
      <c r="DC575">
        <v>2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2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1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</row>
    <row r="576" spans="1:201" x14ac:dyDescent="0.3">
      <c r="A576" t="s">
        <v>357</v>
      </c>
      <c r="B576" t="s">
        <v>372</v>
      </c>
      <c r="C576" t="s">
        <v>203</v>
      </c>
      <c r="D576" s="1">
        <v>8298</v>
      </c>
      <c r="E576" s="1">
        <v>2133</v>
      </c>
      <c r="F576">
        <v>286</v>
      </c>
      <c r="G576">
        <v>294</v>
      </c>
      <c r="H576" s="1">
        <v>1567</v>
      </c>
      <c r="I576" s="1">
        <v>1010</v>
      </c>
      <c r="J576">
        <v>591</v>
      </c>
      <c r="K576">
        <v>254</v>
      </c>
      <c r="L576">
        <v>132</v>
      </c>
      <c r="M576">
        <v>271</v>
      </c>
      <c r="N576">
        <v>354</v>
      </c>
      <c r="O576">
        <v>38</v>
      </c>
      <c r="P576">
        <v>4</v>
      </c>
      <c r="Q576">
        <v>406</v>
      </c>
      <c r="R576">
        <v>313</v>
      </c>
      <c r="S576">
        <v>1</v>
      </c>
      <c r="T576">
        <v>204</v>
      </c>
      <c r="U576">
        <v>67</v>
      </c>
      <c r="V576">
        <v>24</v>
      </c>
      <c r="W576">
        <v>2</v>
      </c>
      <c r="X576">
        <v>9</v>
      </c>
      <c r="Y576">
        <v>23</v>
      </c>
      <c r="Z576">
        <v>19</v>
      </c>
      <c r="AA576">
        <v>0</v>
      </c>
      <c r="AB576">
        <v>26</v>
      </c>
      <c r="AC576">
        <v>4</v>
      </c>
      <c r="AD576">
        <v>0</v>
      </c>
      <c r="AE576">
        <v>23</v>
      </c>
      <c r="AF576">
        <v>0</v>
      </c>
      <c r="AG576">
        <v>73</v>
      </c>
      <c r="AH576">
        <v>6</v>
      </c>
      <c r="AI576">
        <v>19</v>
      </c>
      <c r="AJ576">
        <v>2</v>
      </c>
      <c r="AK576">
        <v>3</v>
      </c>
      <c r="AL576">
        <v>2</v>
      </c>
      <c r="AM576">
        <v>0</v>
      </c>
      <c r="AN576">
        <v>0</v>
      </c>
      <c r="AO576">
        <v>5</v>
      </c>
      <c r="AP576">
        <v>2</v>
      </c>
      <c r="AQ576">
        <v>13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69</v>
      </c>
      <c r="AY576">
        <v>0</v>
      </c>
      <c r="AZ576">
        <v>6</v>
      </c>
      <c r="BA576">
        <v>0</v>
      </c>
      <c r="BB576">
        <v>0</v>
      </c>
      <c r="BC576">
        <v>0</v>
      </c>
      <c r="BD576">
        <v>0</v>
      </c>
      <c r="BE576">
        <v>2</v>
      </c>
      <c r="BF576">
        <v>0</v>
      </c>
      <c r="BG576">
        <v>0</v>
      </c>
      <c r="BH576">
        <v>1</v>
      </c>
      <c r="BI576">
        <v>0</v>
      </c>
      <c r="BJ576">
        <v>13</v>
      </c>
      <c r="BK576">
        <v>4</v>
      </c>
      <c r="BL576">
        <v>0</v>
      </c>
      <c r="BM576">
        <v>4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9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1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1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2</v>
      </c>
      <c r="CY576">
        <v>0</v>
      </c>
      <c r="CZ576">
        <v>0</v>
      </c>
      <c r="DA576">
        <v>0</v>
      </c>
      <c r="DB576">
        <v>0</v>
      </c>
      <c r="DC576">
        <v>2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1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1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</row>
    <row r="577" spans="1:201" x14ac:dyDescent="0.3">
      <c r="A577" t="s">
        <v>357</v>
      </c>
      <c r="B577" t="s">
        <v>372</v>
      </c>
      <c r="C577" t="s">
        <v>204</v>
      </c>
      <c r="D577" s="1">
        <v>2127</v>
      </c>
      <c r="E577">
        <v>617</v>
      </c>
      <c r="F577">
        <v>203</v>
      </c>
      <c r="G577">
        <v>384</v>
      </c>
      <c r="H577">
        <v>146</v>
      </c>
      <c r="I577">
        <v>186</v>
      </c>
      <c r="J577">
        <v>130</v>
      </c>
      <c r="K577">
        <v>14</v>
      </c>
      <c r="L577">
        <v>7</v>
      </c>
      <c r="M577">
        <v>92</v>
      </c>
      <c r="N577">
        <v>94</v>
      </c>
      <c r="O577">
        <v>27</v>
      </c>
      <c r="P577">
        <v>2</v>
      </c>
      <c r="Q577">
        <v>36</v>
      </c>
      <c r="R577">
        <v>34</v>
      </c>
      <c r="S577">
        <v>29</v>
      </c>
      <c r="T577">
        <v>29</v>
      </c>
      <c r="U577">
        <v>32</v>
      </c>
      <c r="V577">
        <v>5</v>
      </c>
      <c r="W577">
        <v>4</v>
      </c>
      <c r="X577">
        <v>0</v>
      </c>
      <c r="Y577">
        <v>6</v>
      </c>
      <c r="Z577">
        <v>8</v>
      </c>
      <c r="AA577">
        <v>0</v>
      </c>
      <c r="AB577">
        <v>4</v>
      </c>
      <c r="AC577">
        <v>1</v>
      </c>
      <c r="AD577">
        <v>4</v>
      </c>
      <c r="AE577">
        <v>7</v>
      </c>
      <c r="AF577">
        <v>0</v>
      </c>
      <c r="AG577">
        <v>0</v>
      </c>
      <c r="AH577">
        <v>0</v>
      </c>
      <c r="AI577">
        <v>4</v>
      </c>
      <c r="AJ577">
        <v>1</v>
      </c>
      <c r="AK577">
        <v>0</v>
      </c>
      <c r="AL577">
        <v>1</v>
      </c>
      <c r="AM577">
        <v>0</v>
      </c>
      <c r="AN577">
        <v>2</v>
      </c>
      <c r="AO577">
        <v>0</v>
      </c>
      <c r="AP577">
        <v>0</v>
      </c>
      <c r="AQ577">
        <v>6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4</v>
      </c>
      <c r="AY577">
        <v>0</v>
      </c>
      <c r="AZ577">
        <v>2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0</v>
      </c>
      <c r="BH577">
        <v>0</v>
      </c>
      <c r="BI577">
        <v>1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1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</row>
    <row r="578" spans="1:201" x14ac:dyDescent="0.3">
      <c r="A578" t="s">
        <v>357</v>
      </c>
      <c r="B578" t="s">
        <v>373</v>
      </c>
      <c r="C578" t="s">
        <v>200</v>
      </c>
      <c r="D578" s="1">
        <v>5800</v>
      </c>
      <c r="E578" s="1">
        <v>1039</v>
      </c>
      <c r="F578">
        <v>28</v>
      </c>
      <c r="G578">
        <v>41</v>
      </c>
      <c r="H578">
        <v>10</v>
      </c>
      <c r="I578">
        <v>3</v>
      </c>
      <c r="J578">
        <v>213</v>
      </c>
      <c r="K578">
        <v>820</v>
      </c>
      <c r="L578">
        <v>10</v>
      </c>
      <c r="M578" s="1">
        <v>1236</v>
      </c>
      <c r="N578">
        <v>38</v>
      </c>
      <c r="O578">
        <v>83</v>
      </c>
      <c r="P578">
        <v>3</v>
      </c>
      <c r="Q578">
        <v>874</v>
      </c>
      <c r="R578">
        <v>13</v>
      </c>
      <c r="S578">
        <v>13</v>
      </c>
      <c r="T578">
        <v>57</v>
      </c>
      <c r="U578">
        <v>26</v>
      </c>
      <c r="V578">
        <v>1</v>
      </c>
      <c r="W578">
        <v>1</v>
      </c>
      <c r="X578">
        <v>0</v>
      </c>
      <c r="Y578">
        <v>614</v>
      </c>
      <c r="Z578">
        <v>1</v>
      </c>
      <c r="AA578">
        <v>0</v>
      </c>
      <c r="AB578">
        <v>0</v>
      </c>
      <c r="AC578">
        <v>0</v>
      </c>
      <c r="AD578">
        <v>10</v>
      </c>
      <c r="AE578">
        <v>648</v>
      </c>
      <c r="AF578">
        <v>0</v>
      </c>
      <c r="AG578">
        <v>5</v>
      </c>
      <c r="AH578">
        <v>0</v>
      </c>
      <c r="AI578">
        <v>1</v>
      </c>
      <c r="AJ578">
        <v>1</v>
      </c>
      <c r="AK578">
        <v>0</v>
      </c>
      <c r="AL578">
        <v>2</v>
      </c>
      <c r="AM578">
        <v>0</v>
      </c>
      <c r="AN578">
        <v>1</v>
      </c>
      <c r="AO578">
        <v>5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1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</row>
    <row r="579" spans="1:201" x14ac:dyDescent="0.3">
      <c r="A579" t="s">
        <v>357</v>
      </c>
      <c r="B579" t="s">
        <v>373</v>
      </c>
      <c r="C579" t="s">
        <v>203</v>
      </c>
      <c r="D579" s="1">
        <v>5123</v>
      </c>
      <c r="E579">
        <v>866</v>
      </c>
      <c r="F579">
        <v>5</v>
      </c>
      <c r="G579">
        <v>6</v>
      </c>
      <c r="H579">
        <v>9</v>
      </c>
      <c r="I579">
        <v>2</v>
      </c>
      <c r="J579">
        <v>156</v>
      </c>
      <c r="K579">
        <v>809</v>
      </c>
      <c r="L579">
        <v>10</v>
      </c>
      <c r="M579" s="1">
        <v>1081</v>
      </c>
      <c r="N579">
        <v>9</v>
      </c>
      <c r="O579">
        <v>67</v>
      </c>
      <c r="P579">
        <v>2</v>
      </c>
      <c r="Q579">
        <v>838</v>
      </c>
      <c r="R579">
        <v>13</v>
      </c>
      <c r="S579">
        <v>0</v>
      </c>
      <c r="T579">
        <v>35</v>
      </c>
      <c r="U579">
        <v>9</v>
      </c>
      <c r="V579">
        <v>1</v>
      </c>
      <c r="W579">
        <v>0</v>
      </c>
      <c r="X579">
        <v>0</v>
      </c>
      <c r="Y579">
        <v>543</v>
      </c>
      <c r="Z579">
        <v>0</v>
      </c>
      <c r="AA579">
        <v>0</v>
      </c>
      <c r="AB579">
        <v>0</v>
      </c>
      <c r="AC579">
        <v>0</v>
      </c>
      <c r="AD579">
        <v>5</v>
      </c>
      <c r="AE579">
        <v>647</v>
      </c>
      <c r="AF579">
        <v>0</v>
      </c>
      <c r="AG579">
        <v>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5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</row>
    <row r="580" spans="1:201" x14ac:dyDescent="0.3">
      <c r="A580" t="s">
        <v>357</v>
      </c>
      <c r="B580" t="s">
        <v>373</v>
      </c>
      <c r="C580" t="s">
        <v>204</v>
      </c>
      <c r="D580">
        <v>677</v>
      </c>
      <c r="E580">
        <v>173</v>
      </c>
      <c r="F580">
        <v>23</v>
      </c>
      <c r="G580">
        <v>35</v>
      </c>
      <c r="H580">
        <v>1</v>
      </c>
      <c r="I580">
        <v>1</v>
      </c>
      <c r="J580">
        <v>57</v>
      </c>
      <c r="K580">
        <v>11</v>
      </c>
      <c r="L580">
        <v>0</v>
      </c>
      <c r="M580">
        <v>155</v>
      </c>
      <c r="N580">
        <v>29</v>
      </c>
      <c r="O580">
        <v>16</v>
      </c>
      <c r="P580">
        <v>1</v>
      </c>
      <c r="Q580">
        <v>36</v>
      </c>
      <c r="R580">
        <v>0</v>
      </c>
      <c r="S580">
        <v>13</v>
      </c>
      <c r="T580">
        <v>22</v>
      </c>
      <c r="U580">
        <v>17</v>
      </c>
      <c r="V580">
        <v>0</v>
      </c>
      <c r="W580">
        <v>1</v>
      </c>
      <c r="X580">
        <v>0</v>
      </c>
      <c r="Y580">
        <v>71</v>
      </c>
      <c r="Z580">
        <v>1</v>
      </c>
      <c r="AA580">
        <v>0</v>
      </c>
      <c r="AB580">
        <v>0</v>
      </c>
      <c r="AC580">
        <v>0</v>
      </c>
      <c r="AD580">
        <v>5</v>
      </c>
      <c r="AE580">
        <v>1</v>
      </c>
      <c r="AF580">
        <v>0</v>
      </c>
      <c r="AG580">
        <v>1</v>
      </c>
      <c r="AH580">
        <v>0</v>
      </c>
      <c r="AI580">
        <v>1</v>
      </c>
      <c r="AJ580">
        <v>1</v>
      </c>
      <c r="AK580">
        <v>0</v>
      </c>
      <c r="AL580">
        <v>2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</row>
    <row r="581" spans="1:201" x14ac:dyDescent="0.3">
      <c r="A581" t="s">
        <v>357</v>
      </c>
      <c r="B581" t="s">
        <v>374</v>
      </c>
      <c r="C581" t="s">
        <v>200</v>
      </c>
      <c r="D581" s="1">
        <v>1411</v>
      </c>
      <c r="E581">
        <v>421</v>
      </c>
      <c r="F581">
        <v>15</v>
      </c>
      <c r="G581">
        <v>49</v>
      </c>
      <c r="H581">
        <v>105</v>
      </c>
      <c r="I581">
        <v>31</v>
      </c>
      <c r="J581">
        <v>207</v>
      </c>
      <c r="K581">
        <v>21</v>
      </c>
      <c r="L581">
        <v>70</v>
      </c>
      <c r="M581">
        <v>125</v>
      </c>
      <c r="N581">
        <v>100</v>
      </c>
      <c r="O581">
        <v>11</v>
      </c>
      <c r="P581">
        <v>2</v>
      </c>
      <c r="Q581">
        <v>166</v>
      </c>
      <c r="R581">
        <v>16</v>
      </c>
      <c r="S581">
        <v>18</v>
      </c>
      <c r="T581">
        <v>2</v>
      </c>
      <c r="U581">
        <v>4</v>
      </c>
      <c r="V581">
        <v>12</v>
      </c>
      <c r="W581">
        <v>7</v>
      </c>
      <c r="X581">
        <v>1</v>
      </c>
      <c r="Y581">
        <v>5</v>
      </c>
      <c r="Z581">
        <v>1</v>
      </c>
      <c r="AA581">
        <v>0</v>
      </c>
      <c r="AB581">
        <v>1</v>
      </c>
      <c r="AC581">
        <v>1</v>
      </c>
      <c r="AD581">
        <v>1</v>
      </c>
      <c r="AE581">
        <v>4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7</v>
      </c>
      <c r="AQ581">
        <v>0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2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1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</row>
    <row r="582" spans="1:201" x14ac:dyDescent="0.3">
      <c r="A582" t="s">
        <v>357</v>
      </c>
      <c r="B582" t="s">
        <v>374</v>
      </c>
      <c r="C582" t="s">
        <v>203</v>
      </c>
      <c r="D582">
        <v>923</v>
      </c>
      <c r="E582">
        <v>199</v>
      </c>
      <c r="F582">
        <v>6</v>
      </c>
      <c r="G582">
        <v>17</v>
      </c>
      <c r="H582">
        <v>87</v>
      </c>
      <c r="I582">
        <v>27</v>
      </c>
      <c r="J582">
        <v>125</v>
      </c>
      <c r="K582">
        <v>20</v>
      </c>
      <c r="L582">
        <v>68</v>
      </c>
      <c r="M582">
        <v>97</v>
      </c>
      <c r="N582">
        <v>81</v>
      </c>
      <c r="O582">
        <v>3</v>
      </c>
      <c r="P582">
        <v>2</v>
      </c>
      <c r="Q582">
        <v>139</v>
      </c>
      <c r="R582">
        <v>15</v>
      </c>
      <c r="S582">
        <v>4</v>
      </c>
      <c r="T582">
        <v>1</v>
      </c>
      <c r="U582">
        <v>1</v>
      </c>
      <c r="V582">
        <v>12</v>
      </c>
      <c r="W582">
        <v>3</v>
      </c>
      <c r="X582">
        <v>1</v>
      </c>
      <c r="Y582">
        <v>2</v>
      </c>
      <c r="Z582">
        <v>1</v>
      </c>
      <c r="AA582">
        <v>0</v>
      </c>
      <c r="AB582">
        <v>0</v>
      </c>
      <c r="AC582">
        <v>1</v>
      </c>
      <c r="AD582">
        <v>0</v>
      </c>
      <c r="AE582">
        <v>4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5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</row>
    <row r="583" spans="1:201" x14ac:dyDescent="0.3">
      <c r="A583" t="s">
        <v>357</v>
      </c>
      <c r="B583" t="s">
        <v>374</v>
      </c>
      <c r="C583" t="s">
        <v>204</v>
      </c>
      <c r="D583">
        <v>488</v>
      </c>
      <c r="E583">
        <v>222</v>
      </c>
      <c r="F583">
        <v>9</v>
      </c>
      <c r="G583">
        <v>32</v>
      </c>
      <c r="H583">
        <v>18</v>
      </c>
      <c r="I583">
        <v>4</v>
      </c>
      <c r="J583">
        <v>82</v>
      </c>
      <c r="K583">
        <v>1</v>
      </c>
      <c r="L583">
        <v>2</v>
      </c>
      <c r="M583">
        <v>28</v>
      </c>
      <c r="N583">
        <v>19</v>
      </c>
      <c r="O583">
        <v>8</v>
      </c>
      <c r="P583">
        <v>0</v>
      </c>
      <c r="Q583">
        <v>27</v>
      </c>
      <c r="R583">
        <v>1</v>
      </c>
      <c r="S583">
        <v>14</v>
      </c>
      <c r="T583">
        <v>1</v>
      </c>
      <c r="U583">
        <v>3</v>
      </c>
      <c r="V583">
        <v>0</v>
      </c>
      <c r="W583">
        <v>4</v>
      </c>
      <c r="X583">
        <v>0</v>
      </c>
      <c r="Y583">
        <v>3</v>
      </c>
      <c r="Z583">
        <v>0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2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  <c r="AZ583">
        <v>0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2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1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</row>
    <row r="584" spans="1:201" x14ac:dyDescent="0.3">
      <c r="A584" t="s">
        <v>357</v>
      </c>
      <c r="B584" t="s">
        <v>375</v>
      </c>
      <c r="C584" t="s">
        <v>200</v>
      </c>
      <c r="D584" s="1">
        <v>1109</v>
      </c>
      <c r="E584">
        <v>539</v>
      </c>
      <c r="F584">
        <v>24</v>
      </c>
      <c r="G584">
        <v>22</v>
      </c>
      <c r="H584">
        <v>79</v>
      </c>
      <c r="I584">
        <v>8</v>
      </c>
      <c r="J584">
        <v>124</v>
      </c>
      <c r="K584">
        <v>37</v>
      </c>
      <c r="L584">
        <v>45</v>
      </c>
      <c r="M584">
        <v>36</v>
      </c>
      <c r="N584">
        <v>25</v>
      </c>
      <c r="O584">
        <v>26</v>
      </c>
      <c r="P584">
        <v>2</v>
      </c>
      <c r="Q584">
        <v>38</v>
      </c>
      <c r="R584">
        <v>14</v>
      </c>
      <c r="S584">
        <v>37</v>
      </c>
      <c r="T584">
        <v>2</v>
      </c>
      <c r="U584">
        <v>0</v>
      </c>
      <c r="V584">
        <v>3</v>
      </c>
      <c r="W584">
        <v>3</v>
      </c>
      <c r="X584">
        <v>2</v>
      </c>
      <c r="Y584">
        <v>5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22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6</v>
      </c>
      <c r="AQ584">
        <v>0</v>
      </c>
      <c r="AR584">
        <v>0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</row>
    <row r="585" spans="1:201" x14ac:dyDescent="0.3">
      <c r="A585" t="s">
        <v>357</v>
      </c>
      <c r="B585" t="s">
        <v>375</v>
      </c>
      <c r="C585" t="s">
        <v>203</v>
      </c>
      <c r="D585">
        <v>664</v>
      </c>
      <c r="E585">
        <v>291</v>
      </c>
      <c r="F585">
        <v>12</v>
      </c>
      <c r="G585">
        <v>2</v>
      </c>
      <c r="H585">
        <v>67</v>
      </c>
      <c r="I585">
        <v>8</v>
      </c>
      <c r="J585">
        <v>88</v>
      </c>
      <c r="K585">
        <v>36</v>
      </c>
      <c r="L585">
        <v>33</v>
      </c>
      <c r="M585">
        <v>11</v>
      </c>
      <c r="N585">
        <v>9</v>
      </c>
      <c r="O585">
        <v>15</v>
      </c>
      <c r="P585">
        <v>2</v>
      </c>
      <c r="Q585">
        <v>37</v>
      </c>
      <c r="R585">
        <v>13</v>
      </c>
      <c r="S585">
        <v>1</v>
      </c>
      <c r="T585">
        <v>0</v>
      </c>
      <c r="U585">
        <v>0</v>
      </c>
      <c r="V585">
        <v>3</v>
      </c>
      <c r="W585">
        <v>2</v>
      </c>
      <c r="X585">
        <v>2</v>
      </c>
      <c r="Y585">
        <v>2</v>
      </c>
      <c r="Z585">
        <v>0</v>
      </c>
      <c r="AA585">
        <v>0</v>
      </c>
      <c r="AB585">
        <v>0</v>
      </c>
      <c r="AC585">
        <v>2</v>
      </c>
      <c r="AD585">
        <v>1</v>
      </c>
      <c r="AE585">
        <v>22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5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</row>
    <row r="586" spans="1:201" x14ac:dyDescent="0.3">
      <c r="A586" t="s">
        <v>357</v>
      </c>
      <c r="B586" t="s">
        <v>375</v>
      </c>
      <c r="C586" t="s">
        <v>204</v>
      </c>
      <c r="D586">
        <v>445</v>
      </c>
      <c r="E586">
        <v>248</v>
      </c>
      <c r="F586">
        <v>12</v>
      </c>
      <c r="G586">
        <v>20</v>
      </c>
      <c r="H586">
        <v>12</v>
      </c>
      <c r="I586">
        <v>0</v>
      </c>
      <c r="J586">
        <v>36</v>
      </c>
      <c r="K586">
        <v>1</v>
      </c>
      <c r="L586">
        <v>12</v>
      </c>
      <c r="M586">
        <v>25</v>
      </c>
      <c r="N586">
        <v>16</v>
      </c>
      <c r="O586">
        <v>11</v>
      </c>
      <c r="P586">
        <v>0</v>
      </c>
      <c r="Q586">
        <v>1</v>
      </c>
      <c r="R586">
        <v>1</v>
      </c>
      <c r="S586">
        <v>36</v>
      </c>
      <c r="T586">
        <v>2</v>
      </c>
      <c r="U586">
        <v>0</v>
      </c>
      <c r="V586">
        <v>0</v>
      </c>
      <c r="W586">
        <v>1</v>
      </c>
      <c r="X586">
        <v>0</v>
      </c>
      <c r="Y586">
        <v>3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</row>
    <row r="587" spans="1:201" x14ac:dyDescent="0.3">
      <c r="A587" t="s">
        <v>357</v>
      </c>
      <c r="B587" t="s">
        <v>376</v>
      </c>
      <c r="C587" t="s">
        <v>200</v>
      </c>
      <c r="D587" s="1">
        <v>3141</v>
      </c>
      <c r="E587" s="1">
        <v>1056</v>
      </c>
      <c r="F587">
        <v>22</v>
      </c>
      <c r="G587">
        <v>51</v>
      </c>
      <c r="H587">
        <v>67</v>
      </c>
      <c r="I587">
        <v>6</v>
      </c>
      <c r="J587">
        <v>50</v>
      </c>
      <c r="K587">
        <v>693</v>
      </c>
      <c r="L587">
        <v>3</v>
      </c>
      <c r="M587">
        <v>81</v>
      </c>
      <c r="N587">
        <v>50</v>
      </c>
      <c r="O587">
        <v>0</v>
      </c>
      <c r="P587">
        <v>2</v>
      </c>
      <c r="Q587">
        <v>636</v>
      </c>
      <c r="R587">
        <v>5</v>
      </c>
      <c r="S587">
        <v>10</v>
      </c>
      <c r="T587">
        <v>17</v>
      </c>
      <c r="U587">
        <v>2</v>
      </c>
      <c r="V587">
        <v>0</v>
      </c>
      <c r="W587">
        <v>0</v>
      </c>
      <c r="X587">
        <v>1</v>
      </c>
      <c r="Y587">
        <v>239</v>
      </c>
      <c r="Z587">
        <v>0</v>
      </c>
      <c r="AA587">
        <v>0</v>
      </c>
      <c r="AB587">
        <v>0</v>
      </c>
      <c r="AC587">
        <v>0</v>
      </c>
      <c r="AD587">
        <v>8</v>
      </c>
      <c r="AE587">
        <v>139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</row>
    <row r="588" spans="1:201" x14ac:dyDescent="0.3">
      <c r="A588" t="s">
        <v>357</v>
      </c>
      <c r="B588" t="s">
        <v>376</v>
      </c>
      <c r="C588" t="s">
        <v>203</v>
      </c>
      <c r="D588" s="1">
        <v>2603</v>
      </c>
      <c r="E588">
        <v>778</v>
      </c>
      <c r="F588">
        <v>9</v>
      </c>
      <c r="G588">
        <v>20</v>
      </c>
      <c r="H588">
        <v>59</v>
      </c>
      <c r="I588">
        <v>1</v>
      </c>
      <c r="J588">
        <v>26</v>
      </c>
      <c r="K588">
        <v>691</v>
      </c>
      <c r="L588">
        <v>3</v>
      </c>
      <c r="M588">
        <v>55</v>
      </c>
      <c r="N588">
        <v>17</v>
      </c>
      <c r="O588">
        <v>0</v>
      </c>
      <c r="P588">
        <v>0</v>
      </c>
      <c r="Q588">
        <v>607</v>
      </c>
      <c r="R588">
        <v>5</v>
      </c>
      <c r="S588">
        <v>1</v>
      </c>
      <c r="T588">
        <v>17</v>
      </c>
      <c r="U588">
        <v>0</v>
      </c>
      <c r="V588">
        <v>0</v>
      </c>
      <c r="W588">
        <v>0</v>
      </c>
      <c r="X588">
        <v>1</v>
      </c>
      <c r="Y588">
        <v>172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138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</row>
    <row r="589" spans="1:201" x14ac:dyDescent="0.3">
      <c r="A589" t="s">
        <v>357</v>
      </c>
      <c r="B589" t="s">
        <v>376</v>
      </c>
      <c r="C589" t="s">
        <v>204</v>
      </c>
      <c r="D589">
        <v>538</v>
      </c>
      <c r="E589">
        <v>278</v>
      </c>
      <c r="F589">
        <v>13</v>
      </c>
      <c r="G589">
        <v>31</v>
      </c>
      <c r="H589">
        <v>8</v>
      </c>
      <c r="I589">
        <v>5</v>
      </c>
      <c r="J589">
        <v>24</v>
      </c>
      <c r="K589">
        <v>2</v>
      </c>
      <c r="L589">
        <v>0</v>
      </c>
      <c r="M589">
        <v>26</v>
      </c>
      <c r="N589">
        <v>33</v>
      </c>
      <c r="O589">
        <v>0</v>
      </c>
      <c r="P589">
        <v>2</v>
      </c>
      <c r="Q589">
        <v>29</v>
      </c>
      <c r="R589">
        <v>0</v>
      </c>
      <c r="S589">
        <v>9</v>
      </c>
      <c r="T589">
        <v>0</v>
      </c>
      <c r="U589">
        <v>2</v>
      </c>
      <c r="V589">
        <v>0</v>
      </c>
      <c r="W589">
        <v>0</v>
      </c>
      <c r="X589">
        <v>0</v>
      </c>
      <c r="Y589">
        <v>67</v>
      </c>
      <c r="Z589">
        <v>0</v>
      </c>
      <c r="AA589">
        <v>0</v>
      </c>
      <c r="AB589">
        <v>0</v>
      </c>
      <c r="AC589">
        <v>0</v>
      </c>
      <c r="AD589">
        <v>7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</row>
    <row r="590" spans="1:201" x14ac:dyDescent="0.3">
      <c r="A590" t="s">
        <v>357</v>
      </c>
      <c r="B590" t="s">
        <v>377</v>
      </c>
      <c r="C590" t="s">
        <v>200</v>
      </c>
      <c r="D590" s="1">
        <v>1366</v>
      </c>
      <c r="E590">
        <v>280</v>
      </c>
      <c r="F590">
        <v>9</v>
      </c>
      <c r="G590">
        <v>18</v>
      </c>
      <c r="H590">
        <v>154</v>
      </c>
      <c r="I590">
        <v>17</v>
      </c>
      <c r="J590">
        <v>361</v>
      </c>
      <c r="K590">
        <v>41</v>
      </c>
      <c r="L590">
        <v>91</v>
      </c>
      <c r="M590">
        <v>113</v>
      </c>
      <c r="N590">
        <v>89</v>
      </c>
      <c r="O590">
        <v>9</v>
      </c>
      <c r="P590">
        <v>1</v>
      </c>
      <c r="Q590">
        <v>83</v>
      </c>
      <c r="R590">
        <v>5</v>
      </c>
      <c r="S590">
        <v>15</v>
      </c>
      <c r="T590">
        <v>0</v>
      </c>
      <c r="U590">
        <v>0</v>
      </c>
      <c r="V590">
        <v>23</v>
      </c>
      <c r="W590">
        <v>1</v>
      </c>
      <c r="X590">
        <v>1</v>
      </c>
      <c r="Y590">
        <v>35</v>
      </c>
      <c r="Z590">
        <v>0</v>
      </c>
      <c r="AA590">
        <v>0</v>
      </c>
      <c r="AB590">
        <v>0</v>
      </c>
      <c r="AC590">
        <v>0</v>
      </c>
      <c r="AD590">
        <v>5</v>
      </c>
      <c r="AE590">
        <v>4</v>
      </c>
      <c r="AF590">
        <v>0</v>
      </c>
      <c r="AG590">
        <v>2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7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</row>
    <row r="591" spans="1:201" x14ac:dyDescent="0.3">
      <c r="A591" t="s">
        <v>357</v>
      </c>
      <c r="B591" t="s">
        <v>377</v>
      </c>
      <c r="C591" t="s">
        <v>203</v>
      </c>
      <c r="D591">
        <v>946</v>
      </c>
      <c r="E591">
        <v>150</v>
      </c>
      <c r="F591">
        <v>2</v>
      </c>
      <c r="G591">
        <v>3</v>
      </c>
      <c r="H591">
        <v>115</v>
      </c>
      <c r="I591">
        <v>17</v>
      </c>
      <c r="J591">
        <v>261</v>
      </c>
      <c r="K591">
        <v>40</v>
      </c>
      <c r="L591">
        <v>88</v>
      </c>
      <c r="M591">
        <v>60</v>
      </c>
      <c r="N591">
        <v>67</v>
      </c>
      <c r="O591">
        <v>3</v>
      </c>
      <c r="P591">
        <v>0</v>
      </c>
      <c r="Q591">
        <v>80</v>
      </c>
      <c r="R591">
        <v>5</v>
      </c>
      <c r="S591">
        <v>0</v>
      </c>
      <c r="T591">
        <v>0</v>
      </c>
      <c r="U591">
        <v>0</v>
      </c>
      <c r="V591">
        <v>18</v>
      </c>
      <c r="W591">
        <v>1</v>
      </c>
      <c r="X591">
        <v>1</v>
      </c>
      <c r="Y591">
        <v>22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4</v>
      </c>
      <c r="AF591">
        <v>0</v>
      </c>
      <c r="AG591">
        <v>2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7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</row>
    <row r="592" spans="1:201" x14ac:dyDescent="0.3">
      <c r="A592" t="s">
        <v>357</v>
      </c>
      <c r="B592" t="s">
        <v>377</v>
      </c>
      <c r="C592" t="s">
        <v>204</v>
      </c>
      <c r="D592">
        <v>420</v>
      </c>
      <c r="E592">
        <v>130</v>
      </c>
      <c r="F592">
        <v>7</v>
      </c>
      <c r="G592">
        <v>15</v>
      </c>
      <c r="H592">
        <v>39</v>
      </c>
      <c r="I592">
        <v>0</v>
      </c>
      <c r="J592">
        <v>100</v>
      </c>
      <c r="K592">
        <v>1</v>
      </c>
      <c r="L592">
        <v>3</v>
      </c>
      <c r="M592">
        <v>53</v>
      </c>
      <c r="N592">
        <v>22</v>
      </c>
      <c r="O592">
        <v>6</v>
      </c>
      <c r="P592">
        <v>1</v>
      </c>
      <c r="Q592">
        <v>3</v>
      </c>
      <c r="R592">
        <v>0</v>
      </c>
      <c r="S592">
        <v>15</v>
      </c>
      <c r="T592">
        <v>0</v>
      </c>
      <c r="U592">
        <v>0</v>
      </c>
      <c r="V592">
        <v>5</v>
      </c>
      <c r="W592">
        <v>0</v>
      </c>
      <c r="X592">
        <v>0</v>
      </c>
      <c r="Y592">
        <v>13</v>
      </c>
      <c r="Z592">
        <v>0</v>
      </c>
      <c r="AA592">
        <v>0</v>
      </c>
      <c r="AB592">
        <v>0</v>
      </c>
      <c r="AC592">
        <v>0</v>
      </c>
      <c r="AD592">
        <v>5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</row>
    <row r="593" spans="1:201" x14ac:dyDescent="0.3">
      <c r="A593" t="s">
        <v>357</v>
      </c>
      <c r="B593" t="s">
        <v>378</v>
      </c>
      <c r="C593" t="s">
        <v>200</v>
      </c>
      <c r="D593" s="1">
        <v>4232</v>
      </c>
      <c r="E593" s="1">
        <v>1818</v>
      </c>
      <c r="F593">
        <v>41</v>
      </c>
      <c r="G593">
        <v>61</v>
      </c>
      <c r="H593">
        <v>304</v>
      </c>
      <c r="I593">
        <v>170</v>
      </c>
      <c r="J593">
        <v>284</v>
      </c>
      <c r="K593">
        <v>365</v>
      </c>
      <c r="L593">
        <v>25</v>
      </c>
      <c r="M593">
        <v>145</v>
      </c>
      <c r="N593">
        <v>242</v>
      </c>
      <c r="O593">
        <v>11</v>
      </c>
      <c r="P593">
        <v>7</v>
      </c>
      <c r="Q593">
        <v>386</v>
      </c>
      <c r="R593">
        <v>83</v>
      </c>
      <c r="S593">
        <v>37</v>
      </c>
      <c r="T593">
        <v>30</v>
      </c>
      <c r="U593">
        <v>9</v>
      </c>
      <c r="V593">
        <v>12</v>
      </c>
      <c r="W593">
        <v>2</v>
      </c>
      <c r="X593">
        <v>7</v>
      </c>
      <c r="Y593">
        <v>116</v>
      </c>
      <c r="Z593">
        <v>6</v>
      </c>
      <c r="AA593">
        <v>0</v>
      </c>
      <c r="AB593">
        <v>0</v>
      </c>
      <c r="AC593">
        <v>2</v>
      </c>
      <c r="AD593">
        <v>12</v>
      </c>
      <c r="AE593">
        <v>34</v>
      </c>
      <c r="AF593">
        <v>1</v>
      </c>
      <c r="AG593">
        <v>5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3</v>
      </c>
      <c r="AP593">
        <v>1</v>
      </c>
      <c r="AQ593">
        <v>0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4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3</v>
      </c>
      <c r="BK593">
        <v>0</v>
      </c>
      <c r="BL593">
        <v>0</v>
      </c>
      <c r="BM593">
        <v>3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</row>
    <row r="594" spans="1:201" x14ac:dyDescent="0.3">
      <c r="A594" t="s">
        <v>357</v>
      </c>
      <c r="B594" t="s">
        <v>378</v>
      </c>
      <c r="C594" t="s">
        <v>203</v>
      </c>
      <c r="D594" s="1">
        <v>3017</v>
      </c>
      <c r="E594" s="1">
        <v>1131</v>
      </c>
      <c r="F594">
        <v>19</v>
      </c>
      <c r="G594">
        <v>12</v>
      </c>
      <c r="H594">
        <v>266</v>
      </c>
      <c r="I594">
        <v>165</v>
      </c>
      <c r="J594">
        <v>190</v>
      </c>
      <c r="K594">
        <v>365</v>
      </c>
      <c r="L594">
        <v>24</v>
      </c>
      <c r="M594">
        <v>80</v>
      </c>
      <c r="N594">
        <v>119</v>
      </c>
      <c r="O594">
        <v>7</v>
      </c>
      <c r="P594">
        <v>5</v>
      </c>
      <c r="Q594">
        <v>367</v>
      </c>
      <c r="R594">
        <v>71</v>
      </c>
      <c r="S594">
        <v>1</v>
      </c>
      <c r="T594">
        <v>23</v>
      </c>
      <c r="U594">
        <v>4</v>
      </c>
      <c r="V594">
        <v>8</v>
      </c>
      <c r="W594">
        <v>1</v>
      </c>
      <c r="X594">
        <v>7</v>
      </c>
      <c r="Y594">
        <v>86</v>
      </c>
      <c r="Z594">
        <v>6</v>
      </c>
      <c r="AA594">
        <v>0</v>
      </c>
      <c r="AB594">
        <v>0</v>
      </c>
      <c r="AC594">
        <v>1</v>
      </c>
      <c r="AD594">
        <v>3</v>
      </c>
      <c r="AE594">
        <v>34</v>
      </c>
      <c r="AF594">
        <v>0</v>
      </c>
      <c r="AG594">
        <v>5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3</v>
      </c>
      <c r="AP594">
        <v>1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4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3</v>
      </c>
      <c r="BK594">
        <v>0</v>
      </c>
      <c r="BL594">
        <v>0</v>
      </c>
      <c r="BM594">
        <v>3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</row>
    <row r="595" spans="1:201" x14ac:dyDescent="0.3">
      <c r="A595" t="s">
        <v>357</v>
      </c>
      <c r="B595" t="s">
        <v>378</v>
      </c>
      <c r="C595" t="s">
        <v>204</v>
      </c>
      <c r="D595" s="1">
        <v>1215</v>
      </c>
      <c r="E595">
        <v>687</v>
      </c>
      <c r="F595">
        <v>22</v>
      </c>
      <c r="G595">
        <v>49</v>
      </c>
      <c r="H595">
        <v>38</v>
      </c>
      <c r="I595">
        <v>5</v>
      </c>
      <c r="J595">
        <v>94</v>
      </c>
      <c r="K595">
        <v>0</v>
      </c>
      <c r="L595">
        <v>1</v>
      </c>
      <c r="M595">
        <v>65</v>
      </c>
      <c r="N595">
        <v>123</v>
      </c>
      <c r="O595">
        <v>4</v>
      </c>
      <c r="P595">
        <v>2</v>
      </c>
      <c r="Q595">
        <v>19</v>
      </c>
      <c r="R595">
        <v>12</v>
      </c>
      <c r="S595">
        <v>36</v>
      </c>
      <c r="T595">
        <v>7</v>
      </c>
      <c r="U595">
        <v>5</v>
      </c>
      <c r="V595">
        <v>4</v>
      </c>
      <c r="W595">
        <v>1</v>
      </c>
      <c r="X595">
        <v>0</v>
      </c>
      <c r="Y595">
        <v>30</v>
      </c>
      <c r="Z595">
        <v>0</v>
      </c>
      <c r="AA595">
        <v>0</v>
      </c>
      <c r="AB595">
        <v>0</v>
      </c>
      <c r="AC595">
        <v>1</v>
      </c>
      <c r="AD595">
        <v>9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</row>
    <row r="596" spans="1:201" x14ac:dyDescent="0.3">
      <c r="A596" t="s">
        <v>357</v>
      </c>
      <c r="B596" t="s">
        <v>379</v>
      </c>
      <c r="C596" t="s">
        <v>200</v>
      </c>
      <c r="D596" s="1">
        <v>1204</v>
      </c>
      <c r="E596">
        <v>264</v>
      </c>
      <c r="F596">
        <v>34</v>
      </c>
      <c r="G596">
        <v>49</v>
      </c>
      <c r="H596">
        <v>101</v>
      </c>
      <c r="I596">
        <v>7</v>
      </c>
      <c r="J596">
        <v>193</v>
      </c>
      <c r="K596">
        <v>30</v>
      </c>
      <c r="L596">
        <v>74</v>
      </c>
      <c r="M596">
        <v>82</v>
      </c>
      <c r="N596">
        <v>58</v>
      </c>
      <c r="O596">
        <v>9</v>
      </c>
      <c r="P596">
        <v>5</v>
      </c>
      <c r="Q596">
        <v>52</v>
      </c>
      <c r="R596">
        <v>17</v>
      </c>
      <c r="S596">
        <v>61</v>
      </c>
      <c r="T596">
        <v>0</v>
      </c>
      <c r="U596">
        <v>4</v>
      </c>
      <c r="V596">
        <v>3</v>
      </c>
      <c r="W596">
        <v>2</v>
      </c>
      <c r="X596">
        <v>27</v>
      </c>
      <c r="Y596">
        <v>98</v>
      </c>
      <c r="Z596">
        <v>0</v>
      </c>
      <c r="AA596">
        <v>1</v>
      </c>
      <c r="AB596">
        <v>2</v>
      </c>
      <c r="AC596">
        <v>2</v>
      </c>
      <c r="AD596">
        <v>8</v>
      </c>
      <c r="AE596">
        <v>7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4</v>
      </c>
      <c r="AL596">
        <v>0</v>
      </c>
      <c r="AM596">
        <v>0</v>
      </c>
      <c r="AN596">
        <v>2</v>
      </c>
      <c r="AO596">
        <v>0</v>
      </c>
      <c r="AP596">
        <v>0</v>
      </c>
      <c r="AQ596">
        <v>0</v>
      </c>
      <c r="AR596">
        <v>0</v>
      </c>
      <c r="AS596">
        <v>3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1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</row>
    <row r="597" spans="1:201" x14ac:dyDescent="0.3">
      <c r="A597" t="s">
        <v>357</v>
      </c>
      <c r="B597" t="s">
        <v>379</v>
      </c>
      <c r="C597" t="s">
        <v>203</v>
      </c>
      <c r="D597">
        <v>654</v>
      </c>
      <c r="E597">
        <v>111</v>
      </c>
      <c r="F597">
        <v>16</v>
      </c>
      <c r="G597">
        <v>8</v>
      </c>
      <c r="H597">
        <v>80</v>
      </c>
      <c r="I597">
        <v>3</v>
      </c>
      <c r="J597">
        <v>84</v>
      </c>
      <c r="K597">
        <v>29</v>
      </c>
      <c r="L597">
        <v>74</v>
      </c>
      <c r="M597">
        <v>53</v>
      </c>
      <c r="N597">
        <v>37</v>
      </c>
      <c r="O597">
        <v>7</v>
      </c>
      <c r="P597">
        <v>3</v>
      </c>
      <c r="Q597">
        <v>46</v>
      </c>
      <c r="R597">
        <v>16</v>
      </c>
      <c r="S597">
        <v>2</v>
      </c>
      <c r="T597">
        <v>0</v>
      </c>
      <c r="U597">
        <v>1</v>
      </c>
      <c r="V597">
        <v>2</v>
      </c>
      <c r="W597">
        <v>0</v>
      </c>
      <c r="X597">
        <v>14</v>
      </c>
      <c r="Y597">
        <v>49</v>
      </c>
      <c r="Z597">
        <v>0</v>
      </c>
      <c r="AA597">
        <v>1</v>
      </c>
      <c r="AB597">
        <v>0</v>
      </c>
      <c r="AC597">
        <v>1</v>
      </c>
      <c r="AD597">
        <v>2</v>
      </c>
      <c r="AE597">
        <v>6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3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0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1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</row>
    <row r="598" spans="1:201" x14ac:dyDescent="0.3">
      <c r="A598" t="s">
        <v>357</v>
      </c>
      <c r="B598" t="s">
        <v>379</v>
      </c>
      <c r="C598" t="s">
        <v>204</v>
      </c>
      <c r="D598">
        <v>550</v>
      </c>
      <c r="E598">
        <v>153</v>
      </c>
      <c r="F598">
        <v>18</v>
      </c>
      <c r="G598">
        <v>41</v>
      </c>
      <c r="H598">
        <v>21</v>
      </c>
      <c r="I598">
        <v>4</v>
      </c>
      <c r="J598">
        <v>109</v>
      </c>
      <c r="K598">
        <v>1</v>
      </c>
      <c r="L598">
        <v>0</v>
      </c>
      <c r="M598">
        <v>29</v>
      </c>
      <c r="N598">
        <v>21</v>
      </c>
      <c r="O598">
        <v>2</v>
      </c>
      <c r="P598">
        <v>2</v>
      </c>
      <c r="Q598">
        <v>6</v>
      </c>
      <c r="R598">
        <v>1</v>
      </c>
      <c r="S598">
        <v>59</v>
      </c>
      <c r="T598">
        <v>0</v>
      </c>
      <c r="U598">
        <v>3</v>
      </c>
      <c r="V598">
        <v>1</v>
      </c>
      <c r="W598">
        <v>2</v>
      </c>
      <c r="X598">
        <v>13</v>
      </c>
      <c r="Y598">
        <v>49</v>
      </c>
      <c r="Z598">
        <v>0</v>
      </c>
      <c r="AA598">
        <v>0</v>
      </c>
      <c r="AB598">
        <v>2</v>
      </c>
      <c r="AC598">
        <v>1</v>
      </c>
      <c r="AD598">
        <v>6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2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1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</row>
    <row r="599" spans="1:201" x14ac:dyDescent="0.3">
      <c r="A599" t="s">
        <v>380</v>
      </c>
      <c r="B599" t="s">
        <v>200</v>
      </c>
      <c r="C599" t="s">
        <v>200</v>
      </c>
      <c r="D599" s="1">
        <v>28508</v>
      </c>
      <c r="E599" s="1">
        <v>4683</v>
      </c>
      <c r="F599" s="1">
        <v>1375</v>
      </c>
      <c r="G599" s="1">
        <v>9725</v>
      </c>
      <c r="H599" s="1">
        <v>1735</v>
      </c>
      <c r="I599">
        <v>129</v>
      </c>
      <c r="J599">
        <v>580</v>
      </c>
      <c r="K599" s="1">
        <v>4079</v>
      </c>
      <c r="L599">
        <v>321</v>
      </c>
      <c r="M599">
        <v>829</v>
      </c>
      <c r="N599">
        <v>238</v>
      </c>
      <c r="O599">
        <v>291</v>
      </c>
      <c r="P599">
        <v>685</v>
      </c>
      <c r="Q599">
        <v>847</v>
      </c>
      <c r="R599">
        <v>78</v>
      </c>
      <c r="S599">
        <v>295</v>
      </c>
      <c r="T599">
        <v>102</v>
      </c>
      <c r="U599">
        <v>28</v>
      </c>
      <c r="V599">
        <v>147</v>
      </c>
      <c r="W599">
        <v>327</v>
      </c>
      <c r="X599">
        <v>381</v>
      </c>
      <c r="Y599">
        <v>75</v>
      </c>
      <c r="Z599">
        <v>18</v>
      </c>
      <c r="AA599">
        <v>27</v>
      </c>
      <c r="AB599">
        <v>71</v>
      </c>
      <c r="AC599">
        <v>255</v>
      </c>
      <c r="AD599">
        <v>145</v>
      </c>
      <c r="AE599">
        <v>155</v>
      </c>
      <c r="AF599">
        <v>161</v>
      </c>
      <c r="AG599">
        <v>27</v>
      </c>
      <c r="AH599">
        <v>24</v>
      </c>
      <c r="AI599">
        <v>11</v>
      </c>
      <c r="AJ599">
        <v>7</v>
      </c>
      <c r="AK599">
        <v>5</v>
      </c>
      <c r="AL599">
        <v>35</v>
      </c>
      <c r="AM599">
        <v>115</v>
      </c>
      <c r="AN599">
        <v>39</v>
      </c>
      <c r="AO599">
        <v>10</v>
      </c>
      <c r="AP599">
        <v>3</v>
      </c>
      <c r="AQ599">
        <v>10</v>
      </c>
      <c r="AR599">
        <v>6</v>
      </c>
      <c r="AS599">
        <v>29</v>
      </c>
      <c r="AT599">
        <v>10</v>
      </c>
      <c r="AU599">
        <v>9</v>
      </c>
      <c r="AV599">
        <v>3</v>
      </c>
      <c r="AW599">
        <v>15</v>
      </c>
      <c r="AX599">
        <v>30</v>
      </c>
      <c r="AY599">
        <v>15</v>
      </c>
      <c r="AZ599">
        <v>0</v>
      </c>
      <c r="BA599">
        <v>23</v>
      </c>
      <c r="BB599">
        <v>2</v>
      </c>
      <c r="BC599">
        <v>8</v>
      </c>
      <c r="BD599">
        <v>1</v>
      </c>
      <c r="BE599">
        <v>0</v>
      </c>
      <c r="BF599">
        <v>3</v>
      </c>
      <c r="BG599">
        <v>41</v>
      </c>
      <c r="BH599">
        <v>6</v>
      </c>
      <c r="BI599">
        <v>2</v>
      </c>
      <c r="BJ599">
        <v>4</v>
      </c>
      <c r="BK599">
        <v>10</v>
      </c>
      <c r="BL599">
        <v>8</v>
      </c>
      <c r="BM599">
        <v>10</v>
      </c>
      <c r="BN599">
        <v>9</v>
      </c>
      <c r="BO599">
        <v>1</v>
      </c>
      <c r="BP599">
        <v>8</v>
      </c>
      <c r="BQ599">
        <v>3</v>
      </c>
      <c r="BR599">
        <v>1</v>
      </c>
      <c r="BS599">
        <v>21</v>
      </c>
      <c r="BT599">
        <v>0</v>
      </c>
      <c r="BU599">
        <v>2</v>
      </c>
      <c r="BV599">
        <v>3</v>
      </c>
      <c r="BW599">
        <v>3</v>
      </c>
      <c r="BX599">
        <v>2</v>
      </c>
      <c r="BY599">
        <v>0</v>
      </c>
      <c r="BZ599">
        <v>3</v>
      </c>
      <c r="CA599">
        <v>7</v>
      </c>
      <c r="CB599">
        <v>7</v>
      </c>
      <c r="CC599">
        <v>2</v>
      </c>
      <c r="CD599">
        <v>9</v>
      </c>
      <c r="CE599">
        <v>2</v>
      </c>
      <c r="CF599">
        <v>3</v>
      </c>
      <c r="CG599">
        <v>3</v>
      </c>
      <c r="CH599">
        <v>0</v>
      </c>
      <c r="CI599">
        <v>2</v>
      </c>
      <c r="CJ599">
        <v>5</v>
      </c>
      <c r="CK599">
        <v>3</v>
      </c>
      <c r="CL599">
        <v>0</v>
      </c>
      <c r="CM599">
        <v>0</v>
      </c>
      <c r="CN599">
        <v>0</v>
      </c>
      <c r="CO599">
        <v>0</v>
      </c>
      <c r="CP599">
        <v>5</v>
      </c>
      <c r="CQ599">
        <v>0</v>
      </c>
      <c r="CR599">
        <v>4</v>
      </c>
      <c r="CS599">
        <v>1</v>
      </c>
      <c r="CT599">
        <v>2</v>
      </c>
      <c r="CU599">
        <v>1</v>
      </c>
      <c r="CV599">
        <v>3</v>
      </c>
      <c r="CW599">
        <v>2</v>
      </c>
      <c r="CX599">
        <v>0</v>
      </c>
      <c r="CY599">
        <v>29</v>
      </c>
      <c r="CZ599">
        <v>1</v>
      </c>
      <c r="DA599">
        <v>12</v>
      </c>
      <c r="DB599">
        <v>0</v>
      </c>
      <c r="DC599">
        <v>0</v>
      </c>
      <c r="DD599">
        <v>1</v>
      </c>
      <c r="DE599">
        <v>1</v>
      </c>
      <c r="DF599">
        <v>0</v>
      </c>
      <c r="DG599">
        <v>2</v>
      </c>
      <c r="DH599">
        <v>1</v>
      </c>
      <c r="DI599">
        <v>0</v>
      </c>
      <c r="DJ599">
        <v>0</v>
      </c>
      <c r="DK599">
        <v>0</v>
      </c>
      <c r="DL599">
        <v>0</v>
      </c>
      <c r="DM599">
        <v>2</v>
      </c>
      <c r="DN599">
        <v>0</v>
      </c>
      <c r="DO599">
        <v>2</v>
      </c>
      <c r="DP599">
        <v>1</v>
      </c>
      <c r="DQ599">
        <v>0</v>
      </c>
      <c r="DR599">
        <v>1</v>
      </c>
      <c r="DS599">
        <v>2</v>
      </c>
      <c r="DT599">
        <v>0</v>
      </c>
      <c r="DU599">
        <v>0</v>
      </c>
      <c r="DV599">
        <v>0</v>
      </c>
      <c r="DW599">
        <v>0</v>
      </c>
      <c r="DX599">
        <v>1</v>
      </c>
      <c r="DY599">
        <v>0</v>
      </c>
      <c r="DZ599">
        <v>0</v>
      </c>
      <c r="EA599">
        <v>1</v>
      </c>
      <c r="EB599">
        <v>2</v>
      </c>
      <c r="EC599">
        <v>0</v>
      </c>
      <c r="ED599">
        <v>0</v>
      </c>
      <c r="EE599">
        <v>0</v>
      </c>
      <c r="EF599">
        <v>0</v>
      </c>
      <c r="EG599">
        <v>1</v>
      </c>
      <c r="EH599">
        <v>1</v>
      </c>
      <c r="EI599">
        <v>0</v>
      </c>
      <c r="EJ599">
        <v>0</v>
      </c>
      <c r="EK599">
        <v>1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1</v>
      </c>
      <c r="ER599">
        <v>1</v>
      </c>
      <c r="ES599">
        <v>0</v>
      </c>
      <c r="ET599">
        <v>0</v>
      </c>
      <c r="EU599">
        <v>0</v>
      </c>
      <c r="EV599">
        <v>0</v>
      </c>
      <c r="EW599">
        <v>1</v>
      </c>
      <c r="EX599">
        <v>2</v>
      </c>
      <c r="EY599">
        <v>7</v>
      </c>
      <c r="EZ599">
        <v>1</v>
      </c>
      <c r="FA599">
        <v>3</v>
      </c>
      <c r="FB599">
        <v>3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1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2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1</v>
      </c>
      <c r="GG599">
        <v>1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2</v>
      </c>
    </row>
    <row r="600" spans="1:201" x14ac:dyDescent="0.3">
      <c r="A600" t="s">
        <v>380</v>
      </c>
      <c r="B600" t="s">
        <v>200</v>
      </c>
      <c r="C600" t="s">
        <v>203</v>
      </c>
      <c r="D600" s="1">
        <f>D603+D606</f>
        <v>16867</v>
      </c>
      <c r="E600" s="1">
        <f t="shared" ref="E600:BP600" si="96">E603+E606</f>
        <v>2842</v>
      </c>
      <c r="F600" s="1">
        <f t="shared" si="96"/>
        <v>711</v>
      </c>
      <c r="G600" s="1">
        <f t="shared" si="96"/>
        <v>3861</v>
      </c>
      <c r="H600" s="1">
        <f t="shared" si="96"/>
        <v>1349</v>
      </c>
      <c r="I600" s="1">
        <f t="shared" si="96"/>
        <v>76</v>
      </c>
      <c r="J600" s="1">
        <f t="shared" si="96"/>
        <v>407</v>
      </c>
      <c r="K600" s="1">
        <f t="shared" si="96"/>
        <v>3880</v>
      </c>
      <c r="L600" s="1">
        <f t="shared" si="96"/>
        <v>296</v>
      </c>
      <c r="M600" s="1">
        <f t="shared" si="96"/>
        <v>351</v>
      </c>
      <c r="N600" s="1">
        <f t="shared" si="96"/>
        <v>175</v>
      </c>
      <c r="O600" s="1">
        <f t="shared" si="96"/>
        <v>164</v>
      </c>
      <c r="P600" s="1">
        <f t="shared" si="96"/>
        <v>348</v>
      </c>
      <c r="Q600" s="1">
        <f t="shared" si="96"/>
        <v>790</v>
      </c>
      <c r="R600" s="1">
        <f t="shared" si="96"/>
        <v>71</v>
      </c>
      <c r="S600" s="1">
        <f t="shared" si="96"/>
        <v>73</v>
      </c>
      <c r="T600" s="1">
        <f t="shared" si="96"/>
        <v>26</v>
      </c>
      <c r="U600" s="1">
        <f t="shared" si="96"/>
        <v>7</v>
      </c>
      <c r="V600" s="1">
        <f t="shared" si="96"/>
        <v>100</v>
      </c>
      <c r="W600" s="1">
        <f t="shared" si="96"/>
        <v>153</v>
      </c>
      <c r="X600" s="1">
        <f t="shared" si="96"/>
        <v>265</v>
      </c>
      <c r="Y600" s="1">
        <f t="shared" si="96"/>
        <v>36</v>
      </c>
      <c r="Z600" s="1">
        <f t="shared" si="96"/>
        <v>13</v>
      </c>
      <c r="AA600" s="1">
        <f t="shared" si="96"/>
        <v>20</v>
      </c>
      <c r="AB600" s="1">
        <f t="shared" si="96"/>
        <v>28</v>
      </c>
      <c r="AC600" s="1">
        <f t="shared" si="96"/>
        <v>157</v>
      </c>
      <c r="AD600" s="1">
        <f t="shared" si="96"/>
        <v>45</v>
      </c>
      <c r="AE600" s="1">
        <f t="shared" si="96"/>
        <v>153</v>
      </c>
      <c r="AF600" s="1">
        <f t="shared" si="96"/>
        <v>103</v>
      </c>
      <c r="AG600" s="1">
        <f t="shared" si="96"/>
        <v>12</v>
      </c>
      <c r="AH600" s="1">
        <f t="shared" si="96"/>
        <v>17</v>
      </c>
      <c r="AI600" s="1">
        <f t="shared" si="96"/>
        <v>5</v>
      </c>
      <c r="AJ600" s="1">
        <f t="shared" si="96"/>
        <v>2</v>
      </c>
      <c r="AK600" s="1">
        <f t="shared" si="96"/>
        <v>4</v>
      </c>
      <c r="AL600" s="1">
        <f t="shared" si="96"/>
        <v>12</v>
      </c>
      <c r="AM600" s="1">
        <f t="shared" si="96"/>
        <v>54</v>
      </c>
      <c r="AN600" s="1">
        <f t="shared" si="96"/>
        <v>21</v>
      </c>
      <c r="AO600" s="1">
        <f t="shared" si="96"/>
        <v>7</v>
      </c>
      <c r="AP600" s="1">
        <f t="shared" si="96"/>
        <v>3</v>
      </c>
      <c r="AQ600" s="1">
        <f t="shared" si="96"/>
        <v>1</v>
      </c>
      <c r="AR600" s="1">
        <f t="shared" si="96"/>
        <v>4</v>
      </c>
      <c r="AS600" s="1">
        <f t="shared" si="96"/>
        <v>13</v>
      </c>
      <c r="AT600" s="1">
        <f t="shared" si="96"/>
        <v>6</v>
      </c>
      <c r="AU600" s="1">
        <f t="shared" si="96"/>
        <v>4</v>
      </c>
      <c r="AV600" s="1">
        <f t="shared" si="96"/>
        <v>1</v>
      </c>
      <c r="AW600" s="1">
        <f t="shared" si="96"/>
        <v>7</v>
      </c>
      <c r="AX600" s="1">
        <f t="shared" si="96"/>
        <v>18</v>
      </c>
      <c r="AY600" s="1">
        <f t="shared" si="96"/>
        <v>8</v>
      </c>
      <c r="AZ600" s="1">
        <f t="shared" si="96"/>
        <v>0</v>
      </c>
      <c r="BA600" s="1">
        <f t="shared" si="96"/>
        <v>11</v>
      </c>
      <c r="BB600" s="1">
        <f t="shared" si="96"/>
        <v>0</v>
      </c>
      <c r="BC600" s="1">
        <f t="shared" si="96"/>
        <v>7</v>
      </c>
      <c r="BD600" s="1">
        <f t="shared" si="96"/>
        <v>1</v>
      </c>
      <c r="BE600" s="1">
        <f t="shared" si="96"/>
        <v>0</v>
      </c>
      <c r="BF600" s="1">
        <f t="shared" si="96"/>
        <v>1</v>
      </c>
      <c r="BG600" s="1">
        <f t="shared" si="96"/>
        <v>19</v>
      </c>
      <c r="BH600" s="1">
        <f t="shared" si="96"/>
        <v>1</v>
      </c>
      <c r="BI600" s="1">
        <f t="shared" si="96"/>
        <v>0</v>
      </c>
      <c r="BJ600" s="1">
        <f t="shared" si="96"/>
        <v>0</v>
      </c>
      <c r="BK600" s="1">
        <f t="shared" si="96"/>
        <v>6</v>
      </c>
      <c r="BL600" s="1">
        <f t="shared" si="96"/>
        <v>4</v>
      </c>
      <c r="BM600" s="1">
        <f t="shared" si="96"/>
        <v>9</v>
      </c>
      <c r="BN600" s="1">
        <f t="shared" si="96"/>
        <v>4</v>
      </c>
      <c r="BO600" s="1">
        <f t="shared" si="96"/>
        <v>1</v>
      </c>
      <c r="BP600" s="1">
        <f t="shared" si="96"/>
        <v>7</v>
      </c>
      <c r="BQ600" s="1">
        <f t="shared" ref="BQ600:EB600" si="97">BQ603+BQ606</f>
        <v>2</v>
      </c>
      <c r="BR600" s="1">
        <f t="shared" si="97"/>
        <v>0</v>
      </c>
      <c r="BS600" s="1">
        <f t="shared" si="97"/>
        <v>14</v>
      </c>
      <c r="BT600" s="1">
        <f t="shared" si="97"/>
        <v>0</v>
      </c>
      <c r="BU600" s="1">
        <f t="shared" si="97"/>
        <v>0</v>
      </c>
      <c r="BV600" s="1">
        <f t="shared" si="97"/>
        <v>0</v>
      </c>
      <c r="BW600" s="1">
        <f t="shared" si="97"/>
        <v>1</v>
      </c>
      <c r="BX600" s="1">
        <f t="shared" si="97"/>
        <v>0</v>
      </c>
      <c r="BY600" s="1">
        <f t="shared" si="97"/>
        <v>0</v>
      </c>
      <c r="BZ600" s="1">
        <f t="shared" si="97"/>
        <v>3</v>
      </c>
      <c r="CA600" s="1">
        <f t="shared" si="97"/>
        <v>5</v>
      </c>
      <c r="CB600" s="1">
        <f t="shared" si="97"/>
        <v>3</v>
      </c>
      <c r="CC600" s="1">
        <f t="shared" si="97"/>
        <v>0</v>
      </c>
      <c r="CD600" s="1">
        <f t="shared" si="97"/>
        <v>2</v>
      </c>
      <c r="CE600" s="1">
        <f t="shared" si="97"/>
        <v>1</v>
      </c>
      <c r="CF600" s="1">
        <f t="shared" si="97"/>
        <v>3</v>
      </c>
      <c r="CG600" s="1">
        <f t="shared" si="97"/>
        <v>0</v>
      </c>
      <c r="CH600" s="1">
        <f t="shared" si="97"/>
        <v>0</v>
      </c>
      <c r="CI600" s="1">
        <f t="shared" si="97"/>
        <v>2</v>
      </c>
      <c r="CJ600" s="1">
        <f t="shared" si="97"/>
        <v>3</v>
      </c>
      <c r="CK600" s="1">
        <f t="shared" si="97"/>
        <v>1</v>
      </c>
      <c r="CL600" s="1">
        <f t="shared" si="97"/>
        <v>0</v>
      </c>
      <c r="CM600" s="1">
        <f t="shared" si="97"/>
        <v>0</v>
      </c>
      <c r="CN600" s="1">
        <f t="shared" si="97"/>
        <v>0</v>
      </c>
      <c r="CO600" s="1">
        <f t="shared" si="97"/>
        <v>0</v>
      </c>
      <c r="CP600" s="1">
        <f t="shared" si="97"/>
        <v>4</v>
      </c>
      <c r="CQ600" s="1">
        <f t="shared" si="97"/>
        <v>0</v>
      </c>
      <c r="CR600" s="1">
        <f t="shared" si="97"/>
        <v>3</v>
      </c>
      <c r="CS600" s="1">
        <f t="shared" si="97"/>
        <v>1</v>
      </c>
      <c r="CT600" s="1">
        <f t="shared" si="97"/>
        <v>1</v>
      </c>
      <c r="CU600" s="1">
        <f t="shared" si="97"/>
        <v>0</v>
      </c>
      <c r="CV600" s="1">
        <f t="shared" si="97"/>
        <v>2</v>
      </c>
      <c r="CW600" s="1">
        <f t="shared" si="97"/>
        <v>0</v>
      </c>
      <c r="CX600" s="1">
        <f t="shared" si="97"/>
        <v>0</v>
      </c>
      <c r="CY600" s="1">
        <f t="shared" si="97"/>
        <v>19</v>
      </c>
      <c r="CZ600" s="1">
        <f t="shared" si="97"/>
        <v>0</v>
      </c>
      <c r="DA600" s="1">
        <f t="shared" si="97"/>
        <v>6</v>
      </c>
      <c r="DB600" s="1">
        <f t="shared" si="97"/>
        <v>0</v>
      </c>
      <c r="DC600" s="1">
        <f t="shared" si="97"/>
        <v>0</v>
      </c>
      <c r="DD600" s="1">
        <f t="shared" si="97"/>
        <v>1</v>
      </c>
      <c r="DE600" s="1">
        <f t="shared" si="97"/>
        <v>0</v>
      </c>
      <c r="DF600" s="1">
        <f t="shared" si="97"/>
        <v>0</v>
      </c>
      <c r="DG600" s="1">
        <f t="shared" si="97"/>
        <v>2</v>
      </c>
      <c r="DH600" s="1">
        <f t="shared" si="97"/>
        <v>0</v>
      </c>
      <c r="DI600" s="1">
        <f t="shared" si="97"/>
        <v>0</v>
      </c>
      <c r="DJ600" s="1">
        <f t="shared" si="97"/>
        <v>0</v>
      </c>
      <c r="DK600" s="1">
        <f t="shared" si="97"/>
        <v>0</v>
      </c>
      <c r="DL600" s="1">
        <f t="shared" si="97"/>
        <v>0</v>
      </c>
      <c r="DM600" s="1">
        <f t="shared" si="97"/>
        <v>2</v>
      </c>
      <c r="DN600" s="1">
        <f t="shared" si="97"/>
        <v>0</v>
      </c>
      <c r="DO600" s="1">
        <f t="shared" si="97"/>
        <v>1</v>
      </c>
      <c r="DP600" s="1">
        <f t="shared" si="97"/>
        <v>0</v>
      </c>
      <c r="DQ600" s="1">
        <f t="shared" si="97"/>
        <v>0</v>
      </c>
      <c r="DR600" s="1">
        <f t="shared" si="97"/>
        <v>0</v>
      </c>
      <c r="DS600" s="1">
        <f t="shared" si="97"/>
        <v>0</v>
      </c>
      <c r="DT600" s="1">
        <f t="shared" si="97"/>
        <v>0</v>
      </c>
      <c r="DU600" s="1">
        <f t="shared" si="97"/>
        <v>0</v>
      </c>
      <c r="DV600" s="1">
        <f t="shared" si="97"/>
        <v>0</v>
      </c>
      <c r="DW600" s="1">
        <f t="shared" si="97"/>
        <v>0</v>
      </c>
      <c r="DX600" s="1">
        <f t="shared" si="97"/>
        <v>1</v>
      </c>
      <c r="DY600" s="1">
        <f t="shared" si="97"/>
        <v>0</v>
      </c>
      <c r="DZ600" s="1">
        <f t="shared" si="97"/>
        <v>0</v>
      </c>
      <c r="EA600" s="1">
        <f t="shared" si="97"/>
        <v>0</v>
      </c>
      <c r="EB600" s="1">
        <f t="shared" si="97"/>
        <v>0</v>
      </c>
      <c r="EC600" s="1">
        <f t="shared" ref="EC600:GN600" si="98">EC603+EC606</f>
        <v>0</v>
      </c>
      <c r="ED600" s="1">
        <f t="shared" si="98"/>
        <v>0</v>
      </c>
      <c r="EE600" s="1">
        <f t="shared" si="98"/>
        <v>0</v>
      </c>
      <c r="EF600" s="1">
        <f t="shared" si="98"/>
        <v>0</v>
      </c>
      <c r="EG600" s="1">
        <f t="shared" si="98"/>
        <v>0</v>
      </c>
      <c r="EH600" s="1">
        <f t="shared" si="98"/>
        <v>1</v>
      </c>
      <c r="EI600" s="1">
        <f t="shared" si="98"/>
        <v>0</v>
      </c>
      <c r="EJ600" s="1">
        <f t="shared" si="98"/>
        <v>0</v>
      </c>
      <c r="EK600" s="1">
        <f t="shared" si="98"/>
        <v>1</v>
      </c>
      <c r="EL600" s="1">
        <f t="shared" si="98"/>
        <v>0</v>
      </c>
      <c r="EM600" s="1">
        <f t="shared" si="98"/>
        <v>0</v>
      </c>
      <c r="EN600" s="1">
        <f t="shared" si="98"/>
        <v>0</v>
      </c>
      <c r="EO600" s="1">
        <f t="shared" si="98"/>
        <v>0</v>
      </c>
      <c r="EP600" s="1">
        <f t="shared" si="98"/>
        <v>0</v>
      </c>
      <c r="EQ600" s="1">
        <f t="shared" si="98"/>
        <v>0</v>
      </c>
      <c r="ER600" s="1">
        <f t="shared" si="98"/>
        <v>0</v>
      </c>
      <c r="ES600" s="1">
        <f t="shared" si="98"/>
        <v>0</v>
      </c>
      <c r="ET600" s="1">
        <f t="shared" si="98"/>
        <v>0</v>
      </c>
      <c r="EU600" s="1">
        <f t="shared" si="98"/>
        <v>0</v>
      </c>
      <c r="EV600" s="1">
        <f t="shared" si="98"/>
        <v>0</v>
      </c>
      <c r="EW600" s="1">
        <f t="shared" si="98"/>
        <v>0</v>
      </c>
      <c r="EX600" s="1">
        <f t="shared" si="98"/>
        <v>1</v>
      </c>
      <c r="EY600" s="1">
        <f t="shared" si="98"/>
        <v>7</v>
      </c>
      <c r="EZ600" s="1">
        <f t="shared" si="98"/>
        <v>0</v>
      </c>
      <c r="FA600" s="1">
        <f t="shared" si="98"/>
        <v>1</v>
      </c>
      <c r="FB600" s="1">
        <f t="shared" si="98"/>
        <v>0</v>
      </c>
      <c r="FC600" s="1">
        <f t="shared" si="98"/>
        <v>0</v>
      </c>
      <c r="FD600" s="1">
        <f t="shared" si="98"/>
        <v>0</v>
      </c>
      <c r="FE600" s="1">
        <f t="shared" si="98"/>
        <v>0</v>
      </c>
      <c r="FF600" s="1">
        <f t="shared" si="98"/>
        <v>0</v>
      </c>
      <c r="FG600" s="1">
        <f t="shared" si="98"/>
        <v>0</v>
      </c>
      <c r="FH600" s="1">
        <f t="shared" si="98"/>
        <v>0</v>
      </c>
      <c r="FI600" s="1">
        <f t="shared" si="98"/>
        <v>0</v>
      </c>
      <c r="FJ600" s="1">
        <f t="shared" si="98"/>
        <v>0</v>
      </c>
      <c r="FK600" s="1">
        <f t="shared" si="98"/>
        <v>1</v>
      </c>
      <c r="FL600" s="1">
        <f t="shared" si="98"/>
        <v>0</v>
      </c>
      <c r="FM600" s="1">
        <f t="shared" si="98"/>
        <v>0</v>
      </c>
      <c r="FN600" s="1">
        <f t="shared" si="98"/>
        <v>0</v>
      </c>
      <c r="FO600" s="1">
        <f t="shared" si="98"/>
        <v>0</v>
      </c>
      <c r="FP600" s="1">
        <f t="shared" si="98"/>
        <v>0</v>
      </c>
      <c r="FQ600" s="1">
        <f t="shared" si="98"/>
        <v>0</v>
      </c>
      <c r="FR600" s="1">
        <f t="shared" si="98"/>
        <v>0</v>
      </c>
      <c r="FS600" s="1">
        <f t="shared" si="98"/>
        <v>0</v>
      </c>
      <c r="FT600" s="1">
        <f t="shared" si="98"/>
        <v>0</v>
      </c>
      <c r="FU600" s="1">
        <f t="shared" si="98"/>
        <v>0</v>
      </c>
      <c r="FV600" s="1">
        <f t="shared" si="98"/>
        <v>2</v>
      </c>
      <c r="FW600" s="1">
        <f t="shared" si="98"/>
        <v>0</v>
      </c>
      <c r="FX600" s="1">
        <f t="shared" si="98"/>
        <v>0</v>
      </c>
      <c r="FY600" s="1">
        <f t="shared" si="98"/>
        <v>0</v>
      </c>
      <c r="FZ600" s="1">
        <f t="shared" si="98"/>
        <v>0</v>
      </c>
      <c r="GA600" s="1">
        <f t="shared" si="98"/>
        <v>0</v>
      </c>
      <c r="GB600" s="1">
        <f t="shared" si="98"/>
        <v>0</v>
      </c>
      <c r="GC600" s="1">
        <f t="shared" si="98"/>
        <v>0</v>
      </c>
      <c r="GD600" s="1">
        <f t="shared" si="98"/>
        <v>0</v>
      </c>
      <c r="GE600" s="1">
        <f t="shared" si="98"/>
        <v>0</v>
      </c>
      <c r="GF600" s="1">
        <f t="shared" si="98"/>
        <v>0</v>
      </c>
      <c r="GG600" s="1">
        <f t="shared" si="98"/>
        <v>0</v>
      </c>
      <c r="GH600" s="1">
        <f t="shared" si="98"/>
        <v>0</v>
      </c>
      <c r="GI600" s="1">
        <f t="shared" si="98"/>
        <v>0</v>
      </c>
      <c r="GJ600" s="1">
        <f t="shared" si="98"/>
        <v>0</v>
      </c>
      <c r="GK600" s="1">
        <f t="shared" si="98"/>
        <v>0</v>
      </c>
      <c r="GL600" s="1">
        <f t="shared" si="98"/>
        <v>0</v>
      </c>
      <c r="GM600" s="1">
        <f t="shared" si="98"/>
        <v>0</v>
      </c>
      <c r="GN600" s="1">
        <f t="shared" si="98"/>
        <v>0</v>
      </c>
      <c r="GO600" s="1">
        <f t="shared" ref="GO600:GS600" si="99">GO603+GO606</f>
        <v>0</v>
      </c>
      <c r="GP600" s="1">
        <f t="shared" si="99"/>
        <v>0</v>
      </c>
      <c r="GQ600" s="1">
        <f t="shared" si="99"/>
        <v>0</v>
      </c>
      <c r="GR600" s="1">
        <f t="shared" si="99"/>
        <v>0</v>
      </c>
      <c r="GS600" s="1">
        <f t="shared" si="99"/>
        <v>0</v>
      </c>
    </row>
    <row r="601" spans="1:201" x14ac:dyDescent="0.3">
      <c r="A601" t="s">
        <v>380</v>
      </c>
      <c r="B601" t="s">
        <v>200</v>
      </c>
      <c r="C601" t="s">
        <v>204</v>
      </c>
      <c r="D601" s="1">
        <f>D604+D607</f>
        <v>11641</v>
      </c>
      <c r="E601" s="1">
        <f t="shared" ref="E601:BP601" si="100">E604+E607</f>
        <v>1841</v>
      </c>
      <c r="F601" s="1">
        <f t="shared" si="100"/>
        <v>664</v>
      </c>
      <c r="G601" s="1">
        <f t="shared" si="100"/>
        <v>5864</v>
      </c>
      <c r="H601" s="1">
        <f t="shared" si="100"/>
        <v>386</v>
      </c>
      <c r="I601" s="1">
        <f t="shared" si="100"/>
        <v>53</v>
      </c>
      <c r="J601" s="1">
        <f t="shared" si="100"/>
        <v>173</v>
      </c>
      <c r="K601" s="1">
        <f t="shared" si="100"/>
        <v>199</v>
      </c>
      <c r="L601" s="1">
        <f t="shared" si="100"/>
        <v>25</v>
      </c>
      <c r="M601" s="1">
        <f t="shared" si="100"/>
        <v>478</v>
      </c>
      <c r="N601" s="1">
        <f t="shared" si="100"/>
        <v>63</v>
      </c>
      <c r="O601" s="1">
        <f t="shared" si="100"/>
        <v>127</v>
      </c>
      <c r="P601" s="1">
        <f t="shared" si="100"/>
        <v>337</v>
      </c>
      <c r="Q601" s="1">
        <f t="shared" si="100"/>
        <v>57</v>
      </c>
      <c r="R601" s="1">
        <f t="shared" si="100"/>
        <v>7</v>
      </c>
      <c r="S601" s="1">
        <f t="shared" si="100"/>
        <v>222</v>
      </c>
      <c r="T601" s="1">
        <f t="shared" si="100"/>
        <v>76</v>
      </c>
      <c r="U601" s="1">
        <f t="shared" si="100"/>
        <v>21</v>
      </c>
      <c r="V601" s="1">
        <f t="shared" si="100"/>
        <v>47</v>
      </c>
      <c r="W601" s="1">
        <f t="shared" si="100"/>
        <v>174</v>
      </c>
      <c r="X601" s="1">
        <f t="shared" si="100"/>
        <v>116</v>
      </c>
      <c r="Y601" s="1">
        <f t="shared" si="100"/>
        <v>39</v>
      </c>
      <c r="Z601" s="1">
        <f t="shared" si="100"/>
        <v>5</v>
      </c>
      <c r="AA601" s="1">
        <f t="shared" si="100"/>
        <v>7</v>
      </c>
      <c r="AB601" s="1">
        <f t="shared" si="100"/>
        <v>43</v>
      </c>
      <c r="AC601" s="1">
        <f t="shared" si="100"/>
        <v>98</v>
      </c>
      <c r="AD601" s="1">
        <f t="shared" si="100"/>
        <v>100</v>
      </c>
      <c r="AE601" s="1">
        <f t="shared" si="100"/>
        <v>2</v>
      </c>
      <c r="AF601" s="1">
        <f t="shared" si="100"/>
        <v>58</v>
      </c>
      <c r="AG601" s="1">
        <f t="shared" si="100"/>
        <v>15</v>
      </c>
      <c r="AH601" s="1">
        <f t="shared" si="100"/>
        <v>7</v>
      </c>
      <c r="AI601" s="1">
        <f t="shared" si="100"/>
        <v>6</v>
      </c>
      <c r="AJ601" s="1">
        <f t="shared" si="100"/>
        <v>5</v>
      </c>
      <c r="AK601" s="1">
        <f t="shared" si="100"/>
        <v>1</v>
      </c>
      <c r="AL601" s="1">
        <f t="shared" si="100"/>
        <v>23</v>
      </c>
      <c r="AM601" s="1">
        <f t="shared" si="100"/>
        <v>61</v>
      </c>
      <c r="AN601" s="1">
        <f t="shared" si="100"/>
        <v>18</v>
      </c>
      <c r="AO601" s="1">
        <f t="shared" si="100"/>
        <v>3</v>
      </c>
      <c r="AP601" s="1">
        <f t="shared" si="100"/>
        <v>0</v>
      </c>
      <c r="AQ601" s="1">
        <f t="shared" si="100"/>
        <v>9</v>
      </c>
      <c r="AR601" s="1">
        <f t="shared" si="100"/>
        <v>2</v>
      </c>
      <c r="AS601" s="1">
        <f t="shared" si="100"/>
        <v>16</v>
      </c>
      <c r="AT601" s="1">
        <f t="shared" si="100"/>
        <v>4</v>
      </c>
      <c r="AU601" s="1">
        <f t="shared" si="100"/>
        <v>5</v>
      </c>
      <c r="AV601" s="1">
        <f t="shared" si="100"/>
        <v>2</v>
      </c>
      <c r="AW601" s="1">
        <f t="shared" si="100"/>
        <v>8</v>
      </c>
      <c r="AX601" s="1">
        <f t="shared" si="100"/>
        <v>12</v>
      </c>
      <c r="AY601" s="1">
        <f t="shared" si="100"/>
        <v>7</v>
      </c>
      <c r="AZ601" s="1">
        <f t="shared" si="100"/>
        <v>0</v>
      </c>
      <c r="BA601" s="1">
        <f t="shared" si="100"/>
        <v>12</v>
      </c>
      <c r="BB601" s="1">
        <f t="shared" si="100"/>
        <v>2</v>
      </c>
      <c r="BC601" s="1">
        <f t="shared" si="100"/>
        <v>1</v>
      </c>
      <c r="BD601" s="1">
        <f t="shared" si="100"/>
        <v>0</v>
      </c>
      <c r="BE601" s="1">
        <f t="shared" si="100"/>
        <v>0</v>
      </c>
      <c r="BF601" s="1">
        <f t="shared" si="100"/>
        <v>2</v>
      </c>
      <c r="BG601" s="1">
        <f t="shared" si="100"/>
        <v>22</v>
      </c>
      <c r="BH601" s="1">
        <f t="shared" si="100"/>
        <v>5</v>
      </c>
      <c r="BI601" s="1">
        <f t="shared" si="100"/>
        <v>2</v>
      </c>
      <c r="BJ601" s="1">
        <f t="shared" si="100"/>
        <v>4</v>
      </c>
      <c r="BK601" s="1">
        <f t="shared" si="100"/>
        <v>4</v>
      </c>
      <c r="BL601" s="1">
        <f t="shared" si="100"/>
        <v>4</v>
      </c>
      <c r="BM601" s="1">
        <f t="shared" si="100"/>
        <v>1</v>
      </c>
      <c r="BN601" s="1">
        <f t="shared" si="100"/>
        <v>5</v>
      </c>
      <c r="BO601" s="1">
        <f t="shared" si="100"/>
        <v>0</v>
      </c>
      <c r="BP601" s="1">
        <f t="shared" si="100"/>
        <v>1</v>
      </c>
      <c r="BQ601" s="1">
        <f t="shared" ref="BQ601:EB601" si="101">BQ604+BQ607</f>
        <v>1</v>
      </c>
      <c r="BR601" s="1">
        <f t="shared" si="101"/>
        <v>1</v>
      </c>
      <c r="BS601" s="1">
        <f t="shared" si="101"/>
        <v>7</v>
      </c>
      <c r="BT601" s="1">
        <f t="shared" si="101"/>
        <v>0</v>
      </c>
      <c r="BU601" s="1">
        <f t="shared" si="101"/>
        <v>2</v>
      </c>
      <c r="BV601" s="1">
        <f t="shared" si="101"/>
        <v>3</v>
      </c>
      <c r="BW601" s="1">
        <f t="shared" si="101"/>
        <v>2</v>
      </c>
      <c r="BX601" s="1">
        <f t="shared" si="101"/>
        <v>2</v>
      </c>
      <c r="BY601" s="1">
        <f t="shared" si="101"/>
        <v>0</v>
      </c>
      <c r="BZ601" s="1">
        <f t="shared" si="101"/>
        <v>0</v>
      </c>
      <c r="CA601" s="1">
        <f t="shared" si="101"/>
        <v>2</v>
      </c>
      <c r="CB601" s="1">
        <f t="shared" si="101"/>
        <v>4</v>
      </c>
      <c r="CC601" s="1">
        <f t="shared" si="101"/>
        <v>2</v>
      </c>
      <c r="CD601" s="1">
        <f t="shared" si="101"/>
        <v>7</v>
      </c>
      <c r="CE601" s="1">
        <f t="shared" si="101"/>
        <v>1</v>
      </c>
      <c r="CF601" s="1">
        <f t="shared" si="101"/>
        <v>0</v>
      </c>
      <c r="CG601" s="1">
        <f t="shared" si="101"/>
        <v>3</v>
      </c>
      <c r="CH601" s="1">
        <f t="shared" si="101"/>
        <v>0</v>
      </c>
      <c r="CI601" s="1">
        <f t="shared" si="101"/>
        <v>0</v>
      </c>
      <c r="CJ601" s="1">
        <f t="shared" si="101"/>
        <v>2</v>
      </c>
      <c r="CK601" s="1">
        <f t="shared" si="101"/>
        <v>2</v>
      </c>
      <c r="CL601" s="1">
        <f t="shared" si="101"/>
        <v>0</v>
      </c>
      <c r="CM601" s="1">
        <f t="shared" si="101"/>
        <v>0</v>
      </c>
      <c r="CN601" s="1">
        <f t="shared" si="101"/>
        <v>0</v>
      </c>
      <c r="CO601" s="1">
        <f t="shared" si="101"/>
        <v>0</v>
      </c>
      <c r="CP601" s="1">
        <f t="shared" si="101"/>
        <v>1</v>
      </c>
      <c r="CQ601" s="1">
        <f t="shared" si="101"/>
        <v>0</v>
      </c>
      <c r="CR601" s="1">
        <f t="shared" si="101"/>
        <v>1</v>
      </c>
      <c r="CS601" s="1">
        <f t="shared" si="101"/>
        <v>0</v>
      </c>
      <c r="CT601" s="1">
        <f t="shared" si="101"/>
        <v>1</v>
      </c>
      <c r="CU601" s="1">
        <f t="shared" si="101"/>
        <v>1</v>
      </c>
      <c r="CV601" s="1">
        <f t="shared" si="101"/>
        <v>1</v>
      </c>
      <c r="CW601" s="1">
        <f t="shared" si="101"/>
        <v>2</v>
      </c>
      <c r="CX601" s="1">
        <f t="shared" si="101"/>
        <v>0</v>
      </c>
      <c r="CY601" s="1">
        <f t="shared" si="101"/>
        <v>10</v>
      </c>
      <c r="CZ601" s="1">
        <f t="shared" si="101"/>
        <v>1</v>
      </c>
      <c r="DA601" s="1">
        <f t="shared" si="101"/>
        <v>6</v>
      </c>
      <c r="DB601" s="1">
        <f t="shared" si="101"/>
        <v>0</v>
      </c>
      <c r="DC601" s="1">
        <f t="shared" si="101"/>
        <v>0</v>
      </c>
      <c r="DD601" s="1">
        <f t="shared" si="101"/>
        <v>0</v>
      </c>
      <c r="DE601" s="1">
        <f t="shared" si="101"/>
        <v>1</v>
      </c>
      <c r="DF601" s="1">
        <f t="shared" si="101"/>
        <v>0</v>
      </c>
      <c r="DG601" s="1">
        <f t="shared" si="101"/>
        <v>0</v>
      </c>
      <c r="DH601" s="1">
        <f t="shared" si="101"/>
        <v>1</v>
      </c>
      <c r="DI601" s="1">
        <f t="shared" si="101"/>
        <v>0</v>
      </c>
      <c r="DJ601" s="1">
        <f t="shared" si="101"/>
        <v>0</v>
      </c>
      <c r="DK601" s="1">
        <f t="shared" si="101"/>
        <v>0</v>
      </c>
      <c r="DL601" s="1">
        <f t="shared" si="101"/>
        <v>0</v>
      </c>
      <c r="DM601" s="1">
        <f t="shared" si="101"/>
        <v>0</v>
      </c>
      <c r="DN601" s="1">
        <f t="shared" si="101"/>
        <v>0</v>
      </c>
      <c r="DO601" s="1">
        <f t="shared" si="101"/>
        <v>1</v>
      </c>
      <c r="DP601" s="1">
        <f t="shared" si="101"/>
        <v>1</v>
      </c>
      <c r="DQ601" s="1">
        <f t="shared" si="101"/>
        <v>0</v>
      </c>
      <c r="DR601" s="1">
        <f t="shared" si="101"/>
        <v>1</v>
      </c>
      <c r="DS601" s="1">
        <f t="shared" si="101"/>
        <v>2</v>
      </c>
      <c r="DT601" s="1">
        <f t="shared" si="101"/>
        <v>0</v>
      </c>
      <c r="DU601" s="1">
        <f t="shared" si="101"/>
        <v>0</v>
      </c>
      <c r="DV601" s="1">
        <f t="shared" si="101"/>
        <v>0</v>
      </c>
      <c r="DW601" s="1">
        <f t="shared" si="101"/>
        <v>0</v>
      </c>
      <c r="DX601" s="1">
        <f t="shared" si="101"/>
        <v>0</v>
      </c>
      <c r="DY601" s="1">
        <f t="shared" si="101"/>
        <v>0</v>
      </c>
      <c r="DZ601" s="1">
        <f t="shared" si="101"/>
        <v>0</v>
      </c>
      <c r="EA601" s="1">
        <f t="shared" si="101"/>
        <v>1</v>
      </c>
      <c r="EB601" s="1">
        <f t="shared" si="101"/>
        <v>2</v>
      </c>
      <c r="EC601" s="1">
        <f t="shared" ref="EC601:GN601" si="102">EC604+EC607</f>
        <v>0</v>
      </c>
      <c r="ED601" s="1">
        <f t="shared" si="102"/>
        <v>0</v>
      </c>
      <c r="EE601" s="1">
        <f t="shared" si="102"/>
        <v>0</v>
      </c>
      <c r="EF601" s="1">
        <f t="shared" si="102"/>
        <v>0</v>
      </c>
      <c r="EG601" s="1">
        <f t="shared" si="102"/>
        <v>1</v>
      </c>
      <c r="EH601" s="1">
        <f t="shared" si="102"/>
        <v>0</v>
      </c>
      <c r="EI601" s="1">
        <f t="shared" si="102"/>
        <v>0</v>
      </c>
      <c r="EJ601" s="1">
        <f t="shared" si="102"/>
        <v>0</v>
      </c>
      <c r="EK601" s="1">
        <f t="shared" si="102"/>
        <v>0</v>
      </c>
      <c r="EL601" s="1">
        <f t="shared" si="102"/>
        <v>0</v>
      </c>
      <c r="EM601" s="1">
        <f t="shared" si="102"/>
        <v>0</v>
      </c>
      <c r="EN601" s="1">
        <f t="shared" si="102"/>
        <v>0</v>
      </c>
      <c r="EO601" s="1">
        <f t="shared" si="102"/>
        <v>0</v>
      </c>
      <c r="EP601" s="1">
        <f t="shared" si="102"/>
        <v>0</v>
      </c>
      <c r="EQ601" s="1">
        <f t="shared" si="102"/>
        <v>1</v>
      </c>
      <c r="ER601" s="1">
        <f t="shared" si="102"/>
        <v>1</v>
      </c>
      <c r="ES601" s="1">
        <f t="shared" si="102"/>
        <v>0</v>
      </c>
      <c r="ET601" s="1">
        <f t="shared" si="102"/>
        <v>0</v>
      </c>
      <c r="EU601" s="1">
        <f t="shared" si="102"/>
        <v>0</v>
      </c>
      <c r="EV601" s="1">
        <f t="shared" si="102"/>
        <v>0</v>
      </c>
      <c r="EW601" s="1">
        <f t="shared" si="102"/>
        <v>1</v>
      </c>
      <c r="EX601" s="1">
        <f t="shared" si="102"/>
        <v>1</v>
      </c>
      <c r="EY601" s="1">
        <f t="shared" si="102"/>
        <v>0</v>
      </c>
      <c r="EZ601" s="1">
        <f t="shared" si="102"/>
        <v>1</v>
      </c>
      <c r="FA601" s="1">
        <f t="shared" si="102"/>
        <v>2</v>
      </c>
      <c r="FB601" s="1">
        <f t="shared" si="102"/>
        <v>3</v>
      </c>
      <c r="FC601" s="1">
        <f t="shared" si="102"/>
        <v>0</v>
      </c>
      <c r="FD601" s="1">
        <f t="shared" si="102"/>
        <v>0</v>
      </c>
      <c r="FE601" s="1">
        <f t="shared" si="102"/>
        <v>0</v>
      </c>
      <c r="FF601" s="1">
        <f t="shared" si="102"/>
        <v>0</v>
      </c>
      <c r="FG601" s="1">
        <f t="shared" si="102"/>
        <v>0</v>
      </c>
      <c r="FH601" s="1">
        <f t="shared" si="102"/>
        <v>0</v>
      </c>
      <c r="FI601" s="1">
        <f t="shared" si="102"/>
        <v>0</v>
      </c>
      <c r="FJ601" s="1">
        <f t="shared" si="102"/>
        <v>0</v>
      </c>
      <c r="FK601" s="1">
        <f t="shared" si="102"/>
        <v>0</v>
      </c>
      <c r="FL601" s="1">
        <f t="shared" si="102"/>
        <v>0</v>
      </c>
      <c r="FM601" s="1">
        <f t="shared" si="102"/>
        <v>0</v>
      </c>
      <c r="FN601" s="1">
        <f t="shared" si="102"/>
        <v>0</v>
      </c>
      <c r="FO601" s="1">
        <f t="shared" si="102"/>
        <v>0</v>
      </c>
      <c r="FP601" s="1">
        <f t="shared" si="102"/>
        <v>0</v>
      </c>
      <c r="FQ601" s="1">
        <f t="shared" si="102"/>
        <v>0</v>
      </c>
      <c r="FR601" s="1">
        <f t="shared" si="102"/>
        <v>0</v>
      </c>
      <c r="FS601" s="1">
        <f t="shared" si="102"/>
        <v>0</v>
      </c>
      <c r="FT601" s="1">
        <f t="shared" si="102"/>
        <v>0</v>
      </c>
      <c r="FU601" s="1">
        <f t="shared" si="102"/>
        <v>0</v>
      </c>
      <c r="FV601" s="1">
        <f t="shared" si="102"/>
        <v>0</v>
      </c>
      <c r="FW601" s="1">
        <f t="shared" si="102"/>
        <v>0</v>
      </c>
      <c r="FX601" s="1">
        <f t="shared" si="102"/>
        <v>0</v>
      </c>
      <c r="FY601" s="1">
        <f t="shared" si="102"/>
        <v>0</v>
      </c>
      <c r="FZ601" s="1">
        <f t="shared" si="102"/>
        <v>0</v>
      </c>
      <c r="GA601" s="1">
        <f t="shared" si="102"/>
        <v>0</v>
      </c>
      <c r="GB601" s="1">
        <f t="shared" si="102"/>
        <v>0</v>
      </c>
      <c r="GC601" s="1">
        <f t="shared" si="102"/>
        <v>0</v>
      </c>
      <c r="GD601" s="1">
        <f t="shared" si="102"/>
        <v>0</v>
      </c>
      <c r="GE601" s="1">
        <f t="shared" si="102"/>
        <v>0</v>
      </c>
      <c r="GF601" s="1">
        <f t="shared" si="102"/>
        <v>1</v>
      </c>
      <c r="GG601" s="1">
        <f t="shared" si="102"/>
        <v>1</v>
      </c>
      <c r="GH601" s="1">
        <f t="shared" si="102"/>
        <v>0</v>
      </c>
      <c r="GI601" s="1">
        <f t="shared" si="102"/>
        <v>0</v>
      </c>
      <c r="GJ601" s="1">
        <f t="shared" si="102"/>
        <v>0</v>
      </c>
      <c r="GK601" s="1">
        <f t="shared" si="102"/>
        <v>0</v>
      </c>
      <c r="GL601" s="1">
        <f t="shared" si="102"/>
        <v>0</v>
      </c>
      <c r="GM601" s="1">
        <f t="shared" si="102"/>
        <v>0</v>
      </c>
      <c r="GN601" s="1">
        <f t="shared" si="102"/>
        <v>0</v>
      </c>
      <c r="GO601" s="1">
        <f t="shared" ref="GO601:GS601" si="103">GO604+GO607</f>
        <v>0</v>
      </c>
      <c r="GP601" s="1">
        <f t="shared" si="103"/>
        <v>0</v>
      </c>
      <c r="GQ601" s="1">
        <f t="shared" si="103"/>
        <v>0</v>
      </c>
      <c r="GR601" s="1">
        <f t="shared" si="103"/>
        <v>0</v>
      </c>
      <c r="GS601" s="1">
        <f t="shared" si="103"/>
        <v>2</v>
      </c>
    </row>
    <row r="602" spans="1:201" x14ac:dyDescent="0.3">
      <c r="A602" t="s">
        <v>380</v>
      </c>
      <c r="B602" t="s">
        <v>381</v>
      </c>
      <c r="C602" t="s">
        <v>200</v>
      </c>
      <c r="D602" s="1">
        <v>10083</v>
      </c>
      <c r="E602" s="1">
        <v>1921</v>
      </c>
      <c r="F602">
        <v>258</v>
      </c>
      <c r="G602" s="1">
        <v>3290</v>
      </c>
      <c r="H602">
        <v>516</v>
      </c>
      <c r="I602">
        <v>34</v>
      </c>
      <c r="J602">
        <v>173</v>
      </c>
      <c r="K602" s="1">
        <v>1506</v>
      </c>
      <c r="L602">
        <v>101</v>
      </c>
      <c r="M602">
        <v>207</v>
      </c>
      <c r="N602">
        <v>73</v>
      </c>
      <c r="O602">
        <v>60</v>
      </c>
      <c r="P602">
        <v>437</v>
      </c>
      <c r="Q602">
        <v>451</v>
      </c>
      <c r="R602">
        <v>3</v>
      </c>
      <c r="S602">
        <v>66</v>
      </c>
      <c r="T602">
        <v>38</v>
      </c>
      <c r="U602">
        <v>12</v>
      </c>
      <c r="V602">
        <v>21</v>
      </c>
      <c r="W602">
        <v>53</v>
      </c>
      <c r="X602">
        <v>34</v>
      </c>
      <c r="Y602">
        <v>21</v>
      </c>
      <c r="Z602">
        <v>2</v>
      </c>
      <c r="AA602">
        <v>14</v>
      </c>
      <c r="AB602">
        <v>22</v>
      </c>
      <c r="AC602">
        <v>202</v>
      </c>
      <c r="AD602">
        <v>86</v>
      </c>
      <c r="AE602">
        <v>59</v>
      </c>
      <c r="AF602">
        <v>101</v>
      </c>
      <c r="AG602">
        <v>15</v>
      </c>
      <c r="AH602">
        <v>11</v>
      </c>
      <c r="AI602">
        <v>4</v>
      </c>
      <c r="AJ602">
        <v>0</v>
      </c>
      <c r="AK602">
        <v>1</v>
      </c>
      <c r="AL602">
        <v>4</v>
      </c>
      <c r="AM602">
        <v>53</v>
      </c>
      <c r="AN602">
        <v>26</v>
      </c>
      <c r="AO602">
        <v>1</v>
      </c>
      <c r="AP602">
        <v>0</v>
      </c>
      <c r="AQ602">
        <v>3</v>
      </c>
      <c r="AR602">
        <v>4</v>
      </c>
      <c r="AS602">
        <v>21</v>
      </c>
      <c r="AT602">
        <v>3</v>
      </c>
      <c r="AU602">
        <v>1</v>
      </c>
      <c r="AV602">
        <v>2</v>
      </c>
      <c r="AW602">
        <v>8</v>
      </c>
      <c r="AX602">
        <v>3</v>
      </c>
      <c r="AY602">
        <v>12</v>
      </c>
      <c r="AZ602">
        <v>0</v>
      </c>
      <c r="BA602">
        <v>13</v>
      </c>
      <c r="BB602">
        <v>2</v>
      </c>
      <c r="BC602">
        <v>7</v>
      </c>
      <c r="BD602">
        <v>0</v>
      </c>
      <c r="BE602">
        <v>0</v>
      </c>
      <c r="BF602">
        <v>3</v>
      </c>
      <c r="BG602">
        <v>28</v>
      </c>
      <c r="BH602">
        <v>3</v>
      </c>
      <c r="BI602">
        <v>0</v>
      </c>
      <c r="BJ602">
        <v>0</v>
      </c>
      <c r="BK602">
        <v>0</v>
      </c>
      <c r="BL602">
        <v>5</v>
      </c>
      <c r="BM602">
        <v>1</v>
      </c>
      <c r="BN602">
        <v>5</v>
      </c>
      <c r="BO602">
        <v>0</v>
      </c>
      <c r="BP602">
        <v>2</v>
      </c>
      <c r="BQ602">
        <v>0</v>
      </c>
      <c r="BR602">
        <v>0</v>
      </c>
      <c r="BS602">
        <v>13</v>
      </c>
      <c r="BT602">
        <v>0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1</v>
      </c>
      <c r="CA602">
        <v>3</v>
      </c>
      <c r="CB602">
        <v>0</v>
      </c>
      <c r="CC602">
        <v>1</v>
      </c>
      <c r="CD602">
        <v>5</v>
      </c>
      <c r="CE602">
        <v>1</v>
      </c>
      <c r="CF602">
        <v>2</v>
      </c>
      <c r="CG602">
        <v>0</v>
      </c>
      <c r="CH602">
        <v>0</v>
      </c>
      <c r="CI602">
        <v>1</v>
      </c>
      <c r="CJ602">
        <v>5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4</v>
      </c>
      <c r="CQ602">
        <v>0</v>
      </c>
      <c r="CR602">
        <v>4</v>
      </c>
      <c r="CS602">
        <v>0</v>
      </c>
      <c r="CT602">
        <v>0</v>
      </c>
      <c r="CU602">
        <v>0</v>
      </c>
      <c r="CV602">
        <v>2</v>
      </c>
      <c r="CW602">
        <v>2</v>
      </c>
      <c r="CX602">
        <v>0</v>
      </c>
      <c r="CY602">
        <v>8</v>
      </c>
      <c r="CZ602">
        <v>0</v>
      </c>
      <c r="DA602">
        <v>0</v>
      </c>
      <c r="DB602">
        <v>0</v>
      </c>
      <c r="DC602">
        <v>0</v>
      </c>
      <c r="DD602">
        <v>1</v>
      </c>
      <c r="DE602">
        <v>0</v>
      </c>
      <c r="DF602">
        <v>0</v>
      </c>
      <c r="DG602">
        <v>2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2</v>
      </c>
      <c r="DN602">
        <v>0</v>
      </c>
      <c r="DO602">
        <v>2</v>
      </c>
      <c r="DP602">
        <v>1</v>
      </c>
      <c r="DQ602">
        <v>0</v>
      </c>
      <c r="DR602">
        <v>1</v>
      </c>
      <c r="DS602">
        <v>1</v>
      </c>
      <c r="DT602">
        <v>0</v>
      </c>
      <c r="DU602">
        <v>0</v>
      </c>
      <c r="DV602">
        <v>0</v>
      </c>
      <c r="DW602">
        <v>0</v>
      </c>
      <c r="DX602">
        <v>1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1</v>
      </c>
      <c r="EH602">
        <v>1</v>
      </c>
      <c r="EI602">
        <v>0</v>
      </c>
      <c r="EJ602">
        <v>0</v>
      </c>
      <c r="EK602">
        <v>1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1</v>
      </c>
      <c r="ER602">
        <v>1</v>
      </c>
      <c r="ES602">
        <v>0</v>
      </c>
      <c r="ET602">
        <v>0</v>
      </c>
      <c r="EU602">
        <v>0</v>
      </c>
      <c r="EV602">
        <v>0</v>
      </c>
      <c r="EW602">
        <v>1</v>
      </c>
      <c r="EX602">
        <v>0</v>
      </c>
      <c r="EY602">
        <v>0</v>
      </c>
      <c r="EZ602">
        <v>0</v>
      </c>
      <c r="FA602">
        <v>3</v>
      </c>
      <c r="FB602">
        <v>3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1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1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1</v>
      </c>
    </row>
    <row r="603" spans="1:201" x14ac:dyDescent="0.3">
      <c r="A603" t="s">
        <v>380</v>
      </c>
      <c r="B603" t="s">
        <v>381</v>
      </c>
      <c r="C603" t="s">
        <v>203</v>
      </c>
      <c r="D603" s="1">
        <v>6407</v>
      </c>
      <c r="E603" s="1">
        <v>1353</v>
      </c>
      <c r="F603">
        <v>117</v>
      </c>
      <c r="G603" s="1">
        <v>1419</v>
      </c>
      <c r="H603">
        <v>439</v>
      </c>
      <c r="I603">
        <v>20</v>
      </c>
      <c r="J603">
        <v>118</v>
      </c>
      <c r="K603" s="1">
        <v>1450</v>
      </c>
      <c r="L603">
        <v>98</v>
      </c>
      <c r="M603">
        <v>65</v>
      </c>
      <c r="N603">
        <v>59</v>
      </c>
      <c r="O603">
        <v>30</v>
      </c>
      <c r="P603">
        <v>221</v>
      </c>
      <c r="Q603">
        <v>443</v>
      </c>
      <c r="R603">
        <v>2</v>
      </c>
      <c r="S603">
        <v>13</v>
      </c>
      <c r="T603">
        <v>18</v>
      </c>
      <c r="U603">
        <v>2</v>
      </c>
      <c r="V603">
        <v>14</v>
      </c>
      <c r="W603">
        <v>24</v>
      </c>
      <c r="X603">
        <v>26</v>
      </c>
      <c r="Y603">
        <v>15</v>
      </c>
      <c r="Z603">
        <v>1</v>
      </c>
      <c r="AA603">
        <v>9</v>
      </c>
      <c r="AB603">
        <v>9</v>
      </c>
      <c r="AC603">
        <v>118</v>
      </c>
      <c r="AD603">
        <v>33</v>
      </c>
      <c r="AE603">
        <v>59</v>
      </c>
      <c r="AF603">
        <v>60</v>
      </c>
      <c r="AG603">
        <v>8</v>
      </c>
      <c r="AH603">
        <v>8</v>
      </c>
      <c r="AI603">
        <v>1</v>
      </c>
      <c r="AJ603">
        <v>0</v>
      </c>
      <c r="AK603">
        <v>1</v>
      </c>
      <c r="AL603">
        <v>1</v>
      </c>
      <c r="AM603">
        <v>31</v>
      </c>
      <c r="AN603">
        <v>12</v>
      </c>
      <c r="AO603">
        <v>1</v>
      </c>
      <c r="AP603">
        <v>0</v>
      </c>
      <c r="AQ603">
        <v>1</v>
      </c>
      <c r="AR603">
        <v>2</v>
      </c>
      <c r="AS603">
        <v>12</v>
      </c>
      <c r="AT603">
        <v>3</v>
      </c>
      <c r="AU603">
        <v>0</v>
      </c>
      <c r="AV603">
        <v>1</v>
      </c>
      <c r="AW603">
        <v>3</v>
      </c>
      <c r="AX603">
        <v>3</v>
      </c>
      <c r="AY603">
        <v>6</v>
      </c>
      <c r="AZ603">
        <v>0</v>
      </c>
      <c r="BA603">
        <v>7</v>
      </c>
      <c r="BB603">
        <v>0</v>
      </c>
      <c r="BC603">
        <v>6</v>
      </c>
      <c r="BD603">
        <v>0</v>
      </c>
      <c r="BE603">
        <v>0</v>
      </c>
      <c r="BF603">
        <v>1</v>
      </c>
      <c r="BG603">
        <v>12</v>
      </c>
      <c r="BH603">
        <v>1</v>
      </c>
      <c r="BI603">
        <v>0</v>
      </c>
      <c r="BJ603">
        <v>0</v>
      </c>
      <c r="BK603">
        <v>0</v>
      </c>
      <c r="BL603">
        <v>2</v>
      </c>
      <c r="BM603">
        <v>1</v>
      </c>
      <c r="BN603">
        <v>2</v>
      </c>
      <c r="BO603">
        <v>0</v>
      </c>
      <c r="BP603">
        <v>1</v>
      </c>
      <c r="BQ603">
        <v>0</v>
      </c>
      <c r="BR603">
        <v>0</v>
      </c>
      <c r="BS603">
        <v>9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1</v>
      </c>
      <c r="CA603">
        <v>2</v>
      </c>
      <c r="CB603">
        <v>0</v>
      </c>
      <c r="CC603">
        <v>0</v>
      </c>
      <c r="CD603">
        <v>1</v>
      </c>
      <c r="CE603">
        <v>1</v>
      </c>
      <c r="CF603">
        <v>2</v>
      </c>
      <c r="CG603">
        <v>0</v>
      </c>
      <c r="CH603">
        <v>0</v>
      </c>
      <c r="CI603">
        <v>1</v>
      </c>
      <c r="CJ603">
        <v>3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4</v>
      </c>
      <c r="CQ603">
        <v>0</v>
      </c>
      <c r="CR603">
        <v>3</v>
      </c>
      <c r="CS603">
        <v>0</v>
      </c>
      <c r="CT603">
        <v>0</v>
      </c>
      <c r="CU603">
        <v>0</v>
      </c>
      <c r="CV603">
        <v>1</v>
      </c>
      <c r="CW603">
        <v>0</v>
      </c>
      <c r="CX603">
        <v>0</v>
      </c>
      <c r="CY603">
        <v>6</v>
      </c>
      <c r="CZ603">
        <v>0</v>
      </c>
      <c r="DA603">
        <v>0</v>
      </c>
      <c r="DB603">
        <v>0</v>
      </c>
      <c r="DC603">
        <v>0</v>
      </c>
      <c r="DD603">
        <v>1</v>
      </c>
      <c r="DE603">
        <v>0</v>
      </c>
      <c r="DF603">
        <v>0</v>
      </c>
      <c r="DG603">
        <v>2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2</v>
      </c>
      <c r="DN603">
        <v>0</v>
      </c>
      <c r="DO603">
        <v>1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1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1</v>
      </c>
      <c r="EI603">
        <v>0</v>
      </c>
      <c r="EJ603">
        <v>0</v>
      </c>
      <c r="EK603">
        <v>1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1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1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</row>
    <row r="604" spans="1:201" x14ac:dyDescent="0.3">
      <c r="A604" t="s">
        <v>380</v>
      </c>
      <c r="B604" t="s">
        <v>381</v>
      </c>
      <c r="C604" t="s">
        <v>204</v>
      </c>
      <c r="D604" s="1">
        <v>3676</v>
      </c>
      <c r="E604">
        <v>568</v>
      </c>
      <c r="F604">
        <v>141</v>
      </c>
      <c r="G604" s="1">
        <v>1871</v>
      </c>
      <c r="H604">
        <v>77</v>
      </c>
      <c r="I604">
        <v>14</v>
      </c>
      <c r="J604">
        <v>55</v>
      </c>
      <c r="K604">
        <v>56</v>
      </c>
      <c r="L604">
        <v>3</v>
      </c>
      <c r="M604">
        <v>142</v>
      </c>
      <c r="N604">
        <v>14</v>
      </c>
      <c r="O604">
        <v>30</v>
      </c>
      <c r="P604">
        <v>216</v>
      </c>
      <c r="Q604">
        <v>8</v>
      </c>
      <c r="R604">
        <v>1</v>
      </c>
      <c r="S604">
        <v>53</v>
      </c>
      <c r="T604">
        <v>20</v>
      </c>
      <c r="U604">
        <v>10</v>
      </c>
      <c r="V604">
        <v>7</v>
      </c>
      <c r="W604">
        <v>29</v>
      </c>
      <c r="X604">
        <v>8</v>
      </c>
      <c r="Y604">
        <v>6</v>
      </c>
      <c r="Z604">
        <v>1</v>
      </c>
      <c r="AA604">
        <v>5</v>
      </c>
      <c r="AB604">
        <v>13</v>
      </c>
      <c r="AC604">
        <v>84</v>
      </c>
      <c r="AD604">
        <v>53</v>
      </c>
      <c r="AE604">
        <v>0</v>
      </c>
      <c r="AF604">
        <v>41</v>
      </c>
      <c r="AG604">
        <v>7</v>
      </c>
      <c r="AH604">
        <v>3</v>
      </c>
      <c r="AI604">
        <v>3</v>
      </c>
      <c r="AJ604">
        <v>0</v>
      </c>
      <c r="AK604">
        <v>0</v>
      </c>
      <c r="AL604">
        <v>3</v>
      </c>
      <c r="AM604">
        <v>22</v>
      </c>
      <c r="AN604">
        <v>14</v>
      </c>
      <c r="AO604">
        <v>0</v>
      </c>
      <c r="AP604">
        <v>0</v>
      </c>
      <c r="AQ604">
        <v>2</v>
      </c>
      <c r="AR604">
        <v>2</v>
      </c>
      <c r="AS604">
        <v>9</v>
      </c>
      <c r="AT604">
        <v>0</v>
      </c>
      <c r="AU604">
        <v>1</v>
      </c>
      <c r="AV604">
        <v>1</v>
      </c>
      <c r="AW604">
        <v>5</v>
      </c>
      <c r="AX604">
        <v>0</v>
      </c>
      <c r="AY604">
        <v>6</v>
      </c>
      <c r="AZ604">
        <v>0</v>
      </c>
      <c r="BA604">
        <v>6</v>
      </c>
      <c r="BB604">
        <v>2</v>
      </c>
      <c r="BC604">
        <v>1</v>
      </c>
      <c r="BD604">
        <v>0</v>
      </c>
      <c r="BE604">
        <v>0</v>
      </c>
      <c r="BF604">
        <v>2</v>
      </c>
      <c r="BG604">
        <v>16</v>
      </c>
      <c r="BH604">
        <v>2</v>
      </c>
      <c r="BI604">
        <v>0</v>
      </c>
      <c r="BJ604">
        <v>0</v>
      </c>
      <c r="BK604">
        <v>0</v>
      </c>
      <c r="BL604">
        <v>3</v>
      </c>
      <c r="BM604">
        <v>0</v>
      </c>
      <c r="BN604">
        <v>3</v>
      </c>
      <c r="BO604">
        <v>0</v>
      </c>
      <c r="BP604">
        <v>1</v>
      </c>
      <c r="BQ604">
        <v>0</v>
      </c>
      <c r="BR604">
        <v>0</v>
      </c>
      <c r="BS604">
        <v>4</v>
      </c>
      <c r="BT604">
        <v>0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1</v>
      </c>
      <c r="CB604">
        <v>0</v>
      </c>
      <c r="CC604">
        <v>1</v>
      </c>
      <c r="CD604">
        <v>4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2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1</v>
      </c>
      <c r="CS604">
        <v>0</v>
      </c>
      <c r="CT604">
        <v>0</v>
      </c>
      <c r="CU604">
        <v>0</v>
      </c>
      <c r="CV604">
        <v>1</v>
      </c>
      <c r="CW604">
        <v>2</v>
      </c>
      <c r="CX604">
        <v>0</v>
      </c>
      <c r="CY604">
        <v>2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1</v>
      </c>
      <c r="DP604">
        <v>1</v>
      </c>
      <c r="DQ604">
        <v>0</v>
      </c>
      <c r="DR604">
        <v>1</v>
      </c>
      <c r="DS604">
        <v>1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1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1</v>
      </c>
      <c r="ER604">
        <v>1</v>
      </c>
      <c r="ES604">
        <v>0</v>
      </c>
      <c r="ET604">
        <v>0</v>
      </c>
      <c r="EU604">
        <v>0</v>
      </c>
      <c r="EV604">
        <v>0</v>
      </c>
      <c r="EW604">
        <v>1</v>
      </c>
      <c r="EX604">
        <v>0</v>
      </c>
      <c r="EY604">
        <v>0</v>
      </c>
      <c r="EZ604">
        <v>0</v>
      </c>
      <c r="FA604">
        <v>2</v>
      </c>
      <c r="FB604">
        <v>3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1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1</v>
      </c>
    </row>
    <row r="605" spans="1:201" x14ac:dyDescent="0.3">
      <c r="A605" t="s">
        <v>380</v>
      </c>
      <c r="B605" t="s">
        <v>382</v>
      </c>
      <c r="C605" t="s">
        <v>200</v>
      </c>
      <c r="D605" s="1">
        <v>18425</v>
      </c>
      <c r="E605" s="1">
        <v>2762</v>
      </c>
      <c r="F605" s="1">
        <v>1117</v>
      </c>
      <c r="G605" s="1">
        <v>6435</v>
      </c>
      <c r="H605" s="1">
        <v>1219</v>
      </c>
      <c r="I605">
        <v>95</v>
      </c>
      <c r="J605">
        <v>407</v>
      </c>
      <c r="K605" s="1">
        <v>2573</v>
      </c>
      <c r="L605">
        <v>220</v>
      </c>
      <c r="M605">
        <v>622</v>
      </c>
      <c r="N605">
        <v>165</v>
      </c>
      <c r="O605">
        <v>231</v>
      </c>
      <c r="P605">
        <v>248</v>
      </c>
      <c r="Q605">
        <v>396</v>
      </c>
      <c r="R605">
        <v>75</v>
      </c>
      <c r="S605">
        <v>229</v>
      </c>
      <c r="T605">
        <v>64</v>
      </c>
      <c r="U605">
        <v>16</v>
      </c>
      <c r="V605">
        <v>126</v>
      </c>
      <c r="W605">
        <v>274</v>
      </c>
      <c r="X605">
        <v>347</v>
      </c>
      <c r="Y605">
        <v>54</v>
      </c>
      <c r="Z605">
        <v>16</v>
      </c>
      <c r="AA605">
        <v>13</v>
      </c>
      <c r="AB605">
        <v>49</v>
      </c>
      <c r="AC605">
        <v>53</v>
      </c>
      <c r="AD605">
        <v>59</v>
      </c>
      <c r="AE605">
        <v>96</v>
      </c>
      <c r="AF605">
        <v>60</v>
      </c>
      <c r="AG605">
        <v>12</v>
      </c>
      <c r="AH605">
        <v>13</v>
      </c>
      <c r="AI605">
        <v>7</v>
      </c>
      <c r="AJ605">
        <v>7</v>
      </c>
      <c r="AK605">
        <v>4</v>
      </c>
      <c r="AL605">
        <v>31</v>
      </c>
      <c r="AM605">
        <v>62</v>
      </c>
      <c r="AN605">
        <v>13</v>
      </c>
      <c r="AO605">
        <v>9</v>
      </c>
      <c r="AP605">
        <v>3</v>
      </c>
      <c r="AQ605">
        <v>7</v>
      </c>
      <c r="AR605">
        <v>2</v>
      </c>
      <c r="AS605">
        <v>8</v>
      </c>
      <c r="AT605">
        <v>7</v>
      </c>
      <c r="AU605">
        <v>8</v>
      </c>
      <c r="AV605">
        <v>1</v>
      </c>
      <c r="AW605">
        <v>7</v>
      </c>
      <c r="AX605">
        <v>27</v>
      </c>
      <c r="AY605">
        <v>3</v>
      </c>
      <c r="AZ605">
        <v>0</v>
      </c>
      <c r="BA605">
        <v>10</v>
      </c>
      <c r="BB605">
        <v>0</v>
      </c>
      <c r="BC605">
        <v>1</v>
      </c>
      <c r="BD605">
        <v>1</v>
      </c>
      <c r="BE605">
        <v>0</v>
      </c>
      <c r="BF605">
        <v>0</v>
      </c>
      <c r="BG605">
        <v>13</v>
      </c>
      <c r="BH605">
        <v>3</v>
      </c>
      <c r="BI605">
        <v>2</v>
      </c>
      <c r="BJ605">
        <v>4</v>
      </c>
      <c r="BK605">
        <v>10</v>
      </c>
      <c r="BL605">
        <v>3</v>
      </c>
      <c r="BM605">
        <v>9</v>
      </c>
      <c r="BN605">
        <v>4</v>
      </c>
      <c r="BO605">
        <v>1</v>
      </c>
      <c r="BP605">
        <v>6</v>
      </c>
      <c r="BQ605">
        <v>3</v>
      </c>
      <c r="BR605">
        <v>1</v>
      </c>
      <c r="BS605">
        <v>8</v>
      </c>
      <c r="BT605">
        <v>0</v>
      </c>
      <c r="BU605">
        <v>1</v>
      </c>
      <c r="BV605">
        <v>2</v>
      </c>
      <c r="BW605">
        <v>2</v>
      </c>
      <c r="BX605">
        <v>2</v>
      </c>
      <c r="BY605">
        <v>0</v>
      </c>
      <c r="BZ605">
        <v>2</v>
      </c>
      <c r="CA605">
        <v>4</v>
      </c>
      <c r="CB605">
        <v>7</v>
      </c>
      <c r="CC605">
        <v>1</v>
      </c>
      <c r="CD605">
        <v>4</v>
      </c>
      <c r="CE605">
        <v>1</v>
      </c>
      <c r="CF605">
        <v>1</v>
      </c>
      <c r="CG605">
        <v>3</v>
      </c>
      <c r="CH605">
        <v>0</v>
      </c>
      <c r="CI605">
        <v>1</v>
      </c>
      <c r="CJ605">
        <v>0</v>
      </c>
      <c r="CK605">
        <v>3</v>
      </c>
      <c r="CL605">
        <v>0</v>
      </c>
      <c r="CM605">
        <v>0</v>
      </c>
      <c r="CN605">
        <v>0</v>
      </c>
      <c r="CO605">
        <v>0</v>
      </c>
      <c r="CP605">
        <v>1</v>
      </c>
      <c r="CQ605">
        <v>0</v>
      </c>
      <c r="CR605">
        <v>0</v>
      </c>
      <c r="CS605">
        <v>1</v>
      </c>
      <c r="CT605">
        <v>2</v>
      </c>
      <c r="CU605">
        <v>1</v>
      </c>
      <c r="CV605">
        <v>1</v>
      </c>
      <c r="CW605">
        <v>0</v>
      </c>
      <c r="CX605">
        <v>0</v>
      </c>
      <c r="CY605">
        <v>21</v>
      </c>
      <c r="CZ605">
        <v>1</v>
      </c>
      <c r="DA605">
        <v>12</v>
      </c>
      <c r="DB605">
        <v>0</v>
      </c>
      <c r="DC605">
        <v>0</v>
      </c>
      <c r="DD605">
        <v>0</v>
      </c>
      <c r="DE605">
        <v>1</v>
      </c>
      <c r="DF605">
        <v>0</v>
      </c>
      <c r="DG605">
        <v>0</v>
      </c>
      <c r="DH605">
        <v>1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1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1</v>
      </c>
      <c r="EB605">
        <v>2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2</v>
      </c>
      <c r="EY605">
        <v>7</v>
      </c>
      <c r="EZ605">
        <v>1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2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1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1</v>
      </c>
    </row>
    <row r="606" spans="1:201" x14ac:dyDescent="0.3">
      <c r="A606" t="s">
        <v>380</v>
      </c>
      <c r="B606" t="s">
        <v>382</v>
      </c>
      <c r="C606" t="s">
        <v>203</v>
      </c>
      <c r="D606" s="1">
        <v>10460</v>
      </c>
      <c r="E606" s="1">
        <v>1489</v>
      </c>
      <c r="F606">
        <v>594</v>
      </c>
      <c r="G606" s="1">
        <v>2442</v>
      </c>
      <c r="H606">
        <v>910</v>
      </c>
      <c r="I606">
        <v>56</v>
      </c>
      <c r="J606">
        <v>289</v>
      </c>
      <c r="K606" s="1">
        <v>2430</v>
      </c>
      <c r="L606">
        <v>198</v>
      </c>
      <c r="M606">
        <v>286</v>
      </c>
      <c r="N606">
        <v>116</v>
      </c>
      <c r="O606">
        <v>134</v>
      </c>
      <c r="P606">
        <v>127</v>
      </c>
      <c r="Q606">
        <v>347</v>
      </c>
      <c r="R606">
        <v>69</v>
      </c>
      <c r="S606">
        <v>60</v>
      </c>
      <c r="T606">
        <v>8</v>
      </c>
      <c r="U606">
        <v>5</v>
      </c>
      <c r="V606">
        <v>86</v>
      </c>
      <c r="W606">
        <v>129</v>
      </c>
      <c r="X606">
        <v>239</v>
      </c>
      <c r="Y606">
        <v>21</v>
      </c>
      <c r="Z606">
        <v>12</v>
      </c>
      <c r="AA606">
        <v>11</v>
      </c>
      <c r="AB606">
        <v>19</v>
      </c>
      <c r="AC606">
        <v>39</v>
      </c>
      <c r="AD606">
        <v>12</v>
      </c>
      <c r="AE606">
        <v>94</v>
      </c>
      <c r="AF606">
        <v>43</v>
      </c>
      <c r="AG606">
        <v>4</v>
      </c>
      <c r="AH606">
        <v>9</v>
      </c>
      <c r="AI606">
        <v>4</v>
      </c>
      <c r="AJ606">
        <v>2</v>
      </c>
      <c r="AK606">
        <v>3</v>
      </c>
      <c r="AL606">
        <v>11</v>
      </c>
      <c r="AM606">
        <v>23</v>
      </c>
      <c r="AN606">
        <v>9</v>
      </c>
      <c r="AO606">
        <v>6</v>
      </c>
      <c r="AP606">
        <v>3</v>
      </c>
      <c r="AQ606">
        <v>0</v>
      </c>
      <c r="AR606">
        <v>2</v>
      </c>
      <c r="AS606">
        <v>1</v>
      </c>
      <c r="AT606">
        <v>3</v>
      </c>
      <c r="AU606">
        <v>4</v>
      </c>
      <c r="AV606">
        <v>0</v>
      </c>
      <c r="AW606">
        <v>4</v>
      </c>
      <c r="AX606">
        <v>15</v>
      </c>
      <c r="AY606">
        <v>2</v>
      </c>
      <c r="AZ606">
        <v>0</v>
      </c>
      <c r="BA606">
        <v>4</v>
      </c>
      <c r="BB606">
        <v>0</v>
      </c>
      <c r="BC606">
        <v>1</v>
      </c>
      <c r="BD606">
        <v>1</v>
      </c>
      <c r="BE606">
        <v>0</v>
      </c>
      <c r="BF606">
        <v>0</v>
      </c>
      <c r="BG606">
        <v>7</v>
      </c>
      <c r="BH606">
        <v>0</v>
      </c>
      <c r="BI606">
        <v>0</v>
      </c>
      <c r="BJ606">
        <v>0</v>
      </c>
      <c r="BK606">
        <v>6</v>
      </c>
      <c r="BL606">
        <v>2</v>
      </c>
      <c r="BM606">
        <v>8</v>
      </c>
      <c r="BN606">
        <v>2</v>
      </c>
      <c r="BO606">
        <v>1</v>
      </c>
      <c r="BP606">
        <v>6</v>
      </c>
      <c r="BQ606">
        <v>2</v>
      </c>
      <c r="BR606">
        <v>0</v>
      </c>
      <c r="BS606">
        <v>5</v>
      </c>
      <c r="BT606">
        <v>0</v>
      </c>
      <c r="BU606">
        <v>0</v>
      </c>
      <c r="BV606">
        <v>0</v>
      </c>
      <c r="BW606">
        <v>1</v>
      </c>
      <c r="BX606">
        <v>0</v>
      </c>
      <c r="BY606">
        <v>0</v>
      </c>
      <c r="BZ606">
        <v>2</v>
      </c>
      <c r="CA606">
        <v>3</v>
      </c>
      <c r="CB606">
        <v>3</v>
      </c>
      <c r="CC606">
        <v>0</v>
      </c>
      <c r="CD606">
        <v>1</v>
      </c>
      <c r="CE606">
        <v>0</v>
      </c>
      <c r="CF606">
        <v>1</v>
      </c>
      <c r="CG606">
        <v>0</v>
      </c>
      <c r="CH606">
        <v>0</v>
      </c>
      <c r="CI606">
        <v>1</v>
      </c>
      <c r="CJ606">
        <v>0</v>
      </c>
      <c r="CK606">
        <v>1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1</v>
      </c>
      <c r="CT606">
        <v>1</v>
      </c>
      <c r="CU606">
        <v>0</v>
      </c>
      <c r="CV606">
        <v>1</v>
      </c>
      <c r="CW606">
        <v>0</v>
      </c>
      <c r="CX606">
        <v>0</v>
      </c>
      <c r="CY606">
        <v>13</v>
      </c>
      <c r="CZ606">
        <v>0</v>
      </c>
      <c r="DA606">
        <v>6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1</v>
      </c>
      <c r="EY606">
        <v>7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2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</row>
    <row r="607" spans="1:201" x14ac:dyDescent="0.3">
      <c r="A607" t="s">
        <v>380</v>
      </c>
      <c r="B607" t="s">
        <v>382</v>
      </c>
      <c r="C607" t="s">
        <v>204</v>
      </c>
      <c r="D607" s="1">
        <v>7965</v>
      </c>
      <c r="E607" s="1">
        <v>1273</v>
      </c>
      <c r="F607">
        <v>523</v>
      </c>
      <c r="G607" s="1">
        <v>3993</v>
      </c>
      <c r="H607">
        <v>309</v>
      </c>
      <c r="I607">
        <v>39</v>
      </c>
      <c r="J607">
        <v>118</v>
      </c>
      <c r="K607">
        <v>143</v>
      </c>
      <c r="L607">
        <v>22</v>
      </c>
      <c r="M607">
        <v>336</v>
      </c>
      <c r="N607">
        <v>49</v>
      </c>
      <c r="O607">
        <v>97</v>
      </c>
      <c r="P607">
        <v>121</v>
      </c>
      <c r="Q607">
        <v>49</v>
      </c>
      <c r="R607">
        <v>6</v>
      </c>
      <c r="S607">
        <v>169</v>
      </c>
      <c r="T607">
        <v>56</v>
      </c>
      <c r="U607">
        <v>11</v>
      </c>
      <c r="V607">
        <v>40</v>
      </c>
      <c r="W607">
        <v>145</v>
      </c>
      <c r="X607">
        <v>108</v>
      </c>
      <c r="Y607">
        <v>33</v>
      </c>
      <c r="Z607">
        <v>4</v>
      </c>
      <c r="AA607">
        <v>2</v>
      </c>
      <c r="AB607">
        <v>30</v>
      </c>
      <c r="AC607">
        <v>14</v>
      </c>
      <c r="AD607">
        <v>47</v>
      </c>
      <c r="AE607">
        <v>2</v>
      </c>
      <c r="AF607">
        <v>17</v>
      </c>
      <c r="AG607">
        <v>8</v>
      </c>
      <c r="AH607">
        <v>4</v>
      </c>
      <c r="AI607">
        <v>3</v>
      </c>
      <c r="AJ607">
        <v>5</v>
      </c>
      <c r="AK607">
        <v>1</v>
      </c>
      <c r="AL607">
        <v>20</v>
      </c>
      <c r="AM607">
        <v>39</v>
      </c>
      <c r="AN607">
        <v>4</v>
      </c>
      <c r="AO607">
        <v>3</v>
      </c>
      <c r="AP607">
        <v>0</v>
      </c>
      <c r="AQ607">
        <v>7</v>
      </c>
      <c r="AR607">
        <v>0</v>
      </c>
      <c r="AS607">
        <v>7</v>
      </c>
      <c r="AT607">
        <v>4</v>
      </c>
      <c r="AU607">
        <v>4</v>
      </c>
      <c r="AV607">
        <v>1</v>
      </c>
      <c r="AW607">
        <v>3</v>
      </c>
      <c r="AX607">
        <v>12</v>
      </c>
      <c r="AY607">
        <v>1</v>
      </c>
      <c r="AZ607">
        <v>0</v>
      </c>
      <c r="BA607">
        <v>6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6</v>
      </c>
      <c r="BH607">
        <v>3</v>
      </c>
      <c r="BI607">
        <v>2</v>
      </c>
      <c r="BJ607">
        <v>4</v>
      </c>
      <c r="BK607">
        <v>4</v>
      </c>
      <c r="BL607">
        <v>1</v>
      </c>
      <c r="BM607">
        <v>1</v>
      </c>
      <c r="BN607">
        <v>2</v>
      </c>
      <c r="BO607">
        <v>0</v>
      </c>
      <c r="BP607">
        <v>0</v>
      </c>
      <c r="BQ607">
        <v>1</v>
      </c>
      <c r="BR607">
        <v>1</v>
      </c>
      <c r="BS607">
        <v>3</v>
      </c>
      <c r="BT607">
        <v>0</v>
      </c>
      <c r="BU607">
        <v>1</v>
      </c>
      <c r="BV607">
        <v>2</v>
      </c>
      <c r="BW607">
        <v>1</v>
      </c>
      <c r="BX607">
        <v>2</v>
      </c>
      <c r="BY607">
        <v>0</v>
      </c>
      <c r="BZ607">
        <v>0</v>
      </c>
      <c r="CA607">
        <v>1</v>
      </c>
      <c r="CB607">
        <v>4</v>
      </c>
      <c r="CC607">
        <v>1</v>
      </c>
      <c r="CD607">
        <v>3</v>
      </c>
      <c r="CE607">
        <v>1</v>
      </c>
      <c r="CF607">
        <v>0</v>
      </c>
      <c r="CG607">
        <v>3</v>
      </c>
      <c r="CH607">
        <v>0</v>
      </c>
      <c r="CI607">
        <v>0</v>
      </c>
      <c r="CJ607">
        <v>0</v>
      </c>
      <c r="CK607">
        <v>2</v>
      </c>
      <c r="CL607">
        <v>0</v>
      </c>
      <c r="CM607">
        <v>0</v>
      </c>
      <c r="CN607">
        <v>0</v>
      </c>
      <c r="CO607">
        <v>0</v>
      </c>
      <c r="CP607">
        <v>1</v>
      </c>
      <c r="CQ607">
        <v>0</v>
      </c>
      <c r="CR607">
        <v>0</v>
      </c>
      <c r="CS607">
        <v>0</v>
      </c>
      <c r="CT607">
        <v>1</v>
      </c>
      <c r="CU607">
        <v>1</v>
      </c>
      <c r="CV607">
        <v>0</v>
      </c>
      <c r="CW607">
        <v>0</v>
      </c>
      <c r="CX607">
        <v>0</v>
      </c>
      <c r="CY607">
        <v>8</v>
      </c>
      <c r="CZ607">
        <v>1</v>
      </c>
      <c r="DA607">
        <v>6</v>
      </c>
      <c r="DB607">
        <v>0</v>
      </c>
      <c r="DC607">
        <v>0</v>
      </c>
      <c r="DD607">
        <v>0</v>
      </c>
      <c r="DE607">
        <v>1</v>
      </c>
      <c r="DF607">
        <v>0</v>
      </c>
      <c r="DG607">
        <v>0</v>
      </c>
      <c r="DH607">
        <v>1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1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1</v>
      </c>
      <c r="EB607">
        <v>2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1</v>
      </c>
      <c r="EY607">
        <v>0</v>
      </c>
      <c r="EZ607">
        <v>1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1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1</v>
      </c>
    </row>
    <row r="608" spans="1:201" x14ac:dyDescent="0.3">
      <c r="A608" t="s">
        <v>383</v>
      </c>
      <c r="B608" t="s">
        <v>200</v>
      </c>
      <c r="C608" t="s">
        <v>200</v>
      </c>
      <c r="D608" s="1">
        <v>106749</v>
      </c>
      <c r="E608" s="1">
        <v>24390</v>
      </c>
      <c r="F608" s="1">
        <v>11327</v>
      </c>
      <c r="G608" s="1">
        <v>8337</v>
      </c>
      <c r="H608" s="1">
        <v>10171</v>
      </c>
      <c r="I608" s="1">
        <v>6251</v>
      </c>
      <c r="J608" s="1">
        <v>7637</v>
      </c>
      <c r="K608" s="1">
        <v>4175</v>
      </c>
      <c r="L608" s="1">
        <v>5457</v>
      </c>
      <c r="M608" s="1">
        <v>3158</v>
      </c>
      <c r="N608" s="1">
        <v>4196</v>
      </c>
      <c r="O608" s="1">
        <v>2738</v>
      </c>
      <c r="P608" s="1">
        <v>1928</v>
      </c>
      <c r="Q608" s="1">
        <v>2425</v>
      </c>
      <c r="R608" s="1">
        <v>1596</v>
      </c>
      <c r="S608" s="1">
        <v>1151</v>
      </c>
      <c r="T608" s="1">
        <v>1589</v>
      </c>
      <c r="U608" s="1">
        <v>3077</v>
      </c>
      <c r="V608">
        <v>571</v>
      </c>
      <c r="W608">
        <v>419</v>
      </c>
      <c r="X608">
        <v>802</v>
      </c>
      <c r="Y608" s="1">
        <v>1042</v>
      </c>
      <c r="Z608">
        <v>955</v>
      </c>
      <c r="AA608">
        <v>37</v>
      </c>
      <c r="AB608">
        <v>295</v>
      </c>
      <c r="AC608">
        <v>89</v>
      </c>
      <c r="AD608">
        <v>237</v>
      </c>
      <c r="AE608">
        <v>440</v>
      </c>
      <c r="AF608">
        <v>94</v>
      </c>
      <c r="AG608">
        <v>129</v>
      </c>
      <c r="AH608">
        <v>23</v>
      </c>
      <c r="AI608">
        <v>77</v>
      </c>
      <c r="AJ608">
        <v>425</v>
      </c>
      <c r="AK608">
        <v>49</v>
      </c>
      <c r="AL608">
        <v>165</v>
      </c>
      <c r="AM608">
        <v>15</v>
      </c>
      <c r="AN608">
        <v>40</v>
      </c>
      <c r="AO608">
        <v>86</v>
      </c>
      <c r="AP608">
        <v>81</v>
      </c>
      <c r="AQ608">
        <v>85</v>
      </c>
      <c r="AR608">
        <v>64</v>
      </c>
      <c r="AS608">
        <v>44</v>
      </c>
      <c r="AT608">
        <v>14</v>
      </c>
      <c r="AU608">
        <v>32</v>
      </c>
      <c r="AV608">
        <v>41</v>
      </c>
      <c r="AW608">
        <v>5</v>
      </c>
      <c r="AX608">
        <v>36</v>
      </c>
      <c r="AY608">
        <v>29</v>
      </c>
      <c r="AZ608">
        <v>33</v>
      </c>
      <c r="BA608">
        <v>10</v>
      </c>
      <c r="BB608">
        <v>2</v>
      </c>
      <c r="BC608">
        <v>2</v>
      </c>
      <c r="BD608">
        <v>6</v>
      </c>
      <c r="BE608">
        <v>12</v>
      </c>
      <c r="BF608">
        <v>17</v>
      </c>
      <c r="BG608">
        <v>10</v>
      </c>
      <c r="BH608">
        <v>16</v>
      </c>
      <c r="BI608">
        <v>11</v>
      </c>
      <c r="BJ608">
        <v>82</v>
      </c>
      <c r="BK608">
        <v>0</v>
      </c>
      <c r="BL608">
        <v>89</v>
      </c>
      <c r="BM608">
        <v>22</v>
      </c>
      <c r="BN608">
        <v>16</v>
      </c>
      <c r="BO608">
        <v>1</v>
      </c>
      <c r="BP608">
        <v>24</v>
      </c>
      <c r="BQ608">
        <v>19</v>
      </c>
      <c r="BR608">
        <v>7</v>
      </c>
      <c r="BS608">
        <v>7</v>
      </c>
      <c r="BT608">
        <v>22</v>
      </c>
      <c r="BU608">
        <v>10</v>
      </c>
      <c r="BV608">
        <v>15</v>
      </c>
      <c r="BW608">
        <v>2</v>
      </c>
      <c r="BX608">
        <v>12</v>
      </c>
      <c r="BY608">
        <v>16</v>
      </c>
      <c r="BZ608">
        <v>1</v>
      </c>
      <c r="CA608">
        <v>2</v>
      </c>
      <c r="CB608">
        <v>4</v>
      </c>
      <c r="CC608">
        <v>4</v>
      </c>
      <c r="CD608">
        <v>11</v>
      </c>
      <c r="CE608">
        <v>6</v>
      </c>
      <c r="CF608">
        <v>2</v>
      </c>
      <c r="CG608">
        <v>1</v>
      </c>
      <c r="CH608">
        <v>11</v>
      </c>
      <c r="CI608">
        <v>17</v>
      </c>
      <c r="CJ608">
        <v>4</v>
      </c>
      <c r="CK608">
        <v>3</v>
      </c>
      <c r="CL608">
        <v>1</v>
      </c>
      <c r="CM608">
        <v>3</v>
      </c>
      <c r="CN608">
        <v>0</v>
      </c>
      <c r="CO608">
        <v>6</v>
      </c>
      <c r="CP608">
        <v>4</v>
      </c>
      <c r="CQ608">
        <v>1</v>
      </c>
      <c r="CR608">
        <v>22</v>
      </c>
      <c r="CS608">
        <v>4</v>
      </c>
      <c r="CT608">
        <v>7</v>
      </c>
      <c r="CU608">
        <v>0</v>
      </c>
      <c r="CV608">
        <v>4</v>
      </c>
      <c r="CW608">
        <v>1</v>
      </c>
      <c r="CX608">
        <v>10</v>
      </c>
      <c r="CY608">
        <v>1</v>
      </c>
      <c r="CZ608">
        <v>1</v>
      </c>
      <c r="DA608">
        <v>11</v>
      </c>
      <c r="DB608">
        <v>5</v>
      </c>
      <c r="DC608">
        <v>4</v>
      </c>
      <c r="DD608">
        <v>13</v>
      </c>
      <c r="DE608">
        <v>3</v>
      </c>
      <c r="DF608">
        <v>3</v>
      </c>
      <c r="DG608">
        <v>2</v>
      </c>
      <c r="DH608">
        <v>1</v>
      </c>
      <c r="DI608">
        <v>7</v>
      </c>
      <c r="DJ608">
        <v>0</v>
      </c>
      <c r="DK608">
        <v>3</v>
      </c>
      <c r="DL608">
        <v>0</v>
      </c>
      <c r="DM608">
        <v>7</v>
      </c>
      <c r="DN608">
        <v>3</v>
      </c>
      <c r="DO608">
        <v>2</v>
      </c>
      <c r="DP608">
        <v>0</v>
      </c>
      <c r="DQ608">
        <v>2</v>
      </c>
      <c r="DR608">
        <v>2</v>
      </c>
      <c r="DS608">
        <v>2</v>
      </c>
      <c r="DT608">
        <v>4</v>
      </c>
      <c r="DU608">
        <v>1</v>
      </c>
      <c r="DV608">
        <v>1</v>
      </c>
      <c r="DW608">
        <v>0</v>
      </c>
      <c r="DX608">
        <v>5</v>
      </c>
      <c r="DY608">
        <v>3</v>
      </c>
      <c r="DZ608">
        <v>1</v>
      </c>
      <c r="EA608">
        <v>0</v>
      </c>
      <c r="EB608">
        <v>3</v>
      </c>
      <c r="EC608">
        <v>0</v>
      </c>
      <c r="ED608">
        <v>0</v>
      </c>
      <c r="EE608">
        <v>0</v>
      </c>
      <c r="EF608">
        <v>1</v>
      </c>
      <c r="EG608">
        <v>1</v>
      </c>
      <c r="EH608">
        <v>3</v>
      </c>
      <c r="EI608">
        <v>4</v>
      </c>
      <c r="EJ608">
        <v>2</v>
      </c>
      <c r="EK608">
        <v>1</v>
      </c>
      <c r="EL608">
        <v>0</v>
      </c>
      <c r="EM608">
        <v>2</v>
      </c>
      <c r="EN608">
        <v>1</v>
      </c>
      <c r="EO608">
        <v>0</v>
      </c>
      <c r="EP608">
        <v>0</v>
      </c>
      <c r="EQ608">
        <v>1</v>
      </c>
      <c r="ER608">
        <v>1</v>
      </c>
      <c r="ES608">
        <v>0</v>
      </c>
      <c r="ET608">
        <v>2</v>
      </c>
      <c r="EU608">
        <v>5</v>
      </c>
      <c r="EV608">
        <v>0</v>
      </c>
      <c r="EW608">
        <v>0</v>
      </c>
      <c r="EX608">
        <v>3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1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2</v>
      </c>
      <c r="FY608">
        <v>0</v>
      </c>
      <c r="FZ608">
        <v>0</v>
      </c>
      <c r="GA608">
        <v>0</v>
      </c>
      <c r="GB608">
        <v>2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11</v>
      </c>
    </row>
    <row r="609" spans="1:201" x14ac:dyDescent="0.3">
      <c r="A609" t="s">
        <v>383</v>
      </c>
      <c r="B609" t="s">
        <v>200</v>
      </c>
      <c r="C609" t="s">
        <v>203</v>
      </c>
      <c r="D609" s="1">
        <f>D612+D615+D618+D621+D624+D627+D630+D633+D636+D639+D642+D645+D648+D651+D654+D657</f>
        <v>66477</v>
      </c>
      <c r="E609" s="1">
        <f t="shared" ref="E609:BP609" si="104">E612+E615+E618+E621+E624+E627+E630+E633+E636+E639+E642+E645+E648+E651+E654+E657</f>
        <v>13406</v>
      </c>
      <c r="F609" s="1">
        <f t="shared" si="104"/>
        <v>6662</v>
      </c>
      <c r="G609" s="1">
        <f t="shared" si="104"/>
        <v>3266</v>
      </c>
      <c r="H609" s="1">
        <f t="shared" si="104"/>
        <v>8129</v>
      </c>
      <c r="I609" s="1">
        <f t="shared" si="104"/>
        <v>4397</v>
      </c>
      <c r="J609" s="1">
        <f t="shared" si="104"/>
        <v>4869</v>
      </c>
      <c r="K609" s="1">
        <f t="shared" si="104"/>
        <v>3709</v>
      </c>
      <c r="L609" s="1">
        <f t="shared" si="104"/>
        <v>4638</v>
      </c>
      <c r="M609" s="1">
        <f t="shared" si="104"/>
        <v>1816</v>
      </c>
      <c r="N609" s="1">
        <f t="shared" si="104"/>
        <v>2672</v>
      </c>
      <c r="O609" s="1">
        <f t="shared" si="104"/>
        <v>1331</v>
      </c>
      <c r="P609" s="1">
        <f t="shared" si="104"/>
        <v>1014</v>
      </c>
      <c r="Q609" s="1">
        <f t="shared" si="104"/>
        <v>2046</v>
      </c>
      <c r="R609" s="1">
        <f t="shared" si="104"/>
        <v>1344</v>
      </c>
      <c r="S609" s="1">
        <f t="shared" si="104"/>
        <v>230</v>
      </c>
      <c r="T609" s="1">
        <f t="shared" si="104"/>
        <v>803</v>
      </c>
      <c r="U609" s="1">
        <f t="shared" si="104"/>
        <v>1611</v>
      </c>
      <c r="V609" s="1">
        <f t="shared" si="104"/>
        <v>476</v>
      </c>
      <c r="W609" s="1">
        <f t="shared" si="104"/>
        <v>205</v>
      </c>
      <c r="X609" s="1">
        <f t="shared" si="104"/>
        <v>640</v>
      </c>
      <c r="Y609" s="1">
        <f t="shared" si="104"/>
        <v>554</v>
      </c>
      <c r="Z609" s="1">
        <f t="shared" si="104"/>
        <v>599</v>
      </c>
      <c r="AA609" s="1">
        <f t="shared" si="104"/>
        <v>23</v>
      </c>
      <c r="AB609" s="1">
        <f t="shared" si="104"/>
        <v>198</v>
      </c>
      <c r="AC609" s="1">
        <f t="shared" si="104"/>
        <v>51</v>
      </c>
      <c r="AD609" s="1">
        <f t="shared" si="104"/>
        <v>45</v>
      </c>
      <c r="AE609" s="1">
        <f t="shared" si="104"/>
        <v>428</v>
      </c>
      <c r="AF609" s="1">
        <f t="shared" si="104"/>
        <v>58</v>
      </c>
      <c r="AG609" s="1">
        <f t="shared" si="104"/>
        <v>97</v>
      </c>
      <c r="AH609" s="1">
        <f t="shared" si="104"/>
        <v>15</v>
      </c>
      <c r="AI609" s="1">
        <f t="shared" si="104"/>
        <v>68</v>
      </c>
      <c r="AJ609" s="1">
        <f t="shared" si="104"/>
        <v>250</v>
      </c>
      <c r="AK609" s="1">
        <f t="shared" si="104"/>
        <v>39</v>
      </c>
      <c r="AL609" s="1">
        <f t="shared" si="104"/>
        <v>62</v>
      </c>
      <c r="AM609" s="1">
        <f t="shared" si="104"/>
        <v>3</v>
      </c>
      <c r="AN609" s="1">
        <f t="shared" si="104"/>
        <v>28</v>
      </c>
      <c r="AO609" s="1">
        <f t="shared" si="104"/>
        <v>52</v>
      </c>
      <c r="AP609" s="1">
        <f t="shared" si="104"/>
        <v>54</v>
      </c>
      <c r="AQ609" s="1">
        <f t="shared" si="104"/>
        <v>39</v>
      </c>
      <c r="AR609" s="1">
        <f t="shared" si="104"/>
        <v>44</v>
      </c>
      <c r="AS609" s="1">
        <f t="shared" si="104"/>
        <v>11</v>
      </c>
      <c r="AT609" s="1">
        <f t="shared" si="104"/>
        <v>8</v>
      </c>
      <c r="AU609" s="1">
        <f t="shared" si="104"/>
        <v>9</v>
      </c>
      <c r="AV609" s="1">
        <f t="shared" si="104"/>
        <v>32</v>
      </c>
      <c r="AW609" s="1">
        <f t="shared" si="104"/>
        <v>3</v>
      </c>
      <c r="AX609" s="1">
        <f t="shared" si="104"/>
        <v>32</v>
      </c>
      <c r="AY609" s="1">
        <f t="shared" si="104"/>
        <v>3</v>
      </c>
      <c r="AZ609" s="1">
        <f t="shared" si="104"/>
        <v>27</v>
      </c>
      <c r="BA609" s="1">
        <f t="shared" si="104"/>
        <v>5</v>
      </c>
      <c r="BB609" s="1">
        <f t="shared" si="104"/>
        <v>2</v>
      </c>
      <c r="BC609" s="1">
        <f t="shared" si="104"/>
        <v>0</v>
      </c>
      <c r="BD609" s="1">
        <f t="shared" si="104"/>
        <v>5</v>
      </c>
      <c r="BE609" s="1">
        <f t="shared" si="104"/>
        <v>10</v>
      </c>
      <c r="BF609" s="1">
        <f t="shared" si="104"/>
        <v>12</v>
      </c>
      <c r="BG609" s="1">
        <f t="shared" si="104"/>
        <v>8</v>
      </c>
      <c r="BH609" s="1">
        <f t="shared" si="104"/>
        <v>3</v>
      </c>
      <c r="BI609" s="1">
        <f t="shared" si="104"/>
        <v>6</v>
      </c>
      <c r="BJ609" s="1">
        <f t="shared" si="104"/>
        <v>46</v>
      </c>
      <c r="BK609" s="1">
        <f t="shared" si="104"/>
        <v>0</v>
      </c>
      <c r="BL609" s="1">
        <f t="shared" si="104"/>
        <v>56</v>
      </c>
      <c r="BM609" s="1">
        <f t="shared" si="104"/>
        <v>14</v>
      </c>
      <c r="BN609" s="1">
        <f t="shared" si="104"/>
        <v>3</v>
      </c>
      <c r="BO609" s="1">
        <f t="shared" si="104"/>
        <v>1</v>
      </c>
      <c r="BP609" s="1">
        <f t="shared" si="104"/>
        <v>15</v>
      </c>
      <c r="BQ609" s="1">
        <f t="shared" ref="BQ609:EB609" si="105">BQ612+BQ615+BQ618+BQ621+BQ624+BQ627+BQ630+BQ633+BQ636+BQ639+BQ642+BQ645+BQ648+BQ651+BQ654+BQ657</f>
        <v>12</v>
      </c>
      <c r="BR609" s="1">
        <f t="shared" si="105"/>
        <v>3</v>
      </c>
      <c r="BS609" s="1">
        <f t="shared" si="105"/>
        <v>5</v>
      </c>
      <c r="BT609" s="1">
        <f t="shared" si="105"/>
        <v>17</v>
      </c>
      <c r="BU609" s="1">
        <f t="shared" si="105"/>
        <v>3</v>
      </c>
      <c r="BV609" s="1">
        <f t="shared" si="105"/>
        <v>5</v>
      </c>
      <c r="BW609" s="1">
        <f t="shared" si="105"/>
        <v>0</v>
      </c>
      <c r="BX609" s="1">
        <f t="shared" si="105"/>
        <v>9</v>
      </c>
      <c r="BY609" s="1">
        <f t="shared" si="105"/>
        <v>10</v>
      </c>
      <c r="BZ609" s="1">
        <f t="shared" si="105"/>
        <v>1</v>
      </c>
      <c r="CA609" s="1">
        <f t="shared" si="105"/>
        <v>1</v>
      </c>
      <c r="CB609" s="1">
        <f t="shared" si="105"/>
        <v>3</v>
      </c>
      <c r="CC609" s="1">
        <f t="shared" si="105"/>
        <v>1</v>
      </c>
      <c r="CD609" s="1">
        <f t="shared" si="105"/>
        <v>3</v>
      </c>
      <c r="CE609" s="1">
        <f t="shared" si="105"/>
        <v>2</v>
      </c>
      <c r="CF609" s="1">
        <f t="shared" si="105"/>
        <v>1</v>
      </c>
      <c r="CG609" s="1">
        <f t="shared" si="105"/>
        <v>0</v>
      </c>
      <c r="CH609" s="1">
        <f t="shared" si="105"/>
        <v>7</v>
      </c>
      <c r="CI609" s="1">
        <f t="shared" si="105"/>
        <v>0</v>
      </c>
      <c r="CJ609" s="1">
        <f t="shared" si="105"/>
        <v>3</v>
      </c>
      <c r="CK609" s="1">
        <f t="shared" si="105"/>
        <v>1</v>
      </c>
      <c r="CL609" s="1">
        <f t="shared" si="105"/>
        <v>1</v>
      </c>
      <c r="CM609" s="1">
        <f t="shared" si="105"/>
        <v>3</v>
      </c>
      <c r="CN609" s="1">
        <f t="shared" si="105"/>
        <v>0</v>
      </c>
      <c r="CO609" s="1">
        <f t="shared" si="105"/>
        <v>5</v>
      </c>
      <c r="CP609" s="1">
        <f t="shared" si="105"/>
        <v>2</v>
      </c>
      <c r="CQ609" s="1">
        <f t="shared" si="105"/>
        <v>0</v>
      </c>
      <c r="CR609" s="1">
        <f t="shared" si="105"/>
        <v>14</v>
      </c>
      <c r="CS609" s="1">
        <f t="shared" si="105"/>
        <v>1</v>
      </c>
      <c r="CT609" s="1">
        <f t="shared" si="105"/>
        <v>3</v>
      </c>
      <c r="CU609" s="1">
        <f t="shared" si="105"/>
        <v>0</v>
      </c>
      <c r="CV609" s="1">
        <f t="shared" si="105"/>
        <v>1</v>
      </c>
      <c r="CW609" s="1">
        <f t="shared" si="105"/>
        <v>1</v>
      </c>
      <c r="CX609" s="1">
        <f t="shared" si="105"/>
        <v>6</v>
      </c>
      <c r="CY609" s="1">
        <f t="shared" si="105"/>
        <v>0</v>
      </c>
      <c r="CZ609" s="1">
        <f t="shared" si="105"/>
        <v>1</v>
      </c>
      <c r="DA609" s="1">
        <f t="shared" si="105"/>
        <v>8</v>
      </c>
      <c r="DB609" s="1">
        <f t="shared" si="105"/>
        <v>2</v>
      </c>
      <c r="DC609" s="1">
        <f t="shared" si="105"/>
        <v>4</v>
      </c>
      <c r="DD609" s="1">
        <f t="shared" si="105"/>
        <v>6</v>
      </c>
      <c r="DE609" s="1">
        <f t="shared" si="105"/>
        <v>2</v>
      </c>
      <c r="DF609" s="1">
        <f t="shared" si="105"/>
        <v>3</v>
      </c>
      <c r="DG609" s="1">
        <f t="shared" si="105"/>
        <v>1</v>
      </c>
      <c r="DH609" s="1">
        <f t="shared" si="105"/>
        <v>1</v>
      </c>
      <c r="DI609" s="1">
        <f t="shared" si="105"/>
        <v>3</v>
      </c>
      <c r="DJ609" s="1">
        <f t="shared" si="105"/>
        <v>0</v>
      </c>
      <c r="DK609" s="1">
        <f t="shared" si="105"/>
        <v>2</v>
      </c>
      <c r="DL609" s="1">
        <f t="shared" si="105"/>
        <v>0</v>
      </c>
      <c r="DM609" s="1">
        <f t="shared" si="105"/>
        <v>2</v>
      </c>
      <c r="DN609" s="1">
        <f t="shared" si="105"/>
        <v>1</v>
      </c>
      <c r="DO609" s="1">
        <f t="shared" si="105"/>
        <v>0</v>
      </c>
      <c r="DP609" s="1">
        <f t="shared" si="105"/>
        <v>0</v>
      </c>
      <c r="DQ609" s="1">
        <f t="shared" si="105"/>
        <v>0</v>
      </c>
      <c r="DR609" s="1">
        <f t="shared" si="105"/>
        <v>0</v>
      </c>
      <c r="DS609" s="1">
        <f t="shared" si="105"/>
        <v>2</v>
      </c>
      <c r="DT609" s="1">
        <f t="shared" si="105"/>
        <v>1</v>
      </c>
      <c r="DU609" s="1">
        <f t="shared" si="105"/>
        <v>0</v>
      </c>
      <c r="DV609" s="1">
        <f t="shared" si="105"/>
        <v>0</v>
      </c>
      <c r="DW609" s="1">
        <f t="shared" si="105"/>
        <v>0</v>
      </c>
      <c r="DX609" s="1">
        <f t="shared" si="105"/>
        <v>5</v>
      </c>
      <c r="DY609" s="1">
        <f t="shared" si="105"/>
        <v>1</v>
      </c>
      <c r="DZ609" s="1">
        <f t="shared" si="105"/>
        <v>1</v>
      </c>
      <c r="EA609" s="1">
        <f t="shared" si="105"/>
        <v>0</v>
      </c>
      <c r="EB609" s="1">
        <f t="shared" si="105"/>
        <v>2</v>
      </c>
      <c r="EC609" s="1">
        <f t="shared" ref="EC609:GN609" si="106">EC612+EC615+EC618+EC621+EC624+EC627+EC630+EC633+EC636+EC639+EC642+EC645+EC648+EC651+EC654+EC657</f>
        <v>0</v>
      </c>
      <c r="ED609" s="1">
        <f t="shared" si="106"/>
        <v>0</v>
      </c>
      <c r="EE609" s="1">
        <f t="shared" si="106"/>
        <v>0</v>
      </c>
      <c r="EF609" s="1">
        <f t="shared" si="106"/>
        <v>1</v>
      </c>
      <c r="EG609" s="1">
        <f t="shared" si="106"/>
        <v>0</v>
      </c>
      <c r="EH609" s="1">
        <f t="shared" si="106"/>
        <v>1</v>
      </c>
      <c r="EI609" s="1">
        <f t="shared" si="106"/>
        <v>4</v>
      </c>
      <c r="EJ609" s="1">
        <f t="shared" si="106"/>
        <v>0</v>
      </c>
      <c r="EK609" s="1">
        <f t="shared" si="106"/>
        <v>0</v>
      </c>
      <c r="EL609" s="1">
        <f t="shared" si="106"/>
        <v>0</v>
      </c>
      <c r="EM609" s="1">
        <f t="shared" si="106"/>
        <v>2</v>
      </c>
      <c r="EN609" s="1">
        <f t="shared" si="106"/>
        <v>0</v>
      </c>
      <c r="EO609" s="1">
        <f t="shared" si="106"/>
        <v>0</v>
      </c>
      <c r="EP609" s="1">
        <f t="shared" si="106"/>
        <v>0</v>
      </c>
      <c r="EQ609" s="1">
        <f t="shared" si="106"/>
        <v>0</v>
      </c>
      <c r="ER609" s="1">
        <f t="shared" si="106"/>
        <v>0</v>
      </c>
      <c r="ES609" s="1">
        <f t="shared" si="106"/>
        <v>0</v>
      </c>
      <c r="ET609" s="1">
        <f t="shared" si="106"/>
        <v>0</v>
      </c>
      <c r="EU609" s="1">
        <f t="shared" si="106"/>
        <v>5</v>
      </c>
      <c r="EV609" s="1">
        <f t="shared" si="106"/>
        <v>0</v>
      </c>
      <c r="EW609" s="1">
        <f t="shared" si="106"/>
        <v>0</v>
      </c>
      <c r="EX609" s="1">
        <f t="shared" si="106"/>
        <v>2</v>
      </c>
      <c r="EY609" s="1">
        <f t="shared" si="106"/>
        <v>0</v>
      </c>
      <c r="EZ609" s="1">
        <f t="shared" si="106"/>
        <v>0</v>
      </c>
      <c r="FA609" s="1">
        <f t="shared" si="106"/>
        <v>0</v>
      </c>
      <c r="FB609" s="1">
        <f t="shared" si="106"/>
        <v>0</v>
      </c>
      <c r="FC609" s="1">
        <f t="shared" si="106"/>
        <v>0</v>
      </c>
      <c r="FD609" s="1">
        <f t="shared" si="106"/>
        <v>0</v>
      </c>
      <c r="FE609" s="1">
        <f t="shared" si="106"/>
        <v>1</v>
      </c>
      <c r="FF609" s="1">
        <f t="shared" si="106"/>
        <v>0</v>
      </c>
      <c r="FG609" s="1">
        <f t="shared" si="106"/>
        <v>0</v>
      </c>
      <c r="FH609" s="1">
        <f t="shared" si="106"/>
        <v>0</v>
      </c>
      <c r="FI609" s="1">
        <f t="shared" si="106"/>
        <v>0</v>
      </c>
      <c r="FJ609" s="1">
        <f t="shared" si="106"/>
        <v>0</v>
      </c>
      <c r="FK609" s="1">
        <f t="shared" si="106"/>
        <v>0</v>
      </c>
      <c r="FL609" s="1">
        <f t="shared" si="106"/>
        <v>0</v>
      </c>
      <c r="FM609" s="1">
        <f t="shared" si="106"/>
        <v>0</v>
      </c>
      <c r="FN609" s="1">
        <f t="shared" si="106"/>
        <v>0</v>
      </c>
      <c r="FO609" s="1">
        <f t="shared" si="106"/>
        <v>0</v>
      </c>
      <c r="FP609" s="1">
        <f t="shared" si="106"/>
        <v>0</v>
      </c>
      <c r="FQ609" s="1">
        <f t="shared" si="106"/>
        <v>0</v>
      </c>
      <c r="FR609" s="1">
        <f t="shared" si="106"/>
        <v>0</v>
      </c>
      <c r="FS609" s="1">
        <f t="shared" si="106"/>
        <v>0</v>
      </c>
      <c r="FT609" s="1">
        <f t="shared" si="106"/>
        <v>0</v>
      </c>
      <c r="FU609" s="1">
        <f t="shared" si="106"/>
        <v>0</v>
      </c>
      <c r="FV609" s="1">
        <f t="shared" si="106"/>
        <v>0</v>
      </c>
      <c r="FW609" s="1">
        <f t="shared" si="106"/>
        <v>0</v>
      </c>
      <c r="FX609" s="1">
        <f t="shared" si="106"/>
        <v>1</v>
      </c>
      <c r="FY609" s="1">
        <f t="shared" si="106"/>
        <v>0</v>
      </c>
      <c r="FZ609" s="1">
        <f t="shared" si="106"/>
        <v>0</v>
      </c>
      <c r="GA609" s="1">
        <f t="shared" si="106"/>
        <v>0</v>
      </c>
      <c r="GB609" s="1">
        <f t="shared" si="106"/>
        <v>1</v>
      </c>
      <c r="GC609" s="1">
        <f t="shared" si="106"/>
        <v>0</v>
      </c>
      <c r="GD609" s="1">
        <f t="shared" si="106"/>
        <v>0</v>
      </c>
      <c r="GE609" s="1">
        <f t="shared" si="106"/>
        <v>0</v>
      </c>
      <c r="GF609" s="1">
        <f t="shared" si="106"/>
        <v>0</v>
      </c>
      <c r="GG609" s="1">
        <f t="shared" si="106"/>
        <v>0</v>
      </c>
      <c r="GH609" s="1">
        <f t="shared" si="106"/>
        <v>0</v>
      </c>
      <c r="GI609" s="1">
        <f t="shared" si="106"/>
        <v>0</v>
      </c>
      <c r="GJ609" s="1">
        <f t="shared" si="106"/>
        <v>0</v>
      </c>
      <c r="GK609" s="1">
        <f t="shared" si="106"/>
        <v>0</v>
      </c>
      <c r="GL609" s="1">
        <f t="shared" si="106"/>
        <v>0</v>
      </c>
      <c r="GM609" s="1">
        <f t="shared" si="106"/>
        <v>0</v>
      </c>
      <c r="GN609" s="1">
        <f t="shared" si="106"/>
        <v>0</v>
      </c>
      <c r="GO609" s="1">
        <f t="shared" ref="GO609:GS609" si="107">GO612+GO615+GO618+GO621+GO624+GO627+GO630+GO633+GO636+GO639+GO642+GO645+GO648+GO651+GO654+GO657</f>
        <v>0</v>
      </c>
      <c r="GP609" s="1">
        <f t="shared" si="107"/>
        <v>0</v>
      </c>
      <c r="GQ609" s="1">
        <f t="shared" si="107"/>
        <v>0</v>
      </c>
      <c r="GR609" s="1">
        <f t="shared" si="107"/>
        <v>0</v>
      </c>
      <c r="GS609" s="1">
        <f t="shared" si="107"/>
        <v>5</v>
      </c>
    </row>
    <row r="610" spans="1:201" x14ac:dyDescent="0.3">
      <c r="A610" t="s">
        <v>383</v>
      </c>
      <c r="B610" t="s">
        <v>200</v>
      </c>
      <c r="C610" t="s">
        <v>204</v>
      </c>
      <c r="D610" s="1">
        <f>D613+D616+D619+D622+D625+D628+D631+D634+D637+D640+D643+D646+D649+D652+D655+D658</f>
        <v>40272</v>
      </c>
      <c r="E610" s="1">
        <f t="shared" ref="E610:BP610" si="108">E613+E616+E619+E622+E625+E628+E631+E634+E637+E640+E643+E646+E649+E652+E655+E658</f>
        <v>10984</v>
      </c>
      <c r="F610" s="1">
        <f t="shared" si="108"/>
        <v>4665</v>
      </c>
      <c r="G610" s="1">
        <f t="shared" si="108"/>
        <v>5071</v>
      </c>
      <c r="H610" s="1">
        <f t="shared" si="108"/>
        <v>2042</v>
      </c>
      <c r="I610" s="1">
        <f t="shared" si="108"/>
        <v>1854</v>
      </c>
      <c r="J610" s="1">
        <f t="shared" si="108"/>
        <v>2768</v>
      </c>
      <c r="K610" s="1">
        <f t="shared" si="108"/>
        <v>466</v>
      </c>
      <c r="L610" s="1">
        <f t="shared" si="108"/>
        <v>819</v>
      </c>
      <c r="M610" s="1">
        <f t="shared" si="108"/>
        <v>1342</v>
      </c>
      <c r="N610" s="1">
        <f t="shared" si="108"/>
        <v>1524</v>
      </c>
      <c r="O610" s="1">
        <f t="shared" si="108"/>
        <v>1407</v>
      </c>
      <c r="P610" s="1">
        <f t="shared" si="108"/>
        <v>914</v>
      </c>
      <c r="Q610" s="1">
        <f t="shared" si="108"/>
        <v>379</v>
      </c>
      <c r="R610" s="1">
        <f t="shared" si="108"/>
        <v>252</v>
      </c>
      <c r="S610" s="1">
        <f t="shared" si="108"/>
        <v>921</v>
      </c>
      <c r="T610" s="1">
        <f t="shared" si="108"/>
        <v>786</v>
      </c>
      <c r="U610" s="1">
        <f t="shared" si="108"/>
        <v>1466</v>
      </c>
      <c r="V610" s="1">
        <f t="shared" si="108"/>
        <v>95</v>
      </c>
      <c r="W610" s="1">
        <f t="shared" si="108"/>
        <v>214</v>
      </c>
      <c r="X610" s="1">
        <f t="shared" si="108"/>
        <v>162</v>
      </c>
      <c r="Y610" s="1">
        <f t="shared" si="108"/>
        <v>488</v>
      </c>
      <c r="Z610" s="1">
        <f t="shared" si="108"/>
        <v>356</v>
      </c>
      <c r="AA610" s="1">
        <f t="shared" si="108"/>
        <v>14</v>
      </c>
      <c r="AB610" s="1">
        <f t="shared" si="108"/>
        <v>97</v>
      </c>
      <c r="AC610" s="1">
        <f t="shared" si="108"/>
        <v>38</v>
      </c>
      <c r="AD610" s="1">
        <f t="shared" si="108"/>
        <v>192</v>
      </c>
      <c r="AE610" s="1">
        <f t="shared" si="108"/>
        <v>12</v>
      </c>
      <c r="AF610" s="1">
        <f t="shared" si="108"/>
        <v>36</v>
      </c>
      <c r="AG610" s="1">
        <f t="shared" si="108"/>
        <v>32</v>
      </c>
      <c r="AH610" s="1">
        <f t="shared" si="108"/>
        <v>8</v>
      </c>
      <c r="AI610" s="1">
        <f t="shared" si="108"/>
        <v>9</v>
      </c>
      <c r="AJ610" s="1">
        <f t="shared" si="108"/>
        <v>175</v>
      </c>
      <c r="AK610" s="1">
        <f t="shared" si="108"/>
        <v>10</v>
      </c>
      <c r="AL610" s="1">
        <f t="shared" si="108"/>
        <v>103</v>
      </c>
      <c r="AM610" s="1">
        <f t="shared" si="108"/>
        <v>12</v>
      </c>
      <c r="AN610" s="1">
        <f t="shared" si="108"/>
        <v>12</v>
      </c>
      <c r="AO610" s="1">
        <f t="shared" si="108"/>
        <v>34</v>
      </c>
      <c r="AP610" s="1">
        <f t="shared" si="108"/>
        <v>27</v>
      </c>
      <c r="AQ610" s="1">
        <f t="shared" si="108"/>
        <v>46</v>
      </c>
      <c r="AR610" s="1">
        <f t="shared" si="108"/>
        <v>20</v>
      </c>
      <c r="AS610" s="1">
        <f t="shared" si="108"/>
        <v>33</v>
      </c>
      <c r="AT610" s="1">
        <f t="shared" si="108"/>
        <v>6</v>
      </c>
      <c r="AU610" s="1">
        <f t="shared" si="108"/>
        <v>23</v>
      </c>
      <c r="AV610" s="1">
        <f t="shared" si="108"/>
        <v>9</v>
      </c>
      <c r="AW610" s="1">
        <f t="shared" si="108"/>
        <v>2</v>
      </c>
      <c r="AX610" s="1">
        <f t="shared" si="108"/>
        <v>4</v>
      </c>
      <c r="AY610" s="1">
        <f t="shared" si="108"/>
        <v>26</v>
      </c>
      <c r="AZ610" s="1">
        <f t="shared" si="108"/>
        <v>6</v>
      </c>
      <c r="BA610" s="1">
        <f t="shared" si="108"/>
        <v>5</v>
      </c>
      <c r="BB610" s="1">
        <f t="shared" si="108"/>
        <v>0</v>
      </c>
      <c r="BC610" s="1">
        <f t="shared" si="108"/>
        <v>2</v>
      </c>
      <c r="BD610" s="1">
        <f t="shared" si="108"/>
        <v>1</v>
      </c>
      <c r="BE610" s="1">
        <f t="shared" si="108"/>
        <v>2</v>
      </c>
      <c r="BF610" s="1">
        <f t="shared" si="108"/>
        <v>5</v>
      </c>
      <c r="BG610" s="1">
        <f t="shared" si="108"/>
        <v>2</v>
      </c>
      <c r="BH610" s="1">
        <f t="shared" si="108"/>
        <v>13</v>
      </c>
      <c r="BI610" s="1">
        <f t="shared" si="108"/>
        <v>5</v>
      </c>
      <c r="BJ610" s="1">
        <f t="shared" si="108"/>
        <v>36</v>
      </c>
      <c r="BK610" s="1">
        <f t="shared" si="108"/>
        <v>0</v>
      </c>
      <c r="BL610" s="1">
        <f t="shared" si="108"/>
        <v>33</v>
      </c>
      <c r="BM610" s="1">
        <f t="shared" si="108"/>
        <v>8</v>
      </c>
      <c r="BN610" s="1">
        <f t="shared" si="108"/>
        <v>13</v>
      </c>
      <c r="BO610" s="1">
        <f t="shared" si="108"/>
        <v>0</v>
      </c>
      <c r="BP610" s="1">
        <f t="shared" si="108"/>
        <v>9</v>
      </c>
      <c r="BQ610" s="1">
        <f t="shared" ref="BQ610:EB610" si="109">BQ613+BQ616+BQ619+BQ622+BQ625+BQ628+BQ631+BQ634+BQ637+BQ640+BQ643+BQ646+BQ649+BQ652+BQ655+BQ658</f>
        <v>7</v>
      </c>
      <c r="BR610" s="1">
        <f t="shared" si="109"/>
        <v>4</v>
      </c>
      <c r="BS610" s="1">
        <f t="shared" si="109"/>
        <v>2</v>
      </c>
      <c r="BT610" s="1">
        <f t="shared" si="109"/>
        <v>5</v>
      </c>
      <c r="BU610" s="1">
        <f t="shared" si="109"/>
        <v>7</v>
      </c>
      <c r="BV610" s="1">
        <f t="shared" si="109"/>
        <v>10</v>
      </c>
      <c r="BW610" s="1">
        <f t="shared" si="109"/>
        <v>2</v>
      </c>
      <c r="BX610" s="1">
        <f t="shared" si="109"/>
        <v>3</v>
      </c>
      <c r="BY610" s="1">
        <f t="shared" si="109"/>
        <v>6</v>
      </c>
      <c r="BZ610" s="1">
        <f t="shared" si="109"/>
        <v>0</v>
      </c>
      <c r="CA610" s="1">
        <f t="shared" si="109"/>
        <v>1</v>
      </c>
      <c r="CB610" s="1">
        <f t="shared" si="109"/>
        <v>1</v>
      </c>
      <c r="CC610" s="1">
        <f t="shared" si="109"/>
        <v>3</v>
      </c>
      <c r="CD610" s="1">
        <f t="shared" si="109"/>
        <v>8</v>
      </c>
      <c r="CE610" s="1">
        <f t="shared" si="109"/>
        <v>4</v>
      </c>
      <c r="CF610" s="1">
        <f t="shared" si="109"/>
        <v>1</v>
      </c>
      <c r="CG610" s="1">
        <f t="shared" si="109"/>
        <v>1</v>
      </c>
      <c r="CH610" s="1">
        <f t="shared" si="109"/>
        <v>4</v>
      </c>
      <c r="CI610" s="1">
        <f t="shared" si="109"/>
        <v>17</v>
      </c>
      <c r="CJ610" s="1">
        <f t="shared" si="109"/>
        <v>1</v>
      </c>
      <c r="CK610" s="1">
        <f t="shared" si="109"/>
        <v>2</v>
      </c>
      <c r="CL610" s="1">
        <f t="shared" si="109"/>
        <v>0</v>
      </c>
      <c r="CM610" s="1">
        <f t="shared" si="109"/>
        <v>0</v>
      </c>
      <c r="CN610" s="1">
        <f t="shared" si="109"/>
        <v>0</v>
      </c>
      <c r="CO610" s="1">
        <f t="shared" si="109"/>
        <v>1</v>
      </c>
      <c r="CP610" s="1">
        <f t="shared" si="109"/>
        <v>2</v>
      </c>
      <c r="CQ610" s="1">
        <f t="shared" si="109"/>
        <v>1</v>
      </c>
      <c r="CR610" s="1">
        <f t="shared" si="109"/>
        <v>8</v>
      </c>
      <c r="CS610" s="1">
        <f t="shared" si="109"/>
        <v>3</v>
      </c>
      <c r="CT610" s="1">
        <f t="shared" si="109"/>
        <v>4</v>
      </c>
      <c r="CU610" s="1">
        <f t="shared" si="109"/>
        <v>0</v>
      </c>
      <c r="CV610" s="1">
        <f t="shared" si="109"/>
        <v>3</v>
      </c>
      <c r="CW610" s="1">
        <f t="shared" si="109"/>
        <v>0</v>
      </c>
      <c r="CX610" s="1">
        <f t="shared" si="109"/>
        <v>4</v>
      </c>
      <c r="CY610" s="1">
        <f t="shared" si="109"/>
        <v>1</v>
      </c>
      <c r="CZ610" s="1">
        <f t="shared" si="109"/>
        <v>0</v>
      </c>
      <c r="DA610" s="1">
        <f t="shared" si="109"/>
        <v>3</v>
      </c>
      <c r="DB610" s="1">
        <f t="shared" si="109"/>
        <v>3</v>
      </c>
      <c r="DC610" s="1">
        <f t="shared" si="109"/>
        <v>0</v>
      </c>
      <c r="DD610" s="1">
        <f t="shared" si="109"/>
        <v>7</v>
      </c>
      <c r="DE610" s="1">
        <f t="shared" si="109"/>
        <v>1</v>
      </c>
      <c r="DF610" s="1">
        <f t="shared" si="109"/>
        <v>0</v>
      </c>
      <c r="DG610" s="1">
        <f t="shared" si="109"/>
        <v>1</v>
      </c>
      <c r="DH610" s="1">
        <f t="shared" si="109"/>
        <v>0</v>
      </c>
      <c r="DI610" s="1">
        <f t="shared" si="109"/>
        <v>4</v>
      </c>
      <c r="DJ610" s="1">
        <f t="shared" si="109"/>
        <v>0</v>
      </c>
      <c r="DK610" s="1">
        <f t="shared" si="109"/>
        <v>1</v>
      </c>
      <c r="DL610" s="1">
        <f t="shared" si="109"/>
        <v>0</v>
      </c>
      <c r="DM610" s="1">
        <f t="shared" si="109"/>
        <v>5</v>
      </c>
      <c r="DN610" s="1">
        <f t="shared" si="109"/>
        <v>2</v>
      </c>
      <c r="DO610" s="1">
        <f t="shared" si="109"/>
        <v>2</v>
      </c>
      <c r="DP610" s="1">
        <f t="shared" si="109"/>
        <v>0</v>
      </c>
      <c r="DQ610" s="1">
        <f t="shared" si="109"/>
        <v>2</v>
      </c>
      <c r="DR610" s="1">
        <f t="shared" si="109"/>
        <v>2</v>
      </c>
      <c r="DS610" s="1">
        <f t="shared" si="109"/>
        <v>0</v>
      </c>
      <c r="DT610" s="1">
        <f t="shared" si="109"/>
        <v>3</v>
      </c>
      <c r="DU610" s="1">
        <f t="shared" si="109"/>
        <v>1</v>
      </c>
      <c r="DV610" s="1">
        <f t="shared" si="109"/>
        <v>1</v>
      </c>
      <c r="DW610" s="1">
        <f t="shared" si="109"/>
        <v>0</v>
      </c>
      <c r="DX610" s="1">
        <f t="shared" si="109"/>
        <v>0</v>
      </c>
      <c r="DY610" s="1">
        <f t="shared" si="109"/>
        <v>2</v>
      </c>
      <c r="DZ610" s="1">
        <f t="shared" si="109"/>
        <v>0</v>
      </c>
      <c r="EA610" s="1">
        <f t="shared" si="109"/>
        <v>0</v>
      </c>
      <c r="EB610" s="1">
        <f t="shared" si="109"/>
        <v>1</v>
      </c>
      <c r="EC610" s="1">
        <f t="shared" ref="EC610:GN610" si="110">EC613+EC616+EC619+EC622+EC625+EC628+EC631+EC634+EC637+EC640+EC643+EC646+EC649+EC652+EC655+EC658</f>
        <v>0</v>
      </c>
      <c r="ED610" s="1">
        <f t="shared" si="110"/>
        <v>0</v>
      </c>
      <c r="EE610" s="1">
        <f t="shared" si="110"/>
        <v>0</v>
      </c>
      <c r="EF610" s="1">
        <f t="shared" si="110"/>
        <v>0</v>
      </c>
      <c r="EG610" s="1">
        <f t="shared" si="110"/>
        <v>1</v>
      </c>
      <c r="EH610" s="1">
        <f t="shared" si="110"/>
        <v>2</v>
      </c>
      <c r="EI610" s="1">
        <f t="shared" si="110"/>
        <v>0</v>
      </c>
      <c r="EJ610" s="1">
        <f t="shared" si="110"/>
        <v>2</v>
      </c>
      <c r="EK610" s="1">
        <f t="shared" si="110"/>
        <v>1</v>
      </c>
      <c r="EL610" s="1">
        <f t="shared" si="110"/>
        <v>0</v>
      </c>
      <c r="EM610" s="1">
        <f t="shared" si="110"/>
        <v>0</v>
      </c>
      <c r="EN610" s="1">
        <f t="shared" si="110"/>
        <v>1</v>
      </c>
      <c r="EO610" s="1">
        <f t="shared" si="110"/>
        <v>0</v>
      </c>
      <c r="EP610" s="1">
        <f t="shared" si="110"/>
        <v>0</v>
      </c>
      <c r="EQ610" s="1">
        <f t="shared" si="110"/>
        <v>1</v>
      </c>
      <c r="ER610" s="1">
        <f t="shared" si="110"/>
        <v>1</v>
      </c>
      <c r="ES610" s="1">
        <f t="shared" si="110"/>
        <v>0</v>
      </c>
      <c r="ET610" s="1">
        <f t="shared" si="110"/>
        <v>2</v>
      </c>
      <c r="EU610" s="1">
        <f t="shared" si="110"/>
        <v>0</v>
      </c>
      <c r="EV610" s="1">
        <f t="shared" si="110"/>
        <v>0</v>
      </c>
      <c r="EW610" s="1">
        <f t="shared" si="110"/>
        <v>0</v>
      </c>
      <c r="EX610" s="1">
        <f t="shared" si="110"/>
        <v>1</v>
      </c>
      <c r="EY610" s="1">
        <f t="shared" si="110"/>
        <v>0</v>
      </c>
      <c r="EZ610" s="1">
        <f t="shared" si="110"/>
        <v>0</v>
      </c>
      <c r="FA610" s="1">
        <f t="shared" si="110"/>
        <v>0</v>
      </c>
      <c r="FB610" s="1">
        <f t="shared" si="110"/>
        <v>0</v>
      </c>
      <c r="FC610" s="1">
        <f t="shared" si="110"/>
        <v>0</v>
      </c>
      <c r="FD610" s="1">
        <f t="shared" si="110"/>
        <v>0</v>
      </c>
      <c r="FE610" s="1">
        <f t="shared" si="110"/>
        <v>0</v>
      </c>
      <c r="FF610" s="1">
        <f t="shared" si="110"/>
        <v>0</v>
      </c>
      <c r="FG610" s="1">
        <f t="shared" si="110"/>
        <v>0</v>
      </c>
      <c r="FH610" s="1">
        <f t="shared" si="110"/>
        <v>0</v>
      </c>
      <c r="FI610" s="1">
        <f t="shared" si="110"/>
        <v>0</v>
      </c>
      <c r="FJ610" s="1">
        <f t="shared" si="110"/>
        <v>0</v>
      </c>
      <c r="FK610" s="1">
        <f t="shared" si="110"/>
        <v>0</v>
      </c>
      <c r="FL610" s="1">
        <f t="shared" si="110"/>
        <v>0</v>
      </c>
      <c r="FM610" s="1">
        <f t="shared" si="110"/>
        <v>0</v>
      </c>
      <c r="FN610" s="1">
        <f t="shared" si="110"/>
        <v>0</v>
      </c>
      <c r="FO610" s="1">
        <f t="shared" si="110"/>
        <v>0</v>
      </c>
      <c r="FP610" s="1">
        <f t="shared" si="110"/>
        <v>0</v>
      </c>
      <c r="FQ610" s="1">
        <f t="shared" si="110"/>
        <v>0</v>
      </c>
      <c r="FR610" s="1">
        <f t="shared" si="110"/>
        <v>0</v>
      </c>
      <c r="FS610" s="1">
        <f t="shared" si="110"/>
        <v>0</v>
      </c>
      <c r="FT610" s="1">
        <f t="shared" si="110"/>
        <v>0</v>
      </c>
      <c r="FU610" s="1">
        <f t="shared" si="110"/>
        <v>0</v>
      </c>
      <c r="FV610" s="1">
        <f t="shared" si="110"/>
        <v>0</v>
      </c>
      <c r="FW610" s="1">
        <f t="shared" si="110"/>
        <v>0</v>
      </c>
      <c r="FX610" s="1">
        <f t="shared" si="110"/>
        <v>1</v>
      </c>
      <c r="FY610" s="1">
        <f t="shared" si="110"/>
        <v>0</v>
      </c>
      <c r="FZ610" s="1">
        <f t="shared" si="110"/>
        <v>0</v>
      </c>
      <c r="GA610" s="1">
        <f t="shared" si="110"/>
        <v>0</v>
      </c>
      <c r="GB610" s="1">
        <f t="shared" si="110"/>
        <v>1</v>
      </c>
      <c r="GC610" s="1">
        <f t="shared" si="110"/>
        <v>0</v>
      </c>
      <c r="GD610" s="1">
        <f t="shared" si="110"/>
        <v>0</v>
      </c>
      <c r="GE610" s="1">
        <f t="shared" si="110"/>
        <v>0</v>
      </c>
      <c r="GF610" s="1">
        <f t="shared" si="110"/>
        <v>0</v>
      </c>
      <c r="GG610" s="1">
        <f t="shared" si="110"/>
        <v>0</v>
      </c>
      <c r="GH610" s="1">
        <f t="shared" si="110"/>
        <v>0</v>
      </c>
      <c r="GI610" s="1">
        <f t="shared" si="110"/>
        <v>0</v>
      </c>
      <c r="GJ610" s="1">
        <f t="shared" si="110"/>
        <v>0</v>
      </c>
      <c r="GK610" s="1">
        <f t="shared" si="110"/>
        <v>0</v>
      </c>
      <c r="GL610" s="1">
        <f t="shared" si="110"/>
        <v>0</v>
      </c>
      <c r="GM610" s="1">
        <f t="shared" si="110"/>
        <v>0</v>
      </c>
      <c r="GN610" s="1">
        <f t="shared" si="110"/>
        <v>0</v>
      </c>
      <c r="GO610" s="1">
        <f t="shared" ref="GO610:GS610" si="111">GO613+GO616+GO619+GO622+GO625+GO628+GO631+GO634+GO637+GO640+GO643+GO646+GO649+GO652+GO655+GO658</f>
        <v>0</v>
      </c>
      <c r="GP610" s="1">
        <f t="shared" si="111"/>
        <v>0</v>
      </c>
      <c r="GQ610" s="1">
        <f t="shared" si="111"/>
        <v>0</v>
      </c>
      <c r="GR610" s="1">
        <f t="shared" si="111"/>
        <v>0</v>
      </c>
      <c r="GS610" s="1">
        <f t="shared" si="111"/>
        <v>6</v>
      </c>
    </row>
    <row r="611" spans="1:201" x14ac:dyDescent="0.3">
      <c r="A611" t="s">
        <v>383</v>
      </c>
      <c r="B611" t="s">
        <v>384</v>
      </c>
      <c r="C611" t="s">
        <v>200</v>
      </c>
      <c r="D611">
        <v>284</v>
      </c>
      <c r="E611">
        <v>57</v>
      </c>
      <c r="F611">
        <v>21</v>
      </c>
      <c r="G611">
        <v>40</v>
      </c>
      <c r="H611">
        <v>19</v>
      </c>
      <c r="I611">
        <v>7</v>
      </c>
      <c r="J611">
        <v>19</v>
      </c>
      <c r="K611">
        <v>2</v>
      </c>
      <c r="L611">
        <v>8</v>
      </c>
      <c r="M611">
        <v>24</v>
      </c>
      <c r="N611">
        <v>7</v>
      </c>
      <c r="O611">
        <v>1</v>
      </c>
      <c r="P611">
        <v>7</v>
      </c>
      <c r="Q611">
        <v>4</v>
      </c>
      <c r="R611">
        <v>15</v>
      </c>
      <c r="S611">
        <v>5</v>
      </c>
      <c r="T611">
        <v>7</v>
      </c>
      <c r="U611" s="1">
        <v>0</v>
      </c>
      <c r="V611">
        <v>1</v>
      </c>
      <c r="W611">
        <v>3</v>
      </c>
      <c r="X611">
        <v>4</v>
      </c>
      <c r="Y611" s="1">
        <v>0</v>
      </c>
      <c r="Z611">
        <v>2</v>
      </c>
      <c r="AA611">
        <v>4</v>
      </c>
      <c r="AB611">
        <v>1</v>
      </c>
      <c r="AC611">
        <v>1</v>
      </c>
      <c r="AD611">
        <v>5</v>
      </c>
      <c r="AE611">
        <v>0</v>
      </c>
      <c r="AF611">
        <v>3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0</v>
      </c>
      <c r="AP611">
        <v>8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4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1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</row>
    <row r="612" spans="1:201" x14ac:dyDescent="0.3">
      <c r="A612" t="s">
        <v>383</v>
      </c>
      <c r="B612" t="s">
        <v>384</v>
      </c>
      <c r="C612" t="s">
        <v>203</v>
      </c>
      <c r="D612">
        <v>143</v>
      </c>
      <c r="E612">
        <v>24</v>
      </c>
      <c r="F612">
        <v>9</v>
      </c>
      <c r="G612">
        <v>7</v>
      </c>
      <c r="H612">
        <v>19</v>
      </c>
      <c r="I612">
        <v>6</v>
      </c>
      <c r="J612">
        <v>9</v>
      </c>
      <c r="K612" s="1">
        <v>0</v>
      </c>
      <c r="L612">
        <v>8</v>
      </c>
      <c r="M612">
        <v>14</v>
      </c>
      <c r="N612">
        <v>2</v>
      </c>
      <c r="O612">
        <v>1</v>
      </c>
      <c r="P612">
        <v>5</v>
      </c>
      <c r="Q612">
        <v>4</v>
      </c>
      <c r="R612">
        <v>10</v>
      </c>
      <c r="S612" s="1">
        <v>0</v>
      </c>
      <c r="T612">
        <v>2</v>
      </c>
      <c r="U612" s="1">
        <v>0</v>
      </c>
      <c r="V612">
        <v>1</v>
      </c>
      <c r="W612">
        <v>2</v>
      </c>
      <c r="X612">
        <v>2</v>
      </c>
      <c r="Y612" s="1">
        <v>0</v>
      </c>
      <c r="Z612">
        <v>0</v>
      </c>
      <c r="AA612">
        <v>2</v>
      </c>
      <c r="AB612">
        <v>1</v>
      </c>
      <c r="AC612">
        <v>0</v>
      </c>
      <c r="AD612">
        <v>2</v>
      </c>
      <c r="AE612">
        <v>0</v>
      </c>
      <c r="AF612">
        <v>2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7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3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</row>
    <row r="613" spans="1:201" x14ac:dyDescent="0.3">
      <c r="A613" t="s">
        <v>383</v>
      </c>
      <c r="B613" t="s">
        <v>384</v>
      </c>
      <c r="C613" t="s">
        <v>204</v>
      </c>
      <c r="D613">
        <v>141</v>
      </c>
      <c r="E613">
        <v>33</v>
      </c>
      <c r="F613">
        <v>12</v>
      </c>
      <c r="G613">
        <v>33</v>
      </c>
      <c r="H613" s="1">
        <v>0</v>
      </c>
      <c r="I613">
        <v>1</v>
      </c>
      <c r="J613">
        <v>10</v>
      </c>
      <c r="K613">
        <v>2</v>
      </c>
      <c r="L613" s="1">
        <v>0</v>
      </c>
      <c r="M613">
        <v>10</v>
      </c>
      <c r="N613">
        <v>5</v>
      </c>
      <c r="O613" s="1">
        <v>0</v>
      </c>
      <c r="P613">
        <v>2</v>
      </c>
      <c r="Q613" s="1">
        <v>0</v>
      </c>
      <c r="R613">
        <v>5</v>
      </c>
      <c r="S613">
        <v>5</v>
      </c>
      <c r="T613">
        <v>5</v>
      </c>
      <c r="U613" s="1">
        <v>0</v>
      </c>
      <c r="V613">
        <v>0</v>
      </c>
      <c r="W613">
        <v>1</v>
      </c>
      <c r="X613">
        <v>2</v>
      </c>
      <c r="Y613" s="1">
        <v>0</v>
      </c>
      <c r="Z613">
        <v>2</v>
      </c>
      <c r="AA613">
        <v>2</v>
      </c>
      <c r="AB613">
        <v>0</v>
      </c>
      <c r="AC613">
        <v>1</v>
      </c>
      <c r="AD613">
        <v>3</v>
      </c>
      <c r="AE613">
        <v>0</v>
      </c>
      <c r="AF613">
        <v>1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0</v>
      </c>
      <c r="AP613">
        <v>1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1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</row>
    <row r="614" spans="1:201" x14ac:dyDescent="0.3">
      <c r="A614" t="s">
        <v>383</v>
      </c>
      <c r="B614" t="s">
        <v>385</v>
      </c>
      <c r="C614" t="s">
        <v>200</v>
      </c>
      <c r="D614" s="1">
        <v>3237</v>
      </c>
      <c r="E614" s="1">
        <v>1207</v>
      </c>
      <c r="F614">
        <v>139</v>
      </c>
      <c r="G614">
        <v>241</v>
      </c>
      <c r="H614">
        <v>416</v>
      </c>
      <c r="I614">
        <v>93</v>
      </c>
      <c r="J614">
        <v>269</v>
      </c>
      <c r="K614">
        <v>145</v>
      </c>
      <c r="L614">
        <v>157</v>
      </c>
      <c r="M614">
        <v>123</v>
      </c>
      <c r="N614">
        <v>63</v>
      </c>
      <c r="O614">
        <v>43</v>
      </c>
      <c r="P614">
        <v>27</v>
      </c>
      <c r="Q614">
        <v>84</v>
      </c>
      <c r="R614">
        <v>58</v>
      </c>
      <c r="S614">
        <v>21</v>
      </c>
      <c r="T614">
        <v>4</v>
      </c>
      <c r="U614">
        <v>8</v>
      </c>
      <c r="V614">
        <v>13</v>
      </c>
      <c r="W614">
        <v>26</v>
      </c>
      <c r="X614">
        <v>9</v>
      </c>
      <c r="Y614">
        <v>25</v>
      </c>
      <c r="Z614">
        <v>8</v>
      </c>
      <c r="AA614">
        <v>4</v>
      </c>
      <c r="AB614">
        <v>3</v>
      </c>
      <c r="AC614">
        <v>5</v>
      </c>
      <c r="AD614">
        <v>10</v>
      </c>
      <c r="AE614">
        <v>0</v>
      </c>
      <c r="AF614">
        <v>6</v>
      </c>
      <c r="AG614">
        <v>3</v>
      </c>
      <c r="AH614">
        <v>2</v>
      </c>
      <c r="AI614">
        <v>2</v>
      </c>
      <c r="AJ614">
        <v>0</v>
      </c>
      <c r="AK614">
        <v>1</v>
      </c>
      <c r="AL614">
        <v>0</v>
      </c>
      <c r="AM614">
        <v>0</v>
      </c>
      <c r="AN614">
        <v>2</v>
      </c>
      <c r="AO614">
        <v>5</v>
      </c>
      <c r="AP614">
        <v>0</v>
      </c>
      <c r="AQ614">
        <v>2</v>
      </c>
      <c r="AR614">
        <v>2</v>
      </c>
      <c r="AS614">
        <v>1</v>
      </c>
      <c r="AT614">
        <v>0</v>
      </c>
      <c r="AU614">
        <v>2</v>
      </c>
      <c r="AV614">
        <v>0</v>
      </c>
      <c r="AW614">
        <v>0</v>
      </c>
      <c r="AX614">
        <v>0</v>
      </c>
      <c r="AY614">
        <v>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1</v>
      </c>
      <c r="BO614">
        <v>0</v>
      </c>
      <c r="BP614">
        <v>0</v>
      </c>
      <c r="BQ614">
        <v>0</v>
      </c>
      <c r="BR614">
        <v>0</v>
      </c>
      <c r="BS614">
        <v>1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1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1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1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1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</row>
    <row r="615" spans="1:201" x14ac:dyDescent="0.3">
      <c r="A615" t="s">
        <v>383</v>
      </c>
      <c r="B615" t="s">
        <v>385</v>
      </c>
      <c r="C615" t="s">
        <v>203</v>
      </c>
      <c r="D615" s="1">
        <v>1873</v>
      </c>
      <c r="E615">
        <v>574</v>
      </c>
      <c r="F615">
        <v>79</v>
      </c>
      <c r="G615">
        <v>86</v>
      </c>
      <c r="H615">
        <v>334</v>
      </c>
      <c r="I615">
        <v>70</v>
      </c>
      <c r="J615">
        <v>202</v>
      </c>
      <c r="K615">
        <v>120</v>
      </c>
      <c r="L615">
        <v>109</v>
      </c>
      <c r="M615">
        <v>46</v>
      </c>
      <c r="N615">
        <v>41</v>
      </c>
      <c r="O615">
        <v>22</v>
      </c>
      <c r="P615">
        <v>10</v>
      </c>
      <c r="Q615">
        <v>75</v>
      </c>
      <c r="R615">
        <v>43</v>
      </c>
      <c r="S615">
        <v>2</v>
      </c>
      <c r="T615">
        <v>0</v>
      </c>
      <c r="U615">
        <v>2</v>
      </c>
      <c r="V615">
        <v>8</v>
      </c>
      <c r="W615">
        <v>11</v>
      </c>
      <c r="X615">
        <v>3</v>
      </c>
      <c r="Y615">
        <v>8</v>
      </c>
      <c r="Z615">
        <v>4</v>
      </c>
      <c r="AA615">
        <v>2</v>
      </c>
      <c r="AB615">
        <v>0</v>
      </c>
      <c r="AC615">
        <v>2</v>
      </c>
      <c r="AD615">
        <v>3</v>
      </c>
      <c r="AE615">
        <v>0</v>
      </c>
      <c r="AF615">
        <v>6</v>
      </c>
      <c r="AG615">
        <v>2</v>
      </c>
      <c r="AH615">
        <v>2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2</v>
      </c>
      <c r="AO615">
        <v>2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1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</row>
    <row r="616" spans="1:201" x14ac:dyDescent="0.3">
      <c r="A616" t="s">
        <v>383</v>
      </c>
      <c r="B616" t="s">
        <v>385</v>
      </c>
      <c r="C616" t="s">
        <v>204</v>
      </c>
      <c r="D616" s="1">
        <v>1364</v>
      </c>
      <c r="E616">
        <v>633</v>
      </c>
      <c r="F616">
        <v>60</v>
      </c>
      <c r="G616">
        <v>155</v>
      </c>
      <c r="H616">
        <v>82</v>
      </c>
      <c r="I616">
        <v>23</v>
      </c>
      <c r="J616">
        <v>67</v>
      </c>
      <c r="K616">
        <v>25</v>
      </c>
      <c r="L616">
        <v>48</v>
      </c>
      <c r="M616">
        <v>77</v>
      </c>
      <c r="N616">
        <v>22</v>
      </c>
      <c r="O616">
        <v>21</v>
      </c>
      <c r="P616">
        <v>17</v>
      </c>
      <c r="Q616">
        <v>9</v>
      </c>
      <c r="R616">
        <v>15</v>
      </c>
      <c r="S616">
        <v>19</v>
      </c>
      <c r="T616">
        <v>4</v>
      </c>
      <c r="U616">
        <v>6</v>
      </c>
      <c r="V616">
        <v>5</v>
      </c>
      <c r="W616">
        <v>15</v>
      </c>
      <c r="X616">
        <v>6</v>
      </c>
      <c r="Y616">
        <v>17</v>
      </c>
      <c r="Z616">
        <v>4</v>
      </c>
      <c r="AA616">
        <v>2</v>
      </c>
      <c r="AB616">
        <v>3</v>
      </c>
      <c r="AC616">
        <v>3</v>
      </c>
      <c r="AD616">
        <v>7</v>
      </c>
      <c r="AE616">
        <v>0</v>
      </c>
      <c r="AF616">
        <v>0</v>
      </c>
      <c r="AG616">
        <v>1</v>
      </c>
      <c r="AH616">
        <v>0</v>
      </c>
      <c r="AI616">
        <v>2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3</v>
      </c>
      <c r="AP616">
        <v>0</v>
      </c>
      <c r="AQ616">
        <v>1</v>
      </c>
      <c r="AR616">
        <v>2</v>
      </c>
      <c r="AS616">
        <v>1</v>
      </c>
      <c r="AT616">
        <v>0</v>
      </c>
      <c r="AU616">
        <v>2</v>
      </c>
      <c r="AV616">
        <v>0</v>
      </c>
      <c r="AW616">
        <v>0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1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1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1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</row>
    <row r="617" spans="1:201" x14ac:dyDescent="0.3">
      <c r="A617" t="s">
        <v>383</v>
      </c>
      <c r="B617" t="s">
        <v>386</v>
      </c>
      <c r="C617" t="s">
        <v>200</v>
      </c>
      <c r="D617" s="1">
        <v>3467</v>
      </c>
      <c r="E617" s="1">
        <v>1176</v>
      </c>
      <c r="F617">
        <v>51</v>
      </c>
      <c r="G617">
        <v>99</v>
      </c>
      <c r="H617">
        <v>594</v>
      </c>
      <c r="I617">
        <v>292</v>
      </c>
      <c r="J617">
        <v>480</v>
      </c>
      <c r="K617">
        <v>90</v>
      </c>
      <c r="L617">
        <v>87</v>
      </c>
      <c r="M617">
        <v>126</v>
      </c>
      <c r="N617">
        <v>108</v>
      </c>
      <c r="O617">
        <v>33</v>
      </c>
      <c r="P617">
        <v>6</v>
      </c>
      <c r="Q617">
        <v>91</v>
      </c>
      <c r="R617">
        <v>93</v>
      </c>
      <c r="S617">
        <v>30</v>
      </c>
      <c r="T617">
        <v>3</v>
      </c>
      <c r="U617">
        <v>7</v>
      </c>
      <c r="V617">
        <v>6</v>
      </c>
      <c r="W617">
        <v>9</v>
      </c>
      <c r="X617">
        <v>2</v>
      </c>
      <c r="Y617">
        <v>61</v>
      </c>
      <c r="Z617">
        <v>2</v>
      </c>
      <c r="AA617">
        <v>1</v>
      </c>
      <c r="AB617">
        <v>0</v>
      </c>
      <c r="AC617">
        <v>2</v>
      </c>
      <c r="AD617">
        <v>4</v>
      </c>
      <c r="AE617">
        <v>2</v>
      </c>
      <c r="AF617">
        <v>1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2</v>
      </c>
      <c r="AP617">
        <v>4</v>
      </c>
      <c r="AQ617">
        <v>1</v>
      </c>
      <c r="AR617">
        <v>0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1</v>
      </c>
    </row>
    <row r="618" spans="1:201" x14ac:dyDescent="0.3">
      <c r="A618" t="s">
        <v>383</v>
      </c>
      <c r="B618" t="s">
        <v>386</v>
      </c>
      <c r="C618" t="s">
        <v>203</v>
      </c>
      <c r="D618" s="1">
        <v>1870</v>
      </c>
      <c r="E618">
        <v>523</v>
      </c>
      <c r="F618">
        <v>29</v>
      </c>
      <c r="G618">
        <v>48</v>
      </c>
      <c r="H618">
        <v>414</v>
      </c>
      <c r="I618">
        <v>254</v>
      </c>
      <c r="J618">
        <v>97</v>
      </c>
      <c r="K618">
        <v>86</v>
      </c>
      <c r="L618">
        <v>80</v>
      </c>
      <c r="M618">
        <v>68</v>
      </c>
      <c r="N618">
        <v>42</v>
      </c>
      <c r="O618">
        <v>23</v>
      </c>
      <c r="P618">
        <v>1</v>
      </c>
      <c r="Q618">
        <v>80</v>
      </c>
      <c r="R618">
        <v>78</v>
      </c>
      <c r="S618">
        <v>0</v>
      </c>
      <c r="T618">
        <v>2</v>
      </c>
      <c r="U618">
        <v>3</v>
      </c>
      <c r="V618">
        <v>6</v>
      </c>
      <c r="W618">
        <v>3</v>
      </c>
      <c r="X618">
        <v>1</v>
      </c>
      <c r="Y618">
        <v>20</v>
      </c>
      <c r="Z618">
        <v>1</v>
      </c>
      <c r="AA618">
        <v>1</v>
      </c>
      <c r="AB618">
        <v>0</v>
      </c>
      <c r="AC618">
        <v>1</v>
      </c>
      <c r="AD618">
        <v>0</v>
      </c>
      <c r="AE618">
        <v>2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4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</row>
    <row r="619" spans="1:201" x14ac:dyDescent="0.3">
      <c r="A619" t="s">
        <v>383</v>
      </c>
      <c r="B619" t="s">
        <v>386</v>
      </c>
      <c r="C619" t="s">
        <v>204</v>
      </c>
      <c r="D619" s="1">
        <v>1597</v>
      </c>
      <c r="E619">
        <v>653</v>
      </c>
      <c r="F619">
        <v>22</v>
      </c>
      <c r="G619">
        <v>51</v>
      </c>
      <c r="H619">
        <v>180</v>
      </c>
      <c r="I619">
        <v>38</v>
      </c>
      <c r="J619">
        <v>383</v>
      </c>
      <c r="K619">
        <v>4</v>
      </c>
      <c r="L619">
        <v>7</v>
      </c>
      <c r="M619">
        <v>58</v>
      </c>
      <c r="N619">
        <v>66</v>
      </c>
      <c r="O619">
        <v>10</v>
      </c>
      <c r="P619">
        <v>5</v>
      </c>
      <c r="Q619">
        <v>11</v>
      </c>
      <c r="R619">
        <v>15</v>
      </c>
      <c r="S619">
        <v>30</v>
      </c>
      <c r="T619">
        <v>1</v>
      </c>
      <c r="U619">
        <v>4</v>
      </c>
      <c r="V619">
        <v>0</v>
      </c>
      <c r="W619">
        <v>6</v>
      </c>
      <c r="X619">
        <v>1</v>
      </c>
      <c r="Y619">
        <v>41</v>
      </c>
      <c r="Z619">
        <v>1</v>
      </c>
      <c r="AA619">
        <v>0</v>
      </c>
      <c r="AB619">
        <v>0</v>
      </c>
      <c r="AC619">
        <v>1</v>
      </c>
      <c r="AD619">
        <v>4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1</v>
      </c>
      <c r="AR619">
        <v>0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1</v>
      </c>
    </row>
    <row r="620" spans="1:201" x14ac:dyDescent="0.3">
      <c r="A620" t="s">
        <v>383</v>
      </c>
      <c r="B620" t="s">
        <v>387</v>
      </c>
      <c r="C620" t="s">
        <v>200</v>
      </c>
      <c r="D620" s="1">
        <v>7445</v>
      </c>
      <c r="E620" s="1">
        <v>1506</v>
      </c>
      <c r="F620">
        <v>130</v>
      </c>
      <c r="G620">
        <v>189</v>
      </c>
      <c r="H620">
        <v>984</v>
      </c>
      <c r="I620">
        <v>244</v>
      </c>
      <c r="J620" s="1">
        <v>1754</v>
      </c>
      <c r="K620">
        <v>146</v>
      </c>
      <c r="L620">
        <v>224</v>
      </c>
      <c r="M620">
        <v>309</v>
      </c>
      <c r="N620">
        <v>455</v>
      </c>
      <c r="O620">
        <v>148</v>
      </c>
      <c r="P620">
        <v>4</v>
      </c>
      <c r="Q620">
        <v>185</v>
      </c>
      <c r="R620">
        <v>111</v>
      </c>
      <c r="S620">
        <v>44</v>
      </c>
      <c r="T620">
        <v>141</v>
      </c>
      <c r="U620">
        <v>414</v>
      </c>
      <c r="V620">
        <v>60</v>
      </c>
      <c r="W620">
        <v>25</v>
      </c>
      <c r="X620">
        <v>31</v>
      </c>
      <c r="Y620">
        <v>101</v>
      </c>
      <c r="Z620">
        <v>83</v>
      </c>
      <c r="AA620">
        <v>1</v>
      </c>
      <c r="AB620">
        <v>7</v>
      </c>
      <c r="AC620">
        <v>1</v>
      </c>
      <c r="AD620">
        <v>6</v>
      </c>
      <c r="AE620">
        <v>27</v>
      </c>
      <c r="AF620">
        <v>3</v>
      </c>
      <c r="AG620">
        <v>2</v>
      </c>
      <c r="AH620">
        <v>0</v>
      </c>
      <c r="AI620">
        <v>11</v>
      </c>
      <c r="AJ620">
        <v>9</v>
      </c>
      <c r="AK620">
        <v>0</v>
      </c>
      <c r="AL620">
        <v>6</v>
      </c>
      <c r="AM620">
        <v>1</v>
      </c>
      <c r="AN620">
        <v>1</v>
      </c>
      <c r="AO620">
        <v>7</v>
      </c>
      <c r="AP620">
        <v>2</v>
      </c>
      <c r="AQ620">
        <v>14</v>
      </c>
      <c r="AR620">
        <v>1</v>
      </c>
      <c r="AS620">
        <v>1</v>
      </c>
      <c r="AT620">
        <v>0</v>
      </c>
      <c r="AU620">
        <v>2</v>
      </c>
      <c r="AV620">
        <v>1</v>
      </c>
      <c r="AW620">
        <v>0</v>
      </c>
      <c r="AX620">
        <v>3</v>
      </c>
      <c r="AY620">
        <v>5</v>
      </c>
      <c r="AZ620">
        <v>27</v>
      </c>
      <c r="BA620">
        <v>0</v>
      </c>
      <c r="BB620">
        <v>1</v>
      </c>
      <c r="BC620">
        <v>0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4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2</v>
      </c>
      <c r="BR620">
        <v>0</v>
      </c>
      <c r="BS620">
        <v>1</v>
      </c>
      <c r="BT620">
        <v>1</v>
      </c>
      <c r="BU620">
        <v>1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0</v>
      </c>
      <c r="CC620">
        <v>0</v>
      </c>
      <c r="CD620">
        <v>0</v>
      </c>
      <c r="CE620">
        <v>1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1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2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1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1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</row>
    <row r="621" spans="1:201" x14ac:dyDescent="0.3">
      <c r="A621" t="s">
        <v>383</v>
      </c>
      <c r="B621" t="s">
        <v>387</v>
      </c>
      <c r="C621" t="s">
        <v>203</v>
      </c>
      <c r="D621" s="1">
        <v>4014</v>
      </c>
      <c r="E621">
        <v>685</v>
      </c>
      <c r="F621">
        <v>80</v>
      </c>
      <c r="G621">
        <v>70</v>
      </c>
      <c r="H621">
        <v>656</v>
      </c>
      <c r="I621">
        <v>176</v>
      </c>
      <c r="J621">
        <v>603</v>
      </c>
      <c r="K621">
        <v>137</v>
      </c>
      <c r="L621">
        <v>217</v>
      </c>
      <c r="M621">
        <v>224</v>
      </c>
      <c r="N621">
        <v>199</v>
      </c>
      <c r="O621">
        <v>38</v>
      </c>
      <c r="P621">
        <v>1</v>
      </c>
      <c r="Q621">
        <v>164</v>
      </c>
      <c r="R621">
        <v>94</v>
      </c>
      <c r="S621">
        <v>8</v>
      </c>
      <c r="T621">
        <v>94</v>
      </c>
      <c r="U621">
        <v>263</v>
      </c>
      <c r="V621">
        <v>54</v>
      </c>
      <c r="W621">
        <v>11</v>
      </c>
      <c r="X621">
        <v>27</v>
      </c>
      <c r="Y621">
        <v>40</v>
      </c>
      <c r="Z621">
        <v>68</v>
      </c>
      <c r="AA621">
        <v>1</v>
      </c>
      <c r="AB621">
        <v>5</v>
      </c>
      <c r="AC621">
        <v>0</v>
      </c>
      <c r="AD621">
        <v>0</v>
      </c>
      <c r="AE621">
        <v>26</v>
      </c>
      <c r="AF621">
        <v>2</v>
      </c>
      <c r="AG621">
        <v>2</v>
      </c>
      <c r="AH621">
        <v>0</v>
      </c>
      <c r="AI621">
        <v>10</v>
      </c>
      <c r="AJ621">
        <v>6</v>
      </c>
      <c r="AK621">
        <v>0</v>
      </c>
      <c r="AL621">
        <v>3</v>
      </c>
      <c r="AM621">
        <v>0</v>
      </c>
      <c r="AN621">
        <v>1</v>
      </c>
      <c r="AO621">
        <v>3</v>
      </c>
      <c r="AP621">
        <v>2</v>
      </c>
      <c r="AQ621">
        <v>7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3</v>
      </c>
      <c r="AY621">
        <v>1</v>
      </c>
      <c r="AZ621">
        <v>22</v>
      </c>
      <c r="BA621">
        <v>0</v>
      </c>
      <c r="BB621">
        <v>1</v>
      </c>
      <c r="BC621">
        <v>0</v>
      </c>
      <c r="BD621">
        <v>0</v>
      </c>
      <c r="BE621">
        <v>1</v>
      </c>
      <c r="BF621">
        <v>0</v>
      </c>
      <c r="BG621">
        <v>0</v>
      </c>
      <c r="BH621">
        <v>0</v>
      </c>
      <c r="BI621">
        <v>0</v>
      </c>
      <c r="BJ621">
        <v>3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1</v>
      </c>
      <c r="BQ621">
        <v>0</v>
      </c>
      <c r="BR621">
        <v>0</v>
      </c>
      <c r="BS621">
        <v>0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0</v>
      </c>
      <c r="CC621">
        <v>0</v>
      </c>
      <c r="CD621">
        <v>0</v>
      </c>
      <c r="CE621">
        <v>1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1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</row>
    <row r="622" spans="1:201" x14ac:dyDescent="0.3">
      <c r="A622" t="s">
        <v>383</v>
      </c>
      <c r="B622" t="s">
        <v>387</v>
      </c>
      <c r="C622" t="s">
        <v>204</v>
      </c>
      <c r="D622" s="1">
        <v>3431</v>
      </c>
      <c r="E622">
        <v>821</v>
      </c>
      <c r="F622">
        <v>50</v>
      </c>
      <c r="G622">
        <v>119</v>
      </c>
      <c r="H622">
        <v>328</v>
      </c>
      <c r="I622">
        <v>68</v>
      </c>
      <c r="J622" s="1">
        <v>1151</v>
      </c>
      <c r="K622">
        <v>9</v>
      </c>
      <c r="L622">
        <v>7</v>
      </c>
      <c r="M622">
        <v>85</v>
      </c>
      <c r="N622">
        <v>256</v>
      </c>
      <c r="O622">
        <v>110</v>
      </c>
      <c r="P622">
        <v>3</v>
      </c>
      <c r="Q622">
        <v>21</v>
      </c>
      <c r="R622">
        <v>17</v>
      </c>
      <c r="S622">
        <v>36</v>
      </c>
      <c r="T622">
        <v>47</v>
      </c>
      <c r="U622">
        <v>151</v>
      </c>
      <c r="V622">
        <v>6</v>
      </c>
      <c r="W622">
        <v>14</v>
      </c>
      <c r="X622">
        <v>4</v>
      </c>
      <c r="Y622">
        <v>61</v>
      </c>
      <c r="Z622">
        <v>15</v>
      </c>
      <c r="AA622">
        <v>0</v>
      </c>
      <c r="AB622">
        <v>2</v>
      </c>
      <c r="AC622">
        <v>1</v>
      </c>
      <c r="AD622">
        <v>6</v>
      </c>
      <c r="AE622">
        <v>1</v>
      </c>
      <c r="AF622">
        <v>1</v>
      </c>
      <c r="AG622">
        <v>0</v>
      </c>
      <c r="AH622">
        <v>0</v>
      </c>
      <c r="AI622">
        <v>1</v>
      </c>
      <c r="AJ622">
        <v>3</v>
      </c>
      <c r="AK622">
        <v>0</v>
      </c>
      <c r="AL622">
        <v>3</v>
      </c>
      <c r="AM622">
        <v>1</v>
      </c>
      <c r="AN622">
        <v>0</v>
      </c>
      <c r="AO622">
        <v>4</v>
      </c>
      <c r="AP622">
        <v>0</v>
      </c>
      <c r="AQ622">
        <v>7</v>
      </c>
      <c r="AR622">
        <v>1</v>
      </c>
      <c r="AS622">
        <v>1</v>
      </c>
      <c r="AT622">
        <v>0</v>
      </c>
      <c r="AU622">
        <v>2</v>
      </c>
      <c r="AV622">
        <v>0</v>
      </c>
      <c r="AW622">
        <v>0</v>
      </c>
      <c r="AX622">
        <v>0</v>
      </c>
      <c r="AY622">
        <v>4</v>
      </c>
      <c r="AZ622">
        <v>5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2</v>
      </c>
      <c r="BR622">
        <v>0</v>
      </c>
      <c r="BS622">
        <v>1</v>
      </c>
      <c r="BT622">
        <v>0</v>
      </c>
      <c r="BU622">
        <v>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2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1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</row>
    <row r="623" spans="1:201" x14ac:dyDescent="0.3">
      <c r="A623" t="s">
        <v>383</v>
      </c>
      <c r="B623" t="s">
        <v>388</v>
      </c>
      <c r="C623" t="s">
        <v>200</v>
      </c>
      <c r="D623" s="1">
        <v>9019</v>
      </c>
      <c r="E623" s="1">
        <v>1830</v>
      </c>
      <c r="F623" s="1">
        <v>1266</v>
      </c>
      <c r="G623">
        <v>816</v>
      </c>
      <c r="H623">
        <v>952</v>
      </c>
      <c r="I623">
        <v>537</v>
      </c>
      <c r="J623">
        <v>522</v>
      </c>
      <c r="K623">
        <v>322</v>
      </c>
      <c r="L623">
        <v>482</v>
      </c>
      <c r="M623">
        <v>248</v>
      </c>
      <c r="N623">
        <v>370</v>
      </c>
      <c r="O623">
        <v>54</v>
      </c>
      <c r="P623">
        <v>26</v>
      </c>
      <c r="Q623">
        <v>452</v>
      </c>
      <c r="R623">
        <v>171</v>
      </c>
      <c r="S623">
        <v>58</v>
      </c>
      <c r="T623">
        <v>129</v>
      </c>
      <c r="U623">
        <v>196</v>
      </c>
      <c r="V623">
        <v>73</v>
      </c>
      <c r="W623">
        <v>16</v>
      </c>
      <c r="X623">
        <v>45</v>
      </c>
      <c r="Y623">
        <v>161</v>
      </c>
      <c r="Z623">
        <v>123</v>
      </c>
      <c r="AA623">
        <v>0</v>
      </c>
      <c r="AB623">
        <v>12</v>
      </c>
      <c r="AC623">
        <v>7</v>
      </c>
      <c r="AD623">
        <v>11</v>
      </c>
      <c r="AE623">
        <v>17</v>
      </c>
      <c r="AF623">
        <v>6</v>
      </c>
      <c r="AG623">
        <v>6</v>
      </c>
      <c r="AH623">
        <v>7</v>
      </c>
      <c r="AI623">
        <v>11</v>
      </c>
      <c r="AJ623">
        <v>15</v>
      </c>
      <c r="AK623">
        <v>1</v>
      </c>
      <c r="AL623">
        <v>2</v>
      </c>
      <c r="AM623">
        <v>0</v>
      </c>
      <c r="AN623">
        <v>1</v>
      </c>
      <c r="AO623">
        <v>17</v>
      </c>
      <c r="AP623">
        <v>7</v>
      </c>
      <c r="AQ623">
        <v>8</v>
      </c>
      <c r="AR623">
        <v>0</v>
      </c>
      <c r="AS623">
        <v>1</v>
      </c>
      <c r="AT623">
        <v>0</v>
      </c>
      <c r="AU623">
        <v>1</v>
      </c>
      <c r="AV623">
        <v>1</v>
      </c>
      <c r="AW623">
        <v>1</v>
      </c>
      <c r="AX623">
        <v>9</v>
      </c>
      <c r="AY623">
        <v>1</v>
      </c>
      <c r="AZ623">
        <v>0</v>
      </c>
      <c r="BA623">
        <v>2</v>
      </c>
      <c r="BB623">
        <v>0</v>
      </c>
      <c r="BC623">
        <v>1</v>
      </c>
      <c r="BD623">
        <v>0</v>
      </c>
      <c r="BE623">
        <v>0</v>
      </c>
      <c r="BF623">
        <v>5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2</v>
      </c>
      <c r="BO623">
        <v>0</v>
      </c>
      <c r="BP623">
        <v>3</v>
      </c>
      <c r="BQ623">
        <v>1</v>
      </c>
      <c r="BR623">
        <v>0</v>
      </c>
      <c r="BS623">
        <v>1</v>
      </c>
      <c r="BT623">
        <v>0</v>
      </c>
      <c r="BU623">
        <v>0</v>
      </c>
      <c r="BV623">
        <v>2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1</v>
      </c>
      <c r="CK623">
        <v>0</v>
      </c>
      <c r="CL623">
        <v>0</v>
      </c>
      <c r="CM623">
        <v>0</v>
      </c>
      <c r="CN623">
        <v>0</v>
      </c>
      <c r="CO623">
        <v>2</v>
      </c>
      <c r="CP623">
        <v>0</v>
      </c>
      <c r="CQ623">
        <v>0</v>
      </c>
      <c r="CR623">
        <v>1</v>
      </c>
      <c r="CS623">
        <v>1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1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1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2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</row>
    <row r="624" spans="1:201" x14ac:dyDescent="0.3">
      <c r="A624" t="s">
        <v>383</v>
      </c>
      <c r="B624" t="s">
        <v>388</v>
      </c>
      <c r="C624" t="s">
        <v>203</v>
      </c>
      <c r="D624" s="1">
        <v>6018</v>
      </c>
      <c r="E624" s="1">
        <v>1050</v>
      </c>
      <c r="F624">
        <v>774</v>
      </c>
      <c r="G624">
        <v>248</v>
      </c>
      <c r="H624">
        <v>831</v>
      </c>
      <c r="I624">
        <v>393</v>
      </c>
      <c r="J624">
        <v>424</v>
      </c>
      <c r="K624">
        <v>298</v>
      </c>
      <c r="L624">
        <v>451</v>
      </c>
      <c r="M624">
        <v>143</v>
      </c>
      <c r="N624">
        <v>244</v>
      </c>
      <c r="O624">
        <v>23</v>
      </c>
      <c r="P624">
        <v>12</v>
      </c>
      <c r="Q624">
        <v>383</v>
      </c>
      <c r="R624">
        <v>156</v>
      </c>
      <c r="S624">
        <v>8</v>
      </c>
      <c r="T624">
        <v>61</v>
      </c>
      <c r="U624">
        <v>104</v>
      </c>
      <c r="V624">
        <v>68</v>
      </c>
      <c r="W624">
        <v>6</v>
      </c>
      <c r="X624">
        <v>36</v>
      </c>
      <c r="Y624">
        <v>102</v>
      </c>
      <c r="Z624">
        <v>81</v>
      </c>
      <c r="AA624">
        <v>0</v>
      </c>
      <c r="AB624">
        <v>10</v>
      </c>
      <c r="AC624">
        <v>1</v>
      </c>
      <c r="AD624">
        <v>5</v>
      </c>
      <c r="AE624">
        <v>17</v>
      </c>
      <c r="AF624">
        <v>4</v>
      </c>
      <c r="AG624">
        <v>2</v>
      </c>
      <c r="AH624">
        <v>6</v>
      </c>
      <c r="AI624">
        <v>11</v>
      </c>
      <c r="AJ624">
        <v>12</v>
      </c>
      <c r="AK624">
        <v>1</v>
      </c>
      <c r="AL624">
        <v>1</v>
      </c>
      <c r="AM624">
        <v>0</v>
      </c>
      <c r="AN624">
        <v>0</v>
      </c>
      <c r="AO624">
        <v>13</v>
      </c>
      <c r="AP624">
        <v>4</v>
      </c>
      <c r="AQ624">
        <v>6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9</v>
      </c>
      <c r="AY624">
        <v>0</v>
      </c>
      <c r="AZ624">
        <v>0</v>
      </c>
      <c r="BA624">
        <v>2</v>
      </c>
      <c r="BB624">
        <v>0</v>
      </c>
      <c r="BC624">
        <v>0</v>
      </c>
      <c r="BD624">
        <v>0</v>
      </c>
      <c r="BE624">
        <v>0</v>
      </c>
      <c r="BF624">
        <v>2</v>
      </c>
      <c r="BG624">
        <v>1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1</v>
      </c>
      <c r="BO624">
        <v>0</v>
      </c>
      <c r="BP624">
        <v>3</v>
      </c>
      <c r="BQ624">
        <v>1</v>
      </c>
      <c r="BR624">
        <v>0</v>
      </c>
      <c r="BS624">
        <v>0</v>
      </c>
      <c r="BT624">
        <v>0</v>
      </c>
      <c r="BU624">
        <v>0</v>
      </c>
      <c r="BV624">
        <v>2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1</v>
      </c>
      <c r="CK624">
        <v>0</v>
      </c>
      <c r="CL624">
        <v>0</v>
      </c>
      <c r="CM624">
        <v>0</v>
      </c>
      <c r="CN624">
        <v>0</v>
      </c>
      <c r="CO624">
        <v>2</v>
      </c>
      <c r="CP624">
        <v>0</v>
      </c>
      <c r="CQ624">
        <v>0</v>
      </c>
      <c r="CR624">
        <v>0</v>
      </c>
      <c r="CS624">
        <v>1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1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2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</row>
    <row r="625" spans="1:201" x14ac:dyDescent="0.3">
      <c r="A625" t="s">
        <v>383</v>
      </c>
      <c r="B625" t="s">
        <v>388</v>
      </c>
      <c r="C625" t="s">
        <v>204</v>
      </c>
      <c r="D625" s="1">
        <v>3001</v>
      </c>
      <c r="E625">
        <v>780</v>
      </c>
      <c r="F625">
        <v>492</v>
      </c>
      <c r="G625">
        <v>568</v>
      </c>
      <c r="H625">
        <v>121</v>
      </c>
      <c r="I625">
        <v>144</v>
      </c>
      <c r="J625">
        <v>98</v>
      </c>
      <c r="K625">
        <v>24</v>
      </c>
      <c r="L625">
        <v>31</v>
      </c>
      <c r="M625">
        <v>105</v>
      </c>
      <c r="N625">
        <v>126</v>
      </c>
      <c r="O625">
        <v>31</v>
      </c>
      <c r="P625">
        <v>14</v>
      </c>
      <c r="Q625">
        <v>69</v>
      </c>
      <c r="R625">
        <v>15</v>
      </c>
      <c r="S625">
        <v>50</v>
      </c>
      <c r="T625">
        <v>68</v>
      </c>
      <c r="U625">
        <v>92</v>
      </c>
      <c r="V625">
        <v>5</v>
      </c>
      <c r="W625">
        <v>10</v>
      </c>
      <c r="X625">
        <v>9</v>
      </c>
      <c r="Y625">
        <v>59</v>
      </c>
      <c r="Z625">
        <v>42</v>
      </c>
      <c r="AA625">
        <v>0</v>
      </c>
      <c r="AB625">
        <v>2</v>
      </c>
      <c r="AC625">
        <v>6</v>
      </c>
      <c r="AD625">
        <v>6</v>
      </c>
      <c r="AE625">
        <v>0</v>
      </c>
      <c r="AF625">
        <v>2</v>
      </c>
      <c r="AG625">
        <v>4</v>
      </c>
      <c r="AH625">
        <v>1</v>
      </c>
      <c r="AI625">
        <v>0</v>
      </c>
      <c r="AJ625">
        <v>3</v>
      </c>
      <c r="AK625">
        <v>0</v>
      </c>
      <c r="AL625">
        <v>1</v>
      </c>
      <c r="AM625">
        <v>0</v>
      </c>
      <c r="AN625">
        <v>1</v>
      </c>
      <c r="AO625">
        <v>4</v>
      </c>
      <c r="AP625">
        <v>3</v>
      </c>
      <c r="AQ625">
        <v>2</v>
      </c>
      <c r="AR625">
        <v>0</v>
      </c>
      <c r="AS625">
        <v>1</v>
      </c>
      <c r="AT625">
        <v>0</v>
      </c>
      <c r="AU625">
        <v>1</v>
      </c>
      <c r="AV625">
        <v>0</v>
      </c>
      <c r="AW625">
        <v>1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1</v>
      </c>
      <c r="BD625">
        <v>0</v>
      </c>
      <c r="BE625">
        <v>0</v>
      </c>
      <c r="BF625">
        <v>3</v>
      </c>
      <c r="BG625">
        <v>0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1</v>
      </c>
      <c r="BO625">
        <v>0</v>
      </c>
      <c r="BP625">
        <v>0</v>
      </c>
      <c r="BQ625">
        <v>0</v>
      </c>
      <c r="BR625">
        <v>0</v>
      </c>
      <c r="BS625">
        <v>1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1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1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</row>
    <row r="626" spans="1:201" x14ac:dyDescent="0.3">
      <c r="A626" t="s">
        <v>383</v>
      </c>
      <c r="B626" t="s">
        <v>389</v>
      </c>
      <c r="C626" t="s">
        <v>200</v>
      </c>
      <c r="D626" s="1">
        <v>5152</v>
      </c>
      <c r="E626" s="1">
        <v>2356</v>
      </c>
      <c r="F626">
        <v>137</v>
      </c>
      <c r="G626">
        <v>208</v>
      </c>
      <c r="H626">
        <v>478</v>
      </c>
      <c r="I626">
        <v>127</v>
      </c>
      <c r="J626">
        <v>276</v>
      </c>
      <c r="K626">
        <v>519</v>
      </c>
      <c r="L626">
        <v>183</v>
      </c>
      <c r="M626">
        <v>104</v>
      </c>
      <c r="N626">
        <v>142</v>
      </c>
      <c r="O626">
        <v>28</v>
      </c>
      <c r="P626">
        <v>9</v>
      </c>
      <c r="Q626">
        <v>260</v>
      </c>
      <c r="R626">
        <v>41</v>
      </c>
      <c r="S626">
        <v>26</v>
      </c>
      <c r="T626">
        <v>8</v>
      </c>
      <c r="U626">
        <v>4</v>
      </c>
      <c r="V626">
        <v>51</v>
      </c>
      <c r="W626">
        <v>27</v>
      </c>
      <c r="X626">
        <v>4</v>
      </c>
      <c r="Y626">
        <v>15</v>
      </c>
      <c r="Z626">
        <v>19</v>
      </c>
      <c r="AA626">
        <v>0</v>
      </c>
      <c r="AB626">
        <v>16</v>
      </c>
      <c r="AC626">
        <v>4</v>
      </c>
      <c r="AD626">
        <v>15</v>
      </c>
      <c r="AE626">
        <v>74</v>
      </c>
      <c r="AF626">
        <v>1</v>
      </c>
      <c r="AG626">
        <v>0</v>
      </c>
      <c r="AH626">
        <v>1</v>
      </c>
      <c r="AI626">
        <v>1</v>
      </c>
      <c r="AJ626">
        <v>0</v>
      </c>
      <c r="AK626">
        <v>1</v>
      </c>
      <c r="AL626">
        <v>0</v>
      </c>
      <c r="AM626">
        <v>0</v>
      </c>
      <c r="AN626">
        <v>4</v>
      </c>
      <c r="AO626">
        <v>2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</v>
      </c>
      <c r="BJ626">
        <v>0</v>
      </c>
      <c r="BK626">
        <v>0</v>
      </c>
      <c r="BL626">
        <v>0</v>
      </c>
      <c r="BM626">
        <v>0</v>
      </c>
      <c r="BN626">
        <v>1</v>
      </c>
      <c r="BO626">
        <v>0</v>
      </c>
      <c r="BP626">
        <v>5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1</v>
      </c>
      <c r="DN626">
        <v>0</v>
      </c>
      <c r="DO626">
        <v>0</v>
      </c>
      <c r="DP626">
        <v>0</v>
      </c>
      <c r="DQ626">
        <v>0</v>
      </c>
      <c r="DR626">
        <v>1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1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</row>
    <row r="627" spans="1:201" x14ac:dyDescent="0.3">
      <c r="A627" t="s">
        <v>383</v>
      </c>
      <c r="B627" t="s">
        <v>389</v>
      </c>
      <c r="C627" t="s">
        <v>203</v>
      </c>
      <c r="D627" s="1">
        <v>4052</v>
      </c>
      <c r="E627" s="1">
        <v>1899</v>
      </c>
      <c r="F627">
        <v>56</v>
      </c>
      <c r="G627">
        <v>115</v>
      </c>
      <c r="H627">
        <v>399</v>
      </c>
      <c r="I627">
        <v>106</v>
      </c>
      <c r="J627">
        <v>222</v>
      </c>
      <c r="K627">
        <v>477</v>
      </c>
      <c r="L627">
        <v>159</v>
      </c>
      <c r="M627">
        <v>44</v>
      </c>
      <c r="N627">
        <v>98</v>
      </c>
      <c r="O627">
        <v>23</v>
      </c>
      <c r="P627">
        <v>6</v>
      </c>
      <c r="Q627">
        <v>212</v>
      </c>
      <c r="R627">
        <v>32</v>
      </c>
      <c r="S627">
        <v>5</v>
      </c>
      <c r="T627">
        <v>6</v>
      </c>
      <c r="U627">
        <v>2</v>
      </c>
      <c r="V627">
        <v>47</v>
      </c>
      <c r="W627">
        <v>19</v>
      </c>
      <c r="X627">
        <v>3</v>
      </c>
      <c r="Y627">
        <v>14</v>
      </c>
      <c r="Z627">
        <v>15</v>
      </c>
      <c r="AA627">
        <v>0</v>
      </c>
      <c r="AB627">
        <v>9</v>
      </c>
      <c r="AC627">
        <v>3</v>
      </c>
      <c r="AD627">
        <v>1</v>
      </c>
      <c r="AE627">
        <v>70</v>
      </c>
      <c r="AF627">
        <v>0</v>
      </c>
      <c r="AG627">
        <v>0</v>
      </c>
      <c r="AH627">
        <v>1</v>
      </c>
      <c r="AI627">
        <v>1</v>
      </c>
      <c r="AJ627">
        <v>0</v>
      </c>
      <c r="AK627">
        <v>1</v>
      </c>
      <c r="AL627">
        <v>0</v>
      </c>
      <c r="AM627">
        <v>0</v>
      </c>
      <c r="AN627">
        <v>2</v>
      </c>
      <c r="AO627">
        <v>2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2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</row>
    <row r="628" spans="1:201" x14ac:dyDescent="0.3">
      <c r="A628" t="s">
        <v>383</v>
      </c>
      <c r="B628" t="s">
        <v>389</v>
      </c>
      <c r="C628" t="s">
        <v>204</v>
      </c>
      <c r="D628" s="1">
        <v>1100</v>
      </c>
      <c r="E628">
        <v>457</v>
      </c>
      <c r="F628">
        <v>81</v>
      </c>
      <c r="G628">
        <v>93</v>
      </c>
      <c r="H628">
        <v>79</v>
      </c>
      <c r="I628">
        <v>21</v>
      </c>
      <c r="J628">
        <v>54</v>
      </c>
      <c r="K628">
        <v>42</v>
      </c>
      <c r="L628">
        <v>24</v>
      </c>
      <c r="M628">
        <v>60</v>
      </c>
      <c r="N628">
        <v>44</v>
      </c>
      <c r="O628">
        <v>5</v>
      </c>
      <c r="P628">
        <v>3</v>
      </c>
      <c r="Q628">
        <v>48</v>
      </c>
      <c r="R628">
        <v>9</v>
      </c>
      <c r="S628">
        <v>21</v>
      </c>
      <c r="T628">
        <v>2</v>
      </c>
      <c r="U628">
        <v>2</v>
      </c>
      <c r="V628">
        <v>4</v>
      </c>
      <c r="W628">
        <v>8</v>
      </c>
      <c r="X628">
        <v>1</v>
      </c>
      <c r="Y628">
        <v>1</v>
      </c>
      <c r="Z628">
        <v>4</v>
      </c>
      <c r="AA628">
        <v>0</v>
      </c>
      <c r="AB628">
        <v>7</v>
      </c>
      <c r="AC628">
        <v>1</v>
      </c>
      <c r="AD628">
        <v>14</v>
      </c>
      <c r="AE628">
        <v>4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2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0</v>
      </c>
      <c r="BP628">
        <v>3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1</v>
      </c>
      <c r="DN628">
        <v>0</v>
      </c>
      <c r="DO628">
        <v>0</v>
      </c>
      <c r="DP628">
        <v>0</v>
      </c>
      <c r="DQ628">
        <v>0</v>
      </c>
      <c r="DR628">
        <v>1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1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</row>
    <row r="629" spans="1:201" x14ac:dyDescent="0.3">
      <c r="A629" t="s">
        <v>383</v>
      </c>
      <c r="B629" t="s">
        <v>390</v>
      </c>
      <c r="C629" t="s">
        <v>200</v>
      </c>
      <c r="D629" s="1">
        <v>2145</v>
      </c>
      <c r="E629">
        <v>371</v>
      </c>
      <c r="F629">
        <v>43</v>
      </c>
      <c r="G629">
        <v>64</v>
      </c>
      <c r="H629">
        <v>398</v>
      </c>
      <c r="I629">
        <v>60</v>
      </c>
      <c r="J629">
        <v>393</v>
      </c>
      <c r="K629">
        <v>60</v>
      </c>
      <c r="L629">
        <v>43</v>
      </c>
      <c r="M629">
        <v>206</v>
      </c>
      <c r="N629">
        <v>269</v>
      </c>
      <c r="O629">
        <v>3</v>
      </c>
      <c r="P629">
        <v>2</v>
      </c>
      <c r="Q629">
        <v>19</v>
      </c>
      <c r="R629">
        <v>19</v>
      </c>
      <c r="S629">
        <v>17</v>
      </c>
      <c r="T629">
        <v>16</v>
      </c>
      <c r="U629">
        <v>48</v>
      </c>
      <c r="V629">
        <v>9</v>
      </c>
      <c r="W629">
        <v>1</v>
      </c>
      <c r="X629">
        <v>0</v>
      </c>
      <c r="Y629">
        <v>72</v>
      </c>
      <c r="Z629">
        <v>5</v>
      </c>
      <c r="AA629">
        <v>2</v>
      </c>
      <c r="AB629">
        <v>0</v>
      </c>
      <c r="AC629">
        <v>0</v>
      </c>
      <c r="AD629">
        <v>8</v>
      </c>
      <c r="AE629">
        <v>1</v>
      </c>
      <c r="AF629">
        <v>3</v>
      </c>
      <c r="AG629">
        <v>6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2</v>
      </c>
      <c r="BQ629">
        <v>0</v>
      </c>
      <c r="BR629">
        <v>1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1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</row>
    <row r="630" spans="1:201" x14ac:dyDescent="0.3">
      <c r="A630" t="s">
        <v>383</v>
      </c>
      <c r="B630" t="s">
        <v>390</v>
      </c>
      <c r="C630" t="s">
        <v>203</v>
      </c>
      <c r="D630" s="1">
        <v>1203</v>
      </c>
      <c r="E630">
        <v>153</v>
      </c>
      <c r="F630">
        <v>17</v>
      </c>
      <c r="G630">
        <v>18</v>
      </c>
      <c r="H630">
        <v>302</v>
      </c>
      <c r="I630">
        <v>49</v>
      </c>
      <c r="J630">
        <v>216</v>
      </c>
      <c r="K630">
        <v>60</v>
      </c>
      <c r="L630">
        <v>39</v>
      </c>
      <c r="M630">
        <v>94</v>
      </c>
      <c r="N630">
        <v>122</v>
      </c>
      <c r="O630">
        <v>1</v>
      </c>
      <c r="P630">
        <v>0</v>
      </c>
      <c r="Q630">
        <v>15</v>
      </c>
      <c r="R630">
        <v>19</v>
      </c>
      <c r="S630">
        <v>0</v>
      </c>
      <c r="T630">
        <v>9</v>
      </c>
      <c r="U630">
        <v>35</v>
      </c>
      <c r="V630">
        <v>9</v>
      </c>
      <c r="W630">
        <v>1</v>
      </c>
      <c r="X630">
        <v>0</v>
      </c>
      <c r="Y630">
        <v>27</v>
      </c>
      <c r="Z630">
        <v>4</v>
      </c>
      <c r="AA630">
        <v>1</v>
      </c>
      <c r="AB630">
        <v>0</v>
      </c>
      <c r="AC630">
        <v>0</v>
      </c>
      <c r="AD630">
        <v>0</v>
      </c>
      <c r="AE630">
        <v>1</v>
      </c>
      <c r="AF630">
        <v>2</v>
      </c>
      <c r="AG630">
        <v>6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2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</row>
    <row r="631" spans="1:201" x14ac:dyDescent="0.3">
      <c r="A631" t="s">
        <v>383</v>
      </c>
      <c r="B631" t="s">
        <v>390</v>
      </c>
      <c r="C631" t="s">
        <v>204</v>
      </c>
      <c r="D631">
        <v>942</v>
      </c>
      <c r="E631">
        <v>218</v>
      </c>
      <c r="F631">
        <v>26</v>
      </c>
      <c r="G631">
        <v>46</v>
      </c>
      <c r="H631">
        <v>96</v>
      </c>
      <c r="I631">
        <v>11</v>
      </c>
      <c r="J631">
        <v>177</v>
      </c>
      <c r="K631">
        <v>0</v>
      </c>
      <c r="L631">
        <v>4</v>
      </c>
      <c r="M631">
        <v>112</v>
      </c>
      <c r="N631">
        <v>147</v>
      </c>
      <c r="O631">
        <v>2</v>
      </c>
      <c r="P631">
        <v>2</v>
      </c>
      <c r="Q631">
        <v>4</v>
      </c>
      <c r="R631">
        <v>0</v>
      </c>
      <c r="S631">
        <v>17</v>
      </c>
      <c r="T631">
        <v>7</v>
      </c>
      <c r="U631">
        <v>13</v>
      </c>
      <c r="V631">
        <v>0</v>
      </c>
      <c r="W631">
        <v>0</v>
      </c>
      <c r="X631">
        <v>0</v>
      </c>
      <c r="Y631">
        <v>45</v>
      </c>
      <c r="Z631">
        <v>1</v>
      </c>
      <c r="AA631">
        <v>1</v>
      </c>
      <c r="AB631">
        <v>0</v>
      </c>
      <c r="AC631">
        <v>0</v>
      </c>
      <c r="AD631">
        <v>8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1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</row>
    <row r="632" spans="1:201" x14ac:dyDescent="0.3">
      <c r="A632" t="s">
        <v>383</v>
      </c>
      <c r="B632" t="s">
        <v>391</v>
      </c>
      <c r="C632" t="s">
        <v>200</v>
      </c>
      <c r="D632" s="1">
        <v>6217</v>
      </c>
      <c r="E632" s="1">
        <v>1145</v>
      </c>
      <c r="F632" s="1">
        <v>1076</v>
      </c>
      <c r="G632">
        <v>705</v>
      </c>
      <c r="H632">
        <v>390</v>
      </c>
      <c r="I632">
        <v>241</v>
      </c>
      <c r="J632">
        <v>268</v>
      </c>
      <c r="K632">
        <v>272</v>
      </c>
      <c r="L632">
        <v>414</v>
      </c>
      <c r="M632">
        <v>195</v>
      </c>
      <c r="N632">
        <v>210</v>
      </c>
      <c r="O632">
        <v>202</v>
      </c>
      <c r="P632">
        <v>41</v>
      </c>
      <c r="Q632">
        <v>90</v>
      </c>
      <c r="R632">
        <v>219</v>
      </c>
      <c r="S632">
        <v>81</v>
      </c>
      <c r="T632">
        <v>179</v>
      </c>
      <c r="U632">
        <v>130</v>
      </c>
      <c r="V632">
        <v>27</v>
      </c>
      <c r="W632">
        <v>28</v>
      </c>
      <c r="X632">
        <v>12</v>
      </c>
      <c r="Y632">
        <v>31</v>
      </c>
      <c r="Z632">
        <v>64</v>
      </c>
      <c r="AA632">
        <v>0</v>
      </c>
      <c r="AB632">
        <v>25</v>
      </c>
      <c r="AC632">
        <v>8</v>
      </c>
      <c r="AD632">
        <v>26</v>
      </c>
      <c r="AE632">
        <v>16</v>
      </c>
      <c r="AF632">
        <v>9</v>
      </c>
      <c r="AG632">
        <v>4</v>
      </c>
      <c r="AH632">
        <v>1</v>
      </c>
      <c r="AI632">
        <v>1</v>
      </c>
      <c r="AJ632">
        <v>41</v>
      </c>
      <c r="AK632">
        <v>1</v>
      </c>
      <c r="AL632">
        <v>2</v>
      </c>
      <c r="AM632">
        <v>1</v>
      </c>
      <c r="AN632">
        <v>4</v>
      </c>
      <c r="AO632">
        <v>1</v>
      </c>
      <c r="AP632">
        <v>15</v>
      </c>
      <c r="AQ632">
        <v>4</v>
      </c>
      <c r="AR632">
        <v>1</v>
      </c>
      <c r="AS632">
        <v>1</v>
      </c>
      <c r="AT632">
        <v>0</v>
      </c>
      <c r="AU632">
        <v>0</v>
      </c>
      <c r="AV632">
        <v>1</v>
      </c>
      <c r="AW632">
        <v>1</v>
      </c>
      <c r="AX632">
        <v>4</v>
      </c>
      <c r="AY632">
        <v>2</v>
      </c>
      <c r="AZ632">
        <v>1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2</v>
      </c>
      <c r="BH632">
        <v>0</v>
      </c>
      <c r="BI632">
        <v>1</v>
      </c>
      <c r="BJ632">
        <v>2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2</v>
      </c>
      <c r="BQ632">
        <v>0</v>
      </c>
      <c r="BR632">
        <v>0</v>
      </c>
      <c r="BS632">
        <v>0</v>
      </c>
      <c r="BT632">
        <v>9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2</v>
      </c>
      <c r="CJ632">
        <v>0</v>
      </c>
      <c r="CK632">
        <v>1</v>
      </c>
      <c r="CL632">
        <v>0</v>
      </c>
      <c r="CM632">
        <v>1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2</v>
      </c>
      <c r="CU632">
        <v>0</v>
      </c>
      <c r="CV632">
        <v>1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1</v>
      </c>
      <c r="DC632">
        <v>0</v>
      </c>
      <c r="DD632">
        <v>0</v>
      </c>
      <c r="DE632">
        <v>0</v>
      </c>
      <c r="DF632">
        <v>0</v>
      </c>
      <c r="DG632">
        <v>1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1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</row>
    <row r="633" spans="1:201" x14ac:dyDescent="0.3">
      <c r="A633" t="s">
        <v>383</v>
      </c>
      <c r="B633" t="s">
        <v>391</v>
      </c>
      <c r="C633" t="s">
        <v>203</v>
      </c>
      <c r="D633" s="1">
        <v>3753</v>
      </c>
      <c r="E633">
        <v>553</v>
      </c>
      <c r="F633">
        <v>649</v>
      </c>
      <c r="G633">
        <v>269</v>
      </c>
      <c r="H633">
        <v>297</v>
      </c>
      <c r="I633">
        <v>160</v>
      </c>
      <c r="J633">
        <v>196</v>
      </c>
      <c r="K633">
        <v>236</v>
      </c>
      <c r="L633">
        <v>391</v>
      </c>
      <c r="M633">
        <v>92</v>
      </c>
      <c r="N633">
        <v>96</v>
      </c>
      <c r="O633">
        <v>96</v>
      </c>
      <c r="P633">
        <v>20</v>
      </c>
      <c r="Q633">
        <v>68</v>
      </c>
      <c r="R633">
        <v>186</v>
      </c>
      <c r="S633">
        <v>28</v>
      </c>
      <c r="T633">
        <v>112</v>
      </c>
      <c r="U633">
        <v>65</v>
      </c>
      <c r="V633">
        <v>27</v>
      </c>
      <c r="W633">
        <v>20</v>
      </c>
      <c r="X633">
        <v>12</v>
      </c>
      <c r="Y633">
        <v>20</v>
      </c>
      <c r="Z633">
        <v>39</v>
      </c>
      <c r="AA633">
        <v>0</v>
      </c>
      <c r="AB633">
        <v>17</v>
      </c>
      <c r="AC633">
        <v>7</v>
      </c>
      <c r="AD633">
        <v>4</v>
      </c>
      <c r="AE633">
        <v>16</v>
      </c>
      <c r="AF633">
        <v>6</v>
      </c>
      <c r="AG633">
        <v>2</v>
      </c>
      <c r="AH633">
        <v>1</v>
      </c>
      <c r="AI633">
        <v>1</v>
      </c>
      <c r="AJ633">
        <v>23</v>
      </c>
      <c r="AK633">
        <v>1</v>
      </c>
      <c r="AL633">
        <v>0</v>
      </c>
      <c r="AM633">
        <v>0</v>
      </c>
      <c r="AN633">
        <v>4</v>
      </c>
      <c r="AO633">
        <v>1</v>
      </c>
      <c r="AP633">
        <v>6</v>
      </c>
      <c r="AQ633">
        <v>3</v>
      </c>
      <c r="AR633">
        <v>1</v>
      </c>
      <c r="AS633">
        <v>0</v>
      </c>
      <c r="AT633">
        <v>0</v>
      </c>
      <c r="AU633">
        <v>0</v>
      </c>
      <c r="AV633">
        <v>1</v>
      </c>
      <c r="AW633">
        <v>1</v>
      </c>
      <c r="AX633">
        <v>4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2</v>
      </c>
      <c r="BH633">
        <v>0</v>
      </c>
      <c r="BI633">
        <v>0</v>
      </c>
      <c r="BJ633">
        <v>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2</v>
      </c>
      <c r="BQ633">
        <v>0</v>
      </c>
      <c r="BR633">
        <v>0</v>
      </c>
      <c r="BS633">
        <v>0</v>
      </c>
      <c r="BT633">
        <v>9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0</v>
      </c>
      <c r="CM633">
        <v>1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2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1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</row>
    <row r="634" spans="1:201" x14ac:dyDescent="0.3">
      <c r="A634" t="s">
        <v>383</v>
      </c>
      <c r="B634" t="s">
        <v>391</v>
      </c>
      <c r="C634" t="s">
        <v>204</v>
      </c>
      <c r="D634" s="1">
        <v>2464</v>
      </c>
      <c r="E634">
        <v>592</v>
      </c>
      <c r="F634">
        <v>427</v>
      </c>
      <c r="G634">
        <v>436</v>
      </c>
      <c r="H634">
        <v>93</v>
      </c>
      <c r="I634">
        <v>81</v>
      </c>
      <c r="J634">
        <v>72</v>
      </c>
      <c r="K634">
        <v>36</v>
      </c>
      <c r="L634">
        <v>23</v>
      </c>
      <c r="M634">
        <v>103</v>
      </c>
      <c r="N634">
        <v>114</v>
      </c>
      <c r="O634">
        <v>106</v>
      </c>
      <c r="P634">
        <v>21</v>
      </c>
      <c r="Q634">
        <v>22</v>
      </c>
      <c r="R634">
        <v>33</v>
      </c>
      <c r="S634">
        <v>53</v>
      </c>
      <c r="T634">
        <v>67</v>
      </c>
      <c r="U634">
        <v>65</v>
      </c>
      <c r="V634">
        <v>0</v>
      </c>
      <c r="W634">
        <v>8</v>
      </c>
      <c r="X634">
        <v>0</v>
      </c>
      <c r="Y634">
        <v>11</v>
      </c>
      <c r="Z634">
        <v>25</v>
      </c>
      <c r="AA634">
        <v>0</v>
      </c>
      <c r="AB634">
        <v>8</v>
      </c>
      <c r="AC634">
        <v>1</v>
      </c>
      <c r="AD634">
        <v>22</v>
      </c>
      <c r="AE634">
        <v>0</v>
      </c>
      <c r="AF634">
        <v>3</v>
      </c>
      <c r="AG634">
        <v>2</v>
      </c>
      <c r="AH634">
        <v>0</v>
      </c>
      <c r="AI634">
        <v>0</v>
      </c>
      <c r="AJ634">
        <v>18</v>
      </c>
      <c r="AK634">
        <v>0</v>
      </c>
      <c r="AL634">
        <v>2</v>
      </c>
      <c r="AM634">
        <v>1</v>
      </c>
      <c r="AN634">
        <v>0</v>
      </c>
      <c r="AO634">
        <v>0</v>
      </c>
      <c r="AP634">
        <v>9</v>
      </c>
      <c r="AQ634">
        <v>1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2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2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1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1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1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</row>
    <row r="635" spans="1:201" x14ac:dyDescent="0.3">
      <c r="A635" t="s">
        <v>383</v>
      </c>
      <c r="B635" t="s">
        <v>392</v>
      </c>
      <c r="C635" t="s">
        <v>200</v>
      </c>
      <c r="D635" s="1">
        <v>2788</v>
      </c>
      <c r="E635">
        <v>986</v>
      </c>
      <c r="F635">
        <v>27</v>
      </c>
      <c r="G635">
        <v>100</v>
      </c>
      <c r="H635">
        <v>153</v>
      </c>
      <c r="I635">
        <v>17</v>
      </c>
      <c r="J635">
        <v>114</v>
      </c>
      <c r="K635">
        <v>422</v>
      </c>
      <c r="L635">
        <v>32</v>
      </c>
      <c r="M635">
        <v>145</v>
      </c>
      <c r="N635">
        <v>75</v>
      </c>
      <c r="O635">
        <v>417</v>
      </c>
      <c r="P635">
        <v>2</v>
      </c>
      <c r="Q635">
        <v>59</v>
      </c>
      <c r="R635">
        <v>8</v>
      </c>
      <c r="S635">
        <v>16</v>
      </c>
      <c r="T635">
        <v>2</v>
      </c>
      <c r="U635">
        <v>4</v>
      </c>
      <c r="V635">
        <v>6</v>
      </c>
      <c r="W635">
        <v>23</v>
      </c>
      <c r="X635">
        <v>0</v>
      </c>
      <c r="Y635">
        <v>2</v>
      </c>
      <c r="Z635">
        <v>6</v>
      </c>
      <c r="AA635">
        <v>0</v>
      </c>
      <c r="AB635">
        <v>0</v>
      </c>
      <c r="AC635">
        <v>0</v>
      </c>
      <c r="AD635">
        <v>9</v>
      </c>
      <c r="AE635">
        <v>153</v>
      </c>
      <c r="AF635">
        <v>1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1</v>
      </c>
      <c r="AN635">
        <v>2</v>
      </c>
      <c r="AO635">
        <v>0</v>
      </c>
      <c r="AP635">
        <v>2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1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</row>
    <row r="636" spans="1:201" x14ac:dyDescent="0.3">
      <c r="A636" t="s">
        <v>383</v>
      </c>
      <c r="B636" t="s">
        <v>392</v>
      </c>
      <c r="C636" t="s">
        <v>203</v>
      </c>
      <c r="D636" s="1">
        <v>2054</v>
      </c>
      <c r="E636">
        <v>775</v>
      </c>
      <c r="F636">
        <v>12</v>
      </c>
      <c r="G636">
        <v>57</v>
      </c>
      <c r="H636">
        <v>132</v>
      </c>
      <c r="I636">
        <v>11</v>
      </c>
      <c r="J636">
        <v>81</v>
      </c>
      <c r="K636">
        <v>367</v>
      </c>
      <c r="L636">
        <v>24</v>
      </c>
      <c r="M636">
        <v>72</v>
      </c>
      <c r="N636">
        <v>53</v>
      </c>
      <c r="O636">
        <v>233</v>
      </c>
      <c r="P636">
        <v>1</v>
      </c>
      <c r="Q636">
        <v>48</v>
      </c>
      <c r="R636">
        <v>7</v>
      </c>
      <c r="S636">
        <v>1</v>
      </c>
      <c r="T636">
        <v>2</v>
      </c>
      <c r="U636">
        <v>4</v>
      </c>
      <c r="V636">
        <v>5</v>
      </c>
      <c r="W636">
        <v>11</v>
      </c>
      <c r="X636">
        <v>0</v>
      </c>
      <c r="Y636">
        <v>2</v>
      </c>
      <c r="Z636">
        <v>3</v>
      </c>
      <c r="AA636">
        <v>0</v>
      </c>
      <c r="AB636">
        <v>0</v>
      </c>
      <c r="AC636">
        <v>0</v>
      </c>
      <c r="AD636">
        <v>1</v>
      </c>
      <c r="AE636">
        <v>147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2</v>
      </c>
      <c r="AO636">
        <v>0</v>
      </c>
      <c r="AP636">
        <v>2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1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</row>
    <row r="637" spans="1:201" x14ac:dyDescent="0.3">
      <c r="A637" t="s">
        <v>383</v>
      </c>
      <c r="B637" t="s">
        <v>392</v>
      </c>
      <c r="C637" t="s">
        <v>204</v>
      </c>
      <c r="D637">
        <v>734</v>
      </c>
      <c r="E637">
        <v>211</v>
      </c>
      <c r="F637">
        <v>15</v>
      </c>
      <c r="G637">
        <v>43</v>
      </c>
      <c r="H637">
        <v>21</v>
      </c>
      <c r="I637">
        <v>6</v>
      </c>
      <c r="J637">
        <v>33</v>
      </c>
      <c r="K637">
        <v>55</v>
      </c>
      <c r="L637">
        <v>8</v>
      </c>
      <c r="M637">
        <v>73</v>
      </c>
      <c r="N637">
        <v>22</v>
      </c>
      <c r="O637">
        <v>184</v>
      </c>
      <c r="P637">
        <v>1</v>
      </c>
      <c r="Q637">
        <v>11</v>
      </c>
      <c r="R637">
        <v>1</v>
      </c>
      <c r="S637">
        <v>15</v>
      </c>
      <c r="T637">
        <v>0</v>
      </c>
      <c r="U637">
        <v>0</v>
      </c>
      <c r="V637">
        <v>1</v>
      </c>
      <c r="W637">
        <v>12</v>
      </c>
      <c r="X637">
        <v>0</v>
      </c>
      <c r="Y637">
        <v>0</v>
      </c>
      <c r="Z637">
        <v>3</v>
      </c>
      <c r="AA637">
        <v>0</v>
      </c>
      <c r="AB637">
        <v>0</v>
      </c>
      <c r="AC637">
        <v>0</v>
      </c>
      <c r="AD637">
        <v>8</v>
      </c>
      <c r="AE637">
        <v>6</v>
      </c>
      <c r="AF637">
        <v>1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1</v>
      </c>
      <c r="BI637">
        <v>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</row>
    <row r="638" spans="1:201" x14ac:dyDescent="0.3">
      <c r="A638" t="s">
        <v>383</v>
      </c>
      <c r="B638" t="s">
        <v>393</v>
      </c>
      <c r="C638" t="s">
        <v>200</v>
      </c>
      <c r="D638" s="1">
        <v>25323</v>
      </c>
      <c r="E638" s="1">
        <v>2739</v>
      </c>
      <c r="F638" s="1">
        <v>3238</v>
      </c>
      <c r="G638" s="1">
        <v>2053</v>
      </c>
      <c r="H638" s="1">
        <v>1829</v>
      </c>
      <c r="I638" s="1">
        <v>2674</v>
      </c>
      <c r="J638" s="1">
        <v>1286</v>
      </c>
      <c r="K638">
        <v>679</v>
      </c>
      <c r="L638" s="1">
        <v>1482</v>
      </c>
      <c r="M638">
        <v>613</v>
      </c>
      <c r="N638">
        <v>892</v>
      </c>
      <c r="O638">
        <v>463</v>
      </c>
      <c r="P638" s="1">
        <v>1532</v>
      </c>
      <c r="Q638">
        <v>424</v>
      </c>
      <c r="R638">
        <v>286</v>
      </c>
      <c r="S638">
        <v>386</v>
      </c>
      <c r="T638">
        <v>672</v>
      </c>
      <c r="U638" s="1">
        <v>1769</v>
      </c>
      <c r="V638">
        <v>121</v>
      </c>
      <c r="W638">
        <v>95</v>
      </c>
      <c r="X638">
        <v>242</v>
      </c>
      <c r="Y638">
        <v>143</v>
      </c>
      <c r="Z638">
        <v>343</v>
      </c>
      <c r="AA638">
        <v>11</v>
      </c>
      <c r="AB638">
        <v>192</v>
      </c>
      <c r="AC638">
        <v>26</v>
      </c>
      <c r="AD638">
        <v>36</v>
      </c>
      <c r="AE638">
        <v>41</v>
      </c>
      <c r="AF638">
        <v>29</v>
      </c>
      <c r="AG638">
        <v>39</v>
      </c>
      <c r="AH638">
        <v>8</v>
      </c>
      <c r="AI638">
        <v>28</v>
      </c>
      <c r="AJ638">
        <v>268</v>
      </c>
      <c r="AK638">
        <v>22</v>
      </c>
      <c r="AL638">
        <v>126</v>
      </c>
      <c r="AM638">
        <v>6</v>
      </c>
      <c r="AN638">
        <v>6</v>
      </c>
      <c r="AO638">
        <v>37</v>
      </c>
      <c r="AP638">
        <v>17</v>
      </c>
      <c r="AQ638">
        <v>22</v>
      </c>
      <c r="AR638">
        <v>47</v>
      </c>
      <c r="AS638">
        <v>22</v>
      </c>
      <c r="AT638">
        <v>8</v>
      </c>
      <c r="AU638">
        <v>13</v>
      </c>
      <c r="AV638">
        <v>24</v>
      </c>
      <c r="AW638">
        <v>1</v>
      </c>
      <c r="AX638">
        <v>7</v>
      </c>
      <c r="AY638">
        <v>13</v>
      </c>
      <c r="AZ638">
        <v>1</v>
      </c>
      <c r="BA638">
        <v>4</v>
      </c>
      <c r="BB638">
        <v>0</v>
      </c>
      <c r="BC638">
        <v>0</v>
      </c>
      <c r="BD638">
        <v>4</v>
      </c>
      <c r="BE638">
        <v>8</v>
      </c>
      <c r="BF638">
        <v>5</v>
      </c>
      <c r="BG638">
        <v>2</v>
      </c>
      <c r="BH638">
        <v>4</v>
      </c>
      <c r="BI638">
        <v>4</v>
      </c>
      <c r="BJ638">
        <v>66</v>
      </c>
      <c r="BK638">
        <v>0</v>
      </c>
      <c r="BL638">
        <v>16</v>
      </c>
      <c r="BM638">
        <v>18</v>
      </c>
      <c r="BN638">
        <v>9</v>
      </c>
      <c r="BO638">
        <v>1</v>
      </c>
      <c r="BP638">
        <v>4</v>
      </c>
      <c r="BQ638">
        <v>7</v>
      </c>
      <c r="BR638">
        <v>5</v>
      </c>
      <c r="BS638">
        <v>1</v>
      </c>
      <c r="BT638">
        <v>4</v>
      </c>
      <c r="BU638">
        <v>5</v>
      </c>
      <c r="BV638">
        <v>4</v>
      </c>
      <c r="BW638">
        <v>2</v>
      </c>
      <c r="BX638">
        <v>7</v>
      </c>
      <c r="BY638">
        <v>13</v>
      </c>
      <c r="BZ638">
        <v>1</v>
      </c>
      <c r="CA638">
        <v>0</v>
      </c>
      <c r="CB638">
        <v>1</v>
      </c>
      <c r="CC638">
        <v>0</v>
      </c>
      <c r="CD638">
        <v>3</v>
      </c>
      <c r="CE638">
        <v>2</v>
      </c>
      <c r="CF638">
        <v>0</v>
      </c>
      <c r="CG638">
        <v>0</v>
      </c>
      <c r="CH638">
        <v>5</v>
      </c>
      <c r="CI638">
        <v>2</v>
      </c>
      <c r="CJ638">
        <v>3</v>
      </c>
      <c r="CK638">
        <v>0</v>
      </c>
      <c r="CL638">
        <v>1</v>
      </c>
      <c r="CM638">
        <v>2</v>
      </c>
      <c r="CN638">
        <v>0</v>
      </c>
      <c r="CO638">
        <v>1</v>
      </c>
      <c r="CP638">
        <v>2</v>
      </c>
      <c r="CQ638">
        <v>1</v>
      </c>
      <c r="CR638">
        <v>19</v>
      </c>
      <c r="CS638">
        <v>1</v>
      </c>
      <c r="CT638">
        <v>2</v>
      </c>
      <c r="CU638">
        <v>0</v>
      </c>
      <c r="CV638">
        <v>1</v>
      </c>
      <c r="CW638">
        <v>0</v>
      </c>
      <c r="CX638">
        <v>10</v>
      </c>
      <c r="CY638">
        <v>0</v>
      </c>
      <c r="CZ638">
        <v>0</v>
      </c>
      <c r="DA638">
        <v>4</v>
      </c>
      <c r="DB638">
        <v>1</v>
      </c>
      <c r="DC638">
        <v>0</v>
      </c>
      <c r="DD638">
        <v>10</v>
      </c>
      <c r="DE638">
        <v>1</v>
      </c>
      <c r="DF638">
        <v>3</v>
      </c>
      <c r="DG638">
        <v>1</v>
      </c>
      <c r="DH638">
        <v>1</v>
      </c>
      <c r="DI638">
        <v>2</v>
      </c>
      <c r="DJ638">
        <v>0</v>
      </c>
      <c r="DK638">
        <v>0</v>
      </c>
      <c r="DL638">
        <v>0</v>
      </c>
      <c r="DM638">
        <v>6</v>
      </c>
      <c r="DN638">
        <v>0</v>
      </c>
      <c r="DO638">
        <v>1</v>
      </c>
      <c r="DP638">
        <v>0</v>
      </c>
      <c r="DQ638">
        <v>0</v>
      </c>
      <c r="DR638">
        <v>0</v>
      </c>
      <c r="DS638">
        <v>1</v>
      </c>
      <c r="DT638">
        <v>3</v>
      </c>
      <c r="DU638">
        <v>0</v>
      </c>
      <c r="DV638">
        <v>0</v>
      </c>
      <c r="DW638">
        <v>0</v>
      </c>
      <c r="DX638">
        <v>4</v>
      </c>
      <c r="DY638">
        <v>1</v>
      </c>
      <c r="DZ638">
        <v>0</v>
      </c>
      <c r="EA638">
        <v>0</v>
      </c>
      <c r="EB638">
        <v>1</v>
      </c>
      <c r="EC638">
        <v>0</v>
      </c>
      <c r="ED638">
        <v>0</v>
      </c>
      <c r="EE638">
        <v>0</v>
      </c>
      <c r="EF638">
        <v>1</v>
      </c>
      <c r="EG638">
        <v>0</v>
      </c>
      <c r="EH638">
        <v>3</v>
      </c>
      <c r="EI638">
        <v>3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1</v>
      </c>
      <c r="ES638">
        <v>0</v>
      </c>
      <c r="ET638">
        <v>0</v>
      </c>
      <c r="EU638">
        <v>5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1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2</v>
      </c>
      <c r="FY638">
        <v>0</v>
      </c>
      <c r="FZ638">
        <v>0</v>
      </c>
      <c r="GA638">
        <v>0</v>
      </c>
      <c r="GB638">
        <v>2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4</v>
      </c>
    </row>
    <row r="639" spans="1:201" x14ac:dyDescent="0.3">
      <c r="A639" t="s">
        <v>383</v>
      </c>
      <c r="B639" t="s">
        <v>393</v>
      </c>
      <c r="C639" t="s">
        <v>203</v>
      </c>
      <c r="D639" s="1">
        <v>15536</v>
      </c>
      <c r="E639" s="1">
        <v>1338</v>
      </c>
      <c r="F639" s="1">
        <v>1943</v>
      </c>
      <c r="G639">
        <v>808</v>
      </c>
      <c r="H639" s="1">
        <v>1459</v>
      </c>
      <c r="I639" s="1">
        <v>1647</v>
      </c>
      <c r="J639" s="1">
        <v>1045</v>
      </c>
      <c r="K639">
        <v>596</v>
      </c>
      <c r="L639" s="1">
        <v>1298</v>
      </c>
      <c r="M639">
        <v>417</v>
      </c>
      <c r="N639">
        <v>651</v>
      </c>
      <c r="O639">
        <v>215</v>
      </c>
      <c r="P639">
        <v>824</v>
      </c>
      <c r="Q639">
        <v>339</v>
      </c>
      <c r="R639">
        <v>235</v>
      </c>
      <c r="S639">
        <v>111</v>
      </c>
      <c r="T639">
        <v>298</v>
      </c>
      <c r="U639">
        <v>882</v>
      </c>
      <c r="V639">
        <v>93</v>
      </c>
      <c r="W639">
        <v>44</v>
      </c>
      <c r="X639">
        <v>184</v>
      </c>
      <c r="Y639">
        <v>121</v>
      </c>
      <c r="Z639">
        <v>177</v>
      </c>
      <c r="AA639">
        <v>3</v>
      </c>
      <c r="AB639">
        <v>143</v>
      </c>
      <c r="AC639">
        <v>19</v>
      </c>
      <c r="AD639">
        <v>8</v>
      </c>
      <c r="AE639">
        <v>40</v>
      </c>
      <c r="AF639">
        <v>18</v>
      </c>
      <c r="AG639">
        <v>32</v>
      </c>
      <c r="AH639">
        <v>3</v>
      </c>
      <c r="AI639">
        <v>26</v>
      </c>
      <c r="AJ639">
        <v>157</v>
      </c>
      <c r="AK639">
        <v>16</v>
      </c>
      <c r="AL639">
        <v>51</v>
      </c>
      <c r="AM639">
        <v>2</v>
      </c>
      <c r="AN639">
        <v>4</v>
      </c>
      <c r="AO639">
        <v>20</v>
      </c>
      <c r="AP639">
        <v>11</v>
      </c>
      <c r="AQ639">
        <v>5</v>
      </c>
      <c r="AR639">
        <v>35</v>
      </c>
      <c r="AS639">
        <v>7</v>
      </c>
      <c r="AT639">
        <v>6</v>
      </c>
      <c r="AU639">
        <v>3</v>
      </c>
      <c r="AV639">
        <v>19</v>
      </c>
      <c r="AW639">
        <v>1</v>
      </c>
      <c r="AX639">
        <v>5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3</v>
      </c>
      <c r="BE639">
        <v>6</v>
      </c>
      <c r="BF639">
        <v>4</v>
      </c>
      <c r="BG639">
        <v>2</v>
      </c>
      <c r="BH639">
        <v>0</v>
      </c>
      <c r="BI639">
        <v>4</v>
      </c>
      <c r="BJ639">
        <v>34</v>
      </c>
      <c r="BK639">
        <v>0</v>
      </c>
      <c r="BL639">
        <v>10</v>
      </c>
      <c r="BM639">
        <v>12</v>
      </c>
      <c r="BN639">
        <v>1</v>
      </c>
      <c r="BO639">
        <v>1</v>
      </c>
      <c r="BP639">
        <v>2</v>
      </c>
      <c r="BQ639">
        <v>6</v>
      </c>
      <c r="BR639">
        <v>3</v>
      </c>
      <c r="BS639">
        <v>1</v>
      </c>
      <c r="BT639">
        <v>2</v>
      </c>
      <c r="BU639">
        <v>2</v>
      </c>
      <c r="BV639">
        <v>1</v>
      </c>
      <c r="BW639">
        <v>0</v>
      </c>
      <c r="BX639">
        <v>4</v>
      </c>
      <c r="BY639">
        <v>7</v>
      </c>
      <c r="BZ639">
        <v>1</v>
      </c>
      <c r="CA639">
        <v>0</v>
      </c>
      <c r="CB639">
        <v>0</v>
      </c>
      <c r="CC639">
        <v>0</v>
      </c>
      <c r="CD639">
        <v>1</v>
      </c>
      <c r="CE639">
        <v>0</v>
      </c>
      <c r="CF639">
        <v>0</v>
      </c>
      <c r="CG639">
        <v>0</v>
      </c>
      <c r="CH639">
        <v>2</v>
      </c>
      <c r="CI639">
        <v>0</v>
      </c>
      <c r="CJ639">
        <v>2</v>
      </c>
      <c r="CK639">
        <v>0</v>
      </c>
      <c r="CL639">
        <v>1</v>
      </c>
      <c r="CM639">
        <v>2</v>
      </c>
      <c r="CN639">
        <v>0</v>
      </c>
      <c r="CO639">
        <v>1</v>
      </c>
      <c r="CP639">
        <v>2</v>
      </c>
      <c r="CQ639">
        <v>0</v>
      </c>
      <c r="CR639">
        <v>12</v>
      </c>
      <c r="CS639">
        <v>0</v>
      </c>
      <c r="CT639">
        <v>1</v>
      </c>
      <c r="CU639">
        <v>0</v>
      </c>
      <c r="CV639">
        <v>0</v>
      </c>
      <c r="CW639">
        <v>0</v>
      </c>
      <c r="CX639">
        <v>6</v>
      </c>
      <c r="CY639">
        <v>0</v>
      </c>
      <c r="CZ639">
        <v>0</v>
      </c>
      <c r="DA639">
        <v>3</v>
      </c>
      <c r="DB639">
        <v>1</v>
      </c>
      <c r="DC639">
        <v>0</v>
      </c>
      <c r="DD639">
        <v>6</v>
      </c>
      <c r="DE639">
        <v>1</v>
      </c>
      <c r="DF639">
        <v>3</v>
      </c>
      <c r="DG639">
        <v>0</v>
      </c>
      <c r="DH639">
        <v>1</v>
      </c>
      <c r="DI639">
        <v>1</v>
      </c>
      <c r="DJ639">
        <v>0</v>
      </c>
      <c r="DK639">
        <v>0</v>
      </c>
      <c r="DL639">
        <v>0</v>
      </c>
      <c r="DM639">
        <v>2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1</v>
      </c>
      <c r="DT639">
        <v>1</v>
      </c>
      <c r="DU639">
        <v>0</v>
      </c>
      <c r="DV639">
        <v>0</v>
      </c>
      <c r="DW639">
        <v>0</v>
      </c>
      <c r="DX639">
        <v>4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1</v>
      </c>
      <c r="EG639">
        <v>0</v>
      </c>
      <c r="EH639">
        <v>1</v>
      </c>
      <c r="EI639">
        <v>3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5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1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1</v>
      </c>
      <c r="FY639">
        <v>0</v>
      </c>
      <c r="FZ639">
        <v>0</v>
      </c>
      <c r="GA639">
        <v>0</v>
      </c>
      <c r="GB639">
        <v>1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2</v>
      </c>
    </row>
    <row r="640" spans="1:201" x14ac:dyDescent="0.3">
      <c r="A640" t="s">
        <v>383</v>
      </c>
      <c r="B640" t="s">
        <v>393</v>
      </c>
      <c r="C640" t="s">
        <v>204</v>
      </c>
      <c r="D640" s="1">
        <v>9787</v>
      </c>
      <c r="E640" s="1">
        <v>1401</v>
      </c>
      <c r="F640" s="1">
        <v>1295</v>
      </c>
      <c r="G640" s="1">
        <v>1245</v>
      </c>
      <c r="H640">
        <v>370</v>
      </c>
      <c r="I640" s="1">
        <v>1027</v>
      </c>
      <c r="J640">
        <v>241</v>
      </c>
      <c r="K640">
        <v>83</v>
      </c>
      <c r="L640">
        <v>184</v>
      </c>
      <c r="M640">
        <v>196</v>
      </c>
      <c r="N640">
        <v>241</v>
      </c>
      <c r="O640">
        <v>248</v>
      </c>
      <c r="P640">
        <v>708</v>
      </c>
      <c r="Q640">
        <v>85</v>
      </c>
      <c r="R640">
        <v>51</v>
      </c>
      <c r="S640">
        <v>275</v>
      </c>
      <c r="T640">
        <v>374</v>
      </c>
      <c r="U640">
        <v>887</v>
      </c>
      <c r="V640">
        <v>28</v>
      </c>
      <c r="W640">
        <v>51</v>
      </c>
      <c r="X640">
        <v>58</v>
      </c>
      <c r="Y640">
        <v>22</v>
      </c>
      <c r="Z640">
        <v>166</v>
      </c>
      <c r="AA640">
        <v>8</v>
      </c>
      <c r="AB640">
        <v>49</v>
      </c>
      <c r="AC640">
        <v>7</v>
      </c>
      <c r="AD640">
        <v>28</v>
      </c>
      <c r="AE640">
        <v>1</v>
      </c>
      <c r="AF640">
        <v>11</v>
      </c>
      <c r="AG640">
        <v>7</v>
      </c>
      <c r="AH640">
        <v>5</v>
      </c>
      <c r="AI640">
        <v>2</v>
      </c>
      <c r="AJ640">
        <v>111</v>
      </c>
      <c r="AK640">
        <v>6</v>
      </c>
      <c r="AL640">
        <v>75</v>
      </c>
      <c r="AM640">
        <v>4</v>
      </c>
      <c r="AN640">
        <v>2</v>
      </c>
      <c r="AO640">
        <v>17</v>
      </c>
      <c r="AP640">
        <v>6</v>
      </c>
      <c r="AQ640">
        <v>17</v>
      </c>
      <c r="AR640">
        <v>12</v>
      </c>
      <c r="AS640">
        <v>15</v>
      </c>
      <c r="AT640">
        <v>2</v>
      </c>
      <c r="AU640">
        <v>10</v>
      </c>
      <c r="AV640">
        <v>5</v>
      </c>
      <c r="AW640">
        <v>0</v>
      </c>
      <c r="AX640">
        <v>2</v>
      </c>
      <c r="AY640">
        <v>12</v>
      </c>
      <c r="AZ640">
        <v>0</v>
      </c>
      <c r="BA640">
        <v>4</v>
      </c>
      <c r="BB640">
        <v>0</v>
      </c>
      <c r="BC640">
        <v>0</v>
      </c>
      <c r="BD640">
        <v>1</v>
      </c>
      <c r="BE640">
        <v>2</v>
      </c>
      <c r="BF640">
        <v>1</v>
      </c>
      <c r="BG640">
        <v>0</v>
      </c>
      <c r="BH640">
        <v>4</v>
      </c>
      <c r="BI640">
        <v>0</v>
      </c>
      <c r="BJ640">
        <v>32</v>
      </c>
      <c r="BK640">
        <v>0</v>
      </c>
      <c r="BL640">
        <v>6</v>
      </c>
      <c r="BM640">
        <v>6</v>
      </c>
      <c r="BN640">
        <v>8</v>
      </c>
      <c r="BO640">
        <v>0</v>
      </c>
      <c r="BP640">
        <v>2</v>
      </c>
      <c r="BQ640">
        <v>1</v>
      </c>
      <c r="BR640">
        <v>2</v>
      </c>
      <c r="BS640">
        <v>0</v>
      </c>
      <c r="BT640">
        <v>2</v>
      </c>
      <c r="BU640">
        <v>3</v>
      </c>
      <c r="BV640">
        <v>3</v>
      </c>
      <c r="BW640">
        <v>2</v>
      </c>
      <c r="BX640">
        <v>3</v>
      </c>
      <c r="BY640">
        <v>6</v>
      </c>
      <c r="BZ640">
        <v>0</v>
      </c>
      <c r="CA640">
        <v>0</v>
      </c>
      <c r="CB640">
        <v>1</v>
      </c>
      <c r="CC640">
        <v>0</v>
      </c>
      <c r="CD640">
        <v>2</v>
      </c>
      <c r="CE640">
        <v>2</v>
      </c>
      <c r="CF640">
        <v>0</v>
      </c>
      <c r="CG640">
        <v>0</v>
      </c>
      <c r="CH640">
        <v>3</v>
      </c>
      <c r="CI640">
        <v>2</v>
      </c>
      <c r="CJ640">
        <v>1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1</v>
      </c>
      <c r="CR640">
        <v>7</v>
      </c>
      <c r="CS640">
        <v>1</v>
      </c>
      <c r="CT640">
        <v>1</v>
      </c>
      <c r="CU640">
        <v>0</v>
      </c>
      <c r="CV640">
        <v>1</v>
      </c>
      <c r="CW640">
        <v>0</v>
      </c>
      <c r="CX640">
        <v>4</v>
      </c>
      <c r="CY640">
        <v>0</v>
      </c>
      <c r="CZ640">
        <v>0</v>
      </c>
      <c r="DA640">
        <v>1</v>
      </c>
      <c r="DB640">
        <v>0</v>
      </c>
      <c r="DC640">
        <v>0</v>
      </c>
      <c r="DD640">
        <v>4</v>
      </c>
      <c r="DE640">
        <v>0</v>
      </c>
      <c r="DF640">
        <v>0</v>
      </c>
      <c r="DG640">
        <v>1</v>
      </c>
      <c r="DH640">
        <v>0</v>
      </c>
      <c r="DI640">
        <v>1</v>
      </c>
      <c r="DJ640">
        <v>0</v>
      </c>
      <c r="DK640">
        <v>0</v>
      </c>
      <c r="DL640">
        <v>0</v>
      </c>
      <c r="DM640">
        <v>4</v>
      </c>
      <c r="DN640">
        <v>0</v>
      </c>
      <c r="DO640">
        <v>1</v>
      </c>
      <c r="DP640">
        <v>0</v>
      </c>
      <c r="DQ640">
        <v>0</v>
      </c>
      <c r="DR640">
        <v>0</v>
      </c>
      <c r="DS640">
        <v>0</v>
      </c>
      <c r="DT640">
        <v>2</v>
      </c>
      <c r="DU640">
        <v>0</v>
      </c>
      <c r="DV640">
        <v>0</v>
      </c>
      <c r="DW640">
        <v>0</v>
      </c>
      <c r="DX640">
        <v>0</v>
      </c>
      <c r="DY640">
        <v>1</v>
      </c>
      <c r="DZ640">
        <v>0</v>
      </c>
      <c r="EA640">
        <v>0</v>
      </c>
      <c r="EB640">
        <v>1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2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1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1</v>
      </c>
      <c r="FY640">
        <v>0</v>
      </c>
      <c r="FZ640">
        <v>0</v>
      </c>
      <c r="GA640">
        <v>0</v>
      </c>
      <c r="GB640">
        <v>1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2</v>
      </c>
    </row>
    <row r="641" spans="1:201" x14ac:dyDescent="0.3">
      <c r="A641" t="s">
        <v>383</v>
      </c>
      <c r="B641" t="s">
        <v>394</v>
      </c>
      <c r="C641" t="s">
        <v>200</v>
      </c>
      <c r="D641" s="1">
        <v>4007</v>
      </c>
      <c r="E641">
        <v>825</v>
      </c>
      <c r="F641">
        <v>259</v>
      </c>
      <c r="G641">
        <v>175</v>
      </c>
      <c r="H641">
        <v>688</v>
      </c>
      <c r="I641">
        <v>163</v>
      </c>
      <c r="J641">
        <v>353</v>
      </c>
      <c r="K641">
        <v>210</v>
      </c>
      <c r="L641">
        <v>321</v>
      </c>
      <c r="M641">
        <v>129</v>
      </c>
      <c r="N641">
        <v>144</v>
      </c>
      <c r="O641">
        <v>40</v>
      </c>
      <c r="P641">
        <v>11</v>
      </c>
      <c r="Q641">
        <v>161</v>
      </c>
      <c r="R641">
        <v>60</v>
      </c>
      <c r="S641">
        <v>10</v>
      </c>
      <c r="T641">
        <v>83</v>
      </c>
      <c r="U641">
        <v>95</v>
      </c>
      <c r="V641">
        <v>12</v>
      </c>
      <c r="W641">
        <v>16</v>
      </c>
      <c r="X641">
        <v>21</v>
      </c>
      <c r="Y641">
        <v>142</v>
      </c>
      <c r="Z641">
        <v>25</v>
      </c>
      <c r="AA641">
        <v>0</v>
      </c>
      <c r="AB641">
        <v>2</v>
      </c>
      <c r="AC641">
        <v>2</v>
      </c>
      <c r="AD641">
        <v>5</v>
      </c>
      <c r="AE641">
        <v>12</v>
      </c>
      <c r="AF641">
        <v>1</v>
      </c>
      <c r="AG641">
        <v>3</v>
      </c>
      <c r="AH641">
        <v>0</v>
      </c>
      <c r="AI641">
        <v>0</v>
      </c>
      <c r="AJ641">
        <v>5</v>
      </c>
      <c r="AK641">
        <v>2</v>
      </c>
      <c r="AL641">
        <v>6</v>
      </c>
      <c r="AM641">
        <v>0</v>
      </c>
      <c r="AN641">
        <v>2</v>
      </c>
      <c r="AO641">
        <v>2</v>
      </c>
      <c r="AP641">
        <v>9</v>
      </c>
      <c r="AQ641">
        <v>2</v>
      </c>
      <c r="AR641">
        <v>1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1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1</v>
      </c>
      <c r="BV641">
        <v>0</v>
      </c>
      <c r="BW641">
        <v>0</v>
      </c>
      <c r="BX641">
        <v>0</v>
      </c>
      <c r="BY641">
        <v>1</v>
      </c>
      <c r="BZ641">
        <v>0</v>
      </c>
      <c r="CA641">
        <v>0</v>
      </c>
      <c r="CB641">
        <v>0</v>
      </c>
      <c r="CC641">
        <v>0</v>
      </c>
      <c r="CD641">
        <v>2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1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1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1</v>
      </c>
    </row>
    <row r="642" spans="1:201" x14ac:dyDescent="0.3">
      <c r="A642" t="s">
        <v>383</v>
      </c>
      <c r="B642" t="s">
        <v>394</v>
      </c>
      <c r="C642" t="s">
        <v>203</v>
      </c>
      <c r="D642" s="1">
        <v>2775</v>
      </c>
      <c r="E642">
        <v>406</v>
      </c>
      <c r="F642">
        <v>149</v>
      </c>
      <c r="G642">
        <v>61</v>
      </c>
      <c r="H642">
        <v>574</v>
      </c>
      <c r="I642">
        <v>126</v>
      </c>
      <c r="J642">
        <v>309</v>
      </c>
      <c r="K642">
        <v>208</v>
      </c>
      <c r="L642">
        <v>304</v>
      </c>
      <c r="M642">
        <v>84</v>
      </c>
      <c r="N642">
        <v>106</v>
      </c>
      <c r="O642">
        <v>20</v>
      </c>
      <c r="P642">
        <v>6</v>
      </c>
      <c r="Q642">
        <v>142</v>
      </c>
      <c r="R642">
        <v>47</v>
      </c>
      <c r="S642">
        <v>0</v>
      </c>
      <c r="T642">
        <v>57</v>
      </c>
      <c r="U642">
        <v>57</v>
      </c>
      <c r="V642">
        <v>7</v>
      </c>
      <c r="W642">
        <v>8</v>
      </c>
      <c r="X642">
        <v>20</v>
      </c>
      <c r="Y642">
        <v>22</v>
      </c>
      <c r="Z642">
        <v>20</v>
      </c>
      <c r="AA642">
        <v>0</v>
      </c>
      <c r="AB642">
        <v>1</v>
      </c>
      <c r="AC642">
        <v>1</v>
      </c>
      <c r="AD642">
        <v>0</v>
      </c>
      <c r="AE642">
        <v>12</v>
      </c>
      <c r="AF642">
        <v>0</v>
      </c>
      <c r="AG642">
        <v>3</v>
      </c>
      <c r="AH642">
        <v>0</v>
      </c>
      <c r="AI642">
        <v>0</v>
      </c>
      <c r="AJ642">
        <v>2</v>
      </c>
      <c r="AK642">
        <v>2</v>
      </c>
      <c r="AL642">
        <v>4</v>
      </c>
      <c r="AM642">
        <v>0</v>
      </c>
      <c r="AN642">
        <v>2</v>
      </c>
      <c r="AO642">
        <v>2</v>
      </c>
      <c r="AP642">
        <v>5</v>
      </c>
      <c r="AQ642">
        <v>0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0</v>
      </c>
      <c r="CB642">
        <v>0</v>
      </c>
      <c r="CC642">
        <v>0</v>
      </c>
      <c r="CD642">
        <v>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1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1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1</v>
      </c>
    </row>
    <row r="643" spans="1:201" x14ac:dyDescent="0.3">
      <c r="A643" t="s">
        <v>383</v>
      </c>
      <c r="B643" t="s">
        <v>394</v>
      </c>
      <c r="C643" t="s">
        <v>204</v>
      </c>
      <c r="D643" s="1">
        <v>1232</v>
      </c>
      <c r="E643">
        <v>419</v>
      </c>
      <c r="F643">
        <v>110</v>
      </c>
      <c r="G643">
        <v>114</v>
      </c>
      <c r="H643">
        <v>114</v>
      </c>
      <c r="I643">
        <v>37</v>
      </c>
      <c r="J643">
        <v>44</v>
      </c>
      <c r="K643">
        <v>2</v>
      </c>
      <c r="L643">
        <v>17</v>
      </c>
      <c r="M643">
        <v>45</v>
      </c>
      <c r="N643">
        <v>38</v>
      </c>
      <c r="O643">
        <v>20</v>
      </c>
      <c r="P643">
        <v>5</v>
      </c>
      <c r="Q643">
        <v>19</v>
      </c>
      <c r="R643">
        <v>13</v>
      </c>
      <c r="S643">
        <v>10</v>
      </c>
      <c r="T643">
        <v>26</v>
      </c>
      <c r="U643">
        <v>38</v>
      </c>
      <c r="V643">
        <v>5</v>
      </c>
      <c r="W643">
        <v>8</v>
      </c>
      <c r="X643">
        <v>1</v>
      </c>
      <c r="Y643">
        <v>120</v>
      </c>
      <c r="Z643">
        <v>5</v>
      </c>
      <c r="AA643">
        <v>0</v>
      </c>
      <c r="AB643">
        <v>1</v>
      </c>
      <c r="AC643">
        <v>1</v>
      </c>
      <c r="AD643">
        <v>5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3</v>
      </c>
      <c r="AK643">
        <v>0</v>
      </c>
      <c r="AL643">
        <v>2</v>
      </c>
      <c r="AM643">
        <v>0</v>
      </c>
      <c r="AN643">
        <v>0</v>
      </c>
      <c r="AO643">
        <v>0</v>
      </c>
      <c r="AP643">
        <v>4</v>
      </c>
      <c r="AQ643">
        <v>2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</row>
    <row r="644" spans="1:201" x14ac:dyDescent="0.3">
      <c r="A644" t="s">
        <v>383</v>
      </c>
      <c r="B644" t="s">
        <v>395</v>
      </c>
      <c r="C644" t="s">
        <v>200</v>
      </c>
      <c r="D644" s="1">
        <v>11889</v>
      </c>
      <c r="E644" s="1">
        <v>1679</v>
      </c>
      <c r="F644" s="1">
        <v>2022</v>
      </c>
      <c r="G644" s="1">
        <v>1492</v>
      </c>
      <c r="H644" s="1">
        <v>1211</v>
      </c>
      <c r="I644" s="1">
        <v>1134</v>
      </c>
      <c r="J644">
        <v>531</v>
      </c>
      <c r="K644">
        <v>343</v>
      </c>
      <c r="L644">
        <v>502</v>
      </c>
      <c r="M644">
        <v>279</v>
      </c>
      <c r="N644">
        <v>463</v>
      </c>
      <c r="O644">
        <v>403</v>
      </c>
      <c r="P644">
        <v>44</v>
      </c>
      <c r="Q644">
        <v>154</v>
      </c>
      <c r="R644">
        <v>147</v>
      </c>
      <c r="S644">
        <v>177</v>
      </c>
      <c r="T644">
        <v>159</v>
      </c>
      <c r="U644">
        <v>208</v>
      </c>
      <c r="V644">
        <v>84</v>
      </c>
      <c r="W644">
        <v>63</v>
      </c>
      <c r="X644">
        <v>253</v>
      </c>
      <c r="Y644">
        <v>91</v>
      </c>
      <c r="Z644">
        <v>122</v>
      </c>
      <c r="AA644">
        <v>9</v>
      </c>
      <c r="AB644">
        <v>11</v>
      </c>
      <c r="AC644">
        <v>10</v>
      </c>
      <c r="AD644">
        <v>25</v>
      </c>
      <c r="AE644">
        <v>3</v>
      </c>
      <c r="AF644">
        <v>6</v>
      </c>
      <c r="AG644">
        <v>24</v>
      </c>
      <c r="AH644">
        <v>2</v>
      </c>
      <c r="AI644">
        <v>12</v>
      </c>
      <c r="AJ644">
        <v>34</v>
      </c>
      <c r="AK644">
        <v>13</v>
      </c>
      <c r="AL644">
        <v>6</v>
      </c>
      <c r="AM644">
        <v>1</v>
      </c>
      <c r="AN644">
        <v>7</v>
      </c>
      <c r="AO644">
        <v>3</v>
      </c>
      <c r="AP644">
        <v>12</v>
      </c>
      <c r="AQ644">
        <v>14</v>
      </c>
      <c r="AR644">
        <v>6</v>
      </c>
      <c r="AS644">
        <v>9</v>
      </c>
      <c r="AT644">
        <v>2</v>
      </c>
      <c r="AU644">
        <v>7</v>
      </c>
      <c r="AV644">
        <v>5</v>
      </c>
      <c r="AW644">
        <v>1</v>
      </c>
      <c r="AX644">
        <v>4</v>
      </c>
      <c r="AY644">
        <v>3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3</v>
      </c>
      <c r="BF644">
        <v>4</v>
      </c>
      <c r="BG644">
        <v>1</v>
      </c>
      <c r="BH644">
        <v>1</v>
      </c>
      <c r="BI644">
        <v>1</v>
      </c>
      <c r="BJ644">
        <v>2</v>
      </c>
      <c r="BK644">
        <v>0</v>
      </c>
      <c r="BL644">
        <v>23</v>
      </c>
      <c r="BM644">
        <v>3</v>
      </c>
      <c r="BN644">
        <v>0</v>
      </c>
      <c r="BO644">
        <v>0</v>
      </c>
      <c r="BP644">
        <v>4</v>
      </c>
      <c r="BQ644">
        <v>5</v>
      </c>
      <c r="BR644">
        <v>1</v>
      </c>
      <c r="BS644">
        <v>1</v>
      </c>
      <c r="BT644">
        <v>3</v>
      </c>
      <c r="BU644">
        <v>2</v>
      </c>
      <c r="BV644">
        <v>2</v>
      </c>
      <c r="BW644">
        <v>0</v>
      </c>
      <c r="BX644">
        <v>3</v>
      </c>
      <c r="BY644">
        <v>0</v>
      </c>
      <c r="BZ644">
        <v>0</v>
      </c>
      <c r="CA644">
        <v>1</v>
      </c>
      <c r="CB644">
        <v>0</v>
      </c>
      <c r="CC644">
        <v>2</v>
      </c>
      <c r="CD644">
        <v>1</v>
      </c>
      <c r="CE644">
        <v>1</v>
      </c>
      <c r="CF644">
        <v>0</v>
      </c>
      <c r="CG644">
        <v>0</v>
      </c>
      <c r="CH644">
        <v>4</v>
      </c>
      <c r="CI644">
        <v>3</v>
      </c>
      <c r="CJ644">
        <v>0</v>
      </c>
      <c r="CK644">
        <v>1</v>
      </c>
      <c r="CL644">
        <v>0</v>
      </c>
      <c r="CM644">
        <v>0</v>
      </c>
      <c r="CN644">
        <v>0</v>
      </c>
      <c r="CO644">
        <v>3</v>
      </c>
      <c r="CP644">
        <v>0</v>
      </c>
      <c r="CQ644">
        <v>0</v>
      </c>
      <c r="CR644">
        <v>1</v>
      </c>
      <c r="CS644">
        <v>0</v>
      </c>
      <c r="CT644">
        <v>3</v>
      </c>
      <c r="CU644">
        <v>0</v>
      </c>
      <c r="CV644">
        <v>1</v>
      </c>
      <c r="CW644">
        <v>1</v>
      </c>
      <c r="CX644">
        <v>0</v>
      </c>
      <c r="CY644">
        <v>1</v>
      </c>
      <c r="CZ644">
        <v>1</v>
      </c>
      <c r="DA644">
        <v>2</v>
      </c>
      <c r="DB644">
        <v>1</v>
      </c>
      <c r="DC644">
        <v>2</v>
      </c>
      <c r="DD644">
        <v>0</v>
      </c>
      <c r="DE644">
        <v>1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2</v>
      </c>
      <c r="DO644">
        <v>1</v>
      </c>
      <c r="DP644">
        <v>0</v>
      </c>
      <c r="DQ644">
        <v>1</v>
      </c>
      <c r="DR644">
        <v>0</v>
      </c>
      <c r="DS644">
        <v>1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1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1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3</v>
      </c>
    </row>
    <row r="645" spans="1:201" x14ac:dyDescent="0.3">
      <c r="A645" t="s">
        <v>383</v>
      </c>
      <c r="B645" t="s">
        <v>395</v>
      </c>
      <c r="C645" t="s">
        <v>203</v>
      </c>
      <c r="D645" s="1">
        <v>7485</v>
      </c>
      <c r="E645">
        <v>816</v>
      </c>
      <c r="F645" s="1">
        <v>1180</v>
      </c>
      <c r="G645">
        <v>599</v>
      </c>
      <c r="H645">
        <v>997</v>
      </c>
      <c r="I645">
        <v>909</v>
      </c>
      <c r="J645">
        <v>408</v>
      </c>
      <c r="K645">
        <v>280</v>
      </c>
      <c r="L645">
        <v>436</v>
      </c>
      <c r="M645">
        <v>162</v>
      </c>
      <c r="N645">
        <v>360</v>
      </c>
      <c r="O645">
        <v>186</v>
      </c>
      <c r="P645">
        <v>27</v>
      </c>
      <c r="Q645">
        <v>143</v>
      </c>
      <c r="R645">
        <v>124</v>
      </c>
      <c r="S645">
        <v>26</v>
      </c>
      <c r="T645">
        <v>78</v>
      </c>
      <c r="U645">
        <v>96</v>
      </c>
      <c r="V645">
        <v>64</v>
      </c>
      <c r="W645">
        <v>30</v>
      </c>
      <c r="X645">
        <v>208</v>
      </c>
      <c r="Y645">
        <v>77</v>
      </c>
      <c r="Z645">
        <v>92</v>
      </c>
      <c r="AA645">
        <v>9</v>
      </c>
      <c r="AB645">
        <v>5</v>
      </c>
      <c r="AC645">
        <v>6</v>
      </c>
      <c r="AD645">
        <v>6</v>
      </c>
      <c r="AE645">
        <v>3</v>
      </c>
      <c r="AF645">
        <v>2</v>
      </c>
      <c r="AG645">
        <v>20</v>
      </c>
      <c r="AH645">
        <v>2</v>
      </c>
      <c r="AI645">
        <v>9</v>
      </c>
      <c r="AJ645">
        <v>15</v>
      </c>
      <c r="AK645">
        <v>10</v>
      </c>
      <c r="AL645">
        <v>1</v>
      </c>
      <c r="AM645">
        <v>0</v>
      </c>
      <c r="AN645">
        <v>6</v>
      </c>
      <c r="AO645">
        <v>2</v>
      </c>
      <c r="AP645">
        <v>9</v>
      </c>
      <c r="AQ645">
        <v>10</v>
      </c>
      <c r="AR645">
        <v>3</v>
      </c>
      <c r="AS645">
        <v>3</v>
      </c>
      <c r="AT645">
        <v>0</v>
      </c>
      <c r="AU645">
        <v>3</v>
      </c>
      <c r="AV645">
        <v>4</v>
      </c>
      <c r="AW645">
        <v>1</v>
      </c>
      <c r="AX645">
        <v>4</v>
      </c>
      <c r="AY645">
        <v>1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3</v>
      </c>
      <c r="BF645">
        <v>4</v>
      </c>
      <c r="BG645">
        <v>1</v>
      </c>
      <c r="BH645">
        <v>0</v>
      </c>
      <c r="BI645">
        <v>0</v>
      </c>
      <c r="BJ645">
        <v>2</v>
      </c>
      <c r="BK645">
        <v>0</v>
      </c>
      <c r="BL645">
        <v>11</v>
      </c>
      <c r="BM645">
        <v>2</v>
      </c>
      <c r="BN645">
        <v>0</v>
      </c>
      <c r="BO645">
        <v>0</v>
      </c>
      <c r="BP645">
        <v>2</v>
      </c>
      <c r="BQ645">
        <v>4</v>
      </c>
      <c r="BR645">
        <v>0</v>
      </c>
      <c r="BS645">
        <v>1</v>
      </c>
      <c r="BT645">
        <v>3</v>
      </c>
      <c r="BU645">
        <v>0</v>
      </c>
      <c r="BV645">
        <v>1</v>
      </c>
      <c r="BW645">
        <v>0</v>
      </c>
      <c r="BX645">
        <v>3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0</v>
      </c>
      <c r="CE645">
        <v>0</v>
      </c>
      <c r="CF645">
        <v>0</v>
      </c>
      <c r="CG645">
        <v>0</v>
      </c>
      <c r="CH645">
        <v>3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2</v>
      </c>
      <c r="CP645">
        <v>0</v>
      </c>
      <c r="CQ645">
        <v>0</v>
      </c>
      <c r="CR645">
        <v>1</v>
      </c>
      <c r="CS645">
        <v>0</v>
      </c>
      <c r="CT645">
        <v>0</v>
      </c>
      <c r="CU645">
        <v>0</v>
      </c>
      <c r="CV645">
        <v>0</v>
      </c>
      <c r="CW645">
        <v>1</v>
      </c>
      <c r="CX645">
        <v>0</v>
      </c>
      <c r="CY645">
        <v>0</v>
      </c>
      <c r="CZ645">
        <v>1</v>
      </c>
      <c r="DA645">
        <v>1</v>
      </c>
      <c r="DB645">
        <v>0</v>
      </c>
      <c r="DC645">
        <v>2</v>
      </c>
      <c r="DD645">
        <v>0</v>
      </c>
      <c r="DE645">
        <v>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1</v>
      </c>
      <c r="DO645">
        <v>0</v>
      </c>
      <c r="DP645">
        <v>0</v>
      </c>
      <c r="DQ645">
        <v>0</v>
      </c>
      <c r="DR645">
        <v>0</v>
      </c>
      <c r="DS645">
        <v>1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1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</row>
    <row r="646" spans="1:201" x14ac:dyDescent="0.3">
      <c r="A646" t="s">
        <v>383</v>
      </c>
      <c r="B646" t="s">
        <v>395</v>
      </c>
      <c r="C646" t="s">
        <v>204</v>
      </c>
      <c r="D646" s="1">
        <v>4404</v>
      </c>
      <c r="E646">
        <v>863</v>
      </c>
      <c r="F646">
        <v>842</v>
      </c>
      <c r="G646">
        <v>893</v>
      </c>
      <c r="H646">
        <v>214</v>
      </c>
      <c r="I646">
        <v>225</v>
      </c>
      <c r="J646">
        <v>123</v>
      </c>
      <c r="K646">
        <v>63</v>
      </c>
      <c r="L646">
        <v>66</v>
      </c>
      <c r="M646">
        <v>117</v>
      </c>
      <c r="N646">
        <v>103</v>
      </c>
      <c r="O646">
        <v>217</v>
      </c>
      <c r="P646">
        <v>17</v>
      </c>
      <c r="Q646">
        <v>11</v>
      </c>
      <c r="R646">
        <v>23</v>
      </c>
      <c r="S646">
        <v>151</v>
      </c>
      <c r="T646">
        <v>81</v>
      </c>
      <c r="U646">
        <v>112</v>
      </c>
      <c r="V646">
        <v>20</v>
      </c>
      <c r="W646">
        <v>33</v>
      </c>
      <c r="X646">
        <v>45</v>
      </c>
      <c r="Y646">
        <v>14</v>
      </c>
      <c r="Z646">
        <v>30</v>
      </c>
      <c r="AA646">
        <v>0</v>
      </c>
      <c r="AB646">
        <v>6</v>
      </c>
      <c r="AC646">
        <v>4</v>
      </c>
      <c r="AD646">
        <v>19</v>
      </c>
      <c r="AE646">
        <v>0</v>
      </c>
      <c r="AF646">
        <v>4</v>
      </c>
      <c r="AG646">
        <v>4</v>
      </c>
      <c r="AH646">
        <v>0</v>
      </c>
      <c r="AI646">
        <v>3</v>
      </c>
      <c r="AJ646">
        <v>19</v>
      </c>
      <c r="AK646">
        <v>3</v>
      </c>
      <c r="AL646">
        <v>5</v>
      </c>
      <c r="AM646">
        <v>1</v>
      </c>
      <c r="AN646">
        <v>1</v>
      </c>
      <c r="AO646">
        <v>1</v>
      </c>
      <c r="AP646">
        <v>3</v>
      </c>
      <c r="AQ646">
        <v>4</v>
      </c>
      <c r="AR646">
        <v>3</v>
      </c>
      <c r="AS646">
        <v>6</v>
      </c>
      <c r="AT646">
        <v>2</v>
      </c>
      <c r="AU646">
        <v>4</v>
      </c>
      <c r="AV646">
        <v>1</v>
      </c>
      <c r="AW646">
        <v>0</v>
      </c>
      <c r="AX646">
        <v>0</v>
      </c>
      <c r="AY646">
        <v>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1</v>
      </c>
      <c r="BJ646">
        <v>0</v>
      </c>
      <c r="BK646">
        <v>0</v>
      </c>
      <c r="BL646">
        <v>12</v>
      </c>
      <c r="BM646">
        <v>1</v>
      </c>
      <c r="BN646">
        <v>0</v>
      </c>
      <c r="BO646">
        <v>0</v>
      </c>
      <c r="BP646">
        <v>2</v>
      </c>
      <c r="BQ646">
        <v>1</v>
      </c>
      <c r="BR646">
        <v>1</v>
      </c>
      <c r="BS646">
        <v>0</v>
      </c>
      <c r="BT646">
        <v>0</v>
      </c>
      <c r="BU646">
        <v>2</v>
      </c>
      <c r="BV646">
        <v>1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1</v>
      </c>
      <c r="CD646">
        <v>1</v>
      </c>
      <c r="CE646">
        <v>1</v>
      </c>
      <c r="CF646">
        <v>0</v>
      </c>
      <c r="CG646">
        <v>0</v>
      </c>
      <c r="CH646">
        <v>1</v>
      </c>
      <c r="CI646">
        <v>3</v>
      </c>
      <c r="CJ646">
        <v>0</v>
      </c>
      <c r="CK646">
        <v>1</v>
      </c>
      <c r="CL646">
        <v>0</v>
      </c>
      <c r="CM646">
        <v>0</v>
      </c>
      <c r="CN646">
        <v>0</v>
      </c>
      <c r="CO646">
        <v>1</v>
      </c>
      <c r="CP646">
        <v>0</v>
      </c>
      <c r="CQ646">
        <v>0</v>
      </c>
      <c r="CR646">
        <v>0</v>
      </c>
      <c r="CS646">
        <v>0</v>
      </c>
      <c r="CT646">
        <v>3</v>
      </c>
      <c r="CU646">
        <v>0</v>
      </c>
      <c r="CV646">
        <v>1</v>
      </c>
      <c r="CW646">
        <v>0</v>
      </c>
      <c r="CX646">
        <v>0</v>
      </c>
      <c r="CY646">
        <v>1</v>
      </c>
      <c r="CZ646">
        <v>0</v>
      </c>
      <c r="DA646">
        <v>1</v>
      </c>
      <c r="DB646">
        <v>1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1</v>
      </c>
      <c r="DO646">
        <v>1</v>
      </c>
      <c r="DP646">
        <v>0</v>
      </c>
      <c r="DQ646">
        <v>1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1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3</v>
      </c>
    </row>
    <row r="647" spans="1:201" x14ac:dyDescent="0.3">
      <c r="A647" t="s">
        <v>383</v>
      </c>
      <c r="B647" t="s">
        <v>396</v>
      </c>
      <c r="C647" t="s">
        <v>200</v>
      </c>
      <c r="D647" s="1">
        <v>17859</v>
      </c>
      <c r="E647" s="1">
        <v>5634</v>
      </c>
      <c r="F647" s="1">
        <v>2530</v>
      </c>
      <c r="G647" s="1">
        <v>1822</v>
      </c>
      <c r="H647">
        <v>984</v>
      </c>
      <c r="I647">
        <v>597</v>
      </c>
      <c r="J647">
        <v>852</v>
      </c>
      <c r="K647">
        <v>349</v>
      </c>
      <c r="L647" s="1">
        <v>1212</v>
      </c>
      <c r="M647">
        <v>409</v>
      </c>
      <c r="N647">
        <v>638</v>
      </c>
      <c r="O647">
        <v>630</v>
      </c>
      <c r="P647">
        <v>181</v>
      </c>
      <c r="Q647">
        <v>311</v>
      </c>
      <c r="R647">
        <v>295</v>
      </c>
      <c r="S647">
        <v>213</v>
      </c>
      <c r="T647">
        <v>133</v>
      </c>
      <c r="U647">
        <v>138</v>
      </c>
      <c r="V647">
        <v>86</v>
      </c>
      <c r="W647">
        <v>55</v>
      </c>
      <c r="X647">
        <v>177</v>
      </c>
      <c r="Y647">
        <v>71</v>
      </c>
      <c r="Z647">
        <v>110</v>
      </c>
      <c r="AA647">
        <v>5</v>
      </c>
      <c r="AB647">
        <v>14</v>
      </c>
      <c r="AC647">
        <v>15</v>
      </c>
      <c r="AD647">
        <v>49</v>
      </c>
      <c r="AE647">
        <v>32</v>
      </c>
      <c r="AF647">
        <v>17</v>
      </c>
      <c r="AG647">
        <v>18</v>
      </c>
      <c r="AH647">
        <v>2</v>
      </c>
      <c r="AI647">
        <v>6</v>
      </c>
      <c r="AJ647">
        <v>29</v>
      </c>
      <c r="AK647">
        <v>5</v>
      </c>
      <c r="AL647">
        <v>15</v>
      </c>
      <c r="AM647">
        <v>3</v>
      </c>
      <c r="AN647">
        <v>6</v>
      </c>
      <c r="AO647">
        <v>8</v>
      </c>
      <c r="AP647">
        <v>0</v>
      </c>
      <c r="AQ647">
        <v>16</v>
      </c>
      <c r="AR647">
        <v>6</v>
      </c>
      <c r="AS647">
        <v>6</v>
      </c>
      <c r="AT647">
        <v>4</v>
      </c>
      <c r="AU647">
        <v>7</v>
      </c>
      <c r="AV647">
        <v>7</v>
      </c>
      <c r="AW647">
        <v>1</v>
      </c>
      <c r="AX647">
        <v>9</v>
      </c>
      <c r="AY647">
        <v>3</v>
      </c>
      <c r="AZ647">
        <v>4</v>
      </c>
      <c r="BA647">
        <v>3</v>
      </c>
      <c r="BB647">
        <v>1</v>
      </c>
      <c r="BC647">
        <v>1</v>
      </c>
      <c r="BD647">
        <v>0</v>
      </c>
      <c r="BE647">
        <v>0</v>
      </c>
      <c r="BF647">
        <v>3</v>
      </c>
      <c r="BG647">
        <v>3</v>
      </c>
      <c r="BH647">
        <v>4</v>
      </c>
      <c r="BI647">
        <v>3</v>
      </c>
      <c r="BJ647">
        <v>7</v>
      </c>
      <c r="BK647">
        <v>0</v>
      </c>
      <c r="BL647">
        <v>49</v>
      </c>
      <c r="BM647">
        <v>1</v>
      </c>
      <c r="BN647">
        <v>3</v>
      </c>
      <c r="BO647">
        <v>0</v>
      </c>
      <c r="BP647">
        <v>2</v>
      </c>
      <c r="BQ647">
        <v>3</v>
      </c>
      <c r="BR647">
        <v>0</v>
      </c>
      <c r="BS647">
        <v>2</v>
      </c>
      <c r="BT647">
        <v>0</v>
      </c>
      <c r="BU647">
        <v>1</v>
      </c>
      <c r="BV647">
        <v>6</v>
      </c>
      <c r="BW647">
        <v>0</v>
      </c>
      <c r="BX647">
        <v>2</v>
      </c>
      <c r="BY647">
        <v>0</v>
      </c>
      <c r="BZ647">
        <v>0</v>
      </c>
      <c r="CA647">
        <v>0</v>
      </c>
      <c r="CB647">
        <v>0</v>
      </c>
      <c r="CC647">
        <v>2</v>
      </c>
      <c r="CD647">
        <v>3</v>
      </c>
      <c r="CE647">
        <v>2</v>
      </c>
      <c r="CF647">
        <v>2</v>
      </c>
      <c r="CG647">
        <v>1</v>
      </c>
      <c r="CH647">
        <v>1</v>
      </c>
      <c r="CI647">
        <v>9</v>
      </c>
      <c r="CJ647">
        <v>0</v>
      </c>
      <c r="CK647">
        <v>1</v>
      </c>
      <c r="CL647">
        <v>0</v>
      </c>
      <c r="CM647">
        <v>0</v>
      </c>
      <c r="CN647">
        <v>0</v>
      </c>
      <c r="CO647">
        <v>0</v>
      </c>
      <c r="CP647">
        <v>2</v>
      </c>
      <c r="CQ647">
        <v>0</v>
      </c>
      <c r="CR647">
        <v>0</v>
      </c>
      <c r="CS647">
        <v>2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5</v>
      </c>
      <c r="DB647">
        <v>2</v>
      </c>
      <c r="DC647">
        <v>0</v>
      </c>
      <c r="DD647">
        <v>1</v>
      </c>
      <c r="DE647">
        <v>0</v>
      </c>
      <c r="DF647">
        <v>0</v>
      </c>
      <c r="DG647">
        <v>0</v>
      </c>
      <c r="DH647">
        <v>0</v>
      </c>
      <c r="DI647">
        <v>5</v>
      </c>
      <c r="DJ647">
        <v>0</v>
      </c>
      <c r="DK647">
        <v>3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1</v>
      </c>
      <c r="DV647">
        <v>1</v>
      </c>
      <c r="DW647">
        <v>0</v>
      </c>
      <c r="DX647">
        <v>1</v>
      </c>
      <c r="DY647">
        <v>1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2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1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2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1</v>
      </c>
    </row>
    <row r="648" spans="1:201" x14ac:dyDescent="0.3">
      <c r="A648" t="s">
        <v>383</v>
      </c>
      <c r="B648" t="s">
        <v>396</v>
      </c>
      <c r="C648" t="s">
        <v>203</v>
      </c>
      <c r="D648" s="1">
        <v>10173</v>
      </c>
      <c r="E648" s="1">
        <v>2597</v>
      </c>
      <c r="F648" s="1">
        <v>1482</v>
      </c>
      <c r="G648">
        <v>738</v>
      </c>
      <c r="H648">
        <v>812</v>
      </c>
      <c r="I648">
        <v>441</v>
      </c>
      <c r="J648">
        <v>672</v>
      </c>
      <c r="K648">
        <v>300</v>
      </c>
      <c r="L648">
        <v>839</v>
      </c>
      <c r="M648">
        <v>248</v>
      </c>
      <c r="N648">
        <v>432</v>
      </c>
      <c r="O648">
        <v>297</v>
      </c>
      <c r="P648">
        <v>82</v>
      </c>
      <c r="Q648">
        <v>252</v>
      </c>
      <c r="R648">
        <v>257</v>
      </c>
      <c r="S648">
        <v>38</v>
      </c>
      <c r="T648">
        <v>52</v>
      </c>
      <c r="U648">
        <v>71</v>
      </c>
      <c r="V648">
        <v>65</v>
      </c>
      <c r="W648">
        <v>26</v>
      </c>
      <c r="X648">
        <v>142</v>
      </c>
      <c r="Y648">
        <v>50</v>
      </c>
      <c r="Z648">
        <v>64</v>
      </c>
      <c r="AA648">
        <v>4</v>
      </c>
      <c r="AB648">
        <v>7</v>
      </c>
      <c r="AC648">
        <v>7</v>
      </c>
      <c r="AD648">
        <v>9</v>
      </c>
      <c r="AE648">
        <v>32</v>
      </c>
      <c r="AF648">
        <v>12</v>
      </c>
      <c r="AG648">
        <v>8</v>
      </c>
      <c r="AH648">
        <v>0</v>
      </c>
      <c r="AI648">
        <v>6</v>
      </c>
      <c r="AJ648">
        <v>18</v>
      </c>
      <c r="AK648">
        <v>4</v>
      </c>
      <c r="AL648">
        <v>1</v>
      </c>
      <c r="AM648">
        <v>1</v>
      </c>
      <c r="AN648">
        <v>2</v>
      </c>
      <c r="AO648">
        <v>4</v>
      </c>
      <c r="AP648">
        <v>0</v>
      </c>
      <c r="AQ648">
        <v>6</v>
      </c>
      <c r="AR648">
        <v>5</v>
      </c>
      <c r="AS648">
        <v>0</v>
      </c>
      <c r="AT648">
        <v>2</v>
      </c>
      <c r="AU648">
        <v>3</v>
      </c>
      <c r="AV648">
        <v>4</v>
      </c>
      <c r="AW648">
        <v>0</v>
      </c>
      <c r="AX648">
        <v>7</v>
      </c>
      <c r="AY648">
        <v>0</v>
      </c>
      <c r="AZ648">
        <v>3</v>
      </c>
      <c r="BA648">
        <v>2</v>
      </c>
      <c r="BB648">
        <v>1</v>
      </c>
      <c r="BC648">
        <v>0</v>
      </c>
      <c r="BD648">
        <v>0</v>
      </c>
      <c r="BE648">
        <v>0</v>
      </c>
      <c r="BF648">
        <v>2</v>
      </c>
      <c r="BG648">
        <v>1</v>
      </c>
      <c r="BH648">
        <v>0</v>
      </c>
      <c r="BI648">
        <v>2</v>
      </c>
      <c r="BJ648">
        <v>4</v>
      </c>
      <c r="BK648">
        <v>0</v>
      </c>
      <c r="BL648">
        <v>35</v>
      </c>
      <c r="BM648">
        <v>0</v>
      </c>
      <c r="BN648">
        <v>1</v>
      </c>
      <c r="BO648">
        <v>0</v>
      </c>
      <c r="BP648">
        <v>0</v>
      </c>
      <c r="BQ648">
        <v>1</v>
      </c>
      <c r="BR648">
        <v>0</v>
      </c>
      <c r="BS648">
        <v>2</v>
      </c>
      <c r="BT648">
        <v>0</v>
      </c>
      <c r="BU648">
        <v>0</v>
      </c>
      <c r="BV648">
        <v>1</v>
      </c>
      <c r="BW648">
        <v>0</v>
      </c>
      <c r="BX648">
        <v>2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1</v>
      </c>
      <c r="CE648">
        <v>1</v>
      </c>
      <c r="CF648">
        <v>1</v>
      </c>
      <c r="CG648">
        <v>0</v>
      </c>
      <c r="CH648">
        <v>1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4</v>
      </c>
      <c r="DB648">
        <v>1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2</v>
      </c>
      <c r="DJ648">
        <v>0</v>
      </c>
      <c r="DK648">
        <v>2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1</v>
      </c>
      <c r="DY648">
        <v>1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1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1</v>
      </c>
    </row>
    <row r="649" spans="1:201" x14ac:dyDescent="0.3">
      <c r="A649" t="s">
        <v>383</v>
      </c>
      <c r="B649" t="s">
        <v>396</v>
      </c>
      <c r="C649" t="s">
        <v>204</v>
      </c>
      <c r="D649" s="1">
        <v>7686</v>
      </c>
      <c r="E649" s="1">
        <v>3037</v>
      </c>
      <c r="F649" s="1">
        <v>1048</v>
      </c>
      <c r="G649" s="1">
        <v>1084</v>
      </c>
      <c r="H649">
        <v>172</v>
      </c>
      <c r="I649">
        <v>156</v>
      </c>
      <c r="J649">
        <v>180</v>
      </c>
      <c r="K649">
        <v>49</v>
      </c>
      <c r="L649">
        <v>373</v>
      </c>
      <c r="M649">
        <v>161</v>
      </c>
      <c r="N649">
        <v>206</v>
      </c>
      <c r="O649">
        <v>333</v>
      </c>
      <c r="P649">
        <v>99</v>
      </c>
      <c r="Q649">
        <v>59</v>
      </c>
      <c r="R649">
        <v>38</v>
      </c>
      <c r="S649">
        <v>175</v>
      </c>
      <c r="T649">
        <v>81</v>
      </c>
      <c r="U649">
        <v>67</v>
      </c>
      <c r="V649">
        <v>21</v>
      </c>
      <c r="W649">
        <v>29</v>
      </c>
      <c r="X649">
        <v>35</v>
      </c>
      <c r="Y649">
        <v>21</v>
      </c>
      <c r="Z649">
        <v>46</v>
      </c>
      <c r="AA649">
        <v>1</v>
      </c>
      <c r="AB649">
        <v>7</v>
      </c>
      <c r="AC649">
        <v>8</v>
      </c>
      <c r="AD649">
        <v>40</v>
      </c>
      <c r="AE649">
        <v>0</v>
      </c>
      <c r="AF649">
        <v>5</v>
      </c>
      <c r="AG649">
        <v>10</v>
      </c>
      <c r="AH649">
        <v>2</v>
      </c>
      <c r="AI649">
        <v>0</v>
      </c>
      <c r="AJ649">
        <v>11</v>
      </c>
      <c r="AK649">
        <v>1</v>
      </c>
      <c r="AL649">
        <v>14</v>
      </c>
      <c r="AM649">
        <v>2</v>
      </c>
      <c r="AN649">
        <v>4</v>
      </c>
      <c r="AO649">
        <v>4</v>
      </c>
      <c r="AP649">
        <v>0</v>
      </c>
      <c r="AQ649">
        <v>10</v>
      </c>
      <c r="AR649">
        <v>1</v>
      </c>
      <c r="AS649">
        <v>6</v>
      </c>
      <c r="AT649">
        <v>2</v>
      </c>
      <c r="AU649">
        <v>4</v>
      </c>
      <c r="AV649">
        <v>3</v>
      </c>
      <c r="AW649">
        <v>1</v>
      </c>
      <c r="AX649">
        <v>2</v>
      </c>
      <c r="AY649">
        <v>3</v>
      </c>
      <c r="AZ649">
        <v>1</v>
      </c>
      <c r="BA649">
        <v>1</v>
      </c>
      <c r="BB649">
        <v>0</v>
      </c>
      <c r="BC649">
        <v>1</v>
      </c>
      <c r="BD649">
        <v>0</v>
      </c>
      <c r="BE649">
        <v>0</v>
      </c>
      <c r="BF649">
        <v>1</v>
      </c>
      <c r="BG649">
        <v>2</v>
      </c>
      <c r="BH649">
        <v>4</v>
      </c>
      <c r="BI649">
        <v>1</v>
      </c>
      <c r="BJ649">
        <v>3</v>
      </c>
      <c r="BK649">
        <v>0</v>
      </c>
      <c r="BL649">
        <v>14</v>
      </c>
      <c r="BM649">
        <v>1</v>
      </c>
      <c r="BN649">
        <v>2</v>
      </c>
      <c r="BO649">
        <v>0</v>
      </c>
      <c r="BP649">
        <v>2</v>
      </c>
      <c r="BQ649">
        <v>2</v>
      </c>
      <c r="BR649">
        <v>0</v>
      </c>
      <c r="BS649">
        <v>0</v>
      </c>
      <c r="BT649">
        <v>0</v>
      </c>
      <c r="BU649">
        <v>1</v>
      </c>
      <c r="BV649">
        <v>5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2</v>
      </c>
      <c r="CD649">
        <v>2</v>
      </c>
      <c r="CE649">
        <v>1</v>
      </c>
      <c r="CF649">
        <v>1</v>
      </c>
      <c r="CG649">
        <v>1</v>
      </c>
      <c r="CH649">
        <v>0</v>
      </c>
      <c r="CI649">
        <v>9</v>
      </c>
      <c r="CJ649">
        <v>0</v>
      </c>
      <c r="CK649">
        <v>1</v>
      </c>
      <c r="CL649">
        <v>0</v>
      </c>
      <c r="CM649">
        <v>0</v>
      </c>
      <c r="CN649">
        <v>0</v>
      </c>
      <c r="CO649">
        <v>0</v>
      </c>
      <c r="CP649">
        <v>2</v>
      </c>
      <c r="CQ649">
        <v>0</v>
      </c>
      <c r="CR649">
        <v>0</v>
      </c>
      <c r="CS649">
        <v>2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1</v>
      </c>
      <c r="DB649">
        <v>1</v>
      </c>
      <c r="DC649">
        <v>0</v>
      </c>
      <c r="DD649">
        <v>1</v>
      </c>
      <c r="DE649">
        <v>0</v>
      </c>
      <c r="DF649">
        <v>0</v>
      </c>
      <c r="DG649">
        <v>0</v>
      </c>
      <c r="DH649">
        <v>0</v>
      </c>
      <c r="DI649">
        <v>3</v>
      </c>
      <c r="DJ649">
        <v>0</v>
      </c>
      <c r="DK649">
        <v>1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1</v>
      </c>
      <c r="DV649">
        <v>1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2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1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1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</row>
    <row r="650" spans="1:201" x14ac:dyDescent="0.3">
      <c r="A650" t="s">
        <v>383</v>
      </c>
      <c r="B650" t="s">
        <v>397</v>
      </c>
      <c r="C650" t="s">
        <v>200</v>
      </c>
      <c r="D650" s="1">
        <v>1108</v>
      </c>
      <c r="E650">
        <v>303</v>
      </c>
      <c r="F650">
        <v>34</v>
      </c>
      <c r="G650">
        <v>32</v>
      </c>
      <c r="H650">
        <v>219</v>
      </c>
      <c r="I650">
        <v>12</v>
      </c>
      <c r="J650">
        <v>136</v>
      </c>
      <c r="K650">
        <v>58</v>
      </c>
      <c r="L650">
        <v>52</v>
      </c>
      <c r="M650">
        <v>40</v>
      </c>
      <c r="N650">
        <v>58</v>
      </c>
      <c r="O650">
        <v>8</v>
      </c>
      <c r="P650">
        <v>2</v>
      </c>
      <c r="Q650">
        <v>22</v>
      </c>
      <c r="R650">
        <v>36</v>
      </c>
      <c r="S650">
        <v>13</v>
      </c>
      <c r="T650">
        <v>0</v>
      </c>
      <c r="U650">
        <v>4</v>
      </c>
      <c r="V650">
        <v>9</v>
      </c>
      <c r="W650">
        <v>6</v>
      </c>
      <c r="X650">
        <v>0</v>
      </c>
      <c r="Y650">
        <v>44</v>
      </c>
      <c r="Z650">
        <v>3</v>
      </c>
      <c r="AA650">
        <v>0</v>
      </c>
      <c r="AB650">
        <v>0</v>
      </c>
      <c r="AC650">
        <v>1</v>
      </c>
      <c r="AD650">
        <v>2</v>
      </c>
      <c r="AE650">
        <v>5</v>
      </c>
      <c r="AF650">
        <v>2</v>
      </c>
      <c r="AG650">
        <v>0</v>
      </c>
      <c r="AH650">
        <v>0</v>
      </c>
      <c r="AI650">
        <v>3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1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</row>
    <row r="651" spans="1:201" x14ac:dyDescent="0.3">
      <c r="A651" t="s">
        <v>383</v>
      </c>
      <c r="B651" t="s">
        <v>397</v>
      </c>
      <c r="C651" t="s">
        <v>203</v>
      </c>
      <c r="D651">
        <v>652</v>
      </c>
      <c r="E651">
        <v>134</v>
      </c>
      <c r="F651">
        <v>19</v>
      </c>
      <c r="G651">
        <v>11</v>
      </c>
      <c r="H651">
        <v>165</v>
      </c>
      <c r="I651">
        <v>10</v>
      </c>
      <c r="J651">
        <v>82</v>
      </c>
      <c r="K651">
        <v>39</v>
      </c>
      <c r="L651">
        <v>49</v>
      </c>
      <c r="M651">
        <v>20</v>
      </c>
      <c r="N651">
        <v>38</v>
      </c>
      <c r="O651">
        <v>5</v>
      </c>
      <c r="P651">
        <v>0</v>
      </c>
      <c r="Q651">
        <v>19</v>
      </c>
      <c r="R651">
        <v>23</v>
      </c>
      <c r="S651">
        <v>1</v>
      </c>
      <c r="T651">
        <v>0</v>
      </c>
      <c r="U651">
        <v>2</v>
      </c>
      <c r="V651">
        <v>9</v>
      </c>
      <c r="W651">
        <v>1</v>
      </c>
      <c r="X651">
        <v>0</v>
      </c>
      <c r="Y651">
        <v>14</v>
      </c>
      <c r="Z651">
        <v>3</v>
      </c>
      <c r="AA651">
        <v>0</v>
      </c>
      <c r="AB651">
        <v>0</v>
      </c>
      <c r="AC651">
        <v>0</v>
      </c>
      <c r="AD651">
        <v>0</v>
      </c>
      <c r="AE651">
        <v>5</v>
      </c>
      <c r="AF651">
        <v>1</v>
      </c>
      <c r="AG651">
        <v>0</v>
      </c>
      <c r="AH651">
        <v>0</v>
      </c>
      <c r="AI651">
        <v>2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</row>
    <row r="652" spans="1:201" x14ac:dyDescent="0.3">
      <c r="A652" t="s">
        <v>383</v>
      </c>
      <c r="B652" t="s">
        <v>397</v>
      </c>
      <c r="C652" t="s">
        <v>204</v>
      </c>
      <c r="D652">
        <v>456</v>
      </c>
      <c r="E652">
        <v>169</v>
      </c>
      <c r="F652">
        <v>15</v>
      </c>
      <c r="G652">
        <v>21</v>
      </c>
      <c r="H652">
        <v>54</v>
      </c>
      <c r="I652">
        <v>2</v>
      </c>
      <c r="J652">
        <v>54</v>
      </c>
      <c r="K652">
        <v>19</v>
      </c>
      <c r="L652">
        <v>3</v>
      </c>
      <c r="M652">
        <v>20</v>
      </c>
      <c r="N652">
        <v>20</v>
      </c>
      <c r="O652">
        <v>3</v>
      </c>
      <c r="P652">
        <v>2</v>
      </c>
      <c r="Q652">
        <v>3</v>
      </c>
      <c r="R652">
        <v>13</v>
      </c>
      <c r="S652">
        <v>12</v>
      </c>
      <c r="T652">
        <v>0</v>
      </c>
      <c r="U652">
        <v>2</v>
      </c>
      <c r="V652">
        <v>0</v>
      </c>
      <c r="W652">
        <v>5</v>
      </c>
      <c r="X652">
        <v>0</v>
      </c>
      <c r="Y652">
        <v>30</v>
      </c>
      <c r="Z652">
        <v>0</v>
      </c>
      <c r="AA652">
        <v>0</v>
      </c>
      <c r="AB652">
        <v>0</v>
      </c>
      <c r="AC652">
        <v>1</v>
      </c>
      <c r="AD652">
        <v>2</v>
      </c>
      <c r="AE652">
        <v>0</v>
      </c>
      <c r="AF652">
        <v>1</v>
      </c>
      <c r="AG652">
        <v>0</v>
      </c>
      <c r="AH652">
        <v>0</v>
      </c>
      <c r="AI652">
        <v>1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1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</row>
    <row r="653" spans="1:201" x14ac:dyDescent="0.3">
      <c r="A653" t="s">
        <v>383</v>
      </c>
      <c r="B653" t="s">
        <v>398</v>
      </c>
      <c r="C653" t="s">
        <v>200</v>
      </c>
      <c r="D653" s="1">
        <v>2469</v>
      </c>
      <c r="E653" s="1">
        <v>1330</v>
      </c>
      <c r="F653">
        <v>142</v>
      </c>
      <c r="G653">
        <v>133</v>
      </c>
      <c r="H653">
        <v>54</v>
      </c>
      <c r="I653">
        <v>12</v>
      </c>
      <c r="J653">
        <v>26</v>
      </c>
      <c r="K653">
        <v>363</v>
      </c>
      <c r="L653">
        <v>10</v>
      </c>
      <c r="M653">
        <v>83</v>
      </c>
      <c r="N653">
        <v>49</v>
      </c>
      <c r="O653">
        <v>7</v>
      </c>
      <c r="P653">
        <v>9</v>
      </c>
      <c r="Q653">
        <v>87</v>
      </c>
      <c r="R653">
        <v>5</v>
      </c>
      <c r="S653">
        <v>12</v>
      </c>
      <c r="T653">
        <v>17</v>
      </c>
      <c r="U653">
        <v>6</v>
      </c>
      <c r="V653">
        <v>0</v>
      </c>
      <c r="W653">
        <v>6</v>
      </c>
      <c r="X653">
        <v>1</v>
      </c>
      <c r="Y653">
        <v>43</v>
      </c>
      <c r="Z653">
        <v>2</v>
      </c>
      <c r="AA653">
        <v>0</v>
      </c>
      <c r="AB653">
        <v>0</v>
      </c>
      <c r="AC653">
        <v>2</v>
      </c>
      <c r="AD653">
        <v>8</v>
      </c>
      <c r="AE653">
        <v>52</v>
      </c>
      <c r="AF653">
        <v>2</v>
      </c>
      <c r="AG653">
        <v>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2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1</v>
      </c>
    </row>
    <row r="654" spans="1:201" x14ac:dyDescent="0.3">
      <c r="A654" t="s">
        <v>383</v>
      </c>
      <c r="B654" t="s">
        <v>398</v>
      </c>
      <c r="C654" t="s">
        <v>203</v>
      </c>
      <c r="D654" s="1">
        <v>1954</v>
      </c>
      <c r="E654" s="1">
        <v>1153</v>
      </c>
      <c r="F654">
        <v>65</v>
      </c>
      <c r="G654">
        <v>72</v>
      </c>
      <c r="H654">
        <v>34</v>
      </c>
      <c r="I654">
        <v>9</v>
      </c>
      <c r="J654">
        <v>12</v>
      </c>
      <c r="K654">
        <v>362</v>
      </c>
      <c r="L654">
        <v>10</v>
      </c>
      <c r="M654">
        <v>23</v>
      </c>
      <c r="N654">
        <v>23</v>
      </c>
      <c r="O654">
        <v>3</v>
      </c>
      <c r="P654">
        <v>2</v>
      </c>
      <c r="Q654">
        <v>84</v>
      </c>
      <c r="R654">
        <v>4</v>
      </c>
      <c r="S654">
        <v>1</v>
      </c>
      <c r="T654">
        <v>12</v>
      </c>
      <c r="U654">
        <v>2</v>
      </c>
      <c r="V654">
        <v>0</v>
      </c>
      <c r="W654">
        <v>1</v>
      </c>
      <c r="X654">
        <v>1</v>
      </c>
      <c r="Y654">
        <v>18</v>
      </c>
      <c r="Z654">
        <v>2</v>
      </c>
      <c r="AA654">
        <v>0</v>
      </c>
      <c r="AB654">
        <v>0</v>
      </c>
      <c r="AC654">
        <v>1</v>
      </c>
      <c r="AD654">
        <v>1</v>
      </c>
      <c r="AE654">
        <v>52</v>
      </c>
      <c r="AF654">
        <v>1</v>
      </c>
      <c r="AG654">
        <v>3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2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1</v>
      </c>
    </row>
    <row r="655" spans="1:201" x14ac:dyDescent="0.3">
      <c r="A655" t="s">
        <v>383</v>
      </c>
      <c r="B655" t="s">
        <v>398</v>
      </c>
      <c r="C655" t="s">
        <v>204</v>
      </c>
      <c r="D655">
        <v>515</v>
      </c>
      <c r="E655">
        <v>177</v>
      </c>
      <c r="F655">
        <v>77</v>
      </c>
      <c r="G655">
        <v>61</v>
      </c>
      <c r="H655">
        <v>20</v>
      </c>
      <c r="I655">
        <v>3</v>
      </c>
      <c r="J655">
        <v>14</v>
      </c>
      <c r="K655">
        <v>1</v>
      </c>
      <c r="L655">
        <v>0</v>
      </c>
      <c r="M655">
        <v>60</v>
      </c>
      <c r="N655">
        <v>26</v>
      </c>
      <c r="O655">
        <v>4</v>
      </c>
      <c r="P655">
        <v>7</v>
      </c>
      <c r="Q655">
        <v>3</v>
      </c>
      <c r="R655">
        <v>1</v>
      </c>
      <c r="S655">
        <v>11</v>
      </c>
      <c r="T655">
        <v>5</v>
      </c>
      <c r="U655">
        <v>4</v>
      </c>
      <c r="V655">
        <v>0</v>
      </c>
      <c r="W655">
        <v>5</v>
      </c>
      <c r="X655">
        <v>0</v>
      </c>
      <c r="Y655">
        <v>25</v>
      </c>
      <c r="Z655">
        <v>0</v>
      </c>
      <c r="AA655">
        <v>0</v>
      </c>
      <c r="AB655">
        <v>0</v>
      </c>
      <c r="AC655">
        <v>1</v>
      </c>
      <c r="AD655">
        <v>7</v>
      </c>
      <c r="AE655">
        <v>0</v>
      </c>
      <c r="AF655">
        <v>1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</row>
    <row r="656" spans="1:201" x14ac:dyDescent="0.3">
      <c r="A656" t="s">
        <v>383</v>
      </c>
      <c r="B656" t="s">
        <v>399</v>
      </c>
      <c r="C656" t="s">
        <v>200</v>
      </c>
      <c r="D656" s="1">
        <v>4340</v>
      </c>
      <c r="E656" s="1">
        <v>1246</v>
      </c>
      <c r="F656">
        <v>212</v>
      </c>
      <c r="G656">
        <v>168</v>
      </c>
      <c r="H656">
        <v>802</v>
      </c>
      <c r="I656">
        <v>41</v>
      </c>
      <c r="J656">
        <v>358</v>
      </c>
      <c r="K656">
        <v>195</v>
      </c>
      <c r="L656">
        <v>248</v>
      </c>
      <c r="M656">
        <v>125</v>
      </c>
      <c r="N656">
        <v>253</v>
      </c>
      <c r="O656">
        <v>258</v>
      </c>
      <c r="P656">
        <v>25</v>
      </c>
      <c r="Q656">
        <v>22</v>
      </c>
      <c r="R656">
        <v>32</v>
      </c>
      <c r="S656">
        <v>42</v>
      </c>
      <c r="T656">
        <v>36</v>
      </c>
      <c r="U656">
        <v>46</v>
      </c>
      <c r="V656">
        <v>13</v>
      </c>
      <c r="W656">
        <v>20</v>
      </c>
      <c r="X656">
        <v>1</v>
      </c>
      <c r="Y656">
        <v>40</v>
      </c>
      <c r="Z656">
        <v>38</v>
      </c>
      <c r="AA656">
        <v>0</v>
      </c>
      <c r="AB656">
        <v>12</v>
      </c>
      <c r="AC656">
        <v>5</v>
      </c>
      <c r="AD656">
        <v>18</v>
      </c>
      <c r="AE656">
        <v>5</v>
      </c>
      <c r="AF656">
        <v>4</v>
      </c>
      <c r="AG656">
        <v>19</v>
      </c>
      <c r="AH656">
        <v>0</v>
      </c>
      <c r="AI656">
        <v>1</v>
      </c>
      <c r="AJ656">
        <v>22</v>
      </c>
      <c r="AK656">
        <v>3</v>
      </c>
      <c r="AL656">
        <v>1</v>
      </c>
      <c r="AM656">
        <v>1</v>
      </c>
      <c r="AN656">
        <v>2</v>
      </c>
      <c r="AO656">
        <v>0</v>
      </c>
      <c r="AP656">
        <v>5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2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1</v>
      </c>
      <c r="BQ656">
        <v>1</v>
      </c>
      <c r="BR656">
        <v>0</v>
      </c>
      <c r="BS656">
        <v>0</v>
      </c>
      <c r="BT656">
        <v>4</v>
      </c>
      <c r="BU656">
        <v>0</v>
      </c>
      <c r="BV656">
        <v>1</v>
      </c>
      <c r="BW656">
        <v>0</v>
      </c>
      <c r="BX656">
        <v>0</v>
      </c>
      <c r="BY656">
        <v>2</v>
      </c>
      <c r="BZ656">
        <v>0</v>
      </c>
      <c r="CA656">
        <v>0</v>
      </c>
      <c r="CB656">
        <v>3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1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1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1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1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</row>
    <row r="657" spans="1:201" x14ac:dyDescent="0.3">
      <c r="A657" t="s">
        <v>383</v>
      </c>
      <c r="B657" t="s">
        <v>399</v>
      </c>
      <c r="C657" t="s">
        <v>203</v>
      </c>
      <c r="D657" s="1">
        <v>2922</v>
      </c>
      <c r="E657">
        <v>726</v>
      </c>
      <c r="F657">
        <v>119</v>
      </c>
      <c r="G657">
        <v>59</v>
      </c>
      <c r="H657">
        <v>704</v>
      </c>
      <c r="I657">
        <v>30</v>
      </c>
      <c r="J657">
        <v>291</v>
      </c>
      <c r="K657">
        <v>143</v>
      </c>
      <c r="L657">
        <v>224</v>
      </c>
      <c r="M657">
        <v>65</v>
      </c>
      <c r="N657">
        <v>165</v>
      </c>
      <c r="O657">
        <v>145</v>
      </c>
      <c r="P657">
        <v>17</v>
      </c>
      <c r="Q657">
        <v>18</v>
      </c>
      <c r="R657">
        <v>29</v>
      </c>
      <c r="S657">
        <v>1</v>
      </c>
      <c r="T657">
        <v>18</v>
      </c>
      <c r="U657">
        <v>23</v>
      </c>
      <c r="V657">
        <v>13</v>
      </c>
      <c r="W657">
        <v>11</v>
      </c>
      <c r="X657">
        <v>1</v>
      </c>
      <c r="Y657">
        <v>19</v>
      </c>
      <c r="Z657">
        <v>26</v>
      </c>
      <c r="AA657">
        <v>0</v>
      </c>
      <c r="AB657">
        <v>0</v>
      </c>
      <c r="AC657">
        <v>3</v>
      </c>
      <c r="AD657">
        <v>5</v>
      </c>
      <c r="AE657">
        <v>5</v>
      </c>
      <c r="AF657">
        <v>2</v>
      </c>
      <c r="AG657">
        <v>17</v>
      </c>
      <c r="AH657">
        <v>0</v>
      </c>
      <c r="AI657">
        <v>1</v>
      </c>
      <c r="AJ657">
        <v>17</v>
      </c>
      <c r="AK657">
        <v>3</v>
      </c>
      <c r="AL657">
        <v>1</v>
      </c>
      <c r="AM657">
        <v>0</v>
      </c>
      <c r="AN657">
        <v>2</v>
      </c>
      <c r="AO657">
        <v>0</v>
      </c>
      <c r="AP657">
        <v>4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2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</v>
      </c>
      <c r="BQ657">
        <v>0</v>
      </c>
      <c r="BR657">
        <v>0</v>
      </c>
      <c r="BS657">
        <v>0</v>
      </c>
      <c r="BT657">
        <v>2</v>
      </c>
      <c r="BU657">
        <v>0</v>
      </c>
      <c r="BV657">
        <v>0</v>
      </c>
      <c r="BW657">
        <v>0</v>
      </c>
      <c r="BX657">
        <v>0</v>
      </c>
      <c r="BY657">
        <v>2</v>
      </c>
      <c r="BZ657">
        <v>0</v>
      </c>
      <c r="CA657">
        <v>0</v>
      </c>
      <c r="CB657">
        <v>3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1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1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1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</row>
    <row r="658" spans="1:201" x14ac:dyDescent="0.3">
      <c r="A658" t="s">
        <v>383</v>
      </c>
      <c r="B658" t="s">
        <v>399</v>
      </c>
      <c r="C658" t="s">
        <v>204</v>
      </c>
      <c r="D658" s="1">
        <v>1418</v>
      </c>
      <c r="E658">
        <v>520</v>
      </c>
      <c r="F658">
        <v>93</v>
      </c>
      <c r="G658">
        <v>109</v>
      </c>
      <c r="H658">
        <v>98</v>
      </c>
      <c r="I658">
        <v>11</v>
      </c>
      <c r="J658">
        <v>67</v>
      </c>
      <c r="K658">
        <v>52</v>
      </c>
      <c r="L658">
        <v>24</v>
      </c>
      <c r="M658">
        <v>60</v>
      </c>
      <c r="N658">
        <v>88</v>
      </c>
      <c r="O658">
        <v>113</v>
      </c>
      <c r="P658">
        <v>8</v>
      </c>
      <c r="Q658">
        <v>4</v>
      </c>
      <c r="R658">
        <v>3</v>
      </c>
      <c r="S658">
        <v>41</v>
      </c>
      <c r="T658">
        <v>18</v>
      </c>
      <c r="U658">
        <v>23</v>
      </c>
      <c r="V658">
        <v>0</v>
      </c>
      <c r="W658">
        <v>9</v>
      </c>
      <c r="X658">
        <v>0</v>
      </c>
      <c r="Y658">
        <v>21</v>
      </c>
      <c r="Z658">
        <v>12</v>
      </c>
      <c r="AA658">
        <v>0</v>
      </c>
      <c r="AB658">
        <v>12</v>
      </c>
      <c r="AC658">
        <v>2</v>
      </c>
      <c r="AD658">
        <v>13</v>
      </c>
      <c r="AE658">
        <v>0</v>
      </c>
      <c r="AF658">
        <v>2</v>
      </c>
      <c r="AG658">
        <v>2</v>
      </c>
      <c r="AH658">
        <v>0</v>
      </c>
      <c r="AI658">
        <v>0</v>
      </c>
      <c r="AJ658">
        <v>5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1</v>
      </c>
      <c r="AQ658">
        <v>0</v>
      </c>
      <c r="AR658">
        <v>0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1</v>
      </c>
      <c r="BR658">
        <v>0</v>
      </c>
      <c r="BS658">
        <v>0</v>
      </c>
      <c r="BT658">
        <v>2</v>
      </c>
      <c r="BU658">
        <v>0</v>
      </c>
      <c r="BV658">
        <v>1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1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</row>
    <row r="659" spans="1:201" x14ac:dyDescent="0.3">
      <c r="A659" t="s">
        <v>400</v>
      </c>
      <c r="B659" t="s">
        <v>200</v>
      </c>
      <c r="C659" t="s">
        <v>200</v>
      </c>
      <c r="D659" s="1">
        <v>62213</v>
      </c>
      <c r="E659" s="1">
        <v>10611</v>
      </c>
      <c r="F659" s="1">
        <v>5155</v>
      </c>
      <c r="G659" s="1">
        <v>6713</v>
      </c>
      <c r="H659" s="1">
        <v>6710</v>
      </c>
      <c r="I659" s="1">
        <v>5283</v>
      </c>
      <c r="J659" s="1">
        <v>3722</v>
      </c>
      <c r="K659" s="1">
        <v>2002</v>
      </c>
      <c r="L659" s="1">
        <v>2417</v>
      </c>
      <c r="M659" s="1">
        <v>2560</v>
      </c>
      <c r="N659" s="1">
        <v>2685</v>
      </c>
      <c r="O659" s="1">
        <v>1988</v>
      </c>
      <c r="P659">
        <v>269</v>
      </c>
      <c r="Q659" s="1">
        <v>2383</v>
      </c>
      <c r="R659" s="1">
        <v>1471</v>
      </c>
      <c r="S659">
        <v>605</v>
      </c>
      <c r="T659" s="1">
        <v>1052</v>
      </c>
      <c r="U659" s="1">
        <v>1206</v>
      </c>
      <c r="V659">
        <v>574</v>
      </c>
      <c r="W659">
        <v>301</v>
      </c>
      <c r="X659">
        <v>388</v>
      </c>
      <c r="Y659">
        <v>626</v>
      </c>
      <c r="Z659">
        <v>557</v>
      </c>
      <c r="AA659">
        <v>29</v>
      </c>
      <c r="AB659">
        <v>699</v>
      </c>
      <c r="AC659">
        <v>53</v>
      </c>
      <c r="AD659">
        <v>159</v>
      </c>
      <c r="AE659">
        <v>99</v>
      </c>
      <c r="AF659">
        <v>66</v>
      </c>
      <c r="AG659">
        <v>105</v>
      </c>
      <c r="AH659">
        <v>23</v>
      </c>
      <c r="AI659">
        <v>190</v>
      </c>
      <c r="AJ659">
        <v>247</v>
      </c>
      <c r="AK659">
        <v>44</v>
      </c>
      <c r="AL659">
        <v>163</v>
      </c>
      <c r="AM659">
        <v>13</v>
      </c>
      <c r="AN659">
        <v>24</v>
      </c>
      <c r="AO659">
        <v>56</v>
      </c>
      <c r="AP659">
        <v>99</v>
      </c>
      <c r="AQ659">
        <v>79</v>
      </c>
      <c r="AR659">
        <v>162</v>
      </c>
      <c r="AS659">
        <v>21</v>
      </c>
      <c r="AT659">
        <v>12</v>
      </c>
      <c r="AU659">
        <v>22</v>
      </c>
      <c r="AV659">
        <v>20</v>
      </c>
      <c r="AW659">
        <v>10</v>
      </c>
      <c r="AX659">
        <v>79</v>
      </c>
      <c r="AY659">
        <v>17</v>
      </c>
      <c r="AZ659">
        <v>22</v>
      </c>
      <c r="BA659">
        <v>2</v>
      </c>
      <c r="BB659">
        <v>2</v>
      </c>
      <c r="BC659">
        <v>4</v>
      </c>
      <c r="BD659">
        <v>12</v>
      </c>
      <c r="BE659">
        <v>10</v>
      </c>
      <c r="BF659">
        <v>10</v>
      </c>
      <c r="BG659">
        <v>11</v>
      </c>
      <c r="BH659">
        <v>12</v>
      </c>
      <c r="BI659">
        <v>7</v>
      </c>
      <c r="BJ659">
        <v>56</v>
      </c>
      <c r="BK659">
        <v>12</v>
      </c>
      <c r="BL659">
        <v>7</v>
      </c>
      <c r="BM659">
        <v>30</v>
      </c>
      <c r="BN659">
        <v>14</v>
      </c>
      <c r="BO659">
        <v>2</v>
      </c>
      <c r="BP659">
        <v>22</v>
      </c>
      <c r="BQ659">
        <v>19</v>
      </c>
      <c r="BR659">
        <v>3</v>
      </c>
      <c r="BS659">
        <v>9</v>
      </c>
      <c r="BT659">
        <v>10</v>
      </c>
      <c r="BU659">
        <v>2</v>
      </c>
      <c r="BV659">
        <v>12</v>
      </c>
      <c r="BW659">
        <v>0</v>
      </c>
      <c r="BX659">
        <v>7</v>
      </c>
      <c r="BY659">
        <v>6</v>
      </c>
      <c r="BZ659">
        <v>2</v>
      </c>
      <c r="CA659">
        <v>3</v>
      </c>
      <c r="CB659">
        <v>3</v>
      </c>
      <c r="CC659">
        <v>2</v>
      </c>
      <c r="CD659">
        <v>3</v>
      </c>
      <c r="CE659">
        <v>5</v>
      </c>
      <c r="CF659">
        <v>1</v>
      </c>
      <c r="CG659">
        <v>4</v>
      </c>
      <c r="CH659">
        <v>19</v>
      </c>
      <c r="CI659">
        <v>2</v>
      </c>
      <c r="CJ659">
        <v>1</v>
      </c>
      <c r="CK659">
        <v>4</v>
      </c>
      <c r="CL659">
        <v>2</v>
      </c>
      <c r="CM659">
        <v>4</v>
      </c>
      <c r="CN659">
        <v>0</v>
      </c>
      <c r="CO659">
        <v>9</v>
      </c>
      <c r="CP659">
        <v>3</v>
      </c>
      <c r="CQ659">
        <v>2</v>
      </c>
      <c r="CR659">
        <v>2</v>
      </c>
      <c r="CS659">
        <v>2</v>
      </c>
      <c r="CT659">
        <v>3</v>
      </c>
      <c r="CU659">
        <v>0</v>
      </c>
      <c r="CV659">
        <v>4</v>
      </c>
      <c r="CW659">
        <v>0</v>
      </c>
      <c r="CX659">
        <v>3</v>
      </c>
      <c r="CY659">
        <v>1</v>
      </c>
      <c r="CZ659">
        <v>1</v>
      </c>
      <c r="DA659">
        <v>0</v>
      </c>
      <c r="DB659">
        <v>1</v>
      </c>
      <c r="DC659">
        <v>2</v>
      </c>
      <c r="DD659">
        <v>4</v>
      </c>
      <c r="DE659">
        <v>3</v>
      </c>
      <c r="DF659">
        <v>2</v>
      </c>
      <c r="DG659">
        <v>0</v>
      </c>
      <c r="DH659">
        <v>1</v>
      </c>
      <c r="DI659">
        <v>0</v>
      </c>
      <c r="DJ659">
        <v>0</v>
      </c>
      <c r="DK659">
        <v>2</v>
      </c>
      <c r="DL659">
        <v>3</v>
      </c>
      <c r="DM659">
        <v>1</v>
      </c>
      <c r="DN659">
        <v>0</v>
      </c>
      <c r="DO659">
        <v>1</v>
      </c>
      <c r="DP659">
        <v>0</v>
      </c>
      <c r="DQ659">
        <v>0</v>
      </c>
      <c r="DR659">
        <v>0</v>
      </c>
      <c r="DS659">
        <v>1</v>
      </c>
      <c r="DT659">
        <v>6</v>
      </c>
      <c r="DU659">
        <v>0</v>
      </c>
      <c r="DV659">
        <v>0</v>
      </c>
      <c r="DW659">
        <v>0</v>
      </c>
      <c r="DX659">
        <v>1</v>
      </c>
      <c r="DY659">
        <v>1</v>
      </c>
      <c r="DZ659">
        <v>1</v>
      </c>
      <c r="EA659">
        <v>0</v>
      </c>
      <c r="EB659">
        <v>5</v>
      </c>
      <c r="EC659">
        <v>0</v>
      </c>
      <c r="ED659">
        <v>1</v>
      </c>
      <c r="EE659">
        <v>1</v>
      </c>
      <c r="EF659">
        <v>0</v>
      </c>
      <c r="EG659">
        <v>1</v>
      </c>
      <c r="EH659">
        <v>1</v>
      </c>
      <c r="EI659">
        <v>0</v>
      </c>
      <c r="EJ659">
        <v>0</v>
      </c>
      <c r="EK659">
        <v>0</v>
      </c>
      <c r="EL659">
        <v>0</v>
      </c>
      <c r="EM659">
        <v>1</v>
      </c>
      <c r="EN659">
        <v>1</v>
      </c>
      <c r="EO659">
        <v>0</v>
      </c>
      <c r="EP659">
        <v>0</v>
      </c>
      <c r="EQ659">
        <v>1</v>
      </c>
      <c r="ER659">
        <v>0</v>
      </c>
      <c r="ES659">
        <v>1</v>
      </c>
      <c r="ET659">
        <v>0</v>
      </c>
      <c r="EU659">
        <v>0</v>
      </c>
      <c r="EV659">
        <v>3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1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1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8</v>
      </c>
    </row>
    <row r="660" spans="1:201" x14ac:dyDescent="0.3">
      <c r="A660" t="s">
        <v>400</v>
      </c>
      <c r="B660" t="s">
        <v>200</v>
      </c>
      <c r="C660" t="s">
        <v>203</v>
      </c>
      <c r="D660" s="1">
        <f>D663+D666+D669+D672+D675+D678+D681+D684+D687+D690+D693+D696+D699+D702</f>
        <v>40187</v>
      </c>
      <c r="E660" s="1">
        <f t="shared" ref="E660:BP660" si="112">E663+E666+E669+E672+E675+E678+E681+E684+E687+E690+E693+E696+E699+E702</f>
        <v>5722</v>
      </c>
      <c r="F660" s="1">
        <f t="shared" si="112"/>
        <v>3025</v>
      </c>
      <c r="G660" s="1">
        <f t="shared" si="112"/>
        <v>2910</v>
      </c>
      <c r="H660" s="1">
        <f t="shared" si="112"/>
        <v>5410</v>
      </c>
      <c r="I660" s="1">
        <f t="shared" si="112"/>
        <v>4002</v>
      </c>
      <c r="J660" s="1">
        <f t="shared" si="112"/>
        <v>2668</v>
      </c>
      <c r="K660" s="1">
        <f t="shared" si="112"/>
        <v>1796</v>
      </c>
      <c r="L660" s="1">
        <f t="shared" si="112"/>
        <v>2126</v>
      </c>
      <c r="M660" s="1">
        <f t="shared" si="112"/>
        <v>1679</v>
      </c>
      <c r="N660" s="1">
        <f t="shared" si="112"/>
        <v>1574</v>
      </c>
      <c r="O660" s="1">
        <f t="shared" si="112"/>
        <v>887</v>
      </c>
      <c r="P660" s="1">
        <f t="shared" si="112"/>
        <v>152</v>
      </c>
      <c r="Q660" s="1">
        <f t="shared" si="112"/>
        <v>2125</v>
      </c>
      <c r="R660" s="1">
        <f t="shared" si="112"/>
        <v>1233</v>
      </c>
      <c r="S660" s="1">
        <f t="shared" si="112"/>
        <v>95</v>
      </c>
      <c r="T660" s="1">
        <f t="shared" si="112"/>
        <v>563</v>
      </c>
      <c r="U660" s="1">
        <f t="shared" si="112"/>
        <v>656</v>
      </c>
      <c r="V660" s="1">
        <f t="shared" si="112"/>
        <v>495</v>
      </c>
      <c r="W660" s="1">
        <f t="shared" si="112"/>
        <v>150</v>
      </c>
      <c r="X660" s="1">
        <f t="shared" si="112"/>
        <v>296</v>
      </c>
      <c r="Y660" s="1">
        <f t="shared" si="112"/>
        <v>470</v>
      </c>
      <c r="Z660" s="1">
        <f t="shared" si="112"/>
        <v>379</v>
      </c>
      <c r="AA660" s="1">
        <f t="shared" si="112"/>
        <v>11</v>
      </c>
      <c r="AB660" s="1">
        <f t="shared" si="112"/>
        <v>416</v>
      </c>
      <c r="AC660" s="1">
        <f t="shared" si="112"/>
        <v>37</v>
      </c>
      <c r="AD660" s="1">
        <f t="shared" si="112"/>
        <v>36</v>
      </c>
      <c r="AE660" s="1">
        <f t="shared" si="112"/>
        <v>93</v>
      </c>
      <c r="AF660" s="1">
        <f t="shared" si="112"/>
        <v>46</v>
      </c>
      <c r="AG660" s="1">
        <f t="shared" si="112"/>
        <v>76</v>
      </c>
      <c r="AH660" s="1">
        <f t="shared" si="112"/>
        <v>16</v>
      </c>
      <c r="AI660" s="1">
        <f t="shared" si="112"/>
        <v>160</v>
      </c>
      <c r="AJ660" s="1">
        <f t="shared" si="112"/>
        <v>130</v>
      </c>
      <c r="AK660" s="1">
        <f t="shared" si="112"/>
        <v>32</v>
      </c>
      <c r="AL660" s="1">
        <f t="shared" si="112"/>
        <v>82</v>
      </c>
      <c r="AM660" s="1">
        <f t="shared" si="112"/>
        <v>3</v>
      </c>
      <c r="AN660" s="1">
        <f t="shared" si="112"/>
        <v>16</v>
      </c>
      <c r="AO660" s="1">
        <f t="shared" si="112"/>
        <v>36</v>
      </c>
      <c r="AP660" s="1">
        <f t="shared" si="112"/>
        <v>68</v>
      </c>
      <c r="AQ660" s="1">
        <f t="shared" si="112"/>
        <v>44</v>
      </c>
      <c r="AR660" s="1">
        <f t="shared" si="112"/>
        <v>96</v>
      </c>
      <c r="AS660" s="1">
        <f t="shared" si="112"/>
        <v>6</v>
      </c>
      <c r="AT660" s="1">
        <f t="shared" si="112"/>
        <v>5</v>
      </c>
      <c r="AU660" s="1">
        <f t="shared" si="112"/>
        <v>6</v>
      </c>
      <c r="AV660" s="1">
        <f t="shared" si="112"/>
        <v>14</v>
      </c>
      <c r="AW660" s="1">
        <f t="shared" si="112"/>
        <v>6</v>
      </c>
      <c r="AX660" s="1">
        <f t="shared" si="112"/>
        <v>62</v>
      </c>
      <c r="AY660" s="1">
        <f t="shared" si="112"/>
        <v>3</v>
      </c>
      <c r="AZ660" s="1">
        <f t="shared" si="112"/>
        <v>12</v>
      </c>
      <c r="BA660" s="1">
        <f t="shared" si="112"/>
        <v>1</v>
      </c>
      <c r="BB660" s="1">
        <f t="shared" si="112"/>
        <v>1</v>
      </c>
      <c r="BC660" s="1">
        <f t="shared" si="112"/>
        <v>2</v>
      </c>
      <c r="BD660" s="1">
        <f t="shared" si="112"/>
        <v>12</v>
      </c>
      <c r="BE660" s="1">
        <f t="shared" si="112"/>
        <v>9</v>
      </c>
      <c r="BF660" s="1">
        <f t="shared" si="112"/>
        <v>6</v>
      </c>
      <c r="BG660" s="1">
        <f t="shared" si="112"/>
        <v>10</v>
      </c>
      <c r="BH660" s="1">
        <f t="shared" si="112"/>
        <v>2</v>
      </c>
      <c r="BI660" s="1">
        <f t="shared" si="112"/>
        <v>4</v>
      </c>
      <c r="BJ660" s="1">
        <f t="shared" si="112"/>
        <v>39</v>
      </c>
      <c r="BK660" s="1">
        <f t="shared" si="112"/>
        <v>5</v>
      </c>
      <c r="BL660" s="1">
        <f t="shared" si="112"/>
        <v>6</v>
      </c>
      <c r="BM660" s="1">
        <f t="shared" si="112"/>
        <v>22</v>
      </c>
      <c r="BN660" s="1">
        <f t="shared" si="112"/>
        <v>3</v>
      </c>
      <c r="BO660" s="1">
        <f t="shared" si="112"/>
        <v>0</v>
      </c>
      <c r="BP660" s="1">
        <f t="shared" si="112"/>
        <v>12</v>
      </c>
      <c r="BQ660" s="1">
        <f t="shared" ref="BQ660:EB660" si="113">BQ663+BQ666+BQ669+BQ672+BQ675+BQ678+BQ681+BQ684+BQ687+BQ690+BQ693+BQ696+BQ699+BQ702</f>
        <v>16</v>
      </c>
      <c r="BR660" s="1">
        <f t="shared" si="113"/>
        <v>2</v>
      </c>
      <c r="BS660" s="1">
        <f t="shared" si="113"/>
        <v>7</v>
      </c>
      <c r="BT660" s="1">
        <f t="shared" si="113"/>
        <v>7</v>
      </c>
      <c r="BU660" s="1">
        <f t="shared" si="113"/>
        <v>0</v>
      </c>
      <c r="BV660" s="1">
        <f t="shared" si="113"/>
        <v>5</v>
      </c>
      <c r="BW660" s="1">
        <f t="shared" si="113"/>
        <v>0</v>
      </c>
      <c r="BX660" s="1">
        <f t="shared" si="113"/>
        <v>7</v>
      </c>
      <c r="BY660" s="1">
        <f t="shared" si="113"/>
        <v>6</v>
      </c>
      <c r="BZ660" s="1">
        <f t="shared" si="113"/>
        <v>0</v>
      </c>
      <c r="CA660" s="1">
        <f t="shared" si="113"/>
        <v>2</v>
      </c>
      <c r="CB660" s="1">
        <f t="shared" si="113"/>
        <v>2</v>
      </c>
      <c r="CC660" s="1">
        <f t="shared" si="113"/>
        <v>0</v>
      </c>
      <c r="CD660" s="1">
        <f t="shared" si="113"/>
        <v>1</v>
      </c>
      <c r="CE660" s="1">
        <f t="shared" si="113"/>
        <v>1</v>
      </c>
      <c r="CF660" s="1">
        <f t="shared" si="113"/>
        <v>0</v>
      </c>
      <c r="CG660" s="1">
        <f t="shared" si="113"/>
        <v>1</v>
      </c>
      <c r="CH660" s="1">
        <f t="shared" si="113"/>
        <v>18</v>
      </c>
      <c r="CI660" s="1">
        <f t="shared" si="113"/>
        <v>0</v>
      </c>
      <c r="CJ660" s="1">
        <f t="shared" si="113"/>
        <v>0</v>
      </c>
      <c r="CK660" s="1">
        <f t="shared" si="113"/>
        <v>3</v>
      </c>
      <c r="CL660" s="1">
        <f t="shared" si="113"/>
        <v>0</v>
      </c>
      <c r="CM660" s="1">
        <f t="shared" si="113"/>
        <v>4</v>
      </c>
      <c r="CN660" s="1">
        <f t="shared" si="113"/>
        <v>0</v>
      </c>
      <c r="CO660" s="1">
        <f t="shared" si="113"/>
        <v>9</v>
      </c>
      <c r="CP660" s="1">
        <f t="shared" si="113"/>
        <v>2</v>
      </c>
      <c r="CQ660" s="1">
        <f t="shared" si="113"/>
        <v>0</v>
      </c>
      <c r="CR660" s="1">
        <f t="shared" si="113"/>
        <v>1</v>
      </c>
      <c r="CS660" s="1">
        <f t="shared" si="113"/>
        <v>1</v>
      </c>
      <c r="CT660" s="1">
        <f t="shared" si="113"/>
        <v>1</v>
      </c>
      <c r="CU660" s="1">
        <f t="shared" si="113"/>
        <v>0</v>
      </c>
      <c r="CV660" s="1">
        <f t="shared" si="113"/>
        <v>2</v>
      </c>
      <c r="CW660" s="1">
        <f t="shared" si="113"/>
        <v>0</v>
      </c>
      <c r="CX660" s="1">
        <f t="shared" si="113"/>
        <v>3</v>
      </c>
      <c r="CY660" s="1">
        <f t="shared" si="113"/>
        <v>0</v>
      </c>
      <c r="CZ660" s="1">
        <f t="shared" si="113"/>
        <v>0</v>
      </c>
      <c r="DA660" s="1">
        <f t="shared" si="113"/>
        <v>0</v>
      </c>
      <c r="DB660" s="1">
        <f t="shared" si="113"/>
        <v>1</v>
      </c>
      <c r="DC660" s="1">
        <f t="shared" si="113"/>
        <v>2</v>
      </c>
      <c r="DD660" s="1">
        <f t="shared" si="113"/>
        <v>3</v>
      </c>
      <c r="DE660" s="1">
        <f t="shared" si="113"/>
        <v>3</v>
      </c>
      <c r="DF660" s="1">
        <f t="shared" si="113"/>
        <v>2</v>
      </c>
      <c r="DG660" s="1">
        <f t="shared" si="113"/>
        <v>0</v>
      </c>
      <c r="DH660" s="1">
        <f t="shared" si="113"/>
        <v>1</v>
      </c>
      <c r="DI660" s="1">
        <f t="shared" si="113"/>
        <v>0</v>
      </c>
      <c r="DJ660" s="1">
        <f t="shared" si="113"/>
        <v>0</v>
      </c>
      <c r="DK660" s="1">
        <f t="shared" si="113"/>
        <v>0</v>
      </c>
      <c r="DL660" s="1">
        <f t="shared" si="113"/>
        <v>0</v>
      </c>
      <c r="DM660" s="1">
        <f t="shared" si="113"/>
        <v>1</v>
      </c>
      <c r="DN660" s="1">
        <f t="shared" si="113"/>
        <v>0</v>
      </c>
      <c r="DO660" s="1">
        <f t="shared" si="113"/>
        <v>0</v>
      </c>
      <c r="DP660" s="1">
        <f t="shared" si="113"/>
        <v>0</v>
      </c>
      <c r="DQ660" s="1">
        <f t="shared" si="113"/>
        <v>0</v>
      </c>
      <c r="DR660" s="1">
        <f t="shared" si="113"/>
        <v>0</v>
      </c>
      <c r="DS660" s="1">
        <f t="shared" si="113"/>
        <v>0</v>
      </c>
      <c r="DT660" s="1">
        <f t="shared" si="113"/>
        <v>2</v>
      </c>
      <c r="DU660" s="1">
        <f t="shared" si="113"/>
        <v>0</v>
      </c>
      <c r="DV660" s="1">
        <f t="shared" si="113"/>
        <v>0</v>
      </c>
      <c r="DW660" s="1">
        <f t="shared" si="113"/>
        <v>0</v>
      </c>
      <c r="DX660" s="1">
        <f t="shared" si="113"/>
        <v>1</v>
      </c>
      <c r="DY660" s="1">
        <f t="shared" si="113"/>
        <v>0</v>
      </c>
      <c r="DZ660" s="1">
        <f t="shared" si="113"/>
        <v>0</v>
      </c>
      <c r="EA660" s="1">
        <f t="shared" si="113"/>
        <v>0</v>
      </c>
      <c r="EB660" s="1">
        <f t="shared" si="113"/>
        <v>3</v>
      </c>
      <c r="EC660" s="1">
        <f t="shared" ref="EC660:GN660" si="114">EC663+EC666+EC669+EC672+EC675+EC678+EC681+EC684+EC687+EC690+EC693+EC696+EC699+EC702</f>
        <v>0</v>
      </c>
      <c r="ED660" s="1">
        <f t="shared" si="114"/>
        <v>1</v>
      </c>
      <c r="EE660" s="1">
        <f t="shared" si="114"/>
        <v>0</v>
      </c>
      <c r="EF660" s="1">
        <f t="shared" si="114"/>
        <v>0</v>
      </c>
      <c r="EG660" s="1">
        <f t="shared" si="114"/>
        <v>0</v>
      </c>
      <c r="EH660" s="1">
        <f t="shared" si="114"/>
        <v>0</v>
      </c>
      <c r="EI660" s="1">
        <f t="shared" si="114"/>
        <v>0</v>
      </c>
      <c r="EJ660" s="1">
        <f t="shared" si="114"/>
        <v>0</v>
      </c>
      <c r="EK660" s="1">
        <f t="shared" si="114"/>
        <v>0</v>
      </c>
      <c r="EL660" s="1">
        <f t="shared" si="114"/>
        <v>0</v>
      </c>
      <c r="EM660" s="1">
        <f t="shared" si="114"/>
        <v>1</v>
      </c>
      <c r="EN660" s="1">
        <f t="shared" si="114"/>
        <v>0</v>
      </c>
      <c r="EO660" s="1">
        <f t="shared" si="114"/>
        <v>0</v>
      </c>
      <c r="EP660" s="1">
        <f t="shared" si="114"/>
        <v>0</v>
      </c>
      <c r="EQ660" s="1">
        <f t="shared" si="114"/>
        <v>0</v>
      </c>
      <c r="ER660" s="1">
        <f t="shared" si="114"/>
        <v>0</v>
      </c>
      <c r="ES660" s="1">
        <f t="shared" si="114"/>
        <v>0</v>
      </c>
      <c r="ET660" s="1">
        <f t="shared" si="114"/>
        <v>0</v>
      </c>
      <c r="EU660" s="1">
        <f t="shared" si="114"/>
        <v>0</v>
      </c>
      <c r="EV660" s="1">
        <f t="shared" si="114"/>
        <v>3</v>
      </c>
      <c r="EW660" s="1">
        <f t="shared" si="114"/>
        <v>0</v>
      </c>
      <c r="EX660" s="1">
        <f t="shared" si="114"/>
        <v>0</v>
      </c>
      <c r="EY660" s="1">
        <f t="shared" si="114"/>
        <v>0</v>
      </c>
      <c r="EZ660" s="1">
        <f t="shared" si="114"/>
        <v>0</v>
      </c>
      <c r="FA660" s="1">
        <f t="shared" si="114"/>
        <v>0</v>
      </c>
      <c r="FB660" s="1">
        <f t="shared" si="114"/>
        <v>0</v>
      </c>
      <c r="FC660" s="1">
        <f t="shared" si="114"/>
        <v>0</v>
      </c>
      <c r="FD660" s="1">
        <f t="shared" si="114"/>
        <v>0</v>
      </c>
      <c r="FE660" s="1">
        <f t="shared" si="114"/>
        <v>0</v>
      </c>
      <c r="FF660" s="1">
        <f t="shared" si="114"/>
        <v>0</v>
      </c>
      <c r="FG660" s="1">
        <f t="shared" si="114"/>
        <v>0</v>
      </c>
      <c r="FH660" s="1">
        <f t="shared" si="114"/>
        <v>0</v>
      </c>
      <c r="FI660" s="1">
        <f t="shared" si="114"/>
        <v>0</v>
      </c>
      <c r="FJ660" s="1">
        <f t="shared" si="114"/>
        <v>0</v>
      </c>
      <c r="FK660" s="1">
        <f t="shared" si="114"/>
        <v>0</v>
      </c>
      <c r="FL660" s="1">
        <f t="shared" si="114"/>
        <v>0</v>
      </c>
      <c r="FM660" s="1">
        <f t="shared" si="114"/>
        <v>0</v>
      </c>
      <c r="FN660" s="1">
        <f t="shared" si="114"/>
        <v>0</v>
      </c>
      <c r="FO660" s="1">
        <f t="shared" si="114"/>
        <v>0</v>
      </c>
      <c r="FP660" s="1">
        <f t="shared" si="114"/>
        <v>0</v>
      </c>
      <c r="FQ660" s="1">
        <f t="shared" si="114"/>
        <v>0</v>
      </c>
      <c r="FR660" s="1">
        <f t="shared" si="114"/>
        <v>0</v>
      </c>
      <c r="FS660" s="1">
        <f t="shared" si="114"/>
        <v>0</v>
      </c>
      <c r="FT660" s="1">
        <f t="shared" si="114"/>
        <v>0</v>
      </c>
      <c r="FU660" s="1">
        <f t="shared" si="114"/>
        <v>0</v>
      </c>
      <c r="FV660" s="1">
        <f t="shared" si="114"/>
        <v>0</v>
      </c>
      <c r="FW660" s="1">
        <f t="shared" si="114"/>
        <v>0</v>
      </c>
      <c r="FX660" s="1">
        <f t="shared" si="114"/>
        <v>0</v>
      </c>
      <c r="FY660" s="1">
        <f t="shared" si="114"/>
        <v>0</v>
      </c>
      <c r="FZ660" s="1">
        <f t="shared" si="114"/>
        <v>0</v>
      </c>
      <c r="GA660" s="1">
        <f t="shared" si="114"/>
        <v>0</v>
      </c>
      <c r="GB660" s="1">
        <f t="shared" si="114"/>
        <v>0</v>
      </c>
      <c r="GC660" s="1">
        <f t="shared" si="114"/>
        <v>0</v>
      </c>
      <c r="GD660" s="1">
        <f t="shared" si="114"/>
        <v>0</v>
      </c>
      <c r="GE660" s="1">
        <f t="shared" si="114"/>
        <v>0</v>
      </c>
      <c r="GF660" s="1">
        <f t="shared" si="114"/>
        <v>0</v>
      </c>
      <c r="GG660" s="1">
        <f t="shared" si="114"/>
        <v>0</v>
      </c>
      <c r="GH660" s="1">
        <f t="shared" si="114"/>
        <v>0</v>
      </c>
      <c r="GI660" s="1">
        <f t="shared" si="114"/>
        <v>0</v>
      </c>
      <c r="GJ660" s="1">
        <f t="shared" si="114"/>
        <v>0</v>
      </c>
      <c r="GK660" s="1">
        <f t="shared" si="114"/>
        <v>0</v>
      </c>
      <c r="GL660" s="1">
        <f t="shared" si="114"/>
        <v>0</v>
      </c>
      <c r="GM660" s="1">
        <f t="shared" si="114"/>
        <v>0</v>
      </c>
      <c r="GN660" s="1">
        <f t="shared" si="114"/>
        <v>0</v>
      </c>
      <c r="GO660" s="1">
        <f t="shared" ref="GO660:GS660" si="115">GO663+GO666+GO669+GO672+GO675+GO678+GO681+GO684+GO687+GO690+GO693+GO696+GO699+GO702</f>
        <v>0</v>
      </c>
      <c r="GP660" s="1">
        <f t="shared" si="115"/>
        <v>0</v>
      </c>
      <c r="GQ660" s="1">
        <f t="shared" si="115"/>
        <v>0</v>
      </c>
      <c r="GR660" s="1">
        <f t="shared" si="115"/>
        <v>0</v>
      </c>
      <c r="GS660" s="1">
        <f t="shared" si="115"/>
        <v>3</v>
      </c>
    </row>
    <row r="661" spans="1:201" x14ac:dyDescent="0.3">
      <c r="A661" t="s">
        <v>400</v>
      </c>
      <c r="B661" t="s">
        <v>200</v>
      </c>
      <c r="C661" t="s">
        <v>204</v>
      </c>
      <c r="D661" s="1">
        <f>D664+D667+D670+D673+D676+D679+D682+D685+D688+D691+D694+D697+D700+D703</f>
        <v>22026</v>
      </c>
      <c r="E661" s="1">
        <f t="shared" ref="E661:BP661" si="116">E664+E667+E670+E673+E676+E679+E682+E685+E688+E691+E694+E697+E700+E703</f>
        <v>4889</v>
      </c>
      <c r="F661" s="1">
        <f t="shared" si="116"/>
        <v>2130</v>
      </c>
      <c r="G661" s="1">
        <f t="shared" si="116"/>
        <v>3803</v>
      </c>
      <c r="H661" s="1">
        <f t="shared" si="116"/>
        <v>1300</v>
      </c>
      <c r="I661" s="1">
        <f t="shared" si="116"/>
        <v>1281</v>
      </c>
      <c r="J661" s="1">
        <f t="shared" si="116"/>
        <v>1054</v>
      </c>
      <c r="K661" s="1">
        <f t="shared" si="116"/>
        <v>206</v>
      </c>
      <c r="L661" s="1">
        <f t="shared" si="116"/>
        <v>291</v>
      </c>
      <c r="M661" s="1">
        <f t="shared" si="116"/>
        <v>881</v>
      </c>
      <c r="N661" s="1">
        <f t="shared" si="116"/>
        <v>1111</v>
      </c>
      <c r="O661" s="1">
        <f t="shared" si="116"/>
        <v>1101</v>
      </c>
      <c r="P661" s="1">
        <f t="shared" si="116"/>
        <v>117</v>
      </c>
      <c r="Q661" s="1">
        <f t="shared" si="116"/>
        <v>258</v>
      </c>
      <c r="R661" s="1">
        <f t="shared" si="116"/>
        <v>238</v>
      </c>
      <c r="S661" s="1">
        <f t="shared" si="116"/>
        <v>510</v>
      </c>
      <c r="T661" s="1">
        <f t="shared" si="116"/>
        <v>489</v>
      </c>
      <c r="U661" s="1">
        <f t="shared" si="116"/>
        <v>550</v>
      </c>
      <c r="V661" s="1">
        <f t="shared" si="116"/>
        <v>79</v>
      </c>
      <c r="W661" s="1">
        <f t="shared" si="116"/>
        <v>151</v>
      </c>
      <c r="X661" s="1">
        <f t="shared" si="116"/>
        <v>92</v>
      </c>
      <c r="Y661" s="1">
        <f t="shared" si="116"/>
        <v>156</v>
      </c>
      <c r="Z661" s="1">
        <f t="shared" si="116"/>
        <v>178</v>
      </c>
      <c r="AA661" s="1">
        <f t="shared" si="116"/>
        <v>18</v>
      </c>
      <c r="AB661" s="1">
        <f t="shared" si="116"/>
        <v>283</v>
      </c>
      <c r="AC661" s="1">
        <f t="shared" si="116"/>
        <v>16</v>
      </c>
      <c r="AD661" s="1">
        <f t="shared" si="116"/>
        <v>123</v>
      </c>
      <c r="AE661" s="1">
        <f t="shared" si="116"/>
        <v>6</v>
      </c>
      <c r="AF661" s="1">
        <f t="shared" si="116"/>
        <v>20</v>
      </c>
      <c r="AG661" s="1">
        <f t="shared" si="116"/>
        <v>29</v>
      </c>
      <c r="AH661" s="1">
        <f t="shared" si="116"/>
        <v>7</v>
      </c>
      <c r="AI661" s="1">
        <f t="shared" si="116"/>
        <v>30</v>
      </c>
      <c r="AJ661" s="1">
        <f t="shared" si="116"/>
        <v>117</v>
      </c>
      <c r="AK661" s="1">
        <f t="shared" si="116"/>
        <v>12</v>
      </c>
      <c r="AL661" s="1">
        <f t="shared" si="116"/>
        <v>81</v>
      </c>
      <c r="AM661" s="1">
        <f t="shared" si="116"/>
        <v>10</v>
      </c>
      <c r="AN661" s="1">
        <f t="shared" si="116"/>
        <v>8</v>
      </c>
      <c r="AO661" s="1">
        <f t="shared" si="116"/>
        <v>20</v>
      </c>
      <c r="AP661" s="1">
        <f t="shared" si="116"/>
        <v>31</v>
      </c>
      <c r="AQ661" s="1">
        <f t="shared" si="116"/>
        <v>35</v>
      </c>
      <c r="AR661" s="1">
        <f t="shared" si="116"/>
        <v>66</v>
      </c>
      <c r="AS661" s="1">
        <f t="shared" si="116"/>
        <v>15</v>
      </c>
      <c r="AT661" s="1">
        <f t="shared" si="116"/>
        <v>7</v>
      </c>
      <c r="AU661" s="1">
        <f t="shared" si="116"/>
        <v>16</v>
      </c>
      <c r="AV661" s="1">
        <f t="shared" si="116"/>
        <v>6</v>
      </c>
      <c r="AW661" s="1">
        <f t="shared" si="116"/>
        <v>4</v>
      </c>
      <c r="AX661" s="1">
        <f t="shared" si="116"/>
        <v>17</v>
      </c>
      <c r="AY661" s="1">
        <f t="shared" si="116"/>
        <v>14</v>
      </c>
      <c r="AZ661" s="1">
        <f t="shared" si="116"/>
        <v>10</v>
      </c>
      <c r="BA661" s="1">
        <f t="shared" si="116"/>
        <v>1</v>
      </c>
      <c r="BB661" s="1">
        <f t="shared" si="116"/>
        <v>1</v>
      </c>
      <c r="BC661" s="1">
        <f t="shared" si="116"/>
        <v>2</v>
      </c>
      <c r="BD661" s="1">
        <f t="shared" si="116"/>
        <v>0</v>
      </c>
      <c r="BE661" s="1">
        <f t="shared" si="116"/>
        <v>1</v>
      </c>
      <c r="BF661" s="1">
        <f t="shared" si="116"/>
        <v>4</v>
      </c>
      <c r="BG661" s="1">
        <f t="shared" si="116"/>
        <v>1</v>
      </c>
      <c r="BH661" s="1">
        <f t="shared" si="116"/>
        <v>10</v>
      </c>
      <c r="BI661" s="1">
        <f t="shared" si="116"/>
        <v>3</v>
      </c>
      <c r="BJ661" s="1">
        <f t="shared" si="116"/>
        <v>17</v>
      </c>
      <c r="BK661" s="1">
        <f t="shared" si="116"/>
        <v>7</v>
      </c>
      <c r="BL661" s="1">
        <f t="shared" si="116"/>
        <v>1</v>
      </c>
      <c r="BM661" s="1">
        <f t="shared" si="116"/>
        <v>8</v>
      </c>
      <c r="BN661" s="1">
        <f t="shared" si="116"/>
        <v>11</v>
      </c>
      <c r="BO661" s="1">
        <f t="shared" si="116"/>
        <v>2</v>
      </c>
      <c r="BP661" s="1">
        <f t="shared" si="116"/>
        <v>10</v>
      </c>
      <c r="BQ661" s="1">
        <f t="shared" ref="BQ661:EB661" si="117">BQ664+BQ667+BQ670+BQ673+BQ676+BQ679+BQ682+BQ685+BQ688+BQ691+BQ694+BQ697+BQ700+BQ703</f>
        <v>3</v>
      </c>
      <c r="BR661" s="1">
        <f t="shared" si="117"/>
        <v>1</v>
      </c>
      <c r="BS661" s="1">
        <f t="shared" si="117"/>
        <v>2</v>
      </c>
      <c r="BT661" s="1">
        <f t="shared" si="117"/>
        <v>3</v>
      </c>
      <c r="BU661" s="1">
        <f t="shared" si="117"/>
        <v>2</v>
      </c>
      <c r="BV661" s="1">
        <f t="shared" si="117"/>
        <v>7</v>
      </c>
      <c r="BW661" s="1">
        <f t="shared" si="117"/>
        <v>0</v>
      </c>
      <c r="BX661" s="1">
        <f t="shared" si="117"/>
        <v>0</v>
      </c>
      <c r="BY661" s="1">
        <f t="shared" si="117"/>
        <v>0</v>
      </c>
      <c r="BZ661" s="1">
        <f t="shared" si="117"/>
        <v>2</v>
      </c>
      <c r="CA661" s="1">
        <f t="shared" si="117"/>
        <v>1</v>
      </c>
      <c r="CB661" s="1">
        <f t="shared" si="117"/>
        <v>1</v>
      </c>
      <c r="CC661" s="1">
        <f t="shared" si="117"/>
        <v>2</v>
      </c>
      <c r="CD661" s="1">
        <f t="shared" si="117"/>
        <v>2</v>
      </c>
      <c r="CE661" s="1">
        <f t="shared" si="117"/>
        <v>4</v>
      </c>
      <c r="CF661" s="1">
        <f t="shared" si="117"/>
        <v>1</v>
      </c>
      <c r="CG661" s="1">
        <f t="shared" si="117"/>
        <v>3</v>
      </c>
      <c r="CH661" s="1">
        <f t="shared" si="117"/>
        <v>1</v>
      </c>
      <c r="CI661" s="1">
        <f t="shared" si="117"/>
        <v>2</v>
      </c>
      <c r="CJ661" s="1">
        <f t="shared" si="117"/>
        <v>1</v>
      </c>
      <c r="CK661" s="1">
        <f t="shared" si="117"/>
        <v>1</v>
      </c>
      <c r="CL661" s="1">
        <f t="shared" si="117"/>
        <v>2</v>
      </c>
      <c r="CM661" s="1">
        <f t="shared" si="117"/>
        <v>0</v>
      </c>
      <c r="CN661" s="1">
        <f t="shared" si="117"/>
        <v>0</v>
      </c>
      <c r="CO661" s="1">
        <f t="shared" si="117"/>
        <v>0</v>
      </c>
      <c r="CP661" s="1">
        <f t="shared" si="117"/>
        <v>1</v>
      </c>
      <c r="CQ661" s="1">
        <f t="shared" si="117"/>
        <v>2</v>
      </c>
      <c r="CR661" s="1">
        <f t="shared" si="117"/>
        <v>1</v>
      </c>
      <c r="CS661" s="1">
        <f t="shared" si="117"/>
        <v>1</v>
      </c>
      <c r="CT661" s="1">
        <f t="shared" si="117"/>
        <v>2</v>
      </c>
      <c r="CU661" s="1">
        <f t="shared" si="117"/>
        <v>0</v>
      </c>
      <c r="CV661" s="1">
        <f t="shared" si="117"/>
        <v>2</v>
      </c>
      <c r="CW661" s="1">
        <f t="shared" si="117"/>
        <v>0</v>
      </c>
      <c r="CX661" s="1">
        <f t="shared" si="117"/>
        <v>0</v>
      </c>
      <c r="CY661" s="1">
        <f t="shared" si="117"/>
        <v>1</v>
      </c>
      <c r="CZ661" s="1">
        <f t="shared" si="117"/>
        <v>1</v>
      </c>
      <c r="DA661" s="1">
        <f t="shared" si="117"/>
        <v>0</v>
      </c>
      <c r="DB661" s="1">
        <f t="shared" si="117"/>
        <v>0</v>
      </c>
      <c r="DC661" s="1">
        <f t="shared" si="117"/>
        <v>0</v>
      </c>
      <c r="DD661" s="1">
        <f t="shared" si="117"/>
        <v>1</v>
      </c>
      <c r="DE661" s="1">
        <f t="shared" si="117"/>
        <v>0</v>
      </c>
      <c r="DF661" s="1">
        <f t="shared" si="117"/>
        <v>0</v>
      </c>
      <c r="DG661" s="1">
        <f t="shared" si="117"/>
        <v>0</v>
      </c>
      <c r="DH661" s="1">
        <f t="shared" si="117"/>
        <v>0</v>
      </c>
      <c r="DI661" s="1">
        <f t="shared" si="117"/>
        <v>0</v>
      </c>
      <c r="DJ661" s="1">
        <f t="shared" si="117"/>
        <v>0</v>
      </c>
      <c r="DK661" s="1">
        <f t="shared" si="117"/>
        <v>2</v>
      </c>
      <c r="DL661" s="1">
        <f t="shared" si="117"/>
        <v>3</v>
      </c>
      <c r="DM661" s="1">
        <f t="shared" si="117"/>
        <v>0</v>
      </c>
      <c r="DN661" s="1">
        <f t="shared" si="117"/>
        <v>0</v>
      </c>
      <c r="DO661" s="1">
        <f t="shared" si="117"/>
        <v>1</v>
      </c>
      <c r="DP661" s="1">
        <f t="shared" si="117"/>
        <v>0</v>
      </c>
      <c r="DQ661" s="1">
        <f t="shared" si="117"/>
        <v>0</v>
      </c>
      <c r="DR661" s="1">
        <f t="shared" si="117"/>
        <v>0</v>
      </c>
      <c r="DS661" s="1">
        <f t="shared" si="117"/>
        <v>1</v>
      </c>
      <c r="DT661" s="1">
        <f t="shared" si="117"/>
        <v>4</v>
      </c>
      <c r="DU661" s="1">
        <f t="shared" si="117"/>
        <v>0</v>
      </c>
      <c r="DV661" s="1">
        <f t="shared" si="117"/>
        <v>0</v>
      </c>
      <c r="DW661" s="1">
        <f t="shared" si="117"/>
        <v>0</v>
      </c>
      <c r="DX661" s="1">
        <f t="shared" si="117"/>
        <v>0</v>
      </c>
      <c r="DY661" s="1">
        <f t="shared" si="117"/>
        <v>1</v>
      </c>
      <c r="DZ661" s="1">
        <f t="shared" si="117"/>
        <v>1</v>
      </c>
      <c r="EA661" s="1">
        <f t="shared" si="117"/>
        <v>0</v>
      </c>
      <c r="EB661" s="1">
        <f t="shared" si="117"/>
        <v>2</v>
      </c>
      <c r="EC661" s="1">
        <f t="shared" ref="EC661:GN661" si="118">EC664+EC667+EC670+EC673+EC676+EC679+EC682+EC685+EC688+EC691+EC694+EC697+EC700+EC703</f>
        <v>0</v>
      </c>
      <c r="ED661" s="1">
        <f t="shared" si="118"/>
        <v>0</v>
      </c>
      <c r="EE661" s="1">
        <f t="shared" si="118"/>
        <v>1</v>
      </c>
      <c r="EF661" s="1">
        <f t="shared" si="118"/>
        <v>0</v>
      </c>
      <c r="EG661" s="1">
        <f t="shared" si="118"/>
        <v>1</v>
      </c>
      <c r="EH661" s="1">
        <f t="shared" si="118"/>
        <v>1</v>
      </c>
      <c r="EI661" s="1">
        <f t="shared" si="118"/>
        <v>0</v>
      </c>
      <c r="EJ661" s="1">
        <f t="shared" si="118"/>
        <v>0</v>
      </c>
      <c r="EK661" s="1">
        <f t="shared" si="118"/>
        <v>0</v>
      </c>
      <c r="EL661" s="1">
        <f t="shared" si="118"/>
        <v>0</v>
      </c>
      <c r="EM661" s="1">
        <f t="shared" si="118"/>
        <v>0</v>
      </c>
      <c r="EN661" s="1">
        <f t="shared" si="118"/>
        <v>1</v>
      </c>
      <c r="EO661" s="1">
        <f t="shared" si="118"/>
        <v>0</v>
      </c>
      <c r="EP661" s="1">
        <f t="shared" si="118"/>
        <v>0</v>
      </c>
      <c r="EQ661" s="1">
        <f t="shared" si="118"/>
        <v>1</v>
      </c>
      <c r="ER661" s="1">
        <f t="shared" si="118"/>
        <v>0</v>
      </c>
      <c r="ES661" s="1">
        <f t="shared" si="118"/>
        <v>1</v>
      </c>
      <c r="ET661" s="1">
        <f t="shared" si="118"/>
        <v>0</v>
      </c>
      <c r="EU661" s="1">
        <f t="shared" si="118"/>
        <v>0</v>
      </c>
      <c r="EV661" s="1">
        <f t="shared" si="118"/>
        <v>0</v>
      </c>
      <c r="EW661" s="1">
        <f t="shared" si="118"/>
        <v>0</v>
      </c>
      <c r="EX661" s="1">
        <f t="shared" si="118"/>
        <v>0</v>
      </c>
      <c r="EY661" s="1">
        <f t="shared" si="118"/>
        <v>0</v>
      </c>
      <c r="EZ661" s="1">
        <f t="shared" si="118"/>
        <v>0</v>
      </c>
      <c r="FA661" s="1">
        <f t="shared" si="118"/>
        <v>0</v>
      </c>
      <c r="FB661" s="1">
        <f t="shared" si="118"/>
        <v>0</v>
      </c>
      <c r="FC661" s="1">
        <f t="shared" si="118"/>
        <v>0</v>
      </c>
      <c r="FD661" s="1">
        <f t="shared" si="118"/>
        <v>0</v>
      </c>
      <c r="FE661" s="1">
        <f t="shared" si="118"/>
        <v>0</v>
      </c>
      <c r="FF661" s="1">
        <f t="shared" si="118"/>
        <v>0</v>
      </c>
      <c r="FG661" s="1">
        <f t="shared" si="118"/>
        <v>0</v>
      </c>
      <c r="FH661" s="1">
        <f t="shared" si="118"/>
        <v>1</v>
      </c>
      <c r="FI661" s="1">
        <f t="shared" si="118"/>
        <v>0</v>
      </c>
      <c r="FJ661" s="1">
        <f t="shared" si="118"/>
        <v>0</v>
      </c>
      <c r="FK661" s="1">
        <f t="shared" si="118"/>
        <v>0</v>
      </c>
      <c r="FL661" s="1">
        <f t="shared" si="118"/>
        <v>0</v>
      </c>
      <c r="FM661" s="1">
        <f t="shared" si="118"/>
        <v>0</v>
      </c>
      <c r="FN661" s="1">
        <f t="shared" si="118"/>
        <v>0</v>
      </c>
      <c r="FO661" s="1">
        <f t="shared" si="118"/>
        <v>0</v>
      </c>
      <c r="FP661" s="1">
        <f t="shared" si="118"/>
        <v>0</v>
      </c>
      <c r="FQ661" s="1">
        <f t="shared" si="118"/>
        <v>0</v>
      </c>
      <c r="FR661" s="1">
        <f t="shared" si="118"/>
        <v>0</v>
      </c>
      <c r="FS661" s="1">
        <f t="shared" si="118"/>
        <v>0</v>
      </c>
      <c r="FT661" s="1">
        <f t="shared" si="118"/>
        <v>0</v>
      </c>
      <c r="FU661" s="1">
        <f t="shared" si="118"/>
        <v>0</v>
      </c>
      <c r="FV661" s="1">
        <f t="shared" si="118"/>
        <v>1</v>
      </c>
      <c r="FW661" s="1">
        <f t="shared" si="118"/>
        <v>0</v>
      </c>
      <c r="FX661" s="1">
        <f t="shared" si="118"/>
        <v>0</v>
      </c>
      <c r="FY661" s="1">
        <f t="shared" si="118"/>
        <v>0</v>
      </c>
      <c r="FZ661" s="1">
        <f t="shared" si="118"/>
        <v>0</v>
      </c>
      <c r="GA661" s="1">
        <f t="shared" si="118"/>
        <v>0</v>
      </c>
      <c r="GB661" s="1">
        <f t="shared" si="118"/>
        <v>0</v>
      </c>
      <c r="GC661" s="1">
        <f t="shared" si="118"/>
        <v>0</v>
      </c>
      <c r="GD661" s="1">
        <f t="shared" si="118"/>
        <v>0</v>
      </c>
      <c r="GE661" s="1">
        <f t="shared" si="118"/>
        <v>0</v>
      </c>
      <c r="GF661" s="1">
        <f t="shared" si="118"/>
        <v>0</v>
      </c>
      <c r="GG661" s="1">
        <f t="shared" si="118"/>
        <v>0</v>
      </c>
      <c r="GH661" s="1">
        <f t="shared" si="118"/>
        <v>0</v>
      </c>
      <c r="GI661" s="1">
        <f t="shared" si="118"/>
        <v>0</v>
      </c>
      <c r="GJ661" s="1">
        <f t="shared" si="118"/>
        <v>0</v>
      </c>
      <c r="GK661" s="1">
        <f t="shared" si="118"/>
        <v>0</v>
      </c>
      <c r="GL661" s="1">
        <f t="shared" si="118"/>
        <v>0</v>
      </c>
      <c r="GM661" s="1">
        <f t="shared" si="118"/>
        <v>0</v>
      </c>
      <c r="GN661" s="1">
        <f t="shared" si="118"/>
        <v>0</v>
      </c>
      <c r="GO661" s="1">
        <f t="shared" ref="GO661:GS661" si="119">GO664+GO667+GO670+GO673+GO676+GO679+GO682+GO685+GO688+GO691+GO694+GO697+GO700+GO703</f>
        <v>0</v>
      </c>
      <c r="GP661" s="1">
        <f t="shared" si="119"/>
        <v>0</v>
      </c>
      <c r="GQ661" s="1">
        <f t="shared" si="119"/>
        <v>0</v>
      </c>
      <c r="GR661" s="1">
        <f t="shared" si="119"/>
        <v>0</v>
      </c>
      <c r="GS661" s="1">
        <f t="shared" si="119"/>
        <v>5</v>
      </c>
    </row>
    <row r="662" spans="1:201" x14ac:dyDescent="0.3">
      <c r="A662" t="s">
        <v>400</v>
      </c>
      <c r="B662" t="s">
        <v>401</v>
      </c>
      <c r="C662" t="s">
        <v>200</v>
      </c>
      <c r="D662" s="1">
        <v>1164</v>
      </c>
      <c r="E662">
        <v>324</v>
      </c>
      <c r="F662">
        <v>35</v>
      </c>
      <c r="G662">
        <v>49</v>
      </c>
      <c r="H662">
        <v>251</v>
      </c>
      <c r="I662">
        <v>19</v>
      </c>
      <c r="J662">
        <v>93</v>
      </c>
      <c r="K662">
        <v>25</v>
      </c>
      <c r="L662">
        <v>74</v>
      </c>
      <c r="M662">
        <v>65</v>
      </c>
      <c r="N662">
        <v>65</v>
      </c>
      <c r="O662">
        <v>12</v>
      </c>
      <c r="P662">
        <v>6</v>
      </c>
      <c r="Q662">
        <v>45</v>
      </c>
      <c r="R662">
        <v>10</v>
      </c>
      <c r="S662">
        <v>23</v>
      </c>
      <c r="T662">
        <v>1</v>
      </c>
      <c r="U662">
        <v>2</v>
      </c>
      <c r="V662">
        <v>14</v>
      </c>
      <c r="W662">
        <v>1</v>
      </c>
      <c r="X662">
        <v>0</v>
      </c>
      <c r="Y662">
        <v>8</v>
      </c>
      <c r="Z662">
        <v>28</v>
      </c>
      <c r="AA662">
        <v>1</v>
      </c>
      <c r="AB662">
        <v>2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0</v>
      </c>
      <c r="AW662">
        <v>0</v>
      </c>
      <c r="AX662">
        <v>0</v>
      </c>
      <c r="AY662">
        <v>1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1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1</v>
      </c>
      <c r="BY662">
        <v>0</v>
      </c>
      <c r="BZ662">
        <v>0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1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1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</row>
    <row r="663" spans="1:201" x14ac:dyDescent="0.3">
      <c r="A663" t="s">
        <v>400</v>
      </c>
      <c r="B663" t="s">
        <v>401</v>
      </c>
      <c r="C663" t="s">
        <v>203</v>
      </c>
      <c r="D663">
        <v>792</v>
      </c>
      <c r="E663">
        <v>201</v>
      </c>
      <c r="F663">
        <v>19</v>
      </c>
      <c r="G663">
        <v>9</v>
      </c>
      <c r="H663">
        <v>193</v>
      </c>
      <c r="I663">
        <v>12</v>
      </c>
      <c r="J663">
        <v>74</v>
      </c>
      <c r="K663">
        <v>24</v>
      </c>
      <c r="L663">
        <v>73</v>
      </c>
      <c r="M663">
        <v>32</v>
      </c>
      <c r="N663">
        <v>42</v>
      </c>
      <c r="O663">
        <v>4</v>
      </c>
      <c r="P663">
        <v>4</v>
      </c>
      <c r="Q663">
        <v>41</v>
      </c>
      <c r="R663">
        <v>10</v>
      </c>
      <c r="S663">
        <v>3</v>
      </c>
      <c r="T663">
        <v>1</v>
      </c>
      <c r="U663" s="1">
        <v>0</v>
      </c>
      <c r="V663">
        <v>10</v>
      </c>
      <c r="W663">
        <v>1</v>
      </c>
      <c r="X663">
        <v>0</v>
      </c>
      <c r="Y663">
        <v>4</v>
      </c>
      <c r="Z663">
        <v>24</v>
      </c>
      <c r="AA663">
        <v>1</v>
      </c>
      <c r="AB663">
        <v>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1</v>
      </c>
      <c r="BY663">
        <v>0</v>
      </c>
      <c r="BZ663">
        <v>0</v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1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1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</row>
    <row r="664" spans="1:201" x14ac:dyDescent="0.3">
      <c r="A664" t="s">
        <v>400</v>
      </c>
      <c r="B664" t="s">
        <v>401</v>
      </c>
      <c r="C664" t="s">
        <v>204</v>
      </c>
      <c r="D664">
        <v>372</v>
      </c>
      <c r="E664">
        <v>123</v>
      </c>
      <c r="F664">
        <v>16</v>
      </c>
      <c r="G664">
        <v>40</v>
      </c>
      <c r="H664">
        <v>58</v>
      </c>
      <c r="I664">
        <v>7</v>
      </c>
      <c r="J664">
        <v>19</v>
      </c>
      <c r="K664">
        <v>1</v>
      </c>
      <c r="L664">
        <v>1</v>
      </c>
      <c r="M664">
        <v>33</v>
      </c>
      <c r="N664">
        <v>23</v>
      </c>
      <c r="O664">
        <v>8</v>
      </c>
      <c r="P664">
        <v>2</v>
      </c>
      <c r="Q664">
        <v>4</v>
      </c>
      <c r="R664" s="1">
        <v>0</v>
      </c>
      <c r="S664">
        <v>20</v>
      </c>
      <c r="T664" s="1">
        <v>0</v>
      </c>
      <c r="U664">
        <v>2</v>
      </c>
      <c r="V664">
        <v>4</v>
      </c>
      <c r="W664">
        <v>0</v>
      </c>
      <c r="X664">
        <v>0</v>
      </c>
      <c r="Y664">
        <v>4</v>
      </c>
      <c r="Z664">
        <v>4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</row>
    <row r="665" spans="1:201" x14ac:dyDescent="0.3">
      <c r="A665" t="s">
        <v>400</v>
      </c>
      <c r="B665" t="s">
        <v>402</v>
      </c>
      <c r="C665" t="s">
        <v>200</v>
      </c>
      <c r="D665">
        <v>439</v>
      </c>
      <c r="E665">
        <v>179</v>
      </c>
      <c r="F665">
        <v>16</v>
      </c>
      <c r="G665">
        <v>29</v>
      </c>
      <c r="H665">
        <v>55</v>
      </c>
      <c r="I665">
        <v>37</v>
      </c>
      <c r="J665">
        <v>6</v>
      </c>
      <c r="K665">
        <v>7</v>
      </c>
      <c r="L665">
        <v>1</v>
      </c>
      <c r="M665">
        <v>27</v>
      </c>
      <c r="N665">
        <v>9</v>
      </c>
      <c r="O665">
        <v>4</v>
      </c>
      <c r="P665">
        <v>4</v>
      </c>
      <c r="Q665">
        <v>12</v>
      </c>
      <c r="R665">
        <v>16</v>
      </c>
      <c r="S665">
        <v>7</v>
      </c>
      <c r="T665" s="1">
        <v>0</v>
      </c>
      <c r="U665" s="1">
        <v>0</v>
      </c>
      <c r="V665">
        <v>1</v>
      </c>
      <c r="W665">
        <v>7</v>
      </c>
      <c r="X665">
        <v>0</v>
      </c>
      <c r="Y665">
        <v>2</v>
      </c>
      <c r="Z665">
        <v>9</v>
      </c>
      <c r="AA665">
        <v>3</v>
      </c>
      <c r="AB665">
        <v>0</v>
      </c>
      <c r="AC665">
        <v>2</v>
      </c>
      <c r="AD665">
        <v>1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</row>
    <row r="666" spans="1:201" x14ac:dyDescent="0.3">
      <c r="A666" t="s">
        <v>400</v>
      </c>
      <c r="B666" t="s">
        <v>402</v>
      </c>
      <c r="C666" t="s">
        <v>203</v>
      </c>
      <c r="D666">
        <v>242</v>
      </c>
      <c r="E666">
        <v>76</v>
      </c>
      <c r="F666">
        <v>11</v>
      </c>
      <c r="G666">
        <v>9</v>
      </c>
      <c r="H666">
        <v>38</v>
      </c>
      <c r="I666">
        <v>29</v>
      </c>
      <c r="J666">
        <v>3</v>
      </c>
      <c r="K666">
        <v>7</v>
      </c>
      <c r="L666">
        <v>1</v>
      </c>
      <c r="M666">
        <v>21</v>
      </c>
      <c r="N666">
        <v>1</v>
      </c>
      <c r="O666">
        <v>2</v>
      </c>
      <c r="P666">
        <v>3</v>
      </c>
      <c r="Q666">
        <v>10</v>
      </c>
      <c r="R666">
        <v>12</v>
      </c>
      <c r="S666">
        <v>1</v>
      </c>
      <c r="T666" s="1">
        <v>0</v>
      </c>
      <c r="U666">
        <v>0</v>
      </c>
      <c r="V666">
        <v>1</v>
      </c>
      <c r="W666">
        <v>3</v>
      </c>
      <c r="X666">
        <v>0</v>
      </c>
      <c r="Y666">
        <v>0</v>
      </c>
      <c r="Z666">
        <v>9</v>
      </c>
      <c r="AA666">
        <v>2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</row>
    <row r="667" spans="1:201" x14ac:dyDescent="0.3">
      <c r="A667" t="s">
        <v>400</v>
      </c>
      <c r="B667" t="s">
        <v>402</v>
      </c>
      <c r="C667" t="s">
        <v>204</v>
      </c>
      <c r="D667">
        <v>197</v>
      </c>
      <c r="E667">
        <v>103</v>
      </c>
      <c r="F667">
        <v>5</v>
      </c>
      <c r="G667">
        <v>20</v>
      </c>
      <c r="H667">
        <v>17</v>
      </c>
      <c r="I667">
        <v>8</v>
      </c>
      <c r="J667">
        <v>3</v>
      </c>
      <c r="K667">
        <v>0</v>
      </c>
      <c r="L667">
        <v>0</v>
      </c>
      <c r="M667">
        <v>6</v>
      </c>
      <c r="N667">
        <v>8</v>
      </c>
      <c r="O667">
        <v>2</v>
      </c>
      <c r="P667">
        <v>1</v>
      </c>
      <c r="Q667">
        <v>2</v>
      </c>
      <c r="R667">
        <v>4</v>
      </c>
      <c r="S667">
        <v>6</v>
      </c>
      <c r="T667" s="1">
        <v>0</v>
      </c>
      <c r="U667" s="1">
        <v>0</v>
      </c>
      <c r="V667">
        <v>0</v>
      </c>
      <c r="W667">
        <v>4</v>
      </c>
      <c r="X667">
        <v>0</v>
      </c>
      <c r="Y667">
        <v>2</v>
      </c>
      <c r="Z667">
        <v>0</v>
      </c>
      <c r="AA667">
        <v>1</v>
      </c>
      <c r="AB667">
        <v>0</v>
      </c>
      <c r="AC667">
        <v>1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1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</row>
    <row r="668" spans="1:201" x14ac:dyDescent="0.3">
      <c r="A668" t="s">
        <v>400</v>
      </c>
      <c r="B668" t="s">
        <v>403</v>
      </c>
      <c r="C668" t="s">
        <v>200</v>
      </c>
      <c r="D668">
        <v>830</v>
      </c>
      <c r="E668">
        <v>221</v>
      </c>
      <c r="F668">
        <v>34</v>
      </c>
      <c r="G668">
        <v>26</v>
      </c>
      <c r="H668">
        <v>259</v>
      </c>
      <c r="I668">
        <v>42</v>
      </c>
      <c r="J668">
        <v>88</v>
      </c>
      <c r="K668">
        <v>5</v>
      </c>
      <c r="L668">
        <v>10</v>
      </c>
      <c r="M668">
        <v>27</v>
      </c>
      <c r="N668">
        <v>18</v>
      </c>
      <c r="O668">
        <v>8</v>
      </c>
      <c r="P668">
        <v>3</v>
      </c>
      <c r="Q668">
        <v>22</v>
      </c>
      <c r="R668">
        <v>19</v>
      </c>
      <c r="S668">
        <v>16</v>
      </c>
      <c r="T668">
        <v>3</v>
      </c>
      <c r="U668">
        <v>0</v>
      </c>
      <c r="V668">
        <v>2</v>
      </c>
      <c r="W668">
        <v>0</v>
      </c>
      <c r="X668">
        <v>0</v>
      </c>
      <c r="Y668">
        <v>11</v>
      </c>
      <c r="Z668">
        <v>2</v>
      </c>
      <c r="AA668">
        <v>1</v>
      </c>
      <c r="AB668">
        <v>3</v>
      </c>
      <c r="AC668">
        <v>0</v>
      </c>
      <c r="AD668">
        <v>3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1</v>
      </c>
      <c r="AS668">
        <v>0</v>
      </c>
      <c r="AT668">
        <v>1</v>
      </c>
      <c r="AU668">
        <v>0</v>
      </c>
      <c r="AV668">
        <v>0</v>
      </c>
      <c r="AW668">
        <v>1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</row>
    <row r="669" spans="1:201" x14ac:dyDescent="0.3">
      <c r="A669" t="s">
        <v>400</v>
      </c>
      <c r="B669" t="s">
        <v>403</v>
      </c>
      <c r="C669" t="s">
        <v>203</v>
      </c>
      <c r="D669">
        <v>489</v>
      </c>
      <c r="E669">
        <v>85</v>
      </c>
      <c r="F669">
        <v>11</v>
      </c>
      <c r="G669">
        <v>6</v>
      </c>
      <c r="H669">
        <v>205</v>
      </c>
      <c r="I669">
        <v>33</v>
      </c>
      <c r="J669">
        <v>68</v>
      </c>
      <c r="K669">
        <v>4</v>
      </c>
      <c r="L669">
        <v>9</v>
      </c>
      <c r="M669">
        <v>9</v>
      </c>
      <c r="N669">
        <v>7</v>
      </c>
      <c r="O669">
        <v>3</v>
      </c>
      <c r="P669">
        <v>1</v>
      </c>
      <c r="Q669">
        <v>17</v>
      </c>
      <c r="R669">
        <v>15</v>
      </c>
      <c r="S669">
        <v>3</v>
      </c>
      <c r="T669">
        <v>2</v>
      </c>
      <c r="U669" s="1">
        <v>0</v>
      </c>
      <c r="V669">
        <v>2</v>
      </c>
      <c r="W669">
        <v>0</v>
      </c>
      <c r="X669">
        <v>0</v>
      </c>
      <c r="Y669">
        <v>3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</row>
    <row r="670" spans="1:201" x14ac:dyDescent="0.3">
      <c r="A670" t="s">
        <v>400</v>
      </c>
      <c r="B670" t="s">
        <v>403</v>
      </c>
      <c r="C670" t="s">
        <v>204</v>
      </c>
      <c r="D670">
        <v>341</v>
      </c>
      <c r="E670">
        <v>136</v>
      </c>
      <c r="F670">
        <v>23</v>
      </c>
      <c r="G670">
        <v>20</v>
      </c>
      <c r="H670">
        <v>54</v>
      </c>
      <c r="I670">
        <v>9</v>
      </c>
      <c r="J670">
        <v>20</v>
      </c>
      <c r="K670">
        <v>1</v>
      </c>
      <c r="L670">
        <v>1</v>
      </c>
      <c r="M670">
        <v>18</v>
      </c>
      <c r="N670">
        <v>11</v>
      </c>
      <c r="O670">
        <v>5</v>
      </c>
      <c r="P670">
        <v>2</v>
      </c>
      <c r="Q670">
        <v>5</v>
      </c>
      <c r="R670">
        <v>4</v>
      </c>
      <c r="S670">
        <v>13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8</v>
      </c>
      <c r="Z670">
        <v>1</v>
      </c>
      <c r="AA670">
        <v>1</v>
      </c>
      <c r="AB670">
        <v>2</v>
      </c>
      <c r="AC670">
        <v>0</v>
      </c>
      <c r="AD670">
        <v>3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</row>
    <row r="671" spans="1:201" x14ac:dyDescent="0.3">
      <c r="A671" t="s">
        <v>400</v>
      </c>
      <c r="B671" t="s">
        <v>404</v>
      </c>
      <c r="C671" t="s">
        <v>200</v>
      </c>
      <c r="D671" s="1">
        <v>1057</v>
      </c>
      <c r="E671">
        <v>340</v>
      </c>
      <c r="F671">
        <v>42</v>
      </c>
      <c r="G671">
        <v>37</v>
      </c>
      <c r="H671">
        <v>119</v>
      </c>
      <c r="I671">
        <v>191</v>
      </c>
      <c r="J671">
        <v>74</v>
      </c>
      <c r="K671">
        <v>80</v>
      </c>
      <c r="L671">
        <v>19</v>
      </c>
      <c r="M671">
        <v>38</v>
      </c>
      <c r="N671">
        <v>30</v>
      </c>
      <c r="O671">
        <v>9</v>
      </c>
      <c r="P671">
        <v>3</v>
      </c>
      <c r="Q671">
        <v>16</v>
      </c>
      <c r="R671">
        <v>6</v>
      </c>
      <c r="S671">
        <v>11</v>
      </c>
      <c r="T671">
        <v>6</v>
      </c>
      <c r="U671">
        <v>5</v>
      </c>
      <c r="V671">
        <v>3</v>
      </c>
      <c r="W671">
        <v>4</v>
      </c>
      <c r="X671">
        <v>5</v>
      </c>
      <c r="Y671">
        <v>8</v>
      </c>
      <c r="Z671">
        <v>2</v>
      </c>
      <c r="AA671">
        <v>0</v>
      </c>
      <c r="AB671">
        <v>0</v>
      </c>
      <c r="AC671">
        <v>1</v>
      </c>
      <c r="AD671">
        <v>2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1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1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1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</row>
    <row r="672" spans="1:201" x14ac:dyDescent="0.3">
      <c r="A672" t="s">
        <v>400</v>
      </c>
      <c r="B672" t="s">
        <v>404</v>
      </c>
      <c r="C672" t="s">
        <v>203</v>
      </c>
      <c r="D672">
        <v>673</v>
      </c>
      <c r="E672">
        <v>162</v>
      </c>
      <c r="F672">
        <v>23</v>
      </c>
      <c r="G672">
        <v>7</v>
      </c>
      <c r="H672">
        <v>94</v>
      </c>
      <c r="I672">
        <v>167</v>
      </c>
      <c r="J672">
        <v>44</v>
      </c>
      <c r="K672">
        <v>75</v>
      </c>
      <c r="L672">
        <v>17</v>
      </c>
      <c r="M672">
        <v>15</v>
      </c>
      <c r="N672">
        <v>10</v>
      </c>
      <c r="O672">
        <v>4</v>
      </c>
      <c r="P672">
        <v>2</v>
      </c>
      <c r="Q672">
        <v>16</v>
      </c>
      <c r="R672">
        <v>6</v>
      </c>
      <c r="S672">
        <v>3</v>
      </c>
      <c r="T672">
        <v>4</v>
      </c>
      <c r="U672">
        <v>0</v>
      </c>
      <c r="V672">
        <v>3</v>
      </c>
      <c r="W672">
        <v>4</v>
      </c>
      <c r="X672">
        <v>5</v>
      </c>
      <c r="Y672">
        <v>5</v>
      </c>
      <c r="Z672">
        <v>2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1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</row>
    <row r="673" spans="1:201" x14ac:dyDescent="0.3">
      <c r="A673" t="s">
        <v>400</v>
      </c>
      <c r="B673" t="s">
        <v>404</v>
      </c>
      <c r="C673" t="s">
        <v>204</v>
      </c>
      <c r="D673">
        <v>384</v>
      </c>
      <c r="E673">
        <v>178</v>
      </c>
      <c r="F673">
        <v>19</v>
      </c>
      <c r="G673">
        <v>30</v>
      </c>
      <c r="H673">
        <v>25</v>
      </c>
      <c r="I673">
        <v>24</v>
      </c>
      <c r="J673">
        <v>30</v>
      </c>
      <c r="K673">
        <v>5</v>
      </c>
      <c r="L673">
        <v>2</v>
      </c>
      <c r="M673">
        <v>23</v>
      </c>
      <c r="N673">
        <v>20</v>
      </c>
      <c r="O673">
        <v>5</v>
      </c>
      <c r="P673">
        <v>1</v>
      </c>
      <c r="Q673">
        <v>0</v>
      </c>
      <c r="R673">
        <v>0</v>
      </c>
      <c r="S673">
        <v>8</v>
      </c>
      <c r="T673">
        <v>2</v>
      </c>
      <c r="U673">
        <v>5</v>
      </c>
      <c r="V673">
        <v>0</v>
      </c>
      <c r="W673">
        <v>0</v>
      </c>
      <c r="X673">
        <v>0</v>
      </c>
      <c r="Y673">
        <v>3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1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</row>
    <row r="674" spans="1:201" x14ac:dyDescent="0.3">
      <c r="A674" t="s">
        <v>400</v>
      </c>
      <c r="B674" t="s">
        <v>405</v>
      </c>
      <c r="C674" t="s">
        <v>200</v>
      </c>
      <c r="D674" s="1">
        <v>1383</v>
      </c>
      <c r="E674">
        <v>286</v>
      </c>
      <c r="F674">
        <v>47</v>
      </c>
      <c r="G674">
        <v>53</v>
      </c>
      <c r="H674">
        <v>241</v>
      </c>
      <c r="I674">
        <v>96</v>
      </c>
      <c r="J674">
        <v>127</v>
      </c>
      <c r="K674">
        <v>60</v>
      </c>
      <c r="L674">
        <v>40</v>
      </c>
      <c r="M674">
        <v>107</v>
      </c>
      <c r="N674">
        <v>28</v>
      </c>
      <c r="O674">
        <v>6</v>
      </c>
      <c r="P674">
        <v>6</v>
      </c>
      <c r="Q674">
        <v>108</v>
      </c>
      <c r="R674">
        <v>50</v>
      </c>
      <c r="S674">
        <v>17</v>
      </c>
      <c r="T674">
        <v>5</v>
      </c>
      <c r="U674">
        <v>0</v>
      </c>
      <c r="V674">
        <v>20</v>
      </c>
      <c r="W674">
        <v>10</v>
      </c>
      <c r="X674">
        <v>0</v>
      </c>
      <c r="Y674">
        <v>9</v>
      </c>
      <c r="Z674">
        <v>9</v>
      </c>
      <c r="AA674">
        <v>0</v>
      </c>
      <c r="AB674">
        <v>0</v>
      </c>
      <c r="AC674">
        <v>2</v>
      </c>
      <c r="AD674">
        <v>4</v>
      </c>
      <c r="AE674">
        <v>2</v>
      </c>
      <c r="AF674">
        <v>2</v>
      </c>
      <c r="AG674">
        <v>1</v>
      </c>
      <c r="AH674">
        <v>3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2</v>
      </c>
      <c r="AP674">
        <v>39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1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</row>
    <row r="675" spans="1:201" x14ac:dyDescent="0.3">
      <c r="A675" t="s">
        <v>400</v>
      </c>
      <c r="B675" t="s">
        <v>405</v>
      </c>
      <c r="C675" t="s">
        <v>203</v>
      </c>
      <c r="D675">
        <v>962</v>
      </c>
      <c r="E675">
        <v>132</v>
      </c>
      <c r="F675">
        <v>31</v>
      </c>
      <c r="G675">
        <v>28</v>
      </c>
      <c r="H675">
        <v>198</v>
      </c>
      <c r="I675">
        <v>84</v>
      </c>
      <c r="J675">
        <v>90</v>
      </c>
      <c r="K675">
        <v>55</v>
      </c>
      <c r="L675">
        <v>40</v>
      </c>
      <c r="M675">
        <v>74</v>
      </c>
      <c r="N675">
        <v>18</v>
      </c>
      <c r="O675">
        <v>4</v>
      </c>
      <c r="P675">
        <v>4</v>
      </c>
      <c r="Q675">
        <v>87</v>
      </c>
      <c r="R675">
        <v>43</v>
      </c>
      <c r="S675">
        <v>0</v>
      </c>
      <c r="T675">
        <v>4</v>
      </c>
      <c r="U675">
        <v>0</v>
      </c>
      <c r="V675">
        <v>18</v>
      </c>
      <c r="W675">
        <v>6</v>
      </c>
      <c r="X675">
        <v>0</v>
      </c>
      <c r="Y675">
        <v>5</v>
      </c>
      <c r="Z675">
        <v>7</v>
      </c>
      <c r="AA675">
        <v>0</v>
      </c>
      <c r="AB675">
        <v>0</v>
      </c>
      <c r="AC675">
        <v>1</v>
      </c>
      <c r="AD675">
        <v>0</v>
      </c>
      <c r="AE675">
        <v>2</v>
      </c>
      <c r="AF675">
        <v>0</v>
      </c>
      <c r="AG675">
        <v>0</v>
      </c>
      <c r="AH675">
        <v>3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2</v>
      </c>
      <c r="AP675">
        <v>25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1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</row>
    <row r="676" spans="1:201" x14ac:dyDescent="0.3">
      <c r="A676" t="s">
        <v>400</v>
      </c>
      <c r="B676" t="s">
        <v>405</v>
      </c>
      <c r="C676" t="s">
        <v>204</v>
      </c>
      <c r="D676">
        <v>421</v>
      </c>
      <c r="E676">
        <v>154</v>
      </c>
      <c r="F676">
        <v>16</v>
      </c>
      <c r="G676">
        <v>25</v>
      </c>
      <c r="H676">
        <v>43</v>
      </c>
      <c r="I676">
        <v>12</v>
      </c>
      <c r="J676">
        <v>37</v>
      </c>
      <c r="K676">
        <v>5</v>
      </c>
      <c r="L676">
        <v>0</v>
      </c>
      <c r="M676">
        <v>33</v>
      </c>
      <c r="N676">
        <v>10</v>
      </c>
      <c r="O676">
        <v>2</v>
      </c>
      <c r="P676">
        <v>2</v>
      </c>
      <c r="Q676">
        <v>21</v>
      </c>
      <c r="R676">
        <v>7</v>
      </c>
      <c r="S676">
        <v>17</v>
      </c>
      <c r="T676">
        <v>1</v>
      </c>
      <c r="U676">
        <v>0</v>
      </c>
      <c r="V676">
        <v>2</v>
      </c>
      <c r="W676">
        <v>4</v>
      </c>
      <c r="X676">
        <v>0</v>
      </c>
      <c r="Y676">
        <v>4</v>
      </c>
      <c r="Z676">
        <v>2</v>
      </c>
      <c r="AA676">
        <v>0</v>
      </c>
      <c r="AB676">
        <v>0</v>
      </c>
      <c r="AC676">
        <v>1</v>
      </c>
      <c r="AD676">
        <v>4</v>
      </c>
      <c r="AE676">
        <v>0</v>
      </c>
      <c r="AF676">
        <v>2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14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1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1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</row>
    <row r="677" spans="1:201" x14ac:dyDescent="0.3">
      <c r="A677" t="s">
        <v>400</v>
      </c>
      <c r="B677" t="s">
        <v>406</v>
      </c>
      <c r="C677" t="s">
        <v>200</v>
      </c>
      <c r="D677" s="1">
        <v>15313</v>
      </c>
      <c r="E677" s="1">
        <v>1759</v>
      </c>
      <c r="F677" s="1">
        <v>1473</v>
      </c>
      <c r="G677">
        <v>689</v>
      </c>
      <c r="H677" s="1">
        <v>2415</v>
      </c>
      <c r="I677">
        <v>838</v>
      </c>
      <c r="J677" s="1">
        <v>1340</v>
      </c>
      <c r="K677">
        <v>812</v>
      </c>
      <c r="L677">
        <v>937</v>
      </c>
      <c r="M677">
        <v>783</v>
      </c>
      <c r="N677">
        <v>957</v>
      </c>
      <c r="O677">
        <v>216</v>
      </c>
      <c r="P677">
        <v>13</v>
      </c>
      <c r="Q677">
        <v>791</v>
      </c>
      <c r="R677">
        <v>610</v>
      </c>
      <c r="S677">
        <v>45</v>
      </c>
      <c r="T677">
        <v>95</v>
      </c>
      <c r="U677">
        <v>176</v>
      </c>
      <c r="V677">
        <v>152</v>
      </c>
      <c r="W677">
        <v>13</v>
      </c>
      <c r="X677">
        <v>75</v>
      </c>
      <c r="Y677">
        <v>205</v>
      </c>
      <c r="Z677">
        <v>116</v>
      </c>
      <c r="AA677">
        <v>0</v>
      </c>
      <c r="AB677">
        <v>476</v>
      </c>
      <c r="AC677">
        <v>0</v>
      </c>
      <c r="AD677">
        <v>6</v>
      </c>
      <c r="AE677">
        <v>39</v>
      </c>
      <c r="AF677">
        <v>0</v>
      </c>
      <c r="AG677">
        <v>20</v>
      </c>
      <c r="AH677">
        <v>3</v>
      </c>
      <c r="AI677">
        <v>84</v>
      </c>
      <c r="AJ677">
        <v>15</v>
      </c>
      <c r="AK677">
        <v>6</v>
      </c>
      <c r="AL677">
        <v>16</v>
      </c>
      <c r="AM677">
        <v>0</v>
      </c>
      <c r="AN677">
        <v>1</v>
      </c>
      <c r="AO677">
        <v>6</v>
      </c>
      <c r="AP677">
        <v>12</v>
      </c>
      <c r="AQ677">
        <v>13</v>
      </c>
      <c r="AR677">
        <v>7</v>
      </c>
      <c r="AS677">
        <v>0</v>
      </c>
      <c r="AT677">
        <v>0</v>
      </c>
      <c r="AU677">
        <v>0</v>
      </c>
      <c r="AV677">
        <v>6</v>
      </c>
      <c r="AW677">
        <v>1</v>
      </c>
      <c r="AX677">
        <v>13</v>
      </c>
      <c r="AY677">
        <v>8</v>
      </c>
      <c r="AZ677">
        <v>5</v>
      </c>
      <c r="BA677">
        <v>0</v>
      </c>
      <c r="BB677">
        <v>0</v>
      </c>
      <c r="BC677">
        <v>0</v>
      </c>
      <c r="BD677">
        <v>10</v>
      </c>
      <c r="BE677">
        <v>2</v>
      </c>
      <c r="BF677">
        <v>1</v>
      </c>
      <c r="BG677">
        <v>0</v>
      </c>
      <c r="BH677">
        <v>0</v>
      </c>
      <c r="BI677">
        <v>1</v>
      </c>
      <c r="BJ677">
        <v>4</v>
      </c>
      <c r="BK677">
        <v>6</v>
      </c>
      <c r="BL677">
        <v>4</v>
      </c>
      <c r="BM677">
        <v>1</v>
      </c>
      <c r="BN677">
        <v>0</v>
      </c>
      <c r="BO677">
        <v>0</v>
      </c>
      <c r="BP677">
        <v>8</v>
      </c>
      <c r="BQ677">
        <v>3</v>
      </c>
      <c r="BR677">
        <v>0</v>
      </c>
      <c r="BS677">
        <v>0</v>
      </c>
      <c r="BT677">
        <v>5</v>
      </c>
      <c r="BU677">
        <v>0</v>
      </c>
      <c r="BV677">
        <v>1</v>
      </c>
      <c r="BW677">
        <v>0</v>
      </c>
      <c r="BX677">
        <v>2</v>
      </c>
      <c r="BY677">
        <v>1</v>
      </c>
      <c r="BZ677">
        <v>0</v>
      </c>
      <c r="CA677">
        <v>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4</v>
      </c>
      <c r="CI677">
        <v>0</v>
      </c>
      <c r="CJ677">
        <v>0</v>
      </c>
      <c r="CK677">
        <v>0</v>
      </c>
      <c r="CL677">
        <v>0</v>
      </c>
      <c r="CM677">
        <v>2</v>
      </c>
      <c r="CN677">
        <v>0</v>
      </c>
      <c r="CO677">
        <v>3</v>
      </c>
      <c r="CP677">
        <v>0</v>
      </c>
      <c r="CQ677">
        <v>0</v>
      </c>
      <c r="CR677">
        <v>1</v>
      </c>
      <c r="CS677">
        <v>1</v>
      </c>
      <c r="CT677">
        <v>0</v>
      </c>
      <c r="CU677">
        <v>0</v>
      </c>
      <c r="CV677">
        <v>0</v>
      </c>
      <c r="CW677">
        <v>0</v>
      </c>
      <c r="CX677">
        <v>1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4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</row>
    <row r="678" spans="1:201" x14ac:dyDescent="0.3">
      <c r="A678" t="s">
        <v>400</v>
      </c>
      <c r="B678" t="s">
        <v>406</v>
      </c>
      <c r="C678" t="s">
        <v>203</v>
      </c>
      <c r="D678" s="1">
        <v>11378</v>
      </c>
      <c r="E678" s="1">
        <v>1173</v>
      </c>
      <c r="F678">
        <v>889</v>
      </c>
      <c r="G678">
        <v>255</v>
      </c>
      <c r="H678" s="1">
        <v>1967</v>
      </c>
      <c r="I678">
        <v>668</v>
      </c>
      <c r="J678" s="1">
        <v>1028</v>
      </c>
      <c r="K678">
        <v>756</v>
      </c>
      <c r="L678">
        <v>899</v>
      </c>
      <c r="M678">
        <v>619</v>
      </c>
      <c r="N678">
        <v>629</v>
      </c>
      <c r="O678">
        <v>110</v>
      </c>
      <c r="P678">
        <v>7</v>
      </c>
      <c r="Q678">
        <v>696</v>
      </c>
      <c r="R678">
        <v>529</v>
      </c>
      <c r="S678">
        <v>4</v>
      </c>
      <c r="T678">
        <v>51</v>
      </c>
      <c r="U678">
        <v>78</v>
      </c>
      <c r="V678">
        <v>137</v>
      </c>
      <c r="W678">
        <v>7</v>
      </c>
      <c r="X678">
        <v>71</v>
      </c>
      <c r="Y678">
        <v>186</v>
      </c>
      <c r="Z678">
        <v>90</v>
      </c>
      <c r="AA678">
        <v>0</v>
      </c>
      <c r="AB678">
        <v>279</v>
      </c>
      <c r="AC678">
        <v>0</v>
      </c>
      <c r="AD678">
        <v>3</v>
      </c>
      <c r="AE678">
        <v>37</v>
      </c>
      <c r="AF678">
        <v>0</v>
      </c>
      <c r="AG678">
        <v>18</v>
      </c>
      <c r="AH678">
        <v>3</v>
      </c>
      <c r="AI678">
        <v>79</v>
      </c>
      <c r="AJ678">
        <v>6</v>
      </c>
      <c r="AK678">
        <v>6</v>
      </c>
      <c r="AL678">
        <v>6</v>
      </c>
      <c r="AM678">
        <v>0</v>
      </c>
      <c r="AN678">
        <v>1</v>
      </c>
      <c r="AO678">
        <v>5</v>
      </c>
      <c r="AP678">
        <v>8</v>
      </c>
      <c r="AQ678">
        <v>9</v>
      </c>
      <c r="AR678">
        <v>6</v>
      </c>
      <c r="AS678">
        <v>0</v>
      </c>
      <c r="AT678">
        <v>0</v>
      </c>
      <c r="AU678">
        <v>0</v>
      </c>
      <c r="AV678">
        <v>4</v>
      </c>
      <c r="AW678">
        <v>0</v>
      </c>
      <c r="AX678">
        <v>6</v>
      </c>
      <c r="AY678">
        <v>2</v>
      </c>
      <c r="AZ678">
        <v>2</v>
      </c>
      <c r="BA678">
        <v>0</v>
      </c>
      <c r="BB678">
        <v>0</v>
      </c>
      <c r="BC678">
        <v>0</v>
      </c>
      <c r="BD678">
        <v>10</v>
      </c>
      <c r="BE678">
        <v>2</v>
      </c>
      <c r="BF678">
        <v>0</v>
      </c>
      <c r="BG678">
        <v>0</v>
      </c>
      <c r="BH678">
        <v>0</v>
      </c>
      <c r="BI678">
        <v>0</v>
      </c>
      <c r="BJ678">
        <v>2</v>
      </c>
      <c r="BK678">
        <v>2</v>
      </c>
      <c r="BL678">
        <v>4</v>
      </c>
      <c r="BM678">
        <v>1</v>
      </c>
      <c r="BN678">
        <v>0</v>
      </c>
      <c r="BO678">
        <v>0</v>
      </c>
      <c r="BP678">
        <v>6</v>
      </c>
      <c r="BQ678">
        <v>3</v>
      </c>
      <c r="BR678">
        <v>0</v>
      </c>
      <c r="BS678">
        <v>0</v>
      </c>
      <c r="BT678">
        <v>2</v>
      </c>
      <c r="BU678">
        <v>0</v>
      </c>
      <c r="BV678">
        <v>0</v>
      </c>
      <c r="BW678">
        <v>0</v>
      </c>
      <c r="BX678">
        <v>2</v>
      </c>
      <c r="BY678">
        <v>1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4</v>
      </c>
      <c r="CI678">
        <v>0</v>
      </c>
      <c r="CJ678">
        <v>0</v>
      </c>
      <c r="CK678">
        <v>0</v>
      </c>
      <c r="CL678">
        <v>0</v>
      </c>
      <c r="CM678">
        <v>2</v>
      </c>
      <c r="CN678">
        <v>0</v>
      </c>
      <c r="CO678">
        <v>3</v>
      </c>
      <c r="CP678">
        <v>0</v>
      </c>
      <c r="CQ678">
        <v>0</v>
      </c>
      <c r="CR678">
        <v>1</v>
      </c>
      <c r="CS678">
        <v>1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2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</row>
    <row r="679" spans="1:201" x14ac:dyDescent="0.3">
      <c r="A679" t="s">
        <v>400</v>
      </c>
      <c r="B679" t="s">
        <v>406</v>
      </c>
      <c r="C679" t="s">
        <v>204</v>
      </c>
      <c r="D679" s="1">
        <v>3935</v>
      </c>
      <c r="E679">
        <v>586</v>
      </c>
      <c r="F679">
        <v>584</v>
      </c>
      <c r="G679">
        <v>434</v>
      </c>
      <c r="H679">
        <v>448</v>
      </c>
      <c r="I679">
        <v>170</v>
      </c>
      <c r="J679">
        <v>312</v>
      </c>
      <c r="K679">
        <v>56</v>
      </c>
      <c r="L679">
        <v>38</v>
      </c>
      <c r="M679">
        <v>164</v>
      </c>
      <c r="N679">
        <v>328</v>
      </c>
      <c r="O679">
        <v>106</v>
      </c>
      <c r="P679">
        <v>6</v>
      </c>
      <c r="Q679">
        <v>95</v>
      </c>
      <c r="R679">
        <v>81</v>
      </c>
      <c r="S679">
        <v>41</v>
      </c>
      <c r="T679">
        <v>44</v>
      </c>
      <c r="U679">
        <v>98</v>
      </c>
      <c r="V679">
        <v>15</v>
      </c>
      <c r="W679">
        <v>6</v>
      </c>
      <c r="X679">
        <v>4</v>
      </c>
      <c r="Y679">
        <v>19</v>
      </c>
      <c r="Z679">
        <v>26</v>
      </c>
      <c r="AA679">
        <v>0</v>
      </c>
      <c r="AB679">
        <v>197</v>
      </c>
      <c r="AC679">
        <v>0</v>
      </c>
      <c r="AD679">
        <v>3</v>
      </c>
      <c r="AE679">
        <v>2</v>
      </c>
      <c r="AF679">
        <v>0</v>
      </c>
      <c r="AG679">
        <v>2</v>
      </c>
      <c r="AH679">
        <v>0</v>
      </c>
      <c r="AI679">
        <v>5</v>
      </c>
      <c r="AJ679">
        <v>9</v>
      </c>
      <c r="AK679">
        <v>0</v>
      </c>
      <c r="AL679">
        <v>10</v>
      </c>
      <c r="AM679">
        <v>0</v>
      </c>
      <c r="AN679">
        <v>0</v>
      </c>
      <c r="AO679">
        <v>1</v>
      </c>
      <c r="AP679">
        <v>4</v>
      </c>
      <c r="AQ679">
        <v>4</v>
      </c>
      <c r="AR679">
        <v>1</v>
      </c>
      <c r="AS679">
        <v>0</v>
      </c>
      <c r="AT679">
        <v>0</v>
      </c>
      <c r="AU679">
        <v>0</v>
      </c>
      <c r="AV679">
        <v>2</v>
      </c>
      <c r="AW679">
        <v>1</v>
      </c>
      <c r="AX679">
        <v>7</v>
      </c>
      <c r="AY679">
        <v>6</v>
      </c>
      <c r="AZ679">
        <v>3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1</v>
      </c>
      <c r="BJ679">
        <v>2</v>
      </c>
      <c r="BK679">
        <v>4</v>
      </c>
      <c r="BL679">
        <v>0</v>
      </c>
      <c r="BM679">
        <v>0</v>
      </c>
      <c r="BN679">
        <v>0</v>
      </c>
      <c r="BO679">
        <v>0</v>
      </c>
      <c r="BP679">
        <v>2</v>
      </c>
      <c r="BQ679">
        <v>0</v>
      </c>
      <c r="BR679">
        <v>0</v>
      </c>
      <c r="BS679">
        <v>0</v>
      </c>
      <c r="BT679">
        <v>3</v>
      </c>
      <c r="BU679">
        <v>0</v>
      </c>
      <c r="BV679">
        <v>1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2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</row>
    <row r="680" spans="1:201" x14ac:dyDescent="0.3">
      <c r="A680" t="s">
        <v>400</v>
      </c>
      <c r="B680" t="s">
        <v>407</v>
      </c>
      <c r="C680" t="s">
        <v>200</v>
      </c>
      <c r="D680" s="1">
        <v>3474</v>
      </c>
      <c r="E680" s="1">
        <v>1160</v>
      </c>
      <c r="F680">
        <v>133</v>
      </c>
      <c r="G680">
        <v>529</v>
      </c>
      <c r="H680">
        <v>460</v>
      </c>
      <c r="I680">
        <v>182</v>
      </c>
      <c r="J680">
        <v>90</v>
      </c>
      <c r="K680">
        <v>71</v>
      </c>
      <c r="L680">
        <v>64</v>
      </c>
      <c r="M680">
        <v>136</v>
      </c>
      <c r="N680">
        <v>56</v>
      </c>
      <c r="O680">
        <v>83</v>
      </c>
      <c r="P680">
        <v>18</v>
      </c>
      <c r="Q680">
        <v>108</v>
      </c>
      <c r="R680">
        <v>84</v>
      </c>
      <c r="S680">
        <v>26</v>
      </c>
      <c r="T680">
        <v>37</v>
      </c>
      <c r="U680">
        <v>49</v>
      </c>
      <c r="V680">
        <v>5</v>
      </c>
      <c r="W680">
        <v>45</v>
      </c>
      <c r="X680">
        <v>1</v>
      </c>
      <c r="Y680">
        <v>9</v>
      </c>
      <c r="Z680">
        <v>12</v>
      </c>
      <c r="AA680">
        <v>0</v>
      </c>
      <c r="AB680">
        <v>19</v>
      </c>
      <c r="AC680">
        <v>5</v>
      </c>
      <c r="AD680">
        <v>10</v>
      </c>
      <c r="AE680">
        <v>7</v>
      </c>
      <c r="AF680">
        <v>1</v>
      </c>
      <c r="AG680">
        <v>26</v>
      </c>
      <c r="AH680">
        <v>1</v>
      </c>
      <c r="AI680">
        <v>2</v>
      </c>
      <c r="AJ680">
        <v>2</v>
      </c>
      <c r="AK680">
        <v>7</v>
      </c>
      <c r="AL680">
        <v>4</v>
      </c>
      <c r="AM680">
        <v>0</v>
      </c>
      <c r="AN680">
        <v>1</v>
      </c>
      <c r="AO680">
        <v>2</v>
      </c>
      <c r="AP680">
        <v>2</v>
      </c>
      <c r="AQ680">
        <v>1</v>
      </c>
      <c r="AR680">
        <v>0</v>
      </c>
      <c r="AS680">
        <v>3</v>
      </c>
      <c r="AT680">
        <v>0</v>
      </c>
      <c r="AU680">
        <v>0</v>
      </c>
      <c r="AV680">
        <v>0</v>
      </c>
      <c r="AW680">
        <v>1</v>
      </c>
      <c r="AX680">
        <v>1</v>
      </c>
      <c r="AY680">
        <v>1</v>
      </c>
      <c r="AZ680">
        <v>3</v>
      </c>
      <c r="BA680">
        <v>1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2</v>
      </c>
      <c r="BK680">
        <v>0</v>
      </c>
      <c r="BL680">
        <v>0</v>
      </c>
      <c r="BM680">
        <v>1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1</v>
      </c>
      <c r="BU680">
        <v>1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1</v>
      </c>
      <c r="CC680">
        <v>0</v>
      </c>
      <c r="CD680">
        <v>1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1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1</v>
      </c>
      <c r="CU680">
        <v>0</v>
      </c>
      <c r="CV680">
        <v>0</v>
      </c>
      <c r="CW680">
        <v>0</v>
      </c>
      <c r="CX680">
        <v>1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1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1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1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1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1</v>
      </c>
    </row>
    <row r="681" spans="1:201" x14ac:dyDescent="0.3">
      <c r="A681" t="s">
        <v>400</v>
      </c>
      <c r="B681" t="s">
        <v>407</v>
      </c>
      <c r="C681" t="s">
        <v>203</v>
      </c>
      <c r="D681" s="1">
        <v>1980</v>
      </c>
      <c r="E681">
        <v>622</v>
      </c>
      <c r="F681">
        <v>75</v>
      </c>
      <c r="G681">
        <v>238</v>
      </c>
      <c r="H681">
        <v>322</v>
      </c>
      <c r="I681">
        <v>129</v>
      </c>
      <c r="J681">
        <v>53</v>
      </c>
      <c r="K681">
        <v>54</v>
      </c>
      <c r="L681">
        <v>54</v>
      </c>
      <c r="M681">
        <v>61</v>
      </c>
      <c r="N681">
        <v>23</v>
      </c>
      <c r="O681">
        <v>44</v>
      </c>
      <c r="P681">
        <v>8</v>
      </c>
      <c r="Q681">
        <v>94</v>
      </c>
      <c r="R681">
        <v>49</v>
      </c>
      <c r="S681">
        <v>3</v>
      </c>
      <c r="T681">
        <v>23</v>
      </c>
      <c r="U681">
        <v>21</v>
      </c>
      <c r="V681">
        <v>5</v>
      </c>
      <c r="W681">
        <v>25</v>
      </c>
      <c r="X681">
        <v>0</v>
      </c>
      <c r="Y681">
        <v>2</v>
      </c>
      <c r="Z681">
        <v>7</v>
      </c>
      <c r="AA681">
        <v>0</v>
      </c>
      <c r="AB681">
        <v>9</v>
      </c>
      <c r="AC681">
        <v>4</v>
      </c>
      <c r="AD681">
        <v>1</v>
      </c>
      <c r="AE681">
        <v>7</v>
      </c>
      <c r="AF681">
        <v>1</v>
      </c>
      <c r="AG681">
        <v>22</v>
      </c>
      <c r="AH681">
        <v>1</v>
      </c>
      <c r="AI681">
        <v>2</v>
      </c>
      <c r="AJ681">
        <v>1</v>
      </c>
      <c r="AK681">
        <v>3</v>
      </c>
      <c r="AL681">
        <v>2</v>
      </c>
      <c r="AM681">
        <v>0</v>
      </c>
      <c r="AN681">
        <v>0</v>
      </c>
      <c r="AO681">
        <v>1</v>
      </c>
      <c r="AP681">
        <v>2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2</v>
      </c>
      <c r="BA681">
        <v>1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2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1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1</v>
      </c>
      <c r="CC681">
        <v>0</v>
      </c>
      <c r="CD681">
        <v>1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1</v>
      </c>
      <c r="CU681">
        <v>0</v>
      </c>
      <c r="CV681">
        <v>0</v>
      </c>
      <c r="CW681">
        <v>0</v>
      </c>
      <c r="CX681">
        <v>1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</row>
    <row r="682" spans="1:201" x14ac:dyDescent="0.3">
      <c r="A682" t="s">
        <v>400</v>
      </c>
      <c r="B682" t="s">
        <v>407</v>
      </c>
      <c r="C682" t="s">
        <v>204</v>
      </c>
      <c r="D682" s="1">
        <v>1494</v>
      </c>
      <c r="E682">
        <v>538</v>
      </c>
      <c r="F682">
        <v>58</v>
      </c>
      <c r="G682">
        <v>291</v>
      </c>
      <c r="H682">
        <v>138</v>
      </c>
      <c r="I682">
        <v>53</v>
      </c>
      <c r="J682">
        <v>37</v>
      </c>
      <c r="K682">
        <v>17</v>
      </c>
      <c r="L682">
        <v>10</v>
      </c>
      <c r="M682">
        <v>75</v>
      </c>
      <c r="N682">
        <v>33</v>
      </c>
      <c r="O682">
        <v>39</v>
      </c>
      <c r="P682">
        <v>10</v>
      </c>
      <c r="Q682">
        <v>14</v>
      </c>
      <c r="R682">
        <v>35</v>
      </c>
      <c r="S682">
        <v>23</v>
      </c>
      <c r="T682">
        <v>14</v>
      </c>
      <c r="U682">
        <v>28</v>
      </c>
      <c r="V682">
        <v>0</v>
      </c>
      <c r="W682">
        <v>20</v>
      </c>
      <c r="X682">
        <v>1</v>
      </c>
      <c r="Y682">
        <v>7</v>
      </c>
      <c r="Z682">
        <v>5</v>
      </c>
      <c r="AA682">
        <v>0</v>
      </c>
      <c r="AB682">
        <v>10</v>
      </c>
      <c r="AC682">
        <v>1</v>
      </c>
      <c r="AD682">
        <v>9</v>
      </c>
      <c r="AE682">
        <v>0</v>
      </c>
      <c r="AF682">
        <v>0</v>
      </c>
      <c r="AG682">
        <v>4</v>
      </c>
      <c r="AH682">
        <v>0</v>
      </c>
      <c r="AI682">
        <v>0</v>
      </c>
      <c r="AJ682">
        <v>1</v>
      </c>
      <c r="AK682">
        <v>4</v>
      </c>
      <c r="AL682">
        <v>2</v>
      </c>
      <c r="AM682">
        <v>0</v>
      </c>
      <c r="AN682">
        <v>1</v>
      </c>
      <c r="AO682">
        <v>1</v>
      </c>
      <c r="AP682">
        <v>0</v>
      </c>
      <c r="AQ682">
        <v>1</v>
      </c>
      <c r="AR682">
        <v>0</v>
      </c>
      <c r="AS682">
        <v>3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1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1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1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1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1</v>
      </c>
    </row>
    <row r="683" spans="1:201" x14ac:dyDescent="0.3">
      <c r="A683" t="s">
        <v>400</v>
      </c>
      <c r="B683" t="s">
        <v>408</v>
      </c>
      <c r="C683" t="s">
        <v>200</v>
      </c>
      <c r="D683" s="1">
        <v>1450</v>
      </c>
      <c r="E683">
        <v>174</v>
      </c>
      <c r="F683">
        <v>171</v>
      </c>
      <c r="G683">
        <v>99</v>
      </c>
      <c r="H683">
        <v>160</v>
      </c>
      <c r="I683">
        <v>240</v>
      </c>
      <c r="J683">
        <v>89</v>
      </c>
      <c r="K683">
        <v>13</v>
      </c>
      <c r="L683">
        <v>34</v>
      </c>
      <c r="M683">
        <v>77</v>
      </c>
      <c r="N683">
        <v>70</v>
      </c>
      <c r="O683">
        <v>18</v>
      </c>
      <c r="P683">
        <v>2</v>
      </c>
      <c r="Q683">
        <v>68</v>
      </c>
      <c r="R683">
        <v>8</v>
      </c>
      <c r="S683">
        <v>19</v>
      </c>
      <c r="T683">
        <v>42</v>
      </c>
      <c r="U683">
        <v>54</v>
      </c>
      <c r="V683">
        <v>30</v>
      </c>
      <c r="W683">
        <v>4</v>
      </c>
      <c r="X683">
        <v>8</v>
      </c>
      <c r="Y683">
        <v>2</v>
      </c>
      <c r="Z683">
        <v>20</v>
      </c>
      <c r="AA683">
        <v>1</v>
      </c>
      <c r="AB683">
        <v>23</v>
      </c>
      <c r="AC683">
        <v>0</v>
      </c>
      <c r="AD683">
        <v>3</v>
      </c>
      <c r="AE683">
        <v>1</v>
      </c>
      <c r="AF683">
        <v>3</v>
      </c>
      <c r="AG683">
        <v>1</v>
      </c>
      <c r="AH683">
        <v>2</v>
      </c>
      <c r="AI683">
        <v>0</v>
      </c>
      <c r="AJ683">
        <v>2</v>
      </c>
      <c r="AK683">
        <v>2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3</v>
      </c>
      <c r="AR683">
        <v>0</v>
      </c>
      <c r="AS683">
        <v>0</v>
      </c>
      <c r="AT683">
        <v>1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2</v>
      </c>
      <c r="BF683">
        <v>0</v>
      </c>
      <c r="BG683">
        <v>0</v>
      </c>
      <c r="BH683">
        <v>2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</row>
    <row r="684" spans="1:201" x14ac:dyDescent="0.3">
      <c r="A684" t="s">
        <v>400</v>
      </c>
      <c r="B684" t="s">
        <v>408</v>
      </c>
      <c r="C684" t="s">
        <v>203</v>
      </c>
      <c r="D684">
        <v>935</v>
      </c>
      <c r="E684">
        <v>71</v>
      </c>
      <c r="F684">
        <v>105</v>
      </c>
      <c r="G684">
        <v>25</v>
      </c>
      <c r="H684">
        <v>122</v>
      </c>
      <c r="I684">
        <v>203</v>
      </c>
      <c r="J684">
        <v>75</v>
      </c>
      <c r="K684">
        <v>9</v>
      </c>
      <c r="L684">
        <v>29</v>
      </c>
      <c r="M684">
        <v>41</v>
      </c>
      <c r="N684">
        <v>24</v>
      </c>
      <c r="O684">
        <v>11</v>
      </c>
      <c r="P684">
        <v>1</v>
      </c>
      <c r="Q684">
        <v>59</v>
      </c>
      <c r="R684">
        <v>8</v>
      </c>
      <c r="S684">
        <v>0</v>
      </c>
      <c r="T684">
        <v>36</v>
      </c>
      <c r="U684">
        <v>36</v>
      </c>
      <c r="V684">
        <v>23</v>
      </c>
      <c r="W684">
        <v>2</v>
      </c>
      <c r="X684">
        <v>8</v>
      </c>
      <c r="Y684">
        <v>0</v>
      </c>
      <c r="Z684">
        <v>19</v>
      </c>
      <c r="AA684">
        <v>0</v>
      </c>
      <c r="AB684">
        <v>15</v>
      </c>
      <c r="AC684">
        <v>0</v>
      </c>
      <c r="AD684">
        <v>0</v>
      </c>
      <c r="AE684">
        <v>0</v>
      </c>
      <c r="AF684">
        <v>3</v>
      </c>
      <c r="AG684">
        <v>1</v>
      </c>
      <c r="AH684">
        <v>1</v>
      </c>
      <c r="AI684">
        <v>0</v>
      </c>
      <c r="AJ684">
        <v>1</v>
      </c>
      <c r="AK684">
        <v>1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3</v>
      </c>
      <c r="AR684">
        <v>0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</row>
    <row r="685" spans="1:201" x14ac:dyDescent="0.3">
      <c r="A685" t="s">
        <v>400</v>
      </c>
      <c r="B685" t="s">
        <v>408</v>
      </c>
      <c r="C685" t="s">
        <v>204</v>
      </c>
      <c r="D685">
        <v>515</v>
      </c>
      <c r="E685">
        <v>103</v>
      </c>
      <c r="F685">
        <v>66</v>
      </c>
      <c r="G685">
        <v>74</v>
      </c>
      <c r="H685">
        <v>38</v>
      </c>
      <c r="I685">
        <v>37</v>
      </c>
      <c r="J685">
        <v>14</v>
      </c>
      <c r="K685">
        <v>4</v>
      </c>
      <c r="L685">
        <v>5</v>
      </c>
      <c r="M685">
        <v>36</v>
      </c>
      <c r="N685">
        <v>46</v>
      </c>
      <c r="O685">
        <v>7</v>
      </c>
      <c r="P685">
        <v>1</v>
      </c>
      <c r="Q685">
        <v>9</v>
      </c>
      <c r="R685">
        <v>0</v>
      </c>
      <c r="S685">
        <v>19</v>
      </c>
      <c r="T685">
        <v>6</v>
      </c>
      <c r="U685">
        <v>18</v>
      </c>
      <c r="V685">
        <v>7</v>
      </c>
      <c r="W685">
        <v>2</v>
      </c>
      <c r="X685">
        <v>0</v>
      </c>
      <c r="Y685">
        <v>2</v>
      </c>
      <c r="Z685">
        <v>1</v>
      </c>
      <c r="AA685">
        <v>1</v>
      </c>
      <c r="AB685">
        <v>8</v>
      </c>
      <c r="AC685">
        <v>0</v>
      </c>
      <c r="AD685">
        <v>3</v>
      </c>
      <c r="AE685">
        <v>1</v>
      </c>
      <c r="AF685">
        <v>0</v>
      </c>
      <c r="AG685">
        <v>0</v>
      </c>
      <c r="AH685">
        <v>1</v>
      </c>
      <c r="AI685">
        <v>0</v>
      </c>
      <c r="AJ685">
        <v>1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0</v>
      </c>
      <c r="BG685">
        <v>0</v>
      </c>
      <c r="BH685">
        <v>2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</row>
    <row r="686" spans="1:201" x14ac:dyDescent="0.3">
      <c r="A686" t="s">
        <v>400</v>
      </c>
      <c r="B686" t="s">
        <v>409</v>
      </c>
      <c r="C686" t="s">
        <v>200</v>
      </c>
      <c r="D686" s="1">
        <v>9014</v>
      </c>
      <c r="E686" s="1">
        <v>1018</v>
      </c>
      <c r="F686">
        <v>979</v>
      </c>
      <c r="G686">
        <v>511</v>
      </c>
      <c r="H686" s="1">
        <v>1063</v>
      </c>
      <c r="I686">
        <v>971</v>
      </c>
      <c r="J686">
        <v>519</v>
      </c>
      <c r="K686">
        <v>398</v>
      </c>
      <c r="L686">
        <v>348</v>
      </c>
      <c r="M686">
        <v>368</v>
      </c>
      <c r="N686">
        <v>451</v>
      </c>
      <c r="O686">
        <v>71</v>
      </c>
      <c r="P686">
        <v>9</v>
      </c>
      <c r="Q686">
        <v>565</v>
      </c>
      <c r="R686">
        <v>214</v>
      </c>
      <c r="S686">
        <v>44</v>
      </c>
      <c r="T686">
        <v>156</v>
      </c>
      <c r="U686">
        <v>361</v>
      </c>
      <c r="V686">
        <v>174</v>
      </c>
      <c r="W686">
        <v>8</v>
      </c>
      <c r="X686">
        <v>88</v>
      </c>
      <c r="Y686">
        <v>91</v>
      </c>
      <c r="Z686">
        <v>76</v>
      </c>
      <c r="AA686">
        <v>0</v>
      </c>
      <c r="AB686">
        <v>154</v>
      </c>
      <c r="AC686">
        <v>3</v>
      </c>
      <c r="AD686">
        <v>9</v>
      </c>
      <c r="AE686">
        <v>4</v>
      </c>
      <c r="AF686">
        <v>1</v>
      </c>
      <c r="AG686">
        <v>2</v>
      </c>
      <c r="AH686">
        <v>1</v>
      </c>
      <c r="AI686">
        <v>36</v>
      </c>
      <c r="AJ686">
        <v>61</v>
      </c>
      <c r="AK686">
        <v>4</v>
      </c>
      <c r="AL686">
        <v>20</v>
      </c>
      <c r="AM686">
        <v>0</v>
      </c>
      <c r="AN686">
        <v>4</v>
      </c>
      <c r="AO686">
        <v>24</v>
      </c>
      <c r="AP686">
        <v>10</v>
      </c>
      <c r="AQ686">
        <v>9</v>
      </c>
      <c r="AR686">
        <v>99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4</v>
      </c>
      <c r="AY686">
        <v>0</v>
      </c>
      <c r="AZ686">
        <v>6</v>
      </c>
      <c r="BA686">
        <v>0</v>
      </c>
      <c r="BB686">
        <v>0</v>
      </c>
      <c r="BC686">
        <v>0</v>
      </c>
      <c r="BD686">
        <v>1</v>
      </c>
      <c r="BE686">
        <v>0</v>
      </c>
      <c r="BF686">
        <v>4</v>
      </c>
      <c r="BG686">
        <v>1</v>
      </c>
      <c r="BH686">
        <v>1</v>
      </c>
      <c r="BI686">
        <v>0</v>
      </c>
      <c r="BJ686">
        <v>14</v>
      </c>
      <c r="BK686">
        <v>3</v>
      </c>
      <c r="BL686">
        <v>1</v>
      </c>
      <c r="BM686">
        <v>21</v>
      </c>
      <c r="BN686">
        <v>0</v>
      </c>
      <c r="BO686">
        <v>0</v>
      </c>
      <c r="BP686">
        <v>6</v>
      </c>
      <c r="BQ686">
        <v>5</v>
      </c>
      <c r="BR686">
        <v>0</v>
      </c>
      <c r="BS686">
        <v>0</v>
      </c>
      <c r="BT686">
        <v>1</v>
      </c>
      <c r="BU686">
        <v>0</v>
      </c>
      <c r="BV686">
        <v>0</v>
      </c>
      <c r="BW686">
        <v>0</v>
      </c>
      <c r="BX686">
        <v>3</v>
      </c>
      <c r="BY686">
        <v>0</v>
      </c>
      <c r="BZ686">
        <v>0</v>
      </c>
      <c r="CA686">
        <v>0</v>
      </c>
      <c r="CB686">
        <v>0</v>
      </c>
      <c r="CC686">
        <v>1</v>
      </c>
      <c r="CD686">
        <v>0</v>
      </c>
      <c r="CE686">
        <v>0</v>
      </c>
      <c r="CF686">
        <v>0</v>
      </c>
      <c r="CG686">
        <v>0</v>
      </c>
      <c r="CH686">
        <v>5</v>
      </c>
      <c r="CI686">
        <v>1</v>
      </c>
      <c r="CJ686">
        <v>1</v>
      </c>
      <c r="CK686">
        <v>0</v>
      </c>
      <c r="CL686">
        <v>0</v>
      </c>
      <c r="CM686">
        <v>0</v>
      </c>
      <c r="CN686">
        <v>0</v>
      </c>
      <c r="CO686">
        <v>2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</v>
      </c>
      <c r="CY686">
        <v>0</v>
      </c>
      <c r="CZ686">
        <v>0</v>
      </c>
      <c r="DA686">
        <v>0</v>
      </c>
      <c r="DB686">
        <v>0</v>
      </c>
      <c r="DC686">
        <v>1</v>
      </c>
      <c r="DD686">
        <v>0</v>
      </c>
      <c r="DE686">
        <v>1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1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1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1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3</v>
      </c>
    </row>
    <row r="687" spans="1:201" x14ac:dyDescent="0.3">
      <c r="A687" t="s">
        <v>400</v>
      </c>
      <c r="B687" t="s">
        <v>409</v>
      </c>
      <c r="C687" t="s">
        <v>203</v>
      </c>
      <c r="D687" s="1">
        <v>6362</v>
      </c>
      <c r="E687">
        <v>585</v>
      </c>
      <c r="F687">
        <v>589</v>
      </c>
      <c r="G687">
        <v>192</v>
      </c>
      <c r="H687">
        <v>901</v>
      </c>
      <c r="I687">
        <v>659</v>
      </c>
      <c r="J687">
        <v>398</v>
      </c>
      <c r="K687">
        <v>364</v>
      </c>
      <c r="L687">
        <v>339</v>
      </c>
      <c r="M687">
        <v>291</v>
      </c>
      <c r="N687">
        <v>325</v>
      </c>
      <c r="O687">
        <v>30</v>
      </c>
      <c r="P687">
        <v>4</v>
      </c>
      <c r="Q687">
        <v>526</v>
      </c>
      <c r="R687">
        <v>180</v>
      </c>
      <c r="S687">
        <v>3</v>
      </c>
      <c r="T687">
        <v>64</v>
      </c>
      <c r="U687">
        <v>210</v>
      </c>
      <c r="V687">
        <v>156</v>
      </c>
      <c r="W687">
        <v>4</v>
      </c>
      <c r="X687">
        <v>75</v>
      </c>
      <c r="Y687">
        <v>82</v>
      </c>
      <c r="Z687">
        <v>51</v>
      </c>
      <c r="AA687">
        <v>0</v>
      </c>
      <c r="AB687">
        <v>99</v>
      </c>
      <c r="AC687">
        <v>1</v>
      </c>
      <c r="AD687">
        <v>3</v>
      </c>
      <c r="AE687">
        <v>4</v>
      </c>
      <c r="AF687">
        <v>1</v>
      </c>
      <c r="AG687">
        <v>0</v>
      </c>
      <c r="AH687">
        <v>1</v>
      </c>
      <c r="AI687">
        <v>33</v>
      </c>
      <c r="AJ687">
        <v>34</v>
      </c>
      <c r="AK687">
        <v>4</v>
      </c>
      <c r="AL687">
        <v>12</v>
      </c>
      <c r="AM687">
        <v>0</v>
      </c>
      <c r="AN687">
        <v>3</v>
      </c>
      <c r="AO687">
        <v>9</v>
      </c>
      <c r="AP687">
        <v>7</v>
      </c>
      <c r="AQ687">
        <v>5</v>
      </c>
      <c r="AR687">
        <v>58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4</v>
      </c>
      <c r="AY687">
        <v>0</v>
      </c>
      <c r="AZ687">
        <v>3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3</v>
      </c>
      <c r="BG687">
        <v>1</v>
      </c>
      <c r="BH687">
        <v>1</v>
      </c>
      <c r="BI687">
        <v>0</v>
      </c>
      <c r="BJ687">
        <v>7</v>
      </c>
      <c r="BK687">
        <v>1</v>
      </c>
      <c r="BL687">
        <v>1</v>
      </c>
      <c r="BM687">
        <v>14</v>
      </c>
      <c r="BN687">
        <v>0</v>
      </c>
      <c r="BO687">
        <v>0</v>
      </c>
      <c r="BP687">
        <v>3</v>
      </c>
      <c r="BQ687">
        <v>5</v>
      </c>
      <c r="BR687">
        <v>0</v>
      </c>
      <c r="BS687">
        <v>0</v>
      </c>
      <c r="BT687">
        <v>1</v>
      </c>
      <c r="BU687">
        <v>0</v>
      </c>
      <c r="BV687">
        <v>0</v>
      </c>
      <c r="BW687">
        <v>0</v>
      </c>
      <c r="BX687">
        <v>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5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2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1</v>
      </c>
      <c r="CY687">
        <v>0</v>
      </c>
      <c r="CZ687">
        <v>0</v>
      </c>
      <c r="DA687">
        <v>0</v>
      </c>
      <c r="DB687">
        <v>0</v>
      </c>
      <c r="DC687">
        <v>1</v>
      </c>
      <c r="DD687">
        <v>0</v>
      </c>
      <c r="DE687">
        <v>1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1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1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</row>
    <row r="688" spans="1:201" x14ac:dyDescent="0.3">
      <c r="A688" t="s">
        <v>400</v>
      </c>
      <c r="B688" t="s">
        <v>409</v>
      </c>
      <c r="C688" t="s">
        <v>204</v>
      </c>
      <c r="D688" s="1">
        <v>2652</v>
      </c>
      <c r="E688">
        <v>433</v>
      </c>
      <c r="F688">
        <v>390</v>
      </c>
      <c r="G688">
        <v>319</v>
      </c>
      <c r="H688">
        <v>162</v>
      </c>
      <c r="I688">
        <v>312</v>
      </c>
      <c r="J688">
        <v>121</v>
      </c>
      <c r="K688">
        <v>34</v>
      </c>
      <c r="L688">
        <v>9</v>
      </c>
      <c r="M688">
        <v>77</v>
      </c>
      <c r="N688">
        <v>126</v>
      </c>
      <c r="O688">
        <v>41</v>
      </c>
      <c r="P688">
        <v>5</v>
      </c>
      <c r="Q688">
        <v>39</v>
      </c>
      <c r="R688">
        <v>34</v>
      </c>
      <c r="S688">
        <v>41</v>
      </c>
      <c r="T688">
        <v>92</v>
      </c>
      <c r="U688">
        <v>151</v>
      </c>
      <c r="V688">
        <v>18</v>
      </c>
      <c r="W688">
        <v>4</v>
      </c>
      <c r="X688">
        <v>13</v>
      </c>
      <c r="Y688">
        <v>9</v>
      </c>
      <c r="Z688">
        <v>25</v>
      </c>
      <c r="AA688">
        <v>0</v>
      </c>
      <c r="AB688">
        <v>55</v>
      </c>
      <c r="AC688">
        <v>2</v>
      </c>
      <c r="AD688">
        <v>6</v>
      </c>
      <c r="AE688">
        <v>0</v>
      </c>
      <c r="AF688">
        <v>0</v>
      </c>
      <c r="AG688">
        <v>2</v>
      </c>
      <c r="AH688">
        <v>0</v>
      </c>
      <c r="AI688">
        <v>3</v>
      </c>
      <c r="AJ688">
        <v>27</v>
      </c>
      <c r="AK688">
        <v>0</v>
      </c>
      <c r="AL688">
        <v>8</v>
      </c>
      <c r="AM688">
        <v>0</v>
      </c>
      <c r="AN688">
        <v>1</v>
      </c>
      <c r="AO688">
        <v>15</v>
      </c>
      <c r="AP688">
        <v>3</v>
      </c>
      <c r="AQ688">
        <v>4</v>
      </c>
      <c r="AR688">
        <v>41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3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7</v>
      </c>
      <c r="BK688">
        <v>2</v>
      </c>
      <c r="BL688">
        <v>0</v>
      </c>
      <c r="BM688">
        <v>7</v>
      </c>
      <c r="BN688">
        <v>0</v>
      </c>
      <c r="BO688">
        <v>0</v>
      </c>
      <c r="BP688">
        <v>3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</v>
      </c>
      <c r="CJ688">
        <v>1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1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3</v>
      </c>
    </row>
    <row r="689" spans="1:201" x14ac:dyDescent="0.3">
      <c r="A689" t="s">
        <v>400</v>
      </c>
      <c r="B689" t="s">
        <v>410</v>
      </c>
      <c r="C689" t="s">
        <v>200</v>
      </c>
      <c r="D689" s="1">
        <v>1720</v>
      </c>
      <c r="E689">
        <v>447</v>
      </c>
      <c r="F689">
        <v>199</v>
      </c>
      <c r="G689">
        <v>231</v>
      </c>
      <c r="H689">
        <v>56</v>
      </c>
      <c r="I689">
        <v>66</v>
      </c>
      <c r="J689">
        <v>48</v>
      </c>
      <c r="K689">
        <v>20</v>
      </c>
      <c r="L689">
        <v>95</v>
      </c>
      <c r="M689">
        <v>69</v>
      </c>
      <c r="N689">
        <v>80</v>
      </c>
      <c r="O689">
        <v>54</v>
      </c>
      <c r="P689">
        <v>21</v>
      </c>
      <c r="Q689">
        <v>36</v>
      </c>
      <c r="R689">
        <v>20</v>
      </c>
      <c r="S689">
        <v>68</v>
      </c>
      <c r="T689">
        <v>24</v>
      </c>
      <c r="U689">
        <v>7</v>
      </c>
      <c r="V689">
        <v>12</v>
      </c>
      <c r="W689">
        <v>41</v>
      </c>
      <c r="X689">
        <v>3</v>
      </c>
      <c r="Y689">
        <v>25</v>
      </c>
      <c r="Z689">
        <v>6</v>
      </c>
      <c r="AA689">
        <v>2</v>
      </c>
      <c r="AB689">
        <v>2</v>
      </c>
      <c r="AC689">
        <v>9</v>
      </c>
      <c r="AD689">
        <v>13</v>
      </c>
      <c r="AE689">
        <v>0</v>
      </c>
      <c r="AF689">
        <v>11</v>
      </c>
      <c r="AG689">
        <v>7</v>
      </c>
      <c r="AH689">
        <v>2</v>
      </c>
      <c r="AI689">
        <v>1</v>
      </c>
      <c r="AJ689">
        <v>6</v>
      </c>
      <c r="AK689">
        <v>0</v>
      </c>
      <c r="AL689">
        <v>6</v>
      </c>
      <c r="AM689">
        <v>1</v>
      </c>
      <c r="AN689">
        <v>0</v>
      </c>
      <c r="AO689">
        <v>0</v>
      </c>
      <c r="AP689">
        <v>1</v>
      </c>
      <c r="AQ689">
        <v>2</v>
      </c>
      <c r="AR689">
        <v>0</v>
      </c>
      <c r="AS689">
        <v>4</v>
      </c>
      <c r="AT689">
        <v>1</v>
      </c>
      <c r="AU689">
        <v>2</v>
      </c>
      <c r="AV689">
        <v>0</v>
      </c>
      <c r="AW689">
        <v>1</v>
      </c>
      <c r="AX689">
        <v>1</v>
      </c>
      <c r="AY689">
        <v>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</v>
      </c>
      <c r="BH689">
        <v>3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3</v>
      </c>
      <c r="BT689">
        <v>0</v>
      </c>
      <c r="BU689">
        <v>0</v>
      </c>
      <c r="BV689">
        <v>3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2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1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1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1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2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</row>
    <row r="690" spans="1:201" x14ac:dyDescent="0.3">
      <c r="A690" t="s">
        <v>400</v>
      </c>
      <c r="B690" t="s">
        <v>410</v>
      </c>
      <c r="C690" t="s">
        <v>203</v>
      </c>
      <c r="D690">
        <v>790</v>
      </c>
      <c r="E690">
        <v>226</v>
      </c>
      <c r="F690">
        <v>91</v>
      </c>
      <c r="G690">
        <v>65</v>
      </c>
      <c r="H690">
        <v>44</v>
      </c>
      <c r="I690">
        <v>41</v>
      </c>
      <c r="J690">
        <v>27</v>
      </c>
      <c r="K690">
        <v>17</v>
      </c>
      <c r="L690">
        <v>37</v>
      </c>
      <c r="M690">
        <v>6</v>
      </c>
      <c r="N690">
        <v>25</v>
      </c>
      <c r="O690">
        <v>25</v>
      </c>
      <c r="P690">
        <v>10</v>
      </c>
      <c r="Q690">
        <v>32</v>
      </c>
      <c r="R690">
        <v>18</v>
      </c>
      <c r="S690">
        <v>7</v>
      </c>
      <c r="T690">
        <v>13</v>
      </c>
      <c r="U690">
        <v>1</v>
      </c>
      <c r="V690">
        <v>12</v>
      </c>
      <c r="W690">
        <v>20</v>
      </c>
      <c r="X690">
        <v>2</v>
      </c>
      <c r="Y690">
        <v>14</v>
      </c>
      <c r="Z690">
        <v>1</v>
      </c>
      <c r="AA690">
        <v>2</v>
      </c>
      <c r="AB690">
        <v>1</v>
      </c>
      <c r="AC690">
        <v>7</v>
      </c>
      <c r="AD690">
        <v>4</v>
      </c>
      <c r="AE690">
        <v>0</v>
      </c>
      <c r="AF690">
        <v>11</v>
      </c>
      <c r="AG690">
        <v>4</v>
      </c>
      <c r="AH690">
        <v>2</v>
      </c>
      <c r="AI690">
        <v>1</v>
      </c>
      <c r="AJ690">
        <v>4</v>
      </c>
      <c r="AK690">
        <v>0</v>
      </c>
      <c r="AL690">
        <v>4</v>
      </c>
      <c r="AM690">
        <v>0</v>
      </c>
      <c r="AN690">
        <v>0</v>
      </c>
      <c r="AO690">
        <v>0</v>
      </c>
      <c r="AP690">
        <v>1</v>
      </c>
      <c r="AQ690">
        <v>0</v>
      </c>
      <c r="AR690">
        <v>0</v>
      </c>
      <c r="AS690">
        <v>2</v>
      </c>
      <c r="AT690">
        <v>1</v>
      </c>
      <c r="AU690">
        <v>0</v>
      </c>
      <c r="AV690">
        <v>0</v>
      </c>
      <c r="AW690">
        <v>1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3</v>
      </c>
      <c r="BT690">
        <v>0</v>
      </c>
      <c r="BU690">
        <v>0</v>
      </c>
      <c r="BV690">
        <v>2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1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1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1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</row>
    <row r="691" spans="1:201" x14ac:dyDescent="0.3">
      <c r="A691" t="s">
        <v>400</v>
      </c>
      <c r="B691" t="s">
        <v>410</v>
      </c>
      <c r="C691" t="s">
        <v>204</v>
      </c>
      <c r="D691">
        <v>930</v>
      </c>
      <c r="E691">
        <v>221</v>
      </c>
      <c r="F691">
        <v>108</v>
      </c>
      <c r="G691">
        <v>166</v>
      </c>
      <c r="H691">
        <v>12</v>
      </c>
      <c r="I691">
        <v>25</v>
      </c>
      <c r="J691">
        <v>21</v>
      </c>
      <c r="K691">
        <v>3</v>
      </c>
      <c r="L691">
        <v>58</v>
      </c>
      <c r="M691">
        <v>63</v>
      </c>
      <c r="N691">
        <v>55</v>
      </c>
      <c r="O691">
        <v>29</v>
      </c>
      <c r="P691">
        <v>11</v>
      </c>
      <c r="Q691">
        <v>4</v>
      </c>
      <c r="R691">
        <v>2</v>
      </c>
      <c r="S691">
        <v>61</v>
      </c>
      <c r="T691">
        <v>11</v>
      </c>
      <c r="U691">
        <v>6</v>
      </c>
      <c r="V691">
        <v>0</v>
      </c>
      <c r="W691">
        <v>21</v>
      </c>
      <c r="X691">
        <v>1</v>
      </c>
      <c r="Y691">
        <v>11</v>
      </c>
      <c r="Z691">
        <v>5</v>
      </c>
      <c r="AA691">
        <v>0</v>
      </c>
      <c r="AB691">
        <v>1</v>
      </c>
      <c r="AC691">
        <v>2</v>
      </c>
      <c r="AD691">
        <v>9</v>
      </c>
      <c r="AE691">
        <v>0</v>
      </c>
      <c r="AF691">
        <v>0</v>
      </c>
      <c r="AG691">
        <v>3</v>
      </c>
      <c r="AH691">
        <v>0</v>
      </c>
      <c r="AI691">
        <v>0</v>
      </c>
      <c r="AJ691">
        <v>2</v>
      </c>
      <c r="AK691">
        <v>0</v>
      </c>
      <c r="AL691">
        <v>2</v>
      </c>
      <c r="AM691">
        <v>1</v>
      </c>
      <c r="AN691">
        <v>0</v>
      </c>
      <c r="AO691">
        <v>0</v>
      </c>
      <c r="AP691">
        <v>0</v>
      </c>
      <c r="AQ691">
        <v>2</v>
      </c>
      <c r="AR691">
        <v>0</v>
      </c>
      <c r="AS691">
        <v>2</v>
      </c>
      <c r="AT691">
        <v>0</v>
      </c>
      <c r="AU691">
        <v>2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3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1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2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1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1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</row>
    <row r="692" spans="1:201" x14ac:dyDescent="0.3">
      <c r="A692" t="s">
        <v>400</v>
      </c>
      <c r="B692" t="s">
        <v>411</v>
      </c>
      <c r="C692" t="s">
        <v>200</v>
      </c>
      <c r="D692" s="1">
        <v>4322</v>
      </c>
      <c r="E692">
        <v>677</v>
      </c>
      <c r="F692">
        <v>273</v>
      </c>
      <c r="G692">
        <v>478</v>
      </c>
      <c r="H692">
        <v>150</v>
      </c>
      <c r="I692">
        <v>823</v>
      </c>
      <c r="J692">
        <v>72</v>
      </c>
      <c r="K692">
        <v>46</v>
      </c>
      <c r="L692">
        <v>90</v>
      </c>
      <c r="M692">
        <v>98</v>
      </c>
      <c r="N692">
        <v>90</v>
      </c>
      <c r="O692">
        <v>418</v>
      </c>
      <c r="P692">
        <v>29</v>
      </c>
      <c r="Q692">
        <v>89</v>
      </c>
      <c r="R692">
        <v>36</v>
      </c>
      <c r="S692">
        <v>46</v>
      </c>
      <c r="T692">
        <v>206</v>
      </c>
      <c r="U692">
        <v>165</v>
      </c>
      <c r="V692">
        <v>65</v>
      </c>
      <c r="W692">
        <v>44</v>
      </c>
      <c r="X692">
        <v>54</v>
      </c>
      <c r="Y692">
        <v>11</v>
      </c>
      <c r="Z692">
        <v>76</v>
      </c>
      <c r="AA692">
        <v>11</v>
      </c>
      <c r="AB692">
        <v>5</v>
      </c>
      <c r="AC692">
        <v>4</v>
      </c>
      <c r="AD692">
        <v>18</v>
      </c>
      <c r="AE692">
        <v>0</v>
      </c>
      <c r="AF692">
        <v>9</v>
      </c>
      <c r="AG692">
        <v>15</v>
      </c>
      <c r="AH692">
        <v>6</v>
      </c>
      <c r="AI692">
        <v>22</v>
      </c>
      <c r="AJ692">
        <v>59</v>
      </c>
      <c r="AK692">
        <v>13</v>
      </c>
      <c r="AL692">
        <v>39</v>
      </c>
      <c r="AM692">
        <v>1</v>
      </c>
      <c r="AN692">
        <v>3</v>
      </c>
      <c r="AO692">
        <v>2</v>
      </c>
      <c r="AP692">
        <v>4</v>
      </c>
      <c r="AQ692">
        <v>6</v>
      </c>
      <c r="AR692">
        <v>1</v>
      </c>
      <c r="AS692">
        <v>2</v>
      </c>
      <c r="AT692">
        <v>3</v>
      </c>
      <c r="AU692">
        <v>4</v>
      </c>
      <c r="AV692">
        <v>7</v>
      </c>
      <c r="AW692">
        <v>1</v>
      </c>
      <c r="AX692">
        <v>1</v>
      </c>
      <c r="AY692">
        <v>1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2</v>
      </c>
      <c r="BF692">
        <v>0</v>
      </c>
      <c r="BG692">
        <v>2</v>
      </c>
      <c r="BH692">
        <v>3</v>
      </c>
      <c r="BI692">
        <v>0</v>
      </c>
      <c r="BJ692">
        <v>4</v>
      </c>
      <c r="BK692">
        <v>0</v>
      </c>
      <c r="BL692">
        <v>0</v>
      </c>
      <c r="BM692">
        <v>2</v>
      </c>
      <c r="BN692">
        <v>0</v>
      </c>
      <c r="BO692">
        <v>0</v>
      </c>
      <c r="BP692">
        <v>3</v>
      </c>
      <c r="BQ692">
        <v>4</v>
      </c>
      <c r="BR692">
        <v>1</v>
      </c>
      <c r="BS692">
        <v>2</v>
      </c>
      <c r="BT692">
        <v>0</v>
      </c>
      <c r="BU692">
        <v>0</v>
      </c>
      <c r="BV692">
        <v>2</v>
      </c>
      <c r="BW692">
        <v>0</v>
      </c>
      <c r="BX692">
        <v>0</v>
      </c>
      <c r="BY692">
        <v>2</v>
      </c>
      <c r="BZ692">
        <v>0</v>
      </c>
      <c r="CA692">
        <v>0</v>
      </c>
      <c r="CB692">
        <v>2</v>
      </c>
      <c r="CC692">
        <v>0</v>
      </c>
      <c r="CD692">
        <v>1</v>
      </c>
      <c r="CE692">
        <v>0</v>
      </c>
      <c r="CF692">
        <v>0</v>
      </c>
      <c r="CG692">
        <v>2</v>
      </c>
      <c r="CH692">
        <v>1</v>
      </c>
      <c r="CI692">
        <v>0</v>
      </c>
      <c r="CJ692">
        <v>0</v>
      </c>
      <c r="CK692">
        <v>1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1</v>
      </c>
      <c r="DC692">
        <v>0</v>
      </c>
      <c r="DD692">
        <v>2</v>
      </c>
      <c r="DE692">
        <v>2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1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1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1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1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1</v>
      </c>
      <c r="EO692">
        <v>0</v>
      </c>
      <c r="EP692">
        <v>0</v>
      </c>
      <c r="EQ692">
        <v>0</v>
      </c>
      <c r="ER692">
        <v>0</v>
      </c>
      <c r="ES692">
        <v>1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2</v>
      </c>
    </row>
    <row r="693" spans="1:201" x14ac:dyDescent="0.3">
      <c r="A693" t="s">
        <v>400</v>
      </c>
      <c r="B693" t="s">
        <v>411</v>
      </c>
      <c r="C693" t="s">
        <v>203</v>
      </c>
      <c r="D693" s="1">
        <v>2334</v>
      </c>
      <c r="E693">
        <v>293</v>
      </c>
      <c r="F693">
        <v>148</v>
      </c>
      <c r="G693">
        <v>188</v>
      </c>
      <c r="H693">
        <v>122</v>
      </c>
      <c r="I693">
        <v>604</v>
      </c>
      <c r="J693">
        <v>51</v>
      </c>
      <c r="K693">
        <v>36</v>
      </c>
      <c r="L693">
        <v>45</v>
      </c>
      <c r="M693">
        <v>37</v>
      </c>
      <c r="N693">
        <v>26</v>
      </c>
      <c r="O693">
        <v>165</v>
      </c>
      <c r="P693">
        <v>16</v>
      </c>
      <c r="Q693">
        <v>81</v>
      </c>
      <c r="R693">
        <v>31</v>
      </c>
      <c r="S693">
        <v>7</v>
      </c>
      <c r="T693">
        <v>110</v>
      </c>
      <c r="U693">
        <v>84</v>
      </c>
      <c r="V693">
        <v>49</v>
      </c>
      <c r="W693">
        <v>18</v>
      </c>
      <c r="X693">
        <v>32</v>
      </c>
      <c r="Y693">
        <v>3</v>
      </c>
      <c r="Z693">
        <v>36</v>
      </c>
      <c r="AA693">
        <v>3</v>
      </c>
      <c r="AB693">
        <v>3</v>
      </c>
      <c r="AC693">
        <v>4</v>
      </c>
      <c r="AD693">
        <v>6</v>
      </c>
      <c r="AE693">
        <v>0</v>
      </c>
      <c r="AF693">
        <v>5</v>
      </c>
      <c r="AG693">
        <v>10</v>
      </c>
      <c r="AH693">
        <v>1</v>
      </c>
      <c r="AI693">
        <v>14</v>
      </c>
      <c r="AJ693">
        <v>30</v>
      </c>
      <c r="AK693">
        <v>7</v>
      </c>
      <c r="AL693">
        <v>23</v>
      </c>
      <c r="AM693">
        <v>1</v>
      </c>
      <c r="AN693">
        <v>3</v>
      </c>
      <c r="AO693">
        <v>2</v>
      </c>
      <c r="AP693">
        <v>4</v>
      </c>
      <c r="AQ693">
        <v>3</v>
      </c>
      <c r="AR693">
        <v>1</v>
      </c>
      <c r="AS693">
        <v>1</v>
      </c>
      <c r="AT693">
        <v>0</v>
      </c>
      <c r="AU693">
        <v>0</v>
      </c>
      <c r="AV693">
        <v>4</v>
      </c>
      <c r="AW693">
        <v>1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2</v>
      </c>
      <c r="BF693">
        <v>0</v>
      </c>
      <c r="BG693">
        <v>2</v>
      </c>
      <c r="BH693">
        <v>0</v>
      </c>
      <c r="BI693">
        <v>0</v>
      </c>
      <c r="BJ693">
        <v>4</v>
      </c>
      <c r="BK693">
        <v>0</v>
      </c>
      <c r="BL693">
        <v>0</v>
      </c>
      <c r="BM693">
        <v>2</v>
      </c>
      <c r="BN693">
        <v>0</v>
      </c>
      <c r="BO693">
        <v>0</v>
      </c>
      <c r="BP693">
        <v>0</v>
      </c>
      <c r="BQ693">
        <v>3</v>
      </c>
      <c r="BR693">
        <v>1</v>
      </c>
      <c r="BS693">
        <v>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2</v>
      </c>
      <c r="BZ693">
        <v>0</v>
      </c>
      <c r="CA693">
        <v>0</v>
      </c>
      <c r="CB693">
        <v>1</v>
      </c>
      <c r="CC693">
        <v>0</v>
      </c>
      <c r="CD693">
        <v>0</v>
      </c>
      <c r="CE693">
        <v>0</v>
      </c>
      <c r="CF693">
        <v>0</v>
      </c>
      <c r="CG693">
        <v>1</v>
      </c>
      <c r="CH693">
        <v>1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1</v>
      </c>
      <c r="DC693">
        <v>0</v>
      </c>
      <c r="DD693">
        <v>1</v>
      </c>
      <c r="DE693">
        <v>2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1</v>
      </c>
    </row>
    <row r="694" spans="1:201" x14ac:dyDescent="0.3">
      <c r="A694" t="s">
        <v>400</v>
      </c>
      <c r="B694" t="s">
        <v>411</v>
      </c>
      <c r="C694" t="s">
        <v>204</v>
      </c>
      <c r="D694" s="1">
        <v>1988</v>
      </c>
      <c r="E694">
        <v>384</v>
      </c>
      <c r="F694">
        <v>125</v>
      </c>
      <c r="G694">
        <v>290</v>
      </c>
      <c r="H694">
        <v>28</v>
      </c>
      <c r="I694">
        <v>219</v>
      </c>
      <c r="J694">
        <v>21</v>
      </c>
      <c r="K694">
        <v>10</v>
      </c>
      <c r="L694">
        <v>45</v>
      </c>
      <c r="M694">
        <v>61</v>
      </c>
      <c r="N694">
        <v>64</v>
      </c>
      <c r="O694">
        <v>253</v>
      </c>
      <c r="P694">
        <v>13</v>
      </c>
      <c r="Q694">
        <v>8</v>
      </c>
      <c r="R694">
        <v>5</v>
      </c>
      <c r="S694">
        <v>39</v>
      </c>
      <c r="T694">
        <v>96</v>
      </c>
      <c r="U694">
        <v>81</v>
      </c>
      <c r="V694">
        <v>16</v>
      </c>
      <c r="W694">
        <v>26</v>
      </c>
      <c r="X694">
        <v>22</v>
      </c>
      <c r="Y694">
        <v>8</v>
      </c>
      <c r="Z694">
        <v>40</v>
      </c>
      <c r="AA694">
        <v>8</v>
      </c>
      <c r="AB694">
        <v>2</v>
      </c>
      <c r="AC694">
        <v>0</v>
      </c>
      <c r="AD694">
        <v>12</v>
      </c>
      <c r="AE694">
        <v>0</v>
      </c>
      <c r="AF694">
        <v>4</v>
      </c>
      <c r="AG694">
        <v>5</v>
      </c>
      <c r="AH694">
        <v>5</v>
      </c>
      <c r="AI694">
        <v>8</v>
      </c>
      <c r="AJ694">
        <v>29</v>
      </c>
      <c r="AK694">
        <v>6</v>
      </c>
      <c r="AL694">
        <v>16</v>
      </c>
      <c r="AM694">
        <v>0</v>
      </c>
      <c r="AN694">
        <v>0</v>
      </c>
      <c r="AO694">
        <v>0</v>
      </c>
      <c r="AP694">
        <v>0</v>
      </c>
      <c r="AQ694">
        <v>3</v>
      </c>
      <c r="AR694">
        <v>0</v>
      </c>
      <c r="AS694">
        <v>1</v>
      </c>
      <c r="AT694">
        <v>3</v>
      </c>
      <c r="AU694">
        <v>4</v>
      </c>
      <c r="AV694">
        <v>3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1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3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3</v>
      </c>
      <c r="BQ694">
        <v>1</v>
      </c>
      <c r="BR694">
        <v>0</v>
      </c>
      <c r="BS694">
        <v>1</v>
      </c>
      <c r="BT694">
        <v>0</v>
      </c>
      <c r="BU694">
        <v>0</v>
      </c>
      <c r="BV694">
        <v>2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1</v>
      </c>
      <c r="CC694">
        <v>0</v>
      </c>
      <c r="CD694">
        <v>1</v>
      </c>
      <c r="CE694">
        <v>0</v>
      </c>
      <c r="CF694">
        <v>0</v>
      </c>
      <c r="CG694">
        <v>1</v>
      </c>
      <c r="CH694">
        <v>0</v>
      </c>
      <c r="CI694">
        <v>0</v>
      </c>
      <c r="CJ694">
        <v>0</v>
      </c>
      <c r="CK694">
        <v>1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1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1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1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1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1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1</v>
      </c>
      <c r="EO694">
        <v>0</v>
      </c>
      <c r="EP694">
        <v>0</v>
      </c>
      <c r="EQ694">
        <v>0</v>
      </c>
      <c r="ER694">
        <v>0</v>
      </c>
      <c r="ES694">
        <v>1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1</v>
      </c>
    </row>
    <row r="695" spans="1:201" x14ac:dyDescent="0.3">
      <c r="A695" t="s">
        <v>400</v>
      </c>
      <c r="B695" t="s">
        <v>412</v>
      </c>
      <c r="C695" t="s">
        <v>200</v>
      </c>
      <c r="D695" s="1">
        <v>7899</v>
      </c>
      <c r="E695" s="1">
        <v>1502</v>
      </c>
      <c r="F695">
        <v>530</v>
      </c>
      <c r="G695" s="1">
        <v>2471</v>
      </c>
      <c r="H695">
        <v>585</v>
      </c>
      <c r="I695">
        <v>414</v>
      </c>
      <c r="J695">
        <v>225</v>
      </c>
      <c r="K695">
        <v>96</v>
      </c>
      <c r="L695">
        <v>361</v>
      </c>
      <c r="M695">
        <v>195</v>
      </c>
      <c r="N695">
        <v>306</v>
      </c>
      <c r="O695">
        <v>298</v>
      </c>
      <c r="P695">
        <v>41</v>
      </c>
      <c r="Q695">
        <v>164</v>
      </c>
      <c r="R695">
        <v>100</v>
      </c>
      <c r="S695">
        <v>121</v>
      </c>
      <c r="T695">
        <v>28</v>
      </c>
      <c r="U695">
        <v>18</v>
      </c>
      <c r="V695">
        <v>30</v>
      </c>
      <c r="W695">
        <v>24</v>
      </c>
      <c r="X695">
        <v>75</v>
      </c>
      <c r="Y695">
        <v>78</v>
      </c>
      <c r="Z695">
        <v>27</v>
      </c>
      <c r="AA695">
        <v>1</v>
      </c>
      <c r="AB695">
        <v>5</v>
      </c>
      <c r="AC695">
        <v>9</v>
      </c>
      <c r="AD695">
        <v>33</v>
      </c>
      <c r="AE695">
        <v>4</v>
      </c>
      <c r="AF695">
        <v>11</v>
      </c>
      <c r="AG695">
        <v>6</v>
      </c>
      <c r="AH695">
        <v>2</v>
      </c>
      <c r="AI695">
        <v>2</v>
      </c>
      <c r="AJ695">
        <v>11</v>
      </c>
      <c r="AK695">
        <v>7</v>
      </c>
      <c r="AL695">
        <v>4</v>
      </c>
      <c r="AM695">
        <v>4</v>
      </c>
      <c r="AN695">
        <v>5</v>
      </c>
      <c r="AO695">
        <v>0</v>
      </c>
      <c r="AP695">
        <v>1</v>
      </c>
      <c r="AQ695">
        <v>6</v>
      </c>
      <c r="AR695">
        <v>34</v>
      </c>
      <c r="AS695">
        <v>3</v>
      </c>
      <c r="AT695">
        <v>4</v>
      </c>
      <c r="AU695">
        <v>2</v>
      </c>
      <c r="AV695">
        <v>5</v>
      </c>
      <c r="AW695">
        <v>0</v>
      </c>
      <c r="AX695">
        <v>5</v>
      </c>
      <c r="AY695">
        <v>1</v>
      </c>
      <c r="AZ695">
        <v>0</v>
      </c>
      <c r="BA695">
        <v>0</v>
      </c>
      <c r="BB695">
        <v>0</v>
      </c>
      <c r="BC695">
        <v>1</v>
      </c>
      <c r="BD695">
        <v>0</v>
      </c>
      <c r="BE695">
        <v>1</v>
      </c>
      <c r="BF695">
        <v>2</v>
      </c>
      <c r="BG695">
        <v>1</v>
      </c>
      <c r="BH695">
        <v>1</v>
      </c>
      <c r="BI695">
        <v>2</v>
      </c>
      <c r="BJ695">
        <v>1</v>
      </c>
      <c r="BK695">
        <v>2</v>
      </c>
      <c r="BL695">
        <v>0</v>
      </c>
      <c r="BM695">
        <v>0</v>
      </c>
      <c r="BN695">
        <v>5</v>
      </c>
      <c r="BO695">
        <v>0</v>
      </c>
      <c r="BP695">
        <v>4</v>
      </c>
      <c r="BQ695">
        <v>1</v>
      </c>
      <c r="BR695">
        <v>0</v>
      </c>
      <c r="BS695">
        <v>1</v>
      </c>
      <c r="BT695">
        <v>0</v>
      </c>
      <c r="BU695">
        <v>1</v>
      </c>
      <c r="BV695">
        <v>1</v>
      </c>
      <c r="BW695">
        <v>0</v>
      </c>
      <c r="BX695">
        <v>1</v>
      </c>
      <c r="BY695">
        <v>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1</v>
      </c>
      <c r="CF695">
        <v>0</v>
      </c>
      <c r="CG695">
        <v>2</v>
      </c>
      <c r="CH695">
        <v>3</v>
      </c>
      <c r="CI695">
        <v>1</v>
      </c>
      <c r="CJ695">
        <v>0</v>
      </c>
      <c r="CK695">
        <v>2</v>
      </c>
      <c r="CL695">
        <v>1</v>
      </c>
      <c r="CM695">
        <v>1</v>
      </c>
      <c r="CN695">
        <v>0</v>
      </c>
      <c r="CO695">
        <v>0</v>
      </c>
      <c r="CP695">
        <v>1</v>
      </c>
      <c r="CQ695">
        <v>0</v>
      </c>
      <c r="CR695">
        <v>0</v>
      </c>
      <c r="CS695">
        <v>1</v>
      </c>
      <c r="CT695">
        <v>1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1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1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1</v>
      </c>
      <c r="EN695">
        <v>0</v>
      </c>
      <c r="EO695">
        <v>0</v>
      </c>
      <c r="EP695">
        <v>0</v>
      </c>
      <c r="EQ695">
        <v>1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1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</row>
    <row r="696" spans="1:201" x14ac:dyDescent="0.3">
      <c r="A696" t="s">
        <v>400</v>
      </c>
      <c r="B696" t="s">
        <v>412</v>
      </c>
      <c r="C696" t="s">
        <v>203</v>
      </c>
      <c r="D696" s="1">
        <v>4810</v>
      </c>
      <c r="E696">
        <v>858</v>
      </c>
      <c r="F696">
        <v>312</v>
      </c>
      <c r="G696" s="1">
        <v>1273</v>
      </c>
      <c r="H696">
        <v>497</v>
      </c>
      <c r="I696">
        <v>347</v>
      </c>
      <c r="J696">
        <v>181</v>
      </c>
      <c r="K696">
        <v>80</v>
      </c>
      <c r="L696">
        <v>253</v>
      </c>
      <c r="M696">
        <v>115</v>
      </c>
      <c r="N696">
        <v>188</v>
      </c>
      <c r="O696">
        <v>120</v>
      </c>
      <c r="P696">
        <v>23</v>
      </c>
      <c r="Q696">
        <v>152</v>
      </c>
      <c r="R696">
        <v>88</v>
      </c>
      <c r="S696">
        <v>36</v>
      </c>
      <c r="T696">
        <v>11</v>
      </c>
      <c r="U696">
        <v>7</v>
      </c>
      <c r="V696">
        <v>25</v>
      </c>
      <c r="W696">
        <v>14</v>
      </c>
      <c r="X696">
        <v>51</v>
      </c>
      <c r="Y696">
        <v>47</v>
      </c>
      <c r="Z696">
        <v>22</v>
      </c>
      <c r="AA696">
        <v>0</v>
      </c>
      <c r="AB696">
        <v>2</v>
      </c>
      <c r="AC696">
        <v>7</v>
      </c>
      <c r="AD696">
        <v>6</v>
      </c>
      <c r="AE696">
        <v>3</v>
      </c>
      <c r="AF696">
        <v>9</v>
      </c>
      <c r="AG696">
        <v>5</v>
      </c>
      <c r="AH696">
        <v>1</v>
      </c>
      <c r="AI696">
        <v>2</v>
      </c>
      <c r="AJ696">
        <v>8</v>
      </c>
      <c r="AK696">
        <v>7</v>
      </c>
      <c r="AL696">
        <v>1</v>
      </c>
      <c r="AM696">
        <v>1</v>
      </c>
      <c r="AN696">
        <v>3</v>
      </c>
      <c r="AO696">
        <v>0</v>
      </c>
      <c r="AP696">
        <v>1</v>
      </c>
      <c r="AQ696">
        <v>3</v>
      </c>
      <c r="AR696">
        <v>20</v>
      </c>
      <c r="AS696">
        <v>0</v>
      </c>
      <c r="AT696">
        <v>2</v>
      </c>
      <c r="AU696">
        <v>0</v>
      </c>
      <c r="AV696">
        <v>4</v>
      </c>
      <c r="AW696">
        <v>0</v>
      </c>
      <c r="AX696">
        <v>4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2</v>
      </c>
      <c r="BJ696">
        <v>1</v>
      </c>
      <c r="BK696">
        <v>1</v>
      </c>
      <c r="BL696">
        <v>0</v>
      </c>
      <c r="BM696">
        <v>0</v>
      </c>
      <c r="BN696">
        <v>1</v>
      </c>
      <c r="BO696">
        <v>0</v>
      </c>
      <c r="BP696">
        <v>2</v>
      </c>
      <c r="BQ696">
        <v>0</v>
      </c>
      <c r="BR696">
        <v>0</v>
      </c>
      <c r="BS696">
        <v>1</v>
      </c>
      <c r="BT696">
        <v>0</v>
      </c>
      <c r="BU696">
        <v>0</v>
      </c>
      <c r="BV696">
        <v>0</v>
      </c>
      <c r="BW696">
        <v>0</v>
      </c>
      <c r="BX696">
        <v>1</v>
      </c>
      <c r="BY696">
        <v>1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2</v>
      </c>
      <c r="CI696">
        <v>0</v>
      </c>
      <c r="CJ696">
        <v>0</v>
      </c>
      <c r="CK696">
        <v>2</v>
      </c>
      <c r="CL696">
        <v>0</v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1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1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</row>
    <row r="697" spans="1:201" x14ac:dyDescent="0.3">
      <c r="A697" t="s">
        <v>400</v>
      </c>
      <c r="B697" t="s">
        <v>412</v>
      </c>
      <c r="C697" t="s">
        <v>204</v>
      </c>
      <c r="D697" s="1">
        <v>3089</v>
      </c>
      <c r="E697">
        <v>644</v>
      </c>
      <c r="F697">
        <v>218</v>
      </c>
      <c r="G697" s="1">
        <v>1198</v>
      </c>
      <c r="H697">
        <v>88</v>
      </c>
      <c r="I697">
        <v>67</v>
      </c>
      <c r="J697">
        <v>44</v>
      </c>
      <c r="K697">
        <v>16</v>
      </c>
      <c r="L697">
        <v>108</v>
      </c>
      <c r="M697">
        <v>80</v>
      </c>
      <c r="N697">
        <v>118</v>
      </c>
      <c r="O697">
        <v>178</v>
      </c>
      <c r="P697">
        <v>18</v>
      </c>
      <c r="Q697">
        <v>12</v>
      </c>
      <c r="R697">
        <v>12</v>
      </c>
      <c r="S697">
        <v>85</v>
      </c>
      <c r="T697">
        <v>17</v>
      </c>
      <c r="U697">
        <v>11</v>
      </c>
      <c r="V697">
        <v>5</v>
      </c>
      <c r="W697">
        <v>10</v>
      </c>
      <c r="X697">
        <v>24</v>
      </c>
      <c r="Y697">
        <v>31</v>
      </c>
      <c r="Z697">
        <v>5</v>
      </c>
      <c r="AA697">
        <v>1</v>
      </c>
      <c r="AB697">
        <v>3</v>
      </c>
      <c r="AC697">
        <v>2</v>
      </c>
      <c r="AD697">
        <v>27</v>
      </c>
      <c r="AE697">
        <v>1</v>
      </c>
      <c r="AF697">
        <v>2</v>
      </c>
      <c r="AG697">
        <v>1</v>
      </c>
      <c r="AH697">
        <v>1</v>
      </c>
      <c r="AI697">
        <v>0</v>
      </c>
      <c r="AJ697">
        <v>3</v>
      </c>
      <c r="AK697">
        <v>0</v>
      </c>
      <c r="AL697">
        <v>3</v>
      </c>
      <c r="AM697">
        <v>3</v>
      </c>
      <c r="AN697">
        <v>2</v>
      </c>
      <c r="AO697">
        <v>0</v>
      </c>
      <c r="AP697">
        <v>0</v>
      </c>
      <c r="AQ697">
        <v>3</v>
      </c>
      <c r="AR697">
        <v>14</v>
      </c>
      <c r="AS697">
        <v>3</v>
      </c>
      <c r="AT697">
        <v>2</v>
      </c>
      <c r="AU697">
        <v>2</v>
      </c>
      <c r="AV697">
        <v>1</v>
      </c>
      <c r="AW697">
        <v>0</v>
      </c>
      <c r="AX697">
        <v>1</v>
      </c>
      <c r="AY697">
        <v>1</v>
      </c>
      <c r="AZ697">
        <v>0</v>
      </c>
      <c r="BA697">
        <v>0</v>
      </c>
      <c r="BB697">
        <v>0</v>
      </c>
      <c r="BC697">
        <v>1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0</v>
      </c>
      <c r="BM697">
        <v>0</v>
      </c>
      <c r="BN697">
        <v>4</v>
      </c>
      <c r="BO697">
        <v>0</v>
      </c>
      <c r="BP697">
        <v>2</v>
      </c>
      <c r="BQ697">
        <v>1</v>
      </c>
      <c r="BR697">
        <v>0</v>
      </c>
      <c r="BS697">
        <v>0</v>
      </c>
      <c r="BT697">
        <v>0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1</v>
      </c>
      <c r="CF697">
        <v>0</v>
      </c>
      <c r="CG697">
        <v>2</v>
      </c>
      <c r="CH697">
        <v>1</v>
      </c>
      <c r="CI697">
        <v>1</v>
      </c>
      <c r="CJ697">
        <v>0</v>
      </c>
      <c r="CK697">
        <v>0</v>
      </c>
      <c r="CL697">
        <v>1</v>
      </c>
      <c r="CM697">
        <v>0</v>
      </c>
      <c r="CN697">
        <v>0</v>
      </c>
      <c r="CO697">
        <v>0</v>
      </c>
      <c r="CP697">
        <v>1</v>
      </c>
      <c r="CQ697">
        <v>0</v>
      </c>
      <c r="CR697">
        <v>0</v>
      </c>
      <c r="CS697">
        <v>1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1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1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1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</row>
    <row r="698" spans="1:201" x14ac:dyDescent="0.3">
      <c r="A698" t="s">
        <v>400</v>
      </c>
      <c r="B698" t="s">
        <v>413</v>
      </c>
      <c r="C698" t="s">
        <v>200</v>
      </c>
      <c r="D698" s="1">
        <v>7598</v>
      </c>
      <c r="E698" s="1">
        <v>1338</v>
      </c>
      <c r="F698">
        <v>692</v>
      </c>
      <c r="G698">
        <v>720</v>
      </c>
      <c r="H698">
        <v>307</v>
      </c>
      <c r="I698" s="1">
        <v>1039</v>
      </c>
      <c r="J698">
        <v>191</v>
      </c>
      <c r="K698">
        <v>141</v>
      </c>
      <c r="L698">
        <v>160</v>
      </c>
      <c r="M698">
        <v>291</v>
      </c>
      <c r="N698">
        <v>227</v>
      </c>
      <c r="O698">
        <v>693</v>
      </c>
      <c r="P698">
        <v>79</v>
      </c>
      <c r="Q698">
        <v>104</v>
      </c>
      <c r="R698">
        <v>61</v>
      </c>
      <c r="S698">
        <v>100</v>
      </c>
      <c r="T698">
        <v>275</v>
      </c>
      <c r="U698">
        <v>321</v>
      </c>
      <c r="V698">
        <v>23</v>
      </c>
      <c r="W698">
        <v>56</v>
      </c>
      <c r="X698">
        <v>43</v>
      </c>
      <c r="Y698">
        <v>151</v>
      </c>
      <c r="Z698">
        <v>117</v>
      </c>
      <c r="AA698">
        <v>5</v>
      </c>
      <c r="AB698">
        <v>9</v>
      </c>
      <c r="AC698">
        <v>9</v>
      </c>
      <c r="AD698">
        <v>44</v>
      </c>
      <c r="AE698">
        <v>9</v>
      </c>
      <c r="AF698">
        <v>21</v>
      </c>
      <c r="AG698">
        <v>20</v>
      </c>
      <c r="AH698">
        <v>2</v>
      </c>
      <c r="AI698">
        <v>21</v>
      </c>
      <c r="AJ698">
        <v>89</v>
      </c>
      <c r="AK698">
        <v>2</v>
      </c>
      <c r="AL698">
        <v>74</v>
      </c>
      <c r="AM698">
        <v>4</v>
      </c>
      <c r="AN698">
        <v>6</v>
      </c>
      <c r="AO698">
        <v>10</v>
      </c>
      <c r="AP698">
        <v>4</v>
      </c>
      <c r="AQ698">
        <v>7</v>
      </c>
      <c r="AR698">
        <v>5</v>
      </c>
      <c r="AS698">
        <v>7</v>
      </c>
      <c r="AT698">
        <v>1</v>
      </c>
      <c r="AU698">
        <v>9</v>
      </c>
      <c r="AV698">
        <v>0</v>
      </c>
      <c r="AW698">
        <v>5</v>
      </c>
      <c r="AX698">
        <v>0</v>
      </c>
      <c r="AY698">
        <v>3</v>
      </c>
      <c r="AZ698">
        <v>8</v>
      </c>
      <c r="BA698">
        <v>0</v>
      </c>
      <c r="BB698">
        <v>0</v>
      </c>
      <c r="BC698">
        <v>2</v>
      </c>
      <c r="BD698">
        <v>1</v>
      </c>
      <c r="BE698">
        <v>3</v>
      </c>
      <c r="BF698">
        <v>3</v>
      </c>
      <c r="BG698">
        <v>3</v>
      </c>
      <c r="BH698">
        <v>2</v>
      </c>
      <c r="BI698">
        <v>3</v>
      </c>
      <c r="BJ698">
        <v>31</v>
      </c>
      <c r="BK698">
        <v>0</v>
      </c>
      <c r="BL698">
        <v>2</v>
      </c>
      <c r="BM698">
        <v>4</v>
      </c>
      <c r="BN698">
        <v>7</v>
      </c>
      <c r="BO698">
        <v>1</v>
      </c>
      <c r="BP698">
        <v>1</v>
      </c>
      <c r="BQ698">
        <v>0</v>
      </c>
      <c r="BR698">
        <v>2</v>
      </c>
      <c r="BS698">
        <v>1</v>
      </c>
      <c r="BT698">
        <v>0</v>
      </c>
      <c r="BU698">
        <v>0</v>
      </c>
      <c r="BV698">
        <v>1</v>
      </c>
      <c r="BW698">
        <v>0</v>
      </c>
      <c r="BX698">
        <v>0</v>
      </c>
      <c r="BY698">
        <v>1</v>
      </c>
      <c r="BZ698">
        <v>1</v>
      </c>
      <c r="CA698">
        <v>1</v>
      </c>
      <c r="CB698">
        <v>0</v>
      </c>
      <c r="CC698">
        <v>0</v>
      </c>
      <c r="CD698">
        <v>1</v>
      </c>
      <c r="CE698">
        <v>2</v>
      </c>
      <c r="CF698">
        <v>0</v>
      </c>
      <c r="CG698">
        <v>0</v>
      </c>
      <c r="CH698">
        <v>3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1</v>
      </c>
      <c r="CP698">
        <v>2</v>
      </c>
      <c r="CQ698">
        <v>0</v>
      </c>
      <c r="CR698">
        <v>0</v>
      </c>
      <c r="CS698">
        <v>0</v>
      </c>
      <c r="CT698">
        <v>1</v>
      </c>
      <c r="CU698">
        <v>0</v>
      </c>
      <c r="CV698">
        <v>3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2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1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1</v>
      </c>
      <c r="EA698">
        <v>0</v>
      </c>
      <c r="EB698">
        <v>2</v>
      </c>
      <c r="EC698">
        <v>0</v>
      </c>
      <c r="ED698">
        <v>1</v>
      </c>
      <c r="EE698">
        <v>1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1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1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2</v>
      </c>
    </row>
    <row r="699" spans="1:201" x14ac:dyDescent="0.3">
      <c r="A699" t="s">
        <v>400</v>
      </c>
      <c r="B699" t="s">
        <v>413</v>
      </c>
      <c r="C699" t="s">
        <v>203</v>
      </c>
      <c r="D699" s="1">
        <v>4266</v>
      </c>
      <c r="E699">
        <v>581</v>
      </c>
      <c r="F699">
        <v>395</v>
      </c>
      <c r="G699">
        <v>269</v>
      </c>
      <c r="H699">
        <v>244</v>
      </c>
      <c r="I699">
        <v>763</v>
      </c>
      <c r="J699">
        <v>137</v>
      </c>
      <c r="K699">
        <v>101</v>
      </c>
      <c r="L699">
        <v>149</v>
      </c>
      <c r="M699">
        <v>178</v>
      </c>
      <c r="N699">
        <v>102</v>
      </c>
      <c r="O699">
        <v>323</v>
      </c>
      <c r="P699">
        <v>42</v>
      </c>
      <c r="Q699">
        <v>95</v>
      </c>
      <c r="R699">
        <v>54</v>
      </c>
      <c r="S699">
        <v>19</v>
      </c>
      <c r="T699">
        <v>134</v>
      </c>
      <c r="U699">
        <v>193</v>
      </c>
      <c r="V699">
        <v>15</v>
      </c>
      <c r="W699">
        <v>21</v>
      </c>
      <c r="X699">
        <v>28</v>
      </c>
      <c r="Y699">
        <v>106</v>
      </c>
      <c r="Z699">
        <v>71</v>
      </c>
      <c r="AA699">
        <v>0</v>
      </c>
      <c r="AB699">
        <v>4</v>
      </c>
      <c r="AC699">
        <v>7</v>
      </c>
      <c r="AD699">
        <v>12</v>
      </c>
      <c r="AE699">
        <v>7</v>
      </c>
      <c r="AF699">
        <v>12</v>
      </c>
      <c r="AG699">
        <v>12</v>
      </c>
      <c r="AH699">
        <v>2</v>
      </c>
      <c r="AI699">
        <v>14</v>
      </c>
      <c r="AJ699">
        <v>46</v>
      </c>
      <c r="AK699">
        <v>2</v>
      </c>
      <c r="AL699">
        <v>34</v>
      </c>
      <c r="AM699">
        <v>0</v>
      </c>
      <c r="AN699">
        <v>2</v>
      </c>
      <c r="AO699">
        <v>8</v>
      </c>
      <c r="AP699">
        <v>4</v>
      </c>
      <c r="AQ699">
        <v>0</v>
      </c>
      <c r="AR699">
        <v>3</v>
      </c>
      <c r="AS699">
        <v>3</v>
      </c>
      <c r="AT699">
        <v>0</v>
      </c>
      <c r="AU699">
        <v>3</v>
      </c>
      <c r="AV699">
        <v>0</v>
      </c>
      <c r="AW699">
        <v>3</v>
      </c>
      <c r="AX699">
        <v>0</v>
      </c>
      <c r="AY699">
        <v>1</v>
      </c>
      <c r="AZ699">
        <v>5</v>
      </c>
      <c r="BA699">
        <v>0</v>
      </c>
      <c r="BB699">
        <v>0</v>
      </c>
      <c r="BC699">
        <v>1</v>
      </c>
      <c r="BD699">
        <v>1</v>
      </c>
      <c r="BE699">
        <v>3</v>
      </c>
      <c r="BF699">
        <v>2</v>
      </c>
      <c r="BG699">
        <v>2</v>
      </c>
      <c r="BH699">
        <v>0</v>
      </c>
      <c r="BI699">
        <v>2</v>
      </c>
      <c r="BJ699">
        <v>23</v>
      </c>
      <c r="BK699">
        <v>0</v>
      </c>
      <c r="BL699">
        <v>1</v>
      </c>
      <c r="BM699">
        <v>4</v>
      </c>
      <c r="BN699">
        <v>2</v>
      </c>
      <c r="BO699">
        <v>0</v>
      </c>
      <c r="BP699">
        <v>1</v>
      </c>
      <c r="BQ699">
        <v>0</v>
      </c>
      <c r="BR699">
        <v>1</v>
      </c>
      <c r="BS699">
        <v>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0</v>
      </c>
      <c r="CA699">
        <v>1</v>
      </c>
      <c r="CB699">
        <v>0</v>
      </c>
      <c r="CC699">
        <v>0</v>
      </c>
      <c r="CD699">
        <v>0</v>
      </c>
      <c r="CE699">
        <v>1</v>
      </c>
      <c r="CF699">
        <v>0</v>
      </c>
      <c r="CG699">
        <v>0</v>
      </c>
      <c r="CH699">
        <v>3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1</v>
      </c>
      <c r="CP699">
        <v>2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1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2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2</v>
      </c>
      <c r="EC699">
        <v>0</v>
      </c>
      <c r="ED699">
        <v>1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1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2</v>
      </c>
    </row>
    <row r="700" spans="1:201" x14ac:dyDescent="0.3">
      <c r="A700" t="s">
        <v>400</v>
      </c>
      <c r="B700" t="s">
        <v>413</v>
      </c>
      <c r="C700" t="s">
        <v>204</v>
      </c>
      <c r="D700" s="1">
        <v>3332</v>
      </c>
      <c r="E700">
        <v>757</v>
      </c>
      <c r="F700">
        <v>297</v>
      </c>
      <c r="G700">
        <v>451</v>
      </c>
      <c r="H700">
        <v>63</v>
      </c>
      <c r="I700">
        <v>276</v>
      </c>
      <c r="J700">
        <v>54</v>
      </c>
      <c r="K700">
        <v>40</v>
      </c>
      <c r="L700">
        <v>11</v>
      </c>
      <c r="M700">
        <v>113</v>
      </c>
      <c r="N700">
        <v>125</v>
      </c>
      <c r="O700">
        <v>370</v>
      </c>
      <c r="P700">
        <v>37</v>
      </c>
      <c r="Q700">
        <v>9</v>
      </c>
      <c r="R700">
        <v>7</v>
      </c>
      <c r="S700">
        <v>81</v>
      </c>
      <c r="T700">
        <v>141</v>
      </c>
      <c r="U700">
        <v>128</v>
      </c>
      <c r="V700">
        <v>8</v>
      </c>
      <c r="W700">
        <v>35</v>
      </c>
      <c r="X700">
        <v>15</v>
      </c>
      <c r="Y700">
        <v>45</v>
      </c>
      <c r="Z700">
        <v>46</v>
      </c>
      <c r="AA700">
        <v>5</v>
      </c>
      <c r="AB700">
        <v>5</v>
      </c>
      <c r="AC700">
        <v>2</v>
      </c>
      <c r="AD700">
        <v>32</v>
      </c>
      <c r="AE700">
        <v>2</v>
      </c>
      <c r="AF700">
        <v>9</v>
      </c>
      <c r="AG700">
        <v>8</v>
      </c>
      <c r="AH700">
        <v>0</v>
      </c>
      <c r="AI700">
        <v>7</v>
      </c>
      <c r="AJ700">
        <v>43</v>
      </c>
      <c r="AK700">
        <v>0</v>
      </c>
      <c r="AL700">
        <v>40</v>
      </c>
      <c r="AM700">
        <v>4</v>
      </c>
      <c r="AN700">
        <v>4</v>
      </c>
      <c r="AO700">
        <v>2</v>
      </c>
      <c r="AP700">
        <v>0</v>
      </c>
      <c r="AQ700">
        <v>7</v>
      </c>
      <c r="AR700">
        <v>2</v>
      </c>
      <c r="AS700">
        <v>4</v>
      </c>
      <c r="AT700">
        <v>1</v>
      </c>
      <c r="AU700">
        <v>6</v>
      </c>
      <c r="AV700">
        <v>0</v>
      </c>
      <c r="AW700">
        <v>2</v>
      </c>
      <c r="AX700">
        <v>0</v>
      </c>
      <c r="AY700">
        <v>2</v>
      </c>
      <c r="AZ700">
        <v>3</v>
      </c>
      <c r="BA700">
        <v>0</v>
      </c>
      <c r="BB700">
        <v>0</v>
      </c>
      <c r="BC700">
        <v>1</v>
      </c>
      <c r="BD700">
        <v>0</v>
      </c>
      <c r="BE700">
        <v>0</v>
      </c>
      <c r="BF700">
        <v>1</v>
      </c>
      <c r="BG700">
        <v>1</v>
      </c>
      <c r="BH700">
        <v>2</v>
      </c>
      <c r="BI700">
        <v>1</v>
      </c>
      <c r="BJ700">
        <v>8</v>
      </c>
      <c r="BK700">
        <v>0</v>
      </c>
      <c r="BL700">
        <v>1</v>
      </c>
      <c r="BM700">
        <v>0</v>
      </c>
      <c r="BN700">
        <v>5</v>
      </c>
      <c r="BO700">
        <v>1</v>
      </c>
      <c r="BP700">
        <v>0</v>
      </c>
      <c r="BQ700">
        <v>0</v>
      </c>
      <c r="BR700">
        <v>1</v>
      </c>
      <c r="BS700">
        <v>0</v>
      </c>
      <c r="BT700">
        <v>0</v>
      </c>
      <c r="BU700">
        <v>0</v>
      </c>
      <c r="BV700">
        <v>1</v>
      </c>
      <c r="BW700">
        <v>0</v>
      </c>
      <c r="BX700">
        <v>0</v>
      </c>
      <c r="BY700">
        <v>0</v>
      </c>
      <c r="BZ700">
        <v>1</v>
      </c>
      <c r="CA700">
        <v>0</v>
      </c>
      <c r="CB700">
        <v>0</v>
      </c>
      <c r="CC700">
        <v>0</v>
      </c>
      <c r="CD700">
        <v>1</v>
      </c>
      <c r="CE700">
        <v>1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1</v>
      </c>
      <c r="CU700">
        <v>0</v>
      </c>
      <c r="CV700">
        <v>2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1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1</v>
      </c>
      <c r="EA700">
        <v>0</v>
      </c>
      <c r="EB700">
        <v>0</v>
      </c>
      <c r="EC700">
        <v>0</v>
      </c>
      <c r="ED700">
        <v>0</v>
      </c>
      <c r="EE700">
        <v>1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1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</row>
    <row r="701" spans="1:201" x14ac:dyDescent="0.3">
      <c r="A701" t="s">
        <v>400</v>
      </c>
      <c r="B701" t="s">
        <v>414</v>
      </c>
      <c r="C701" t="s">
        <v>200</v>
      </c>
      <c r="D701" s="1">
        <v>6550</v>
      </c>
      <c r="E701" s="1">
        <v>1186</v>
      </c>
      <c r="F701">
        <v>531</v>
      </c>
      <c r="G701">
        <v>791</v>
      </c>
      <c r="H701">
        <v>589</v>
      </c>
      <c r="I701">
        <v>325</v>
      </c>
      <c r="J701">
        <v>760</v>
      </c>
      <c r="K701">
        <v>228</v>
      </c>
      <c r="L701">
        <v>184</v>
      </c>
      <c r="M701">
        <v>279</v>
      </c>
      <c r="N701">
        <v>298</v>
      </c>
      <c r="O701">
        <v>98</v>
      </c>
      <c r="P701">
        <v>35</v>
      </c>
      <c r="Q701">
        <v>255</v>
      </c>
      <c r="R701">
        <v>237</v>
      </c>
      <c r="S701">
        <v>62</v>
      </c>
      <c r="T701">
        <v>174</v>
      </c>
      <c r="U701">
        <v>48</v>
      </c>
      <c r="V701">
        <v>43</v>
      </c>
      <c r="W701">
        <v>44</v>
      </c>
      <c r="X701">
        <v>36</v>
      </c>
      <c r="Y701">
        <v>16</v>
      </c>
      <c r="Z701">
        <v>57</v>
      </c>
      <c r="AA701">
        <v>4</v>
      </c>
      <c r="AB701">
        <v>1</v>
      </c>
      <c r="AC701">
        <v>9</v>
      </c>
      <c r="AD701">
        <v>12</v>
      </c>
      <c r="AE701">
        <v>33</v>
      </c>
      <c r="AF701">
        <v>6</v>
      </c>
      <c r="AG701">
        <v>6</v>
      </c>
      <c r="AH701">
        <v>0</v>
      </c>
      <c r="AI701">
        <v>22</v>
      </c>
      <c r="AJ701">
        <v>2</v>
      </c>
      <c r="AK701">
        <v>2</v>
      </c>
      <c r="AL701">
        <v>0</v>
      </c>
      <c r="AM701">
        <v>0</v>
      </c>
      <c r="AN701">
        <v>2</v>
      </c>
      <c r="AO701">
        <v>9</v>
      </c>
      <c r="AP701">
        <v>26</v>
      </c>
      <c r="AQ701">
        <v>31</v>
      </c>
      <c r="AR701">
        <v>14</v>
      </c>
      <c r="AS701">
        <v>1</v>
      </c>
      <c r="AT701">
        <v>1</v>
      </c>
      <c r="AU701">
        <v>3</v>
      </c>
      <c r="AV701">
        <v>2</v>
      </c>
      <c r="AW701">
        <v>0</v>
      </c>
      <c r="AX701">
        <v>53</v>
      </c>
      <c r="AY701">
        <v>1</v>
      </c>
      <c r="AZ701">
        <v>0</v>
      </c>
      <c r="BA701">
        <v>1</v>
      </c>
      <c r="BB701">
        <v>1</v>
      </c>
      <c r="BC701">
        <v>1</v>
      </c>
      <c r="BD701">
        <v>0</v>
      </c>
      <c r="BE701">
        <v>0</v>
      </c>
      <c r="BF701">
        <v>0</v>
      </c>
      <c r="BG701">
        <v>2</v>
      </c>
      <c r="BH701">
        <v>0</v>
      </c>
      <c r="BI701">
        <v>1</v>
      </c>
      <c r="BJ701">
        <v>0</v>
      </c>
      <c r="BK701">
        <v>1</v>
      </c>
      <c r="BL701">
        <v>0</v>
      </c>
      <c r="BM701">
        <v>1</v>
      </c>
      <c r="BN701">
        <v>1</v>
      </c>
      <c r="BO701">
        <v>1</v>
      </c>
      <c r="BP701">
        <v>0</v>
      </c>
      <c r="BQ701">
        <v>5</v>
      </c>
      <c r="BR701">
        <v>0</v>
      </c>
      <c r="BS701">
        <v>1</v>
      </c>
      <c r="BT701">
        <v>1</v>
      </c>
      <c r="BU701">
        <v>0</v>
      </c>
      <c r="BV701">
        <v>4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0</v>
      </c>
      <c r="CC701">
        <v>1</v>
      </c>
      <c r="CD701">
        <v>0</v>
      </c>
      <c r="CE701">
        <v>0</v>
      </c>
      <c r="CF701">
        <v>0</v>
      </c>
      <c r="CG701">
        <v>0</v>
      </c>
      <c r="CH701">
        <v>2</v>
      </c>
      <c r="CI701">
        <v>0</v>
      </c>
      <c r="CJ701">
        <v>0</v>
      </c>
      <c r="CK701">
        <v>1</v>
      </c>
      <c r="CL701">
        <v>0</v>
      </c>
      <c r="CM701">
        <v>1</v>
      </c>
      <c r="CN701">
        <v>0</v>
      </c>
      <c r="CO701">
        <v>2</v>
      </c>
      <c r="CP701">
        <v>0</v>
      </c>
      <c r="CQ701">
        <v>1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0</v>
      </c>
      <c r="CX701">
        <v>0</v>
      </c>
      <c r="CY701">
        <v>1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1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1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</row>
    <row r="702" spans="1:201" x14ac:dyDescent="0.3">
      <c r="A702" t="s">
        <v>400</v>
      </c>
      <c r="B702" t="s">
        <v>414</v>
      </c>
      <c r="C702" t="s">
        <v>203</v>
      </c>
      <c r="D702" s="1">
        <v>4174</v>
      </c>
      <c r="E702">
        <v>657</v>
      </c>
      <c r="F702">
        <v>326</v>
      </c>
      <c r="G702">
        <v>346</v>
      </c>
      <c r="H702">
        <v>463</v>
      </c>
      <c r="I702">
        <v>263</v>
      </c>
      <c r="J702">
        <v>439</v>
      </c>
      <c r="K702">
        <v>214</v>
      </c>
      <c r="L702">
        <v>181</v>
      </c>
      <c r="M702">
        <v>180</v>
      </c>
      <c r="N702">
        <v>154</v>
      </c>
      <c r="O702">
        <v>42</v>
      </c>
      <c r="P702">
        <v>27</v>
      </c>
      <c r="Q702">
        <v>219</v>
      </c>
      <c r="R702">
        <v>190</v>
      </c>
      <c r="S702">
        <v>6</v>
      </c>
      <c r="T702">
        <v>110</v>
      </c>
      <c r="U702">
        <v>26</v>
      </c>
      <c r="V702">
        <v>39</v>
      </c>
      <c r="W702">
        <v>25</v>
      </c>
      <c r="X702">
        <v>24</v>
      </c>
      <c r="Y702">
        <v>13</v>
      </c>
      <c r="Z702">
        <v>39</v>
      </c>
      <c r="AA702">
        <v>3</v>
      </c>
      <c r="AB702">
        <v>1</v>
      </c>
      <c r="AC702">
        <v>5</v>
      </c>
      <c r="AD702">
        <v>0</v>
      </c>
      <c r="AE702">
        <v>33</v>
      </c>
      <c r="AF702">
        <v>3</v>
      </c>
      <c r="AG702">
        <v>3</v>
      </c>
      <c r="AH702">
        <v>0</v>
      </c>
      <c r="AI702">
        <v>15</v>
      </c>
      <c r="AJ702">
        <v>0</v>
      </c>
      <c r="AK702">
        <v>2</v>
      </c>
      <c r="AL702">
        <v>0</v>
      </c>
      <c r="AM702">
        <v>0</v>
      </c>
      <c r="AN702">
        <v>2</v>
      </c>
      <c r="AO702">
        <v>8</v>
      </c>
      <c r="AP702">
        <v>16</v>
      </c>
      <c r="AQ702">
        <v>21</v>
      </c>
      <c r="AR702">
        <v>6</v>
      </c>
      <c r="AS702">
        <v>0</v>
      </c>
      <c r="AT702">
        <v>1</v>
      </c>
      <c r="AU702">
        <v>2</v>
      </c>
      <c r="AV702">
        <v>2</v>
      </c>
      <c r="AW702">
        <v>0</v>
      </c>
      <c r="AX702">
        <v>44</v>
      </c>
      <c r="AY702">
        <v>0</v>
      </c>
      <c r="AZ702">
        <v>0</v>
      </c>
      <c r="BA702">
        <v>0</v>
      </c>
      <c r="BB702">
        <v>1</v>
      </c>
      <c r="BC702">
        <v>1</v>
      </c>
      <c r="BD702">
        <v>0</v>
      </c>
      <c r="BE702">
        <v>0</v>
      </c>
      <c r="BF702">
        <v>0</v>
      </c>
      <c r="BG702">
        <v>2</v>
      </c>
      <c r="BH702">
        <v>0</v>
      </c>
      <c r="BI702">
        <v>0</v>
      </c>
      <c r="BJ702">
        <v>0</v>
      </c>
      <c r="BK702">
        <v>1</v>
      </c>
      <c r="BL702">
        <v>0</v>
      </c>
      <c r="BM702">
        <v>1</v>
      </c>
      <c r="BN702">
        <v>0</v>
      </c>
      <c r="BO702">
        <v>0</v>
      </c>
      <c r="BP702">
        <v>0</v>
      </c>
      <c r="BQ702">
        <v>5</v>
      </c>
      <c r="BR702">
        <v>0</v>
      </c>
      <c r="BS702">
        <v>0</v>
      </c>
      <c r="BT702">
        <v>1</v>
      </c>
      <c r="BU702">
        <v>0</v>
      </c>
      <c r="BV702">
        <v>3</v>
      </c>
      <c r="BW702">
        <v>0</v>
      </c>
      <c r="BX702">
        <v>0</v>
      </c>
      <c r="BY702">
        <v>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2</v>
      </c>
      <c r="CI702">
        <v>0</v>
      </c>
      <c r="CJ702">
        <v>0</v>
      </c>
      <c r="CK702">
        <v>1</v>
      </c>
      <c r="CL702">
        <v>0</v>
      </c>
      <c r="CM702">
        <v>1</v>
      </c>
      <c r="CN702">
        <v>0</v>
      </c>
      <c r="CO702">
        <v>2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1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1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</row>
    <row r="703" spans="1:201" x14ac:dyDescent="0.3">
      <c r="A703" t="s">
        <v>400</v>
      </c>
      <c r="B703" t="s">
        <v>414</v>
      </c>
      <c r="C703" t="s">
        <v>204</v>
      </c>
      <c r="D703" s="1">
        <v>2376</v>
      </c>
      <c r="E703">
        <v>529</v>
      </c>
      <c r="F703">
        <v>205</v>
      </c>
      <c r="G703">
        <v>445</v>
      </c>
      <c r="H703">
        <v>126</v>
      </c>
      <c r="I703">
        <v>62</v>
      </c>
      <c r="J703">
        <v>321</v>
      </c>
      <c r="K703">
        <v>14</v>
      </c>
      <c r="L703">
        <v>3</v>
      </c>
      <c r="M703">
        <v>99</v>
      </c>
      <c r="N703">
        <v>144</v>
      </c>
      <c r="O703">
        <v>56</v>
      </c>
      <c r="P703">
        <v>8</v>
      </c>
      <c r="Q703">
        <v>36</v>
      </c>
      <c r="R703">
        <v>47</v>
      </c>
      <c r="S703">
        <v>56</v>
      </c>
      <c r="T703">
        <v>64</v>
      </c>
      <c r="U703">
        <v>22</v>
      </c>
      <c r="V703">
        <v>4</v>
      </c>
      <c r="W703">
        <v>19</v>
      </c>
      <c r="X703">
        <v>12</v>
      </c>
      <c r="Y703">
        <v>3</v>
      </c>
      <c r="Z703">
        <v>18</v>
      </c>
      <c r="AA703">
        <v>1</v>
      </c>
      <c r="AB703">
        <v>0</v>
      </c>
      <c r="AC703">
        <v>4</v>
      </c>
      <c r="AD703">
        <v>12</v>
      </c>
      <c r="AE703">
        <v>0</v>
      </c>
      <c r="AF703">
        <v>3</v>
      </c>
      <c r="AG703">
        <v>3</v>
      </c>
      <c r="AH703">
        <v>0</v>
      </c>
      <c r="AI703">
        <v>7</v>
      </c>
      <c r="AJ703">
        <v>2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10</v>
      </c>
      <c r="AQ703">
        <v>10</v>
      </c>
      <c r="AR703">
        <v>8</v>
      </c>
      <c r="AS703">
        <v>1</v>
      </c>
      <c r="AT703">
        <v>0</v>
      </c>
      <c r="AU703">
        <v>1</v>
      </c>
      <c r="AV703">
        <v>0</v>
      </c>
      <c r="AW703">
        <v>0</v>
      </c>
      <c r="AX703">
        <v>9</v>
      </c>
      <c r="AY703">
        <v>1</v>
      </c>
      <c r="AZ703">
        <v>0</v>
      </c>
      <c r="BA703">
        <v>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1</v>
      </c>
      <c r="BP703">
        <v>0</v>
      </c>
      <c r="BQ703">
        <v>0</v>
      </c>
      <c r="BR703">
        <v>0</v>
      </c>
      <c r="BS703">
        <v>1</v>
      </c>
      <c r="BT703">
        <v>0</v>
      </c>
      <c r="BU703">
        <v>0</v>
      </c>
      <c r="BV703">
        <v>1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1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1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1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</row>
    <row r="704" spans="1:201" x14ac:dyDescent="0.3">
      <c r="A704" t="s">
        <v>415</v>
      </c>
      <c r="B704" t="s">
        <v>200</v>
      </c>
      <c r="C704" t="s">
        <v>200</v>
      </c>
      <c r="D704" s="1">
        <v>29495</v>
      </c>
      <c r="E704" s="1">
        <v>6895</v>
      </c>
      <c r="F704" s="1">
        <v>1109</v>
      </c>
      <c r="G704" s="1">
        <v>4094</v>
      </c>
      <c r="H704" s="1">
        <v>3388</v>
      </c>
      <c r="I704" s="1">
        <v>1485</v>
      </c>
      <c r="J704" s="1">
        <v>1351</v>
      </c>
      <c r="K704" s="1">
        <v>1342</v>
      </c>
      <c r="L704">
        <v>727</v>
      </c>
      <c r="M704" s="1">
        <v>1208</v>
      </c>
      <c r="N704" s="1">
        <v>1563</v>
      </c>
      <c r="O704">
        <v>553</v>
      </c>
      <c r="P704">
        <v>388</v>
      </c>
      <c r="Q704">
        <v>334</v>
      </c>
      <c r="R704">
        <v>642</v>
      </c>
      <c r="S704">
        <v>607</v>
      </c>
      <c r="T704">
        <v>889</v>
      </c>
      <c r="U704">
        <v>233</v>
      </c>
      <c r="V704">
        <v>218</v>
      </c>
      <c r="W704">
        <v>302</v>
      </c>
      <c r="X704">
        <v>240</v>
      </c>
      <c r="Y704">
        <v>365</v>
      </c>
      <c r="Z704">
        <v>216</v>
      </c>
      <c r="AA704">
        <v>29</v>
      </c>
      <c r="AB704">
        <v>47</v>
      </c>
      <c r="AC704">
        <v>77</v>
      </c>
      <c r="AD704">
        <v>199</v>
      </c>
      <c r="AE704">
        <v>10</v>
      </c>
      <c r="AF704">
        <v>59</v>
      </c>
      <c r="AG704">
        <v>37</v>
      </c>
      <c r="AH704">
        <v>31</v>
      </c>
      <c r="AI704">
        <v>16</v>
      </c>
      <c r="AJ704">
        <v>18</v>
      </c>
      <c r="AK704">
        <v>36</v>
      </c>
      <c r="AL704">
        <v>20</v>
      </c>
      <c r="AM704">
        <v>14</v>
      </c>
      <c r="AN704">
        <v>30</v>
      </c>
      <c r="AO704">
        <v>68</v>
      </c>
      <c r="AP704">
        <v>42</v>
      </c>
      <c r="AQ704">
        <v>24</v>
      </c>
      <c r="AR704">
        <v>29</v>
      </c>
      <c r="AS704">
        <v>30</v>
      </c>
      <c r="AT704">
        <v>10</v>
      </c>
      <c r="AU704">
        <v>20</v>
      </c>
      <c r="AV704">
        <v>21</v>
      </c>
      <c r="AW704">
        <v>11</v>
      </c>
      <c r="AX704">
        <v>9</v>
      </c>
      <c r="AY704">
        <v>17</v>
      </c>
      <c r="AZ704">
        <v>2</v>
      </c>
      <c r="BA704">
        <v>9</v>
      </c>
      <c r="BB704">
        <v>2</v>
      </c>
      <c r="BC704">
        <v>3</v>
      </c>
      <c r="BD704">
        <v>0</v>
      </c>
      <c r="BE704">
        <v>28</v>
      </c>
      <c r="BF704">
        <v>47</v>
      </c>
      <c r="BG704">
        <v>12</v>
      </c>
      <c r="BH704">
        <v>7</v>
      </c>
      <c r="BI704">
        <v>3</v>
      </c>
      <c r="BJ704">
        <v>12</v>
      </c>
      <c r="BK704">
        <v>36</v>
      </c>
      <c r="BL704">
        <v>32</v>
      </c>
      <c r="BM704">
        <v>28</v>
      </c>
      <c r="BN704">
        <v>20</v>
      </c>
      <c r="BO704">
        <v>8</v>
      </c>
      <c r="BP704">
        <v>34</v>
      </c>
      <c r="BQ704">
        <v>9</v>
      </c>
      <c r="BR704">
        <v>0</v>
      </c>
      <c r="BS704">
        <v>8</v>
      </c>
      <c r="BT704">
        <v>4</v>
      </c>
      <c r="BU704">
        <v>3</v>
      </c>
      <c r="BV704">
        <v>7</v>
      </c>
      <c r="BW704">
        <v>2</v>
      </c>
      <c r="BX704">
        <v>6</v>
      </c>
      <c r="BY704">
        <v>10</v>
      </c>
      <c r="BZ704">
        <v>5</v>
      </c>
      <c r="CA704">
        <v>1</v>
      </c>
      <c r="CB704">
        <v>1</v>
      </c>
      <c r="CC704">
        <v>3</v>
      </c>
      <c r="CD704">
        <v>5</v>
      </c>
      <c r="CE704">
        <v>9</v>
      </c>
      <c r="CF704">
        <v>3</v>
      </c>
      <c r="CG704">
        <v>2</v>
      </c>
      <c r="CH704">
        <v>1</v>
      </c>
      <c r="CI704">
        <v>4</v>
      </c>
      <c r="CJ704">
        <v>1</v>
      </c>
      <c r="CK704">
        <v>5</v>
      </c>
      <c r="CL704">
        <v>0</v>
      </c>
      <c r="CM704">
        <v>0</v>
      </c>
      <c r="CN704">
        <v>0</v>
      </c>
      <c r="CO704">
        <v>0</v>
      </c>
      <c r="CP704">
        <v>3</v>
      </c>
      <c r="CQ704">
        <v>0</v>
      </c>
      <c r="CR704">
        <v>3</v>
      </c>
      <c r="CS704">
        <v>2</v>
      </c>
      <c r="CT704">
        <v>2</v>
      </c>
      <c r="CU704">
        <v>0</v>
      </c>
      <c r="CV704">
        <v>3</v>
      </c>
      <c r="CW704">
        <v>1</v>
      </c>
      <c r="CX704">
        <v>0</v>
      </c>
      <c r="CY704">
        <v>0</v>
      </c>
      <c r="CZ704">
        <v>1</v>
      </c>
      <c r="DA704">
        <v>2</v>
      </c>
      <c r="DB704">
        <v>0</v>
      </c>
      <c r="DC704">
        <v>0</v>
      </c>
      <c r="DD704">
        <v>0</v>
      </c>
      <c r="DE704">
        <v>1</v>
      </c>
      <c r="DF704">
        <v>0</v>
      </c>
      <c r="DG704">
        <v>1</v>
      </c>
      <c r="DH704">
        <v>1</v>
      </c>
      <c r="DI704">
        <v>0</v>
      </c>
      <c r="DJ704">
        <v>1</v>
      </c>
      <c r="DK704">
        <v>4</v>
      </c>
      <c r="DL704">
        <v>1</v>
      </c>
      <c r="DM704">
        <v>2</v>
      </c>
      <c r="DN704">
        <v>2</v>
      </c>
      <c r="DO704">
        <v>0</v>
      </c>
      <c r="DP704">
        <v>0</v>
      </c>
      <c r="DQ704">
        <v>3</v>
      </c>
      <c r="DR704">
        <v>0</v>
      </c>
      <c r="DS704">
        <v>1</v>
      </c>
      <c r="DT704">
        <v>0</v>
      </c>
      <c r="DU704">
        <v>3</v>
      </c>
      <c r="DV704">
        <v>2</v>
      </c>
      <c r="DW704">
        <v>0</v>
      </c>
      <c r="DX704">
        <v>0</v>
      </c>
      <c r="DY704">
        <v>0</v>
      </c>
      <c r="DZ704">
        <v>0</v>
      </c>
      <c r="EA704">
        <v>1</v>
      </c>
      <c r="EB704">
        <v>4</v>
      </c>
      <c r="EC704">
        <v>0</v>
      </c>
      <c r="ED704">
        <v>0</v>
      </c>
      <c r="EE704">
        <v>0</v>
      </c>
      <c r="EF704">
        <v>1</v>
      </c>
      <c r="EG704">
        <v>0</v>
      </c>
      <c r="EH704">
        <v>0</v>
      </c>
      <c r="EI704">
        <v>1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1</v>
      </c>
      <c r="EP704">
        <v>17</v>
      </c>
      <c r="EQ704">
        <v>0</v>
      </c>
      <c r="ER704">
        <v>0</v>
      </c>
      <c r="ES704">
        <v>2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1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3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</row>
    <row r="705" spans="1:201" x14ac:dyDescent="0.3">
      <c r="A705" t="s">
        <v>415</v>
      </c>
      <c r="B705" t="s">
        <v>200</v>
      </c>
      <c r="C705" t="s">
        <v>203</v>
      </c>
      <c r="D705" s="1">
        <f>D708+D711+D714+D717+D720+D723+D726+D729+D732+D735+D738+D741+D744+D747+D750+D753+D756+D759</f>
        <v>17160</v>
      </c>
      <c r="E705" s="1">
        <f t="shared" ref="E705:BP705" si="120">E708+E711+E714+E717+E720+E723+E726+E729+E732+E735+E738+E741+E744+E747+E750+E753+E756+E759</f>
        <v>3727</v>
      </c>
      <c r="F705" s="1">
        <f t="shared" si="120"/>
        <v>519</v>
      </c>
      <c r="G705" s="1">
        <f t="shared" si="120"/>
        <v>1821</v>
      </c>
      <c r="H705" s="1">
        <f t="shared" si="120"/>
        <v>2479</v>
      </c>
      <c r="I705" s="1">
        <f t="shared" si="120"/>
        <v>1138</v>
      </c>
      <c r="J705" s="1">
        <f t="shared" si="120"/>
        <v>857</v>
      </c>
      <c r="K705" s="1">
        <f t="shared" si="120"/>
        <v>1145</v>
      </c>
      <c r="L705" s="1">
        <f t="shared" si="120"/>
        <v>669</v>
      </c>
      <c r="M705" s="1">
        <f t="shared" si="120"/>
        <v>646</v>
      </c>
      <c r="N705" s="1">
        <f t="shared" si="120"/>
        <v>738</v>
      </c>
      <c r="O705" s="1">
        <f t="shared" si="120"/>
        <v>242</v>
      </c>
      <c r="P705" s="1">
        <f t="shared" si="120"/>
        <v>188</v>
      </c>
      <c r="Q705" s="1">
        <f t="shared" si="120"/>
        <v>297</v>
      </c>
      <c r="R705" s="1">
        <f t="shared" si="120"/>
        <v>530</v>
      </c>
      <c r="S705" s="1">
        <f t="shared" si="120"/>
        <v>51</v>
      </c>
      <c r="T705" s="1">
        <f t="shared" si="120"/>
        <v>519</v>
      </c>
      <c r="U705" s="1">
        <f t="shared" si="120"/>
        <v>113</v>
      </c>
      <c r="V705" s="1">
        <f t="shared" si="120"/>
        <v>167</v>
      </c>
      <c r="W705" s="1">
        <f t="shared" si="120"/>
        <v>151</v>
      </c>
      <c r="X705" s="1">
        <f t="shared" si="120"/>
        <v>161</v>
      </c>
      <c r="Y705" s="1">
        <f t="shared" si="120"/>
        <v>181</v>
      </c>
      <c r="Z705" s="1">
        <f t="shared" si="120"/>
        <v>139</v>
      </c>
      <c r="AA705" s="1">
        <f t="shared" si="120"/>
        <v>18</v>
      </c>
      <c r="AB705" s="1">
        <f t="shared" si="120"/>
        <v>20</v>
      </c>
      <c r="AC705" s="1">
        <f t="shared" si="120"/>
        <v>44</v>
      </c>
      <c r="AD705" s="1">
        <f t="shared" si="120"/>
        <v>41</v>
      </c>
      <c r="AE705" s="1">
        <f t="shared" si="120"/>
        <v>10</v>
      </c>
      <c r="AF705" s="1">
        <f t="shared" si="120"/>
        <v>44</v>
      </c>
      <c r="AG705" s="1">
        <f t="shared" si="120"/>
        <v>21</v>
      </c>
      <c r="AH705" s="1">
        <f t="shared" si="120"/>
        <v>19</v>
      </c>
      <c r="AI705" s="1">
        <f t="shared" si="120"/>
        <v>9</v>
      </c>
      <c r="AJ705" s="1">
        <f t="shared" si="120"/>
        <v>11</v>
      </c>
      <c r="AK705" s="1">
        <f t="shared" si="120"/>
        <v>22</v>
      </c>
      <c r="AL705" s="1">
        <f t="shared" si="120"/>
        <v>2</v>
      </c>
      <c r="AM705" s="1">
        <f t="shared" si="120"/>
        <v>2</v>
      </c>
      <c r="AN705" s="1">
        <f t="shared" si="120"/>
        <v>20</v>
      </c>
      <c r="AO705" s="1">
        <f t="shared" si="120"/>
        <v>60</v>
      </c>
      <c r="AP705" s="1">
        <f t="shared" si="120"/>
        <v>38</v>
      </c>
      <c r="AQ705" s="1">
        <f t="shared" si="120"/>
        <v>5</v>
      </c>
      <c r="AR705" s="1">
        <f t="shared" si="120"/>
        <v>17</v>
      </c>
      <c r="AS705" s="1">
        <f t="shared" si="120"/>
        <v>11</v>
      </c>
      <c r="AT705" s="1">
        <f t="shared" si="120"/>
        <v>4</v>
      </c>
      <c r="AU705" s="1">
        <f t="shared" si="120"/>
        <v>9</v>
      </c>
      <c r="AV705" s="1">
        <f t="shared" si="120"/>
        <v>17</v>
      </c>
      <c r="AW705" s="1">
        <f t="shared" si="120"/>
        <v>7</v>
      </c>
      <c r="AX705" s="1">
        <f t="shared" si="120"/>
        <v>6</v>
      </c>
      <c r="AY705" s="1">
        <f t="shared" si="120"/>
        <v>6</v>
      </c>
      <c r="AZ705" s="1">
        <f t="shared" si="120"/>
        <v>2</v>
      </c>
      <c r="BA705" s="1">
        <f t="shared" si="120"/>
        <v>4</v>
      </c>
      <c r="BB705" s="1">
        <f t="shared" si="120"/>
        <v>1</v>
      </c>
      <c r="BC705" s="1">
        <f t="shared" si="120"/>
        <v>2</v>
      </c>
      <c r="BD705" s="1">
        <f t="shared" si="120"/>
        <v>0</v>
      </c>
      <c r="BE705" s="1">
        <f t="shared" si="120"/>
        <v>16</v>
      </c>
      <c r="BF705" s="1">
        <f t="shared" si="120"/>
        <v>28</v>
      </c>
      <c r="BG705" s="1">
        <f t="shared" si="120"/>
        <v>7</v>
      </c>
      <c r="BH705" s="1">
        <f t="shared" si="120"/>
        <v>4</v>
      </c>
      <c r="BI705" s="1">
        <f t="shared" si="120"/>
        <v>1</v>
      </c>
      <c r="BJ705" s="1">
        <f t="shared" si="120"/>
        <v>3</v>
      </c>
      <c r="BK705" s="1">
        <f t="shared" si="120"/>
        <v>22</v>
      </c>
      <c r="BL705" s="1">
        <f t="shared" si="120"/>
        <v>17</v>
      </c>
      <c r="BM705" s="1">
        <f t="shared" si="120"/>
        <v>10</v>
      </c>
      <c r="BN705" s="1">
        <f t="shared" si="120"/>
        <v>8</v>
      </c>
      <c r="BO705" s="1">
        <f t="shared" si="120"/>
        <v>5</v>
      </c>
      <c r="BP705" s="1">
        <f t="shared" si="120"/>
        <v>17</v>
      </c>
      <c r="BQ705" s="1">
        <f t="shared" ref="BQ705:EB705" si="121">BQ708+BQ711+BQ714+BQ717+BQ720+BQ723+BQ726+BQ729+BQ732+BQ735+BQ738+BQ741+BQ744+BQ747+BQ750+BQ753+BQ756+BQ759</f>
        <v>3</v>
      </c>
      <c r="BR705" s="1">
        <f t="shared" si="121"/>
        <v>0</v>
      </c>
      <c r="BS705" s="1">
        <f t="shared" si="121"/>
        <v>4</v>
      </c>
      <c r="BT705" s="1">
        <f t="shared" si="121"/>
        <v>3</v>
      </c>
      <c r="BU705" s="1">
        <f t="shared" si="121"/>
        <v>1</v>
      </c>
      <c r="BV705" s="1">
        <f t="shared" si="121"/>
        <v>2</v>
      </c>
      <c r="BW705" s="1">
        <f t="shared" si="121"/>
        <v>1</v>
      </c>
      <c r="BX705" s="1">
        <f t="shared" si="121"/>
        <v>3</v>
      </c>
      <c r="BY705" s="1">
        <f t="shared" si="121"/>
        <v>4</v>
      </c>
      <c r="BZ705" s="1">
        <f t="shared" si="121"/>
        <v>2</v>
      </c>
      <c r="CA705" s="1">
        <f t="shared" si="121"/>
        <v>1</v>
      </c>
      <c r="CB705" s="1">
        <f t="shared" si="121"/>
        <v>1</v>
      </c>
      <c r="CC705" s="1">
        <f t="shared" si="121"/>
        <v>0</v>
      </c>
      <c r="CD705" s="1">
        <f t="shared" si="121"/>
        <v>0</v>
      </c>
      <c r="CE705" s="1">
        <f t="shared" si="121"/>
        <v>3</v>
      </c>
      <c r="CF705" s="1">
        <f t="shared" si="121"/>
        <v>1</v>
      </c>
      <c r="CG705" s="1">
        <f t="shared" si="121"/>
        <v>0</v>
      </c>
      <c r="CH705" s="1">
        <f t="shared" si="121"/>
        <v>1</v>
      </c>
      <c r="CI705" s="1">
        <f t="shared" si="121"/>
        <v>2</v>
      </c>
      <c r="CJ705" s="1">
        <f t="shared" si="121"/>
        <v>0</v>
      </c>
      <c r="CK705" s="1">
        <f t="shared" si="121"/>
        <v>5</v>
      </c>
      <c r="CL705" s="1">
        <f t="shared" si="121"/>
        <v>0</v>
      </c>
      <c r="CM705" s="1">
        <f t="shared" si="121"/>
        <v>0</v>
      </c>
      <c r="CN705" s="1">
        <f t="shared" si="121"/>
        <v>0</v>
      </c>
      <c r="CO705" s="1">
        <f t="shared" si="121"/>
        <v>0</v>
      </c>
      <c r="CP705" s="1">
        <f t="shared" si="121"/>
        <v>3</v>
      </c>
      <c r="CQ705" s="1">
        <f t="shared" si="121"/>
        <v>0</v>
      </c>
      <c r="CR705" s="1">
        <f t="shared" si="121"/>
        <v>1</v>
      </c>
      <c r="CS705" s="1">
        <f t="shared" si="121"/>
        <v>2</v>
      </c>
      <c r="CT705" s="1">
        <f t="shared" si="121"/>
        <v>1</v>
      </c>
      <c r="CU705" s="1">
        <f t="shared" si="121"/>
        <v>0</v>
      </c>
      <c r="CV705" s="1">
        <f t="shared" si="121"/>
        <v>0</v>
      </c>
      <c r="CW705" s="1">
        <f t="shared" si="121"/>
        <v>1</v>
      </c>
      <c r="CX705" s="1">
        <f t="shared" si="121"/>
        <v>0</v>
      </c>
      <c r="CY705" s="1">
        <f t="shared" si="121"/>
        <v>0</v>
      </c>
      <c r="CZ705" s="1">
        <f t="shared" si="121"/>
        <v>0</v>
      </c>
      <c r="DA705" s="1">
        <f t="shared" si="121"/>
        <v>1</v>
      </c>
      <c r="DB705" s="1">
        <f t="shared" si="121"/>
        <v>0</v>
      </c>
      <c r="DC705" s="1">
        <f t="shared" si="121"/>
        <v>0</v>
      </c>
      <c r="DD705" s="1">
        <f t="shared" si="121"/>
        <v>0</v>
      </c>
      <c r="DE705" s="1">
        <f t="shared" si="121"/>
        <v>1</v>
      </c>
      <c r="DF705" s="1">
        <f t="shared" si="121"/>
        <v>0</v>
      </c>
      <c r="DG705" s="1">
        <f t="shared" si="121"/>
        <v>0</v>
      </c>
      <c r="DH705" s="1">
        <f t="shared" si="121"/>
        <v>1</v>
      </c>
      <c r="DI705" s="1">
        <f t="shared" si="121"/>
        <v>0</v>
      </c>
      <c r="DJ705" s="1">
        <f t="shared" si="121"/>
        <v>1</v>
      </c>
      <c r="DK705" s="1">
        <f t="shared" si="121"/>
        <v>1</v>
      </c>
      <c r="DL705" s="1">
        <f t="shared" si="121"/>
        <v>0</v>
      </c>
      <c r="DM705" s="1">
        <f t="shared" si="121"/>
        <v>0</v>
      </c>
      <c r="DN705" s="1">
        <f t="shared" si="121"/>
        <v>0</v>
      </c>
      <c r="DO705" s="1">
        <f t="shared" si="121"/>
        <v>0</v>
      </c>
      <c r="DP705" s="1">
        <f t="shared" si="121"/>
        <v>0</v>
      </c>
      <c r="DQ705" s="1">
        <f t="shared" si="121"/>
        <v>0</v>
      </c>
      <c r="DR705" s="1">
        <f t="shared" si="121"/>
        <v>0</v>
      </c>
      <c r="DS705" s="1">
        <f t="shared" si="121"/>
        <v>0</v>
      </c>
      <c r="DT705" s="1">
        <f t="shared" si="121"/>
        <v>0</v>
      </c>
      <c r="DU705" s="1">
        <f t="shared" si="121"/>
        <v>3</v>
      </c>
      <c r="DV705" s="1">
        <f t="shared" si="121"/>
        <v>0</v>
      </c>
      <c r="DW705" s="1">
        <f t="shared" si="121"/>
        <v>0</v>
      </c>
      <c r="DX705" s="1">
        <f t="shared" si="121"/>
        <v>0</v>
      </c>
      <c r="DY705" s="1">
        <f t="shared" si="121"/>
        <v>0</v>
      </c>
      <c r="DZ705" s="1">
        <f t="shared" si="121"/>
        <v>0</v>
      </c>
      <c r="EA705" s="1">
        <f t="shared" si="121"/>
        <v>1</v>
      </c>
      <c r="EB705" s="1">
        <f t="shared" si="121"/>
        <v>3</v>
      </c>
      <c r="EC705" s="1">
        <f t="shared" ref="EC705:GN705" si="122">EC708+EC711+EC714+EC717+EC720+EC723+EC726+EC729+EC732+EC735+EC738+EC741+EC744+EC747+EC750+EC753+EC756+EC759</f>
        <v>0</v>
      </c>
      <c r="ED705" s="1">
        <f t="shared" si="122"/>
        <v>0</v>
      </c>
      <c r="EE705" s="1">
        <f t="shared" si="122"/>
        <v>0</v>
      </c>
      <c r="EF705" s="1">
        <f t="shared" si="122"/>
        <v>1</v>
      </c>
      <c r="EG705" s="1">
        <f t="shared" si="122"/>
        <v>0</v>
      </c>
      <c r="EH705" s="1">
        <f t="shared" si="122"/>
        <v>0</v>
      </c>
      <c r="EI705" s="1">
        <f t="shared" si="122"/>
        <v>1</v>
      </c>
      <c r="EJ705" s="1">
        <f t="shared" si="122"/>
        <v>0</v>
      </c>
      <c r="EK705" s="1">
        <f t="shared" si="122"/>
        <v>0</v>
      </c>
      <c r="EL705" s="1">
        <f t="shared" si="122"/>
        <v>0</v>
      </c>
      <c r="EM705" s="1">
        <f t="shared" si="122"/>
        <v>0</v>
      </c>
      <c r="EN705" s="1">
        <f t="shared" si="122"/>
        <v>0</v>
      </c>
      <c r="EO705" s="1">
        <f t="shared" si="122"/>
        <v>1</v>
      </c>
      <c r="EP705" s="1">
        <f t="shared" si="122"/>
        <v>9</v>
      </c>
      <c r="EQ705" s="1">
        <f t="shared" si="122"/>
        <v>0</v>
      </c>
      <c r="ER705" s="1">
        <f t="shared" si="122"/>
        <v>0</v>
      </c>
      <c r="ES705" s="1">
        <f t="shared" si="122"/>
        <v>1</v>
      </c>
      <c r="ET705" s="1">
        <f t="shared" si="122"/>
        <v>0</v>
      </c>
      <c r="EU705" s="1">
        <f t="shared" si="122"/>
        <v>0</v>
      </c>
      <c r="EV705" s="1">
        <f t="shared" si="122"/>
        <v>0</v>
      </c>
      <c r="EW705" s="1">
        <f t="shared" si="122"/>
        <v>0</v>
      </c>
      <c r="EX705" s="1">
        <f t="shared" si="122"/>
        <v>0</v>
      </c>
      <c r="EY705" s="1">
        <f t="shared" si="122"/>
        <v>0</v>
      </c>
      <c r="EZ705" s="1">
        <f t="shared" si="122"/>
        <v>0</v>
      </c>
      <c r="FA705" s="1">
        <f t="shared" si="122"/>
        <v>0</v>
      </c>
      <c r="FB705" s="1">
        <f t="shared" si="122"/>
        <v>1</v>
      </c>
      <c r="FC705" s="1">
        <f t="shared" si="122"/>
        <v>0</v>
      </c>
      <c r="FD705" s="1">
        <f t="shared" si="122"/>
        <v>0</v>
      </c>
      <c r="FE705" s="1">
        <f t="shared" si="122"/>
        <v>0</v>
      </c>
      <c r="FF705" s="1">
        <f t="shared" si="122"/>
        <v>0</v>
      </c>
      <c r="FG705" s="1">
        <f t="shared" si="122"/>
        <v>0</v>
      </c>
      <c r="FH705" s="1">
        <f t="shared" si="122"/>
        <v>0</v>
      </c>
      <c r="FI705" s="1">
        <f t="shared" si="122"/>
        <v>0</v>
      </c>
      <c r="FJ705" s="1">
        <f t="shared" si="122"/>
        <v>0</v>
      </c>
      <c r="FK705" s="1">
        <f t="shared" si="122"/>
        <v>0</v>
      </c>
      <c r="FL705" s="1">
        <f t="shared" si="122"/>
        <v>0</v>
      </c>
      <c r="FM705" s="1">
        <f t="shared" si="122"/>
        <v>0</v>
      </c>
      <c r="FN705" s="1">
        <f t="shared" si="122"/>
        <v>0</v>
      </c>
      <c r="FO705" s="1">
        <f t="shared" si="122"/>
        <v>1</v>
      </c>
      <c r="FP705" s="1">
        <f t="shared" si="122"/>
        <v>0</v>
      </c>
      <c r="FQ705" s="1">
        <f t="shared" si="122"/>
        <v>0</v>
      </c>
      <c r="FR705" s="1">
        <f t="shared" si="122"/>
        <v>0</v>
      </c>
      <c r="FS705" s="1">
        <f t="shared" si="122"/>
        <v>0</v>
      </c>
      <c r="FT705" s="1">
        <f t="shared" si="122"/>
        <v>0</v>
      </c>
      <c r="FU705" s="1">
        <f t="shared" si="122"/>
        <v>0</v>
      </c>
      <c r="FV705" s="1">
        <f t="shared" si="122"/>
        <v>0</v>
      </c>
      <c r="FW705" s="1">
        <f t="shared" si="122"/>
        <v>0</v>
      </c>
      <c r="FX705" s="1">
        <f t="shared" si="122"/>
        <v>0</v>
      </c>
      <c r="FY705" s="1">
        <f t="shared" si="122"/>
        <v>0</v>
      </c>
      <c r="FZ705" s="1">
        <f t="shared" si="122"/>
        <v>0</v>
      </c>
      <c r="GA705" s="1">
        <f t="shared" si="122"/>
        <v>0</v>
      </c>
      <c r="GB705" s="1">
        <f t="shared" si="122"/>
        <v>0</v>
      </c>
      <c r="GC705" s="1">
        <f t="shared" si="122"/>
        <v>0</v>
      </c>
      <c r="GD705" s="1">
        <f t="shared" si="122"/>
        <v>0</v>
      </c>
      <c r="GE705" s="1">
        <f t="shared" si="122"/>
        <v>0</v>
      </c>
      <c r="GF705" s="1">
        <f t="shared" si="122"/>
        <v>0</v>
      </c>
      <c r="GG705" s="1">
        <f t="shared" si="122"/>
        <v>0</v>
      </c>
      <c r="GH705" s="1">
        <f t="shared" si="122"/>
        <v>0</v>
      </c>
      <c r="GI705" s="1">
        <f t="shared" si="122"/>
        <v>0</v>
      </c>
      <c r="GJ705" s="1">
        <f t="shared" si="122"/>
        <v>0</v>
      </c>
      <c r="GK705" s="1">
        <f t="shared" si="122"/>
        <v>0</v>
      </c>
      <c r="GL705" s="1">
        <f t="shared" si="122"/>
        <v>0</v>
      </c>
      <c r="GM705" s="1">
        <f t="shared" si="122"/>
        <v>0</v>
      </c>
      <c r="GN705" s="1">
        <f t="shared" si="122"/>
        <v>0</v>
      </c>
      <c r="GO705" s="1">
        <f t="shared" ref="GO705:GS705" si="123">GO708+GO711+GO714+GO717+GO720+GO723+GO726+GO729+GO732+GO735+GO738+GO741+GO744+GO747+GO750+GO753+GO756+GO759</f>
        <v>0</v>
      </c>
      <c r="GP705" s="1">
        <f t="shared" si="123"/>
        <v>0</v>
      </c>
      <c r="GQ705" s="1">
        <f t="shared" si="123"/>
        <v>0</v>
      </c>
      <c r="GR705" s="1">
        <f t="shared" si="123"/>
        <v>0</v>
      </c>
      <c r="GS705" s="1">
        <f t="shared" si="123"/>
        <v>0</v>
      </c>
    </row>
    <row r="706" spans="1:201" x14ac:dyDescent="0.3">
      <c r="A706" t="s">
        <v>415</v>
      </c>
      <c r="B706" t="s">
        <v>200</v>
      </c>
      <c r="C706" t="s">
        <v>204</v>
      </c>
      <c r="D706" s="1">
        <f>D709+D712+D715+D718+D721+D724+D727+D730+D733+D736+D739+D742+D745+D748+D751+D754+D757+D760</f>
        <v>12335</v>
      </c>
      <c r="E706" s="1">
        <f t="shared" ref="E706:BP706" si="124">E709+E712+E715+E718+E721+E724+E727+E730+E733+E736+E739+E742+E745+E748+E751+E754+E757+E760</f>
        <v>3168</v>
      </c>
      <c r="F706" s="1">
        <f t="shared" si="124"/>
        <v>590</v>
      </c>
      <c r="G706" s="1">
        <f t="shared" si="124"/>
        <v>2273</v>
      </c>
      <c r="H706" s="1">
        <f t="shared" si="124"/>
        <v>909</v>
      </c>
      <c r="I706" s="1">
        <f t="shared" si="124"/>
        <v>347</v>
      </c>
      <c r="J706" s="1">
        <f t="shared" si="124"/>
        <v>494</v>
      </c>
      <c r="K706" s="1">
        <f t="shared" si="124"/>
        <v>197</v>
      </c>
      <c r="L706" s="1">
        <f t="shared" si="124"/>
        <v>58</v>
      </c>
      <c r="M706" s="1">
        <f t="shared" si="124"/>
        <v>562</v>
      </c>
      <c r="N706" s="1">
        <f t="shared" si="124"/>
        <v>825</v>
      </c>
      <c r="O706" s="1">
        <f t="shared" si="124"/>
        <v>311</v>
      </c>
      <c r="P706" s="1">
        <f t="shared" si="124"/>
        <v>200</v>
      </c>
      <c r="Q706" s="1">
        <f t="shared" si="124"/>
        <v>37</v>
      </c>
      <c r="R706" s="1">
        <f t="shared" si="124"/>
        <v>112</v>
      </c>
      <c r="S706" s="1">
        <f t="shared" si="124"/>
        <v>556</v>
      </c>
      <c r="T706" s="1">
        <f t="shared" si="124"/>
        <v>370</v>
      </c>
      <c r="U706" s="1">
        <f t="shared" si="124"/>
        <v>120</v>
      </c>
      <c r="V706" s="1">
        <f t="shared" si="124"/>
        <v>51</v>
      </c>
      <c r="W706" s="1">
        <f t="shared" si="124"/>
        <v>151</v>
      </c>
      <c r="X706" s="1">
        <f t="shared" si="124"/>
        <v>79</v>
      </c>
      <c r="Y706" s="1">
        <f t="shared" si="124"/>
        <v>184</v>
      </c>
      <c r="Z706" s="1">
        <f t="shared" si="124"/>
        <v>77</v>
      </c>
      <c r="AA706" s="1">
        <f t="shared" si="124"/>
        <v>11</v>
      </c>
      <c r="AB706" s="1">
        <f t="shared" si="124"/>
        <v>27</v>
      </c>
      <c r="AC706" s="1">
        <f t="shared" si="124"/>
        <v>33</v>
      </c>
      <c r="AD706" s="1">
        <f t="shared" si="124"/>
        <v>158</v>
      </c>
      <c r="AE706" s="1">
        <f t="shared" si="124"/>
        <v>0</v>
      </c>
      <c r="AF706" s="1">
        <f t="shared" si="124"/>
        <v>15</v>
      </c>
      <c r="AG706" s="1">
        <f t="shared" si="124"/>
        <v>16</v>
      </c>
      <c r="AH706" s="1">
        <f t="shared" si="124"/>
        <v>12</v>
      </c>
      <c r="AI706" s="1">
        <f t="shared" si="124"/>
        <v>7</v>
      </c>
      <c r="AJ706" s="1">
        <f t="shared" si="124"/>
        <v>7</v>
      </c>
      <c r="AK706" s="1">
        <f t="shared" si="124"/>
        <v>14</v>
      </c>
      <c r="AL706" s="1">
        <f t="shared" si="124"/>
        <v>18</v>
      </c>
      <c r="AM706" s="1">
        <f t="shared" si="124"/>
        <v>12</v>
      </c>
      <c r="AN706" s="1">
        <f t="shared" si="124"/>
        <v>10</v>
      </c>
      <c r="AO706" s="1">
        <f t="shared" si="124"/>
        <v>8</v>
      </c>
      <c r="AP706" s="1">
        <f t="shared" si="124"/>
        <v>4</v>
      </c>
      <c r="AQ706" s="1">
        <f t="shared" si="124"/>
        <v>19</v>
      </c>
      <c r="AR706" s="1">
        <f t="shared" si="124"/>
        <v>12</v>
      </c>
      <c r="AS706" s="1">
        <f t="shared" si="124"/>
        <v>19</v>
      </c>
      <c r="AT706" s="1">
        <f t="shared" si="124"/>
        <v>6</v>
      </c>
      <c r="AU706" s="1">
        <f t="shared" si="124"/>
        <v>11</v>
      </c>
      <c r="AV706" s="1">
        <f t="shared" si="124"/>
        <v>4</v>
      </c>
      <c r="AW706" s="1">
        <f t="shared" si="124"/>
        <v>4</v>
      </c>
      <c r="AX706" s="1">
        <f t="shared" si="124"/>
        <v>3</v>
      </c>
      <c r="AY706" s="1">
        <f t="shared" si="124"/>
        <v>11</v>
      </c>
      <c r="AZ706" s="1">
        <f t="shared" si="124"/>
        <v>0</v>
      </c>
      <c r="BA706" s="1">
        <f t="shared" si="124"/>
        <v>5</v>
      </c>
      <c r="BB706" s="1">
        <f t="shared" si="124"/>
        <v>1</v>
      </c>
      <c r="BC706" s="1">
        <f t="shared" si="124"/>
        <v>1</v>
      </c>
      <c r="BD706" s="1">
        <f t="shared" si="124"/>
        <v>0</v>
      </c>
      <c r="BE706" s="1">
        <f t="shared" si="124"/>
        <v>12</v>
      </c>
      <c r="BF706" s="1">
        <f t="shared" si="124"/>
        <v>19</v>
      </c>
      <c r="BG706" s="1">
        <f t="shared" si="124"/>
        <v>5</v>
      </c>
      <c r="BH706" s="1">
        <f t="shared" si="124"/>
        <v>3</v>
      </c>
      <c r="BI706" s="1">
        <f t="shared" si="124"/>
        <v>2</v>
      </c>
      <c r="BJ706" s="1">
        <f t="shared" si="124"/>
        <v>9</v>
      </c>
      <c r="BK706" s="1">
        <f t="shared" si="124"/>
        <v>14</v>
      </c>
      <c r="BL706" s="1">
        <f t="shared" si="124"/>
        <v>15</v>
      </c>
      <c r="BM706" s="1">
        <f t="shared" si="124"/>
        <v>18</v>
      </c>
      <c r="BN706" s="1">
        <f t="shared" si="124"/>
        <v>12</v>
      </c>
      <c r="BO706" s="1">
        <f t="shared" si="124"/>
        <v>3</v>
      </c>
      <c r="BP706" s="1">
        <f t="shared" si="124"/>
        <v>17</v>
      </c>
      <c r="BQ706" s="1">
        <f t="shared" ref="BQ706:EB706" si="125">BQ709+BQ712+BQ715+BQ718+BQ721+BQ724+BQ727+BQ730+BQ733+BQ736+BQ739+BQ742+BQ745+BQ748+BQ751+BQ754+BQ757+BQ760</f>
        <v>6</v>
      </c>
      <c r="BR706" s="1">
        <f t="shared" si="125"/>
        <v>0</v>
      </c>
      <c r="BS706" s="1">
        <f t="shared" si="125"/>
        <v>4</v>
      </c>
      <c r="BT706" s="1">
        <f t="shared" si="125"/>
        <v>1</v>
      </c>
      <c r="BU706" s="1">
        <f t="shared" si="125"/>
        <v>2</v>
      </c>
      <c r="BV706" s="1">
        <f t="shared" si="125"/>
        <v>5</v>
      </c>
      <c r="BW706" s="1">
        <f t="shared" si="125"/>
        <v>1</v>
      </c>
      <c r="BX706" s="1">
        <f t="shared" si="125"/>
        <v>3</v>
      </c>
      <c r="BY706" s="1">
        <f t="shared" si="125"/>
        <v>6</v>
      </c>
      <c r="BZ706" s="1">
        <f t="shared" si="125"/>
        <v>3</v>
      </c>
      <c r="CA706" s="1">
        <f t="shared" si="125"/>
        <v>0</v>
      </c>
      <c r="CB706" s="1">
        <f t="shared" si="125"/>
        <v>0</v>
      </c>
      <c r="CC706" s="1">
        <f t="shared" si="125"/>
        <v>3</v>
      </c>
      <c r="CD706" s="1">
        <f t="shared" si="125"/>
        <v>5</v>
      </c>
      <c r="CE706" s="1">
        <f t="shared" si="125"/>
        <v>6</v>
      </c>
      <c r="CF706" s="1">
        <f t="shared" si="125"/>
        <v>2</v>
      </c>
      <c r="CG706" s="1">
        <f t="shared" si="125"/>
        <v>2</v>
      </c>
      <c r="CH706" s="1">
        <f t="shared" si="125"/>
        <v>0</v>
      </c>
      <c r="CI706" s="1">
        <f t="shared" si="125"/>
        <v>2</v>
      </c>
      <c r="CJ706" s="1">
        <f t="shared" si="125"/>
        <v>1</v>
      </c>
      <c r="CK706" s="1">
        <f t="shared" si="125"/>
        <v>0</v>
      </c>
      <c r="CL706" s="1">
        <f t="shared" si="125"/>
        <v>0</v>
      </c>
      <c r="CM706" s="1">
        <f t="shared" si="125"/>
        <v>0</v>
      </c>
      <c r="CN706" s="1">
        <f t="shared" si="125"/>
        <v>0</v>
      </c>
      <c r="CO706" s="1">
        <f t="shared" si="125"/>
        <v>0</v>
      </c>
      <c r="CP706" s="1">
        <f t="shared" si="125"/>
        <v>0</v>
      </c>
      <c r="CQ706" s="1">
        <f t="shared" si="125"/>
        <v>0</v>
      </c>
      <c r="CR706" s="1">
        <f t="shared" si="125"/>
        <v>2</v>
      </c>
      <c r="CS706" s="1">
        <f t="shared" si="125"/>
        <v>0</v>
      </c>
      <c r="CT706" s="1">
        <f t="shared" si="125"/>
        <v>1</v>
      </c>
      <c r="CU706" s="1">
        <f t="shared" si="125"/>
        <v>0</v>
      </c>
      <c r="CV706" s="1">
        <f t="shared" si="125"/>
        <v>3</v>
      </c>
      <c r="CW706" s="1">
        <f t="shared" si="125"/>
        <v>0</v>
      </c>
      <c r="CX706" s="1">
        <f t="shared" si="125"/>
        <v>0</v>
      </c>
      <c r="CY706" s="1">
        <f t="shared" si="125"/>
        <v>0</v>
      </c>
      <c r="CZ706" s="1">
        <f t="shared" si="125"/>
        <v>1</v>
      </c>
      <c r="DA706" s="1">
        <f t="shared" si="125"/>
        <v>1</v>
      </c>
      <c r="DB706" s="1">
        <f t="shared" si="125"/>
        <v>0</v>
      </c>
      <c r="DC706" s="1">
        <f t="shared" si="125"/>
        <v>0</v>
      </c>
      <c r="DD706" s="1">
        <f t="shared" si="125"/>
        <v>0</v>
      </c>
      <c r="DE706" s="1">
        <f t="shared" si="125"/>
        <v>0</v>
      </c>
      <c r="DF706" s="1">
        <f t="shared" si="125"/>
        <v>0</v>
      </c>
      <c r="DG706" s="1">
        <f t="shared" si="125"/>
        <v>1</v>
      </c>
      <c r="DH706" s="1">
        <f t="shared" si="125"/>
        <v>0</v>
      </c>
      <c r="DI706" s="1">
        <f t="shared" si="125"/>
        <v>0</v>
      </c>
      <c r="DJ706" s="1">
        <f t="shared" si="125"/>
        <v>0</v>
      </c>
      <c r="DK706" s="1">
        <f t="shared" si="125"/>
        <v>3</v>
      </c>
      <c r="DL706" s="1">
        <f t="shared" si="125"/>
        <v>1</v>
      </c>
      <c r="DM706" s="1">
        <f t="shared" si="125"/>
        <v>2</v>
      </c>
      <c r="DN706" s="1">
        <f t="shared" si="125"/>
        <v>2</v>
      </c>
      <c r="DO706" s="1">
        <f t="shared" si="125"/>
        <v>0</v>
      </c>
      <c r="DP706" s="1">
        <f t="shared" si="125"/>
        <v>0</v>
      </c>
      <c r="DQ706" s="1">
        <f t="shared" si="125"/>
        <v>3</v>
      </c>
      <c r="DR706" s="1">
        <f t="shared" si="125"/>
        <v>0</v>
      </c>
      <c r="DS706" s="1">
        <f t="shared" si="125"/>
        <v>1</v>
      </c>
      <c r="DT706" s="1">
        <f t="shared" si="125"/>
        <v>0</v>
      </c>
      <c r="DU706" s="1">
        <f t="shared" si="125"/>
        <v>0</v>
      </c>
      <c r="DV706" s="1">
        <f t="shared" si="125"/>
        <v>2</v>
      </c>
      <c r="DW706" s="1">
        <f t="shared" si="125"/>
        <v>0</v>
      </c>
      <c r="DX706" s="1">
        <f t="shared" si="125"/>
        <v>0</v>
      </c>
      <c r="DY706" s="1">
        <f t="shared" si="125"/>
        <v>0</v>
      </c>
      <c r="DZ706" s="1">
        <f t="shared" si="125"/>
        <v>0</v>
      </c>
      <c r="EA706" s="1">
        <f t="shared" si="125"/>
        <v>0</v>
      </c>
      <c r="EB706" s="1">
        <f t="shared" si="125"/>
        <v>1</v>
      </c>
      <c r="EC706" s="1">
        <f t="shared" ref="EC706:GN706" si="126">EC709+EC712+EC715+EC718+EC721+EC724+EC727+EC730+EC733+EC736+EC739+EC742+EC745+EC748+EC751+EC754+EC757+EC760</f>
        <v>0</v>
      </c>
      <c r="ED706" s="1">
        <f t="shared" si="126"/>
        <v>0</v>
      </c>
      <c r="EE706" s="1">
        <f t="shared" si="126"/>
        <v>0</v>
      </c>
      <c r="EF706" s="1">
        <f t="shared" si="126"/>
        <v>0</v>
      </c>
      <c r="EG706" s="1">
        <f t="shared" si="126"/>
        <v>0</v>
      </c>
      <c r="EH706" s="1">
        <f t="shared" si="126"/>
        <v>0</v>
      </c>
      <c r="EI706" s="1">
        <f t="shared" si="126"/>
        <v>0</v>
      </c>
      <c r="EJ706" s="1">
        <f t="shared" si="126"/>
        <v>0</v>
      </c>
      <c r="EK706" s="1">
        <f t="shared" si="126"/>
        <v>0</v>
      </c>
      <c r="EL706" s="1">
        <f t="shared" si="126"/>
        <v>0</v>
      </c>
      <c r="EM706" s="1">
        <f t="shared" si="126"/>
        <v>0</v>
      </c>
      <c r="EN706" s="1">
        <f t="shared" si="126"/>
        <v>0</v>
      </c>
      <c r="EO706" s="1">
        <f t="shared" si="126"/>
        <v>0</v>
      </c>
      <c r="EP706" s="1">
        <f t="shared" si="126"/>
        <v>8</v>
      </c>
      <c r="EQ706" s="1">
        <f t="shared" si="126"/>
        <v>0</v>
      </c>
      <c r="ER706" s="1">
        <f t="shared" si="126"/>
        <v>0</v>
      </c>
      <c r="ES706" s="1">
        <f t="shared" si="126"/>
        <v>1</v>
      </c>
      <c r="ET706" s="1">
        <f t="shared" si="126"/>
        <v>0</v>
      </c>
      <c r="EU706" s="1">
        <f t="shared" si="126"/>
        <v>0</v>
      </c>
      <c r="EV706" s="1">
        <f t="shared" si="126"/>
        <v>0</v>
      </c>
      <c r="EW706" s="1">
        <f t="shared" si="126"/>
        <v>0</v>
      </c>
      <c r="EX706" s="1">
        <f t="shared" si="126"/>
        <v>0</v>
      </c>
      <c r="EY706" s="1">
        <f t="shared" si="126"/>
        <v>0</v>
      </c>
      <c r="EZ706" s="1">
        <f t="shared" si="126"/>
        <v>0</v>
      </c>
      <c r="FA706" s="1">
        <f t="shared" si="126"/>
        <v>0</v>
      </c>
      <c r="FB706" s="1">
        <f t="shared" si="126"/>
        <v>0</v>
      </c>
      <c r="FC706" s="1">
        <f t="shared" si="126"/>
        <v>0</v>
      </c>
      <c r="FD706" s="1">
        <f t="shared" si="126"/>
        <v>0</v>
      </c>
      <c r="FE706" s="1">
        <f t="shared" si="126"/>
        <v>0</v>
      </c>
      <c r="FF706" s="1">
        <f t="shared" si="126"/>
        <v>0</v>
      </c>
      <c r="FG706" s="1">
        <f t="shared" si="126"/>
        <v>0</v>
      </c>
      <c r="FH706" s="1">
        <f t="shared" si="126"/>
        <v>0</v>
      </c>
      <c r="FI706" s="1">
        <f t="shared" si="126"/>
        <v>0</v>
      </c>
      <c r="FJ706" s="1">
        <f t="shared" si="126"/>
        <v>0</v>
      </c>
      <c r="FK706" s="1">
        <f t="shared" si="126"/>
        <v>0</v>
      </c>
      <c r="FL706" s="1">
        <f t="shared" si="126"/>
        <v>0</v>
      </c>
      <c r="FM706" s="1">
        <f t="shared" si="126"/>
        <v>0</v>
      </c>
      <c r="FN706" s="1">
        <f t="shared" si="126"/>
        <v>0</v>
      </c>
      <c r="FO706" s="1">
        <f t="shared" si="126"/>
        <v>2</v>
      </c>
      <c r="FP706" s="1">
        <f t="shared" si="126"/>
        <v>0</v>
      </c>
      <c r="FQ706" s="1">
        <f t="shared" si="126"/>
        <v>0</v>
      </c>
      <c r="FR706" s="1">
        <f t="shared" si="126"/>
        <v>0</v>
      </c>
      <c r="FS706" s="1">
        <f t="shared" si="126"/>
        <v>0</v>
      </c>
      <c r="FT706" s="1">
        <f t="shared" si="126"/>
        <v>0</v>
      </c>
      <c r="FU706" s="1">
        <f t="shared" si="126"/>
        <v>0</v>
      </c>
      <c r="FV706" s="1">
        <f t="shared" si="126"/>
        <v>0</v>
      </c>
      <c r="FW706" s="1">
        <f t="shared" si="126"/>
        <v>0</v>
      </c>
      <c r="FX706" s="1">
        <f t="shared" si="126"/>
        <v>0</v>
      </c>
      <c r="FY706" s="1">
        <f t="shared" si="126"/>
        <v>0</v>
      </c>
      <c r="FZ706" s="1">
        <f t="shared" si="126"/>
        <v>0</v>
      </c>
      <c r="GA706" s="1">
        <f t="shared" si="126"/>
        <v>0</v>
      </c>
      <c r="GB706" s="1">
        <f t="shared" si="126"/>
        <v>0</v>
      </c>
      <c r="GC706" s="1">
        <f t="shared" si="126"/>
        <v>0</v>
      </c>
      <c r="GD706" s="1">
        <f t="shared" si="126"/>
        <v>0</v>
      </c>
      <c r="GE706" s="1">
        <f t="shared" si="126"/>
        <v>0</v>
      </c>
      <c r="GF706" s="1">
        <f t="shared" si="126"/>
        <v>0</v>
      </c>
      <c r="GG706" s="1">
        <f t="shared" si="126"/>
        <v>0</v>
      </c>
      <c r="GH706" s="1">
        <f t="shared" si="126"/>
        <v>0</v>
      </c>
      <c r="GI706" s="1">
        <f t="shared" si="126"/>
        <v>0</v>
      </c>
      <c r="GJ706" s="1">
        <f t="shared" si="126"/>
        <v>0</v>
      </c>
      <c r="GK706" s="1">
        <f t="shared" si="126"/>
        <v>0</v>
      </c>
      <c r="GL706" s="1">
        <f t="shared" si="126"/>
        <v>0</v>
      </c>
      <c r="GM706" s="1">
        <f t="shared" si="126"/>
        <v>0</v>
      </c>
      <c r="GN706" s="1">
        <f t="shared" si="126"/>
        <v>0</v>
      </c>
      <c r="GO706" s="1">
        <f t="shared" ref="GO706:GS706" si="127">GO709+GO712+GO715+GO718+GO721+GO724+GO727+GO730+GO733+GO736+GO739+GO742+GO745+GO748+GO751+GO754+GO757+GO760</f>
        <v>0</v>
      </c>
      <c r="GP706" s="1">
        <f t="shared" si="127"/>
        <v>0</v>
      </c>
      <c r="GQ706" s="1">
        <f t="shared" si="127"/>
        <v>0</v>
      </c>
      <c r="GR706" s="1">
        <f t="shared" si="127"/>
        <v>0</v>
      </c>
      <c r="GS706" s="1">
        <f t="shared" si="127"/>
        <v>0</v>
      </c>
    </row>
    <row r="707" spans="1:201" x14ac:dyDescent="0.3">
      <c r="A707" t="s">
        <v>415</v>
      </c>
      <c r="B707" t="s">
        <v>416</v>
      </c>
      <c r="C707" t="s">
        <v>200</v>
      </c>
      <c r="D707" s="1">
        <v>4157</v>
      </c>
      <c r="E707" s="1">
        <v>1927</v>
      </c>
      <c r="F707">
        <v>91</v>
      </c>
      <c r="G707">
        <v>231</v>
      </c>
      <c r="H707">
        <v>199</v>
      </c>
      <c r="I707">
        <v>72</v>
      </c>
      <c r="J707">
        <v>63</v>
      </c>
      <c r="K707">
        <v>218</v>
      </c>
      <c r="L707">
        <v>45</v>
      </c>
      <c r="M707">
        <v>94</v>
      </c>
      <c r="N707">
        <v>108</v>
      </c>
      <c r="O707">
        <v>60</v>
      </c>
      <c r="P707">
        <v>43</v>
      </c>
      <c r="Q707">
        <v>48</v>
      </c>
      <c r="R707">
        <v>25</v>
      </c>
      <c r="S707">
        <v>53</v>
      </c>
      <c r="T707">
        <v>442</v>
      </c>
      <c r="U707">
        <v>74</v>
      </c>
      <c r="V707">
        <v>12</v>
      </c>
      <c r="W707">
        <v>53</v>
      </c>
      <c r="X707">
        <v>53</v>
      </c>
      <c r="Y707">
        <v>14</v>
      </c>
      <c r="Z707">
        <v>92</v>
      </c>
      <c r="AA707">
        <v>6</v>
      </c>
      <c r="AB707">
        <v>1</v>
      </c>
      <c r="AC707">
        <v>3</v>
      </c>
      <c r="AD707">
        <v>25</v>
      </c>
      <c r="AE707">
        <v>2</v>
      </c>
      <c r="AF707">
        <v>10</v>
      </c>
      <c r="AG707">
        <v>4</v>
      </c>
      <c r="AH707">
        <v>1</v>
      </c>
      <c r="AI707">
        <v>2</v>
      </c>
      <c r="AJ707">
        <v>5</v>
      </c>
      <c r="AK707">
        <v>1</v>
      </c>
      <c r="AL707">
        <v>7</v>
      </c>
      <c r="AM707">
        <v>1</v>
      </c>
      <c r="AN707">
        <v>3</v>
      </c>
      <c r="AO707">
        <v>14</v>
      </c>
      <c r="AP707">
        <v>2</v>
      </c>
      <c r="AQ707">
        <v>2</v>
      </c>
      <c r="AR707">
        <v>2</v>
      </c>
      <c r="AS707">
        <v>8</v>
      </c>
      <c r="AT707">
        <v>0</v>
      </c>
      <c r="AU707">
        <v>1</v>
      </c>
      <c r="AV707">
        <v>3</v>
      </c>
      <c r="AW707">
        <v>0</v>
      </c>
      <c r="AX707">
        <v>0</v>
      </c>
      <c r="AY707">
        <v>4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7</v>
      </c>
      <c r="BG707">
        <v>4</v>
      </c>
      <c r="BH707">
        <v>1</v>
      </c>
      <c r="BI707">
        <v>1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2</v>
      </c>
      <c r="BP707">
        <v>0</v>
      </c>
      <c r="BQ707">
        <v>3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0</v>
      </c>
      <c r="CC707">
        <v>0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1</v>
      </c>
      <c r="CQ707">
        <v>0</v>
      </c>
      <c r="CR707">
        <v>0</v>
      </c>
      <c r="CS707">
        <v>1</v>
      </c>
      <c r="CT707">
        <v>1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1</v>
      </c>
      <c r="DK707">
        <v>2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1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3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</row>
    <row r="708" spans="1:201" x14ac:dyDescent="0.3">
      <c r="A708" t="s">
        <v>415</v>
      </c>
      <c r="B708" t="s">
        <v>416</v>
      </c>
      <c r="C708" t="s">
        <v>203</v>
      </c>
      <c r="D708" s="1">
        <v>2323</v>
      </c>
      <c r="E708" s="1">
        <v>1014</v>
      </c>
      <c r="F708">
        <v>42</v>
      </c>
      <c r="G708">
        <v>84</v>
      </c>
      <c r="H708">
        <v>162</v>
      </c>
      <c r="I708">
        <v>48</v>
      </c>
      <c r="J708">
        <v>29</v>
      </c>
      <c r="K708">
        <v>190</v>
      </c>
      <c r="L708">
        <v>39</v>
      </c>
      <c r="M708">
        <v>33</v>
      </c>
      <c r="N708">
        <v>32</v>
      </c>
      <c r="O708">
        <v>24</v>
      </c>
      <c r="P708">
        <v>19</v>
      </c>
      <c r="Q708">
        <v>44</v>
      </c>
      <c r="R708">
        <v>21</v>
      </c>
      <c r="S708">
        <v>5</v>
      </c>
      <c r="T708">
        <v>264</v>
      </c>
      <c r="U708">
        <v>37</v>
      </c>
      <c r="V708">
        <v>10</v>
      </c>
      <c r="W708">
        <v>35</v>
      </c>
      <c r="X708">
        <v>37</v>
      </c>
      <c r="Y708">
        <v>7</v>
      </c>
      <c r="Z708">
        <v>59</v>
      </c>
      <c r="AA708">
        <v>6</v>
      </c>
      <c r="AB708">
        <v>0</v>
      </c>
      <c r="AC708">
        <v>3</v>
      </c>
      <c r="AD708">
        <v>9</v>
      </c>
      <c r="AE708">
        <v>2</v>
      </c>
      <c r="AF708">
        <v>8</v>
      </c>
      <c r="AG708">
        <v>3</v>
      </c>
      <c r="AH708">
        <v>1</v>
      </c>
      <c r="AI708">
        <v>2</v>
      </c>
      <c r="AJ708">
        <v>2</v>
      </c>
      <c r="AK708">
        <v>0</v>
      </c>
      <c r="AL708">
        <v>2</v>
      </c>
      <c r="AM708">
        <v>0</v>
      </c>
      <c r="AN708">
        <v>3</v>
      </c>
      <c r="AO708">
        <v>14</v>
      </c>
      <c r="AP708">
        <v>2</v>
      </c>
      <c r="AQ708">
        <v>1</v>
      </c>
      <c r="AR708">
        <v>0</v>
      </c>
      <c r="AS708">
        <v>5</v>
      </c>
      <c r="AT708">
        <v>0</v>
      </c>
      <c r="AU708">
        <v>0</v>
      </c>
      <c r="AV708">
        <v>2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5</v>
      </c>
      <c r="BG708">
        <v>2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1</v>
      </c>
      <c r="BO708">
        <v>2</v>
      </c>
      <c r="BP708">
        <v>0</v>
      </c>
      <c r="BQ708">
        <v>2</v>
      </c>
      <c r="BR708">
        <v>0</v>
      </c>
      <c r="BS708">
        <v>0</v>
      </c>
      <c r="BT708">
        <v>0</v>
      </c>
      <c r="BU708">
        <v>0</v>
      </c>
      <c r="BV708">
        <v>1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1</v>
      </c>
      <c r="CQ708">
        <v>0</v>
      </c>
      <c r="CR708">
        <v>0</v>
      </c>
      <c r="CS708">
        <v>1</v>
      </c>
      <c r="CT708">
        <v>1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1</v>
      </c>
      <c r="DK708">
        <v>1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1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</row>
    <row r="709" spans="1:201" x14ac:dyDescent="0.3">
      <c r="A709" t="s">
        <v>415</v>
      </c>
      <c r="B709" t="s">
        <v>416</v>
      </c>
      <c r="C709" t="s">
        <v>204</v>
      </c>
      <c r="D709" s="1">
        <v>1834</v>
      </c>
      <c r="E709">
        <v>913</v>
      </c>
      <c r="F709">
        <v>49</v>
      </c>
      <c r="G709">
        <v>147</v>
      </c>
      <c r="H709">
        <v>37</v>
      </c>
      <c r="I709">
        <v>24</v>
      </c>
      <c r="J709">
        <v>34</v>
      </c>
      <c r="K709">
        <v>28</v>
      </c>
      <c r="L709">
        <v>6</v>
      </c>
      <c r="M709">
        <v>61</v>
      </c>
      <c r="N709">
        <v>76</v>
      </c>
      <c r="O709">
        <v>36</v>
      </c>
      <c r="P709">
        <v>24</v>
      </c>
      <c r="Q709">
        <v>4</v>
      </c>
      <c r="R709">
        <v>4</v>
      </c>
      <c r="S709">
        <v>48</v>
      </c>
      <c r="T709">
        <v>178</v>
      </c>
      <c r="U709">
        <v>37</v>
      </c>
      <c r="V709">
        <v>2</v>
      </c>
      <c r="W709">
        <v>18</v>
      </c>
      <c r="X709">
        <v>16</v>
      </c>
      <c r="Y709">
        <v>7</v>
      </c>
      <c r="Z709">
        <v>33</v>
      </c>
      <c r="AA709">
        <v>0</v>
      </c>
      <c r="AB709">
        <v>1</v>
      </c>
      <c r="AC709">
        <v>0</v>
      </c>
      <c r="AD709">
        <v>16</v>
      </c>
      <c r="AE709">
        <v>0</v>
      </c>
      <c r="AF709">
        <v>2</v>
      </c>
      <c r="AG709">
        <v>1</v>
      </c>
      <c r="AH709">
        <v>0</v>
      </c>
      <c r="AI709">
        <v>0</v>
      </c>
      <c r="AJ709">
        <v>3</v>
      </c>
      <c r="AK709">
        <v>1</v>
      </c>
      <c r="AL709">
        <v>5</v>
      </c>
      <c r="AM709">
        <v>1</v>
      </c>
      <c r="AN709">
        <v>0</v>
      </c>
      <c r="AO709">
        <v>0</v>
      </c>
      <c r="AP709">
        <v>0</v>
      </c>
      <c r="AQ709">
        <v>1</v>
      </c>
      <c r="AR709">
        <v>2</v>
      </c>
      <c r="AS709">
        <v>3</v>
      </c>
      <c r="AT709">
        <v>0</v>
      </c>
      <c r="AU709">
        <v>1</v>
      </c>
      <c r="AV709">
        <v>1</v>
      </c>
      <c r="AW709">
        <v>0</v>
      </c>
      <c r="AX709">
        <v>0</v>
      </c>
      <c r="AY709">
        <v>3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2</v>
      </c>
      <c r="BG709">
        <v>2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1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1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1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1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2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</row>
    <row r="710" spans="1:201" x14ac:dyDescent="0.3">
      <c r="A710" t="s">
        <v>415</v>
      </c>
      <c r="B710" t="s">
        <v>251</v>
      </c>
      <c r="C710" t="s">
        <v>200</v>
      </c>
      <c r="D710" s="1">
        <v>2181</v>
      </c>
      <c r="E710">
        <v>298</v>
      </c>
      <c r="F710">
        <v>21</v>
      </c>
      <c r="G710">
        <v>15</v>
      </c>
      <c r="H710">
        <v>967</v>
      </c>
      <c r="I710">
        <v>48</v>
      </c>
      <c r="J710">
        <v>16</v>
      </c>
      <c r="K710">
        <v>137</v>
      </c>
      <c r="L710">
        <v>70</v>
      </c>
      <c r="M710">
        <v>13</v>
      </c>
      <c r="N710">
        <v>36</v>
      </c>
      <c r="O710">
        <v>14</v>
      </c>
      <c r="P710">
        <v>10</v>
      </c>
      <c r="Q710">
        <v>32</v>
      </c>
      <c r="R710">
        <v>253</v>
      </c>
      <c r="S710">
        <v>12</v>
      </c>
      <c r="T710">
        <v>5</v>
      </c>
      <c r="U710">
        <v>9</v>
      </c>
      <c r="V710">
        <v>43</v>
      </c>
      <c r="W710">
        <v>0</v>
      </c>
      <c r="X710">
        <v>20</v>
      </c>
      <c r="Y710">
        <v>2</v>
      </c>
      <c r="Z710">
        <v>1</v>
      </c>
      <c r="AA710">
        <v>1</v>
      </c>
      <c r="AB710">
        <v>2</v>
      </c>
      <c r="AC710">
        <v>0</v>
      </c>
      <c r="AD710">
        <v>7</v>
      </c>
      <c r="AE710">
        <v>2</v>
      </c>
      <c r="AF710">
        <v>2</v>
      </c>
      <c r="AG710">
        <v>0</v>
      </c>
      <c r="AH710">
        <v>1</v>
      </c>
      <c r="AI710">
        <v>0</v>
      </c>
      <c r="AJ710">
        <v>0</v>
      </c>
      <c r="AK710">
        <v>3</v>
      </c>
      <c r="AL710">
        <v>1</v>
      </c>
      <c r="AM710">
        <v>0</v>
      </c>
      <c r="AN710">
        <v>2</v>
      </c>
      <c r="AO710">
        <v>0</v>
      </c>
      <c r="AP710">
        <v>0</v>
      </c>
      <c r="AQ710">
        <v>0</v>
      </c>
      <c r="AR710">
        <v>0</v>
      </c>
      <c r="AS710">
        <v>1</v>
      </c>
      <c r="AT710">
        <v>0</v>
      </c>
      <c r="AU710">
        <v>1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1</v>
      </c>
      <c r="BB710">
        <v>0</v>
      </c>
      <c r="BC710">
        <v>0</v>
      </c>
      <c r="BD710">
        <v>0</v>
      </c>
      <c r="BE710">
        <v>2</v>
      </c>
      <c r="BF710">
        <v>20</v>
      </c>
      <c r="BG710">
        <v>0</v>
      </c>
      <c r="BH710">
        <v>0</v>
      </c>
      <c r="BI710">
        <v>0</v>
      </c>
      <c r="BJ710">
        <v>0</v>
      </c>
      <c r="BK710">
        <v>27</v>
      </c>
      <c r="BL710">
        <v>19</v>
      </c>
      <c r="BM710">
        <v>17</v>
      </c>
      <c r="BN710">
        <v>1</v>
      </c>
      <c r="BO710">
        <v>1</v>
      </c>
      <c r="BP710">
        <v>22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1</v>
      </c>
      <c r="BY710">
        <v>5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7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1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1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10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</row>
    <row r="711" spans="1:201" x14ac:dyDescent="0.3">
      <c r="A711" t="s">
        <v>415</v>
      </c>
      <c r="B711" t="s">
        <v>251</v>
      </c>
      <c r="C711" t="s">
        <v>203</v>
      </c>
      <c r="D711" s="1">
        <v>1581</v>
      </c>
      <c r="E711">
        <v>240</v>
      </c>
      <c r="F711">
        <v>7</v>
      </c>
      <c r="G711">
        <v>7</v>
      </c>
      <c r="H711">
        <v>630</v>
      </c>
      <c r="I711">
        <v>36</v>
      </c>
      <c r="J711">
        <v>12</v>
      </c>
      <c r="K711">
        <v>135</v>
      </c>
      <c r="L711">
        <v>70</v>
      </c>
      <c r="M711">
        <v>3</v>
      </c>
      <c r="N711">
        <v>30</v>
      </c>
      <c r="O711">
        <v>6</v>
      </c>
      <c r="P711">
        <v>6</v>
      </c>
      <c r="Q711">
        <v>31</v>
      </c>
      <c r="R711">
        <v>231</v>
      </c>
      <c r="S711">
        <v>1</v>
      </c>
      <c r="T711">
        <v>3</v>
      </c>
      <c r="U711">
        <v>5</v>
      </c>
      <c r="V711">
        <v>33</v>
      </c>
      <c r="W711">
        <v>0</v>
      </c>
      <c r="X711">
        <v>18</v>
      </c>
      <c r="Y711">
        <v>1</v>
      </c>
      <c r="Z711">
        <v>0</v>
      </c>
      <c r="AA711">
        <v>1</v>
      </c>
      <c r="AB711">
        <v>0</v>
      </c>
      <c r="AC711">
        <v>0</v>
      </c>
      <c r="AD711">
        <v>1</v>
      </c>
      <c r="AE711">
        <v>2</v>
      </c>
      <c r="AF711">
        <v>2</v>
      </c>
      <c r="AG711">
        <v>0</v>
      </c>
      <c r="AH711">
        <v>1</v>
      </c>
      <c r="AI711">
        <v>0</v>
      </c>
      <c r="AJ711">
        <v>0</v>
      </c>
      <c r="AK711">
        <v>2</v>
      </c>
      <c r="AL711">
        <v>0</v>
      </c>
      <c r="AM711">
        <v>0</v>
      </c>
      <c r="AN711">
        <v>2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1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</v>
      </c>
      <c r="BC711">
        <v>0</v>
      </c>
      <c r="BD711">
        <v>0</v>
      </c>
      <c r="BE711">
        <v>1</v>
      </c>
      <c r="BF711">
        <v>10</v>
      </c>
      <c r="BG711">
        <v>0</v>
      </c>
      <c r="BH711">
        <v>0</v>
      </c>
      <c r="BI711">
        <v>0</v>
      </c>
      <c r="BJ711">
        <v>0</v>
      </c>
      <c r="BK711">
        <v>16</v>
      </c>
      <c r="BL711">
        <v>8</v>
      </c>
      <c r="BM711">
        <v>5</v>
      </c>
      <c r="BN711">
        <v>1</v>
      </c>
      <c r="BO711">
        <v>0</v>
      </c>
      <c r="BP711">
        <v>11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2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1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5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</row>
    <row r="712" spans="1:201" x14ac:dyDescent="0.3">
      <c r="A712" t="s">
        <v>415</v>
      </c>
      <c r="B712" t="s">
        <v>251</v>
      </c>
      <c r="C712" t="s">
        <v>204</v>
      </c>
      <c r="D712">
        <v>600</v>
      </c>
      <c r="E712">
        <v>58</v>
      </c>
      <c r="F712">
        <v>14</v>
      </c>
      <c r="G712">
        <v>8</v>
      </c>
      <c r="H712">
        <v>337</v>
      </c>
      <c r="I712">
        <v>12</v>
      </c>
      <c r="J712">
        <v>4</v>
      </c>
      <c r="K712">
        <v>2</v>
      </c>
      <c r="L712">
        <v>0</v>
      </c>
      <c r="M712">
        <v>10</v>
      </c>
      <c r="N712">
        <v>6</v>
      </c>
      <c r="O712">
        <v>8</v>
      </c>
      <c r="P712">
        <v>4</v>
      </c>
      <c r="Q712">
        <v>1</v>
      </c>
      <c r="R712">
        <v>22</v>
      </c>
      <c r="S712">
        <v>11</v>
      </c>
      <c r="T712">
        <v>2</v>
      </c>
      <c r="U712">
        <v>4</v>
      </c>
      <c r="V712">
        <v>10</v>
      </c>
      <c r="W712">
        <v>0</v>
      </c>
      <c r="X712">
        <v>2</v>
      </c>
      <c r="Y712">
        <v>1</v>
      </c>
      <c r="Z712">
        <v>1</v>
      </c>
      <c r="AA712">
        <v>0</v>
      </c>
      <c r="AB712">
        <v>2</v>
      </c>
      <c r="AC712">
        <v>0</v>
      </c>
      <c r="AD712">
        <v>6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10</v>
      </c>
      <c r="BG712">
        <v>0</v>
      </c>
      <c r="BH712">
        <v>0</v>
      </c>
      <c r="BI712">
        <v>0</v>
      </c>
      <c r="BJ712">
        <v>0</v>
      </c>
      <c r="BK712">
        <v>11</v>
      </c>
      <c r="BL712">
        <v>11</v>
      </c>
      <c r="BM712">
        <v>12</v>
      </c>
      <c r="BN712">
        <v>0</v>
      </c>
      <c r="BO712">
        <v>1</v>
      </c>
      <c r="BP712">
        <v>11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1</v>
      </c>
      <c r="BY712">
        <v>4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5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1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5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</row>
    <row r="713" spans="1:201" x14ac:dyDescent="0.3">
      <c r="A713" t="s">
        <v>415</v>
      </c>
      <c r="B713" t="s">
        <v>417</v>
      </c>
      <c r="C713" t="s">
        <v>200</v>
      </c>
      <c r="D713">
        <v>973</v>
      </c>
      <c r="E713">
        <v>250</v>
      </c>
      <c r="F713">
        <v>51</v>
      </c>
      <c r="G713">
        <v>90</v>
      </c>
      <c r="H713">
        <v>8</v>
      </c>
      <c r="I713">
        <v>15</v>
      </c>
      <c r="J713">
        <v>32</v>
      </c>
      <c r="K713">
        <v>189</v>
      </c>
      <c r="L713">
        <v>28</v>
      </c>
      <c r="M713">
        <v>34</v>
      </c>
      <c r="N713">
        <v>37</v>
      </c>
      <c r="O713">
        <v>29</v>
      </c>
      <c r="P713">
        <v>14</v>
      </c>
      <c r="Q713">
        <v>24</v>
      </c>
      <c r="R713">
        <v>0</v>
      </c>
      <c r="S713">
        <v>16</v>
      </c>
      <c r="T713">
        <v>72</v>
      </c>
      <c r="U713">
        <v>10</v>
      </c>
      <c r="V713">
        <v>7</v>
      </c>
      <c r="W713">
        <v>18</v>
      </c>
      <c r="X713">
        <v>0</v>
      </c>
      <c r="Y713">
        <v>8</v>
      </c>
      <c r="Z713">
        <v>5</v>
      </c>
      <c r="AA713">
        <v>0</v>
      </c>
      <c r="AB713">
        <v>2</v>
      </c>
      <c r="AC713">
        <v>5</v>
      </c>
      <c r="AD713">
        <v>14</v>
      </c>
      <c r="AE713">
        <v>0</v>
      </c>
      <c r="AF713">
        <v>2</v>
      </c>
      <c r="AG713">
        <v>1</v>
      </c>
      <c r="AH713">
        <v>1</v>
      </c>
      <c r="AI713">
        <v>0</v>
      </c>
      <c r="AJ713">
        <v>2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1</v>
      </c>
      <c r="AR713">
        <v>0</v>
      </c>
      <c r="AS713">
        <v>1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2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1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1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</row>
    <row r="714" spans="1:201" x14ac:dyDescent="0.3">
      <c r="A714" t="s">
        <v>415</v>
      </c>
      <c r="B714" t="s">
        <v>417</v>
      </c>
      <c r="C714" t="s">
        <v>203</v>
      </c>
      <c r="D714">
        <v>586</v>
      </c>
      <c r="E714">
        <v>142</v>
      </c>
      <c r="F714">
        <v>18</v>
      </c>
      <c r="G714">
        <v>41</v>
      </c>
      <c r="H714">
        <v>6</v>
      </c>
      <c r="I714">
        <v>13</v>
      </c>
      <c r="J714">
        <v>21</v>
      </c>
      <c r="K714">
        <v>188</v>
      </c>
      <c r="L714">
        <v>28</v>
      </c>
      <c r="M714">
        <v>5</v>
      </c>
      <c r="N714">
        <v>13</v>
      </c>
      <c r="O714">
        <v>7</v>
      </c>
      <c r="P714">
        <v>4</v>
      </c>
      <c r="Q714">
        <v>24</v>
      </c>
      <c r="R714">
        <v>0</v>
      </c>
      <c r="S714">
        <v>1</v>
      </c>
      <c r="T714">
        <v>33</v>
      </c>
      <c r="U714">
        <v>7</v>
      </c>
      <c r="V714">
        <v>6</v>
      </c>
      <c r="W714">
        <v>10</v>
      </c>
      <c r="X714">
        <v>0</v>
      </c>
      <c r="Y714">
        <v>3</v>
      </c>
      <c r="Z714">
        <v>4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1</v>
      </c>
      <c r="AG714">
        <v>0</v>
      </c>
      <c r="AH714">
        <v>1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</row>
    <row r="715" spans="1:201" x14ac:dyDescent="0.3">
      <c r="A715" t="s">
        <v>415</v>
      </c>
      <c r="B715" t="s">
        <v>417</v>
      </c>
      <c r="C715" t="s">
        <v>204</v>
      </c>
      <c r="D715">
        <v>387</v>
      </c>
      <c r="E715">
        <v>108</v>
      </c>
      <c r="F715">
        <v>33</v>
      </c>
      <c r="G715">
        <v>49</v>
      </c>
      <c r="H715">
        <v>2</v>
      </c>
      <c r="I715">
        <v>2</v>
      </c>
      <c r="J715">
        <v>11</v>
      </c>
      <c r="K715">
        <v>1</v>
      </c>
      <c r="L715">
        <v>0</v>
      </c>
      <c r="M715">
        <v>29</v>
      </c>
      <c r="N715">
        <v>24</v>
      </c>
      <c r="O715">
        <v>22</v>
      </c>
      <c r="P715">
        <v>10</v>
      </c>
      <c r="Q715">
        <v>0</v>
      </c>
      <c r="R715">
        <v>0</v>
      </c>
      <c r="S715">
        <v>15</v>
      </c>
      <c r="T715">
        <v>39</v>
      </c>
      <c r="U715">
        <v>3</v>
      </c>
      <c r="V715">
        <v>1</v>
      </c>
      <c r="W715">
        <v>8</v>
      </c>
      <c r="X715">
        <v>0</v>
      </c>
      <c r="Y715">
        <v>5</v>
      </c>
      <c r="Z715">
        <v>1</v>
      </c>
      <c r="AA715">
        <v>0</v>
      </c>
      <c r="AB715">
        <v>2</v>
      </c>
      <c r="AC715">
        <v>3</v>
      </c>
      <c r="AD715">
        <v>10</v>
      </c>
      <c r="AE715">
        <v>0</v>
      </c>
      <c r="AF715">
        <v>1</v>
      </c>
      <c r="AG715">
        <v>1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1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1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1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</row>
    <row r="716" spans="1:201" x14ac:dyDescent="0.3">
      <c r="A716" t="s">
        <v>415</v>
      </c>
      <c r="B716" t="s">
        <v>418</v>
      </c>
      <c r="C716" t="s">
        <v>200</v>
      </c>
      <c r="D716" s="1">
        <v>1298</v>
      </c>
      <c r="E716">
        <v>332</v>
      </c>
      <c r="F716">
        <v>28</v>
      </c>
      <c r="G716">
        <v>534</v>
      </c>
      <c r="H716">
        <v>43</v>
      </c>
      <c r="I716">
        <v>55</v>
      </c>
      <c r="J716">
        <v>16</v>
      </c>
      <c r="K716">
        <v>100</v>
      </c>
      <c r="L716">
        <v>24</v>
      </c>
      <c r="M716">
        <v>59</v>
      </c>
      <c r="N716">
        <v>11</v>
      </c>
      <c r="O716">
        <v>9</v>
      </c>
      <c r="P716">
        <v>7</v>
      </c>
      <c r="Q716">
        <v>5</v>
      </c>
      <c r="R716">
        <v>0</v>
      </c>
      <c r="S716">
        <v>25</v>
      </c>
      <c r="T716">
        <v>6</v>
      </c>
      <c r="U716">
        <v>4</v>
      </c>
      <c r="V716">
        <v>0</v>
      </c>
      <c r="W716">
        <v>9</v>
      </c>
      <c r="X716">
        <v>3</v>
      </c>
      <c r="Y716">
        <v>6</v>
      </c>
      <c r="Z716">
        <v>0</v>
      </c>
      <c r="AA716">
        <v>0</v>
      </c>
      <c r="AB716">
        <v>0</v>
      </c>
      <c r="AC716">
        <v>3</v>
      </c>
      <c r="AD716">
        <v>9</v>
      </c>
      <c r="AE716">
        <v>1</v>
      </c>
      <c r="AF716">
        <v>1</v>
      </c>
      <c r="AG716">
        <v>0</v>
      </c>
      <c r="AH716">
        <v>1</v>
      </c>
      <c r="AI716">
        <v>1</v>
      </c>
      <c r="AJ716">
        <v>0</v>
      </c>
      <c r="AK716">
        <v>2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1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1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</row>
    <row r="717" spans="1:201" x14ac:dyDescent="0.3">
      <c r="A717" t="s">
        <v>415</v>
      </c>
      <c r="B717" t="s">
        <v>418</v>
      </c>
      <c r="C717" t="s">
        <v>203</v>
      </c>
      <c r="D717">
        <v>763</v>
      </c>
      <c r="E717">
        <v>241</v>
      </c>
      <c r="F717">
        <v>12</v>
      </c>
      <c r="G717">
        <v>250</v>
      </c>
      <c r="H717">
        <v>37</v>
      </c>
      <c r="I717">
        <v>45</v>
      </c>
      <c r="J717">
        <v>6</v>
      </c>
      <c r="K717">
        <v>95</v>
      </c>
      <c r="L717">
        <v>23</v>
      </c>
      <c r="M717">
        <v>18</v>
      </c>
      <c r="N717">
        <v>2</v>
      </c>
      <c r="O717">
        <v>5</v>
      </c>
      <c r="P717">
        <v>3</v>
      </c>
      <c r="Q717">
        <v>5</v>
      </c>
      <c r="R717">
        <v>0</v>
      </c>
      <c r="S717">
        <v>1</v>
      </c>
      <c r="T717">
        <v>4</v>
      </c>
      <c r="U717">
        <v>2</v>
      </c>
      <c r="V717">
        <v>0</v>
      </c>
      <c r="W717">
        <v>3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1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2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</row>
    <row r="718" spans="1:201" x14ac:dyDescent="0.3">
      <c r="A718" t="s">
        <v>415</v>
      </c>
      <c r="B718" t="s">
        <v>418</v>
      </c>
      <c r="C718" t="s">
        <v>204</v>
      </c>
      <c r="D718">
        <v>535</v>
      </c>
      <c r="E718">
        <v>91</v>
      </c>
      <c r="F718">
        <v>16</v>
      </c>
      <c r="G718">
        <v>284</v>
      </c>
      <c r="H718">
        <v>6</v>
      </c>
      <c r="I718">
        <v>10</v>
      </c>
      <c r="J718">
        <v>10</v>
      </c>
      <c r="K718">
        <v>5</v>
      </c>
      <c r="L718">
        <v>1</v>
      </c>
      <c r="M718">
        <v>41</v>
      </c>
      <c r="N718">
        <v>9</v>
      </c>
      <c r="O718">
        <v>4</v>
      </c>
      <c r="P718">
        <v>4</v>
      </c>
      <c r="Q718">
        <v>0</v>
      </c>
      <c r="R718">
        <v>0</v>
      </c>
      <c r="S718">
        <v>24</v>
      </c>
      <c r="T718">
        <v>2</v>
      </c>
      <c r="U718">
        <v>2</v>
      </c>
      <c r="V718">
        <v>0</v>
      </c>
      <c r="W718">
        <v>6</v>
      </c>
      <c r="X718">
        <v>2</v>
      </c>
      <c r="Y718">
        <v>5</v>
      </c>
      <c r="Z718">
        <v>0</v>
      </c>
      <c r="AA718">
        <v>0</v>
      </c>
      <c r="AB718">
        <v>0</v>
      </c>
      <c r="AC718">
        <v>2</v>
      </c>
      <c r="AD718">
        <v>8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</row>
    <row r="719" spans="1:201" x14ac:dyDescent="0.3">
      <c r="A719" t="s">
        <v>415</v>
      </c>
      <c r="B719" t="s">
        <v>419</v>
      </c>
      <c r="C719" t="s">
        <v>200</v>
      </c>
      <c r="D719" s="1">
        <v>1873</v>
      </c>
      <c r="E719">
        <v>390</v>
      </c>
      <c r="F719">
        <v>81</v>
      </c>
      <c r="G719">
        <v>88</v>
      </c>
      <c r="H719">
        <v>279</v>
      </c>
      <c r="I719">
        <v>35</v>
      </c>
      <c r="J719">
        <v>58</v>
      </c>
      <c r="K719">
        <v>257</v>
      </c>
      <c r="L719">
        <v>9</v>
      </c>
      <c r="M719">
        <v>81</v>
      </c>
      <c r="N719">
        <v>94</v>
      </c>
      <c r="O719">
        <v>30</v>
      </c>
      <c r="P719">
        <v>21</v>
      </c>
      <c r="Q719">
        <v>12</v>
      </c>
      <c r="R719">
        <v>85</v>
      </c>
      <c r="S719">
        <v>37</v>
      </c>
      <c r="T719">
        <v>74</v>
      </c>
      <c r="U719">
        <v>18</v>
      </c>
      <c r="V719">
        <v>43</v>
      </c>
      <c r="W719">
        <v>33</v>
      </c>
      <c r="X719">
        <v>4</v>
      </c>
      <c r="Y719">
        <v>7</v>
      </c>
      <c r="Z719">
        <v>1</v>
      </c>
      <c r="AA719">
        <v>1</v>
      </c>
      <c r="AB719">
        <v>4</v>
      </c>
      <c r="AC719">
        <v>2</v>
      </c>
      <c r="AD719">
        <v>9</v>
      </c>
      <c r="AE719">
        <v>2</v>
      </c>
      <c r="AF719">
        <v>6</v>
      </c>
      <c r="AG719">
        <v>1</v>
      </c>
      <c r="AH719">
        <v>3</v>
      </c>
      <c r="AI719">
        <v>1</v>
      </c>
      <c r="AJ719">
        <v>0</v>
      </c>
      <c r="AK719">
        <v>9</v>
      </c>
      <c r="AL719">
        <v>2</v>
      </c>
      <c r="AM719">
        <v>0</v>
      </c>
      <c r="AN719">
        <v>1</v>
      </c>
      <c r="AO719">
        <v>24</v>
      </c>
      <c r="AP719">
        <v>1</v>
      </c>
      <c r="AQ719">
        <v>2</v>
      </c>
      <c r="AR719">
        <v>0</v>
      </c>
      <c r="AS719">
        <v>2</v>
      </c>
      <c r="AT719">
        <v>0</v>
      </c>
      <c r="AU719">
        <v>0</v>
      </c>
      <c r="AV719">
        <v>0</v>
      </c>
      <c r="AW719">
        <v>0</v>
      </c>
      <c r="AX719">
        <v>8</v>
      </c>
      <c r="AY719">
        <v>1</v>
      </c>
      <c r="AZ719">
        <v>0</v>
      </c>
      <c r="BA719">
        <v>2</v>
      </c>
      <c r="BB719">
        <v>0</v>
      </c>
      <c r="BC719">
        <v>1</v>
      </c>
      <c r="BD719">
        <v>0</v>
      </c>
      <c r="BE719">
        <v>3</v>
      </c>
      <c r="BF719">
        <v>13</v>
      </c>
      <c r="BG719">
        <v>2</v>
      </c>
      <c r="BH719">
        <v>1</v>
      </c>
      <c r="BI719">
        <v>1</v>
      </c>
      <c r="BJ719">
        <v>0</v>
      </c>
      <c r="BK719">
        <v>8</v>
      </c>
      <c r="BL719">
        <v>7</v>
      </c>
      <c r="BM719">
        <v>2</v>
      </c>
      <c r="BN719">
        <v>3</v>
      </c>
      <c r="BO719">
        <v>0</v>
      </c>
      <c r="BP719">
        <v>1</v>
      </c>
      <c r="BQ719">
        <v>0</v>
      </c>
      <c r="BR719">
        <v>0</v>
      </c>
      <c r="BS719">
        <v>2</v>
      </c>
      <c r="BT719">
        <v>1</v>
      </c>
      <c r="BU719">
        <v>1</v>
      </c>
      <c r="BV719">
        <v>0</v>
      </c>
      <c r="BW719">
        <v>0</v>
      </c>
      <c r="BX719">
        <v>1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1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1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6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</row>
    <row r="720" spans="1:201" x14ac:dyDescent="0.3">
      <c r="A720" t="s">
        <v>415</v>
      </c>
      <c r="B720" t="s">
        <v>419</v>
      </c>
      <c r="C720" t="s">
        <v>203</v>
      </c>
      <c r="D720" s="1">
        <v>1247</v>
      </c>
      <c r="E720">
        <v>262</v>
      </c>
      <c r="F720">
        <v>44</v>
      </c>
      <c r="G720">
        <v>52</v>
      </c>
      <c r="H720">
        <v>172</v>
      </c>
      <c r="I720">
        <v>23</v>
      </c>
      <c r="J720">
        <v>35</v>
      </c>
      <c r="K720">
        <v>243</v>
      </c>
      <c r="L720">
        <v>9</v>
      </c>
      <c r="M720">
        <v>45</v>
      </c>
      <c r="N720">
        <v>44</v>
      </c>
      <c r="O720">
        <v>9</v>
      </c>
      <c r="P720">
        <v>11</v>
      </c>
      <c r="Q720">
        <v>9</v>
      </c>
      <c r="R720">
        <v>72</v>
      </c>
      <c r="S720">
        <v>3</v>
      </c>
      <c r="T720">
        <v>54</v>
      </c>
      <c r="U720">
        <v>11</v>
      </c>
      <c r="V720">
        <v>36</v>
      </c>
      <c r="W720">
        <v>13</v>
      </c>
      <c r="X720">
        <v>3</v>
      </c>
      <c r="Y720">
        <v>7</v>
      </c>
      <c r="Z720">
        <v>1</v>
      </c>
      <c r="AA720">
        <v>0</v>
      </c>
      <c r="AB720">
        <v>3</v>
      </c>
      <c r="AC720">
        <v>1</v>
      </c>
      <c r="AD720">
        <v>3</v>
      </c>
      <c r="AE720">
        <v>2</v>
      </c>
      <c r="AF720">
        <v>4</v>
      </c>
      <c r="AG720">
        <v>1</v>
      </c>
      <c r="AH720">
        <v>2</v>
      </c>
      <c r="AI720">
        <v>0</v>
      </c>
      <c r="AJ720">
        <v>0</v>
      </c>
      <c r="AK720">
        <v>6</v>
      </c>
      <c r="AL720">
        <v>0</v>
      </c>
      <c r="AM720">
        <v>0</v>
      </c>
      <c r="AN720">
        <v>1</v>
      </c>
      <c r="AO720">
        <v>24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5</v>
      </c>
      <c r="AY720">
        <v>1</v>
      </c>
      <c r="AZ720">
        <v>0</v>
      </c>
      <c r="BA720">
        <v>1</v>
      </c>
      <c r="BB720">
        <v>0</v>
      </c>
      <c r="BC720">
        <v>1</v>
      </c>
      <c r="BD720">
        <v>0</v>
      </c>
      <c r="BE720">
        <v>2</v>
      </c>
      <c r="BF720">
        <v>8</v>
      </c>
      <c r="BG720">
        <v>2</v>
      </c>
      <c r="BH720">
        <v>1</v>
      </c>
      <c r="BI720">
        <v>1</v>
      </c>
      <c r="BJ720">
        <v>0</v>
      </c>
      <c r="BK720">
        <v>5</v>
      </c>
      <c r="BL720">
        <v>6</v>
      </c>
      <c r="BM720">
        <v>1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</v>
      </c>
      <c r="BU720">
        <v>1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3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</row>
    <row r="721" spans="1:201" x14ac:dyDescent="0.3">
      <c r="A721" t="s">
        <v>415</v>
      </c>
      <c r="B721" t="s">
        <v>419</v>
      </c>
      <c r="C721" t="s">
        <v>204</v>
      </c>
      <c r="D721">
        <v>626</v>
      </c>
      <c r="E721">
        <v>128</v>
      </c>
      <c r="F721">
        <v>37</v>
      </c>
      <c r="G721">
        <v>36</v>
      </c>
      <c r="H721">
        <v>107</v>
      </c>
      <c r="I721">
        <v>12</v>
      </c>
      <c r="J721">
        <v>23</v>
      </c>
      <c r="K721">
        <v>14</v>
      </c>
      <c r="L721">
        <v>0</v>
      </c>
      <c r="M721">
        <v>36</v>
      </c>
      <c r="N721">
        <v>50</v>
      </c>
      <c r="O721">
        <v>21</v>
      </c>
      <c r="P721">
        <v>10</v>
      </c>
      <c r="Q721">
        <v>3</v>
      </c>
      <c r="R721">
        <v>13</v>
      </c>
      <c r="S721">
        <v>34</v>
      </c>
      <c r="T721">
        <v>20</v>
      </c>
      <c r="U721">
        <v>7</v>
      </c>
      <c r="V721">
        <v>7</v>
      </c>
      <c r="W721">
        <v>20</v>
      </c>
      <c r="X721">
        <v>1</v>
      </c>
      <c r="Y721">
        <v>0</v>
      </c>
      <c r="Z721">
        <v>0</v>
      </c>
      <c r="AA721">
        <v>1</v>
      </c>
      <c r="AB721">
        <v>1</v>
      </c>
      <c r="AC721">
        <v>1</v>
      </c>
      <c r="AD721">
        <v>6</v>
      </c>
      <c r="AE721">
        <v>0</v>
      </c>
      <c r="AF721">
        <v>2</v>
      </c>
      <c r="AG721">
        <v>0</v>
      </c>
      <c r="AH721">
        <v>1</v>
      </c>
      <c r="AI721">
        <v>1</v>
      </c>
      <c r="AJ721">
        <v>0</v>
      </c>
      <c r="AK721">
        <v>3</v>
      </c>
      <c r="AL721">
        <v>2</v>
      </c>
      <c r="AM721">
        <v>0</v>
      </c>
      <c r="AN721">
        <v>0</v>
      </c>
      <c r="AO721">
        <v>0</v>
      </c>
      <c r="AP721">
        <v>0</v>
      </c>
      <c r="AQ721">
        <v>2</v>
      </c>
      <c r="AR721">
        <v>0</v>
      </c>
      <c r="AS721">
        <v>2</v>
      </c>
      <c r="AT721">
        <v>0</v>
      </c>
      <c r="AU721">
        <v>0</v>
      </c>
      <c r="AV721">
        <v>0</v>
      </c>
      <c r="AW721">
        <v>0</v>
      </c>
      <c r="AX721">
        <v>3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0</v>
      </c>
      <c r="BE721">
        <v>1</v>
      </c>
      <c r="BF721">
        <v>5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1</v>
      </c>
      <c r="BM721">
        <v>1</v>
      </c>
      <c r="BN721">
        <v>1</v>
      </c>
      <c r="BO721">
        <v>0</v>
      </c>
      <c r="BP721">
        <v>1</v>
      </c>
      <c r="BQ721">
        <v>0</v>
      </c>
      <c r="BR721">
        <v>0</v>
      </c>
      <c r="BS721">
        <v>2</v>
      </c>
      <c r="BT721">
        <v>0</v>
      </c>
      <c r="BU721">
        <v>0</v>
      </c>
      <c r="BV721">
        <v>0</v>
      </c>
      <c r="BW721">
        <v>0</v>
      </c>
      <c r="BX721">
        <v>1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1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3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</row>
    <row r="722" spans="1:201" x14ac:dyDescent="0.3">
      <c r="A722" t="s">
        <v>415</v>
      </c>
      <c r="B722" t="s">
        <v>420</v>
      </c>
      <c r="C722" t="s">
        <v>200</v>
      </c>
      <c r="D722">
        <v>526</v>
      </c>
      <c r="E722">
        <v>48</v>
      </c>
      <c r="F722">
        <v>13</v>
      </c>
      <c r="G722">
        <v>16</v>
      </c>
      <c r="H722">
        <v>47</v>
      </c>
      <c r="I722">
        <v>60</v>
      </c>
      <c r="J722">
        <v>111</v>
      </c>
      <c r="K722">
        <v>9</v>
      </c>
      <c r="L722">
        <v>18</v>
      </c>
      <c r="M722">
        <v>104</v>
      </c>
      <c r="N722">
        <v>41</v>
      </c>
      <c r="O722">
        <v>3</v>
      </c>
      <c r="P722">
        <v>7</v>
      </c>
      <c r="Q722">
        <v>0</v>
      </c>
      <c r="R722">
        <v>0</v>
      </c>
      <c r="S722">
        <v>28</v>
      </c>
      <c r="T722">
        <v>10</v>
      </c>
      <c r="U722">
        <v>1</v>
      </c>
      <c r="V722">
        <v>0</v>
      </c>
      <c r="W722">
        <v>0</v>
      </c>
      <c r="X722">
        <v>0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4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3</v>
      </c>
      <c r="AP722">
        <v>0</v>
      </c>
      <c r="AQ722">
        <v>0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</row>
    <row r="723" spans="1:201" x14ac:dyDescent="0.3">
      <c r="A723" t="s">
        <v>415</v>
      </c>
      <c r="B723" t="s">
        <v>420</v>
      </c>
      <c r="C723" t="s">
        <v>203</v>
      </c>
      <c r="D723">
        <v>342</v>
      </c>
      <c r="E723">
        <v>19</v>
      </c>
      <c r="F723">
        <v>9</v>
      </c>
      <c r="G723">
        <v>0</v>
      </c>
      <c r="H723">
        <v>36</v>
      </c>
      <c r="I723">
        <v>59</v>
      </c>
      <c r="J723">
        <v>80</v>
      </c>
      <c r="K723">
        <v>4</v>
      </c>
      <c r="L723">
        <v>18</v>
      </c>
      <c r="M723">
        <v>89</v>
      </c>
      <c r="N723">
        <v>12</v>
      </c>
      <c r="O723">
        <v>2</v>
      </c>
      <c r="P723">
        <v>1</v>
      </c>
      <c r="Q723">
        <v>0</v>
      </c>
      <c r="R723">
        <v>0</v>
      </c>
      <c r="S723">
        <v>0</v>
      </c>
      <c r="T723">
        <v>8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3</v>
      </c>
      <c r="AP723">
        <v>0</v>
      </c>
      <c r="AQ723">
        <v>0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</row>
    <row r="724" spans="1:201" x14ac:dyDescent="0.3">
      <c r="A724" t="s">
        <v>415</v>
      </c>
      <c r="B724" t="s">
        <v>420</v>
      </c>
      <c r="C724" t="s">
        <v>204</v>
      </c>
      <c r="D724">
        <v>184</v>
      </c>
      <c r="E724">
        <v>29</v>
      </c>
      <c r="F724">
        <v>4</v>
      </c>
      <c r="G724">
        <v>16</v>
      </c>
      <c r="H724">
        <v>11</v>
      </c>
      <c r="I724">
        <v>1</v>
      </c>
      <c r="J724">
        <v>31</v>
      </c>
      <c r="K724">
        <v>5</v>
      </c>
      <c r="L724">
        <v>0</v>
      </c>
      <c r="M724">
        <v>15</v>
      </c>
      <c r="N724">
        <v>29</v>
      </c>
      <c r="O724">
        <v>1</v>
      </c>
      <c r="P724">
        <v>6</v>
      </c>
      <c r="Q724">
        <v>0</v>
      </c>
      <c r="R724">
        <v>0</v>
      </c>
      <c r="S724">
        <v>28</v>
      </c>
      <c r="T724">
        <v>2</v>
      </c>
      <c r="U724">
        <v>0</v>
      </c>
      <c r="V724">
        <v>0</v>
      </c>
      <c r="W724">
        <v>0</v>
      </c>
      <c r="X724">
        <v>0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4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</row>
    <row r="725" spans="1:201" x14ac:dyDescent="0.3">
      <c r="A725" t="s">
        <v>415</v>
      </c>
      <c r="B725" t="s">
        <v>421</v>
      </c>
      <c r="C725" t="s">
        <v>200</v>
      </c>
      <c r="D725">
        <v>523</v>
      </c>
      <c r="E725">
        <v>134</v>
      </c>
      <c r="F725">
        <v>30</v>
      </c>
      <c r="G725">
        <v>28</v>
      </c>
      <c r="H725">
        <v>52</v>
      </c>
      <c r="I725">
        <v>15</v>
      </c>
      <c r="J725">
        <v>48</v>
      </c>
      <c r="K725">
        <v>26</v>
      </c>
      <c r="L725">
        <v>33</v>
      </c>
      <c r="M725">
        <v>25</v>
      </c>
      <c r="N725">
        <v>40</v>
      </c>
      <c r="O725">
        <v>1</v>
      </c>
      <c r="P725">
        <v>7</v>
      </c>
      <c r="Q725">
        <v>22</v>
      </c>
      <c r="R725">
        <v>8</v>
      </c>
      <c r="S725">
        <v>21</v>
      </c>
      <c r="T725">
        <v>6</v>
      </c>
      <c r="U725">
        <v>3</v>
      </c>
      <c r="V725">
        <v>1</v>
      </c>
      <c r="W725">
        <v>1</v>
      </c>
      <c r="X725">
        <v>0</v>
      </c>
      <c r="Y725">
        <v>2</v>
      </c>
      <c r="Z725">
        <v>0</v>
      </c>
      <c r="AA725">
        <v>1</v>
      </c>
      <c r="AB725">
        <v>0</v>
      </c>
      <c r="AC725">
        <v>3</v>
      </c>
      <c r="AD725">
        <v>5</v>
      </c>
      <c r="AE725">
        <v>1</v>
      </c>
      <c r="AF725">
        <v>1</v>
      </c>
      <c r="AG725">
        <v>0</v>
      </c>
      <c r="AH725">
        <v>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3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1</v>
      </c>
      <c r="BQ725">
        <v>0</v>
      </c>
      <c r="BR725">
        <v>0</v>
      </c>
      <c r="BS725">
        <v>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</row>
    <row r="726" spans="1:201" x14ac:dyDescent="0.3">
      <c r="A726" t="s">
        <v>415</v>
      </c>
      <c r="B726" t="s">
        <v>421</v>
      </c>
      <c r="C726" t="s">
        <v>203</v>
      </c>
      <c r="D726">
        <v>363</v>
      </c>
      <c r="E726">
        <v>104</v>
      </c>
      <c r="F726">
        <v>14</v>
      </c>
      <c r="G726">
        <v>12</v>
      </c>
      <c r="H726">
        <v>37</v>
      </c>
      <c r="I726">
        <v>12</v>
      </c>
      <c r="J726">
        <v>34</v>
      </c>
      <c r="K726">
        <v>26</v>
      </c>
      <c r="L726">
        <v>32</v>
      </c>
      <c r="M726">
        <v>9</v>
      </c>
      <c r="N726">
        <v>36</v>
      </c>
      <c r="O726">
        <v>1</v>
      </c>
      <c r="P726">
        <v>3</v>
      </c>
      <c r="Q726">
        <v>22</v>
      </c>
      <c r="R726">
        <v>7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2</v>
      </c>
      <c r="AE726">
        <v>1</v>
      </c>
      <c r="AF726">
        <v>1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3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</row>
    <row r="727" spans="1:201" x14ac:dyDescent="0.3">
      <c r="A727" t="s">
        <v>415</v>
      </c>
      <c r="B727" t="s">
        <v>421</v>
      </c>
      <c r="C727" t="s">
        <v>204</v>
      </c>
      <c r="D727">
        <v>160</v>
      </c>
      <c r="E727">
        <v>30</v>
      </c>
      <c r="F727">
        <v>16</v>
      </c>
      <c r="G727">
        <v>16</v>
      </c>
      <c r="H727">
        <v>15</v>
      </c>
      <c r="I727">
        <v>3</v>
      </c>
      <c r="J727">
        <v>14</v>
      </c>
      <c r="K727">
        <v>0</v>
      </c>
      <c r="L727">
        <v>1</v>
      </c>
      <c r="M727">
        <v>16</v>
      </c>
      <c r="N727">
        <v>4</v>
      </c>
      <c r="O727">
        <v>0</v>
      </c>
      <c r="P727">
        <v>4</v>
      </c>
      <c r="Q727">
        <v>0</v>
      </c>
      <c r="R727">
        <v>1</v>
      </c>
      <c r="S727">
        <v>21</v>
      </c>
      <c r="T727">
        <v>5</v>
      </c>
      <c r="U727">
        <v>3</v>
      </c>
      <c r="V727">
        <v>0</v>
      </c>
      <c r="W727">
        <v>0</v>
      </c>
      <c r="X727">
        <v>0</v>
      </c>
      <c r="Y727">
        <v>2</v>
      </c>
      <c r="Z727">
        <v>0</v>
      </c>
      <c r="AA727">
        <v>0</v>
      </c>
      <c r="AB727">
        <v>0</v>
      </c>
      <c r="AC727">
        <v>3</v>
      </c>
      <c r="AD727">
        <v>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1</v>
      </c>
      <c r="BQ727">
        <v>0</v>
      </c>
      <c r="BR727">
        <v>0</v>
      </c>
      <c r="BS727">
        <v>1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</row>
    <row r="728" spans="1:201" x14ac:dyDescent="0.3">
      <c r="A728" t="s">
        <v>415</v>
      </c>
      <c r="B728" t="s">
        <v>422</v>
      </c>
      <c r="C728" t="s">
        <v>200</v>
      </c>
      <c r="D728">
        <v>636</v>
      </c>
      <c r="E728">
        <v>257</v>
      </c>
      <c r="F728">
        <v>32</v>
      </c>
      <c r="G728">
        <v>25</v>
      </c>
      <c r="H728">
        <v>27</v>
      </c>
      <c r="I728">
        <v>21</v>
      </c>
      <c r="J728">
        <v>25</v>
      </c>
      <c r="K728">
        <v>5</v>
      </c>
      <c r="L728">
        <v>21</v>
      </c>
      <c r="M728">
        <v>40</v>
      </c>
      <c r="N728">
        <v>38</v>
      </c>
      <c r="O728">
        <v>7</v>
      </c>
      <c r="P728">
        <v>8</v>
      </c>
      <c r="Q728">
        <v>8</v>
      </c>
      <c r="R728">
        <v>43</v>
      </c>
      <c r="S728">
        <v>17</v>
      </c>
      <c r="T728">
        <v>10</v>
      </c>
      <c r="U728">
        <v>3</v>
      </c>
      <c r="V728">
        <v>2</v>
      </c>
      <c r="W728">
        <v>0</v>
      </c>
      <c r="X728">
        <v>3</v>
      </c>
      <c r="Y728">
        <v>16</v>
      </c>
      <c r="Z728">
        <v>6</v>
      </c>
      <c r="AA728">
        <v>0</v>
      </c>
      <c r="AB728">
        <v>0</v>
      </c>
      <c r="AC728">
        <v>4</v>
      </c>
      <c r="AD728">
        <v>6</v>
      </c>
      <c r="AE728">
        <v>0</v>
      </c>
      <c r="AF728">
        <v>0</v>
      </c>
      <c r="AG728">
        <v>0</v>
      </c>
      <c r="AH728">
        <v>2</v>
      </c>
      <c r="AI728">
        <v>0</v>
      </c>
      <c r="AJ728">
        <v>2</v>
      </c>
      <c r="AK728">
        <v>0</v>
      </c>
      <c r="AL728">
        <v>0</v>
      </c>
      <c r="AM728">
        <v>0</v>
      </c>
      <c r="AN728">
        <v>2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2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2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</row>
    <row r="729" spans="1:201" x14ac:dyDescent="0.3">
      <c r="A729" t="s">
        <v>415</v>
      </c>
      <c r="B729" t="s">
        <v>422</v>
      </c>
      <c r="C729" t="s">
        <v>203</v>
      </c>
      <c r="D729">
        <v>400</v>
      </c>
      <c r="E729">
        <v>153</v>
      </c>
      <c r="F729">
        <v>18</v>
      </c>
      <c r="G729">
        <v>3</v>
      </c>
      <c r="H729">
        <v>22</v>
      </c>
      <c r="I729">
        <v>19</v>
      </c>
      <c r="J729">
        <v>12</v>
      </c>
      <c r="K729">
        <v>4</v>
      </c>
      <c r="L729">
        <v>20</v>
      </c>
      <c r="M729">
        <v>19</v>
      </c>
      <c r="N729">
        <v>24</v>
      </c>
      <c r="O729">
        <v>4</v>
      </c>
      <c r="P729">
        <v>5</v>
      </c>
      <c r="Q729">
        <v>8</v>
      </c>
      <c r="R729">
        <v>42</v>
      </c>
      <c r="S729">
        <v>2</v>
      </c>
      <c r="T729">
        <v>8</v>
      </c>
      <c r="U729">
        <v>3</v>
      </c>
      <c r="V729">
        <v>2</v>
      </c>
      <c r="W729">
        <v>0</v>
      </c>
      <c r="X729">
        <v>3</v>
      </c>
      <c r="Y729">
        <v>12</v>
      </c>
      <c r="Z729">
        <v>6</v>
      </c>
      <c r="AA729">
        <v>0</v>
      </c>
      <c r="AB729">
        <v>0</v>
      </c>
      <c r="AC729">
        <v>1</v>
      </c>
      <c r="AD729">
        <v>1</v>
      </c>
      <c r="AE729">
        <v>0</v>
      </c>
      <c r="AF729">
        <v>0</v>
      </c>
      <c r="AG729">
        <v>0</v>
      </c>
      <c r="AH729">
        <v>2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2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2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</row>
    <row r="730" spans="1:201" x14ac:dyDescent="0.3">
      <c r="A730" t="s">
        <v>415</v>
      </c>
      <c r="B730" t="s">
        <v>422</v>
      </c>
      <c r="C730" t="s">
        <v>204</v>
      </c>
      <c r="D730">
        <v>236</v>
      </c>
      <c r="E730">
        <v>104</v>
      </c>
      <c r="F730">
        <v>14</v>
      </c>
      <c r="G730">
        <v>22</v>
      </c>
      <c r="H730">
        <v>5</v>
      </c>
      <c r="I730">
        <v>2</v>
      </c>
      <c r="J730">
        <v>13</v>
      </c>
      <c r="K730">
        <v>1</v>
      </c>
      <c r="L730">
        <v>1</v>
      </c>
      <c r="M730">
        <v>21</v>
      </c>
      <c r="N730">
        <v>14</v>
      </c>
      <c r="O730">
        <v>3</v>
      </c>
      <c r="P730">
        <v>3</v>
      </c>
      <c r="Q730">
        <v>0</v>
      </c>
      <c r="R730">
        <v>1</v>
      </c>
      <c r="S730">
        <v>15</v>
      </c>
      <c r="T730">
        <v>2</v>
      </c>
      <c r="U730">
        <v>0</v>
      </c>
      <c r="V730">
        <v>0</v>
      </c>
      <c r="W730">
        <v>0</v>
      </c>
      <c r="X730">
        <v>0</v>
      </c>
      <c r="Y730">
        <v>4</v>
      </c>
      <c r="Z730">
        <v>0</v>
      </c>
      <c r="AA730">
        <v>0</v>
      </c>
      <c r="AB730">
        <v>0</v>
      </c>
      <c r="AC730">
        <v>3</v>
      </c>
      <c r="AD730">
        <v>5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</row>
    <row r="731" spans="1:201" x14ac:dyDescent="0.3">
      <c r="A731" t="s">
        <v>415</v>
      </c>
      <c r="B731" t="s">
        <v>423</v>
      </c>
      <c r="C731" t="s">
        <v>200</v>
      </c>
      <c r="D731" s="1">
        <v>5709</v>
      </c>
      <c r="E731" s="1">
        <v>1046</v>
      </c>
      <c r="F731">
        <v>292</v>
      </c>
      <c r="G731" s="1">
        <v>1352</v>
      </c>
      <c r="H731">
        <v>381</v>
      </c>
      <c r="I731">
        <v>384</v>
      </c>
      <c r="J731">
        <v>274</v>
      </c>
      <c r="K731">
        <v>159</v>
      </c>
      <c r="L731">
        <v>75</v>
      </c>
      <c r="M731">
        <v>201</v>
      </c>
      <c r="N731">
        <v>366</v>
      </c>
      <c r="O731">
        <v>126</v>
      </c>
      <c r="P731">
        <v>117</v>
      </c>
      <c r="Q731">
        <v>95</v>
      </c>
      <c r="R731">
        <v>36</v>
      </c>
      <c r="S731">
        <v>113</v>
      </c>
      <c r="T731">
        <v>154</v>
      </c>
      <c r="U731">
        <v>32</v>
      </c>
      <c r="V731">
        <v>23</v>
      </c>
      <c r="W731">
        <v>115</v>
      </c>
      <c r="X731">
        <v>17</v>
      </c>
      <c r="Y731">
        <v>25</v>
      </c>
      <c r="Z731">
        <v>36</v>
      </c>
      <c r="AA731">
        <v>6</v>
      </c>
      <c r="AB731">
        <v>19</v>
      </c>
      <c r="AC731">
        <v>23</v>
      </c>
      <c r="AD731">
        <v>48</v>
      </c>
      <c r="AE731">
        <v>2</v>
      </c>
      <c r="AF731">
        <v>18</v>
      </c>
      <c r="AG731">
        <v>13</v>
      </c>
      <c r="AH731">
        <v>4</v>
      </c>
      <c r="AI731">
        <v>4</v>
      </c>
      <c r="AJ731">
        <v>5</v>
      </c>
      <c r="AK731">
        <v>3</v>
      </c>
      <c r="AL731">
        <v>4</v>
      </c>
      <c r="AM731">
        <v>5</v>
      </c>
      <c r="AN731">
        <v>4</v>
      </c>
      <c r="AO731">
        <v>11</v>
      </c>
      <c r="AP731">
        <v>22</v>
      </c>
      <c r="AQ731">
        <v>8</v>
      </c>
      <c r="AR731">
        <v>8</v>
      </c>
      <c r="AS731">
        <v>3</v>
      </c>
      <c r="AT731">
        <v>2</v>
      </c>
      <c r="AU731">
        <v>3</v>
      </c>
      <c r="AV731">
        <v>11</v>
      </c>
      <c r="AW731">
        <v>3</v>
      </c>
      <c r="AX731">
        <v>1</v>
      </c>
      <c r="AY731">
        <v>5</v>
      </c>
      <c r="AZ731">
        <v>0</v>
      </c>
      <c r="BA731">
        <v>1</v>
      </c>
      <c r="BB731">
        <v>0</v>
      </c>
      <c r="BC731">
        <v>1</v>
      </c>
      <c r="BD731">
        <v>0</v>
      </c>
      <c r="BE731">
        <v>0</v>
      </c>
      <c r="BF731">
        <v>2</v>
      </c>
      <c r="BG731">
        <v>1</v>
      </c>
      <c r="BH731">
        <v>2</v>
      </c>
      <c r="BI731">
        <v>0</v>
      </c>
      <c r="BJ731">
        <v>3</v>
      </c>
      <c r="BK731">
        <v>1</v>
      </c>
      <c r="BL731">
        <v>2</v>
      </c>
      <c r="BM731">
        <v>4</v>
      </c>
      <c r="BN731">
        <v>3</v>
      </c>
      <c r="BO731">
        <v>5</v>
      </c>
      <c r="BP731">
        <v>5</v>
      </c>
      <c r="BQ731">
        <v>0</v>
      </c>
      <c r="BR731">
        <v>0</v>
      </c>
      <c r="BS731">
        <v>3</v>
      </c>
      <c r="BT731">
        <v>0</v>
      </c>
      <c r="BU731">
        <v>0</v>
      </c>
      <c r="BV731">
        <v>1</v>
      </c>
      <c r="BW731">
        <v>0</v>
      </c>
      <c r="BX731">
        <v>0</v>
      </c>
      <c r="BY731">
        <v>0</v>
      </c>
      <c r="BZ731">
        <v>1</v>
      </c>
      <c r="CA731">
        <v>0</v>
      </c>
      <c r="CB731">
        <v>0</v>
      </c>
      <c r="CC731">
        <v>0</v>
      </c>
      <c r="CD731">
        <v>1</v>
      </c>
      <c r="CE731">
        <v>0</v>
      </c>
      <c r="CF731">
        <v>1</v>
      </c>
      <c r="CG731">
        <v>2</v>
      </c>
      <c r="CH731">
        <v>1</v>
      </c>
      <c r="CI731">
        <v>2</v>
      </c>
      <c r="CJ731">
        <v>1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1</v>
      </c>
      <c r="CU731">
        <v>0</v>
      </c>
      <c r="CV731">
        <v>2</v>
      </c>
      <c r="CW731">
        <v>1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2</v>
      </c>
      <c r="DN731">
        <v>0</v>
      </c>
      <c r="DO731">
        <v>0</v>
      </c>
      <c r="DP731">
        <v>0</v>
      </c>
      <c r="DQ731">
        <v>1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4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</row>
    <row r="732" spans="1:201" x14ac:dyDescent="0.3">
      <c r="A732" t="s">
        <v>415</v>
      </c>
      <c r="B732" t="s">
        <v>423</v>
      </c>
      <c r="C732" t="s">
        <v>203</v>
      </c>
      <c r="D732" s="1">
        <v>3154</v>
      </c>
      <c r="E732">
        <v>459</v>
      </c>
      <c r="F732">
        <v>150</v>
      </c>
      <c r="G732">
        <v>652</v>
      </c>
      <c r="H732">
        <v>304</v>
      </c>
      <c r="I732">
        <v>301</v>
      </c>
      <c r="J732">
        <v>218</v>
      </c>
      <c r="K732">
        <v>134</v>
      </c>
      <c r="L732">
        <v>53</v>
      </c>
      <c r="M732">
        <v>99</v>
      </c>
      <c r="N732">
        <v>157</v>
      </c>
      <c r="O732">
        <v>62</v>
      </c>
      <c r="P732">
        <v>53</v>
      </c>
      <c r="Q732">
        <v>86</v>
      </c>
      <c r="R732">
        <v>31</v>
      </c>
      <c r="S732">
        <v>16</v>
      </c>
      <c r="T732">
        <v>101</v>
      </c>
      <c r="U732">
        <v>14</v>
      </c>
      <c r="V732">
        <v>20</v>
      </c>
      <c r="W732">
        <v>51</v>
      </c>
      <c r="X732">
        <v>9</v>
      </c>
      <c r="Y732">
        <v>9</v>
      </c>
      <c r="Z732">
        <v>23</v>
      </c>
      <c r="AA732">
        <v>1</v>
      </c>
      <c r="AB732">
        <v>12</v>
      </c>
      <c r="AC732">
        <v>16</v>
      </c>
      <c r="AD732">
        <v>9</v>
      </c>
      <c r="AE732">
        <v>2</v>
      </c>
      <c r="AF732">
        <v>12</v>
      </c>
      <c r="AG732">
        <v>10</v>
      </c>
      <c r="AH732">
        <v>1</v>
      </c>
      <c r="AI732">
        <v>4</v>
      </c>
      <c r="AJ732">
        <v>4</v>
      </c>
      <c r="AK732">
        <v>2</v>
      </c>
      <c r="AL732">
        <v>0</v>
      </c>
      <c r="AM732">
        <v>1</v>
      </c>
      <c r="AN732">
        <v>2</v>
      </c>
      <c r="AO732">
        <v>9</v>
      </c>
      <c r="AP732">
        <v>19</v>
      </c>
      <c r="AQ732">
        <v>0</v>
      </c>
      <c r="AR732">
        <v>4</v>
      </c>
      <c r="AS732">
        <v>1</v>
      </c>
      <c r="AT732">
        <v>1</v>
      </c>
      <c r="AU732">
        <v>3</v>
      </c>
      <c r="AV732">
        <v>9</v>
      </c>
      <c r="AW732">
        <v>2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0</v>
      </c>
      <c r="BE732">
        <v>0</v>
      </c>
      <c r="BF732">
        <v>2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2</v>
      </c>
      <c r="BN732">
        <v>1</v>
      </c>
      <c r="BO732">
        <v>3</v>
      </c>
      <c r="BP732">
        <v>3</v>
      </c>
      <c r="BQ732">
        <v>0</v>
      </c>
      <c r="BR732">
        <v>0</v>
      </c>
      <c r="BS732">
        <v>3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1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1</v>
      </c>
      <c r="CG732">
        <v>0</v>
      </c>
      <c r="CH732">
        <v>1</v>
      </c>
      <c r="CI732">
        <v>1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1</v>
      </c>
      <c r="CT732">
        <v>0</v>
      </c>
      <c r="CU732">
        <v>0</v>
      </c>
      <c r="CV732">
        <v>0</v>
      </c>
      <c r="CW732">
        <v>1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3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</row>
    <row r="733" spans="1:201" x14ac:dyDescent="0.3">
      <c r="A733" t="s">
        <v>415</v>
      </c>
      <c r="B733" t="s">
        <v>423</v>
      </c>
      <c r="C733" t="s">
        <v>204</v>
      </c>
      <c r="D733" s="1">
        <v>2555</v>
      </c>
      <c r="E733">
        <v>587</v>
      </c>
      <c r="F733">
        <v>142</v>
      </c>
      <c r="G733">
        <v>700</v>
      </c>
      <c r="H733">
        <v>77</v>
      </c>
      <c r="I733">
        <v>83</v>
      </c>
      <c r="J733">
        <v>56</v>
      </c>
      <c r="K733">
        <v>25</v>
      </c>
      <c r="L733">
        <v>22</v>
      </c>
      <c r="M733">
        <v>102</v>
      </c>
      <c r="N733">
        <v>209</v>
      </c>
      <c r="O733">
        <v>64</v>
      </c>
      <c r="P733">
        <v>64</v>
      </c>
      <c r="Q733">
        <v>9</v>
      </c>
      <c r="R733">
        <v>5</v>
      </c>
      <c r="S733">
        <v>97</v>
      </c>
      <c r="T733">
        <v>53</v>
      </c>
      <c r="U733">
        <v>18</v>
      </c>
      <c r="V733">
        <v>3</v>
      </c>
      <c r="W733">
        <v>64</v>
      </c>
      <c r="X733">
        <v>8</v>
      </c>
      <c r="Y733">
        <v>16</v>
      </c>
      <c r="Z733">
        <v>13</v>
      </c>
      <c r="AA733">
        <v>5</v>
      </c>
      <c r="AB733">
        <v>7</v>
      </c>
      <c r="AC733">
        <v>7</v>
      </c>
      <c r="AD733">
        <v>39</v>
      </c>
      <c r="AE733">
        <v>0</v>
      </c>
      <c r="AF733">
        <v>6</v>
      </c>
      <c r="AG733">
        <v>3</v>
      </c>
      <c r="AH733">
        <v>3</v>
      </c>
      <c r="AI733">
        <v>0</v>
      </c>
      <c r="AJ733">
        <v>1</v>
      </c>
      <c r="AK733">
        <v>1</v>
      </c>
      <c r="AL733">
        <v>4</v>
      </c>
      <c r="AM733">
        <v>4</v>
      </c>
      <c r="AN733">
        <v>2</v>
      </c>
      <c r="AO733">
        <v>2</v>
      </c>
      <c r="AP733">
        <v>3</v>
      </c>
      <c r="AQ733">
        <v>8</v>
      </c>
      <c r="AR733">
        <v>4</v>
      </c>
      <c r="AS733">
        <v>2</v>
      </c>
      <c r="AT733">
        <v>1</v>
      </c>
      <c r="AU733">
        <v>0</v>
      </c>
      <c r="AV733">
        <v>2</v>
      </c>
      <c r="AW733">
        <v>1</v>
      </c>
      <c r="AX733">
        <v>0</v>
      </c>
      <c r="AY733">
        <v>5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2</v>
      </c>
      <c r="BI733">
        <v>0</v>
      </c>
      <c r="BJ733">
        <v>2</v>
      </c>
      <c r="BK733">
        <v>0</v>
      </c>
      <c r="BL733">
        <v>1</v>
      </c>
      <c r="BM733">
        <v>2</v>
      </c>
      <c r="BN733">
        <v>2</v>
      </c>
      <c r="BO733">
        <v>2</v>
      </c>
      <c r="BP733">
        <v>2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1</v>
      </c>
      <c r="CE733">
        <v>0</v>
      </c>
      <c r="CF733">
        <v>0</v>
      </c>
      <c r="CG733">
        <v>2</v>
      </c>
      <c r="CH733">
        <v>0</v>
      </c>
      <c r="CI733">
        <v>1</v>
      </c>
      <c r="CJ733">
        <v>1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1</v>
      </c>
      <c r="CU733">
        <v>0</v>
      </c>
      <c r="CV733">
        <v>2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2</v>
      </c>
      <c r="DN733">
        <v>0</v>
      </c>
      <c r="DO733">
        <v>0</v>
      </c>
      <c r="DP733">
        <v>0</v>
      </c>
      <c r="DQ733">
        <v>1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1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</row>
    <row r="734" spans="1:201" x14ac:dyDescent="0.3">
      <c r="A734" t="s">
        <v>415</v>
      </c>
      <c r="B734" t="s">
        <v>424</v>
      </c>
      <c r="C734" t="s">
        <v>200</v>
      </c>
      <c r="D734">
        <v>576</v>
      </c>
      <c r="E734">
        <v>66</v>
      </c>
      <c r="F734">
        <v>24</v>
      </c>
      <c r="G734">
        <v>15</v>
      </c>
      <c r="H734">
        <v>221</v>
      </c>
      <c r="I734">
        <v>17</v>
      </c>
      <c r="J734">
        <v>34</v>
      </c>
      <c r="K734">
        <v>0</v>
      </c>
      <c r="L734">
        <v>33</v>
      </c>
      <c r="M734">
        <v>37</v>
      </c>
      <c r="N734">
        <v>73</v>
      </c>
      <c r="O734">
        <v>4</v>
      </c>
      <c r="P734">
        <v>5</v>
      </c>
      <c r="Q734">
        <v>0</v>
      </c>
      <c r="R734">
        <v>2</v>
      </c>
      <c r="S734">
        <v>9</v>
      </c>
      <c r="T734">
        <v>2</v>
      </c>
      <c r="U734">
        <v>2</v>
      </c>
      <c r="V734">
        <v>0</v>
      </c>
      <c r="W734">
        <v>4</v>
      </c>
      <c r="X734">
        <v>0</v>
      </c>
      <c r="Y734">
        <v>10</v>
      </c>
      <c r="Z734">
        <v>2</v>
      </c>
      <c r="AA734">
        <v>0</v>
      </c>
      <c r="AB734">
        <v>0</v>
      </c>
      <c r="AC734">
        <v>3</v>
      </c>
      <c r="AD734">
        <v>7</v>
      </c>
      <c r="AE734">
        <v>0</v>
      </c>
      <c r="AF734">
        <v>0</v>
      </c>
      <c r="AG734">
        <v>1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1</v>
      </c>
      <c r="AQ734">
        <v>2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</row>
    <row r="735" spans="1:201" x14ac:dyDescent="0.3">
      <c r="A735" t="s">
        <v>415</v>
      </c>
      <c r="B735" t="s">
        <v>424</v>
      </c>
      <c r="C735" t="s">
        <v>203</v>
      </c>
      <c r="D735">
        <v>347</v>
      </c>
      <c r="E735">
        <v>28</v>
      </c>
      <c r="F735">
        <v>11</v>
      </c>
      <c r="G735">
        <v>7</v>
      </c>
      <c r="H735">
        <v>158</v>
      </c>
      <c r="I735">
        <v>15</v>
      </c>
      <c r="J735">
        <v>16</v>
      </c>
      <c r="K735">
        <v>0</v>
      </c>
      <c r="L735">
        <v>33</v>
      </c>
      <c r="M735">
        <v>26</v>
      </c>
      <c r="N735">
        <v>32</v>
      </c>
      <c r="O735">
        <v>1</v>
      </c>
      <c r="P735">
        <v>1</v>
      </c>
      <c r="Q735">
        <v>0</v>
      </c>
      <c r="R735">
        <v>2</v>
      </c>
      <c r="S735">
        <v>0</v>
      </c>
      <c r="T735">
        <v>1</v>
      </c>
      <c r="U735">
        <v>0</v>
      </c>
      <c r="V735">
        <v>0</v>
      </c>
      <c r="W735">
        <v>3</v>
      </c>
      <c r="X735">
        <v>0</v>
      </c>
      <c r="Y735">
        <v>8</v>
      </c>
      <c r="Z735">
        <v>0</v>
      </c>
      <c r="AA735">
        <v>0</v>
      </c>
      <c r="AB735">
        <v>0</v>
      </c>
      <c r="AC735">
        <v>1</v>
      </c>
      <c r="AD735">
        <v>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</row>
    <row r="736" spans="1:201" x14ac:dyDescent="0.3">
      <c r="A736" t="s">
        <v>415</v>
      </c>
      <c r="B736" t="s">
        <v>424</v>
      </c>
      <c r="C736" t="s">
        <v>204</v>
      </c>
      <c r="D736">
        <v>229</v>
      </c>
      <c r="E736">
        <v>38</v>
      </c>
      <c r="F736">
        <v>13</v>
      </c>
      <c r="G736">
        <v>8</v>
      </c>
      <c r="H736">
        <v>63</v>
      </c>
      <c r="I736">
        <v>2</v>
      </c>
      <c r="J736">
        <v>18</v>
      </c>
      <c r="K736">
        <v>0</v>
      </c>
      <c r="L736">
        <v>0</v>
      </c>
      <c r="M736">
        <v>11</v>
      </c>
      <c r="N736">
        <v>41</v>
      </c>
      <c r="O736">
        <v>3</v>
      </c>
      <c r="P736">
        <v>4</v>
      </c>
      <c r="Q736">
        <v>0</v>
      </c>
      <c r="R736">
        <v>0</v>
      </c>
      <c r="S736">
        <v>9</v>
      </c>
      <c r="T736">
        <v>1</v>
      </c>
      <c r="U736">
        <v>2</v>
      </c>
      <c r="V736">
        <v>0</v>
      </c>
      <c r="W736">
        <v>1</v>
      </c>
      <c r="X736">
        <v>0</v>
      </c>
      <c r="Y736">
        <v>2</v>
      </c>
      <c r="Z736">
        <v>2</v>
      </c>
      <c r="AA736">
        <v>0</v>
      </c>
      <c r="AB736">
        <v>0</v>
      </c>
      <c r="AC736">
        <v>2</v>
      </c>
      <c r="AD736">
        <v>6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</row>
    <row r="737" spans="1:201" x14ac:dyDescent="0.3">
      <c r="A737" t="s">
        <v>415</v>
      </c>
      <c r="B737" t="s">
        <v>425</v>
      </c>
      <c r="C737" t="s">
        <v>200</v>
      </c>
      <c r="D737">
        <v>376</v>
      </c>
      <c r="E737">
        <v>78</v>
      </c>
      <c r="F737">
        <v>22</v>
      </c>
      <c r="G737">
        <v>28</v>
      </c>
      <c r="H737">
        <v>16</v>
      </c>
      <c r="I737">
        <v>11</v>
      </c>
      <c r="J737">
        <v>7</v>
      </c>
      <c r="K737">
        <v>2</v>
      </c>
      <c r="L737">
        <v>51</v>
      </c>
      <c r="M737">
        <v>38</v>
      </c>
      <c r="N737">
        <v>33</v>
      </c>
      <c r="O737">
        <v>4</v>
      </c>
      <c r="P737">
        <v>2</v>
      </c>
      <c r="Q737">
        <v>10</v>
      </c>
      <c r="R737">
        <v>0</v>
      </c>
      <c r="S737">
        <v>8</v>
      </c>
      <c r="T737">
        <v>7</v>
      </c>
      <c r="U737">
        <v>1</v>
      </c>
      <c r="V737">
        <v>0</v>
      </c>
      <c r="W737">
        <v>4</v>
      </c>
      <c r="X737">
        <v>3</v>
      </c>
      <c r="Y737">
        <v>33</v>
      </c>
      <c r="Z737">
        <v>3</v>
      </c>
      <c r="AA737">
        <v>0</v>
      </c>
      <c r="AB737">
        <v>0</v>
      </c>
      <c r="AC737">
        <v>2</v>
      </c>
      <c r="AD737">
        <v>7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2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</row>
    <row r="738" spans="1:201" x14ac:dyDescent="0.3">
      <c r="A738" t="s">
        <v>415</v>
      </c>
      <c r="B738" t="s">
        <v>425</v>
      </c>
      <c r="C738" t="s">
        <v>203</v>
      </c>
      <c r="D738">
        <v>165</v>
      </c>
      <c r="E738">
        <v>16</v>
      </c>
      <c r="F738">
        <v>12</v>
      </c>
      <c r="G738">
        <v>6</v>
      </c>
      <c r="H738">
        <v>7</v>
      </c>
      <c r="I738">
        <v>6</v>
      </c>
      <c r="J738">
        <v>5</v>
      </c>
      <c r="K738">
        <v>0</v>
      </c>
      <c r="L738">
        <v>51</v>
      </c>
      <c r="M738">
        <v>12</v>
      </c>
      <c r="N738">
        <v>20</v>
      </c>
      <c r="O738">
        <v>0</v>
      </c>
      <c r="P738">
        <v>2</v>
      </c>
      <c r="Q738">
        <v>10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2</v>
      </c>
      <c r="X738">
        <v>3</v>
      </c>
      <c r="Y738">
        <v>8</v>
      </c>
      <c r="Z738">
        <v>2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</row>
    <row r="739" spans="1:201" x14ac:dyDescent="0.3">
      <c r="A739" t="s">
        <v>415</v>
      </c>
      <c r="B739" t="s">
        <v>425</v>
      </c>
      <c r="C739" t="s">
        <v>204</v>
      </c>
      <c r="D739">
        <v>211</v>
      </c>
      <c r="E739">
        <v>62</v>
      </c>
      <c r="F739">
        <v>10</v>
      </c>
      <c r="G739">
        <v>22</v>
      </c>
      <c r="H739">
        <v>9</v>
      </c>
      <c r="I739">
        <v>5</v>
      </c>
      <c r="J739">
        <v>2</v>
      </c>
      <c r="K739">
        <v>2</v>
      </c>
      <c r="L739">
        <v>0</v>
      </c>
      <c r="M739">
        <v>26</v>
      </c>
      <c r="N739">
        <v>13</v>
      </c>
      <c r="O739">
        <v>4</v>
      </c>
      <c r="P739">
        <v>0</v>
      </c>
      <c r="Q739">
        <v>0</v>
      </c>
      <c r="R739">
        <v>0</v>
      </c>
      <c r="S739">
        <v>8</v>
      </c>
      <c r="T739">
        <v>6</v>
      </c>
      <c r="U739">
        <v>1</v>
      </c>
      <c r="V739">
        <v>0</v>
      </c>
      <c r="W739">
        <v>2</v>
      </c>
      <c r="X739">
        <v>0</v>
      </c>
      <c r="Y739">
        <v>25</v>
      </c>
      <c r="Z739">
        <v>1</v>
      </c>
      <c r="AA739">
        <v>0</v>
      </c>
      <c r="AB739">
        <v>0</v>
      </c>
      <c r="AC739">
        <v>1</v>
      </c>
      <c r="AD739">
        <v>7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</row>
    <row r="740" spans="1:201" x14ac:dyDescent="0.3">
      <c r="A740" t="s">
        <v>415</v>
      </c>
      <c r="B740" t="s">
        <v>426</v>
      </c>
      <c r="C740" t="s">
        <v>200</v>
      </c>
      <c r="D740">
        <v>959</v>
      </c>
      <c r="E740">
        <v>124</v>
      </c>
      <c r="F740">
        <v>30</v>
      </c>
      <c r="G740">
        <v>23</v>
      </c>
      <c r="H740">
        <v>224</v>
      </c>
      <c r="I740">
        <v>16</v>
      </c>
      <c r="J740">
        <v>176</v>
      </c>
      <c r="K740">
        <v>6</v>
      </c>
      <c r="L740">
        <v>52</v>
      </c>
      <c r="M740">
        <v>62</v>
      </c>
      <c r="N740">
        <v>150</v>
      </c>
      <c r="O740">
        <v>3</v>
      </c>
      <c r="P740">
        <v>7</v>
      </c>
      <c r="Q740">
        <v>14</v>
      </c>
      <c r="R740">
        <v>5</v>
      </c>
      <c r="S740">
        <v>32</v>
      </c>
      <c r="T740">
        <v>2</v>
      </c>
      <c r="U740">
        <v>1</v>
      </c>
      <c r="V740">
        <v>1</v>
      </c>
      <c r="W740">
        <v>2</v>
      </c>
      <c r="X740">
        <v>2</v>
      </c>
      <c r="Y740">
        <v>7</v>
      </c>
      <c r="Z740">
        <v>10</v>
      </c>
      <c r="AA740">
        <v>0</v>
      </c>
      <c r="AB740">
        <v>0</v>
      </c>
      <c r="AC740">
        <v>1</v>
      </c>
      <c r="AD740">
        <v>5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1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</row>
    <row r="741" spans="1:201" x14ac:dyDescent="0.3">
      <c r="A741" t="s">
        <v>415</v>
      </c>
      <c r="B741" t="s">
        <v>426</v>
      </c>
      <c r="C741" t="s">
        <v>203</v>
      </c>
      <c r="D741">
        <v>613</v>
      </c>
      <c r="E741">
        <v>57</v>
      </c>
      <c r="F741">
        <v>8</v>
      </c>
      <c r="G741">
        <v>6</v>
      </c>
      <c r="H741">
        <v>181</v>
      </c>
      <c r="I741">
        <v>10</v>
      </c>
      <c r="J741">
        <v>116</v>
      </c>
      <c r="K741">
        <v>4</v>
      </c>
      <c r="L741">
        <v>52</v>
      </c>
      <c r="M741">
        <v>49</v>
      </c>
      <c r="N741">
        <v>91</v>
      </c>
      <c r="O741">
        <v>3</v>
      </c>
      <c r="P741">
        <v>5</v>
      </c>
      <c r="Q741">
        <v>8</v>
      </c>
      <c r="R741">
        <v>2</v>
      </c>
      <c r="S741">
        <v>3</v>
      </c>
      <c r="T741">
        <v>1</v>
      </c>
      <c r="U741">
        <v>0</v>
      </c>
      <c r="V741">
        <v>1</v>
      </c>
      <c r="W741">
        <v>2</v>
      </c>
      <c r="X741">
        <v>1</v>
      </c>
      <c r="Y741">
        <v>2</v>
      </c>
      <c r="Z741">
        <v>5</v>
      </c>
      <c r="AA741">
        <v>0</v>
      </c>
      <c r="AB741">
        <v>0</v>
      </c>
      <c r="AC741">
        <v>1</v>
      </c>
      <c r="AD741">
        <v>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</row>
    <row r="742" spans="1:201" x14ac:dyDescent="0.3">
      <c r="A742" t="s">
        <v>415</v>
      </c>
      <c r="B742" t="s">
        <v>426</v>
      </c>
      <c r="C742" t="s">
        <v>204</v>
      </c>
      <c r="D742">
        <v>346</v>
      </c>
      <c r="E742">
        <v>67</v>
      </c>
      <c r="F742">
        <v>22</v>
      </c>
      <c r="G742">
        <v>17</v>
      </c>
      <c r="H742">
        <v>43</v>
      </c>
      <c r="I742">
        <v>6</v>
      </c>
      <c r="J742">
        <v>60</v>
      </c>
      <c r="K742">
        <v>2</v>
      </c>
      <c r="L742">
        <v>0</v>
      </c>
      <c r="M742">
        <v>13</v>
      </c>
      <c r="N742">
        <v>59</v>
      </c>
      <c r="O742">
        <v>0</v>
      </c>
      <c r="P742">
        <v>2</v>
      </c>
      <c r="Q742">
        <v>6</v>
      </c>
      <c r="R742">
        <v>3</v>
      </c>
      <c r="S742">
        <v>29</v>
      </c>
      <c r="T742">
        <v>1</v>
      </c>
      <c r="U742">
        <v>1</v>
      </c>
      <c r="V742">
        <v>0</v>
      </c>
      <c r="W742">
        <v>0</v>
      </c>
      <c r="X742">
        <v>1</v>
      </c>
      <c r="Y742">
        <v>5</v>
      </c>
      <c r="Z742">
        <v>5</v>
      </c>
      <c r="AA742">
        <v>0</v>
      </c>
      <c r="AB742">
        <v>0</v>
      </c>
      <c r="AC742">
        <v>0</v>
      </c>
      <c r="AD742">
        <v>3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1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</row>
    <row r="743" spans="1:201" x14ac:dyDescent="0.3">
      <c r="A743" t="s">
        <v>415</v>
      </c>
      <c r="B743" t="s">
        <v>427</v>
      </c>
      <c r="C743" t="s">
        <v>200</v>
      </c>
      <c r="D743" s="1">
        <v>5637</v>
      </c>
      <c r="E743" s="1">
        <v>1232</v>
      </c>
      <c r="F743">
        <v>166</v>
      </c>
      <c r="G743" s="1">
        <v>1386</v>
      </c>
      <c r="H743">
        <v>340</v>
      </c>
      <c r="I743">
        <v>608</v>
      </c>
      <c r="J743">
        <v>174</v>
      </c>
      <c r="K743">
        <v>98</v>
      </c>
      <c r="L743">
        <v>95</v>
      </c>
      <c r="M743">
        <v>170</v>
      </c>
      <c r="N743">
        <v>99</v>
      </c>
      <c r="O743">
        <v>212</v>
      </c>
      <c r="P743">
        <v>84</v>
      </c>
      <c r="Q743">
        <v>20</v>
      </c>
      <c r="R743">
        <v>113</v>
      </c>
      <c r="S743">
        <v>139</v>
      </c>
      <c r="T743">
        <v>57</v>
      </c>
      <c r="U743">
        <v>47</v>
      </c>
      <c r="V743">
        <v>51</v>
      </c>
      <c r="W743">
        <v>46</v>
      </c>
      <c r="X743">
        <v>100</v>
      </c>
      <c r="Y743">
        <v>10</v>
      </c>
      <c r="Z743">
        <v>32</v>
      </c>
      <c r="AA743">
        <v>13</v>
      </c>
      <c r="AB743">
        <v>11</v>
      </c>
      <c r="AC743">
        <v>22</v>
      </c>
      <c r="AD743">
        <v>21</v>
      </c>
      <c r="AE743">
        <v>0</v>
      </c>
      <c r="AF743">
        <v>12</v>
      </c>
      <c r="AG743">
        <v>10</v>
      </c>
      <c r="AH743">
        <v>9</v>
      </c>
      <c r="AI743">
        <v>6</v>
      </c>
      <c r="AJ743">
        <v>1</v>
      </c>
      <c r="AK743">
        <v>17</v>
      </c>
      <c r="AL743">
        <v>5</v>
      </c>
      <c r="AM743">
        <v>6</v>
      </c>
      <c r="AN743">
        <v>8</v>
      </c>
      <c r="AO743">
        <v>14</v>
      </c>
      <c r="AP743">
        <v>12</v>
      </c>
      <c r="AQ743">
        <v>4</v>
      </c>
      <c r="AR743">
        <v>19</v>
      </c>
      <c r="AS743">
        <v>9</v>
      </c>
      <c r="AT743">
        <v>7</v>
      </c>
      <c r="AU743">
        <v>13</v>
      </c>
      <c r="AV743">
        <v>4</v>
      </c>
      <c r="AW743">
        <v>5</v>
      </c>
      <c r="AX743">
        <v>0</v>
      </c>
      <c r="AY743">
        <v>3</v>
      </c>
      <c r="AZ743">
        <v>2</v>
      </c>
      <c r="BA743">
        <v>3</v>
      </c>
      <c r="BB743">
        <v>2</v>
      </c>
      <c r="BC743">
        <v>0</v>
      </c>
      <c r="BD743">
        <v>0</v>
      </c>
      <c r="BE743">
        <v>20</v>
      </c>
      <c r="BF743">
        <v>5</v>
      </c>
      <c r="BG743">
        <v>0</v>
      </c>
      <c r="BH743">
        <v>2</v>
      </c>
      <c r="BI743">
        <v>1</v>
      </c>
      <c r="BJ743">
        <v>9</v>
      </c>
      <c r="BK743">
        <v>0</v>
      </c>
      <c r="BL743">
        <v>4</v>
      </c>
      <c r="BM743">
        <v>4</v>
      </c>
      <c r="BN743">
        <v>11</v>
      </c>
      <c r="BO743">
        <v>0</v>
      </c>
      <c r="BP743">
        <v>5</v>
      </c>
      <c r="BQ743">
        <v>3</v>
      </c>
      <c r="BR743">
        <v>0</v>
      </c>
      <c r="BS743">
        <v>2</v>
      </c>
      <c r="BT743">
        <v>3</v>
      </c>
      <c r="BU743">
        <v>2</v>
      </c>
      <c r="BV743">
        <v>5</v>
      </c>
      <c r="BW743">
        <v>2</v>
      </c>
      <c r="BX743">
        <v>2</v>
      </c>
      <c r="BY743">
        <v>4</v>
      </c>
      <c r="BZ743">
        <v>4</v>
      </c>
      <c r="CA743">
        <v>0</v>
      </c>
      <c r="CB743">
        <v>0</v>
      </c>
      <c r="CC743">
        <v>3</v>
      </c>
      <c r="CD743">
        <v>1</v>
      </c>
      <c r="CE743">
        <v>2</v>
      </c>
      <c r="CF743">
        <v>2</v>
      </c>
      <c r="CG743">
        <v>0</v>
      </c>
      <c r="CH743">
        <v>0</v>
      </c>
      <c r="CI743">
        <v>1</v>
      </c>
      <c r="CJ743">
        <v>0</v>
      </c>
      <c r="CK743">
        <v>3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1</v>
      </c>
      <c r="DB743">
        <v>0</v>
      </c>
      <c r="DC743">
        <v>0</v>
      </c>
      <c r="DD743">
        <v>0</v>
      </c>
      <c r="DE743">
        <v>1</v>
      </c>
      <c r="DF743">
        <v>0</v>
      </c>
      <c r="DG743">
        <v>1</v>
      </c>
      <c r="DH743">
        <v>0</v>
      </c>
      <c r="DI743">
        <v>0</v>
      </c>
      <c r="DJ743">
        <v>0</v>
      </c>
      <c r="DK743">
        <v>2</v>
      </c>
      <c r="DL743">
        <v>1</v>
      </c>
      <c r="DM743">
        <v>0</v>
      </c>
      <c r="DN743">
        <v>0</v>
      </c>
      <c r="DO743">
        <v>0</v>
      </c>
      <c r="DP743">
        <v>0</v>
      </c>
      <c r="DQ743">
        <v>1</v>
      </c>
      <c r="DR743">
        <v>0</v>
      </c>
      <c r="DS743">
        <v>1</v>
      </c>
      <c r="DT743">
        <v>0</v>
      </c>
      <c r="DU743">
        <v>3</v>
      </c>
      <c r="DV743">
        <v>2</v>
      </c>
      <c r="DW743">
        <v>0</v>
      </c>
      <c r="DX743">
        <v>0</v>
      </c>
      <c r="DY743">
        <v>0</v>
      </c>
      <c r="DZ743">
        <v>0</v>
      </c>
      <c r="EA743">
        <v>1</v>
      </c>
      <c r="EB743">
        <v>0</v>
      </c>
      <c r="EC743">
        <v>0</v>
      </c>
      <c r="ED743">
        <v>0</v>
      </c>
      <c r="EE743">
        <v>0</v>
      </c>
      <c r="EF743">
        <v>1</v>
      </c>
      <c r="EG743">
        <v>0</v>
      </c>
      <c r="EH743">
        <v>0</v>
      </c>
      <c r="EI743">
        <v>1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1</v>
      </c>
      <c r="EP743">
        <v>1</v>
      </c>
      <c r="EQ743">
        <v>0</v>
      </c>
      <c r="ER743">
        <v>0</v>
      </c>
      <c r="ES743">
        <v>2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</row>
    <row r="744" spans="1:201" x14ac:dyDescent="0.3">
      <c r="A744" t="s">
        <v>415</v>
      </c>
      <c r="B744" t="s">
        <v>427</v>
      </c>
      <c r="C744" t="s">
        <v>203</v>
      </c>
      <c r="D744" s="1">
        <v>2869</v>
      </c>
      <c r="E744">
        <v>655</v>
      </c>
      <c r="F744">
        <v>80</v>
      </c>
      <c r="G744">
        <v>614</v>
      </c>
      <c r="H744">
        <v>226</v>
      </c>
      <c r="I744">
        <v>446</v>
      </c>
      <c r="J744">
        <v>82</v>
      </c>
      <c r="K744">
        <v>47</v>
      </c>
      <c r="L744">
        <v>73</v>
      </c>
      <c r="M744">
        <v>69</v>
      </c>
      <c r="N744">
        <v>28</v>
      </c>
      <c r="O744">
        <v>96</v>
      </c>
      <c r="P744">
        <v>53</v>
      </c>
      <c r="Q744">
        <v>9</v>
      </c>
      <c r="R744">
        <v>60</v>
      </c>
      <c r="S744">
        <v>13</v>
      </c>
      <c r="T744">
        <v>14</v>
      </c>
      <c r="U744">
        <v>19</v>
      </c>
      <c r="V744">
        <v>30</v>
      </c>
      <c r="W744">
        <v>21</v>
      </c>
      <c r="X744">
        <v>52</v>
      </c>
      <c r="Y744">
        <v>2</v>
      </c>
      <c r="Z744">
        <v>15</v>
      </c>
      <c r="AA744">
        <v>8</v>
      </c>
      <c r="AB744">
        <v>0</v>
      </c>
      <c r="AC744">
        <v>14</v>
      </c>
      <c r="AD744">
        <v>4</v>
      </c>
      <c r="AE744">
        <v>0</v>
      </c>
      <c r="AF744">
        <v>10</v>
      </c>
      <c r="AG744">
        <v>1</v>
      </c>
      <c r="AH744">
        <v>5</v>
      </c>
      <c r="AI744">
        <v>2</v>
      </c>
      <c r="AJ744">
        <v>1</v>
      </c>
      <c r="AK744">
        <v>9</v>
      </c>
      <c r="AL744">
        <v>0</v>
      </c>
      <c r="AM744">
        <v>0</v>
      </c>
      <c r="AN744">
        <v>5</v>
      </c>
      <c r="AO744">
        <v>8</v>
      </c>
      <c r="AP744">
        <v>11</v>
      </c>
      <c r="AQ744">
        <v>0</v>
      </c>
      <c r="AR744">
        <v>13</v>
      </c>
      <c r="AS744">
        <v>2</v>
      </c>
      <c r="AT744">
        <v>2</v>
      </c>
      <c r="AU744">
        <v>5</v>
      </c>
      <c r="AV744">
        <v>3</v>
      </c>
      <c r="AW744">
        <v>3</v>
      </c>
      <c r="AX744">
        <v>0</v>
      </c>
      <c r="AY744">
        <v>2</v>
      </c>
      <c r="AZ744">
        <v>2</v>
      </c>
      <c r="BA744">
        <v>1</v>
      </c>
      <c r="BB744">
        <v>1</v>
      </c>
      <c r="BC744">
        <v>0</v>
      </c>
      <c r="BD744">
        <v>0</v>
      </c>
      <c r="BE744">
        <v>12</v>
      </c>
      <c r="BF744">
        <v>3</v>
      </c>
      <c r="BG744">
        <v>0</v>
      </c>
      <c r="BH744">
        <v>1</v>
      </c>
      <c r="BI744">
        <v>0</v>
      </c>
      <c r="BJ744">
        <v>2</v>
      </c>
      <c r="BK744">
        <v>0</v>
      </c>
      <c r="BL744">
        <v>2</v>
      </c>
      <c r="BM744">
        <v>2</v>
      </c>
      <c r="BN744">
        <v>3</v>
      </c>
      <c r="BO744">
        <v>0</v>
      </c>
      <c r="BP744">
        <v>3</v>
      </c>
      <c r="BQ744">
        <v>0</v>
      </c>
      <c r="BR744">
        <v>0</v>
      </c>
      <c r="BS744">
        <v>1</v>
      </c>
      <c r="BT744">
        <v>2</v>
      </c>
      <c r="BU744">
        <v>0</v>
      </c>
      <c r="BV744">
        <v>1</v>
      </c>
      <c r="BW744">
        <v>1</v>
      </c>
      <c r="BX744">
        <v>1</v>
      </c>
      <c r="BY744">
        <v>2</v>
      </c>
      <c r="BZ744">
        <v>1</v>
      </c>
      <c r="CA744">
        <v>0</v>
      </c>
      <c r="CB744">
        <v>0</v>
      </c>
      <c r="CC744">
        <v>0</v>
      </c>
      <c r="CD744">
        <v>0</v>
      </c>
      <c r="CE744">
        <v>1</v>
      </c>
      <c r="CF744">
        <v>0</v>
      </c>
      <c r="CG744">
        <v>0</v>
      </c>
      <c r="CH744">
        <v>0</v>
      </c>
      <c r="CI744">
        <v>1</v>
      </c>
      <c r="CJ744">
        <v>0</v>
      </c>
      <c r="CK744">
        <v>3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1</v>
      </c>
      <c r="DB744">
        <v>0</v>
      </c>
      <c r="DC744">
        <v>0</v>
      </c>
      <c r="DD744">
        <v>0</v>
      </c>
      <c r="DE744">
        <v>1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3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1</v>
      </c>
      <c r="EB744">
        <v>0</v>
      </c>
      <c r="EC744">
        <v>0</v>
      </c>
      <c r="ED744">
        <v>0</v>
      </c>
      <c r="EE744">
        <v>0</v>
      </c>
      <c r="EF744">
        <v>1</v>
      </c>
      <c r="EG744">
        <v>0</v>
      </c>
      <c r="EH744">
        <v>0</v>
      </c>
      <c r="EI744">
        <v>1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1</v>
      </c>
      <c r="EP744">
        <v>1</v>
      </c>
      <c r="EQ744">
        <v>0</v>
      </c>
      <c r="ER744">
        <v>0</v>
      </c>
      <c r="ES744">
        <v>1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</row>
    <row r="745" spans="1:201" x14ac:dyDescent="0.3">
      <c r="A745" t="s">
        <v>415</v>
      </c>
      <c r="B745" t="s">
        <v>427</v>
      </c>
      <c r="C745" t="s">
        <v>204</v>
      </c>
      <c r="D745" s="1">
        <v>2768</v>
      </c>
      <c r="E745">
        <v>577</v>
      </c>
      <c r="F745">
        <v>86</v>
      </c>
      <c r="G745">
        <v>772</v>
      </c>
      <c r="H745">
        <v>114</v>
      </c>
      <c r="I745">
        <v>162</v>
      </c>
      <c r="J745">
        <v>92</v>
      </c>
      <c r="K745">
        <v>51</v>
      </c>
      <c r="L745">
        <v>22</v>
      </c>
      <c r="M745">
        <v>101</v>
      </c>
      <c r="N745">
        <v>71</v>
      </c>
      <c r="O745">
        <v>116</v>
      </c>
      <c r="P745">
        <v>31</v>
      </c>
      <c r="Q745">
        <v>11</v>
      </c>
      <c r="R745">
        <v>53</v>
      </c>
      <c r="S745">
        <v>126</v>
      </c>
      <c r="T745">
        <v>43</v>
      </c>
      <c r="U745">
        <v>28</v>
      </c>
      <c r="V745">
        <v>21</v>
      </c>
      <c r="W745">
        <v>25</v>
      </c>
      <c r="X745">
        <v>48</v>
      </c>
      <c r="Y745">
        <v>8</v>
      </c>
      <c r="Z745">
        <v>17</v>
      </c>
      <c r="AA745">
        <v>5</v>
      </c>
      <c r="AB745">
        <v>11</v>
      </c>
      <c r="AC745">
        <v>8</v>
      </c>
      <c r="AD745">
        <v>17</v>
      </c>
      <c r="AE745">
        <v>0</v>
      </c>
      <c r="AF745">
        <v>2</v>
      </c>
      <c r="AG745">
        <v>9</v>
      </c>
      <c r="AH745">
        <v>4</v>
      </c>
      <c r="AI745">
        <v>4</v>
      </c>
      <c r="AJ745">
        <v>0</v>
      </c>
      <c r="AK745">
        <v>8</v>
      </c>
      <c r="AL745">
        <v>5</v>
      </c>
      <c r="AM745">
        <v>6</v>
      </c>
      <c r="AN745">
        <v>3</v>
      </c>
      <c r="AO745">
        <v>6</v>
      </c>
      <c r="AP745">
        <v>1</v>
      </c>
      <c r="AQ745">
        <v>4</v>
      </c>
      <c r="AR745">
        <v>6</v>
      </c>
      <c r="AS745">
        <v>7</v>
      </c>
      <c r="AT745">
        <v>5</v>
      </c>
      <c r="AU745">
        <v>8</v>
      </c>
      <c r="AV745">
        <v>1</v>
      </c>
      <c r="AW745">
        <v>2</v>
      </c>
      <c r="AX745">
        <v>0</v>
      </c>
      <c r="AY745">
        <v>1</v>
      </c>
      <c r="AZ745">
        <v>0</v>
      </c>
      <c r="BA745">
        <v>2</v>
      </c>
      <c r="BB745">
        <v>1</v>
      </c>
      <c r="BC745">
        <v>0</v>
      </c>
      <c r="BD745">
        <v>0</v>
      </c>
      <c r="BE745">
        <v>8</v>
      </c>
      <c r="BF745">
        <v>2</v>
      </c>
      <c r="BG745">
        <v>0</v>
      </c>
      <c r="BH745">
        <v>1</v>
      </c>
      <c r="BI745">
        <v>1</v>
      </c>
      <c r="BJ745">
        <v>7</v>
      </c>
      <c r="BK745">
        <v>0</v>
      </c>
      <c r="BL745">
        <v>2</v>
      </c>
      <c r="BM745">
        <v>2</v>
      </c>
      <c r="BN745">
        <v>8</v>
      </c>
      <c r="BO745">
        <v>0</v>
      </c>
      <c r="BP745">
        <v>2</v>
      </c>
      <c r="BQ745">
        <v>3</v>
      </c>
      <c r="BR745">
        <v>0</v>
      </c>
      <c r="BS745">
        <v>1</v>
      </c>
      <c r="BT745">
        <v>1</v>
      </c>
      <c r="BU745">
        <v>2</v>
      </c>
      <c r="BV745">
        <v>4</v>
      </c>
      <c r="BW745">
        <v>1</v>
      </c>
      <c r="BX745">
        <v>1</v>
      </c>
      <c r="BY745">
        <v>2</v>
      </c>
      <c r="BZ745">
        <v>3</v>
      </c>
      <c r="CA745">
        <v>0</v>
      </c>
      <c r="CB745">
        <v>0</v>
      </c>
      <c r="CC745">
        <v>3</v>
      </c>
      <c r="CD745">
        <v>1</v>
      </c>
      <c r="CE745">
        <v>1</v>
      </c>
      <c r="CF745">
        <v>2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1</v>
      </c>
      <c r="DH745">
        <v>0</v>
      </c>
      <c r="DI745">
        <v>0</v>
      </c>
      <c r="DJ745">
        <v>0</v>
      </c>
      <c r="DK745">
        <v>2</v>
      </c>
      <c r="DL745">
        <v>1</v>
      </c>
      <c r="DM745">
        <v>0</v>
      </c>
      <c r="DN745">
        <v>0</v>
      </c>
      <c r="DO745">
        <v>0</v>
      </c>
      <c r="DP745">
        <v>0</v>
      </c>
      <c r="DQ745">
        <v>1</v>
      </c>
      <c r="DR745">
        <v>0</v>
      </c>
      <c r="DS745">
        <v>1</v>
      </c>
      <c r="DT745">
        <v>0</v>
      </c>
      <c r="DU745">
        <v>0</v>
      </c>
      <c r="DV745">
        <v>2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1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</row>
    <row r="746" spans="1:201" x14ac:dyDescent="0.3">
      <c r="A746" t="s">
        <v>415</v>
      </c>
      <c r="B746" t="s">
        <v>428</v>
      </c>
      <c r="C746" t="s">
        <v>200</v>
      </c>
      <c r="D746">
        <v>341</v>
      </c>
      <c r="E746">
        <v>76</v>
      </c>
      <c r="F746">
        <v>20</v>
      </c>
      <c r="G746">
        <v>30</v>
      </c>
      <c r="H746">
        <v>12</v>
      </c>
      <c r="I746">
        <v>3</v>
      </c>
      <c r="J746">
        <v>8</v>
      </c>
      <c r="K746">
        <v>6</v>
      </c>
      <c r="L746">
        <v>21</v>
      </c>
      <c r="M746">
        <v>27</v>
      </c>
      <c r="N746">
        <v>23</v>
      </c>
      <c r="O746">
        <v>4</v>
      </c>
      <c r="P746">
        <v>23</v>
      </c>
      <c r="Q746">
        <v>1</v>
      </c>
      <c r="R746">
        <v>1</v>
      </c>
      <c r="S746">
        <v>7</v>
      </c>
      <c r="T746">
        <v>16</v>
      </c>
      <c r="U746">
        <v>8</v>
      </c>
      <c r="V746">
        <v>0</v>
      </c>
      <c r="W746">
        <v>4</v>
      </c>
      <c r="X746">
        <v>17</v>
      </c>
      <c r="Y746">
        <v>6</v>
      </c>
      <c r="Z746">
        <v>3</v>
      </c>
      <c r="AA746">
        <v>0</v>
      </c>
      <c r="AB746">
        <v>2</v>
      </c>
      <c r="AC746">
        <v>1</v>
      </c>
      <c r="AD746">
        <v>11</v>
      </c>
      <c r="AE746">
        <v>0</v>
      </c>
      <c r="AF746">
        <v>2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5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1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1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</row>
    <row r="747" spans="1:201" x14ac:dyDescent="0.3">
      <c r="A747" t="s">
        <v>415</v>
      </c>
      <c r="B747" t="s">
        <v>428</v>
      </c>
      <c r="C747" t="s">
        <v>203</v>
      </c>
      <c r="D747">
        <v>135</v>
      </c>
      <c r="E747">
        <v>20</v>
      </c>
      <c r="F747">
        <v>7</v>
      </c>
      <c r="G747">
        <v>6</v>
      </c>
      <c r="H747">
        <v>11</v>
      </c>
      <c r="I747">
        <v>1</v>
      </c>
      <c r="J747">
        <v>1</v>
      </c>
      <c r="K747">
        <v>6</v>
      </c>
      <c r="L747">
        <v>19</v>
      </c>
      <c r="M747">
        <v>8</v>
      </c>
      <c r="N747">
        <v>0</v>
      </c>
      <c r="O747">
        <v>0</v>
      </c>
      <c r="P747">
        <v>9</v>
      </c>
      <c r="Q747">
        <v>0</v>
      </c>
      <c r="R747">
        <v>1</v>
      </c>
      <c r="S747">
        <v>0</v>
      </c>
      <c r="T747">
        <v>11</v>
      </c>
      <c r="U747">
        <v>3</v>
      </c>
      <c r="V747">
        <v>0</v>
      </c>
      <c r="W747">
        <v>2</v>
      </c>
      <c r="X747">
        <v>16</v>
      </c>
      <c r="Y747">
        <v>2</v>
      </c>
      <c r="Z747">
        <v>2</v>
      </c>
      <c r="AA747">
        <v>0</v>
      </c>
      <c r="AB747">
        <v>2</v>
      </c>
      <c r="AC747">
        <v>1</v>
      </c>
      <c r="AD747">
        <v>2</v>
      </c>
      <c r="AE747">
        <v>0</v>
      </c>
      <c r="AF747">
        <v>2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1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</row>
    <row r="748" spans="1:201" x14ac:dyDescent="0.3">
      <c r="A748" t="s">
        <v>415</v>
      </c>
      <c r="B748" t="s">
        <v>428</v>
      </c>
      <c r="C748" t="s">
        <v>204</v>
      </c>
      <c r="D748">
        <v>206</v>
      </c>
      <c r="E748">
        <v>56</v>
      </c>
      <c r="F748">
        <v>13</v>
      </c>
      <c r="G748">
        <v>24</v>
      </c>
      <c r="H748">
        <v>1</v>
      </c>
      <c r="I748">
        <v>2</v>
      </c>
      <c r="J748">
        <v>7</v>
      </c>
      <c r="K748">
        <v>0</v>
      </c>
      <c r="L748">
        <v>2</v>
      </c>
      <c r="M748">
        <v>19</v>
      </c>
      <c r="N748">
        <v>23</v>
      </c>
      <c r="O748">
        <v>4</v>
      </c>
      <c r="P748">
        <v>14</v>
      </c>
      <c r="Q748">
        <v>1</v>
      </c>
      <c r="R748">
        <v>0</v>
      </c>
      <c r="S748">
        <v>7</v>
      </c>
      <c r="T748">
        <v>5</v>
      </c>
      <c r="U748">
        <v>5</v>
      </c>
      <c r="V748">
        <v>0</v>
      </c>
      <c r="W748">
        <v>2</v>
      </c>
      <c r="X748">
        <v>1</v>
      </c>
      <c r="Y748">
        <v>4</v>
      </c>
      <c r="Z748">
        <v>1</v>
      </c>
      <c r="AA748">
        <v>0</v>
      </c>
      <c r="AB748">
        <v>0</v>
      </c>
      <c r="AC748">
        <v>0</v>
      </c>
      <c r="AD748">
        <v>9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4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1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</row>
    <row r="749" spans="1:201" x14ac:dyDescent="0.3">
      <c r="A749" t="s">
        <v>415</v>
      </c>
      <c r="B749" t="s">
        <v>429</v>
      </c>
      <c r="C749" t="s">
        <v>200</v>
      </c>
      <c r="D749">
        <v>739</v>
      </c>
      <c r="E749">
        <v>94</v>
      </c>
      <c r="F749">
        <v>61</v>
      </c>
      <c r="G749">
        <v>82</v>
      </c>
      <c r="H749">
        <v>69</v>
      </c>
      <c r="I749">
        <v>17</v>
      </c>
      <c r="J749">
        <v>37</v>
      </c>
      <c r="K749">
        <v>8</v>
      </c>
      <c r="L749">
        <v>17</v>
      </c>
      <c r="M749">
        <v>49</v>
      </c>
      <c r="N749">
        <v>65</v>
      </c>
      <c r="O749">
        <v>22</v>
      </c>
      <c r="P749">
        <v>4</v>
      </c>
      <c r="Q749">
        <v>11</v>
      </c>
      <c r="R749">
        <v>3</v>
      </c>
      <c r="S749">
        <v>25</v>
      </c>
      <c r="T749">
        <v>5</v>
      </c>
      <c r="U749">
        <v>2</v>
      </c>
      <c r="V749">
        <v>9</v>
      </c>
      <c r="W749">
        <v>4</v>
      </c>
      <c r="X749">
        <v>7</v>
      </c>
      <c r="Y749">
        <v>114</v>
      </c>
      <c r="Z749">
        <v>3</v>
      </c>
      <c r="AA749">
        <v>0</v>
      </c>
      <c r="AB749">
        <v>1</v>
      </c>
      <c r="AC749">
        <v>1</v>
      </c>
      <c r="AD749">
        <v>7</v>
      </c>
      <c r="AE749">
        <v>0</v>
      </c>
      <c r="AF749">
        <v>2</v>
      </c>
      <c r="AG749">
        <v>4</v>
      </c>
      <c r="AH749">
        <v>2</v>
      </c>
      <c r="AI749">
        <v>1</v>
      </c>
      <c r="AJ749">
        <v>0</v>
      </c>
      <c r="AK749">
        <v>1</v>
      </c>
      <c r="AL749">
        <v>1</v>
      </c>
      <c r="AM749">
        <v>0</v>
      </c>
      <c r="AN749">
        <v>4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1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3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1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</row>
    <row r="750" spans="1:201" x14ac:dyDescent="0.3">
      <c r="A750" t="s">
        <v>415</v>
      </c>
      <c r="B750" t="s">
        <v>429</v>
      </c>
      <c r="C750" t="s">
        <v>203</v>
      </c>
      <c r="D750">
        <v>362</v>
      </c>
      <c r="E750">
        <v>31</v>
      </c>
      <c r="F750">
        <v>26</v>
      </c>
      <c r="G750">
        <v>32</v>
      </c>
      <c r="H750">
        <v>53</v>
      </c>
      <c r="I750">
        <v>14</v>
      </c>
      <c r="J750">
        <v>19</v>
      </c>
      <c r="K750">
        <v>2</v>
      </c>
      <c r="L750">
        <v>17</v>
      </c>
      <c r="M750">
        <v>34</v>
      </c>
      <c r="N750">
        <v>16</v>
      </c>
      <c r="O750">
        <v>10</v>
      </c>
      <c r="P750">
        <v>4</v>
      </c>
      <c r="Q750">
        <v>11</v>
      </c>
      <c r="R750">
        <v>3</v>
      </c>
      <c r="S750">
        <v>3</v>
      </c>
      <c r="T750">
        <v>2</v>
      </c>
      <c r="U750">
        <v>0</v>
      </c>
      <c r="V750">
        <v>6</v>
      </c>
      <c r="W750">
        <v>3</v>
      </c>
      <c r="X750">
        <v>7</v>
      </c>
      <c r="Y750">
        <v>51</v>
      </c>
      <c r="Z750">
        <v>3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2</v>
      </c>
      <c r="AG750">
        <v>4</v>
      </c>
      <c r="AH750">
        <v>1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2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1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1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</row>
    <row r="751" spans="1:201" x14ac:dyDescent="0.3">
      <c r="A751" t="s">
        <v>415</v>
      </c>
      <c r="B751" t="s">
        <v>429</v>
      </c>
      <c r="C751" t="s">
        <v>204</v>
      </c>
      <c r="D751">
        <v>377</v>
      </c>
      <c r="E751">
        <v>63</v>
      </c>
      <c r="F751">
        <v>35</v>
      </c>
      <c r="G751">
        <v>50</v>
      </c>
      <c r="H751">
        <v>16</v>
      </c>
      <c r="I751">
        <v>3</v>
      </c>
      <c r="J751">
        <v>18</v>
      </c>
      <c r="K751">
        <v>6</v>
      </c>
      <c r="L751">
        <v>0</v>
      </c>
      <c r="M751">
        <v>15</v>
      </c>
      <c r="N751">
        <v>49</v>
      </c>
      <c r="O751">
        <v>12</v>
      </c>
      <c r="P751">
        <v>0</v>
      </c>
      <c r="Q751">
        <v>0</v>
      </c>
      <c r="R751">
        <v>0</v>
      </c>
      <c r="S751">
        <v>22</v>
      </c>
      <c r="T751">
        <v>3</v>
      </c>
      <c r="U751">
        <v>2</v>
      </c>
      <c r="V751">
        <v>3</v>
      </c>
      <c r="W751">
        <v>1</v>
      </c>
      <c r="X751">
        <v>0</v>
      </c>
      <c r="Y751">
        <v>63</v>
      </c>
      <c r="Z751">
        <v>0</v>
      </c>
      <c r="AA751">
        <v>0</v>
      </c>
      <c r="AB751">
        <v>1</v>
      </c>
      <c r="AC751">
        <v>1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1</v>
      </c>
      <c r="AJ751">
        <v>0</v>
      </c>
      <c r="AK751">
        <v>0</v>
      </c>
      <c r="AL751">
        <v>1</v>
      </c>
      <c r="AM751">
        <v>0</v>
      </c>
      <c r="AN751">
        <v>2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2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</row>
    <row r="752" spans="1:201" x14ac:dyDescent="0.3">
      <c r="A752" t="s">
        <v>415</v>
      </c>
      <c r="B752" t="s">
        <v>430</v>
      </c>
      <c r="C752" t="s">
        <v>200</v>
      </c>
      <c r="D752" s="1">
        <v>1212</v>
      </c>
      <c r="E752">
        <v>193</v>
      </c>
      <c r="F752">
        <v>74</v>
      </c>
      <c r="G752">
        <v>58</v>
      </c>
      <c r="H752">
        <v>193</v>
      </c>
      <c r="I752">
        <v>52</v>
      </c>
      <c r="J752">
        <v>124</v>
      </c>
      <c r="K752">
        <v>34</v>
      </c>
      <c r="L752">
        <v>67</v>
      </c>
      <c r="M752">
        <v>97</v>
      </c>
      <c r="N752">
        <v>150</v>
      </c>
      <c r="O752">
        <v>18</v>
      </c>
      <c r="P752">
        <v>8</v>
      </c>
      <c r="Q752">
        <v>0</v>
      </c>
      <c r="R752">
        <v>26</v>
      </c>
      <c r="S752">
        <v>29</v>
      </c>
      <c r="T752">
        <v>7</v>
      </c>
      <c r="U752">
        <v>12</v>
      </c>
      <c r="V752">
        <v>4</v>
      </c>
      <c r="W752">
        <v>7</v>
      </c>
      <c r="X752">
        <v>7</v>
      </c>
      <c r="Y752">
        <v>14</v>
      </c>
      <c r="Z752">
        <v>12</v>
      </c>
      <c r="AA752">
        <v>1</v>
      </c>
      <c r="AB752">
        <v>5</v>
      </c>
      <c r="AC752">
        <v>3</v>
      </c>
      <c r="AD752">
        <v>2</v>
      </c>
      <c r="AE752">
        <v>0</v>
      </c>
      <c r="AF752">
        <v>0</v>
      </c>
      <c r="AG752">
        <v>3</v>
      </c>
      <c r="AH752">
        <v>0</v>
      </c>
      <c r="AI752">
        <v>1</v>
      </c>
      <c r="AJ752">
        <v>1</v>
      </c>
      <c r="AK752">
        <v>0</v>
      </c>
      <c r="AL752">
        <v>0</v>
      </c>
      <c r="AM752">
        <v>0</v>
      </c>
      <c r="AN752">
        <v>1</v>
      </c>
      <c r="AO752">
        <v>2</v>
      </c>
      <c r="AP752">
        <v>0</v>
      </c>
      <c r="AQ752">
        <v>2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1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1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</row>
    <row r="753" spans="1:201" x14ac:dyDescent="0.3">
      <c r="A753" t="s">
        <v>415</v>
      </c>
      <c r="B753" t="s">
        <v>430</v>
      </c>
      <c r="C753" t="s">
        <v>203</v>
      </c>
      <c r="D753">
        <v>739</v>
      </c>
      <c r="E753">
        <v>79</v>
      </c>
      <c r="F753">
        <v>31</v>
      </c>
      <c r="G753">
        <v>15</v>
      </c>
      <c r="H753">
        <v>158</v>
      </c>
      <c r="I753">
        <v>41</v>
      </c>
      <c r="J753">
        <v>79</v>
      </c>
      <c r="K753">
        <v>13</v>
      </c>
      <c r="L753">
        <v>67</v>
      </c>
      <c r="M753">
        <v>78</v>
      </c>
      <c r="N753">
        <v>77</v>
      </c>
      <c r="O753">
        <v>9</v>
      </c>
      <c r="P753">
        <v>3</v>
      </c>
      <c r="Q753">
        <v>0</v>
      </c>
      <c r="R753">
        <v>24</v>
      </c>
      <c r="S753">
        <v>1</v>
      </c>
      <c r="T753">
        <v>4</v>
      </c>
      <c r="U753">
        <v>10</v>
      </c>
      <c r="V753">
        <v>4</v>
      </c>
      <c r="W753">
        <v>4</v>
      </c>
      <c r="X753">
        <v>7</v>
      </c>
      <c r="Y753">
        <v>10</v>
      </c>
      <c r="Z753">
        <v>11</v>
      </c>
      <c r="AA753">
        <v>1</v>
      </c>
      <c r="AB753">
        <v>3</v>
      </c>
      <c r="AC753">
        <v>2</v>
      </c>
      <c r="AD753">
        <v>0</v>
      </c>
      <c r="AE753">
        <v>0</v>
      </c>
      <c r="AF753">
        <v>0</v>
      </c>
      <c r="AG753">
        <v>2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2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</row>
    <row r="754" spans="1:201" x14ac:dyDescent="0.3">
      <c r="A754" t="s">
        <v>415</v>
      </c>
      <c r="B754" t="s">
        <v>430</v>
      </c>
      <c r="C754" t="s">
        <v>204</v>
      </c>
      <c r="D754">
        <v>473</v>
      </c>
      <c r="E754">
        <v>114</v>
      </c>
      <c r="F754">
        <v>43</v>
      </c>
      <c r="G754">
        <v>43</v>
      </c>
      <c r="H754">
        <v>35</v>
      </c>
      <c r="I754">
        <v>11</v>
      </c>
      <c r="J754">
        <v>45</v>
      </c>
      <c r="K754">
        <v>21</v>
      </c>
      <c r="L754">
        <v>0</v>
      </c>
      <c r="M754">
        <v>19</v>
      </c>
      <c r="N754">
        <v>73</v>
      </c>
      <c r="O754">
        <v>9</v>
      </c>
      <c r="P754">
        <v>5</v>
      </c>
      <c r="Q754">
        <v>0</v>
      </c>
      <c r="R754">
        <v>2</v>
      </c>
      <c r="S754">
        <v>28</v>
      </c>
      <c r="T754">
        <v>3</v>
      </c>
      <c r="U754">
        <v>2</v>
      </c>
      <c r="V754">
        <v>0</v>
      </c>
      <c r="W754">
        <v>3</v>
      </c>
      <c r="X754">
        <v>0</v>
      </c>
      <c r="Y754">
        <v>4</v>
      </c>
      <c r="Z754">
        <v>1</v>
      </c>
      <c r="AA754">
        <v>0</v>
      </c>
      <c r="AB754">
        <v>2</v>
      </c>
      <c r="AC754">
        <v>1</v>
      </c>
      <c r="AD754">
        <v>2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1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1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</row>
    <row r="755" spans="1:201" x14ac:dyDescent="0.3">
      <c r="A755" t="s">
        <v>415</v>
      </c>
      <c r="B755" t="s">
        <v>431</v>
      </c>
      <c r="C755" t="s">
        <v>200</v>
      </c>
      <c r="D755">
        <v>308</v>
      </c>
      <c r="E755">
        <v>60</v>
      </c>
      <c r="F755">
        <v>6</v>
      </c>
      <c r="G755">
        <v>11</v>
      </c>
      <c r="H755">
        <v>51</v>
      </c>
      <c r="I755">
        <v>4</v>
      </c>
      <c r="J755">
        <v>47</v>
      </c>
      <c r="K755">
        <v>1</v>
      </c>
      <c r="L755">
        <v>22</v>
      </c>
      <c r="M755">
        <v>14</v>
      </c>
      <c r="N755">
        <v>27</v>
      </c>
      <c r="O755">
        <v>2</v>
      </c>
      <c r="P755">
        <v>12</v>
      </c>
      <c r="Q755">
        <v>8</v>
      </c>
      <c r="R755">
        <v>1</v>
      </c>
      <c r="S755">
        <v>19</v>
      </c>
      <c r="T755">
        <v>9</v>
      </c>
      <c r="U755">
        <v>0</v>
      </c>
      <c r="V755">
        <v>0</v>
      </c>
      <c r="W755">
        <v>1</v>
      </c>
      <c r="X755">
        <v>0</v>
      </c>
      <c r="Y755">
        <v>1</v>
      </c>
      <c r="Z755">
        <v>3</v>
      </c>
      <c r="AA755">
        <v>0</v>
      </c>
      <c r="AB755">
        <v>0</v>
      </c>
      <c r="AC755">
        <v>1</v>
      </c>
      <c r="AD755">
        <v>6</v>
      </c>
      <c r="AE755">
        <v>0</v>
      </c>
      <c r="AF755">
        <v>1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</row>
    <row r="756" spans="1:201" x14ac:dyDescent="0.3">
      <c r="A756" t="s">
        <v>415</v>
      </c>
      <c r="B756" t="s">
        <v>431</v>
      </c>
      <c r="C756" t="s">
        <v>203</v>
      </c>
      <c r="D756">
        <v>186</v>
      </c>
      <c r="E756">
        <v>31</v>
      </c>
      <c r="F756">
        <v>1</v>
      </c>
      <c r="G756">
        <v>5</v>
      </c>
      <c r="H756">
        <v>50</v>
      </c>
      <c r="I756">
        <v>2</v>
      </c>
      <c r="J756">
        <v>30</v>
      </c>
      <c r="K756">
        <v>0</v>
      </c>
      <c r="L756">
        <v>22</v>
      </c>
      <c r="M756">
        <v>8</v>
      </c>
      <c r="N756">
        <v>13</v>
      </c>
      <c r="O756">
        <v>0</v>
      </c>
      <c r="P756">
        <v>2</v>
      </c>
      <c r="Q756">
        <v>8</v>
      </c>
      <c r="R756">
        <v>1</v>
      </c>
      <c r="S756">
        <v>1</v>
      </c>
      <c r="T756">
        <v>9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2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</row>
    <row r="757" spans="1:201" x14ac:dyDescent="0.3">
      <c r="A757" t="s">
        <v>415</v>
      </c>
      <c r="B757" t="s">
        <v>431</v>
      </c>
      <c r="C757" t="s">
        <v>204</v>
      </c>
      <c r="D757">
        <v>122</v>
      </c>
      <c r="E757">
        <v>29</v>
      </c>
      <c r="F757">
        <v>5</v>
      </c>
      <c r="G757">
        <v>6</v>
      </c>
      <c r="H757">
        <v>1</v>
      </c>
      <c r="I757">
        <v>2</v>
      </c>
      <c r="J757">
        <v>17</v>
      </c>
      <c r="K757">
        <v>1</v>
      </c>
      <c r="L757">
        <v>0</v>
      </c>
      <c r="M757">
        <v>6</v>
      </c>
      <c r="N757">
        <v>14</v>
      </c>
      <c r="O757">
        <v>2</v>
      </c>
      <c r="P757">
        <v>10</v>
      </c>
      <c r="Q757">
        <v>0</v>
      </c>
      <c r="R757">
        <v>0</v>
      </c>
      <c r="S757">
        <v>18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0</v>
      </c>
      <c r="AB757">
        <v>0</v>
      </c>
      <c r="AC757">
        <v>1</v>
      </c>
      <c r="AD757">
        <v>6</v>
      </c>
      <c r="AE757">
        <v>0</v>
      </c>
      <c r="AF757">
        <v>1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</row>
    <row r="758" spans="1:201" x14ac:dyDescent="0.3">
      <c r="A758" t="s">
        <v>415</v>
      </c>
      <c r="B758" t="s">
        <v>432</v>
      </c>
      <c r="C758" t="s">
        <v>200</v>
      </c>
      <c r="D758" s="1">
        <v>1471</v>
      </c>
      <c r="E758">
        <v>290</v>
      </c>
      <c r="F758">
        <v>67</v>
      </c>
      <c r="G758">
        <v>82</v>
      </c>
      <c r="H758">
        <v>259</v>
      </c>
      <c r="I758">
        <v>52</v>
      </c>
      <c r="J758">
        <v>101</v>
      </c>
      <c r="K758">
        <v>87</v>
      </c>
      <c r="L758">
        <v>46</v>
      </c>
      <c r="M758">
        <v>63</v>
      </c>
      <c r="N758">
        <v>172</v>
      </c>
      <c r="O758">
        <v>5</v>
      </c>
      <c r="P758">
        <v>9</v>
      </c>
      <c r="Q758">
        <v>24</v>
      </c>
      <c r="R758">
        <v>41</v>
      </c>
      <c r="S758">
        <v>17</v>
      </c>
      <c r="T758">
        <v>5</v>
      </c>
      <c r="U758">
        <v>6</v>
      </c>
      <c r="V758">
        <v>22</v>
      </c>
      <c r="W758">
        <v>1</v>
      </c>
      <c r="X758">
        <v>4</v>
      </c>
      <c r="Y758">
        <v>88</v>
      </c>
      <c r="Z758">
        <v>7</v>
      </c>
      <c r="AA758">
        <v>0</v>
      </c>
      <c r="AB758">
        <v>0</v>
      </c>
      <c r="AC758">
        <v>0</v>
      </c>
      <c r="AD758">
        <v>6</v>
      </c>
      <c r="AE758">
        <v>0</v>
      </c>
      <c r="AF758">
        <v>1</v>
      </c>
      <c r="AG758">
        <v>0</v>
      </c>
      <c r="AH758">
        <v>2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3</v>
      </c>
      <c r="AQ758">
        <v>1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1</v>
      </c>
      <c r="AZ758">
        <v>0</v>
      </c>
      <c r="BA758">
        <v>2</v>
      </c>
      <c r="BB758">
        <v>0</v>
      </c>
      <c r="BC758">
        <v>0</v>
      </c>
      <c r="BD758">
        <v>0</v>
      </c>
      <c r="BE758">
        <v>3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2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</row>
    <row r="759" spans="1:201" x14ac:dyDescent="0.3">
      <c r="A759" t="s">
        <v>415</v>
      </c>
      <c r="B759" t="s">
        <v>432</v>
      </c>
      <c r="C759" t="s">
        <v>203</v>
      </c>
      <c r="D759">
        <v>985</v>
      </c>
      <c r="E759">
        <v>176</v>
      </c>
      <c r="F759">
        <v>29</v>
      </c>
      <c r="G759">
        <v>29</v>
      </c>
      <c r="H759">
        <v>229</v>
      </c>
      <c r="I759">
        <v>47</v>
      </c>
      <c r="J759">
        <v>62</v>
      </c>
      <c r="K759">
        <v>54</v>
      </c>
      <c r="L759">
        <v>43</v>
      </c>
      <c r="M759">
        <v>42</v>
      </c>
      <c r="N759">
        <v>111</v>
      </c>
      <c r="O759">
        <v>3</v>
      </c>
      <c r="P759">
        <v>4</v>
      </c>
      <c r="Q759">
        <v>22</v>
      </c>
      <c r="R759">
        <v>33</v>
      </c>
      <c r="S759">
        <v>1</v>
      </c>
      <c r="T759">
        <v>0</v>
      </c>
      <c r="U759">
        <v>1</v>
      </c>
      <c r="V759">
        <v>18</v>
      </c>
      <c r="W759">
        <v>0</v>
      </c>
      <c r="X759">
        <v>4</v>
      </c>
      <c r="Y759">
        <v>58</v>
      </c>
      <c r="Z759">
        <v>6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1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3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>
        <v>0</v>
      </c>
      <c r="BD759">
        <v>0</v>
      </c>
      <c r="BE759">
        <v>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2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</row>
    <row r="760" spans="1:201" x14ac:dyDescent="0.3">
      <c r="A760" t="s">
        <v>415</v>
      </c>
      <c r="B760" t="s">
        <v>432</v>
      </c>
      <c r="C760" t="s">
        <v>204</v>
      </c>
      <c r="D760">
        <v>486</v>
      </c>
      <c r="E760">
        <v>114</v>
      </c>
      <c r="F760">
        <v>38</v>
      </c>
      <c r="G760">
        <v>53</v>
      </c>
      <c r="H760">
        <v>30</v>
      </c>
      <c r="I760">
        <v>5</v>
      </c>
      <c r="J760">
        <v>39</v>
      </c>
      <c r="K760">
        <v>33</v>
      </c>
      <c r="L760">
        <v>3</v>
      </c>
      <c r="M760">
        <v>21</v>
      </c>
      <c r="N760">
        <v>61</v>
      </c>
      <c r="O760">
        <v>2</v>
      </c>
      <c r="P760">
        <v>5</v>
      </c>
      <c r="Q760">
        <v>2</v>
      </c>
      <c r="R760">
        <v>8</v>
      </c>
      <c r="S760">
        <v>16</v>
      </c>
      <c r="T760">
        <v>5</v>
      </c>
      <c r="U760">
        <v>5</v>
      </c>
      <c r="V760">
        <v>4</v>
      </c>
      <c r="W760">
        <v>1</v>
      </c>
      <c r="X760">
        <v>0</v>
      </c>
      <c r="Y760">
        <v>30</v>
      </c>
      <c r="Z760">
        <v>1</v>
      </c>
      <c r="AA760">
        <v>0</v>
      </c>
      <c r="AB760">
        <v>0</v>
      </c>
      <c r="AC760">
        <v>0</v>
      </c>
      <c r="AD760">
        <v>5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1</v>
      </c>
      <c r="BB760">
        <v>0</v>
      </c>
      <c r="BC760">
        <v>0</v>
      </c>
      <c r="BD760">
        <v>0</v>
      </c>
      <c r="BE760">
        <v>2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</row>
    <row r="761" spans="1:201" x14ac:dyDescent="0.3">
      <c r="A761" t="s">
        <v>433</v>
      </c>
      <c r="B761" t="s">
        <v>200</v>
      </c>
      <c r="C761" t="s">
        <v>200</v>
      </c>
      <c r="D761" s="1">
        <v>49077</v>
      </c>
      <c r="E761" s="1">
        <v>14842</v>
      </c>
      <c r="F761" s="1">
        <v>1522</v>
      </c>
      <c r="G761" s="1">
        <v>5480</v>
      </c>
      <c r="H761" s="1">
        <v>4075</v>
      </c>
      <c r="I761" s="1">
        <v>3319</v>
      </c>
      <c r="J761" s="1">
        <v>3643</v>
      </c>
      <c r="K761" s="1">
        <v>1755</v>
      </c>
      <c r="L761" s="1">
        <v>1793</v>
      </c>
      <c r="M761" s="1">
        <v>1794</v>
      </c>
      <c r="N761" s="1">
        <v>1236</v>
      </c>
      <c r="O761" s="1">
        <v>1286</v>
      </c>
      <c r="P761">
        <v>543</v>
      </c>
      <c r="Q761" s="1">
        <v>1568</v>
      </c>
      <c r="R761" s="1">
        <v>1363</v>
      </c>
      <c r="S761">
        <v>678</v>
      </c>
      <c r="T761">
        <v>565</v>
      </c>
      <c r="U761">
        <v>243</v>
      </c>
      <c r="V761">
        <v>384</v>
      </c>
      <c r="W761">
        <v>290</v>
      </c>
      <c r="X761">
        <v>423</v>
      </c>
      <c r="Y761">
        <v>412</v>
      </c>
      <c r="Z761">
        <v>180</v>
      </c>
      <c r="AA761">
        <v>23</v>
      </c>
      <c r="AB761">
        <v>47</v>
      </c>
      <c r="AC761">
        <v>59</v>
      </c>
      <c r="AD761">
        <v>185</v>
      </c>
      <c r="AE761">
        <v>177</v>
      </c>
      <c r="AF761">
        <v>62</v>
      </c>
      <c r="AG761">
        <v>98</v>
      </c>
      <c r="AH761">
        <v>18</v>
      </c>
      <c r="AI761">
        <v>116</v>
      </c>
      <c r="AJ761">
        <v>5</v>
      </c>
      <c r="AK761">
        <v>20</v>
      </c>
      <c r="AL761">
        <v>10</v>
      </c>
      <c r="AM761">
        <v>9</v>
      </c>
      <c r="AN761">
        <v>19</v>
      </c>
      <c r="AO761">
        <v>57</v>
      </c>
      <c r="AP761">
        <v>131</v>
      </c>
      <c r="AQ761">
        <v>41</v>
      </c>
      <c r="AR761">
        <v>32</v>
      </c>
      <c r="AS761">
        <v>20</v>
      </c>
      <c r="AT761">
        <v>9</v>
      </c>
      <c r="AU761">
        <v>35</v>
      </c>
      <c r="AV761">
        <v>8</v>
      </c>
      <c r="AW761">
        <v>5</v>
      </c>
      <c r="AX761">
        <v>97</v>
      </c>
      <c r="AY761">
        <v>18</v>
      </c>
      <c r="AZ761">
        <v>43</v>
      </c>
      <c r="BA761">
        <v>6</v>
      </c>
      <c r="BB761">
        <v>0</v>
      </c>
      <c r="BC761">
        <v>1</v>
      </c>
      <c r="BD761">
        <v>4</v>
      </c>
      <c r="BE761">
        <v>14</v>
      </c>
      <c r="BF761">
        <v>14</v>
      </c>
      <c r="BG761">
        <v>9</v>
      </c>
      <c r="BH761">
        <v>11</v>
      </c>
      <c r="BI761">
        <v>24</v>
      </c>
      <c r="BJ761">
        <v>2</v>
      </c>
      <c r="BK761">
        <v>9</v>
      </c>
      <c r="BL761">
        <v>3</v>
      </c>
      <c r="BM761">
        <v>8</v>
      </c>
      <c r="BN761">
        <v>6</v>
      </c>
      <c r="BO761">
        <v>4</v>
      </c>
      <c r="BP761">
        <v>16</v>
      </c>
      <c r="BQ761">
        <v>11</v>
      </c>
      <c r="BR761">
        <v>2</v>
      </c>
      <c r="BS761">
        <v>10</v>
      </c>
      <c r="BT761">
        <v>10</v>
      </c>
      <c r="BU761">
        <v>5</v>
      </c>
      <c r="BV761">
        <v>6</v>
      </c>
      <c r="BW761">
        <v>3</v>
      </c>
      <c r="BX761">
        <v>7</v>
      </c>
      <c r="BY761">
        <v>8</v>
      </c>
      <c r="BZ761">
        <v>1</v>
      </c>
      <c r="CA761">
        <v>2</v>
      </c>
      <c r="CB761">
        <v>21</v>
      </c>
      <c r="CC761">
        <v>4</v>
      </c>
      <c r="CD761">
        <v>3</v>
      </c>
      <c r="CE761">
        <v>8</v>
      </c>
      <c r="CF761">
        <v>1</v>
      </c>
      <c r="CG761">
        <v>0</v>
      </c>
      <c r="CH761">
        <v>1</v>
      </c>
      <c r="CI761">
        <v>6</v>
      </c>
      <c r="CJ761">
        <v>2</v>
      </c>
      <c r="CK761">
        <v>3</v>
      </c>
      <c r="CL761">
        <v>2</v>
      </c>
      <c r="CM761">
        <v>6</v>
      </c>
      <c r="CN761">
        <v>0</v>
      </c>
      <c r="CO761">
        <v>1</v>
      </c>
      <c r="CP761">
        <v>3</v>
      </c>
      <c r="CQ761">
        <v>0</v>
      </c>
      <c r="CR761">
        <v>5</v>
      </c>
      <c r="CS761">
        <v>7</v>
      </c>
      <c r="CT761">
        <v>0</v>
      </c>
      <c r="CU761">
        <v>0</v>
      </c>
      <c r="CV761">
        <v>4</v>
      </c>
      <c r="CW761">
        <v>1</v>
      </c>
      <c r="CX761">
        <v>5</v>
      </c>
      <c r="CY761">
        <v>1</v>
      </c>
      <c r="CZ761">
        <v>0</v>
      </c>
      <c r="DA761">
        <v>1</v>
      </c>
      <c r="DB761">
        <v>1</v>
      </c>
      <c r="DC761">
        <v>8</v>
      </c>
      <c r="DD761">
        <v>5</v>
      </c>
      <c r="DE761">
        <v>1</v>
      </c>
      <c r="DF761">
        <v>0</v>
      </c>
      <c r="DG761">
        <v>1</v>
      </c>
      <c r="DH761">
        <v>3</v>
      </c>
      <c r="DI761">
        <v>1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2</v>
      </c>
      <c r="DP761">
        <v>1</v>
      </c>
      <c r="DQ761">
        <v>0</v>
      </c>
      <c r="DR761">
        <v>1</v>
      </c>
      <c r="DS761">
        <v>0</v>
      </c>
      <c r="DT761">
        <v>1</v>
      </c>
      <c r="DU761">
        <v>0</v>
      </c>
      <c r="DV761">
        <v>2</v>
      </c>
      <c r="DW761">
        <v>0</v>
      </c>
      <c r="DX761">
        <v>1</v>
      </c>
      <c r="DY761">
        <v>2</v>
      </c>
      <c r="DZ761">
        <v>1</v>
      </c>
      <c r="EA761">
        <v>6</v>
      </c>
      <c r="EB761">
        <v>3</v>
      </c>
      <c r="EC761">
        <v>0</v>
      </c>
      <c r="ED761">
        <v>1</v>
      </c>
      <c r="EE761">
        <v>0</v>
      </c>
      <c r="EF761">
        <v>2</v>
      </c>
      <c r="EG761">
        <v>0</v>
      </c>
      <c r="EH761">
        <v>0</v>
      </c>
      <c r="EI761">
        <v>0</v>
      </c>
      <c r="EJ761">
        <v>0</v>
      </c>
      <c r="EK761">
        <v>4</v>
      </c>
      <c r="EL761">
        <v>0</v>
      </c>
      <c r="EM761">
        <v>2</v>
      </c>
      <c r="EN761">
        <v>1</v>
      </c>
      <c r="EO761">
        <v>0</v>
      </c>
      <c r="EP761">
        <v>0</v>
      </c>
      <c r="EQ761">
        <v>0</v>
      </c>
      <c r="ER761">
        <v>0</v>
      </c>
      <c r="ES761">
        <v>1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1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1</v>
      </c>
      <c r="FZ761">
        <v>0</v>
      </c>
      <c r="GA761">
        <v>0</v>
      </c>
      <c r="GB761">
        <v>0</v>
      </c>
      <c r="GC761">
        <v>0</v>
      </c>
      <c r="GD761">
        <v>1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4</v>
      </c>
    </row>
    <row r="762" spans="1:201" x14ac:dyDescent="0.3">
      <c r="A762" t="s">
        <v>433</v>
      </c>
      <c r="B762" t="s">
        <v>200</v>
      </c>
      <c r="C762" t="s">
        <v>203</v>
      </c>
      <c r="D762" s="1">
        <f>D765+D768+D771+D774+D777+D780+D783+D786+D789+D792+D795+D798+D801+D804+D807</f>
        <v>29316</v>
      </c>
      <c r="E762" s="1">
        <f t="shared" ref="E762:BP762" si="128">E765+E768+E771+E774+E777+E780+E783+E786+E789+E792+E795+E798+E801+E804+E807</f>
        <v>7811</v>
      </c>
      <c r="F762" s="1">
        <f t="shared" si="128"/>
        <v>822</v>
      </c>
      <c r="G762" s="1">
        <f t="shared" si="128"/>
        <v>2284</v>
      </c>
      <c r="H762" s="1">
        <f t="shared" si="128"/>
        <v>3212</v>
      </c>
      <c r="I762" s="1">
        <f t="shared" si="128"/>
        <v>2772</v>
      </c>
      <c r="J762" s="1">
        <f t="shared" si="128"/>
        <v>1912</v>
      </c>
      <c r="K762" s="1">
        <f t="shared" si="128"/>
        <v>1629</v>
      </c>
      <c r="L762" s="1">
        <f t="shared" si="128"/>
        <v>1418</v>
      </c>
      <c r="M762" s="1">
        <f t="shared" si="128"/>
        <v>931</v>
      </c>
      <c r="N762" s="1">
        <f t="shared" si="128"/>
        <v>621</v>
      </c>
      <c r="O762" s="1">
        <f t="shared" si="128"/>
        <v>620</v>
      </c>
      <c r="P762" s="1">
        <f t="shared" si="128"/>
        <v>310</v>
      </c>
      <c r="Q762" s="1">
        <f t="shared" si="128"/>
        <v>1375</v>
      </c>
      <c r="R762" s="1">
        <f t="shared" si="128"/>
        <v>1063</v>
      </c>
      <c r="S762" s="1">
        <f t="shared" si="128"/>
        <v>38</v>
      </c>
      <c r="T762" s="1">
        <f t="shared" si="128"/>
        <v>325</v>
      </c>
      <c r="U762" s="1">
        <f t="shared" si="128"/>
        <v>124</v>
      </c>
      <c r="V762" s="1">
        <f t="shared" si="128"/>
        <v>301</v>
      </c>
      <c r="W762" s="1">
        <f t="shared" si="128"/>
        <v>143</v>
      </c>
      <c r="X762" s="1">
        <f t="shared" si="128"/>
        <v>281</v>
      </c>
      <c r="Y762" s="1">
        <f t="shared" si="128"/>
        <v>163</v>
      </c>
      <c r="Z762" s="1">
        <f t="shared" si="128"/>
        <v>136</v>
      </c>
      <c r="AA762" s="1">
        <f t="shared" si="128"/>
        <v>11</v>
      </c>
      <c r="AB762" s="1">
        <f t="shared" si="128"/>
        <v>15</v>
      </c>
      <c r="AC762" s="1">
        <f t="shared" si="128"/>
        <v>38</v>
      </c>
      <c r="AD762" s="1">
        <f t="shared" si="128"/>
        <v>33</v>
      </c>
      <c r="AE762" s="1">
        <f t="shared" si="128"/>
        <v>176</v>
      </c>
      <c r="AF762" s="1">
        <f t="shared" si="128"/>
        <v>45</v>
      </c>
      <c r="AG762" s="1">
        <f t="shared" si="128"/>
        <v>73</v>
      </c>
      <c r="AH762" s="1">
        <f t="shared" si="128"/>
        <v>8</v>
      </c>
      <c r="AI762" s="1">
        <f t="shared" si="128"/>
        <v>90</v>
      </c>
      <c r="AJ762" s="1">
        <f t="shared" si="128"/>
        <v>3</v>
      </c>
      <c r="AK762" s="1">
        <f t="shared" si="128"/>
        <v>15</v>
      </c>
      <c r="AL762" s="1">
        <f t="shared" si="128"/>
        <v>3</v>
      </c>
      <c r="AM762" s="1">
        <f t="shared" si="128"/>
        <v>0</v>
      </c>
      <c r="AN762" s="1">
        <f t="shared" si="128"/>
        <v>11</v>
      </c>
      <c r="AO762" s="1">
        <f t="shared" si="128"/>
        <v>44</v>
      </c>
      <c r="AP762" s="1">
        <f t="shared" si="128"/>
        <v>91</v>
      </c>
      <c r="AQ762" s="1">
        <f t="shared" si="128"/>
        <v>19</v>
      </c>
      <c r="AR762" s="1">
        <f t="shared" si="128"/>
        <v>20</v>
      </c>
      <c r="AS762" s="1">
        <f t="shared" si="128"/>
        <v>6</v>
      </c>
      <c r="AT762" s="1">
        <f t="shared" si="128"/>
        <v>3</v>
      </c>
      <c r="AU762" s="1">
        <f t="shared" si="128"/>
        <v>15</v>
      </c>
      <c r="AV762" s="1">
        <f t="shared" si="128"/>
        <v>6</v>
      </c>
      <c r="AW762" s="1">
        <f t="shared" si="128"/>
        <v>2</v>
      </c>
      <c r="AX762" s="1">
        <f t="shared" si="128"/>
        <v>79</v>
      </c>
      <c r="AY762" s="1">
        <f t="shared" si="128"/>
        <v>6</v>
      </c>
      <c r="AZ762" s="1">
        <f t="shared" si="128"/>
        <v>28</v>
      </c>
      <c r="BA762" s="1">
        <f t="shared" si="128"/>
        <v>2</v>
      </c>
      <c r="BB762" s="1">
        <f t="shared" si="128"/>
        <v>0</v>
      </c>
      <c r="BC762" s="1">
        <f t="shared" si="128"/>
        <v>1</v>
      </c>
      <c r="BD762" s="1">
        <f t="shared" si="128"/>
        <v>3</v>
      </c>
      <c r="BE762" s="1">
        <f t="shared" si="128"/>
        <v>11</v>
      </c>
      <c r="BF762" s="1">
        <f t="shared" si="128"/>
        <v>7</v>
      </c>
      <c r="BG762" s="1">
        <f t="shared" si="128"/>
        <v>7</v>
      </c>
      <c r="BH762" s="1">
        <f t="shared" si="128"/>
        <v>3</v>
      </c>
      <c r="BI762" s="1">
        <f t="shared" si="128"/>
        <v>18</v>
      </c>
      <c r="BJ762" s="1">
        <f t="shared" si="128"/>
        <v>2</v>
      </c>
      <c r="BK762" s="1">
        <f t="shared" si="128"/>
        <v>7</v>
      </c>
      <c r="BL762" s="1">
        <f t="shared" si="128"/>
        <v>1</v>
      </c>
      <c r="BM762" s="1">
        <f t="shared" si="128"/>
        <v>3</v>
      </c>
      <c r="BN762" s="1">
        <f t="shared" si="128"/>
        <v>0</v>
      </c>
      <c r="BO762" s="1">
        <f t="shared" si="128"/>
        <v>3</v>
      </c>
      <c r="BP762" s="1">
        <f t="shared" si="128"/>
        <v>8</v>
      </c>
      <c r="BQ762" s="1">
        <f t="shared" ref="BQ762:EB762" si="129">BQ765+BQ768+BQ771+BQ774+BQ777+BQ780+BQ783+BQ786+BQ789+BQ792+BQ795+BQ798+BQ801+BQ804+BQ807</f>
        <v>5</v>
      </c>
      <c r="BR762" s="1">
        <f t="shared" si="129"/>
        <v>1</v>
      </c>
      <c r="BS762" s="1">
        <f t="shared" si="129"/>
        <v>7</v>
      </c>
      <c r="BT762" s="1">
        <f t="shared" si="129"/>
        <v>8</v>
      </c>
      <c r="BU762" s="1">
        <f t="shared" si="129"/>
        <v>1</v>
      </c>
      <c r="BV762" s="1">
        <f t="shared" si="129"/>
        <v>1</v>
      </c>
      <c r="BW762" s="1">
        <f t="shared" si="129"/>
        <v>2</v>
      </c>
      <c r="BX762" s="1">
        <f t="shared" si="129"/>
        <v>2</v>
      </c>
      <c r="BY762" s="1">
        <f t="shared" si="129"/>
        <v>6</v>
      </c>
      <c r="BZ762" s="1">
        <f t="shared" si="129"/>
        <v>0</v>
      </c>
      <c r="CA762" s="1">
        <f t="shared" si="129"/>
        <v>2</v>
      </c>
      <c r="CB762" s="1">
        <f t="shared" si="129"/>
        <v>18</v>
      </c>
      <c r="CC762" s="1">
        <f t="shared" si="129"/>
        <v>1</v>
      </c>
      <c r="CD762" s="1">
        <f t="shared" si="129"/>
        <v>1</v>
      </c>
      <c r="CE762" s="1">
        <f t="shared" si="129"/>
        <v>1</v>
      </c>
      <c r="CF762" s="1">
        <f t="shared" si="129"/>
        <v>0</v>
      </c>
      <c r="CG762" s="1">
        <f t="shared" si="129"/>
        <v>0</v>
      </c>
      <c r="CH762" s="1">
        <f t="shared" si="129"/>
        <v>0</v>
      </c>
      <c r="CI762" s="1">
        <f t="shared" si="129"/>
        <v>3</v>
      </c>
      <c r="CJ762" s="1">
        <f t="shared" si="129"/>
        <v>1</v>
      </c>
      <c r="CK762" s="1">
        <f t="shared" si="129"/>
        <v>2</v>
      </c>
      <c r="CL762" s="1">
        <f t="shared" si="129"/>
        <v>1</v>
      </c>
      <c r="CM762" s="1">
        <f t="shared" si="129"/>
        <v>6</v>
      </c>
      <c r="CN762" s="1">
        <f t="shared" si="129"/>
        <v>0</v>
      </c>
      <c r="CO762" s="1">
        <f t="shared" si="129"/>
        <v>1</v>
      </c>
      <c r="CP762" s="1">
        <f t="shared" si="129"/>
        <v>3</v>
      </c>
      <c r="CQ762" s="1">
        <f t="shared" si="129"/>
        <v>0</v>
      </c>
      <c r="CR762" s="1">
        <f t="shared" si="129"/>
        <v>4</v>
      </c>
      <c r="CS762" s="1">
        <f t="shared" si="129"/>
        <v>3</v>
      </c>
      <c r="CT762" s="1">
        <f t="shared" si="129"/>
        <v>0</v>
      </c>
      <c r="CU762" s="1">
        <f t="shared" si="129"/>
        <v>0</v>
      </c>
      <c r="CV762" s="1">
        <f t="shared" si="129"/>
        <v>2</v>
      </c>
      <c r="CW762" s="1">
        <f t="shared" si="129"/>
        <v>0</v>
      </c>
      <c r="CX762" s="1">
        <f t="shared" si="129"/>
        <v>3</v>
      </c>
      <c r="CY762" s="1">
        <f t="shared" si="129"/>
        <v>0</v>
      </c>
      <c r="CZ762" s="1">
        <f t="shared" si="129"/>
        <v>0</v>
      </c>
      <c r="DA762" s="1">
        <f t="shared" si="129"/>
        <v>1</v>
      </c>
      <c r="DB762" s="1">
        <f t="shared" si="129"/>
        <v>0</v>
      </c>
      <c r="DC762" s="1">
        <f t="shared" si="129"/>
        <v>8</v>
      </c>
      <c r="DD762" s="1">
        <f t="shared" si="129"/>
        <v>1</v>
      </c>
      <c r="DE762" s="1">
        <f t="shared" si="129"/>
        <v>0</v>
      </c>
      <c r="DF762" s="1">
        <f t="shared" si="129"/>
        <v>0</v>
      </c>
      <c r="DG762" s="1">
        <f t="shared" si="129"/>
        <v>0</v>
      </c>
      <c r="DH762" s="1">
        <f t="shared" si="129"/>
        <v>1</v>
      </c>
      <c r="DI762" s="1">
        <f t="shared" si="129"/>
        <v>0</v>
      </c>
      <c r="DJ762" s="1">
        <f t="shared" si="129"/>
        <v>0</v>
      </c>
      <c r="DK762" s="1">
        <f t="shared" si="129"/>
        <v>0</v>
      </c>
      <c r="DL762" s="1">
        <f t="shared" si="129"/>
        <v>0</v>
      </c>
      <c r="DM762" s="1">
        <f t="shared" si="129"/>
        <v>0</v>
      </c>
      <c r="DN762" s="1">
        <f t="shared" si="129"/>
        <v>0</v>
      </c>
      <c r="DO762" s="1">
        <f t="shared" si="129"/>
        <v>0</v>
      </c>
      <c r="DP762" s="1">
        <f t="shared" si="129"/>
        <v>0</v>
      </c>
      <c r="DQ762" s="1">
        <f t="shared" si="129"/>
        <v>0</v>
      </c>
      <c r="DR762" s="1">
        <f t="shared" si="129"/>
        <v>1</v>
      </c>
      <c r="DS762" s="1">
        <f t="shared" si="129"/>
        <v>0</v>
      </c>
      <c r="DT762" s="1">
        <f t="shared" si="129"/>
        <v>0</v>
      </c>
      <c r="DU762" s="1">
        <f t="shared" si="129"/>
        <v>0</v>
      </c>
      <c r="DV762" s="1">
        <f t="shared" si="129"/>
        <v>1</v>
      </c>
      <c r="DW762" s="1">
        <f t="shared" si="129"/>
        <v>0</v>
      </c>
      <c r="DX762" s="1">
        <f t="shared" si="129"/>
        <v>1</v>
      </c>
      <c r="DY762" s="1">
        <f t="shared" si="129"/>
        <v>0</v>
      </c>
      <c r="DZ762" s="1">
        <f t="shared" si="129"/>
        <v>0</v>
      </c>
      <c r="EA762" s="1">
        <f t="shared" si="129"/>
        <v>1</v>
      </c>
      <c r="EB762" s="1">
        <f t="shared" si="129"/>
        <v>2</v>
      </c>
      <c r="EC762" s="1">
        <f t="shared" ref="EC762:GN762" si="130">EC765+EC768+EC771+EC774+EC777+EC780+EC783+EC786+EC789+EC792+EC795+EC798+EC801+EC804+EC807</f>
        <v>0</v>
      </c>
      <c r="ED762" s="1">
        <f t="shared" si="130"/>
        <v>0</v>
      </c>
      <c r="EE762" s="1">
        <f t="shared" si="130"/>
        <v>0</v>
      </c>
      <c r="EF762" s="1">
        <f t="shared" si="130"/>
        <v>1</v>
      </c>
      <c r="EG762" s="1">
        <f t="shared" si="130"/>
        <v>0</v>
      </c>
      <c r="EH762" s="1">
        <f t="shared" si="130"/>
        <v>0</v>
      </c>
      <c r="EI762" s="1">
        <f t="shared" si="130"/>
        <v>0</v>
      </c>
      <c r="EJ762" s="1">
        <f t="shared" si="130"/>
        <v>0</v>
      </c>
      <c r="EK762" s="1">
        <f t="shared" si="130"/>
        <v>1</v>
      </c>
      <c r="EL762" s="1">
        <f t="shared" si="130"/>
        <v>0</v>
      </c>
      <c r="EM762" s="1">
        <f t="shared" si="130"/>
        <v>2</v>
      </c>
      <c r="EN762" s="1">
        <f t="shared" si="130"/>
        <v>0</v>
      </c>
      <c r="EO762" s="1">
        <f t="shared" si="130"/>
        <v>0</v>
      </c>
      <c r="EP762" s="1">
        <f t="shared" si="130"/>
        <v>0</v>
      </c>
      <c r="EQ762" s="1">
        <f t="shared" si="130"/>
        <v>0</v>
      </c>
      <c r="ER762" s="1">
        <f t="shared" si="130"/>
        <v>0</v>
      </c>
      <c r="ES762" s="1">
        <f t="shared" si="130"/>
        <v>0</v>
      </c>
      <c r="ET762" s="1">
        <f t="shared" si="130"/>
        <v>0</v>
      </c>
      <c r="EU762" s="1">
        <f t="shared" si="130"/>
        <v>0</v>
      </c>
      <c r="EV762" s="1">
        <f t="shared" si="130"/>
        <v>0</v>
      </c>
      <c r="EW762" s="1">
        <f t="shared" si="130"/>
        <v>0</v>
      </c>
      <c r="EX762" s="1">
        <f t="shared" si="130"/>
        <v>0</v>
      </c>
      <c r="EY762" s="1">
        <f t="shared" si="130"/>
        <v>0</v>
      </c>
      <c r="EZ762" s="1">
        <f t="shared" si="130"/>
        <v>0</v>
      </c>
      <c r="FA762" s="1">
        <f t="shared" si="130"/>
        <v>0</v>
      </c>
      <c r="FB762" s="1">
        <f t="shared" si="130"/>
        <v>0</v>
      </c>
      <c r="FC762" s="1">
        <f t="shared" si="130"/>
        <v>0</v>
      </c>
      <c r="FD762" s="1">
        <f t="shared" si="130"/>
        <v>0</v>
      </c>
      <c r="FE762" s="1">
        <f t="shared" si="130"/>
        <v>0</v>
      </c>
      <c r="FF762" s="1">
        <f t="shared" si="130"/>
        <v>0</v>
      </c>
      <c r="FG762" s="1">
        <f t="shared" si="130"/>
        <v>0</v>
      </c>
      <c r="FH762" s="1">
        <f t="shared" si="130"/>
        <v>0</v>
      </c>
      <c r="FI762" s="1">
        <f t="shared" si="130"/>
        <v>0</v>
      </c>
      <c r="FJ762" s="1">
        <f t="shared" si="130"/>
        <v>0</v>
      </c>
      <c r="FK762" s="1">
        <f t="shared" si="130"/>
        <v>0</v>
      </c>
      <c r="FL762" s="1">
        <f t="shared" si="130"/>
        <v>0</v>
      </c>
      <c r="FM762" s="1">
        <f t="shared" si="130"/>
        <v>0</v>
      </c>
      <c r="FN762" s="1">
        <f t="shared" si="130"/>
        <v>0</v>
      </c>
      <c r="FO762" s="1">
        <f t="shared" si="130"/>
        <v>0</v>
      </c>
      <c r="FP762" s="1">
        <f t="shared" si="130"/>
        <v>0</v>
      </c>
      <c r="FQ762" s="1">
        <f t="shared" si="130"/>
        <v>0</v>
      </c>
      <c r="FR762" s="1">
        <f t="shared" si="130"/>
        <v>0</v>
      </c>
      <c r="FS762" s="1">
        <f t="shared" si="130"/>
        <v>0</v>
      </c>
      <c r="FT762" s="1">
        <f t="shared" si="130"/>
        <v>0</v>
      </c>
      <c r="FU762" s="1">
        <f t="shared" si="130"/>
        <v>0</v>
      </c>
      <c r="FV762" s="1">
        <f t="shared" si="130"/>
        <v>0</v>
      </c>
      <c r="FW762" s="1">
        <f t="shared" si="130"/>
        <v>0</v>
      </c>
      <c r="FX762" s="1">
        <f t="shared" si="130"/>
        <v>0</v>
      </c>
      <c r="FY762" s="1">
        <f t="shared" si="130"/>
        <v>0</v>
      </c>
      <c r="FZ762" s="1">
        <f t="shared" si="130"/>
        <v>0</v>
      </c>
      <c r="GA762" s="1">
        <f t="shared" si="130"/>
        <v>0</v>
      </c>
      <c r="GB762" s="1">
        <f t="shared" si="130"/>
        <v>0</v>
      </c>
      <c r="GC762" s="1">
        <f t="shared" si="130"/>
        <v>0</v>
      </c>
      <c r="GD762" s="1">
        <f t="shared" si="130"/>
        <v>1</v>
      </c>
      <c r="GE762" s="1">
        <f t="shared" si="130"/>
        <v>0</v>
      </c>
      <c r="GF762" s="1">
        <f t="shared" si="130"/>
        <v>0</v>
      </c>
      <c r="GG762" s="1">
        <f t="shared" si="130"/>
        <v>0</v>
      </c>
      <c r="GH762" s="1">
        <f t="shared" si="130"/>
        <v>0</v>
      </c>
      <c r="GI762" s="1">
        <f t="shared" si="130"/>
        <v>0</v>
      </c>
      <c r="GJ762" s="1">
        <f t="shared" si="130"/>
        <v>0</v>
      </c>
      <c r="GK762" s="1">
        <f t="shared" si="130"/>
        <v>0</v>
      </c>
      <c r="GL762" s="1">
        <f t="shared" si="130"/>
        <v>0</v>
      </c>
      <c r="GM762" s="1">
        <f t="shared" si="130"/>
        <v>0</v>
      </c>
      <c r="GN762" s="1">
        <f t="shared" si="130"/>
        <v>0</v>
      </c>
      <c r="GO762" s="1">
        <f t="shared" ref="GO762:GS762" si="131">GO765+GO768+GO771+GO774+GO777+GO780+GO783+GO786+GO789+GO792+GO795+GO798+GO801+GO804+GO807</f>
        <v>0</v>
      </c>
      <c r="GP762" s="1">
        <f t="shared" si="131"/>
        <v>0</v>
      </c>
      <c r="GQ762" s="1">
        <f t="shared" si="131"/>
        <v>0</v>
      </c>
      <c r="GR762" s="1">
        <f t="shared" si="131"/>
        <v>0</v>
      </c>
      <c r="GS762" s="1">
        <f t="shared" si="131"/>
        <v>2</v>
      </c>
    </row>
    <row r="763" spans="1:201" x14ac:dyDescent="0.3">
      <c r="A763" t="s">
        <v>433</v>
      </c>
      <c r="B763" t="s">
        <v>200</v>
      </c>
      <c r="C763" t="s">
        <v>204</v>
      </c>
      <c r="D763" s="1">
        <f>D766+D769+D772+D775+D778+D781+D784+D787+D790+D793+D796+D799+D802+D805+D808</f>
        <v>19761</v>
      </c>
      <c r="E763" s="1">
        <f t="shared" ref="E763:BP763" si="132">E766+E769+E772+E775+E778+E781+E784+E787+E790+E793+E796+E799+E802+E805+E808</f>
        <v>7031</v>
      </c>
      <c r="F763" s="1">
        <f t="shared" si="132"/>
        <v>700</v>
      </c>
      <c r="G763" s="1">
        <f t="shared" si="132"/>
        <v>3196</v>
      </c>
      <c r="H763" s="1">
        <f t="shared" si="132"/>
        <v>863</v>
      </c>
      <c r="I763" s="1">
        <f t="shared" si="132"/>
        <v>547</v>
      </c>
      <c r="J763" s="1">
        <f t="shared" si="132"/>
        <v>1731</v>
      </c>
      <c r="K763" s="1">
        <f t="shared" si="132"/>
        <v>126</v>
      </c>
      <c r="L763" s="1">
        <f t="shared" si="132"/>
        <v>375</v>
      </c>
      <c r="M763" s="1">
        <f t="shared" si="132"/>
        <v>863</v>
      </c>
      <c r="N763" s="1">
        <f t="shared" si="132"/>
        <v>615</v>
      </c>
      <c r="O763" s="1">
        <f t="shared" si="132"/>
        <v>666</v>
      </c>
      <c r="P763" s="1">
        <f t="shared" si="132"/>
        <v>233</v>
      </c>
      <c r="Q763" s="1">
        <f t="shared" si="132"/>
        <v>193</v>
      </c>
      <c r="R763" s="1">
        <f t="shared" si="132"/>
        <v>300</v>
      </c>
      <c r="S763" s="1">
        <f t="shared" si="132"/>
        <v>640</v>
      </c>
      <c r="T763" s="1">
        <f t="shared" si="132"/>
        <v>240</v>
      </c>
      <c r="U763" s="1">
        <f t="shared" si="132"/>
        <v>119</v>
      </c>
      <c r="V763" s="1">
        <f t="shared" si="132"/>
        <v>83</v>
      </c>
      <c r="W763" s="1">
        <f t="shared" si="132"/>
        <v>147</v>
      </c>
      <c r="X763" s="1">
        <f t="shared" si="132"/>
        <v>142</v>
      </c>
      <c r="Y763" s="1">
        <f t="shared" si="132"/>
        <v>249</v>
      </c>
      <c r="Z763" s="1">
        <f t="shared" si="132"/>
        <v>44</v>
      </c>
      <c r="AA763" s="1">
        <f t="shared" si="132"/>
        <v>12</v>
      </c>
      <c r="AB763" s="1">
        <f t="shared" si="132"/>
        <v>32</v>
      </c>
      <c r="AC763" s="1">
        <f t="shared" si="132"/>
        <v>21</v>
      </c>
      <c r="AD763" s="1">
        <f t="shared" si="132"/>
        <v>152</v>
      </c>
      <c r="AE763" s="1">
        <f t="shared" si="132"/>
        <v>1</v>
      </c>
      <c r="AF763" s="1">
        <f t="shared" si="132"/>
        <v>17</v>
      </c>
      <c r="AG763" s="1">
        <f t="shared" si="132"/>
        <v>25</v>
      </c>
      <c r="AH763" s="1">
        <f t="shared" si="132"/>
        <v>10</v>
      </c>
      <c r="AI763" s="1">
        <f t="shared" si="132"/>
        <v>26</v>
      </c>
      <c r="AJ763" s="1">
        <f t="shared" si="132"/>
        <v>2</v>
      </c>
      <c r="AK763" s="1">
        <f t="shared" si="132"/>
        <v>5</v>
      </c>
      <c r="AL763" s="1">
        <f t="shared" si="132"/>
        <v>7</v>
      </c>
      <c r="AM763" s="1">
        <f t="shared" si="132"/>
        <v>9</v>
      </c>
      <c r="AN763" s="1">
        <f t="shared" si="132"/>
        <v>8</v>
      </c>
      <c r="AO763" s="1">
        <f t="shared" si="132"/>
        <v>13</v>
      </c>
      <c r="AP763" s="1">
        <f t="shared" si="132"/>
        <v>40</v>
      </c>
      <c r="AQ763" s="1">
        <f t="shared" si="132"/>
        <v>22</v>
      </c>
      <c r="AR763" s="1">
        <f t="shared" si="132"/>
        <v>12</v>
      </c>
      <c r="AS763" s="1">
        <f t="shared" si="132"/>
        <v>14</v>
      </c>
      <c r="AT763" s="1">
        <f t="shared" si="132"/>
        <v>6</v>
      </c>
      <c r="AU763" s="1">
        <f t="shared" si="132"/>
        <v>20</v>
      </c>
      <c r="AV763" s="1">
        <f t="shared" si="132"/>
        <v>2</v>
      </c>
      <c r="AW763" s="1">
        <f t="shared" si="132"/>
        <v>3</v>
      </c>
      <c r="AX763" s="1">
        <f t="shared" si="132"/>
        <v>18</v>
      </c>
      <c r="AY763" s="1">
        <f t="shared" si="132"/>
        <v>12</v>
      </c>
      <c r="AZ763" s="1">
        <f t="shared" si="132"/>
        <v>15</v>
      </c>
      <c r="BA763" s="1">
        <f t="shared" si="132"/>
        <v>4</v>
      </c>
      <c r="BB763" s="1">
        <f t="shared" si="132"/>
        <v>0</v>
      </c>
      <c r="BC763" s="1">
        <f t="shared" si="132"/>
        <v>0</v>
      </c>
      <c r="BD763" s="1">
        <f t="shared" si="132"/>
        <v>1</v>
      </c>
      <c r="BE763" s="1">
        <f t="shared" si="132"/>
        <v>3</v>
      </c>
      <c r="BF763" s="1">
        <f t="shared" si="132"/>
        <v>7</v>
      </c>
      <c r="BG763" s="1">
        <f t="shared" si="132"/>
        <v>2</v>
      </c>
      <c r="BH763" s="1">
        <f t="shared" si="132"/>
        <v>8</v>
      </c>
      <c r="BI763" s="1">
        <f t="shared" si="132"/>
        <v>6</v>
      </c>
      <c r="BJ763" s="1">
        <f t="shared" si="132"/>
        <v>0</v>
      </c>
      <c r="BK763" s="1">
        <f t="shared" si="132"/>
        <v>2</v>
      </c>
      <c r="BL763" s="1">
        <f t="shared" si="132"/>
        <v>2</v>
      </c>
      <c r="BM763" s="1">
        <f t="shared" si="132"/>
        <v>5</v>
      </c>
      <c r="BN763" s="1">
        <f t="shared" si="132"/>
        <v>6</v>
      </c>
      <c r="BO763" s="1">
        <f t="shared" si="132"/>
        <v>1</v>
      </c>
      <c r="BP763" s="1">
        <f t="shared" si="132"/>
        <v>8</v>
      </c>
      <c r="BQ763" s="1">
        <f t="shared" ref="BQ763:EB763" si="133">BQ766+BQ769+BQ772+BQ775+BQ778+BQ781+BQ784+BQ787+BQ790+BQ793+BQ796+BQ799+BQ802+BQ805+BQ808</f>
        <v>6</v>
      </c>
      <c r="BR763" s="1">
        <f t="shared" si="133"/>
        <v>1</v>
      </c>
      <c r="BS763" s="1">
        <f t="shared" si="133"/>
        <v>3</v>
      </c>
      <c r="BT763" s="1">
        <f t="shared" si="133"/>
        <v>2</v>
      </c>
      <c r="BU763" s="1">
        <f t="shared" si="133"/>
        <v>4</v>
      </c>
      <c r="BV763" s="1">
        <f t="shared" si="133"/>
        <v>5</v>
      </c>
      <c r="BW763" s="1">
        <f t="shared" si="133"/>
        <v>1</v>
      </c>
      <c r="BX763" s="1">
        <f t="shared" si="133"/>
        <v>5</v>
      </c>
      <c r="BY763" s="1">
        <f t="shared" si="133"/>
        <v>2</v>
      </c>
      <c r="BZ763" s="1">
        <f t="shared" si="133"/>
        <v>1</v>
      </c>
      <c r="CA763" s="1">
        <f t="shared" si="133"/>
        <v>0</v>
      </c>
      <c r="CB763" s="1">
        <f t="shared" si="133"/>
        <v>3</v>
      </c>
      <c r="CC763" s="1">
        <f t="shared" si="133"/>
        <v>3</v>
      </c>
      <c r="CD763" s="1">
        <f t="shared" si="133"/>
        <v>2</v>
      </c>
      <c r="CE763" s="1">
        <f t="shared" si="133"/>
        <v>7</v>
      </c>
      <c r="CF763" s="1">
        <f t="shared" si="133"/>
        <v>1</v>
      </c>
      <c r="CG763" s="1">
        <f t="shared" si="133"/>
        <v>0</v>
      </c>
      <c r="CH763" s="1">
        <f t="shared" si="133"/>
        <v>1</v>
      </c>
      <c r="CI763" s="1">
        <f t="shared" si="133"/>
        <v>3</v>
      </c>
      <c r="CJ763" s="1">
        <f t="shared" si="133"/>
        <v>1</v>
      </c>
      <c r="CK763" s="1">
        <f t="shared" si="133"/>
        <v>1</v>
      </c>
      <c r="CL763" s="1">
        <f t="shared" si="133"/>
        <v>1</v>
      </c>
      <c r="CM763" s="1">
        <f t="shared" si="133"/>
        <v>0</v>
      </c>
      <c r="CN763" s="1">
        <f t="shared" si="133"/>
        <v>0</v>
      </c>
      <c r="CO763" s="1">
        <f t="shared" si="133"/>
        <v>0</v>
      </c>
      <c r="CP763" s="1">
        <f t="shared" si="133"/>
        <v>0</v>
      </c>
      <c r="CQ763" s="1">
        <f t="shared" si="133"/>
        <v>0</v>
      </c>
      <c r="CR763" s="1">
        <f t="shared" si="133"/>
        <v>1</v>
      </c>
      <c r="CS763" s="1">
        <f t="shared" si="133"/>
        <v>4</v>
      </c>
      <c r="CT763" s="1">
        <f t="shared" si="133"/>
        <v>0</v>
      </c>
      <c r="CU763" s="1">
        <f t="shared" si="133"/>
        <v>0</v>
      </c>
      <c r="CV763" s="1">
        <f t="shared" si="133"/>
        <v>2</v>
      </c>
      <c r="CW763" s="1">
        <f t="shared" si="133"/>
        <v>1</v>
      </c>
      <c r="CX763" s="1">
        <f t="shared" si="133"/>
        <v>2</v>
      </c>
      <c r="CY763" s="1">
        <f t="shared" si="133"/>
        <v>1</v>
      </c>
      <c r="CZ763" s="1">
        <f t="shared" si="133"/>
        <v>0</v>
      </c>
      <c r="DA763" s="1">
        <f t="shared" si="133"/>
        <v>0</v>
      </c>
      <c r="DB763" s="1">
        <f t="shared" si="133"/>
        <v>1</v>
      </c>
      <c r="DC763" s="1">
        <f t="shared" si="133"/>
        <v>0</v>
      </c>
      <c r="DD763" s="1">
        <f t="shared" si="133"/>
        <v>4</v>
      </c>
      <c r="DE763" s="1">
        <f t="shared" si="133"/>
        <v>1</v>
      </c>
      <c r="DF763" s="1">
        <f t="shared" si="133"/>
        <v>0</v>
      </c>
      <c r="DG763" s="1">
        <f t="shared" si="133"/>
        <v>1</v>
      </c>
      <c r="DH763" s="1">
        <f t="shared" si="133"/>
        <v>2</v>
      </c>
      <c r="DI763" s="1">
        <f t="shared" si="133"/>
        <v>1</v>
      </c>
      <c r="DJ763" s="1">
        <f t="shared" si="133"/>
        <v>0</v>
      </c>
      <c r="DK763" s="1">
        <f t="shared" si="133"/>
        <v>0</v>
      </c>
      <c r="DL763" s="1">
        <f t="shared" si="133"/>
        <v>0</v>
      </c>
      <c r="DM763" s="1">
        <f t="shared" si="133"/>
        <v>0</v>
      </c>
      <c r="DN763" s="1">
        <f t="shared" si="133"/>
        <v>0</v>
      </c>
      <c r="DO763" s="1">
        <f t="shared" si="133"/>
        <v>2</v>
      </c>
      <c r="DP763" s="1">
        <f t="shared" si="133"/>
        <v>1</v>
      </c>
      <c r="DQ763" s="1">
        <f t="shared" si="133"/>
        <v>0</v>
      </c>
      <c r="DR763" s="1">
        <f t="shared" si="133"/>
        <v>0</v>
      </c>
      <c r="DS763" s="1">
        <f t="shared" si="133"/>
        <v>0</v>
      </c>
      <c r="DT763" s="1">
        <f t="shared" si="133"/>
        <v>1</v>
      </c>
      <c r="DU763" s="1">
        <f t="shared" si="133"/>
        <v>0</v>
      </c>
      <c r="DV763" s="1">
        <f t="shared" si="133"/>
        <v>1</v>
      </c>
      <c r="DW763" s="1">
        <f t="shared" si="133"/>
        <v>0</v>
      </c>
      <c r="DX763" s="1">
        <f t="shared" si="133"/>
        <v>0</v>
      </c>
      <c r="DY763" s="1">
        <f t="shared" si="133"/>
        <v>2</v>
      </c>
      <c r="DZ763" s="1">
        <f t="shared" si="133"/>
        <v>1</v>
      </c>
      <c r="EA763" s="1">
        <f t="shared" si="133"/>
        <v>5</v>
      </c>
      <c r="EB763" s="1">
        <f t="shared" si="133"/>
        <v>1</v>
      </c>
      <c r="EC763" s="1">
        <f t="shared" ref="EC763:GN763" si="134">EC766+EC769+EC772+EC775+EC778+EC781+EC784+EC787+EC790+EC793+EC796+EC799+EC802+EC805+EC808</f>
        <v>0</v>
      </c>
      <c r="ED763" s="1">
        <f t="shared" si="134"/>
        <v>1</v>
      </c>
      <c r="EE763" s="1">
        <f t="shared" si="134"/>
        <v>0</v>
      </c>
      <c r="EF763" s="1">
        <f t="shared" si="134"/>
        <v>1</v>
      </c>
      <c r="EG763" s="1">
        <f t="shared" si="134"/>
        <v>0</v>
      </c>
      <c r="EH763" s="1">
        <f t="shared" si="134"/>
        <v>0</v>
      </c>
      <c r="EI763" s="1">
        <f t="shared" si="134"/>
        <v>0</v>
      </c>
      <c r="EJ763" s="1">
        <f t="shared" si="134"/>
        <v>0</v>
      </c>
      <c r="EK763" s="1">
        <f t="shared" si="134"/>
        <v>3</v>
      </c>
      <c r="EL763" s="1">
        <f t="shared" si="134"/>
        <v>0</v>
      </c>
      <c r="EM763" s="1">
        <f t="shared" si="134"/>
        <v>0</v>
      </c>
      <c r="EN763" s="1">
        <f t="shared" si="134"/>
        <v>1</v>
      </c>
      <c r="EO763" s="1">
        <f t="shared" si="134"/>
        <v>0</v>
      </c>
      <c r="EP763" s="1">
        <f t="shared" si="134"/>
        <v>0</v>
      </c>
      <c r="EQ763" s="1">
        <f t="shared" si="134"/>
        <v>0</v>
      </c>
      <c r="ER763" s="1">
        <f t="shared" si="134"/>
        <v>0</v>
      </c>
      <c r="ES763" s="1">
        <f t="shared" si="134"/>
        <v>1</v>
      </c>
      <c r="ET763" s="1">
        <f t="shared" si="134"/>
        <v>0</v>
      </c>
      <c r="EU763" s="1">
        <f t="shared" si="134"/>
        <v>0</v>
      </c>
      <c r="EV763" s="1">
        <f t="shared" si="134"/>
        <v>0</v>
      </c>
      <c r="EW763" s="1">
        <f t="shared" si="134"/>
        <v>0</v>
      </c>
      <c r="EX763" s="1">
        <f t="shared" si="134"/>
        <v>0</v>
      </c>
      <c r="EY763" s="1">
        <f t="shared" si="134"/>
        <v>0</v>
      </c>
      <c r="EZ763" s="1">
        <f t="shared" si="134"/>
        <v>0</v>
      </c>
      <c r="FA763" s="1">
        <f t="shared" si="134"/>
        <v>0</v>
      </c>
      <c r="FB763" s="1">
        <f t="shared" si="134"/>
        <v>0</v>
      </c>
      <c r="FC763" s="1">
        <f t="shared" si="134"/>
        <v>0</v>
      </c>
      <c r="FD763" s="1">
        <f t="shared" si="134"/>
        <v>1</v>
      </c>
      <c r="FE763" s="1">
        <f t="shared" si="134"/>
        <v>0</v>
      </c>
      <c r="FF763" s="1">
        <f t="shared" si="134"/>
        <v>0</v>
      </c>
      <c r="FG763" s="1">
        <f t="shared" si="134"/>
        <v>0</v>
      </c>
      <c r="FH763" s="1">
        <f t="shared" si="134"/>
        <v>0</v>
      </c>
      <c r="FI763" s="1">
        <f t="shared" si="134"/>
        <v>0</v>
      </c>
      <c r="FJ763" s="1">
        <f t="shared" si="134"/>
        <v>0</v>
      </c>
      <c r="FK763" s="1">
        <f t="shared" si="134"/>
        <v>0</v>
      </c>
      <c r="FL763" s="1">
        <f t="shared" si="134"/>
        <v>0</v>
      </c>
      <c r="FM763" s="1">
        <f t="shared" si="134"/>
        <v>0</v>
      </c>
      <c r="FN763" s="1">
        <f t="shared" si="134"/>
        <v>0</v>
      </c>
      <c r="FO763" s="1">
        <f t="shared" si="134"/>
        <v>0</v>
      </c>
      <c r="FP763" s="1">
        <f t="shared" si="134"/>
        <v>0</v>
      </c>
      <c r="FQ763" s="1">
        <f t="shared" si="134"/>
        <v>0</v>
      </c>
      <c r="FR763" s="1">
        <f t="shared" si="134"/>
        <v>0</v>
      </c>
      <c r="FS763" s="1">
        <f t="shared" si="134"/>
        <v>0</v>
      </c>
      <c r="FT763" s="1">
        <f t="shared" si="134"/>
        <v>0</v>
      </c>
      <c r="FU763" s="1">
        <f t="shared" si="134"/>
        <v>0</v>
      </c>
      <c r="FV763" s="1">
        <f t="shared" si="134"/>
        <v>0</v>
      </c>
      <c r="FW763" s="1">
        <f t="shared" si="134"/>
        <v>0</v>
      </c>
      <c r="FX763" s="1">
        <f t="shared" si="134"/>
        <v>0</v>
      </c>
      <c r="FY763" s="1">
        <f t="shared" si="134"/>
        <v>1</v>
      </c>
      <c r="FZ763" s="1">
        <f t="shared" si="134"/>
        <v>0</v>
      </c>
      <c r="GA763" s="1">
        <f t="shared" si="134"/>
        <v>0</v>
      </c>
      <c r="GB763" s="1">
        <f t="shared" si="134"/>
        <v>0</v>
      </c>
      <c r="GC763" s="1">
        <f t="shared" si="134"/>
        <v>0</v>
      </c>
      <c r="GD763" s="1">
        <f t="shared" si="134"/>
        <v>0</v>
      </c>
      <c r="GE763" s="1">
        <f t="shared" si="134"/>
        <v>0</v>
      </c>
      <c r="GF763" s="1">
        <f t="shared" si="134"/>
        <v>0</v>
      </c>
      <c r="GG763" s="1">
        <f t="shared" si="134"/>
        <v>0</v>
      </c>
      <c r="GH763" s="1">
        <f t="shared" si="134"/>
        <v>0</v>
      </c>
      <c r="GI763" s="1">
        <f t="shared" si="134"/>
        <v>0</v>
      </c>
      <c r="GJ763" s="1">
        <f t="shared" si="134"/>
        <v>0</v>
      </c>
      <c r="GK763" s="1">
        <f t="shared" si="134"/>
        <v>0</v>
      </c>
      <c r="GL763" s="1">
        <f t="shared" si="134"/>
        <v>0</v>
      </c>
      <c r="GM763" s="1">
        <f t="shared" si="134"/>
        <v>0</v>
      </c>
      <c r="GN763" s="1">
        <f t="shared" si="134"/>
        <v>0</v>
      </c>
      <c r="GO763" s="1">
        <f t="shared" ref="GO763:GS763" si="135">GO766+GO769+GO772+GO775+GO778+GO781+GO784+GO787+GO790+GO793+GO796+GO799+GO802+GO805+GO808</f>
        <v>0</v>
      </c>
      <c r="GP763" s="1">
        <f t="shared" si="135"/>
        <v>0</v>
      </c>
      <c r="GQ763" s="1">
        <f t="shared" si="135"/>
        <v>0</v>
      </c>
      <c r="GR763" s="1">
        <f t="shared" si="135"/>
        <v>0</v>
      </c>
      <c r="GS763" s="1">
        <f t="shared" si="135"/>
        <v>2</v>
      </c>
    </row>
    <row r="764" spans="1:201" x14ac:dyDescent="0.3">
      <c r="A764" t="s">
        <v>433</v>
      </c>
      <c r="B764" t="s">
        <v>434</v>
      </c>
      <c r="C764" t="s">
        <v>200</v>
      </c>
      <c r="D764" s="1">
        <v>2081</v>
      </c>
      <c r="E764">
        <v>531</v>
      </c>
      <c r="F764">
        <v>47</v>
      </c>
      <c r="G764">
        <v>55</v>
      </c>
      <c r="H764">
        <v>335</v>
      </c>
      <c r="I764">
        <v>26</v>
      </c>
      <c r="J764">
        <v>341</v>
      </c>
      <c r="K764">
        <v>25</v>
      </c>
      <c r="L764">
        <v>64</v>
      </c>
      <c r="M764">
        <v>37</v>
      </c>
      <c r="N764">
        <v>141</v>
      </c>
      <c r="O764">
        <v>3</v>
      </c>
      <c r="P764">
        <v>7</v>
      </c>
      <c r="Q764">
        <v>174</v>
      </c>
      <c r="R764">
        <v>121</v>
      </c>
      <c r="S764">
        <v>43</v>
      </c>
      <c r="T764">
        <v>28</v>
      </c>
      <c r="U764">
        <v>7</v>
      </c>
      <c r="V764">
        <v>1</v>
      </c>
      <c r="W764">
        <v>6</v>
      </c>
      <c r="X764">
        <v>0</v>
      </c>
      <c r="Y764">
        <v>56</v>
      </c>
      <c r="Z764">
        <v>19</v>
      </c>
      <c r="AA764">
        <v>0</v>
      </c>
      <c r="AB764">
        <v>1</v>
      </c>
      <c r="AC764">
        <v>0</v>
      </c>
      <c r="AD764">
        <v>4</v>
      </c>
      <c r="AE764">
        <v>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>
        <v>1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1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</row>
    <row r="765" spans="1:201" x14ac:dyDescent="0.3">
      <c r="A765" t="s">
        <v>433</v>
      </c>
      <c r="B765" t="s">
        <v>434</v>
      </c>
      <c r="C765" t="s">
        <v>203</v>
      </c>
      <c r="D765" s="1">
        <v>1184</v>
      </c>
      <c r="E765">
        <v>219</v>
      </c>
      <c r="F765">
        <v>23</v>
      </c>
      <c r="G765">
        <v>6</v>
      </c>
      <c r="H765">
        <v>286</v>
      </c>
      <c r="I765">
        <v>12</v>
      </c>
      <c r="J765">
        <v>183</v>
      </c>
      <c r="K765">
        <v>18</v>
      </c>
      <c r="L765">
        <v>61</v>
      </c>
      <c r="M765">
        <v>12</v>
      </c>
      <c r="N765">
        <v>53</v>
      </c>
      <c r="O765" s="1">
        <v>0</v>
      </c>
      <c r="P765">
        <v>4</v>
      </c>
      <c r="Q765">
        <v>158</v>
      </c>
      <c r="R765">
        <v>80</v>
      </c>
      <c r="S765">
        <v>2</v>
      </c>
      <c r="T765">
        <v>19</v>
      </c>
      <c r="U765">
        <v>5</v>
      </c>
      <c r="V765">
        <v>1</v>
      </c>
      <c r="W765">
        <v>2</v>
      </c>
      <c r="X765">
        <v>0</v>
      </c>
      <c r="Y765">
        <v>21</v>
      </c>
      <c r="Z765">
        <v>14</v>
      </c>
      <c r="AA765">
        <v>0</v>
      </c>
      <c r="AB765">
        <v>0</v>
      </c>
      <c r="AC765">
        <v>0</v>
      </c>
      <c r="AD765">
        <v>0</v>
      </c>
      <c r="AE765">
        <v>4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</row>
    <row r="766" spans="1:201" x14ac:dyDescent="0.3">
      <c r="A766" t="s">
        <v>433</v>
      </c>
      <c r="B766" t="s">
        <v>434</v>
      </c>
      <c r="C766" t="s">
        <v>204</v>
      </c>
      <c r="D766">
        <v>897</v>
      </c>
      <c r="E766">
        <v>312</v>
      </c>
      <c r="F766">
        <v>24</v>
      </c>
      <c r="G766">
        <v>49</v>
      </c>
      <c r="H766">
        <v>49</v>
      </c>
      <c r="I766">
        <v>14</v>
      </c>
      <c r="J766">
        <v>158</v>
      </c>
      <c r="K766">
        <v>7</v>
      </c>
      <c r="L766">
        <v>3</v>
      </c>
      <c r="M766">
        <v>25</v>
      </c>
      <c r="N766">
        <v>88</v>
      </c>
      <c r="O766">
        <v>3</v>
      </c>
      <c r="P766">
        <v>3</v>
      </c>
      <c r="Q766">
        <v>16</v>
      </c>
      <c r="R766">
        <v>41</v>
      </c>
      <c r="S766">
        <v>41</v>
      </c>
      <c r="T766">
        <v>9</v>
      </c>
      <c r="U766">
        <v>2</v>
      </c>
      <c r="V766">
        <v>0</v>
      </c>
      <c r="W766">
        <v>4</v>
      </c>
      <c r="X766">
        <v>0</v>
      </c>
      <c r="Y766">
        <v>35</v>
      </c>
      <c r="Z766">
        <v>5</v>
      </c>
      <c r="AA766">
        <v>0</v>
      </c>
      <c r="AB766">
        <v>1</v>
      </c>
      <c r="AC766">
        <v>0</v>
      </c>
      <c r="AD766">
        <v>4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1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</row>
    <row r="767" spans="1:201" x14ac:dyDescent="0.3">
      <c r="A767" t="s">
        <v>433</v>
      </c>
      <c r="B767" t="s">
        <v>435</v>
      </c>
      <c r="C767" t="s">
        <v>200</v>
      </c>
      <c r="D767" s="1">
        <v>10307</v>
      </c>
      <c r="E767" s="1">
        <v>2881</v>
      </c>
      <c r="F767">
        <v>520</v>
      </c>
      <c r="G767" s="1">
        <v>1434</v>
      </c>
      <c r="H767">
        <v>442</v>
      </c>
      <c r="I767">
        <v>852</v>
      </c>
      <c r="J767">
        <v>279</v>
      </c>
      <c r="K767">
        <v>975</v>
      </c>
      <c r="L767">
        <v>191</v>
      </c>
      <c r="M767">
        <v>319</v>
      </c>
      <c r="N767">
        <v>203</v>
      </c>
      <c r="O767">
        <v>140</v>
      </c>
      <c r="P767">
        <v>324</v>
      </c>
      <c r="Q767">
        <v>376</v>
      </c>
      <c r="R767">
        <v>235</v>
      </c>
      <c r="S767">
        <v>52</v>
      </c>
      <c r="T767">
        <v>230</v>
      </c>
      <c r="U767">
        <v>84</v>
      </c>
      <c r="V767">
        <v>62</v>
      </c>
      <c r="W767">
        <v>59</v>
      </c>
      <c r="X767">
        <v>122</v>
      </c>
      <c r="Y767">
        <v>30</v>
      </c>
      <c r="Z767">
        <v>63</v>
      </c>
      <c r="AA767">
        <v>2</v>
      </c>
      <c r="AB767">
        <v>5</v>
      </c>
      <c r="AC767">
        <v>10</v>
      </c>
      <c r="AD767">
        <v>23</v>
      </c>
      <c r="AE767">
        <v>151</v>
      </c>
      <c r="AF767">
        <v>6</v>
      </c>
      <c r="AG767">
        <v>15</v>
      </c>
      <c r="AH767">
        <v>5</v>
      </c>
      <c r="AI767">
        <v>28</v>
      </c>
      <c r="AJ767">
        <v>1</v>
      </c>
      <c r="AK767">
        <v>10</v>
      </c>
      <c r="AL767">
        <v>4</v>
      </c>
      <c r="AM767">
        <v>1</v>
      </c>
      <c r="AN767">
        <v>6</v>
      </c>
      <c r="AO767">
        <v>26</v>
      </c>
      <c r="AP767">
        <v>35</v>
      </c>
      <c r="AQ767">
        <v>14</v>
      </c>
      <c r="AR767">
        <v>8</v>
      </c>
      <c r="AS767">
        <v>3</v>
      </c>
      <c r="AT767">
        <v>1</v>
      </c>
      <c r="AU767">
        <v>7</v>
      </c>
      <c r="AV767">
        <v>1</v>
      </c>
      <c r="AW767">
        <v>1</v>
      </c>
      <c r="AX767">
        <v>11</v>
      </c>
      <c r="AY767">
        <v>0</v>
      </c>
      <c r="AZ767">
        <v>3</v>
      </c>
      <c r="BA767">
        <v>0</v>
      </c>
      <c r="BB767">
        <v>0</v>
      </c>
      <c r="BC767">
        <v>0</v>
      </c>
      <c r="BD767">
        <v>0</v>
      </c>
      <c r="BE767">
        <v>7</v>
      </c>
      <c r="BF767">
        <v>0</v>
      </c>
      <c r="BG767">
        <v>0</v>
      </c>
      <c r="BH767">
        <v>1</v>
      </c>
      <c r="BI767">
        <v>7</v>
      </c>
      <c r="BJ767">
        <v>0</v>
      </c>
      <c r="BK767">
        <v>1</v>
      </c>
      <c r="BL767">
        <v>1</v>
      </c>
      <c r="BM767">
        <v>4</v>
      </c>
      <c r="BN767">
        <v>2</v>
      </c>
      <c r="BO767">
        <v>0</v>
      </c>
      <c r="BP767">
        <v>1</v>
      </c>
      <c r="BQ767">
        <v>2</v>
      </c>
      <c r="BR767">
        <v>1</v>
      </c>
      <c r="BS767">
        <v>0</v>
      </c>
      <c r="BT767">
        <v>3</v>
      </c>
      <c r="BU767">
        <v>0</v>
      </c>
      <c r="BV767">
        <v>0</v>
      </c>
      <c r="BW767">
        <v>0</v>
      </c>
      <c r="BX767">
        <v>4</v>
      </c>
      <c r="BY767">
        <v>1</v>
      </c>
      <c r="BZ767">
        <v>0</v>
      </c>
      <c r="CA767">
        <v>0</v>
      </c>
      <c r="CB767">
        <v>2</v>
      </c>
      <c r="CC767">
        <v>0</v>
      </c>
      <c r="CD767">
        <v>2</v>
      </c>
      <c r="CE767">
        <v>1</v>
      </c>
      <c r="CF767">
        <v>0</v>
      </c>
      <c r="CG767">
        <v>0</v>
      </c>
      <c r="CH767">
        <v>0</v>
      </c>
      <c r="CI767">
        <v>0</v>
      </c>
      <c r="CJ767">
        <v>2</v>
      </c>
      <c r="CK767">
        <v>0</v>
      </c>
      <c r="CL767">
        <v>0</v>
      </c>
      <c r="CM767">
        <v>2</v>
      </c>
      <c r="CN767">
        <v>0</v>
      </c>
      <c r="CO767">
        <v>0</v>
      </c>
      <c r="CP767">
        <v>1</v>
      </c>
      <c r="CQ767">
        <v>0</v>
      </c>
      <c r="CR767">
        <v>0</v>
      </c>
      <c r="CS767">
        <v>1</v>
      </c>
      <c r="CT767">
        <v>0</v>
      </c>
      <c r="CU767">
        <v>0</v>
      </c>
      <c r="CV767">
        <v>0</v>
      </c>
      <c r="CW767">
        <v>0</v>
      </c>
      <c r="CX767">
        <v>2</v>
      </c>
      <c r="CY767">
        <v>0</v>
      </c>
      <c r="CZ767">
        <v>0</v>
      </c>
      <c r="DA767">
        <v>0</v>
      </c>
      <c r="DB767">
        <v>0</v>
      </c>
      <c r="DC767">
        <v>1</v>
      </c>
      <c r="DD767">
        <v>0</v>
      </c>
      <c r="DE767">
        <v>1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1</v>
      </c>
      <c r="DZ767">
        <v>1</v>
      </c>
      <c r="EA767">
        <v>1</v>
      </c>
      <c r="EB767">
        <v>0</v>
      </c>
      <c r="EC767">
        <v>0</v>
      </c>
      <c r="ED767">
        <v>0</v>
      </c>
      <c r="EE767">
        <v>0</v>
      </c>
      <c r="EF767">
        <v>1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1</v>
      </c>
      <c r="EO767">
        <v>0</v>
      </c>
      <c r="EP767">
        <v>0</v>
      </c>
      <c r="EQ767">
        <v>0</v>
      </c>
      <c r="ER767">
        <v>0</v>
      </c>
      <c r="ES767">
        <v>1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1</v>
      </c>
    </row>
    <row r="768" spans="1:201" x14ac:dyDescent="0.3">
      <c r="A768" t="s">
        <v>433</v>
      </c>
      <c r="B768" t="s">
        <v>435</v>
      </c>
      <c r="C768" t="s">
        <v>203</v>
      </c>
      <c r="D768" s="1">
        <v>7186</v>
      </c>
      <c r="E768" s="1">
        <v>1936</v>
      </c>
      <c r="F768">
        <v>294</v>
      </c>
      <c r="G768">
        <v>664</v>
      </c>
      <c r="H768">
        <v>369</v>
      </c>
      <c r="I768">
        <v>750</v>
      </c>
      <c r="J768">
        <v>215</v>
      </c>
      <c r="K768">
        <v>958</v>
      </c>
      <c r="L768">
        <v>173</v>
      </c>
      <c r="M768">
        <v>160</v>
      </c>
      <c r="N768">
        <v>120</v>
      </c>
      <c r="O768">
        <v>85</v>
      </c>
      <c r="P768">
        <v>210</v>
      </c>
      <c r="Q768">
        <v>338</v>
      </c>
      <c r="R768">
        <v>195</v>
      </c>
      <c r="S768">
        <v>4</v>
      </c>
      <c r="T768">
        <v>90</v>
      </c>
      <c r="U768">
        <v>31</v>
      </c>
      <c r="V768">
        <v>54</v>
      </c>
      <c r="W768">
        <v>31</v>
      </c>
      <c r="X768">
        <v>102</v>
      </c>
      <c r="Y768">
        <v>16</v>
      </c>
      <c r="Z768">
        <v>56</v>
      </c>
      <c r="AA768">
        <v>1</v>
      </c>
      <c r="AB768">
        <v>3</v>
      </c>
      <c r="AC768">
        <v>8</v>
      </c>
      <c r="AD768">
        <v>4</v>
      </c>
      <c r="AE768">
        <v>151</v>
      </c>
      <c r="AF768">
        <v>4</v>
      </c>
      <c r="AG768">
        <v>9</v>
      </c>
      <c r="AH768">
        <v>2</v>
      </c>
      <c r="AI768">
        <v>22</v>
      </c>
      <c r="AJ768">
        <v>0</v>
      </c>
      <c r="AK768">
        <v>9</v>
      </c>
      <c r="AL768">
        <v>2</v>
      </c>
      <c r="AM768">
        <v>0</v>
      </c>
      <c r="AN768">
        <v>4</v>
      </c>
      <c r="AO768">
        <v>23</v>
      </c>
      <c r="AP768">
        <v>21</v>
      </c>
      <c r="AQ768">
        <v>10</v>
      </c>
      <c r="AR768">
        <v>6</v>
      </c>
      <c r="AS768">
        <v>1</v>
      </c>
      <c r="AT768">
        <v>1</v>
      </c>
      <c r="AU768">
        <v>3</v>
      </c>
      <c r="AV768">
        <v>1</v>
      </c>
      <c r="AW768">
        <v>0</v>
      </c>
      <c r="AX768">
        <v>11</v>
      </c>
      <c r="AY768">
        <v>0</v>
      </c>
      <c r="AZ768">
        <v>2</v>
      </c>
      <c r="BA768">
        <v>0</v>
      </c>
      <c r="BB768">
        <v>0</v>
      </c>
      <c r="BC768">
        <v>0</v>
      </c>
      <c r="BD768">
        <v>0</v>
      </c>
      <c r="BE768">
        <v>6</v>
      </c>
      <c r="BF768">
        <v>0</v>
      </c>
      <c r="BG768">
        <v>0</v>
      </c>
      <c r="BH768">
        <v>1</v>
      </c>
      <c r="BI768">
        <v>7</v>
      </c>
      <c r="BJ768">
        <v>0</v>
      </c>
      <c r="BK768">
        <v>1</v>
      </c>
      <c r="BL768">
        <v>1</v>
      </c>
      <c r="BM768">
        <v>2</v>
      </c>
      <c r="BN768">
        <v>0</v>
      </c>
      <c r="BO768">
        <v>0</v>
      </c>
      <c r="BP768">
        <v>1</v>
      </c>
      <c r="BQ768">
        <v>2</v>
      </c>
      <c r="BR768">
        <v>0</v>
      </c>
      <c r="BS768">
        <v>0</v>
      </c>
      <c r="BT768">
        <v>3</v>
      </c>
      <c r="BU768">
        <v>0</v>
      </c>
      <c r="BV768">
        <v>0</v>
      </c>
      <c r="BW768">
        <v>0</v>
      </c>
      <c r="BX768">
        <v>1</v>
      </c>
      <c r="BY768">
        <v>1</v>
      </c>
      <c r="BZ768">
        <v>0</v>
      </c>
      <c r="CA768">
        <v>0</v>
      </c>
      <c r="CB768">
        <v>2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1</v>
      </c>
      <c r="CK768">
        <v>0</v>
      </c>
      <c r="CL768">
        <v>0</v>
      </c>
      <c r="CM768">
        <v>2</v>
      </c>
      <c r="CN768">
        <v>0</v>
      </c>
      <c r="CO768">
        <v>0</v>
      </c>
      <c r="CP768">
        <v>1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2</v>
      </c>
      <c r="CY768">
        <v>0</v>
      </c>
      <c r="CZ768">
        <v>0</v>
      </c>
      <c r="DA768">
        <v>0</v>
      </c>
      <c r="DB768">
        <v>0</v>
      </c>
      <c r="DC768">
        <v>1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1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1</v>
      </c>
    </row>
    <row r="769" spans="1:201" x14ac:dyDescent="0.3">
      <c r="A769" t="s">
        <v>433</v>
      </c>
      <c r="B769" t="s">
        <v>435</v>
      </c>
      <c r="C769" t="s">
        <v>204</v>
      </c>
      <c r="D769" s="1">
        <v>3121</v>
      </c>
      <c r="E769">
        <v>945</v>
      </c>
      <c r="F769">
        <v>226</v>
      </c>
      <c r="G769">
        <v>770</v>
      </c>
      <c r="H769">
        <v>73</v>
      </c>
      <c r="I769">
        <v>102</v>
      </c>
      <c r="J769">
        <v>64</v>
      </c>
      <c r="K769">
        <v>17</v>
      </c>
      <c r="L769">
        <v>18</v>
      </c>
      <c r="M769">
        <v>159</v>
      </c>
      <c r="N769">
        <v>83</v>
      </c>
      <c r="O769">
        <v>55</v>
      </c>
      <c r="P769">
        <v>114</v>
      </c>
      <c r="Q769">
        <v>38</v>
      </c>
      <c r="R769">
        <v>40</v>
      </c>
      <c r="S769">
        <v>48</v>
      </c>
      <c r="T769">
        <v>140</v>
      </c>
      <c r="U769">
        <v>53</v>
      </c>
      <c r="V769">
        <v>8</v>
      </c>
      <c r="W769">
        <v>28</v>
      </c>
      <c r="X769">
        <v>20</v>
      </c>
      <c r="Y769">
        <v>14</v>
      </c>
      <c r="Z769">
        <v>7</v>
      </c>
      <c r="AA769">
        <v>1</v>
      </c>
      <c r="AB769">
        <v>2</v>
      </c>
      <c r="AC769">
        <v>2</v>
      </c>
      <c r="AD769">
        <v>19</v>
      </c>
      <c r="AE769">
        <v>0</v>
      </c>
      <c r="AF769">
        <v>2</v>
      </c>
      <c r="AG769">
        <v>6</v>
      </c>
      <c r="AH769">
        <v>3</v>
      </c>
      <c r="AI769">
        <v>6</v>
      </c>
      <c r="AJ769">
        <v>1</v>
      </c>
      <c r="AK769">
        <v>1</v>
      </c>
      <c r="AL769">
        <v>2</v>
      </c>
      <c r="AM769">
        <v>1</v>
      </c>
      <c r="AN769">
        <v>2</v>
      </c>
      <c r="AO769">
        <v>3</v>
      </c>
      <c r="AP769">
        <v>14</v>
      </c>
      <c r="AQ769">
        <v>4</v>
      </c>
      <c r="AR769">
        <v>2</v>
      </c>
      <c r="AS769">
        <v>2</v>
      </c>
      <c r="AT769">
        <v>0</v>
      </c>
      <c r="AU769">
        <v>4</v>
      </c>
      <c r="AV769">
        <v>0</v>
      </c>
      <c r="AW769">
        <v>1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</v>
      </c>
      <c r="BN769">
        <v>2</v>
      </c>
      <c r="BO769">
        <v>0</v>
      </c>
      <c r="BP769">
        <v>0</v>
      </c>
      <c r="BQ769">
        <v>0</v>
      </c>
      <c r="BR769">
        <v>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3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2</v>
      </c>
      <c r="CE769">
        <v>1</v>
      </c>
      <c r="CF769">
        <v>0</v>
      </c>
      <c r="CG769">
        <v>0</v>
      </c>
      <c r="CH769">
        <v>0</v>
      </c>
      <c r="CI769">
        <v>0</v>
      </c>
      <c r="CJ769">
        <v>1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1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1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1</v>
      </c>
      <c r="DZ769">
        <v>1</v>
      </c>
      <c r="EA769">
        <v>1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1</v>
      </c>
      <c r="EO769">
        <v>0</v>
      </c>
      <c r="EP769">
        <v>0</v>
      </c>
      <c r="EQ769">
        <v>0</v>
      </c>
      <c r="ER769">
        <v>0</v>
      </c>
      <c r="ES769">
        <v>1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</row>
    <row r="770" spans="1:201" x14ac:dyDescent="0.3">
      <c r="A770" t="s">
        <v>433</v>
      </c>
      <c r="B770" t="s">
        <v>436</v>
      </c>
      <c r="C770" t="s">
        <v>200</v>
      </c>
      <c r="D770" s="1">
        <v>3564</v>
      </c>
      <c r="E770">
        <v>773</v>
      </c>
      <c r="F770">
        <v>62</v>
      </c>
      <c r="G770">
        <v>96</v>
      </c>
      <c r="H770">
        <v>694</v>
      </c>
      <c r="I770">
        <v>204</v>
      </c>
      <c r="J770">
        <v>405</v>
      </c>
      <c r="K770">
        <v>89</v>
      </c>
      <c r="L770">
        <v>225</v>
      </c>
      <c r="M770">
        <v>196</v>
      </c>
      <c r="N770">
        <v>102</v>
      </c>
      <c r="O770">
        <v>51</v>
      </c>
      <c r="P770">
        <v>10</v>
      </c>
      <c r="Q770">
        <v>217</v>
      </c>
      <c r="R770">
        <v>248</v>
      </c>
      <c r="S770">
        <v>30</v>
      </c>
      <c r="T770">
        <v>47</v>
      </c>
      <c r="U770">
        <v>7</v>
      </c>
      <c r="V770">
        <v>24</v>
      </c>
      <c r="W770">
        <v>20</v>
      </c>
      <c r="X770">
        <v>3</v>
      </c>
      <c r="Y770">
        <v>32</v>
      </c>
      <c r="Z770">
        <v>7</v>
      </c>
      <c r="AA770">
        <v>0</v>
      </c>
      <c r="AB770">
        <v>0</v>
      </c>
      <c r="AC770">
        <v>0</v>
      </c>
      <c r="AD770">
        <v>7</v>
      </c>
      <c r="AE770">
        <v>0</v>
      </c>
      <c r="AF770">
        <v>1</v>
      </c>
      <c r="AG770">
        <v>2</v>
      </c>
      <c r="AH770">
        <v>1</v>
      </c>
      <c r="AI770">
        <v>2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1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3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1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1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</row>
    <row r="771" spans="1:201" x14ac:dyDescent="0.3">
      <c r="A771" t="s">
        <v>433</v>
      </c>
      <c r="B771" t="s">
        <v>436</v>
      </c>
      <c r="C771" t="s">
        <v>203</v>
      </c>
      <c r="D771" s="1">
        <v>2390</v>
      </c>
      <c r="E771">
        <v>396</v>
      </c>
      <c r="F771">
        <v>35</v>
      </c>
      <c r="G771">
        <v>31</v>
      </c>
      <c r="H771">
        <v>538</v>
      </c>
      <c r="I771">
        <v>156</v>
      </c>
      <c r="J771">
        <v>246</v>
      </c>
      <c r="K771">
        <v>82</v>
      </c>
      <c r="L771">
        <v>203</v>
      </c>
      <c r="M771">
        <v>119</v>
      </c>
      <c r="N771">
        <v>74</v>
      </c>
      <c r="O771">
        <v>31</v>
      </c>
      <c r="P771">
        <v>2</v>
      </c>
      <c r="Q771">
        <v>181</v>
      </c>
      <c r="R771">
        <v>186</v>
      </c>
      <c r="S771">
        <v>2</v>
      </c>
      <c r="T771">
        <v>39</v>
      </c>
      <c r="U771">
        <v>5</v>
      </c>
      <c r="V771">
        <v>23</v>
      </c>
      <c r="W771">
        <v>9</v>
      </c>
      <c r="X771">
        <v>3</v>
      </c>
      <c r="Y771">
        <v>17</v>
      </c>
      <c r="Z771">
        <v>4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2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</row>
    <row r="772" spans="1:201" x14ac:dyDescent="0.3">
      <c r="A772" t="s">
        <v>433</v>
      </c>
      <c r="B772" t="s">
        <v>436</v>
      </c>
      <c r="C772" t="s">
        <v>204</v>
      </c>
      <c r="D772" s="1">
        <v>1174</v>
      </c>
      <c r="E772">
        <v>377</v>
      </c>
      <c r="F772">
        <v>27</v>
      </c>
      <c r="G772">
        <v>65</v>
      </c>
      <c r="H772">
        <v>156</v>
      </c>
      <c r="I772">
        <v>48</v>
      </c>
      <c r="J772">
        <v>159</v>
      </c>
      <c r="K772">
        <v>7</v>
      </c>
      <c r="L772">
        <v>22</v>
      </c>
      <c r="M772">
        <v>77</v>
      </c>
      <c r="N772">
        <v>28</v>
      </c>
      <c r="O772">
        <v>20</v>
      </c>
      <c r="P772">
        <v>8</v>
      </c>
      <c r="Q772">
        <v>36</v>
      </c>
      <c r="R772">
        <v>62</v>
      </c>
      <c r="S772">
        <v>28</v>
      </c>
      <c r="T772">
        <v>8</v>
      </c>
      <c r="U772">
        <v>2</v>
      </c>
      <c r="V772">
        <v>1</v>
      </c>
      <c r="W772">
        <v>11</v>
      </c>
      <c r="X772">
        <v>0</v>
      </c>
      <c r="Y772">
        <v>15</v>
      </c>
      <c r="Z772">
        <v>3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3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1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1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</row>
    <row r="773" spans="1:201" x14ac:dyDescent="0.3">
      <c r="A773" t="s">
        <v>433</v>
      </c>
      <c r="B773" t="s">
        <v>437</v>
      </c>
      <c r="C773" t="s">
        <v>200</v>
      </c>
      <c r="D773" s="1">
        <v>1543</v>
      </c>
      <c r="E773">
        <v>379</v>
      </c>
      <c r="F773">
        <v>87</v>
      </c>
      <c r="G773">
        <v>93</v>
      </c>
      <c r="H773">
        <v>230</v>
      </c>
      <c r="I773">
        <v>23</v>
      </c>
      <c r="J773">
        <v>140</v>
      </c>
      <c r="K773">
        <v>2</v>
      </c>
      <c r="L773">
        <v>27</v>
      </c>
      <c r="M773">
        <v>69</v>
      </c>
      <c r="N773">
        <v>50</v>
      </c>
      <c r="O773">
        <v>32</v>
      </c>
      <c r="P773">
        <v>5</v>
      </c>
      <c r="Q773">
        <v>41</v>
      </c>
      <c r="R773">
        <v>37</v>
      </c>
      <c r="S773">
        <v>61</v>
      </c>
      <c r="T773">
        <v>27</v>
      </c>
      <c r="U773">
        <v>8</v>
      </c>
      <c r="V773">
        <v>8</v>
      </c>
      <c r="W773">
        <v>17</v>
      </c>
      <c r="X773">
        <v>4</v>
      </c>
      <c r="Y773">
        <v>139</v>
      </c>
      <c r="Z773">
        <v>1</v>
      </c>
      <c r="AA773">
        <v>0</v>
      </c>
      <c r="AB773">
        <v>0</v>
      </c>
      <c r="AC773">
        <v>4</v>
      </c>
      <c r="AD773">
        <v>10</v>
      </c>
      <c r="AE773">
        <v>0</v>
      </c>
      <c r="AF773">
        <v>1</v>
      </c>
      <c r="AG773">
        <v>1</v>
      </c>
      <c r="AH773">
        <v>0</v>
      </c>
      <c r="AI773">
        <v>6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6</v>
      </c>
      <c r="AP773">
        <v>17</v>
      </c>
      <c r="AQ773">
        <v>2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0</v>
      </c>
      <c r="BK773">
        <v>4</v>
      </c>
      <c r="BL773">
        <v>0</v>
      </c>
      <c r="BM773">
        <v>0</v>
      </c>
      <c r="BN773">
        <v>0</v>
      </c>
      <c r="BO773">
        <v>1</v>
      </c>
      <c r="BP773">
        <v>0</v>
      </c>
      <c r="BQ773">
        <v>0</v>
      </c>
      <c r="BR773">
        <v>0</v>
      </c>
      <c r="BS773">
        <v>0</v>
      </c>
      <c r="BT773">
        <v>6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1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1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</row>
    <row r="774" spans="1:201" x14ac:dyDescent="0.3">
      <c r="A774" t="s">
        <v>433</v>
      </c>
      <c r="B774" t="s">
        <v>437</v>
      </c>
      <c r="C774" t="s">
        <v>203</v>
      </c>
      <c r="D774">
        <v>733</v>
      </c>
      <c r="E774">
        <v>134</v>
      </c>
      <c r="F774">
        <v>48</v>
      </c>
      <c r="G774">
        <v>31</v>
      </c>
      <c r="H774">
        <v>182</v>
      </c>
      <c r="I774">
        <v>14</v>
      </c>
      <c r="J774">
        <v>70</v>
      </c>
      <c r="K774">
        <v>1</v>
      </c>
      <c r="L774">
        <v>23</v>
      </c>
      <c r="M774">
        <v>26</v>
      </c>
      <c r="N774">
        <v>14</v>
      </c>
      <c r="O774">
        <v>6</v>
      </c>
      <c r="P774">
        <v>3</v>
      </c>
      <c r="Q774">
        <v>36</v>
      </c>
      <c r="R774">
        <v>24</v>
      </c>
      <c r="S774">
        <v>0</v>
      </c>
      <c r="T774">
        <v>27</v>
      </c>
      <c r="U774">
        <v>3</v>
      </c>
      <c r="V774">
        <v>8</v>
      </c>
      <c r="W774">
        <v>9</v>
      </c>
      <c r="X774">
        <v>3</v>
      </c>
      <c r="Y774">
        <v>30</v>
      </c>
      <c r="Z774">
        <v>0</v>
      </c>
      <c r="AA774">
        <v>0</v>
      </c>
      <c r="AB774">
        <v>0</v>
      </c>
      <c r="AC774">
        <v>2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5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6</v>
      </c>
      <c r="AP774">
        <v>13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0</v>
      </c>
      <c r="BK774">
        <v>4</v>
      </c>
      <c r="BL774">
        <v>0</v>
      </c>
      <c r="BM774">
        <v>0</v>
      </c>
      <c r="BN774">
        <v>0</v>
      </c>
      <c r="BO774">
        <v>1</v>
      </c>
      <c r="BP774">
        <v>0</v>
      </c>
      <c r="BQ774">
        <v>0</v>
      </c>
      <c r="BR774">
        <v>0</v>
      </c>
      <c r="BS774">
        <v>0</v>
      </c>
      <c r="BT774">
        <v>5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1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1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</row>
    <row r="775" spans="1:201" x14ac:dyDescent="0.3">
      <c r="A775" t="s">
        <v>433</v>
      </c>
      <c r="B775" t="s">
        <v>437</v>
      </c>
      <c r="C775" t="s">
        <v>204</v>
      </c>
      <c r="D775">
        <v>810</v>
      </c>
      <c r="E775">
        <v>245</v>
      </c>
      <c r="F775">
        <v>39</v>
      </c>
      <c r="G775">
        <v>62</v>
      </c>
      <c r="H775">
        <v>48</v>
      </c>
      <c r="I775">
        <v>9</v>
      </c>
      <c r="J775">
        <v>70</v>
      </c>
      <c r="K775">
        <v>1</v>
      </c>
      <c r="L775">
        <v>4</v>
      </c>
      <c r="M775">
        <v>43</v>
      </c>
      <c r="N775">
        <v>36</v>
      </c>
      <c r="O775">
        <v>26</v>
      </c>
      <c r="P775">
        <v>2</v>
      </c>
      <c r="Q775">
        <v>5</v>
      </c>
      <c r="R775">
        <v>13</v>
      </c>
      <c r="S775">
        <v>61</v>
      </c>
      <c r="T775">
        <v>0</v>
      </c>
      <c r="U775">
        <v>5</v>
      </c>
      <c r="V775">
        <v>0</v>
      </c>
      <c r="W775">
        <v>8</v>
      </c>
      <c r="X775">
        <v>1</v>
      </c>
      <c r="Y775">
        <v>109</v>
      </c>
      <c r="Z775">
        <v>1</v>
      </c>
      <c r="AA775">
        <v>0</v>
      </c>
      <c r="AB775">
        <v>0</v>
      </c>
      <c r="AC775">
        <v>2</v>
      </c>
      <c r="AD775">
        <v>10</v>
      </c>
      <c r="AE775">
        <v>0</v>
      </c>
      <c r="AF775">
        <v>1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4</v>
      </c>
      <c r="AQ775">
        <v>2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1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</row>
    <row r="776" spans="1:201" x14ac:dyDescent="0.3">
      <c r="A776" t="s">
        <v>433</v>
      </c>
      <c r="B776" t="s">
        <v>438</v>
      </c>
      <c r="C776" t="s">
        <v>200</v>
      </c>
      <c r="D776">
        <v>375</v>
      </c>
      <c r="E776">
        <v>144</v>
      </c>
      <c r="F776">
        <v>7</v>
      </c>
      <c r="G776">
        <v>13</v>
      </c>
      <c r="H776">
        <v>87</v>
      </c>
      <c r="I776">
        <v>2</v>
      </c>
      <c r="J776">
        <v>25</v>
      </c>
      <c r="K776">
        <v>1</v>
      </c>
      <c r="L776">
        <v>2</v>
      </c>
      <c r="M776">
        <v>29</v>
      </c>
      <c r="N776">
        <v>27</v>
      </c>
      <c r="O776">
        <v>2</v>
      </c>
      <c r="P776">
        <v>3</v>
      </c>
      <c r="Q776">
        <v>2</v>
      </c>
      <c r="R776">
        <v>0</v>
      </c>
      <c r="S776">
        <v>13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10</v>
      </c>
      <c r="Z776">
        <v>0</v>
      </c>
      <c r="AA776">
        <v>0</v>
      </c>
      <c r="AB776">
        <v>1</v>
      </c>
      <c r="AC776">
        <v>0</v>
      </c>
      <c r="AD776">
        <v>3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</row>
    <row r="777" spans="1:201" x14ac:dyDescent="0.3">
      <c r="A777" t="s">
        <v>433</v>
      </c>
      <c r="B777" t="s">
        <v>438</v>
      </c>
      <c r="C777" t="s">
        <v>203</v>
      </c>
      <c r="D777">
        <v>200</v>
      </c>
      <c r="E777">
        <v>64</v>
      </c>
      <c r="F777">
        <v>4</v>
      </c>
      <c r="G777">
        <v>3</v>
      </c>
      <c r="H777">
        <v>78</v>
      </c>
      <c r="I777">
        <v>1</v>
      </c>
      <c r="J777">
        <v>12</v>
      </c>
      <c r="K777">
        <v>0</v>
      </c>
      <c r="L777">
        <v>1</v>
      </c>
      <c r="M777">
        <v>10</v>
      </c>
      <c r="N777">
        <v>12</v>
      </c>
      <c r="O777">
        <v>0</v>
      </c>
      <c r="P777">
        <v>1</v>
      </c>
      <c r="Q777">
        <v>2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9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</row>
    <row r="778" spans="1:201" x14ac:dyDescent="0.3">
      <c r="A778" t="s">
        <v>433</v>
      </c>
      <c r="B778" t="s">
        <v>438</v>
      </c>
      <c r="C778" t="s">
        <v>204</v>
      </c>
      <c r="D778">
        <v>175</v>
      </c>
      <c r="E778">
        <v>80</v>
      </c>
      <c r="F778">
        <v>3</v>
      </c>
      <c r="G778">
        <v>10</v>
      </c>
      <c r="H778">
        <v>9</v>
      </c>
      <c r="I778">
        <v>1</v>
      </c>
      <c r="J778">
        <v>13</v>
      </c>
      <c r="K778">
        <v>1</v>
      </c>
      <c r="L778">
        <v>1</v>
      </c>
      <c r="M778">
        <v>19</v>
      </c>
      <c r="N778">
        <v>15</v>
      </c>
      <c r="O778">
        <v>2</v>
      </c>
      <c r="P778">
        <v>2</v>
      </c>
      <c r="Q778">
        <v>0</v>
      </c>
      <c r="R778">
        <v>0</v>
      </c>
      <c r="S778">
        <v>12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2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1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</row>
    <row r="779" spans="1:201" x14ac:dyDescent="0.3">
      <c r="A779" t="s">
        <v>433</v>
      </c>
      <c r="B779" t="s">
        <v>439</v>
      </c>
      <c r="C779" t="s">
        <v>200</v>
      </c>
      <c r="D779" s="1">
        <v>1492</v>
      </c>
      <c r="E779">
        <v>710</v>
      </c>
      <c r="F779">
        <v>26</v>
      </c>
      <c r="G779">
        <v>59</v>
      </c>
      <c r="H779">
        <v>137</v>
      </c>
      <c r="I779">
        <v>24</v>
      </c>
      <c r="J779">
        <v>105</v>
      </c>
      <c r="K779">
        <v>92</v>
      </c>
      <c r="L779">
        <v>48</v>
      </c>
      <c r="M779">
        <v>25</v>
      </c>
      <c r="N779">
        <v>42</v>
      </c>
      <c r="O779">
        <v>3</v>
      </c>
      <c r="P779">
        <v>3</v>
      </c>
      <c r="Q779">
        <v>65</v>
      </c>
      <c r="R779">
        <v>32</v>
      </c>
      <c r="S779">
        <v>25</v>
      </c>
      <c r="T779">
        <v>5</v>
      </c>
      <c r="U779">
        <v>6</v>
      </c>
      <c r="V779">
        <v>2</v>
      </c>
      <c r="W779">
        <v>5</v>
      </c>
      <c r="X779">
        <v>0</v>
      </c>
      <c r="Y779">
        <v>12</v>
      </c>
      <c r="Z779">
        <v>6</v>
      </c>
      <c r="AA779">
        <v>0</v>
      </c>
      <c r="AB779">
        <v>4</v>
      </c>
      <c r="AC779">
        <v>2</v>
      </c>
      <c r="AD779">
        <v>3</v>
      </c>
      <c r="AE779">
        <v>11</v>
      </c>
      <c r="AF779">
        <v>1</v>
      </c>
      <c r="AG779">
        <v>14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8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1</v>
      </c>
      <c r="BR779">
        <v>0</v>
      </c>
      <c r="BS779">
        <v>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2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1</v>
      </c>
      <c r="CP779">
        <v>0</v>
      </c>
      <c r="CQ779">
        <v>0</v>
      </c>
      <c r="CR779">
        <v>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5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1</v>
      </c>
      <c r="DU779">
        <v>0</v>
      </c>
      <c r="DV779">
        <v>1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2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</row>
    <row r="780" spans="1:201" x14ac:dyDescent="0.3">
      <c r="A780" t="s">
        <v>433</v>
      </c>
      <c r="B780" t="s">
        <v>439</v>
      </c>
      <c r="C780" t="s">
        <v>203</v>
      </c>
      <c r="D780" s="1">
        <v>1007</v>
      </c>
      <c r="E780">
        <v>502</v>
      </c>
      <c r="F780">
        <v>10</v>
      </c>
      <c r="G780">
        <v>12</v>
      </c>
      <c r="H780">
        <v>98</v>
      </c>
      <c r="I780">
        <v>16</v>
      </c>
      <c r="J780">
        <v>54</v>
      </c>
      <c r="K780">
        <v>91</v>
      </c>
      <c r="L780">
        <v>38</v>
      </c>
      <c r="M780">
        <v>8</v>
      </c>
      <c r="N780">
        <v>25</v>
      </c>
      <c r="O780">
        <v>2</v>
      </c>
      <c r="P780">
        <v>3</v>
      </c>
      <c r="Q780">
        <v>54</v>
      </c>
      <c r="R780">
        <v>23</v>
      </c>
      <c r="S780">
        <v>1</v>
      </c>
      <c r="T780">
        <v>3</v>
      </c>
      <c r="U780">
        <v>4</v>
      </c>
      <c r="V780">
        <v>2</v>
      </c>
      <c r="W780">
        <v>2</v>
      </c>
      <c r="X780">
        <v>0</v>
      </c>
      <c r="Y780">
        <v>2</v>
      </c>
      <c r="Z780">
        <v>5</v>
      </c>
      <c r="AA780">
        <v>0</v>
      </c>
      <c r="AB780">
        <v>3</v>
      </c>
      <c r="AC780">
        <v>1</v>
      </c>
      <c r="AD780">
        <v>0</v>
      </c>
      <c r="AE780">
        <v>11</v>
      </c>
      <c r="AF780">
        <v>1</v>
      </c>
      <c r="AG780">
        <v>14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8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1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2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1</v>
      </c>
      <c r="CP780">
        <v>0</v>
      </c>
      <c r="CQ780">
        <v>0</v>
      </c>
      <c r="CR780">
        <v>1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5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1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2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</row>
    <row r="781" spans="1:201" x14ac:dyDescent="0.3">
      <c r="A781" t="s">
        <v>433</v>
      </c>
      <c r="B781" t="s">
        <v>439</v>
      </c>
      <c r="C781" t="s">
        <v>204</v>
      </c>
      <c r="D781">
        <v>485</v>
      </c>
      <c r="E781">
        <v>208</v>
      </c>
      <c r="F781">
        <v>16</v>
      </c>
      <c r="G781">
        <v>47</v>
      </c>
      <c r="H781">
        <v>39</v>
      </c>
      <c r="I781">
        <v>8</v>
      </c>
      <c r="J781">
        <v>51</v>
      </c>
      <c r="K781">
        <v>1</v>
      </c>
      <c r="L781">
        <v>10</v>
      </c>
      <c r="M781">
        <v>17</v>
      </c>
      <c r="N781">
        <v>17</v>
      </c>
      <c r="O781">
        <v>1</v>
      </c>
      <c r="P781">
        <v>0</v>
      </c>
      <c r="Q781">
        <v>11</v>
      </c>
      <c r="R781">
        <v>9</v>
      </c>
      <c r="S781">
        <v>24</v>
      </c>
      <c r="T781">
        <v>2</v>
      </c>
      <c r="U781">
        <v>2</v>
      </c>
      <c r="V781">
        <v>0</v>
      </c>
      <c r="W781">
        <v>3</v>
      </c>
      <c r="X781">
        <v>0</v>
      </c>
      <c r="Y781">
        <v>10</v>
      </c>
      <c r="Z781">
        <v>1</v>
      </c>
      <c r="AA781">
        <v>0</v>
      </c>
      <c r="AB781">
        <v>1</v>
      </c>
      <c r="AC781">
        <v>1</v>
      </c>
      <c r="AD781">
        <v>3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1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</row>
    <row r="782" spans="1:201" x14ac:dyDescent="0.3">
      <c r="A782" t="s">
        <v>433</v>
      </c>
      <c r="B782" t="s">
        <v>440</v>
      </c>
      <c r="C782" t="s">
        <v>200</v>
      </c>
      <c r="D782">
        <v>499</v>
      </c>
      <c r="E782">
        <v>165</v>
      </c>
      <c r="F782">
        <v>9</v>
      </c>
      <c r="G782">
        <v>22</v>
      </c>
      <c r="H782">
        <v>79</v>
      </c>
      <c r="I782">
        <v>4</v>
      </c>
      <c r="J782">
        <v>56</v>
      </c>
      <c r="K782">
        <v>26</v>
      </c>
      <c r="L782">
        <v>16</v>
      </c>
      <c r="M782">
        <v>27</v>
      </c>
      <c r="N782">
        <v>10</v>
      </c>
      <c r="O782">
        <v>4</v>
      </c>
      <c r="P782">
        <v>0</v>
      </c>
      <c r="Q782">
        <v>5</v>
      </c>
      <c r="R782">
        <v>20</v>
      </c>
      <c r="S782">
        <v>39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8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1</v>
      </c>
    </row>
    <row r="783" spans="1:201" x14ac:dyDescent="0.3">
      <c r="A783" t="s">
        <v>433</v>
      </c>
      <c r="B783" t="s">
        <v>440</v>
      </c>
      <c r="C783" t="s">
        <v>203</v>
      </c>
      <c r="D783">
        <v>253</v>
      </c>
      <c r="E783">
        <v>72</v>
      </c>
      <c r="F783">
        <v>6</v>
      </c>
      <c r="G783">
        <v>6</v>
      </c>
      <c r="H783">
        <v>57</v>
      </c>
      <c r="I783">
        <v>2</v>
      </c>
      <c r="J783">
        <v>26</v>
      </c>
      <c r="K783">
        <v>26</v>
      </c>
      <c r="L783">
        <v>16</v>
      </c>
      <c r="M783">
        <v>12</v>
      </c>
      <c r="N783">
        <v>3</v>
      </c>
      <c r="O783">
        <v>2</v>
      </c>
      <c r="P783">
        <v>0</v>
      </c>
      <c r="Q783">
        <v>5</v>
      </c>
      <c r="R783">
        <v>13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3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</row>
    <row r="784" spans="1:201" x14ac:dyDescent="0.3">
      <c r="A784" t="s">
        <v>433</v>
      </c>
      <c r="B784" t="s">
        <v>440</v>
      </c>
      <c r="C784" t="s">
        <v>204</v>
      </c>
      <c r="D784">
        <v>246</v>
      </c>
      <c r="E784">
        <v>93</v>
      </c>
      <c r="F784">
        <v>3</v>
      </c>
      <c r="G784">
        <v>16</v>
      </c>
      <c r="H784">
        <v>22</v>
      </c>
      <c r="I784">
        <v>2</v>
      </c>
      <c r="J784">
        <v>30</v>
      </c>
      <c r="K784">
        <v>0</v>
      </c>
      <c r="L784">
        <v>0</v>
      </c>
      <c r="M784">
        <v>15</v>
      </c>
      <c r="N784">
        <v>7</v>
      </c>
      <c r="O784">
        <v>2</v>
      </c>
      <c r="P784">
        <v>0</v>
      </c>
      <c r="Q784">
        <v>0</v>
      </c>
      <c r="R784">
        <v>7</v>
      </c>
      <c r="S784">
        <v>39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5</v>
      </c>
      <c r="Z784">
        <v>0</v>
      </c>
      <c r="AA784">
        <v>0</v>
      </c>
      <c r="AB784">
        <v>0</v>
      </c>
      <c r="AC784">
        <v>0</v>
      </c>
      <c r="AD784">
        <v>3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1</v>
      </c>
    </row>
    <row r="785" spans="1:201" x14ac:dyDescent="0.3">
      <c r="A785" t="s">
        <v>433</v>
      </c>
      <c r="B785" t="s">
        <v>441</v>
      </c>
      <c r="C785" t="s">
        <v>200</v>
      </c>
      <c r="D785" s="1">
        <v>5334</v>
      </c>
      <c r="E785">
        <v>971</v>
      </c>
      <c r="F785">
        <v>116</v>
      </c>
      <c r="G785" s="1">
        <v>1089</v>
      </c>
      <c r="H785">
        <v>357</v>
      </c>
      <c r="I785" s="1">
        <v>1009</v>
      </c>
      <c r="J785">
        <v>511</v>
      </c>
      <c r="K785">
        <v>126</v>
      </c>
      <c r="L785">
        <v>168</v>
      </c>
      <c r="M785">
        <v>260</v>
      </c>
      <c r="N785">
        <v>97</v>
      </c>
      <c r="O785">
        <v>64</v>
      </c>
      <c r="P785">
        <v>10</v>
      </c>
      <c r="Q785">
        <v>211</v>
      </c>
      <c r="R785">
        <v>132</v>
      </c>
      <c r="S785">
        <v>35</v>
      </c>
      <c r="T785">
        <v>7</v>
      </c>
      <c r="U785">
        <v>8</v>
      </c>
      <c r="V785">
        <v>19</v>
      </c>
      <c r="W785">
        <v>4</v>
      </c>
      <c r="X785">
        <v>33</v>
      </c>
      <c r="Y785">
        <v>17</v>
      </c>
      <c r="Z785">
        <v>11</v>
      </c>
      <c r="AA785">
        <v>0</v>
      </c>
      <c r="AB785">
        <v>5</v>
      </c>
      <c r="AC785">
        <v>2</v>
      </c>
      <c r="AD785">
        <v>6</v>
      </c>
      <c r="AE785">
        <v>4</v>
      </c>
      <c r="AF785">
        <v>2</v>
      </c>
      <c r="AG785">
        <v>8</v>
      </c>
      <c r="AH785">
        <v>1</v>
      </c>
      <c r="AI785">
        <v>14</v>
      </c>
      <c r="AJ785">
        <v>0</v>
      </c>
      <c r="AK785">
        <v>1</v>
      </c>
      <c r="AL785">
        <v>0</v>
      </c>
      <c r="AM785">
        <v>1</v>
      </c>
      <c r="AN785">
        <v>1</v>
      </c>
      <c r="AO785">
        <v>0</v>
      </c>
      <c r="AP785">
        <v>1</v>
      </c>
      <c r="AQ785">
        <v>0</v>
      </c>
      <c r="AR785">
        <v>4</v>
      </c>
      <c r="AS785">
        <v>1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0</v>
      </c>
      <c r="AZ785">
        <v>7</v>
      </c>
      <c r="BA785">
        <v>1</v>
      </c>
      <c r="BB785">
        <v>0</v>
      </c>
      <c r="BC785">
        <v>0</v>
      </c>
      <c r="BD785">
        <v>0</v>
      </c>
      <c r="BE785">
        <v>2</v>
      </c>
      <c r="BF785">
        <v>0</v>
      </c>
      <c r="BG785">
        <v>0</v>
      </c>
      <c r="BH785">
        <v>1</v>
      </c>
      <c r="BI785">
        <v>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2</v>
      </c>
      <c r="BP785">
        <v>1</v>
      </c>
      <c r="BQ785">
        <v>1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1</v>
      </c>
      <c r="BX785">
        <v>0</v>
      </c>
      <c r="BY785">
        <v>3</v>
      </c>
      <c r="BZ785">
        <v>0</v>
      </c>
      <c r="CA785">
        <v>0</v>
      </c>
      <c r="CB785">
        <v>1</v>
      </c>
      <c r="CC785">
        <v>0</v>
      </c>
      <c r="CD785">
        <v>1</v>
      </c>
      <c r="CE785">
        <v>1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1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1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</row>
    <row r="786" spans="1:201" x14ac:dyDescent="0.3">
      <c r="A786" t="s">
        <v>433</v>
      </c>
      <c r="B786" t="s">
        <v>441</v>
      </c>
      <c r="C786" t="s">
        <v>203</v>
      </c>
      <c r="D786" s="1">
        <v>3438</v>
      </c>
      <c r="E786">
        <v>568</v>
      </c>
      <c r="F786">
        <v>65</v>
      </c>
      <c r="G786">
        <v>549</v>
      </c>
      <c r="H786">
        <v>265</v>
      </c>
      <c r="I786">
        <v>893</v>
      </c>
      <c r="J786">
        <v>135</v>
      </c>
      <c r="K786">
        <v>123</v>
      </c>
      <c r="L786">
        <v>161</v>
      </c>
      <c r="M786">
        <v>165</v>
      </c>
      <c r="N786">
        <v>41</v>
      </c>
      <c r="O786">
        <v>30</v>
      </c>
      <c r="P786">
        <v>7</v>
      </c>
      <c r="Q786">
        <v>198</v>
      </c>
      <c r="R786">
        <v>113</v>
      </c>
      <c r="S786">
        <v>1</v>
      </c>
      <c r="T786">
        <v>2</v>
      </c>
      <c r="U786">
        <v>6</v>
      </c>
      <c r="V786">
        <v>18</v>
      </c>
      <c r="W786">
        <v>2</v>
      </c>
      <c r="X786">
        <v>20</v>
      </c>
      <c r="Y786">
        <v>8</v>
      </c>
      <c r="Z786">
        <v>9</v>
      </c>
      <c r="AA786">
        <v>0</v>
      </c>
      <c r="AB786">
        <v>3</v>
      </c>
      <c r="AC786">
        <v>1</v>
      </c>
      <c r="AD786">
        <v>1</v>
      </c>
      <c r="AE786">
        <v>4</v>
      </c>
      <c r="AF786">
        <v>2</v>
      </c>
      <c r="AG786">
        <v>7</v>
      </c>
      <c r="AH786">
        <v>0</v>
      </c>
      <c r="AI786">
        <v>13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3</v>
      </c>
      <c r="AS786">
        <v>1</v>
      </c>
      <c r="AT786">
        <v>0</v>
      </c>
      <c r="AU786">
        <v>0</v>
      </c>
      <c r="AV786">
        <v>0</v>
      </c>
      <c r="AW786">
        <v>1</v>
      </c>
      <c r="AX786">
        <v>0</v>
      </c>
      <c r="AY786">
        <v>0</v>
      </c>
      <c r="AZ786">
        <v>7</v>
      </c>
      <c r="BA786">
        <v>1</v>
      </c>
      <c r="BB786">
        <v>0</v>
      </c>
      <c r="BC786">
        <v>0</v>
      </c>
      <c r="BD786">
        <v>0</v>
      </c>
      <c r="BE786">
        <v>2</v>
      </c>
      <c r="BF786">
        <v>0</v>
      </c>
      <c r="BG786">
        <v>0</v>
      </c>
      <c r="BH786">
        <v>1</v>
      </c>
      <c r="BI786">
        <v>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2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1</v>
      </c>
      <c r="BX786">
        <v>0</v>
      </c>
      <c r="BY786">
        <v>2</v>
      </c>
      <c r="BZ786">
        <v>0</v>
      </c>
      <c r="CA786">
        <v>0</v>
      </c>
      <c r="CB786">
        <v>0</v>
      </c>
      <c r="CC786">
        <v>0</v>
      </c>
      <c r="CD786">
        <v>1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1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</row>
    <row r="787" spans="1:201" x14ac:dyDescent="0.3">
      <c r="A787" t="s">
        <v>433</v>
      </c>
      <c r="B787" t="s">
        <v>441</v>
      </c>
      <c r="C787" t="s">
        <v>204</v>
      </c>
      <c r="D787" s="1">
        <v>1896</v>
      </c>
      <c r="E787">
        <v>403</v>
      </c>
      <c r="F787">
        <v>51</v>
      </c>
      <c r="G787">
        <v>540</v>
      </c>
      <c r="H787">
        <v>92</v>
      </c>
      <c r="I787">
        <v>116</v>
      </c>
      <c r="J787">
        <v>376</v>
      </c>
      <c r="K787">
        <v>3</v>
      </c>
      <c r="L787">
        <v>7</v>
      </c>
      <c r="M787">
        <v>95</v>
      </c>
      <c r="N787">
        <v>56</v>
      </c>
      <c r="O787">
        <v>34</v>
      </c>
      <c r="P787">
        <v>3</v>
      </c>
      <c r="Q787">
        <v>13</v>
      </c>
      <c r="R787">
        <v>19</v>
      </c>
      <c r="S787">
        <v>34</v>
      </c>
      <c r="T787">
        <v>5</v>
      </c>
      <c r="U787">
        <v>2</v>
      </c>
      <c r="V787">
        <v>1</v>
      </c>
      <c r="W787">
        <v>2</v>
      </c>
      <c r="X787">
        <v>13</v>
      </c>
      <c r="Y787">
        <v>9</v>
      </c>
      <c r="Z787">
        <v>2</v>
      </c>
      <c r="AA787">
        <v>0</v>
      </c>
      <c r="AB787">
        <v>2</v>
      </c>
      <c r="AC787">
        <v>1</v>
      </c>
      <c r="AD787">
        <v>5</v>
      </c>
      <c r="AE787">
        <v>0</v>
      </c>
      <c r="AF787">
        <v>0</v>
      </c>
      <c r="AG787">
        <v>1</v>
      </c>
      <c r="AH787">
        <v>1</v>
      </c>
      <c r="AI787">
        <v>1</v>
      </c>
      <c r="AJ787">
        <v>0</v>
      </c>
      <c r="AK787">
        <v>0</v>
      </c>
      <c r="AL787">
        <v>0</v>
      </c>
      <c r="AM787">
        <v>1</v>
      </c>
      <c r="AN787">
        <v>1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1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</v>
      </c>
      <c r="BZ787">
        <v>0</v>
      </c>
      <c r="CA787">
        <v>0</v>
      </c>
      <c r="CB787">
        <v>1</v>
      </c>
      <c r="CC787">
        <v>0</v>
      </c>
      <c r="CD787">
        <v>0</v>
      </c>
      <c r="CE787">
        <v>1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1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</row>
    <row r="788" spans="1:201" x14ac:dyDescent="0.3">
      <c r="A788" t="s">
        <v>433</v>
      </c>
      <c r="B788" t="s">
        <v>442</v>
      </c>
      <c r="C788" t="s">
        <v>200</v>
      </c>
      <c r="D788" s="1">
        <v>7268</v>
      </c>
      <c r="E788" s="1">
        <v>2511</v>
      </c>
      <c r="F788">
        <v>186</v>
      </c>
      <c r="G788">
        <v>536</v>
      </c>
      <c r="H788">
        <v>575</v>
      </c>
      <c r="I788">
        <v>446</v>
      </c>
      <c r="J788">
        <v>891</v>
      </c>
      <c r="K788">
        <v>169</v>
      </c>
      <c r="L788">
        <v>252</v>
      </c>
      <c r="M788">
        <v>256</v>
      </c>
      <c r="N788">
        <v>179</v>
      </c>
      <c r="O788">
        <v>160</v>
      </c>
      <c r="P788">
        <v>42</v>
      </c>
      <c r="Q788">
        <v>199</v>
      </c>
      <c r="R788">
        <v>145</v>
      </c>
      <c r="S788">
        <v>103</v>
      </c>
      <c r="T788">
        <v>41</v>
      </c>
      <c r="U788">
        <v>32</v>
      </c>
      <c r="V788">
        <v>72</v>
      </c>
      <c r="W788">
        <v>89</v>
      </c>
      <c r="X788">
        <v>26</v>
      </c>
      <c r="Y788">
        <v>40</v>
      </c>
      <c r="Z788">
        <v>16</v>
      </c>
      <c r="AA788">
        <v>1</v>
      </c>
      <c r="AB788">
        <v>3</v>
      </c>
      <c r="AC788">
        <v>3</v>
      </c>
      <c r="AD788">
        <v>30</v>
      </c>
      <c r="AE788">
        <v>5</v>
      </c>
      <c r="AF788">
        <v>14</v>
      </c>
      <c r="AG788">
        <v>25</v>
      </c>
      <c r="AH788">
        <v>2</v>
      </c>
      <c r="AI788">
        <v>41</v>
      </c>
      <c r="AJ788">
        <v>0</v>
      </c>
      <c r="AK788">
        <v>1</v>
      </c>
      <c r="AL788">
        <v>2</v>
      </c>
      <c r="AM788">
        <v>3</v>
      </c>
      <c r="AN788">
        <v>2</v>
      </c>
      <c r="AO788">
        <v>0</v>
      </c>
      <c r="AP788">
        <v>12</v>
      </c>
      <c r="AQ788">
        <v>9</v>
      </c>
      <c r="AR788">
        <v>0</v>
      </c>
      <c r="AS788">
        <v>2</v>
      </c>
      <c r="AT788">
        <v>0</v>
      </c>
      <c r="AU788">
        <v>1</v>
      </c>
      <c r="AV788">
        <v>0</v>
      </c>
      <c r="AW788">
        <v>0</v>
      </c>
      <c r="AX788">
        <v>71</v>
      </c>
      <c r="AY788">
        <v>6</v>
      </c>
      <c r="AZ788">
        <v>2</v>
      </c>
      <c r="BA788">
        <v>1</v>
      </c>
      <c r="BB788">
        <v>0</v>
      </c>
      <c r="BC788">
        <v>0</v>
      </c>
      <c r="BD788">
        <v>1</v>
      </c>
      <c r="BE788">
        <v>1</v>
      </c>
      <c r="BF788">
        <v>5</v>
      </c>
      <c r="BG788">
        <v>2</v>
      </c>
      <c r="BH788">
        <v>0</v>
      </c>
      <c r="BI788">
        <v>11</v>
      </c>
      <c r="BJ788">
        <v>2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7</v>
      </c>
      <c r="BQ788">
        <v>3</v>
      </c>
      <c r="BR788">
        <v>0</v>
      </c>
      <c r="BS788">
        <v>3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12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5</v>
      </c>
      <c r="CJ788">
        <v>0</v>
      </c>
      <c r="CK788">
        <v>0</v>
      </c>
      <c r="CL788">
        <v>0</v>
      </c>
      <c r="CM788">
        <v>2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3</v>
      </c>
      <c r="CY788">
        <v>0</v>
      </c>
      <c r="CZ788">
        <v>0</v>
      </c>
      <c r="DA788">
        <v>0</v>
      </c>
      <c r="DB788">
        <v>0</v>
      </c>
      <c r="DC788">
        <v>1</v>
      </c>
      <c r="DD788">
        <v>0</v>
      </c>
      <c r="DE788">
        <v>0</v>
      </c>
      <c r="DF788">
        <v>0</v>
      </c>
      <c r="DG788">
        <v>0</v>
      </c>
      <c r="DH788">
        <v>1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2</v>
      </c>
      <c r="EB788">
        <v>2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2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1</v>
      </c>
    </row>
    <row r="789" spans="1:201" x14ac:dyDescent="0.3">
      <c r="A789" t="s">
        <v>433</v>
      </c>
      <c r="B789" t="s">
        <v>442</v>
      </c>
      <c r="C789" t="s">
        <v>203</v>
      </c>
      <c r="D789" s="1">
        <v>4081</v>
      </c>
      <c r="E789" s="1">
        <v>1168</v>
      </c>
      <c r="F789">
        <v>98</v>
      </c>
      <c r="G789">
        <v>182</v>
      </c>
      <c r="H789">
        <v>421</v>
      </c>
      <c r="I789">
        <v>383</v>
      </c>
      <c r="J789">
        <v>432</v>
      </c>
      <c r="K789">
        <v>153</v>
      </c>
      <c r="L789">
        <v>237</v>
      </c>
      <c r="M789">
        <v>115</v>
      </c>
      <c r="N789">
        <v>66</v>
      </c>
      <c r="O789">
        <v>87</v>
      </c>
      <c r="P789">
        <v>20</v>
      </c>
      <c r="Q789">
        <v>175</v>
      </c>
      <c r="R789">
        <v>119</v>
      </c>
      <c r="S789">
        <v>7</v>
      </c>
      <c r="T789">
        <v>32</v>
      </c>
      <c r="U789">
        <v>19</v>
      </c>
      <c r="V789">
        <v>61</v>
      </c>
      <c r="W789">
        <v>51</v>
      </c>
      <c r="X789">
        <v>18</v>
      </c>
      <c r="Y789">
        <v>20</v>
      </c>
      <c r="Z789">
        <v>12</v>
      </c>
      <c r="AA789">
        <v>1</v>
      </c>
      <c r="AB789">
        <v>0</v>
      </c>
      <c r="AC789">
        <v>2</v>
      </c>
      <c r="AD789">
        <v>6</v>
      </c>
      <c r="AE789">
        <v>5</v>
      </c>
      <c r="AF789">
        <v>12</v>
      </c>
      <c r="AG789">
        <v>18</v>
      </c>
      <c r="AH789">
        <v>1</v>
      </c>
      <c r="AI789">
        <v>34</v>
      </c>
      <c r="AJ789">
        <v>0</v>
      </c>
      <c r="AK789">
        <v>0</v>
      </c>
      <c r="AL789">
        <v>0</v>
      </c>
      <c r="AM789">
        <v>0</v>
      </c>
      <c r="AN789">
        <v>2</v>
      </c>
      <c r="AO789">
        <v>0</v>
      </c>
      <c r="AP789">
        <v>9</v>
      </c>
      <c r="AQ789">
        <v>6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61</v>
      </c>
      <c r="AY789">
        <v>2</v>
      </c>
      <c r="AZ789">
        <v>2</v>
      </c>
      <c r="BA789">
        <v>1</v>
      </c>
      <c r="BB789">
        <v>0</v>
      </c>
      <c r="BC789">
        <v>0</v>
      </c>
      <c r="BD789">
        <v>1</v>
      </c>
      <c r="BE789">
        <v>0</v>
      </c>
      <c r="BF789">
        <v>3</v>
      </c>
      <c r="BG789">
        <v>1</v>
      </c>
      <c r="BH789">
        <v>0</v>
      </c>
      <c r="BI789">
        <v>8</v>
      </c>
      <c r="BJ789">
        <v>2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2</v>
      </c>
      <c r="BQ789">
        <v>1</v>
      </c>
      <c r="BR789">
        <v>0</v>
      </c>
      <c r="BS789">
        <v>2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12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3</v>
      </c>
      <c r="CJ789">
        <v>0</v>
      </c>
      <c r="CK789">
        <v>0</v>
      </c>
      <c r="CL789">
        <v>0</v>
      </c>
      <c r="CM789">
        <v>2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1</v>
      </c>
      <c r="CY789">
        <v>0</v>
      </c>
      <c r="CZ789">
        <v>0</v>
      </c>
      <c r="DA789">
        <v>0</v>
      </c>
      <c r="DB789">
        <v>0</v>
      </c>
      <c r="DC789">
        <v>1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2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1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</row>
    <row r="790" spans="1:201" x14ac:dyDescent="0.3">
      <c r="A790" t="s">
        <v>433</v>
      </c>
      <c r="B790" t="s">
        <v>442</v>
      </c>
      <c r="C790" t="s">
        <v>204</v>
      </c>
      <c r="D790" s="1">
        <v>3187</v>
      </c>
      <c r="E790" s="1">
        <v>1343</v>
      </c>
      <c r="F790">
        <v>88</v>
      </c>
      <c r="G790">
        <v>354</v>
      </c>
      <c r="H790">
        <v>154</v>
      </c>
      <c r="I790">
        <v>63</v>
      </c>
      <c r="J790">
        <v>459</v>
      </c>
      <c r="K790">
        <v>16</v>
      </c>
      <c r="L790">
        <v>15</v>
      </c>
      <c r="M790">
        <v>141</v>
      </c>
      <c r="N790">
        <v>113</v>
      </c>
      <c r="O790">
        <v>73</v>
      </c>
      <c r="P790">
        <v>22</v>
      </c>
      <c r="Q790">
        <v>24</v>
      </c>
      <c r="R790">
        <v>26</v>
      </c>
      <c r="S790">
        <v>96</v>
      </c>
      <c r="T790">
        <v>9</v>
      </c>
      <c r="U790">
        <v>13</v>
      </c>
      <c r="V790">
        <v>11</v>
      </c>
      <c r="W790">
        <v>38</v>
      </c>
      <c r="X790">
        <v>8</v>
      </c>
      <c r="Y790">
        <v>20</v>
      </c>
      <c r="Z790">
        <v>4</v>
      </c>
      <c r="AA790">
        <v>0</v>
      </c>
      <c r="AB790">
        <v>3</v>
      </c>
      <c r="AC790">
        <v>1</v>
      </c>
      <c r="AD790">
        <v>24</v>
      </c>
      <c r="AE790">
        <v>0</v>
      </c>
      <c r="AF790">
        <v>2</v>
      </c>
      <c r="AG790">
        <v>7</v>
      </c>
      <c r="AH790">
        <v>1</v>
      </c>
      <c r="AI790">
        <v>7</v>
      </c>
      <c r="AJ790">
        <v>0</v>
      </c>
      <c r="AK790">
        <v>1</v>
      </c>
      <c r="AL790">
        <v>2</v>
      </c>
      <c r="AM790">
        <v>3</v>
      </c>
      <c r="AN790">
        <v>0</v>
      </c>
      <c r="AO790">
        <v>0</v>
      </c>
      <c r="AP790">
        <v>3</v>
      </c>
      <c r="AQ790">
        <v>3</v>
      </c>
      <c r="AR790">
        <v>0</v>
      </c>
      <c r="AS790">
        <v>1</v>
      </c>
      <c r="AT790">
        <v>0</v>
      </c>
      <c r="AU790">
        <v>1</v>
      </c>
      <c r="AV790">
        <v>0</v>
      </c>
      <c r="AW790">
        <v>0</v>
      </c>
      <c r="AX790">
        <v>10</v>
      </c>
      <c r="AY790">
        <v>4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2</v>
      </c>
      <c r="BG790">
        <v>1</v>
      </c>
      <c r="BH790">
        <v>0</v>
      </c>
      <c r="BI790">
        <v>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5</v>
      </c>
      <c r="BQ790">
        <v>2</v>
      </c>
      <c r="BR790">
        <v>0</v>
      </c>
      <c r="BS790">
        <v>1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2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2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1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2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1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1</v>
      </c>
    </row>
    <row r="791" spans="1:201" x14ac:dyDescent="0.3">
      <c r="A791" t="s">
        <v>433</v>
      </c>
      <c r="B791" t="s">
        <v>443</v>
      </c>
      <c r="C791" t="s">
        <v>200</v>
      </c>
      <c r="D791">
        <v>464</v>
      </c>
      <c r="E791">
        <v>184</v>
      </c>
      <c r="F791">
        <v>4</v>
      </c>
      <c r="G791">
        <v>23</v>
      </c>
      <c r="H791">
        <v>73</v>
      </c>
      <c r="I791">
        <v>7</v>
      </c>
      <c r="J791">
        <v>66</v>
      </c>
      <c r="K791">
        <v>14</v>
      </c>
      <c r="L791">
        <v>7</v>
      </c>
      <c r="M791">
        <v>10</v>
      </c>
      <c r="N791">
        <v>34</v>
      </c>
      <c r="O791">
        <v>0</v>
      </c>
      <c r="P791">
        <v>0</v>
      </c>
      <c r="Q791">
        <v>3</v>
      </c>
      <c r="R791">
        <v>1</v>
      </c>
      <c r="S791">
        <v>7</v>
      </c>
      <c r="T791">
        <v>0</v>
      </c>
      <c r="U791">
        <v>0</v>
      </c>
      <c r="V791">
        <v>1</v>
      </c>
      <c r="W791">
        <v>4</v>
      </c>
      <c r="X791">
        <v>0</v>
      </c>
      <c r="Y791">
        <v>21</v>
      </c>
      <c r="Z791">
        <v>0</v>
      </c>
      <c r="AA791">
        <v>0</v>
      </c>
      <c r="AB791">
        <v>0</v>
      </c>
      <c r="AC791">
        <v>0</v>
      </c>
      <c r="AD791">
        <v>3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2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</row>
    <row r="792" spans="1:201" x14ac:dyDescent="0.3">
      <c r="A792" t="s">
        <v>433</v>
      </c>
      <c r="B792" t="s">
        <v>443</v>
      </c>
      <c r="C792" t="s">
        <v>203</v>
      </c>
      <c r="D792">
        <v>239</v>
      </c>
      <c r="E792">
        <v>73</v>
      </c>
      <c r="F792">
        <v>1</v>
      </c>
      <c r="G792">
        <v>9</v>
      </c>
      <c r="H792">
        <v>59</v>
      </c>
      <c r="I792">
        <v>4</v>
      </c>
      <c r="J792">
        <v>34</v>
      </c>
      <c r="K792">
        <v>7</v>
      </c>
      <c r="L792">
        <v>7</v>
      </c>
      <c r="M792">
        <v>2</v>
      </c>
      <c r="N792">
        <v>21</v>
      </c>
      <c r="O792">
        <v>0</v>
      </c>
      <c r="P792">
        <v>0</v>
      </c>
      <c r="Q792">
        <v>3</v>
      </c>
      <c r="R792">
        <v>1</v>
      </c>
      <c r="S792">
        <v>0</v>
      </c>
      <c r="T792">
        <v>0</v>
      </c>
      <c r="U792">
        <v>0</v>
      </c>
      <c r="V792">
        <v>1</v>
      </c>
      <c r="W792">
        <v>1</v>
      </c>
      <c r="X792">
        <v>0</v>
      </c>
      <c r="Y792">
        <v>15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</row>
    <row r="793" spans="1:201" x14ac:dyDescent="0.3">
      <c r="A793" t="s">
        <v>433</v>
      </c>
      <c r="B793" t="s">
        <v>443</v>
      </c>
      <c r="C793" t="s">
        <v>204</v>
      </c>
      <c r="D793">
        <v>225</v>
      </c>
      <c r="E793">
        <v>111</v>
      </c>
      <c r="F793">
        <v>3</v>
      </c>
      <c r="G793">
        <v>14</v>
      </c>
      <c r="H793">
        <v>14</v>
      </c>
      <c r="I793">
        <v>3</v>
      </c>
      <c r="J793">
        <v>32</v>
      </c>
      <c r="K793">
        <v>7</v>
      </c>
      <c r="L793">
        <v>0</v>
      </c>
      <c r="M793">
        <v>8</v>
      </c>
      <c r="N793">
        <v>13</v>
      </c>
      <c r="O793">
        <v>0</v>
      </c>
      <c r="P793">
        <v>0</v>
      </c>
      <c r="Q793">
        <v>0</v>
      </c>
      <c r="R793">
        <v>0</v>
      </c>
      <c r="S793">
        <v>7</v>
      </c>
      <c r="T793">
        <v>0</v>
      </c>
      <c r="U793">
        <v>0</v>
      </c>
      <c r="V793">
        <v>0</v>
      </c>
      <c r="W793">
        <v>3</v>
      </c>
      <c r="X793">
        <v>0</v>
      </c>
      <c r="Y793">
        <v>6</v>
      </c>
      <c r="Z793">
        <v>0</v>
      </c>
      <c r="AA793">
        <v>0</v>
      </c>
      <c r="AB793">
        <v>0</v>
      </c>
      <c r="AC793">
        <v>0</v>
      </c>
      <c r="AD793">
        <v>3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</row>
    <row r="794" spans="1:201" x14ac:dyDescent="0.3">
      <c r="A794" t="s">
        <v>433</v>
      </c>
      <c r="B794" t="s">
        <v>444</v>
      </c>
      <c r="C794" t="s">
        <v>200</v>
      </c>
      <c r="D794">
        <v>514</v>
      </c>
      <c r="E794">
        <v>189</v>
      </c>
      <c r="F794">
        <v>8</v>
      </c>
      <c r="G794">
        <v>24</v>
      </c>
      <c r="H794">
        <v>90</v>
      </c>
      <c r="I794">
        <v>16</v>
      </c>
      <c r="J794">
        <v>77</v>
      </c>
      <c r="K794">
        <v>0</v>
      </c>
      <c r="L794">
        <v>13</v>
      </c>
      <c r="M794">
        <v>12</v>
      </c>
      <c r="N794">
        <v>27</v>
      </c>
      <c r="O794">
        <v>9</v>
      </c>
      <c r="P794">
        <v>2</v>
      </c>
      <c r="Q794">
        <v>8</v>
      </c>
      <c r="R794">
        <v>2</v>
      </c>
      <c r="S794">
        <v>22</v>
      </c>
      <c r="T794">
        <v>1</v>
      </c>
      <c r="U794">
        <v>0</v>
      </c>
      <c r="V794">
        <v>2</v>
      </c>
      <c r="W794">
        <v>1</v>
      </c>
      <c r="X794">
        <v>4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</v>
      </c>
      <c r="AE794">
        <v>1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1</v>
      </c>
    </row>
    <row r="795" spans="1:201" x14ac:dyDescent="0.3">
      <c r="A795" t="s">
        <v>433</v>
      </c>
      <c r="B795" t="s">
        <v>444</v>
      </c>
      <c r="C795" t="s">
        <v>203</v>
      </c>
      <c r="D795">
        <v>275</v>
      </c>
      <c r="E795">
        <v>85</v>
      </c>
      <c r="F795">
        <v>2</v>
      </c>
      <c r="G795">
        <v>6</v>
      </c>
      <c r="H795">
        <v>74</v>
      </c>
      <c r="I795">
        <v>11</v>
      </c>
      <c r="J795">
        <v>38</v>
      </c>
      <c r="K795">
        <v>0</v>
      </c>
      <c r="L795">
        <v>13</v>
      </c>
      <c r="M795">
        <v>3</v>
      </c>
      <c r="N795">
        <v>19</v>
      </c>
      <c r="O795">
        <v>7</v>
      </c>
      <c r="P795">
        <v>0</v>
      </c>
      <c r="Q795">
        <v>7</v>
      </c>
      <c r="R795">
        <v>1</v>
      </c>
      <c r="S795">
        <v>0</v>
      </c>
      <c r="T795">
        <v>0</v>
      </c>
      <c r="U795">
        <v>0</v>
      </c>
      <c r="V795">
        <v>2</v>
      </c>
      <c r="W795">
        <v>0</v>
      </c>
      <c r="X795">
        <v>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1</v>
      </c>
    </row>
    <row r="796" spans="1:201" x14ac:dyDescent="0.3">
      <c r="A796" t="s">
        <v>433</v>
      </c>
      <c r="B796" t="s">
        <v>444</v>
      </c>
      <c r="C796" t="s">
        <v>204</v>
      </c>
      <c r="D796">
        <v>239</v>
      </c>
      <c r="E796">
        <v>104</v>
      </c>
      <c r="F796">
        <v>6</v>
      </c>
      <c r="G796">
        <v>18</v>
      </c>
      <c r="H796">
        <v>16</v>
      </c>
      <c r="I796">
        <v>5</v>
      </c>
      <c r="J796">
        <v>39</v>
      </c>
      <c r="K796">
        <v>0</v>
      </c>
      <c r="L796">
        <v>0</v>
      </c>
      <c r="M796">
        <v>9</v>
      </c>
      <c r="N796">
        <v>8</v>
      </c>
      <c r="O796">
        <v>2</v>
      </c>
      <c r="P796">
        <v>2</v>
      </c>
      <c r="Q796">
        <v>1</v>
      </c>
      <c r="R796">
        <v>1</v>
      </c>
      <c r="S796">
        <v>22</v>
      </c>
      <c r="T796">
        <v>1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</row>
    <row r="797" spans="1:201" x14ac:dyDescent="0.3">
      <c r="A797" t="s">
        <v>433</v>
      </c>
      <c r="B797" t="s">
        <v>445</v>
      </c>
      <c r="C797" t="s">
        <v>200</v>
      </c>
      <c r="D797" s="1">
        <v>6231</v>
      </c>
      <c r="E797" s="1">
        <v>1289</v>
      </c>
      <c r="F797">
        <v>184</v>
      </c>
      <c r="G797" s="1">
        <v>1276</v>
      </c>
      <c r="H797">
        <v>242</v>
      </c>
      <c r="I797">
        <v>543</v>
      </c>
      <c r="J797">
        <v>302</v>
      </c>
      <c r="K797">
        <v>102</v>
      </c>
      <c r="L797">
        <v>146</v>
      </c>
      <c r="M797">
        <v>125</v>
      </c>
      <c r="N797">
        <v>66</v>
      </c>
      <c r="O797">
        <v>537</v>
      </c>
      <c r="P797">
        <v>57</v>
      </c>
      <c r="Q797">
        <v>54</v>
      </c>
      <c r="R797">
        <v>263</v>
      </c>
      <c r="S797">
        <v>106</v>
      </c>
      <c r="T797">
        <v>73</v>
      </c>
      <c r="U797">
        <v>76</v>
      </c>
      <c r="V797">
        <v>128</v>
      </c>
      <c r="W797">
        <v>22</v>
      </c>
      <c r="X797">
        <v>182</v>
      </c>
      <c r="Y797">
        <v>14</v>
      </c>
      <c r="Z797">
        <v>32</v>
      </c>
      <c r="AA797">
        <v>17</v>
      </c>
      <c r="AB797">
        <v>24</v>
      </c>
      <c r="AC797">
        <v>15</v>
      </c>
      <c r="AD797">
        <v>34</v>
      </c>
      <c r="AE797">
        <v>0</v>
      </c>
      <c r="AF797">
        <v>11</v>
      </c>
      <c r="AG797">
        <v>13</v>
      </c>
      <c r="AH797">
        <v>9</v>
      </c>
      <c r="AI797">
        <v>22</v>
      </c>
      <c r="AJ797">
        <v>1</v>
      </c>
      <c r="AK797">
        <v>7</v>
      </c>
      <c r="AL797">
        <v>2</v>
      </c>
      <c r="AM797">
        <v>2</v>
      </c>
      <c r="AN797">
        <v>4</v>
      </c>
      <c r="AO797">
        <v>21</v>
      </c>
      <c r="AP797">
        <v>32</v>
      </c>
      <c r="AQ797">
        <v>13</v>
      </c>
      <c r="AR797">
        <v>6</v>
      </c>
      <c r="AS797">
        <v>8</v>
      </c>
      <c r="AT797">
        <v>5</v>
      </c>
      <c r="AU797">
        <v>18</v>
      </c>
      <c r="AV797">
        <v>4</v>
      </c>
      <c r="AW797">
        <v>3</v>
      </c>
      <c r="AX797">
        <v>2</v>
      </c>
      <c r="AY797">
        <v>4</v>
      </c>
      <c r="AZ797">
        <v>27</v>
      </c>
      <c r="BA797">
        <v>0</v>
      </c>
      <c r="BB797">
        <v>0</v>
      </c>
      <c r="BC797">
        <v>1</v>
      </c>
      <c r="BD797">
        <v>2</v>
      </c>
      <c r="BE797">
        <v>3</v>
      </c>
      <c r="BF797">
        <v>8</v>
      </c>
      <c r="BG797">
        <v>2</v>
      </c>
      <c r="BH797">
        <v>4</v>
      </c>
      <c r="BI797">
        <v>2</v>
      </c>
      <c r="BJ797">
        <v>0</v>
      </c>
      <c r="BK797">
        <v>1</v>
      </c>
      <c r="BL797">
        <v>2</v>
      </c>
      <c r="BM797">
        <v>3</v>
      </c>
      <c r="BN797">
        <v>4</v>
      </c>
      <c r="BO797">
        <v>1</v>
      </c>
      <c r="BP797">
        <v>7</v>
      </c>
      <c r="BQ797">
        <v>3</v>
      </c>
      <c r="BR797">
        <v>1</v>
      </c>
      <c r="BS797">
        <v>4</v>
      </c>
      <c r="BT797">
        <v>1</v>
      </c>
      <c r="BU797">
        <v>5</v>
      </c>
      <c r="BV797">
        <v>2</v>
      </c>
      <c r="BW797">
        <v>1</v>
      </c>
      <c r="BX797">
        <v>3</v>
      </c>
      <c r="BY797">
        <v>2</v>
      </c>
      <c r="BZ797">
        <v>0</v>
      </c>
      <c r="CA797">
        <v>2</v>
      </c>
      <c r="CB797">
        <v>2</v>
      </c>
      <c r="CC797">
        <v>2</v>
      </c>
      <c r="CD797">
        <v>0</v>
      </c>
      <c r="CE797">
        <v>4</v>
      </c>
      <c r="CF797">
        <v>0</v>
      </c>
      <c r="CG797">
        <v>0</v>
      </c>
      <c r="CH797">
        <v>1</v>
      </c>
      <c r="CI797">
        <v>1</v>
      </c>
      <c r="CJ797">
        <v>0</v>
      </c>
      <c r="CK797">
        <v>0</v>
      </c>
      <c r="CL797">
        <v>1</v>
      </c>
      <c r="CM797">
        <v>2</v>
      </c>
      <c r="CN797">
        <v>0</v>
      </c>
      <c r="CO797">
        <v>0</v>
      </c>
      <c r="CP797">
        <v>0</v>
      </c>
      <c r="CQ797">
        <v>0</v>
      </c>
      <c r="CR797">
        <v>4</v>
      </c>
      <c r="CS797">
        <v>4</v>
      </c>
      <c r="CT797">
        <v>0</v>
      </c>
      <c r="CU797">
        <v>0</v>
      </c>
      <c r="CV797">
        <v>3</v>
      </c>
      <c r="CW797">
        <v>0</v>
      </c>
      <c r="CX797">
        <v>0</v>
      </c>
      <c r="CY797">
        <v>0</v>
      </c>
      <c r="CZ797">
        <v>0</v>
      </c>
      <c r="DA797">
        <v>1</v>
      </c>
      <c r="DB797">
        <v>1</v>
      </c>
      <c r="DC797">
        <v>0</v>
      </c>
      <c r="DD797">
        <v>5</v>
      </c>
      <c r="DE797">
        <v>0</v>
      </c>
      <c r="DF797">
        <v>0</v>
      </c>
      <c r="DG797">
        <v>0</v>
      </c>
      <c r="DH797">
        <v>2</v>
      </c>
      <c r="DI797">
        <v>1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1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1</v>
      </c>
      <c r="DY797">
        <v>1</v>
      </c>
      <c r="DZ797">
        <v>0</v>
      </c>
      <c r="EA797">
        <v>1</v>
      </c>
      <c r="EB797">
        <v>1</v>
      </c>
      <c r="EC797">
        <v>0</v>
      </c>
      <c r="ED797">
        <v>1</v>
      </c>
      <c r="EE797">
        <v>0</v>
      </c>
      <c r="EF797">
        <v>1</v>
      </c>
      <c r="EG797">
        <v>0</v>
      </c>
      <c r="EH797">
        <v>0</v>
      </c>
      <c r="EI797">
        <v>0</v>
      </c>
      <c r="EJ797">
        <v>0</v>
      </c>
      <c r="EK797">
        <v>1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1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1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</row>
    <row r="798" spans="1:201" x14ac:dyDescent="0.3">
      <c r="A798" t="s">
        <v>433</v>
      </c>
      <c r="B798" t="s">
        <v>445</v>
      </c>
      <c r="C798" t="s">
        <v>203</v>
      </c>
      <c r="D798" s="1">
        <v>3080</v>
      </c>
      <c r="E798">
        <v>510</v>
      </c>
      <c r="F798">
        <v>90</v>
      </c>
      <c r="G798">
        <v>497</v>
      </c>
      <c r="H798">
        <v>177</v>
      </c>
      <c r="I798">
        <v>414</v>
      </c>
      <c r="J798">
        <v>176</v>
      </c>
      <c r="K798">
        <v>59</v>
      </c>
      <c r="L798">
        <v>110</v>
      </c>
      <c r="M798">
        <v>35</v>
      </c>
      <c r="N798">
        <v>24</v>
      </c>
      <c r="O798">
        <v>226</v>
      </c>
      <c r="P798">
        <v>25</v>
      </c>
      <c r="Q798">
        <v>43</v>
      </c>
      <c r="R798">
        <v>203</v>
      </c>
      <c r="S798">
        <v>11</v>
      </c>
      <c r="T798">
        <v>45</v>
      </c>
      <c r="U798">
        <v>43</v>
      </c>
      <c r="V798">
        <v>87</v>
      </c>
      <c r="W798">
        <v>8</v>
      </c>
      <c r="X798">
        <v>102</v>
      </c>
      <c r="Y798">
        <v>2</v>
      </c>
      <c r="Z798">
        <v>18</v>
      </c>
      <c r="AA798">
        <v>6</v>
      </c>
      <c r="AB798">
        <v>5</v>
      </c>
      <c r="AC798">
        <v>10</v>
      </c>
      <c r="AD798">
        <v>10</v>
      </c>
      <c r="AE798">
        <v>0</v>
      </c>
      <c r="AF798">
        <v>6</v>
      </c>
      <c r="AG798">
        <v>8</v>
      </c>
      <c r="AH798">
        <v>4</v>
      </c>
      <c r="AI798">
        <v>11</v>
      </c>
      <c r="AJ798">
        <v>1</v>
      </c>
      <c r="AK798">
        <v>4</v>
      </c>
      <c r="AL798">
        <v>0</v>
      </c>
      <c r="AM798">
        <v>0</v>
      </c>
      <c r="AN798">
        <v>2</v>
      </c>
      <c r="AO798">
        <v>11</v>
      </c>
      <c r="AP798">
        <v>20</v>
      </c>
      <c r="AQ798">
        <v>2</v>
      </c>
      <c r="AR798">
        <v>3</v>
      </c>
      <c r="AS798">
        <v>1</v>
      </c>
      <c r="AT798">
        <v>1</v>
      </c>
      <c r="AU798">
        <v>7</v>
      </c>
      <c r="AV798">
        <v>3</v>
      </c>
      <c r="AW798">
        <v>1</v>
      </c>
      <c r="AX798">
        <v>2</v>
      </c>
      <c r="AY798">
        <v>1</v>
      </c>
      <c r="AZ798">
        <v>15</v>
      </c>
      <c r="BA798">
        <v>0</v>
      </c>
      <c r="BB798">
        <v>0</v>
      </c>
      <c r="BC798">
        <v>1</v>
      </c>
      <c r="BD798">
        <v>1</v>
      </c>
      <c r="BE798">
        <v>2</v>
      </c>
      <c r="BF798">
        <v>3</v>
      </c>
      <c r="BG798">
        <v>1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</v>
      </c>
      <c r="BN798">
        <v>0</v>
      </c>
      <c r="BO798">
        <v>0</v>
      </c>
      <c r="BP798">
        <v>4</v>
      </c>
      <c r="BQ798">
        <v>1</v>
      </c>
      <c r="BR798">
        <v>1</v>
      </c>
      <c r="BS798">
        <v>4</v>
      </c>
      <c r="BT798">
        <v>0</v>
      </c>
      <c r="BU798">
        <v>1</v>
      </c>
      <c r="BV798">
        <v>1</v>
      </c>
      <c r="BW798">
        <v>0</v>
      </c>
      <c r="BX798">
        <v>1</v>
      </c>
      <c r="BY798">
        <v>1</v>
      </c>
      <c r="BZ798">
        <v>0</v>
      </c>
      <c r="CA798">
        <v>2</v>
      </c>
      <c r="CB798">
        <v>0</v>
      </c>
      <c r="CC798">
        <v>0</v>
      </c>
      <c r="CD798">
        <v>0</v>
      </c>
      <c r="CE798">
        <v>1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2</v>
      </c>
      <c r="CN798">
        <v>0</v>
      </c>
      <c r="CO798">
        <v>0</v>
      </c>
      <c r="CP798">
        <v>0</v>
      </c>
      <c r="CQ798">
        <v>0</v>
      </c>
      <c r="CR798">
        <v>3</v>
      </c>
      <c r="CS798">
        <v>1</v>
      </c>
      <c r="CT798">
        <v>0</v>
      </c>
      <c r="CU798">
        <v>0</v>
      </c>
      <c r="CV798">
        <v>2</v>
      </c>
      <c r="CW798">
        <v>0</v>
      </c>
      <c r="CX798">
        <v>0</v>
      </c>
      <c r="CY798">
        <v>0</v>
      </c>
      <c r="CZ798">
        <v>0</v>
      </c>
      <c r="DA798">
        <v>1</v>
      </c>
      <c r="DB798">
        <v>0</v>
      </c>
      <c r="DC798">
        <v>0</v>
      </c>
      <c r="DD798">
        <v>1</v>
      </c>
      <c r="DE798">
        <v>0</v>
      </c>
      <c r="DF798">
        <v>0</v>
      </c>
      <c r="DG798">
        <v>0</v>
      </c>
      <c r="DH798">
        <v>1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1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1</v>
      </c>
      <c r="DY798">
        <v>0</v>
      </c>
      <c r="DZ798">
        <v>0</v>
      </c>
      <c r="EA798">
        <v>1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1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</row>
    <row r="799" spans="1:201" x14ac:dyDescent="0.3">
      <c r="A799" t="s">
        <v>433</v>
      </c>
      <c r="B799" t="s">
        <v>445</v>
      </c>
      <c r="C799" t="s">
        <v>204</v>
      </c>
      <c r="D799" s="1">
        <v>3151</v>
      </c>
      <c r="E799">
        <v>779</v>
      </c>
      <c r="F799">
        <v>94</v>
      </c>
      <c r="G799">
        <v>779</v>
      </c>
      <c r="H799">
        <v>65</v>
      </c>
      <c r="I799">
        <v>129</v>
      </c>
      <c r="J799">
        <v>126</v>
      </c>
      <c r="K799">
        <v>43</v>
      </c>
      <c r="L799">
        <v>36</v>
      </c>
      <c r="M799">
        <v>90</v>
      </c>
      <c r="N799">
        <v>42</v>
      </c>
      <c r="O799">
        <v>311</v>
      </c>
      <c r="P799">
        <v>32</v>
      </c>
      <c r="Q799">
        <v>11</v>
      </c>
      <c r="R799">
        <v>60</v>
      </c>
      <c r="S799">
        <v>95</v>
      </c>
      <c r="T799">
        <v>28</v>
      </c>
      <c r="U799">
        <v>33</v>
      </c>
      <c r="V799">
        <v>41</v>
      </c>
      <c r="W799">
        <v>14</v>
      </c>
      <c r="X799">
        <v>80</v>
      </c>
      <c r="Y799">
        <v>12</v>
      </c>
      <c r="Z799">
        <v>14</v>
      </c>
      <c r="AA799">
        <v>11</v>
      </c>
      <c r="AB799">
        <v>19</v>
      </c>
      <c r="AC799">
        <v>5</v>
      </c>
      <c r="AD799">
        <v>24</v>
      </c>
      <c r="AE799">
        <v>0</v>
      </c>
      <c r="AF799">
        <v>5</v>
      </c>
      <c r="AG799">
        <v>5</v>
      </c>
      <c r="AH799">
        <v>5</v>
      </c>
      <c r="AI799">
        <v>11</v>
      </c>
      <c r="AJ799">
        <v>0</v>
      </c>
      <c r="AK799">
        <v>3</v>
      </c>
      <c r="AL799">
        <v>2</v>
      </c>
      <c r="AM799">
        <v>2</v>
      </c>
      <c r="AN799">
        <v>2</v>
      </c>
      <c r="AO799">
        <v>10</v>
      </c>
      <c r="AP799">
        <v>12</v>
      </c>
      <c r="AQ799">
        <v>11</v>
      </c>
      <c r="AR799">
        <v>3</v>
      </c>
      <c r="AS799">
        <v>7</v>
      </c>
      <c r="AT799">
        <v>4</v>
      </c>
      <c r="AU799">
        <v>11</v>
      </c>
      <c r="AV799">
        <v>1</v>
      </c>
      <c r="AW799">
        <v>2</v>
      </c>
      <c r="AX799">
        <v>0</v>
      </c>
      <c r="AY799">
        <v>3</v>
      </c>
      <c r="AZ799">
        <v>12</v>
      </c>
      <c r="BA799">
        <v>0</v>
      </c>
      <c r="BB799">
        <v>0</v>
      </c>
      <c r="BC799">
        <v>0</v>
      </c>
      <c r="BD799">
        <v>1</v>
      </c>
      <c r="BE799">
        <v>1</v>
      </c>
      <c r="BF799">
        <v>5</v>
      </c>
      <c r="BG799">
        <v>1</v>
      </c>
      <c r="BH799">
        <v>4</v>
      </c>
      <c r="BI799">
        <v>2</v>
      </c>
      <c r="BJ799">
        <v>0</v>
      </c>
      <c r="BK799">
        <v>1</v>
      </c>
      <c r="BL799">
        <v>2</v>
      </c>
      <c r="BM799">
        <v>2</v>
      </c>
      <c r="BN799">
        <v>4</v>
      </c>
      <c r="BO799">
        <v>1</v>
      </c>
      <c r="BP799">
        <v>3</v>
      </c>
      <c r="BQ799">
        <v>2</v>
      </c>
      <c r="BR799">
        <v>0</v>
      </c>
      <c r="BS799">
        <v>0</v>
      </c>
      <c r="BT799">
        <v>1</v>
      </c>
      <c r="BU799">
        <v>4</v>
      </c>
      <c r="BV799">
        <v>1</v>
      </c>
      <c r="BW799">
        <v>1</v>
      </c>
      <c r="BX799">
        <v>2</v>
      </c>
      <c r="BY799">
        <v>1</v>
      </c>
      <c r="BZ799">
        <v>0</v>
      </c>
      <c r="CA799">
        <v>0</v>
      </c>
      <c r="CB799">
        <v>2</v>
      </c>
      <c r="CC799">
        <v>2</v>
      </c>
      <c r="CD799">
        <v>0</v>
      </c>
      <c r="CE799">
        <v>3</v>
      </c>
      <c r="CF799">
        <v>0</v>
      </c>
      <c r="CG799">
        <v>0</v>
      </c>
      <c r="CH799">
        <v>1</v>
      </c>
      <c r="CI799">
        <v>1</v>
      </c>
      <c r="CJ799">
        <v>0</v>
      </c>
      <c r="CK799">
        <v>0</v>
      </c>
      <c r="CL799">
        <v>1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1</v>
      </c>
      <c r="CS799">
        <v>3</v>
      </c>
      <c r="CT799">
        <v>0</v>
      </c>
      <c r="CU799">
        <v>0</v>
      </c>
      <c r="CV799">
        <v>1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1</v>
      </c>
      <c r="DC799">
        <v>0</v>
      </c>
      <c r="DD799">
        <v>4</v>
      </c>
      <c r="DE799">
        <v>0</v>
      </c>
      <c r="DF799">
        <v>0</v>
      </c>
      <c r="DG799">
        <v>0</v>
      </c>
      <c r="DH799">
        <v>1</v>
      </c>
      <c r="DI799">
        <v>1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1</v>
      </c>
      <c r="DZ799">
        <v>0</v>
      </c>
      <c r="EA799">
        <v>0</v>
      </c>
      <c r="EB799">
        <v>1</v>
      </c>
      <c r="EC799">
        <v>0</v>
      </c>
      <c r="ED799">
        <v>1</v>
      </c>
      <c r="EE799">
        <v>0</v>
      </c>
      <c r="EF799">
        <v>1</v>
      </c>
      <c r="EG799">
        <v>0</v>
      </c>
      <c r="EH799">
        <v>0</v>
      </c>
      <c r="EI799">
        <v>0</v>
      </c>
      <c r="EJ799">
        <v>0</v>
      </c>
      <c r="EK799">
        <v>1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1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</row>
    <row r="800" spans="1:201" x14ac:dyDescent="0.3">
      <c r="A800" t="s">
        <v>433</v>
      </c>
      <c r="B800" t="s">
        <v>446</v>
      </c>
      <c r="C800" t="s">
        <v>200</v>
      </c>
      <c r="D800" s="1">
        <v>5002</v>
      </c>
      <c r="E800" s="1">
        <v>2574</v>
      </c>
      <c r="F800">
        <v>115</v>
      </c>
      <c r="G800">
        <v>562</v>
      </c>
      <c r="H800">
        <v>59</v>
      </c>
      <c r="I800">
        <v>102</v>
      </c>
      <c r="J800">
        <v>184</v>
      </c>
      <c r="K800">
        <v>14</v>
      </c>
      <c r="L800">
        <v>421</v>
      </c>
      <c r="M800">
        <v>66</v>
      </c>
      <c r="N800">
        <v>61</v>
      </c>
      <c r="O800">
        <v>265</v>
      </c>
      <c r="P800">
        <v>65</v>
      </c>
      <c r="Q800">
        <v>39</v>
      </c>
      <c r="R800">
        <v>26</v>
      </c>
      <c r="S800">
        <v>74</v>
      </c>
      <c r="T800">
        <v>42</v>
      </c>
      <c r="U800">
        <v>8</v>
      </c>
      <c r="V800">
        <v>8</v>
      </c>
      <c r="W800">
        <v>51</v>
      </c>
      <c r="X800">
        <v>44</v>
      </c>
      <c r="Y800">
        <v>11</v>
      </c>
      <c r="Z800">
        <v>17</v>
      </c>
      <c r="AA800">
        <v>2</v>
      </c>
      <c r="AB800">
        <v>3</v>
      </c>
      <c r="AC800">
        <v>20</v>
      </c>
      <c r="AD800">
        <v>39</v>
      </c>
      <c r="AE800">
        <v>1</v>
      </c>
      <c r="AF800">
        <v>23</v>
      </c>
      <c r="AG800">
        <v>5</v>
      </c>
      <c r="AH800">
        <v>0</v>
      </c>
      <c r="AI800">
        <v>2</v>
      </c>
      <c r="AJ800">
        <v>3</v>
      </c>
      <c r="AK800">
        <v>0</v>
      </c>
      <c r="AL800">
        <v>1</v>
      </c>
      <c r="AM800">
        <v>2</v>
      </c>
      <c r="AN800">
        <v>4</v>
      </c>
      <c r="AO800">
        <v>3</v>
      </c>
      <c r="AP800">
        <v>9</v>
      </c>
      <c r="AQ800">
        <v>0</v>
      </c>
      <c r="AR800">
        <v>14</v>
      </c>
      <c r="AS800">
        <v>4</v>
      </c>
      <c r="AT800">
        <v>2</v>
      </c>
      <c r="AU800">
        <v>8</v>
      </c>
      <c r="AV800">
        <v>3</v>
      </c>
      <c r="AW800">
        <v>0</v>
      </c>
      <c r="AX800">
        <v>4</v>
      </c>
      <c r="AY800">
        <v>5</v>
      </c>
      <c r="AZ800">
        <v>4</v>
      </c>
      <c r="BA800">
        <v>3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</v>
      </c>
      <c r="BH800">
        <v>3</v>
      </c>
      <c r="BI800">
        <v>1</v>
      </c>
      <c r="BJ800">
        <v>0</v>
      </c>
      <c r="BK800">
        <v>3</v>
      </c>
      <c r="BL800">
        <v>0</v>
      </c>
      <c r="BM800">
        <v>1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2</v>
      </c>
      <c r="BT800">
        <v>0</v>
      </c>
      <c r="BU800">
        <v>0</v>
      </c>
      <c r="BV800">
        <v>1</v>
      </c>
      <c r="BW800">
        <v>1</v>
      </c>
      <c r="BX800">
        <v>0</v>
      </c>
      <c r="BY800">
        <v>0</v>
      </c>
      <c r="BZ800">
        <v>1</v>
      </c>
      <c r="CA800">
        <v>0</v>
      </c>
      <c r="CB800">
        <v>0</v>
      </c>
      <c r="CC800">
        <v>1</v>
      </c>
      <c r="CD800">
        <v>0</v>
      </c>
      <c r="CE800">
        <v>1</v>
      </c>
      <c r="CF800">
        <v>1</v>
      </c>
      <c r="CG800">
        <v>0</v>
      </c>
      <c r="CH800">
        <v>0</v>
      </c>
      <c r="CI800">
        <v>0</v>
      </c>
      <c r="CJ800">
        <v>0</v>
      </c>
      <c r="CK800">
        <v>2</v>
      </c>
      <c r="CL800">
        <v>1</v>
      </c>
      <c r="CM800">
        <v>0</v>
      </c>
      <c r="CN800">
        <v>0</v>
      </c>
      <c r="CO800">
        <v>0</v>
      </c>
      <c r="CP800">
        <v>2</v>
      </c>
      <c r="CQ800">
        <v>0</v>
      </c>
      <c r="CR800">
        <v>0</v>
      </c>
      <c r="CS800">
        <v>1</v>
      </c>
      <c r="CT800">
        <v>0</v>
      </c>
      <c r="CU800">
        <v>0</v>
      </c>
      <c r="CV800">
        <v>0</v>
      </c>
      <c r="CW800">
        <v>1</v>
      </c>
      <c r="CX800">
        <v>0</v>
      </c>
      <c r="CY800">
        <v>1</v>
      </c>
      <c r="CZ800">
        <v>0</v>
      </c>
      <c r="DA800">
        <v>0</v>
      </c>
      <c r="DB800">
        <v>0</v>
      </c>
      <c r="DC800">
        <v>1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1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1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</row>
    <row r="801" spans="1:201" x14ac:dyDescent="0.3">
      <c r="A801" t="s">
        <v>433</v>
      </c>
      <c r="B801" t="s">
        <v>446</v>
      </c>
      <c r="C801" t="s">
        <v>203</v>
      </c>
      <c r="D801" s="1">
        <v>2437</v>
      </c>
      <c r="E801" s="1">
        <v>1299</v>
      </c>
      <c r="F801">
        <v>63</v>
      </c>
      <c r="G801">
        <v>235</v>
      </c>
      <c r="H801">
        <v>41</v>
      </c>
      <c r="I801">
        <v>72</v>
      </c>
      <c r="J801">
        <v>110</v>
      </c>
      <c r="K801">
        <v>4</v>
      </c>
      <c r="L801">
        <v>178</v>
      </c>
      <c r="M801">
        <v>15</v>
      </c>
      <c r="N801">
        <v>18</v>
      </c>
      <c r="O801">
        <v>137</v>
      </c>
      <c r="P801">
        <v>30</v>
      </c>
      <c r="Q801">
        <v>30</v>
      </c>
      <c r="R801">
        <v>23</v>
      </c>
      <c r="S801">
        <v>7</v>
      </c>
      <c r="T801">
        <v>12</v>
      </c>
      <c r="U801">
        <v>4</v>
      </c>
      <c r="V801">
        <v>6</v>
      </c>
      <c r="W801">
        <v>22</v>
      </c>
      <c r="X801">
        <v>26</v>
      </c>
      <c r="Y801">
        <v>5</v>
      </c>
      <c r="Z801">
        <v>10</v>
      </c>
      <c r="AA801">
        <v>2</v>
      </c>
      <c r="AB801">
        <v>1</v>
      </c>
      <c r="AC801">
        <v>13</v>
      </c>
      <c r="AD801">
        <v>5</v>
      </c>
      <c r="AE801">
        <v>0</v>
      </c>
      <c r="AF801">
        <v>18</v>
      </c>
      <c r="AG801">
        <v>2</v>
      </c>
      <c r="AH801">
        <v>0</v>
      </c>
      <c r="AI801">
        <v>2</v>
      </c>
      <c r="AJ801">
        <v>2</v>
      </c>
      <c r="AK801">
        <v>0</v>
      </c>
      <c r="AL801">
        <v>0</v>
      </c>
      <c r="AM801">
        <v>0</v>
      </c>
      <c r="AN801">
        <v>2</v>
      </c>
      <c r="AO801">
        <v>3</v>
      </c>
      <c r="AP801">
        <v>4</v>
      </c>
      <c r="AQ801">
        <v>0</v>
      </c>
      <c r="AR801">
        <v>8</v>
      </c>
      <c r="AS801">
        <v>2</v>
      </c>
      <c r="AT801">
        <v>1</v>
      </c>
      <c r="AU801">
        <v>4</v>
      </c>
      <c r="AV801">
        <v>2</v>
      </c>
      <c r="AW801">
        <v>0</v>
      </c>
      <c r="AX801">
        <v>1</v>
      </c>
      <c r="AY801">
        <v>2</v>
      </c>
      <c r="AZ801">
        <v>2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</v>
      </c>
      <c r="BH801">
        <v>1</v>
      </c>
      <c r="BI801">
        <v>1</v>
      </c>
      <c r="BJ801">
        <v>0</v>
      </c>
      <c r="BK801">
        <v>2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0</v>
      </c>
      <c r="BU801">
        <v>0</v>
      </c>
      <c r="BV801">
        <v>0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1</v>
      </c>
      <c r="CL801">
        <v>1</v>
      </c>
      <c r="CM801">
        <v>0</v>
      </c>
      <c r="CN801">
        <v>0</v>
      </c>
      <c r="CO801">
        <v>0</v>
      </c>
      <c r="CP801">
        <v>2</v>
      </c>
      <c r="CQ801">
        <v>0</v>
      </c>
      <c r="CR801">
        <v>0</v>
      </c>
      <c r="CS801">
        <v>1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1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</row>
    <row r="802" spans="1:201" x14ac:dyDescent="0.3">
      <c r="A802" t="s">
        <v>433</v>
      </c>
      <c r="B802" t="s">
        <v>446</v>
      </c>
      <c r="C802" t="s">
        <v>204</v>
      </c>
      <c r="D802" s="1">
        <v>2565</v>
      </c>
      <c r="E802" s="1">
        <v>1275</v>
      </c>
      <c r="F802">
        <v>52</v>
      </c>
      <c r="G802">
        <v>327</v>
      </c>
      <c r="H802">
        <v>18</v>
      </c>
      <c r="I802">
        <v>30</v>
      </c>
      <c r="J802">
        <v>74</v>
      </c>
      <c r="K802">
        <v>10</v>
      </c>
      <c r="L802">
        <v>243</v>
      </c>
      <c r="M802">
        <v>51</v>
      </c>
      <c r="N802">
        <v>43</v>
      </c>
      <c r="O802">
        <v>128</v>
      </c>
      <c r="P802">
        <v>35</v>
      </c>
      <c r="Q802">
        <v>9</v>
      </c>
      <c r="R802">
        <v>3</v>
      </c>
      <c r="S802">
        <v>67</v>
      </c>
      <c r="T802">
        <v>30</v>
      </c>
      <c r="U802">
        <v>4</v>
      </c>
      <c r="V802">
        <v>2</v>
      </c>
      <c r="W802">
        <v>29</v>
      </c>
      <c r="X802">
        <v>18</v>
      </c>
      <c r="Y802">
        <v>6</v>
      </c>
      <c r="Z802">
        <v>7</v>
      </c>
      <c r="AA802">
        <v>0</v>
      </c>
      <c r="AB802">
        <v>2</v>
      </c>
      <c r="AC802">
        <v>7</v>
      </c>
      <c r="AD802">
        <v>34</v>
      </c>
      <c r="AE802">
        <v>1</v>
      </c>
      <c r="AF802">
        <v>5</v>
      </c>
      <c r="AG802">
        <v>3</v>
      </c>
      <c r="AH802">
        <v>0</v>
      </c>
      <c r="AI802">
        <v>0</v>
      </c>
      <c r="AJ802">
        <v>1</v>
      </c>
      <c r="AK802">
        <v>0</v>
      </c>
      <c r="AL802">
        <v>1</v>
      </c>
      <c r="AM802">
        <v>2</v>
      </c>
      <c r="AN802">
        <v>2</v>
      </c>
      <c r="AO802">
        <v>0</v>
      </c>
      <c r="AP802">
        <v>5</v>
      </c>
      <c r="AQ802">
        <v>0</v>
      </c>
      <c r="AR802">
        <v>6</v>
      </c>
      <c r="AS802">
        <v>2</v>
      </c>
      <c r="AT802">
        <v>1</v>
      </c>
      <c r="AU802">
        <v>4</v>
      </c>
      <c r="AV802">
        <v>1</v>
      </c>
      <c r="AW802">
        <v>0</v>
      </c>
      <c r="AX802">
        <v>3</v>
      </c>
      <c r="AY802">
        <v>3</v>
      </c>
      <c r="AZ802">
        <v>2</v>
      </c>
      <c r="BA802">
        <v>3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2</v>
      </c>
      <c r="BI802">
        <v>0</v>
      </c>
      <c r="BJ802">
        <v>0</v>
      </c>
      <c r="BK802">
        <v>1</v>
      </c>
      <c r="BL802">
        <v>0</v>
      </c>
      <c r="BM802">
        <v>1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1</v>
      </c>
      <c r="BT802">
        <v>0</v>
      </c>
      <c r="BU802">
        <v>0</v>
      </c>
      <c r="BV802">
        <v>1</v>
      </c>
      <c r="BW802">
        <v>0</v>
      </c>
      <c r="BX802">
        <v>0</v>
      </c>
      <c r="BY802">
        <v>0</v>
      </c>
      <c r="BZ802">
        <v>1</v>
      </c>
      <c r="CA802">
        <v>0</v>
      </c>
      <c r="CB802">
        <v>0</v>
      </c>
      <c r="CC802">
        <v>1</v>
      </c>
      <c r="CD802">
        <v>0</v>
      </c>
      <c r="CE802">
        <v>1</v>
      </c>
      <c r="CF802">
        <v>1</v>
      </c>
      <c r="CG802">
        <v>0</v>
      </c>
      <c r="CH802">
        <v>0</v>
      </c>
      <c r="CI802">
        <v>0</v>
      </c>
      <c r="CJ802">
        <v>0</v>
      </c>
      <c r="CK802">
        <v>1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1</v>
      </c>
      <c r="CX802">
        <v>0</v>
      </c>
      <c r="CY802">
        <v>1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1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1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1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</row>
    <row r="803" spans="1:201" x14ac:dyDescent="0.3">
      <c r="A803" t="s">
        <v>433</v>
      </c>
      <c r="B803" t="s">
        <v>447</v>
      </c>
      <c r="C803" t="s">
        <v>200</v>
      </c>
      <c r="D803" s="1">
        <v>3783</v>
      </c>
      <c r="E803" s="1">
        <v>1361</v>
      </c>
      <c r="F803">
        <v>144</v>
      </c>
      <c r="G803">
        <v>178</v>
      </c>
      <c r="H803">
        <v>573</v>
      </c>
      <c r="I803">
        <v>51</v>
      </c>
      <c r="J803">
        <v>231</v>
      </c>
      <c r="K803">
        <v>119</v>
      </c>
      <c r="L803">
        <v>194</v>
      </c>
      <c r="M803">
        <v>190</v>
      </c>
      <c r="N803">
        <v>181</v>
      </c>
      <c r="O803">
        <v>13</v>
      </c>
      <c r="P803">
        <v>11</v>
      </c>
      <c r="Q803">
        <v>171</v>
      </c>
      <c r="R803">
        <v>93</v>
      </c>
      <c r="S803">
        <v>43</v>
      </c>
      <c r="T803">
        <v>61</v>
      </c>
      <c r="U803">
        <v>7</v>
      </c>
      <c r="V803">
        <v>57</v>
      </c>
      <c r="W803">
        <v>10</v>
      </c>
      <c r="X803">
        <v>5</v>
      </c>
      <c r="Y803">
        <v>16</v>
      </c>
      <c r="Z803">
        <v>6</v>
      </c>
      <c r="AA803">
        <v>1</v>
      </c>
      <c r="AB803">
        <v>1</v>
      </c>
      <c r="AC803">
        <v>3</v>
      </c>
      <c r="AD803">
        <v>10</v>
      </c>
      <c r="AE803">
        <v>0</v>
      </c>
      <c r="AF803">
        <v>1</v>
      </c>
      <c r="AG803">
        <v>14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16</v>
      </c>
      <c r="AQ803">
        <v>2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9</v>
      </c>
      <c r="AY803">
        <v>1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F803">
        <v>0</v>
      </c>
      <c r="BG803">
        <v>1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4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1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1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</row>
    <row r="804" spans="1:201" x14ac:dyDescent="0.3">
      <c r="A804" t="s">
        <v>433</v>
      </c>
      <c r="B804" t="s">
        <v>447</v>
      </c>
      <c r="C804" t="s">
        <v>203</v>
      </c>
      <c r="D804" s="1">
        <v>2450</v>
      </c>
      <c r="E804">
        <v>717</v>
      </c>
      <c r="F804">
        <v>79</v>
      </c>
      <c r="G804">
        <v>51</v>
      </c>
      <c r="H804">
        <v>482</v>
      </c>
      <c r="I804">
        <v>35</v>
      </c>
      <c r="J804">
        <v>172</v>
      </c>
      <c r="K804">
        <v>107</v>
      </c>
      <c r="L804">
        <v>178</v>
      </c>
      <c r="M804">
        <v>118</v>
      </c>
      <c r="N804">
        <v>122</v>
      </c>
      <c r="O804">
        <v>5</v>
      </c>
      <c r="P804">
        <v>4</v>
      </c>
      <c r="Q804">
        <v>142</v>
      </c>
      <c r="R804">
        <v>74</v>
      </c>
      <c r="S804">
        <v>0</v>
      </c>
      <c r="T804">
        <v>55</v>
      </c>
      <c r="U804">
        <v>4</v>
      </c>
      <c r="V804">
        <v>38</v>
      </c>
      <c r="W804">
        <v>4</v>
      </c>
      <c r="X804">
        <v>4</v>
      </c>
      <c r="Y804">
        <v>10</v>
      </c>
      <c r="Z804">
        <v>6</v>
      </c>
      <c r="AA804">
        <v>1</v>
      </c>
      <c r="AB804">
        <v>0</v>
      </c>
      <c r="AC804">
        <v>1</v>
      </c>
      <c r="AD804">
        <v>3</v>
      </c>
      <c r="AE804">
        <v>0</v>
      </c>
      <c r="AF804">
        <v>0</v>
      </c>
      <c r="AG804">
        <v>12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14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4</v>
      </c>
      <c r="AY804">
        <v>1</v>
      </c>
      <c r="AZ804">
        <v>0</v>
      </c>
      <c r="BA804">
        <v>0</v>
      </c>
      <c r="BB804">
        <v>0</v>
      </c>
      <c r="BC804">
        <v>0</v>
      </c>
      <c r="BD804">
        <v>1</v>
      </c>
      <c r="BE804">
        <v>0</v>
      </c>
      <c r="BF804">
        <v>0</v>
      </c>
      <c r="BG804">
        <v>1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4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</row>
    <row r="805" spans="1:201" x14ac:dyDescent="0.3">
      <c r="A805" t="s">
        <v>433</v>
      </c>
      <c r="B805" t="s">
        <v>447</v>
      </c>
      <c r="C805" t="s">
        <v>204</v>
      </c>
      <c r="D805" s="1">
        <v>1333</v>
      </c>
      <c r="E805">
        <v>644</v>
      </c>
      <c r="F805">
        <v>65</v>
      </c>
      <c r="G805">
        <v>127</v>
      </c>
      <c r="H805">
        <v>91</v>
      </c>
      <c r="I805">
        <v>16</v>
      </c>
      <c r="J805">
        <v>59</v>
      </c>
      <c r="K805">
        <v>12</v>
      </c>
      <c r="L805">
        <v>16</v>
      </c>
      <c r="M805">
        <v>72</v>
      </c>
      <c r="N805">
        <v>59</v>
      </c>
      <c r="O805">
        <v>8</v>
      </c>
      <c r="P805">
        <v>7</v>
      </c>
      <c r="Q805">
        <v>29</v>
      </c>
      <c r="R805">
        <v>19</v>
      </c>
      <c r="S805">
        <v>43</v>
      </c>
      <c r="T805">
        <v>6</v>
      </c>
      <c r="U805">
        <v>3</v>
      </c>
      <c r="V805">
        <v>19</v>
      </c>
      <c r="W805">
        <v>6</v>
      </c>
      <c r="X805">
        <v>1</v>
      </c>
      <c r="Y805">
        <v>6</v>
      </c>
      <c r="Z805">
        <v>0</v>
      </c>
      <c r="AA805">
        <v>0</v>
      </c>
      <c r="AB805">
        <v>1</v>
      </c>
      <c r="AC805">
        <v>2</v>
      </c>
      <c r="AD805">
        <v>7</v>
      </c>
      <c r="AE805">
        <v>0</v>
      </c>
      <c r="AF805">
        <v>1</v>
      </c>
      <c r="AG805">
        <v>2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2</v>
      </c>
      <c r="AQ805">
        <v>2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5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1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1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1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</row>
    <row r="806" spans="1:201" x14ac:dyDescent="0.3">
      <c r="A806" t="s">
        <v>433</v>
      </c>
      <c r="B806" t="s">
        <v>448</v>
      </c>
      <c r="C806" t="s">
        <v>200</v>
      </c>
      <c r="D806">
        <v>620</v>
      </c>
      <c r="E806">
        <v>180</v>
      </c>
      <c r="F806">
        <v>7</v>
      </c>
      <c r="G806">
        <v>20</v>
      </c>
      <c r="H806">
        <v>102</v>
      </c>
      <c r="I806">
        <v>10</v>
      </c>
      <c r="J806">
        <v>30</v>
      </c>
      <c r="K806">
        <v>1</v>
      </c>
      <c r="L806">
        <v>19</v>
      </c>
      <c r="M806">
        <v>173</v>
      </c>
      <c r="N806">
        <v>16</v>
      </c>
      <c r="O806">
        <v>3</v>
      </c>
      <c r="P806">
        <v>4</v>
      </c>
      <c r="Q806">
        <v>3</v>
      </c>
      <c r="R806">
        <v>8</v>
      </c>
      <c r="S806">
        <v>25</v>
      </c>
      <c r="T806">
        <v>2</v>
      </c>
      <c r="U806">
        <v>0</v>
      </c>
      <c r="V806">
        <v>0</v>
      </c>
      <c r="W806">
        <v>1</v>
      </c>
      <c r="X806">
        <v>0</v>
      </c>
      <c r="Y806">
        <v>6</v>
      </c>
      <c r="Z806">
        <v>2</v>
      </c>
      <c r="AA806">
        <v>0</v>
      </c>
      <c r="AB806">
        <v>0</v>
      </c>
      <c r="AC806">
        <v>0</v>
      </c>
      <c r="AD806">
        <v>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1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</row>
    <row r="807" spans="1:201" x14ac:dyDescent="0.3">
      <c r="A807" t="s">
        <v>433</v>
      </c>
      <c r="B807" t="s">
        <v>448</v>
      </c>
      <c r="C807" t="s">
        <v>203</v>
      </c>
      <c r="D807">
        <v>363</v>
      </c>
      <c r="E807">
        <v>68</v>
      </c>
      <c r="F807">
        <v>4</v>
      </c>
      <c r="G807">
        <v>2</v>
      </c>
      <c r="H807">
        <v>85</v>
      </c>
      <c r="I807">
        <v>9</v>
      </c>
      <c r="J807">
        <v>9</v>
      </c>
      <c r="K807">
        <v>0</v>
      </c>
      <c r="L807">
        <v>19</v>
      </c>
      <c r="M807">
        <v>131</v>
      </c>
      <c r="N807">
        <v>9</v>
      </c>
      <c r="O807">
        <v>2</v>
      </c>
      <c r="P807">
        <v>1</v>
      </c>
      <c r="Q807">
        <v>3</v>
      </c>
      <c r="R807">
        <v>8</v>
      </c>
      <c r="S807">
        <v>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5</v>
      </c>
      <c r="Z807">
        <v>2</v>
      </c>
      <c r="AA807">
        <v>0</v>
      </c>
      <c r="AB807">
        <v>0</v>
      </c>
      <c r="AC807">
        <v>0</v>
      </c>
      <c r="AD807">
        <v>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</row>
    <row r="808" spans="1:201" x14ac:dyDescent="0.3">
      <c r="A808" t="s">
        <v>433</v>
      </c>
      <c r="B808" t="s">
        <v>448</v>
      </c>
      <c r="C808" t="s">
        <v>204</v>
      </c>
      <c r="D808">
        <v>257</v>
      </c>
      <c r="E808">
        <v>112</v>
      </c>
      <c r="F808">
        <v>3</v>
      </c>
      <c r="G808">
        <v>18</v>
      </c>
      <c r="H808">
        <v>17</v>
      </c>
      <c r="I808">
        <v>1</v>
      </c>
      <c r="J808">
        <v>21</v>
      </c>
      <c r="K808">
        <v>1</v>
      </c>
      <c r="L808">
        <v>0</v>
      </c>
      <c r="M808">
        <v>42</v>
      </c>
      <c r="N808">
        <v>7</v>
      </c>
      <c r="O808">
        <v>1</v>
      </c>
      <c r="P808">
        <v>3</v>
      </c>
      <c r="Q808">
        <v>0</v>
      </c>
      <c r="R808">
        <v>0</v>
      </c>
      <c r="S808">
        <v>23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5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1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2026-03-04T12:00:02Z</dcterms:created>
  <dcterms:modified xsi:type="dcterms:W3CDTF">2026-03-04T12:00:02Z</dcterms:modified>
</cp:coreProperties>
</file>