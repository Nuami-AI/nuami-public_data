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17D6357-671A-448E-B302-CEF2C368C787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definedNames>
    <definedName name="_xlnm._FilterDatabase" localSheetId="0" hidden="1">'2025'!$A$1:$AH$654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D5" i="1"/>
  <c r="D4" i="1"/>
  <c r="D3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D489" i="1"/>
  <c r="D48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D440" i="1"/>
  <c r="D439" i="1"/>
  <c r="D438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D282" i="1"/>
  <c r="D280" i="1"/>
  <c r="D281" i="1"/>
  <c r="D177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D176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D165" i="1"/>
  <c r="D164" i="1"/>
  <c r="D166" i="1"/>
  <c r="AH14" i="1"/>
  <c r="AH15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D15" i="1"/>
  <c r="D14" i="1"/>
</calcChain>
</file>

<file path=xl/sharedStrings.xml><?xml version="1.0" encoding="utf-8"?>
<sst xmlns="http://schemas.openxmlformats.org/spreadsheetml/2006/main" count="1969" uniqueCount="257">
  <si>
    <t>대륙</t>
  </si>
  <si>
    <t>국적</t>
  </si>
  <si>
    <t>성별</t>
  </si>
  <si>
    <t>총합계</t>
  </si>
  <si>
    <t>인천공항</t>
  </si>
  <si>
    <t>김해공항</t>
  </si>
  <si>
    <t>김포공항</t>
  </si>
  <si>
    <t>제  주</t>
  </si>
  <si>
    <t>부  산</t>
  </si>
  <si>
    <t>청  주</t>
  </si>
  <si>
    <t>대  구</t>
  </si>
  <si>
    <t>제주서귀포항</t>
  </si>
  <si>
    <t>인  천</t>
  </si>
  <si>
    <t>제주항</t>
  </si>
  <si>
    <t>평택항</t>
  </si>
  <si>
    <t>울  산</t>
  </si>
  <si>
    <t>감  천</t>
  </si>
  <si>
    <t>군  산</t>
  </si>
  <si>
    <t>여  수</t>
  </si>
  <si>
    <t>광  양</t>
  </si>
  <si>
    <t>동  해</t>
  </si>
  <si>
    <t>평  택</t>
  </si>
  <si>
    <t>포  항</t>
  </si>
  <si>
    <t>창  원</t>
  </si>
  <si>
    <t>서  산</t>
  </si>
  <si>
    <t>속  초</t>
  </si>
  <si>
    <t>거  제</t>
  </si>
  <si>
    <t>목  포</t>
  </si>
  <si>
    <t>당  진</t>
  </si>
  <si>
    <t>양양공항</t>
  </si>
  <si>
    <t>통  영</t>
  </si>
  <si>
    <t>사  천</t>
  </si>
  <si>
    <t>성  남</t>
  </si>
  <si>
    <t>광  주</t>
  </si>
  <si>
    <t>총계</t>
  </si>
  <si>
    <t>아시아주</t>
  </si>
  <si>
    <t>한국</t>
  </si>
  <si>
    <t>남성</t>
  </si>
  <si>
    <t>여성</t>
  </si>
  <si>
    <t>중국</t>
  </si>
  <si>
    <t>일본</t>
  </si>
  <si>
    <t>타이완</t>
  </si>
  <si>
    <t>필리핀</t>
  </si>
  <si>
    <t>홍콩</t>
  </si>
  <si>
    <t>베트남</t>
  </si>
  <si>
    <t>싱가포르</t>
  </si>
  <si>
    <t>타이</t>
  </si>
  <si>
    <t>인도네시아</t>
  </si>
  <si>
    <t>말레이시아</t>
  </si>
  <si>
    <t>인도</t>
  </si>
  <si>
    <t>몽골</t>
  </si>
  <si>
    <t>미얀마</t>
  </si>
  <si>
    <t>우즈베키스탄</t>
  </si>
  <si>
    <t>카자흐스탄</t>
  </si>
  <si>
    <t>튀르키예</t>
  </si>
  <si>
    <t>캄보디아</t>
  </si>
  <si>
    <t>마카오</t>
  </si>
  <si>
    <t>네팔</t>
  </si>
  <si>
    <t>스리랑카</t>
  </si>
  <si>
    <t>라오스</t>
  </si>
  <si>
    <t>이스라엘</t>
  </si>
  <si>
    <t>방글라데시</t>
  </si>
  <si>
    <t>사우디아라비아</t>
  </si>
  <si>
    <t>한국계중국인</t>
  </si>
  <si>
    <t>파키스탄</t>
  </si>
  <si>
    <t>키르기즈</t>
  </si>
  <si>
    <t>아랍에미리트연합</t>
  </si>
  <si>
    <t>브루나이</t>
  </si>
  <si>
    <t>타지키스탄</t>
  </si>
  <si>
    <t>쿠웨이트</t>
  </si>
  <si>
    <t>이란</t>
  </si>
  <si>
    <t>시리아</t>
  </si>
  <si>
    <t>이라크</t>
  </si>
  <si>
    <t>요르단</t>
  </si>
  <si>
    <t>카타르</t>
  </si>
  <si>
    <t>오만</t>
  </si>
  <si>
    <t>티모르민주공화국</t>
  </si>
  <si>
    <t>투르크메니스탄</t>
  </si>
  <si>
    <t>키프로스</t>
  </si>
  <si>
    <t>예멘공화국</t>
  </si>
  <si>
    <t>레바논</t>
  </si>
  <si>
    <t>바레인</t>
  </si>
  <si>
    <t>부탄</t>
  </si>
  <si>
    <t>아프가니스탄</t>
  </si>
  <si>
    <t>몰디브</t>
  </si>
  <si>
    <t>팔레스타인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</si>
  <si>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</si>
  <si>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</si>
  <si>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</si>
  <si>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</si>
  <si>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</si>
  <si>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</si>
  <si>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</si>
  <si>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</si>
  <si>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</si>
  <si>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</si>
  <si>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</si>
  <si>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</si>
  <si>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</si>
  <si>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</si>
  <si>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베네수엘라</t>
  </si>
  <si>
    <t>파나마</t>
  </si>
  <si>
    <t>과테말라</t>
  </si>
  <si>
    <t>도미니카공화국</t>
  </si>
  <si>
    <t>온두라스</t>
  </si>
  <si>
    <t>자메이카</t>
  </si>
  <si>
    <t>엘살바도르</t>
  </si>
  <si>
    <t>우루과이</t>
  </si>
  <si>
    <t>파라과이</t>
  </si>
  <si>
    <t>세인트크리스토퍼네비스</t>
  </si>
  <si>
    <t>트리니다드토바고</t>
  </si>
  <si>
    <t>니카라과</t>
  </si>
  <si>
    <t>도미니카연방</t>
  </si>
  <si>
    <t>볼리비아</t>
  </si>
  <si>
    <t>바하마</t>
  </si>
  <si>
    <t>그레나다</t>
  </si>
  <si>
    <t>세인트루시아</t>
  </si>
  <si>
    <t>쿠바</t>
  </si>
  <si>
    <t>가이아나</t>
  </si>
  <si>
    <t>앤티카바부다</t>
  </si>
  <si>
    <t>바베이도스</t>
  </si>
  <si>
    <t>아이티</t>
  </si>
  <si>
    <t>세인트빈센트그레나딘</t>
  </si>
  <si>
    <t>수리남</t>
  </si>
  <si>
    <t>벨리즈</t>
  </si>
  <si>
    <t>미국인근섬</t>
  </si>
  <si>
    <t>유럽주</t>
  </si>
  <si>
    <t>러시아 (연방)</t>
  </si>
  <si>
    <t>프랑스</t>
  </si>
  <si>
    <t>독일</t>
  </si>
  <si>
    <t>영국</t>
  </si>
  <si>
    <t>이탈리아</t>
  </si>
  <si>
    <t>스페인</t>
  </si>
  <si>
    <t>네덜란드</t>
  </si>
  <si>
    <t>폴란드</t>
  </si>
  <si>
    <t>스위스</t>
  </si>
  <si>
    <t>스웨덴</t>
  </si>
  <si>
    <t>우크라이나</t>
  </si>
  <si>
    <t>벨기에</t>
  </si>
  <si>
    <t>루마니아</t>
  </si>
  <si>
    <t>덴마크</t>
  </si>
  <si>
    <t>포르투갈</t>
  </si>
  <si>
    <t>오스트리아</t>
  </si>
  <si>
    <t>핀란드</t>
  </si>
  <si>
    <t>아일랜드</t>
  </si>
  <si>
    <t>노르웨이</t>
  </si>
  <si>
    <t>체코</t>
  </si>
  <si>
    <t>그리스</t>
  </si>
  <si>
    <t>헝가리</t>
  </si>
  <si>
    <t>불가리아</t>
  </si>
  <si>
    <t>크로아티아</t>
  </si>
  <si>
    <t>영국보호민</t>
  </si>
  <si>
    <t>리투아니아</t>
  </si>
  <si>
    <t>슬로바크</t>
  </si>
  <si>
    <t>세르비아</t>
  </si>
  <si>
    <t>라트비아</t>
  </si>
  <si>
    <t>슬로베니아</t>
  </si>
  <si>
    <t>벨라루스</t>
  </si>
  <si>
    <t>에스토니아</t>
  </si>
  <si>
    <t>몬테네그로</t>
  </si>
  <si>
    <t>아제르바이잔</t>
  </si>
  <si>
    <t>룩셈부르크</t>
  </si>
  <si>
    <t>조지아</t>
  </si>
  <si>
    <t>몰타</t>
  </si>
  <si>
    <t>알바니아</t>
  </si>
  <si>
    <t>아이슬란드</t>
  </si>
  <si>
    <t>유고슬라비아</t>
  </si>
  <si>
    <t>몰도바</t>
  </si>
  <si>
    <t>아르메니아</t>
  </si>
  <si>
    <t>보스니아-헤르체고비나</t>
  </si>
  <si>
    <t>북마케도니아</t>
  </si>
  <si>
    <t>코소보</t>
  </si>
  <si>
    <t>안도라</t>
  </si>
  <si>
    <t>리히텐슈타인</t>
  </si>
  <si>
    <t>영국외지민</t>
  </si>
  <si>
    <t>모나코</t>
  </si>
  <si>
    <t>산마리노</t>
  </si>
  <si>
    <t>교황청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</si>
  <si>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</si>
  <si>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</si>
  <si>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</si>
  <si>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</si>
  <si>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</si>
  <si>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</si>
  <si>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</si>
  <si>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바누아투</t>
  </si>
  <si>
    <t>마샬군도</t>
  </si>
  <si>
    <t>솔로몬군도</t>
  </si>
  <si>
    <t>팔라우</t>
  </si>
  <si>
    <t>통가</t>
  </si>
  <si>
    <t>키리바시</t>
  </si>
  <si>
    <t>투발루</t>
  </si>
  <si>
    <t>나우루</t>
  </si>
  <si>
    <t>토켈라우</t>
  </si>
  <si>
    <t>아프리카주</t>
  </si>
  <si>
    <t>남아프리카공화국</t>
  </si>
  <si>
    <t>에티오피아</t>
  </si>
  <si>
    <t>이집트</t>
  </si>
  <si>
    <t>모로코</t>
  </si>
  <si>
    <t>케냐</t>
  </si>
  <si>
    <t>튀니지</t>
  </si>
  <si>
    <t>짐바브웨</t>
  </si>
  <si>
    <t>리비아</t>
  </si>
  <si>
    <t>가나</t>
  </si>
  <si>
    <t>모리셔스</t>
  </si>
  <si>
    <t>나이지리아</t>
  </si>
  <si>
    <t>마다가스카르</t>
  </si>
  <si>
    <t>탄자니아</t>
  </si>
  <si>
    <t>알제리</t>
  </si>
  <si>
    <t>우간다</t>
  </si>
  <si>
    <t>르완다</t>
  </si>
  <si>
    <t>코트디부아르</t>
  </si>
  <si>
    <t>카메룬</t>
  </si>
  <si>
    <t>콩고민주공화국</t>
  </si>
  <si>
    <t>세네갈</t>
  </si>
  <si>
    <t>수단</t>
  </si>
  <si>
    <t>감비아</t>
  </si>
  <si>
    <t>잠비아</t>
  </si>
  <si>
    <t>부룬디</t>
  </si>
  <si>
    <t>모잠비크</t>
  </si>
  <si>
    <t>보츠와나</t>
  </si>
  <si>
    <t>앙골라</t>
  </si>
  <si>
    <t>말라위</t>
  </si>
  <si>
    <t>나미비아</t>
  </si>
  <si>
    <t>가봉</t>
  </si>
  <si>
    <t>기니</t>
  </si>
  <si>
    <t>라이베리아</t>
  </si>
  <si>
    <t>베냉</t>
  </si>
  <si>
    <t>말리</t>
  </si>
  <si>
    <t>토고</t>
  </si>
  <si>
    <t>에스와티니</t>
  </si>
  <si>
    <t>시에라리온</t>
  </si>
  <si>
    <t>부르키나파소</t>
  </si>
  <si>
    <t>적도기니</t>
  </si>
  <si>
    <t>세이셸</t>
  </si>
  <si>
    <t>모리타니</t>
  </si>
  <si>
    <t>카보베르데</t>
  </si>
  <si>
    <t>레소토</t>
  </si>
  <si>
    <t>콩고</t>
  </si>
  <si>
    <t>중앙아프리카공화국</t>
  </si>
  <si>
    <t>남수단공화국</t>
  </si>
  <si>
    <t>차드</t>
  </si>
  <si>
    <t>니제르</t>
  </si>
  <si>
    <t>소말리아</t>
  </si>
  <si>
    <t>에리트레아</t>
  </si>
  <si>
    <t>코모로</t>
  </si>
  <si>
    <t>기니비사우</t>
  </si>
  <si>
    <t>지부티</t>
  </si>
  <si>
    <t>상투메프린시페</t>
  </si>
  <si>
    <t>기타</t>
  </si>
  <si>
    <t>국민 총합계</t>
    <phoneticPr fontId="18" type="noConversion"/>
  </si>
  <si>
    <t>외국인 총합계</t>
    <phoneticPr fontId="18" type="noConversion"/>
  </si>
  <si>
    <t>총합계</t>
    <phoneticPr fontId="18" type="noConversion"/>
  </si>
  <si>
    <t>남성</t>
    <phoneticPr fontId="18" type="noConversion"/>
  </si>
  <si>
    <t>여성</t>
    <phoneticPr fontId="18" type="noConversion"/>
  </si>
  <si>
    <t>남아메리카주</t>
    <phoneticPr fontId="18" type="noConversion"/>
  </si>
  <si>
    <t>제3의성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</si>
</sst>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54"/>
  <sheetViews>
    <sheetView tabSelected="1" zoomScale="70" zoomScaleNormal="70" workbookViewId="0"/>
  </sheetViews>
  <sheetFormatPr defaultRowHeight="16.5" x14ac:dyDescent="0.3"/>
  <cols>
    <col min="4" max="34" width="11.625" customWidth="1"/>
  </cols>
  <sheetData>
    <row r="1" spans="1:34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3">
      <c r="A2" s="2" t="s">
        <v>3</v>
      </c>
      <c r="B2" s="2"/>
      <c r="C2" t="s">
        <v>34</v>
      </c>
      <c r="D2" s="1">
        <v>49035684</v>
      </c>
      <c r="E2" s="1">
        <v>34839028</v>
      </c>
      <c r="F2" s="1">
        <v>5693380</v>
      </c>
      <c r="G2" s="1">
        <v>2288509</v>
      </c>
      <c r="H2" s="1">
        <v>1526182</v>
      </c>
      <c r="I2" s="1">
        <v>1014941</v>
      </c>
      <c r="J2" s="1">
        <v>1013680</v>
      </c>
      <c r="K2" s="1">
        <v>805783</v>
      </c>
      <c r="L2" s="1">
        <v>729292</v>
      </c>
      <c r="M2" s="1">
        <v>302661</v>
      </c>
      <c r="N2" s="1">
        <v>284274</v>
      </c>
      <c r="O2" s="1">
        <v>153225</v>
      </c>
      <c r="P2" s="1">
        <v>56486</v>
      </c>
      <c r="Q2" s="1">
        <v>52465</v>
      </c>
      <c r="R2" s="1">
        <v>49100</v>
      </c>
      <c r="S2" s="1">
        <v>40982</v>
      </c>
      <c r="T2" s="1">
        <v>39510</v>
      </c>
      <c r="U2" s="1">
        <v>24130</v>
      </c>
      <c r="V2" s="1">
        <v>20587</v>
      </c>
      <c r="W2" s="1">
        <v>19799</v>
      </c>
      <c r="X2" s="1">
        <v>18613</v>
      </c>
      <c r="Y2" s="1">
        <v>14916</v>
      </c>
      <c r="Z2" s="1">
        <v>10319</v>
      </c>
      <c r="AA2" s="1">
        <v>8479</v>
      </c>
      <c r="AB2" s="1">
        <v>6432</v>
      </c>
      <c r="AC2" s="1">
        <v>6210</v>
      </c>
      <c r="AD2" s="1">
        <v>6041</v>
      </c>
      <c r="AE2" s="1">
        <v>5700</v>
      </c>
      <c r="AF2" s="1">
        <v>3473</v>
      </c>
      <c r="AG2" s="1">
        <v>1460</v>
      </c>
      <c r="AH2">
        <v>27</v>
      </c>
    </row>
    <row r="3" spans="1:34" x14ac:dyDescent="0.3">
      <c r="A3" s="2"/>
      <c r="B3" s="2"/>
      <c r="C3" t="s">
        <v>37</v>
      </c>
      <c r="D3" s="1">
        <f>D7+D10</f>
        <v>24051818</v>
      </c>
      <c r="E3" s="1">
        <f t="shared" ref="E3:AH3" si="0">E7+E10</f>
        <v>16825192</v>
      </c>
      <c r="F3" s="1">
        <f t="shared" si="0"/>
        <v>2895030</v>
      </c>
      <c r="G3" s="1">
        <f t="shared" si="0"/>
        <v>1024616</v>
      </c>
      <c r="H3" s="1">
        <f t="shared" si="0"/>
        <v>545114</v>
      </c>
      <c r="I3" s="1">
        <f t="shared" si="0"/>
        <v>636613</v>
      </c>
      <c r="J3" s="1">
        <f t="shared" si="0"/>
        <v>531491</v>
      </c>
      <c r="K3" s="1">
        <f t="shared" si="0"/>
        <v>398206</v>
      </c>
      <c r="L3" s="1">
        <f t="shared" si="0"/>
        <v>398730</v>
      </c>
      <c r="M3" s="1">
        <f t="shared" si="0"/>
        <v>182685</v>
      </c>
      <c r="N3" s="1">
        <f t="shared" si="0"/>
        <v>183301</v>
      </c>
      <c r="O3" s="1">
        <f t="shared" si="0"/>
        <v>81188</v>
      </c>
      <c r="P3" s="1">
        <f t="shared" si="0"/>
        <v>55938</v>
      </c>
      <c r="Q3" s="1">
        <f t="shared" si="0"/>
        <v>52250</v>
      </c>
      <c r="R3" s="1">
        <f t="shared" si="0"/>
        <v>32633</v>
      </c>
      <c r="S3" s="1">
        <f t="shared" si="0"/>
        <v>39080</v>
      </c>
      <c r="T3" s="1">
        <f t="shared" si="0"/>
        <v>39489</v>
      </c>
      <c r="U3" s="1">
        <f t="shared" si="0"/>
        <v>19936</v>
      </c>
      <c r="V3" s="1">
        <f t="shared" si="0"/>
        <v>16071</v>
      </c>
      <c r="W3" s="1">
        <f t="shared" si="0"/>
        <v>19312</v>
      </c>
      <c r="X3" s="1">
        <f t="shared" si="0"/>
        <v>18252</v>
      </c>
      <c r="Y3" s="1">
        <f t="shared" si="0"/>
        <v>14276</v>
      </c>
      <c r="Z3" s="1">
        <f t="shared" si="0"/>
        <v>7994</v>
      </c>
      <c r="AA3" s="1">
        <f t="shared" si="0"/>
        <v>8444</v>
      </c>
      <c r="AB3" s="1">
        <f t="shared" si="0"/>
        <v>6394</v>
      </c>
      <c r="AC3" s="1">
        <f t="shared" si="0"/>
        <v>6206</v>
      </c>
      <c r="AD3" s="1">
        <f t="shared" si="0"/>
        <v>3094</v>
      </c>
      <c r="AE3" s="1">
        <f t="shared" si="0"/>
        <v>5646</v>
      </c>
      <c r="AF3" s="1">
        <f t="shared" si="0"/>
        <v>3470</v>
      </c>
      <c r="AG3" s="1">
        <f t="shared" si="0"/>
        <v>1141</v>
      </c>
      <c r="AH3" s="1">
        <f t="shared" si="0"/>
        <v>26</v>
      </c>
    </row>
    <row r="4" spans="1:34" x14ac:dyDescent="0.3">
      <c r="A4" s="2"/>
      <c r="B4" s="2"/>
      <c r="C4" t="s">
        <v>38</v>
      </c>
      <c r="D4" s="1">
        <f>D8+D11</f>
        <v>24983585</v>
      </c>
      <c r="E4" s="1">
        <f t="shared" ref="E4:AH4" si="1">E8+E11</f>
        <v>18013592</v>
      </c>
      <c r="F4" s="1">
        <f t="shared" si="1"/>
        <v>2798334</v>
      </c>
      <c r="G4" s="1">
        <f t="shared" si="1"/>
        <v>1263881</v>
      </c>
      <c r="H4" s="1">
        <f t="shared" si="1"/>
        <v>981066</v>
      </c>
      <c r="I4" s="1">
        <f t="shared" si="1"/>
        <v>378322</v>
      </c>
      <c r="J4" s="1">
        <f t="shared" si="1"/>
        <v>482189</v>
      </c>
      <c r="K4" s="1">
        <f t="shared" si="1"/>
        <v>407577</v>
      </c>
      <c r="L4" s="1">
        <f t="shared" si="1"/>
        <v>330562</v>
      </c>
      <c r="M4" s="1">
        <f t="shared" si="1"/>
        <v>119976</v>
      </c>
      <c r="N4" s="1">
        <f t="shared" si="1"/>
        <v>100972</v>
      </c>
      <c r="O4" s="1">
        <f t="shared" si="1"/>
        <v>72037</v>
      </c>
      <c r="P4" s="1">
        <f t="shared" si="1"/>
        <v>548</v>
      </c>
      <c r="Q4" s="1">
        <f t="shared" si="1"/>
        <v>215</v>
      </c>
      <c r="R4" s="1">
        <f t="shared" si="1"/>
        <v>16467</v>
      </c>
      <c r="S4" s="1">
        <f t="shared" si="1"/>
        <v>1902</v>
      </c>
      <c r="T4" s="1">
        <f t="shared" si="1"/>
        <v>21</v>
      </c>
      <c r="U4" s="1">
        <f t="shared" si="1"/>
        <v>4194</v>
      </c>
      <c r="V4" s="1">
        <f t="shared" si="1"/>
        <v>4516</v>
      </c>
      <c r="W4" s="1">
        <f t="shared" si="1"/>
        <v>487</v>
      </c>
      <c r="X4" s="1">
        <f t="shared" si="1"/>
        <v>361</v>
      </c>
      <c r="Y4" s="1">
        <f t="shared" si="1"/>
        <v>640</v>
      </c>
      <c r="Z4" s="1">
        <f t="shared" si="1"/>
        <v>2325</v>
      </c>
      <c r="AA4" s="1">
        <f t="shared" si="1"/>
        <v>35</v>
      </c>
      <c r="AB4" s="1">
        <f t="shared" si="1"/>
        <v>38</v>
      </c>
      <c r="AC4" s="1">
        <f t="shared" si="1"/>
        <v>4</v>
      </c>
      <c r="AD4" s="1">
        <f t="shared" si="1"/>
        <v>2947</v>
      </c>
      <c r="AE4" s="1">
        <f t="shared" si="1"/>
        <v>54</v>
      </c>
      <c r="AF4" s="1">
        <f t="shared" si="1"/>
        <v>3</v>
      </c>
      <c r="AG4" s="1">
        <f t="shared" si="1"/>
        <v>319</v>
      </c>
      <c r="AH4" s="1">
        <f t="shared" si="1"/>
        <v>1</v>
      </c>
    </row>
    <row r="5" spans="1:34" x14ac:dyDescent="0.3">
      <c r="A5" s="2"/>
      <c r="B5" s="2"/>
      <c r="C5" t="s">
        <v>89</v>
      </c>
      <c r="D5" s="1">
        <f>D12</f>
        <v>281</v>
      </c>
      <c r="E5" s="1">
        <f t="shared" ref="E5:AH5" si="2">E12</f>
        <v>244</v>
      </c>
      <c r="F5" s="1">
        <f t="shared" si="2"/>
        <v>16</v>
      </c>
      <c r="G5" s="1">
        <f t="shared" si="2"/>
        <v>12</v>
      </c>
      <c r="H5" s="1">
        <f t="shared" si="2"/>
        <v>2</v>
      </c>
      <c r="I5" s="1">
        <f t="shared" si="2"/>
        <v>6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si="2"/>
        <v>1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si="2"/>
        <v>0</v>
      </c>
      <c r="U5" s="1">
        <f t="shared" si="2"/>
        <v>0</v>
      </c>
      <c r="V5" s="1">
        <f t="shared" si="2"/>
        <v>0</v>
      </c>
      <c r="W5" s="1">
        <f t="shared" si="2"/>
        <v>0</v>
      </c>
      <c r="X5" s="1">
        <f t="shared" si="2"/>
        <v>0</v>
      </c>
      <c r="Y5" s="1">
        <f t="shared" si="2"/>
        <v>0</v>
      </c>
      <c r="Z5" s="1">
        <f t="shared" si="2"/>
        <v>0</v>
      </c>
      <c r="AA5" s="1">
        <f t="shared" si="2"/>
        <v>0</v>
      </c>
      <c r="AB5" s="1">
        <f t="shared" si="2"/>
        <v>0</v>
      </c>
      <c r="AC5" s="1">
        <f t="shared" si="2"/>
        <v>0</v>
      </c>
      <c r="AD5" s="1">
        <f t="shared" si="2"/>
        <v>0</v>
      </c>
      <c r="AE5" s="1">
        <f t="shared" si="2"/>
        <v>0</v>
      </c>
      <c r="AF5" s="1">
        <f t="shared" si="2"/>
        <v>0</v>
      </c>
      <c r="AG5" s="1">
        <f t="shared" si="2"/>
        <v>0</v>
      </c>
      <c r="AH5" s="1">
        <f t="shared" si="2"/>
        <v>0</v>
      </c>
    </row>
    <row r="6" spans="1:34" x14ac:dyDescent="0.3">
      <c r="A6" s="2" t="s">
        <v>250</v>
      </c>
      <c r="B6" s="2"/>
      <c r="C6" t="s">
        <v>34</v>
      </c>
      <c r="D6" s="1">
        <v>29575501</v>
      </c>
      <c r="E6" s="1">
        <v>22037622</v>
      </c>
      <c r="F6" s="1">
        <v>4068094</v>
      </c>
      <c r="G6" s="1">
        <v>1037144</v>
      </c>
      <c r="H6" s="1">
        <v>165784</v>
      </c>
      <c r="I6" s="1">
        <v>509283</v>
      </c>
      <c r="J6" s="1">
        <v>911192</v>
      </c>
      <c r="K6" s="1">
        <v>681811</v>
      </c>
      <c r="L6" s="1">
        <v>3974</v>
      </c>
      <c r="M6" s="1">
        <v>54458</v>
      </c>
      <c r="N6" s="1">
        <v>1324</v>
      </c>
      <c r="O6" s="1">
        <v>11426</v>
      </c>
      <c r="P6" s="1">
        <v>15987</v>
      </c>
      <c r="Q6" s="1">
        <v>3013</v>
      </c>
      <c r="R6" s="1">
        <v>13166</v>
      </c>
      <c r="S6" s="1">
        <v>11402</v>
      </c>
      <c r="T6" s="1">
        <v>13281</v>
      </c>
      <c r="U6" s="1">
        <v>4505</v>
      </c>
      <c r="V6" s="1">
        <v>194</v>
      </c>
      <c r="W6" s="1">
        <v>2214</v>
      </c>
      <c r="X6" s="1">
        <v>4553</v>
      </c>
      <c r="Y6" s="1">
        <v>6047</v>
      </c>
      <c r="Z6" s="1">
        <v>935</v>
      </c>
      <c r="AA6" s="1">
        <v>5438</v>
      </c>
      <c r="AB6" s="1">
        <v>1221</v>
      </c>
      <c r="AC6" s="1">
        <v>1493</v>
      </c>
      <c r="AD6" s="1">
        <v>4979</v>
      </c>
      <c r="AE6" s="1">
        <v>3596</v>
      </c>
      <c r="AF6" s="1">
        <v>156</v>
      </c>
      <c r="AG6" s="1">
        <v>1209</v>
      </c>
      <c r="AH6" s="1">
        <v>0</v>
      </c>
    </row>
    <row r="7" spans="1:34" x14ac:dyDescent="0.3">
      <c r="A7" s="2"/>
      <c r="B7" s="2"/>
      <c r="C7" t="s">
        <v>37</v>
      </c>
      <c r="D7" s="1">
        <v>15771077</v>
      </c>
      <c r="E7" s="1">
        <v>11716569</v>
      </c>
      <c r="F7" s="1">
        <v>2156786</v>
      </c>
      <c r="G7" s="1">
        <v>561010</v>
      </c>
      <c r="H7" s="1">
        <v>87265</v>
      </c>
      <c r="I7" s="1">
        <v>276910</v>
      </c>
      <c r="J7" s="1">
        <v>492173</v>
      </c>
      <c r="K7" s="1">
        <v>344171</v>
      </c>
      <c r="L7" s="1">
        <v>2417</v>
      </c>
      <c r="M7" s="1">
        <v>40136</v>
      </c>
      <c r="N7" s="1">
        <v>1005</v>
      </c>
      <c r="O7" s="1">
        <v>9283</v>
      </c>
      <c r="P7" s="1">
        <v>15942</v>
      </c>
      <c r="Q7" s="1">
        <v>3013</v>
      </c>
      <c r="R7" s="1">
        <v>8666</v>
      </c>
      <c r="S7" s="1">
        <v>11219</v>
      </c>
      <c r="T7" s="1">
        <v>13280</v>
      </c>
      <c r="U7" s="1">
        <v>3264</v>
      </c>
      <c r="V7" s="1">
        <v>69</v>
      </c>
      <c r="W7" s="1">
        <v>2066</v>
      </c>
      <c r="X7" s="1">
        <v>4286</v>
      </c>
      <c r="Y7" s="1">
        <v>5465</v>
      </c>
      <c r="Z7" s="1">
        <v>627</v>
      </c>
      <c r="AA7" s="1">
        <v>5428</v>
      </c>
      <c r="AB7" s="1">
        <v>1218</v>
      </c>
      <c r="AC7" s="1">
        <v>1493</v>
      </c>
      <c r="AD7" s="1">
        <v>2656</v>
      </c>
      <c r="AE7" s="1">
        <v>3557</v>
      </c>
      <c r="AF7" s="1">
        <v>156</v>
      </c>
      <c r="AG7" s="1">
        <v>947</v>
      </c>
      <c r="AH7" s="1">
        <v>0</v>
      </c>
    </row>
    <row r="8" spans="1:34" x14ac:dyDescent="0.3">
      <c r="A8" s="2"/>
      <c r="B8" s="2"/>
      <c r="C8" t="s">
        <v>38</v>
      </c>
      <c r="D8" s="1">
        <v>13804424</v>
      </c>
      <c r="E8" s="1">
        <v>10321053</v>
      </c>
      <c r="F8" s="1">
        <v>1911308</v>
      </c>
      <c r="G8" s="1">
        <v>476134</v>
      </c>
      <c r="H8" s="1">
        <v>78519</v>
      </c>
      <c r="I8" s="1">
        <v>232373</v>
      </c>
      <c r="J8" s="1">
        <v>419019</v>
      </c>
      <c r="K8" s="1">
        <v>337640</v>
      </c>
      <c r="L8" s="1">
        <v>1557</v>
      </c>
      <c r="M8" s="1">
        <v>14322</v>
      </c>
      <c r="N8" s="1">
        <v>319</v>
      </c>
      <c r="O8" s="1">
        <v>2143</v>
      </c>
      <c r="P8" s="1">
        <v>45</v>
      </c>
      <c r="Q8" s="1">
        <v>0</v>
      </c>
      <c r="R8" s="1">
        <v>4500</v>
      </c>
      <c r="S8" s="1">
        <v>183</v>
      </c>
      <c r="T8" s="1">
        <v>1</v>
      </c>
      <c r="U8" s="1">
        <v>1241</v>
      </c>
      <c r="V8" s="1">
        <v>125</v>
      </c>
      <c r="W8" s="1">
        <v>148</v>
      </c>
      <c r="X8" s="1">
        <v>267</v>
      </c>
      <c r="Y8" s="1">
        <v>582</v>
      </c>
      <c r="Z8" s="1">
        <v>308</v>
      </c>
      <c r="AA8" s="1">
        <v>10</v>
      </c>
      <c r="AB8" s="1">
        <v>3</v>
      </c>
      <c r="AC8" s="1">
        <v>0</v>
      </c>
      <c r="AD8" s="1">
        <v>2323</v>
      </c>
      <c r="AE8" s="1">
        <v>39</v>
      </c>
      <c r="AF8" s="1">
        <v>0</v>
      </c>
      <c r="AG8" s="1">
        <v>262</v>
      </c>
      <c r="AH8" s="1">
        <v>0</v>
      </c>
    </row>
    <row r="9" spans="1:34" x14ac:dyDescent="0.3">
      <c r="A9" s="2" t="s">
        <v>251</v>
      </c>
      <c r="B9" s="2"/>
      <c r="C9" t="s">
        <v>34</v>
      </c>
      <c r="D9" s="1">
        <v>19460183</v>
      </c>
      <c r="E9" s="1">
        <v>12801406</v>
      </c>
      <c r="F9" s="1">
        <v>1625286</v>
      </c>
      <c r="G9" s="1">
        <v>1251365</v>
      </c>
      <c r="H9" s="1">
        <v>1360398</v>
      </c>
      <c r="I9" s="1">
        <v>505658</v>
      </c>
      <c r="J9" s="1">
        <v>102488</v>
      </c>
      <c r="K9" s="1">
        <v>123972</v>
      </c>
      <c r="L9" s="1">
        <v>725318</v>
      </c>
      <c r="M9" s="1">
        <v>248203</v>
      </c>
      <c r="N9" s="1">
        <v>282950</v>
      </c>
      <c r="O9" s="1">
        <v>141799</v>
      </c>
      <c r="P9" s="1">
        <v>40499</v>
      </c>
      <c r="Q9" s="1">
        <v>49452</v>
      </c>
      <c r="R9" s="1">
        <v>35934</v>
      </c>
      <c r="S9" s="1">
        <v>29580</v>
      </c>
      <c r="T9" s="1">
        <v>26229</v>
      </c>
      <c r="U9" s="1">
        <v>19625</v>
      </c>
      <c r="V9" s="1">
        <v>20393</v>
      </c>
      <c r="W9" s="1">
        <v>17585</v>
      </c>
      <c r="X9" s="1">
        <v>14060</v>
      </c>
      <c r="Y9" s="1">
        <v>8869</v>
      </c>
      <c r="Z9" s="1">
        <v>9384</v>
      </c>
      <c r="AA9" s="1">
        <v>3041</v>
      </c>
      <c r="AB9" s="1">
        <v>5211</v>
      </c>
      <c r="AC9" s="1">
        <v>4717</v>
      </c>
      <c r="AD9" s="1">
        <v>1062</v>
      </c>
      <c r="AE9" s="1">
        <v>2104</v>
      </c>
      <c r="AF9" s="1">
        <v>3317</v>
      </c>
      <c r="AG9" s="1">
        <v>251</v>
      </c>
      <c r="AH9">
        <v>27</v>
      </c>
    </row>
    <row r="10" spans="1:34" x14ac:dyDescent="0.3">
      <c r="A10" s="2"/>
      <c r="B10" s="2"/>
      <c r="C10" t="s">
        <v>37</v>
      </c>
      <c r="D10" s="1">
        <v>8280741</v>
      </c>
      <c r="E10" s="1">
        <v>5108623</v>
      </c>
      <c r="F10" s="1">
        <v>738244</v>
      </c>
      <c r="G10" s="1">
        <v>463606</v>
      </c>
      <c r="H10" s="1">
        <v>457849</v>
      </c>
      <c r="I10" s="1">
        <v>359703</v>
      </c>
      <c r="J10" s="1">
        <v>39318</v>
      </c>
      <c r="K10" s="1">
        <v>54035</v>
      </c>
      <c r="L10" s="1">
        <v>396313</v>
      </c>
      <c r="M10" s="1">
        <v>142549</v>
      </c>
      <c r="N10" s="1">
        <v>182296</v>
      </c>
      <c r="O10" s="1">
        <v>71905</v>
      </c>
      <c r="P10" s="1">
        <v>39996</v>
      </c>
      <c r="Q10" s="1">
        <v>49237</v>
      </c>
      <c r="R10" s="1">
        <v>23967</v>
      </c>
      <c r="S10" s="1">
        <v>27861</v>
      </c>
      <c r="T10" s="1">
        <v>26209</v>
      </c>
      <c r="U10" s="1">
        <v>16672</v>
      </c>
      <c r="V10" s="1">
        <v>16002</v>
      </c>
      <c r="W10" s="1">
        <v>17246</v>
      </c>
      <c r="X10" s="1">
        <v>13966</v>
      </c>
      <c r="Y10" s="1">
        <v>8811</v>
      </c>
      <c r="Z10" s="1">
        <v>7367</v>
      </c>
      <c r="AA10" s="1">
        <v>3016</v>
      </c>
      <c r="AB10" s="1">
        <v>5176</v>
      </c>
      <c r="AC10" s="1">
        <v>4713</v>
      </c>
      <c r="AD10" s="1">
        <v>438</v>
      </c>
      <c r="AE10" s="1">
        <v>2089</v>
      </c>
      <c r="AF10" s="1">
        <v>3314</v>
      </c>
      <c r="AG10" s="1">
        <v>194</v>
      </c>
      <c r="AH10">
        <v>26</v>
      </c>
    </row>
    <row r="11" spans="1:34" x14ac:dyDescent="0.3">
      <c r="A11" s="2"/>
      <c r="B11" s="2"/>
      <c r="C11" t="s">
        <v>38</v>
      </c>
      <c r="D11" s="1">
        <v>11179161</v>
      </c>
      <c r="E11" s="1">
        <v>7692539</v>
      </c>
      <c r="F11" s="1">
        <v>887026</v>
      </c>
      <c r="G11" s="1">
        <v>787747</v>
      </c>
      <c r="H11" s="1">
        <v>902547</v>
      </c>
      <c r="I11" s="1">
        <v>145949</v>
      </c>
      <c r="J11" s="1">
        <v>63170</v>
      </c>
      <c r="K11" s="1">
        <v>69937</v>
      </c>
      <c r="L11" s="1">
        <v>329005</v>
      </c>
      <c r="M11" s="1">
        <v>105654</v>
      </c>
      <c r="N11" s="1">
        <v>100653</v>
      </c>
      <c r="O11" s="1">
        <v>69894</v>
      </c>
      <c r="P11" s="1">
        <v>503</v>
      </c>
      <c r="Q11" s="1">
        <v>215</v>
      </c>
      <c r="R11" s="1">
        <v>11967</v>
      </c>
      <c r="S11" s="1">
        <v>1719</v>
      </c>
      <c r="T11" s="1">
        <v>20</v>
      </c>
      <c r="U11" s="1">
        <v>2953</v>
      </c>
      <c r="V11" s="1">
        <v>4391</v>
      </c>
      <c r="W11" s="1">
        <v>339</v>
      </c>
      <c r="X11" s="1">
        <v>94</v>
      </c>
      <c r="Y11" s="1">
        <v>58</v>
      </c>
      <c r="Z11" s="1">
        <v>2017</v>
      </c>
      <c r="AA11" s="1">
        <v>25</v>
      </c>
      <c r="AB11" s="1">
        <v>35</v>
      </c>
      <c r="AC11" s="1">
        <v>4</v>
      </c>
      <c r="AD11" s="1">
        <v>624</v>
      </c>
      <c r="AE11" s="1">
        <v>15</v>
      </c>
      <c r="AF11" s="1">
        <v>3</v>
      </c>
      <c r="AG11" s="1">
        <v>57</v>
      </c>
      <c r="AH11">
        <v>1</v>
      </c>
    </row>
    <row r="12" spans="1:34" x14ac:dyDescent="0.3">
      <c r="A12" s="2"/>
      <c r="B12" s="2"/>
      <c r="C12" t="s">
        <v>89</v>
      </c>
      <c r="D12" s="1">
        <v>281</v>
      </c>
      <c r="E12" s="1">
        <v>244</v>
      </c>
      <c r="F12" s="1">
        <v>16</v>
      </c>
      <c r="G12" s="1">
        <v>12</v>
      </c>
      <c r="H12" s="1">
        <v>2</v>
      </c>
      <c r="I12" s="1">
        <v>6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 x14ac:dyDescent="0.3">
      <c r="A13" t="s">
        <v>35</v>
      </c>
      <c r="B13" t="s">
        <v>252</v>
      </c>
      <c r="C13" t="s">
        <v>34</v>
      </c>
      <c r="D13" s="1">
        <v>45247406</v>
      </c>
      <c r="E13" s="1">
        <v>31796862</v>
      </c>
      <c r="F13" s="1">
        <v>5495038</v>
      </c>
      <c r="G13" s="1">
        <v>2154499</v>
      </c>
      <c r="H13" s="1">
        <v>1492904</v>
      </c>
      <c r="I13" s="1">
        <v>858184</v>
      </c>
      <c r="J13" s="1">
        <v>1008282</v>
      </c>
      <c r="K13" s="1">
        <v>794522</v>
      </c>
      <c r="L13" s="1">
        <v>686946</v>
      </c>
      <c r="M13" s="1">
        <v>279974</v>
      </c>
      <c r="N13" s="1">
        <v>237761</v>
      </c>
      <c r="O13" s="1">
        <v>151711</v>
      </c>
      <c r="P13" s="1">
        <v>50004</v>
      </c>
      <c r="Q13" s="1">
        <v>25697</v>
      </c>
      <c r="R13" s="1">
        <v>47261</v>
      </c>
      <c r="S13" s="1">
        <v>34887</v>
      </c>
      <c r="T13" s="1">
        <v>36864</v>
      </c>
      <c r="U13" s="1">
        <v>13718</v>
      </c>
      <c r="V13">
        <v>453</v>
      </c>
      <c r="W13" s="1">
        <v>14041</v>
      </c>
      <c r="X13" s="1">
        <v>14058</v>
      </c>
      <c r="Y13" s="1">
        <v>13722</v>
      </c>
      <c r="Z13" s="1">
        <v>4942</v>
      </c>
      <c r="AA13" s="1">
        <v>7866</v>
      </c>
      <c r="AB13" s="1">
        <v>5374</v>
      </c>
      <c r="AC13" s="1">
        <v>5858</v>
      </c>
      <c r="AD13" s="1">
        <v>6007</v>
      </c>
      <c r="AE13" s="1">
        <v>5259</v>
      </c>
      <c r="AF13" s="1">
        <v>3397</v>
      </c>
      <c r="AG13" s="1">
        <v>1315</v>
      </c>
      <c r="AH13" s="1">
        <v>0</v>
      </c>
    </row>
    <row r="14" spans="1:34" x14ac:dyDescent="0.3">
      <c r="A14" t="s">
        <v>35</v>
      </c>
      <c r="B14" t="s">
        <v>252</v>
      </c>
      <c r="C14" t="s">
        <v>37</v>
      </c>
      <c r="D14" s="1">
        <f>D17+D20+D23+D26+D29+D32+D35+D38+D41+D44+D47+D50+D53+D56+D59+D62+D65+D68+D71+D74+D77+D80+D83+D86+D89+D92+D95+D98+D101+D104+D107+D110+D113+D116+D119+D122+D125+D128+D131+D134+D137+D140+D143+D146+D149+D152+D155+D158+D161</f>
        <v>21974498</v>
      </c>
      <c r="E14" s="1">
        <f t="shared" ref="E14:AG14" si="3">E17+E20+E23+E26+E29+E32+E35+E38+E41+E44+E47+E50+E53+E56+E59+E62+E65+E68+E71+E74+E77+E80+E83+E86+E89+E92+E95+E98+E101+E104+E107+E110+E113+E116+E119+E122+E125+E128+E131+E134+E137+E140+E143+E146+E149+E152+E155+E158+E161</f>
        <v>15227854</v>
      </c>
      <c r="F14" s="1">
        <f t="shared" si="3"/>
        <v>2767280</v>
      </c>
      <c r="G14" s="1">
        <f t="shared" si="3"/>
        <v>950811</v>
      </c>
      <c r="H14" s="1">
        <f t="shared" si="3"/>
        <v>528153</v>
      </c>
      <c r="I14" s="1">
        <f t="shared" si="3"/>
        <v>537778</v>
      </c>
      <c r="J14" s="1">
        <f t="shared" si="3"/>
        <v>528535</v>
      </c>
      <c r="K14" s="1">
        <f t="shared" si="3"/>
        <v>390887</v>
      </c>
      <c r="L14" s="1">
        <f t="shared" si="3"/>
        <v>371750</v>
      </c>
      <c r="M14" s="1">
        <f t="shared" si="3"/>
        <v>167911</v>
      </c>
      <c r="N14" s="1">
        <f t="shared" si="3"/>
        <v>156743</v>
      </c>
      <c r="O14" s="1">
        <f t="shared" si="3"/>
        <v>79717</v>
      </c>
      <c r="P14" s="1">
        <f t="shared" si="3"/>
        <v>49803</v>
      </c>
      <c r="Q14" s="1">
        <f t="shared" si="3"/>
        <v>25689</v>
      </c>
      <c r="R14" s="1">
        <f t="shared" si="3"/>
        <v>30944</v>
      </c>
      <c r="S14" s="1">
        <f t="shared" si="3"/>
        <v>34042</v>
      </c>
      <c r="T14" s="1">
        <f t="shared" si="3"/>
        <v>36859</v>
      </c>
      <c r="U14" s="1">
        <f t="shared" si="3"/>
        <v>12403</v>
      </c>
      <c r="V14" s="1">
        <f t="shared" si="3"/>
        <v>254</v>
      </c>
      <c r="W14" s="1">
        <f t="shared" si="3"/>
        <v>13880</v>
      </c>
      <c r="X14" s="1">
        <f t="shared" si="3"/>
        <v>13783</v>
      </c>
      <c r="Y14" s="1">
        <f t="shared" si="3"/>
        <v>13096</v>
      </c>
      <c r="Z14" s="1">
        <f t="shared" si="3"/>
        <v>4554</v>
      </c>
      <c r="AA14" s="1">
        <f t="shared" si="3"/>
        <v>7852</v>
      </c>
      <c r="AB14" s="1">
        <f t="shared" si="3"/>
        <v>5357</v>
      </c>
      <c r="AC14" s="1">
        <f t="shared" si="3"/>
        <v>5855</v>
      </c>
      <c r="AD14" s="1">
        <f t="shared" si="3"/>
        <v>3076</v>
      </c>
      <c r="AE14" s="1">
        <f t="shared" si="3"/>
        <v>5217</v>
      </c>
      <c r="AF14" s="1">
        <f t="shared" si="3"/>
        <v>3394</v>
      </c>
      <c r="AG14" s="1">
        <f t="shared" si="3"/>
        <v>1021</v>
      </c>
      <c r="AH14" s="1">
        <f>AH17+AH20+AH23+AH26+AH29+AH32+AH35+AH38+AH41+AH44+AH47+AH50+AH53+AH56+AH59+AH62+AH65+AH68+AH71+AH74+AH77+AH80+AH83+AH86+AH89+AH92+AH95+AH98+AH101+AH104+AH107+AH110+AH113+AH116+AH119+AH122+AH125+AH128+AH131+AH134+AH137+AH140+AH143+AH146+AH149+AH152+AH155+AH158+AH161</f>
        <v>0</v>
      </c>
    </row>
    <row r="15" spans="1:34" x14ac:dyDescent="0.3">
      <c r="A15" t="s">
        <v>35</v>
      </c>
      <c r="B15" t="s">
        <v>252</v>
      </c>
      <c r="C15" t="s">
        <v>38</v>
      </c>
      <c r="D15" s="1">
        <f>D18+D21+D24+D27+D30+D33+D36+D39+D42+D45+D48+D51+D54+D57+D60+D63+D66+D69+D72+D75+D78+D81+D84+D87+D90+D93+D96+D99+D102+D105+D108+D111+D114+D117+D120+D123+D126+D129+D132+D135+D138+D141+D144+D147+D150+D153+D156+D159+D162</f>
        <v>23272908</v>
      </c>
      <c r="E15" s="1">
        <f t="shared" ref="E15:AG15" si="4">E18+E21+E24+E27+E30+E33+E36+E39+E42+E45+E48+E51+E54+E57+E60+E63+E66+E69+E72+E75+E78+E81+E84+E87+E90+E93+E96+E99+E102+E105+E108+E111+E114+E117+E120+E123+E126+E129+E132+E135+E138+E141+E144+E147+E150+E153+E156+E159+E162</f>
        <v>16569008</v>
      </c>
      <c r="F15" s="1">
        <f t="shared" si="4"/>
        <v>2727758</v>
      </c>
      <c r="G15" s="1">
        <f t="shared" si="4"/>
        <v>1203688</v>
      </c>
      <c r="H15" s="1">
        <f t="shared" si="4"/>
        <v>964751</v>
      </c>
      <c r="I15" s="1">
        <f t="shared" si="4"/>
        <v>320406</v>
      </c>
      <c r="J15" s="1">
        <f t="shared" si="4"/>
        <v>479747</v>
      </c>
      <c r="K15" s="1">
        <f t="shared" si="4"/>
        <v>403635</v>
      </c>
      <c r="L15" s="1">
        <f t="shared" si="4"/>
        <v>315196</v>
      </c>
      <c r="M15" s="1">
        <f t="shared" si="4"/>
        <v>112063</v>
      </c>
      <c r="N15" s="1">
        <f t="shared" si="4"/>
        <v>81018</v>
      </c>
      <c r="O15" s="1">
        <f t="shared" si="4"/>
        <v>71994</v>
      </c>
      <c r="P15" s="1">
        <f t="shared" si="4"/>
        <v>201</v>
      </c>
      <c r="Q15" s="1">
        <f t="shared" si="4"/>
        <v>8</v>
      </c>
      <c r="R15" s="1">
        <f t="shared" si="4"/>
        <v>16317</v>
      </c>
      <c r="S15" s="1">
        <f t="shared" si="4"/>
        <v>845</v>
      </c>
      <c r="T15" s="1">
        <f t="shared" si="4"/>
        <v>5</v>
      </c>
      <c r="U15" s="1">
        <f t="shared" si="4"/>
        <v>1315</v>
      </c>
      <c r="V15" s="1">
        <f t="shared" si="4"/>
        <v>199</v>
      </c>
      <c r="W15" s="1">
        <f t="shared" si="4"/>
        <v>161</v>
      </c>
      <c r="X15" s="1">
        <f t="shared" si="4"/>
        <v>275</v>
      </c>
      <c r="Y15" s="1">
        <f t="shared" si="4"/>
        <v>626</v>
      </c>
      <c r="Z15" s="1">
        <f t="shared" si="4"/>
        <v>388</v>
      </c>
      <c r="AA15" s="1">
        <f t="shared" si="4"/>
        <v>14</v>
      </c>
      <c r="AB15" s="1">
        <f t="shared" si="4"/>
        <v>17</v>
      </c>
      <c r="AC15" s="1">
        <f t="shared" si="4"/>
        <v>3</v>
      </c>
      <c r="AD15" s="1">
        <f t="shared" si="4"/>
        <v>2931</v>
      </c>
      <c r="AE15" s="1">
        <f t="shared" si="4"/>
        <v>42</v>
      </c>
      <c r="AF15" s="1">
        <f t="shared" si="4"/>
        <v>3</v>
      </c>
      <c r="AG15" s="1">
        <f t="shared" si="4"/>
        <v>294</v>
      </c>
      <c r="AH15" s="1">
        <f>AH18+AH21+AH24+AH27+AH30+AH33+AH36+AH39+AH42+AH45+AH48+AH51+AH54+AH57+AH60+AH63+AH66+AH69+AH72+AH75+AH78+AH81+AH84+AH87+AH90+AH93+AH96+AH99+AH102+AH105+AH108+AH111+AH114+AH117+AH120+AH123+AH126+AH129+AH132+AH135+AH138+AH141+AH144+AH147+AH150+AH153+AH156+AH159+AH162</f>
        <v>0</v>
      </c>
    </row>
    <row r="16" spans="1:34" x14ac:dyDescent="0.3">
      <c r="A16" s="4" t="s">
        <v>35</v>
      </c>
      <c r="B16" s="4" t="s">
        <v>36</v>
      </c>
      <c r="C16" s="4" t="s">
        <v>34</v>
      </c>
      <c r="D16" s="1">
        <v>29575501</v>
      </c>
      <c r="E16" s="1">
        <v>22037622</v>
      </c>
      <c r="F16" s="1">
        <v>4068094</v>
      </c>
      <c r="G16" s="1">
        <v>1037144</v>
      </c>
      <c r="H16" s="1">
        <v>165784</v>
      </c>
      <c r="I16" s="1">
        <v>509283</v>
      </c>
      <c r="J16" s="1">
        <v>911192</v>
      </c>
      <c r="K16" s="1">
        <v>681811</v>
      </c>
      <c r="L16" s="1">
        <v>3974</v>
      </c>
      <c r="M16" s="1">
        <v>54458</v>
      </c>
      <c r="N16" s="1">
        <v>1324</v>
      </c>
      <c r="O16" s="1">
        <v>11426</v>
      </c>
      <c r="P16" s="1">
        <v>15987</v>
      </c>
      <c r="Q16" s="1">
        <v>3013</v>
      </c>
      <c r="R16" s="1">
        <v>13166</v>
      </c>
      <c r="S16" s="1">
        <v>11402</v>
      </c>
      <c r="T16" s="1">
        <v>13281</v>
      </c>
      <c r="U16" s="1">
        <v>4505</v>
      </c>
      <c r="V16">
        <v>194</v>
      </c>
      <c r="W16" s="1">
        <v>2214</v>
      </c>
      <c r="X16" s="1">
        <v>4553</v>
      </c>
      <c r="Y16" s="1">
        <v>6047</v>
      </c>
      <c r="Z16">
        <v>935</v>
      </c>
      <c r="AA16" s="1">
        <v>5438</v>
      </c>
      <c r="AB16" s="1">
        <v>1221</v>
      </c>
      <c r="AC16" s="1">
        <v>1493</v>
      </c>
      <c r="AD16" s="1">
        <v>4979</v>
      </c>
      <c r="AE16" s="1">
        <v>3596</v>
      </c>
      <c r="AF16">
        <v>156</v>
      </c>
      <c r="AG16" s="1">
        <v>1209</v>
      </c>
      <c r="AH16" s="1">
        <v>0</v>
      </c>
    </row>
    <row r="17" spans="1:34" x14ac:dyDescent="0.3">
      <c r="A17" s="4" t="s">
        <v>35</v>
      </c>
      <c r="B17" s="4" t="s">
        <v>36</v>
      </c>
      <c r="C17" s="4" t="s">
        <v>37</v>
      </c>
      <c r="D17" s="1">
        <v>15771077</v>
      </c>
      <c r="E17" s="1">
        <v>11716569</v>
      </c>
      <c r="F17" s="1">
        <v>2156786</v>
      </c>
      <c r="G17" s="1">
        <v>561010</v>
      </c>
      <c r="H17" s="1">
        <v>87265</v>
      </c>
      <c r="I17" s="1">
        <v>276910</v>
      </c>
      <c r="J17" s="1">
        <v>492173</v>
      </c>
      <c r="K17" s="1">
        <v>344171</v>
      </c>
      <c r="L17" s="1">
        <v>2417</v>
      </c>
      <c r="M17" s="1">
        <v>40136</v>
      </c>
      <c r="N17" s="1">
        <v>1005</v>
      </c>
      <c r="O17" s="1">
        <v>9283</v>
      </c>
      <c r="P17" s="1">
        <v>15942</v>
      </c>
      <c r="Q17" s="1">
        <v>3013</v>
      </c>
      <c r="R17" s="1">
        <v>8666</v>
      </c>
      <c r="S17" s="1">
        <v>11219</v>
      </c>
      <c r="T17" s="1">
        <v>13280</v>
      </c>
      <c r="U17" s="1">
        <v>3264</v>
      </c>
      <c r="V17">
        <v>69</v>
      </c>
      <c r="W17" s="1">
        <v>2066</v>
      </c>
      <c r="X17" s="1">
        <v>4286</v>
      </c>
      <c r="Y17" s="1">
        <v>5465</v>
      </c>
      <c r="Z17">
        <v>627</v>
      </c>
      <c r="AA17" s="1">
        <v>5428</v>
      </c>
      <c r="AB17" s="1">
        <v>1218</v>
      </c>
      <c r="AC17" s="1">
        <v>1493</v>
      </c>
      <c r="AD17" s="1">
        <v>2656</v>
      </c>
      <c r="AE17" s="1">
        <v>3557</v>
      </c>
      <c r="AF17">
        <v>156</v>
      </c>
      <c r="AG17">
        <v>947</v>
      </c>
      <c r="AH17" s="1">
        <v>0</v>
      </c>
    </row>
    <row r="18" spans="1:34" x14ac:dyDescent="0.3">
      <c r="A18" s="4" t="s">
        <v>35</v>
      </c>
      <c r="B18" s="4" t="s">
        <v>36</v>
      </c>
      <c r="C18" s="4" t="s">
        <v>38</v>
      </c>
      <c r="D18" s="1">
        <v>13804424</v>
      </c>
      <c r="E18" s="1">
        <v>10321053</v>
      </c>
      <c r="F18" s="1">
        <v>1911308</v>
      </c>
      <c r="G18" s="1">
        <v>476134</v>
      </c>
      <c r="H18" s="1">
        <v>78519</v>
      </c>
      <c r="I18" s="1">
        <v>232373</v>
      </c>
      <c r="J18" s="1">
        <v>419019</v>
      </c>
      <c r="K18" s="1">
        <v>337640</v>
      </c>
      <c r="L18" s="1">
        <v>1557</v>
      </c>
      <c r="M18" s="1">
        <v>14322</v>
      </c>
      <c r="N18">
        <v>319</v>
      </c>
      <c r="O18" s="1">
        <v>2143</v>
      </c>
      <c r="P18">
        <v>45</v>
      </c>
      <c r="Q18" s="1">
        <v>0</v>
      </c>
      <c r="R18" s="1">
        <v>4500</v>
      </c>
      <c r="S18">
        <v>183</v>
      </c>
      <c r="T18">
        <v>1</v>
      </c>
      <c r="U18" s="1">
        <v>1241</v>
      </c>
      <c r="V18">
        <v>125</v>
      </c>
      <c r="W18">
        <v>148</v>
      </c>
      <c r="X18">
        <v>267</v>
      </c>
      <c r="Y18">
        <v>582</v>
      </c>
      <c r="Z18">
        <v>308</v>
      </c>
      <c r="AA18">
        <v>10</v>
      </c>
      <c r="AB18">
        <v>3</v>
      </c>
      <c r="AC18" s="1">
        <v>0</v>
      </c>
      <c r="AD18" s="1">
        <v>2323</v>
      </c>
      <c r="AE18">
        <v>39</v>
      </c>
      <c r="AF18" s="1">
        <v>0</v>
      </c>
      <c r="AG18">
        <v>262</v>
      </c>
      <c r="AH18" s="1">
        <v>0</v>
      </c>
    </row>
    <row r="19" spans="1:34" x14ac:dyDescent="0.3">
      <c r="A19" t="s">
        <v>35</v>
      </c>
      <c r="B19" t="s">
        <v>39</v>
      </c>
      <c r="C19" t="s">
        <v>34</v>
      </c>
      <c r="D19" s="1">
        <v>5743730</v>
      </c>
      <c r="E19" s="1">
        <v>3216798</v>
      </c>
      <c r="F19" s="1">
        <v>179481</v>
      </c>
      <c r="G19" s="1">
        <v>267107</v>
      </c>
      <c r="H19" s="1">
        <v>970850</v>
      </c>
      <c r="I19" s="1">
        <v>53915</v>
      </c>
      <c r="J19" s="1">
        <v>14268</v>
      </c>
      <c r="K19" s="1">
        <v>15941</v>
      </c>
      <c r="L19" s="1">
        <v>508219</v>
      </c>
      <c r="M19" s="1">
        <v>187215</v>
      </c>
      <c r="N19" s="1">
        <v>154343</v>
      </c>
      <c r="O19" s="1">
        <v>130720</v>
      </c>
      <c r="P19" s="1">
        <v>2322</v>
      </c>
      <c r="Q19" s="1">
        <v>1986</v>
      </c>
      <c r="R19" s="1">
        <v>29060</v>
      </c>
      <c r="S19" s="1">
        <v>1884</v>
      </c>
      <c r="T19" s="1">
        <v>1692</v>
      </c>
      <c r="U19" s="1">
        <v>2723</v>
      </c>
      <c r="V19">
        <v>2</v>
      </c>
      <c r="W19" s="1">
        <v>1304</v>
      </c>
      <c r="X19" s="1">
        <v>1112</v>
      </c>
      <c r="Y19">
        <v>435</v>
      </c>
      <c r="Z19">
        <v>122</v>
      </c>
      <c r="AA19">
        <v>128</v>
      </c>
      <c r="AB19">
        <v>318</v>
      </c>
      <c r="AC19">
        <v>616</v>
      </c>
      <c r="AD19">
        <v>9</v>
      </c>
      <c r="AE19">
        <v>114</v>
      </c>
      <c r="AF19" s="1">
        <v>1046</v>
      </c>
      <c r="AG19" s="1">
        <v>0</v>
      </c>
      <c r="AH19" s="1">
        <v>0</v>
      </c>
    </row>
    <row r="20" spans="1:34" x14ac:dyDescent="0.3">
      <c r="A20" t="s">
        <v>35</v>
      </c>
      <c r="B20" t="s">
        <v>39</v>
      </c>
      <c r="C20" t="s">
        <v>37</v>
      </c>
      <c r="D20" s="1">
        <v>2077321</v>
      </c>
      <c r="E20" s="1">
        <v>1075249</v>
      </c>
      <c r="F20" s="1">
        <v>74740</v>
      </c>
      <c r="G20" s="1">
        <v>77652</v>
      </c>
      <c r="H20" s="1">
        <v>306549</v>
      </c>
      <c r="I20" s="1">
        <v>32559</v>
      </c>
      <c r="J20" s="1">
        <v>6522</v>
      </c>
      <c r="K20" s="1">
        <v>8250</v>
      </c>
      <c r="L20" s="1">
        <v>232118</v>
      </c>
      <c r="M20" s="1">
        <v>90288</v>
      </c>
      <c r="N20" s="1">
        <v>79544</v>
      </c>
      <c r="O20" s="1">
        <v>60904</v>
      </c>
      <c r="P20" s="1">
        <v>2246</v>
      </c>
      <c r="Q20" s="1">
        <v>1984</v>
      </c>
      <c r="R20" s="1">
        <v>17262</v>
      </c>
      <c r="S20" s="1">
        <v>1878</v>
      </c>
      <c r="T20" s="1">
        <v>1692</v>
      </c>
      <c r="U20" s="1">
        <v>2719</v>
      </c>
      <c r="V20" s="1">
        <v>0</v>
      </c>
      <c r="W20" s="1">
        <v>1295</v>
      </c>
      <c r="X20" s="1">
        <v>1112</v>
      </c>
      <c r="Y20">
        <v>425</v>
      </c>
      <c r="Z20">
        <v>119</v>
      </c>
      <c r="AA20">
        <v>128</v>
      </c>
      <c r="AB20">
        <v>306</v>
      </c>
      <c r="AC20">
        <v>616</v>
      </c>
      <c r="AD20">
        <v>4</v>
      </c>
      <c r="AE20">
        <v>114</v>
      </c>
      <c r="AF20" s="1">
        <v>1046</v>
      </c>
      <c r="AG20" s="1">
        <v>0</v>
      </c>
      <c r="AH20" s="1">
        <v>0</v>
      </c>
    </row>
    <row r="21" spans="1:34" x14ac:dyDescent="0.3">
      <c r="A21" t="s">
        <v>35</v>
      </c>
      <c r="B21" t="s">
        <v>39</v>
      </c>
      <c r="C21" t="s">
        <v>38</v>
      </c>
      <c r="D21" s="1">
        <v>3666409</v>
      </c>
      <c r="E21" s="1">
        <v>2141549</v>
      </c>
      <c r="F21" s="1">
        <v>104741</v>
      </c>
      <c r="G21" s="1">
        <v>189455</v>
      </c>
      <c r="H21" s="1">
        <v>664301</v>
      </c>
      <c r="I21" s="1">
        <v>21356</v>
      </c>
      <c r="J21" s="1">
        <v>7746</v>
      </c>
      <c r="K21" s="1">
        <v>7691</v>
      </c>
      <c r="L21" s="1">
        <v>276101</v>
      </c>
      <c r="M21" s="1">
        <v>96927</v>
      </c>
      <c r="N21" s="1">
        <v>74799</v>
      </c>
      <c r="O21" s="1">
        <v>69816</v>
      </c>
      <c r="P21">
        <v>76</v>
      </c>
      <c r="Q21">
        <v>2</v>
      </c>
      <c r="R21" s="1">
        <v>11798</v>
      </c>
      <c r="S21">
        <v>6</v>
      </c>
      <c r="T21" s="1">
        <v>0</v>
      </c>
      <c r="U21">
        <v>4</v>
      </c>
      <c r="V21">
        <v>2</v>
      </c>
      <c r="W21">
        <v>9</v>
      </c>
      <c r="X21" s="1">
        <v>0</v>
      </c>
      <c r="Y21">
        <v>10</v>
      </c>
      <c r="Z21">
        <v>3</v>
      </c>
      <c r="AA21">
        <v>0</v>
      </c>
      <c r="AB21">
        <v>12</v>
      </c>
      <c r="AC21" s="1">
        <v>0</v>
      </c>
      <c r="AD21">
        <v>5</v>
      </c>
      <c r="AE21">
        <v>0</v>
      </c>
      <c r="AF21" s="1">
        <v>0</v>
      </c>
      <c r="AG21" s="1">
        <v>0</v>
      </c>
      <c r="AH21" s="1">
        <v>0</v>
      </c>
    </row>
    <row r="22" spans="1:34" x14ac:dyDescent="0.3">
      <c r="A22" t="s">
        <v>35</v>
      </c>
      <c r="B22" t="s">
        <v>40</v>
      </c>
      <c r="C22" t="s">
        <v>34</v>
      </c>
      <c r="D22" s="1">
        <v>3687348</v>
      </c>
      <c r="E22" s="1">
        <v>2427669</v>
      </c>
      <c r="F22" s="1">
        <v>371526</v>
      </c>
      <c r="G22" s="1">
        <v>679210</v>
      </c>
      <c r="H22" s="1">
        <v>29434</v>
      </c>
      <c r="I22" s="1">
        <v>79064</v>
      </c>
      <c r="J22" s="1">
        <v>34200</v>
      </c>
      <c r="K22" s="1">
        <v>18783</v>
      </c>
      <c r="L22" s="1">
        <v>40382</v>
      </c>
      <c r="M22">
        <v>227</v>
      </c>
      <c r="N22" s="1">
        <v>5075</v>
      </c>
      <c r="O22">
        <v>60</v>
      </c>
      <c r="P22">
        <v>105</v>
      </c>
      <c r="Q22">
        <v>76</v>
      </c>
      <c r="R22">
        <v>6</v>
      </c>
      <c r="S22" s="1">
        <v>1176</v>
      </c>
      <c r="T22">
        <v>16</v>
      </c>
      <c r="U22">
        <v>77</v>
      </c>
      <c r="V22">
        <v>45</v>
      </c>
      <c r="W22">
        <v>37</v>
      </c>
      <c r="X22">
        <v>21</v>
      </c>
      <c r="Y22">
        <v>33</v>
      </c>
      <c r="Z22">
        <v>34</v>
      </c>
      <c r="AA22">
        <v>8</v>
      </c>
      <c r="AB22">
        <v>69</v>
      </c>
      <c r="AC22" s="1">
        <v>0</v>
      </c>
      <c r="AD22">
        <v>2</v>
      </c>
      <c r="AE22">
        <v>6</v>
      </c>
      <c r="AF22">
        <v>7</v>
      </c>
      <c r="AG22" s="1">
        <v>0</v>
      </c>
      <c r="AH22" s="1">
        <v>0</v>
      </c>
    </row>
    <row r="23" spans="1:34" x14ac:dyDescent="0.3">
      <c r="A23" t="s">
        <v>35</v>
      </c>
      <c r="B23" t="s">
        <v>40</v>
      </c>
      <c r="C23" t="s">
        <v>37</v>
      </c>
      <c r="D23" s="1">
        <v>1206130</v>
      </c>
      <c r="E23" s="1">
        <v>709013</v>
      </c>
      <c r="F23" s="1">
        <v>153147</v>
      </c>
      <c r="G23" s="1">
        <v>255586</v>
      </c>
      <c r="H23" s="1">
        <v>12884</v>
      </c>
      <c r="I23" s="1">
        <v>34024</v>
      </c>
      <c r="J23" s="1">
        <v>12549</v>
      </c>
      <c r="K23" s="1">
        <v>8721</v>
      </c>
      <c r="L23" s="1">
        <v>16318</v>
      </c>
      <c r="M23">
        <v>163</v>
      </c>
      <c r="N23" s="1">
        <v>2578</v>
      </c>
      <c r="O23">
        <v>59</v>
      </c>
      <c r="P23">
        <v>94</v>
      </c>
      <c r="Q23">
        <v>76</v>
      </c>
      <c r="R23">
        <v>5</v>
      </c>
      <c r="S23">
        <v>628</v>
      </c>
      <c r="T23">
        <v>16</v>
      </c>
      <c r="U23">
        <v>62</v>
      </c>
      <c r="V23">
        <v>14</v>
      </c>
      <c r="W23">
        <v>37</v>
      </c>
      <c r="X23">
        <v>21</v>
      </c>
      <c r="Y23">
        <v>33</v>
      </c>
      <c r="Z23">
        <v>14</v>
      </c>
      <c r="AA23">
        <v>8</v>
      </c>
      <c r="AB23">
        <v>69</v>
      </c>
      <c r="AC23" s="1">
        <v>0</v>
      </c>
      <c r="AD23">
        <v>1</v>
      </c>
      <c r="AE23">
        <v>5</v>
      </c>
      <c r="AF23">
        <v>5</v>
      </c>
      <c r="AG23" s="1">
        <v>0</v>
      </c>
      <c r="AH23" s="1">
        <v>0</v>
      </c>
    </row>
    <row r="24" spans="1:34" x14ac:dyDescent="0.3">
      <c r="A24" t="s">
        <v>35</v>
      </c>
      <c r="B24" t="s">
        <v>40</v>
      </c>
      <c r="C24" t="s">
        <v>38</v>
      </c>
      <c r="D24" s="1">
        <v>2481218</v>
      </c>
      <c r="E24" s="1">
        <v>1718656</v>
      </c>
      <c r="F24" s="1">
        <v>218379</v>
      </c>
      <c r="G24" s="1">
        <v>423624</v>
      </c>
      <c r="H24" s="1">
        <v>16550</v>
      </c>
      <c r="I24" s="1">
        <v>45040</v>
      </c>
      <c r="J24" s="1">
        <v>21651</v>
      </c>
      <c r="K24" s="1">
        <v>10062</v>
      </c>
      <c r="L24" s="1">
        <v>24064</v>
      </c>
      <c r="M24">
        <v>64</v>
      </c>
      <c r="N24" s="1">
        <v>2497</v>
      </c>
      <c r="O24">
        <v>1</v>
      </c>
      <c r="P24">
        <v>11</v>
      </c>
      <c r="Q24">
        <v>0</v>
      </c>
      <c r="R24">
        <v>1</v>
      </c>
      <c r="S24">
        <v>548</v>
      </c>
      <c r="T24" s="1">
        <v>0</v>
      </c>
      <c r="U24">
        <v>15</v>
      </c>
      <c r="V24">
        <v>31</v>
      </c>
      <c r="W24">
        <v>0</v>
      </c>
      <c r="X24" s="1">
        <v>0</v>
      </c>
      <c r="Y24">
        <v>0</v>
      </c>
      <c r="Z24">
        <v>20</v>
      </c>
      <c r="AA24">
        <v>0</v>
      </c>
      <c r="AB24">
        <v>0</v>
      </c>
      <c r="AC24" s="1">
        <v>0</v>
      </c>
      <c r="AD24">
        <v>1</v>
      </c>
      <c r="AE24">
        <v>1</v>
      </c>
      <c r="AF24">
        <v>2</v>
      </c>
      <c r="AG24" s="1">
        <v>0</v>
      </c>
      <c r="AH24" s="1">
        <v>0</v>
      </c>
    </row>
    <row r="25" spans="1:34" x14ac:dyDescent="0.3">
      <c r="A25" t="s">
        <v>35</v>
      </c>
      <c r="B25" t="s">
        <v>41</v>
      </c>
      <c r="C25" t="s">
        <v>34</v>
      </c>
      <c r="D25" s="1">
        <v>1908422</v>
      </c>
      <c r="E25" s="1">
        <v>917485</v>
      </c>
      <c r="F25" s="1">
        <v>498975</v>
      </c>
      <c r="G25" s="1">
        <v>144065</v>
      </c>
      <c r="H25" s="1">
        <v>204514</v>
      </c>
      <c r="I25" s="1">
        <v>25587</v>
      </c>
      <c r="J25" s="1">
        <v>36849</v>
      </c>
      <c r="K25" s="1">
        <v>62554</v>
      </c>
      <c r="L25" s="1">
        <v>14074</v>
      </c>
      <c r="M25" s="1">
        <v>1049</v>
      </c>
      <c r="N25" s="1">
        <v>2263</v>
      </c>
      <c r="O25">
        <v>452</v>
      </c>
      <c r="P25">
        <v>29</v>
      </c>
      <c r="Q25">
        <v>60</v>
      </c>
      <c r="R25">
        <v>13</v>
      </c>
      <c r="S25">
        <v>15</v>
      </c>
      <c r="T25">
        <v>32</v>
      </c>
      <c r="U25">
        <v>16</v>
      </c>
      <c r="V25">
        <v>0</v>
      </c>
      <c r="W25">
        <v>5</v>
      </c>
      <c r="X25">
        <v>138</v>
      </c>
      <c r="Y25">
        <v>4</v>
      </c>
      <c r="Z25">
        <v>14</v>
      </c>
      <c r="AA25">
        <v>196</v>
      </c>
      <c r="AB25">
        <v>0</v>
      </c>
      <c r="AC25">
        <v>16</v>
      </c>
      <c r="AD25">
        <v>1</v>
      </c>
      <c r="AE25">
        <v>16</v>
      </c>
      <c r="AF25">
        <v>0</v>
      </c>
      <c r="AG25" s="1">
        <v>0</v>
      </c>
      <c r="AH25" s="1">
        <v>0</v>
      </c>
    </row>
    <row r="26" spans="1:34" x14ac:dyDescent="0.3">
      <c r="A26" t="s">
        <v>35</v>
      </c>
      <c r="B26" t="s">
        <v>41</v>
      </c>
      <c r="C26" t="s">
        <v>37</v>
      </c>
      <c r="D26" s="1">
        <v>642919</v>
      </c>
      <c r="E26" s="1">
        <v>296493</v>
      </c>
      <c r="F26" s="1">
        <v>177405</v>
      </c>
      <c r="G26" s="1">
        <v>42672</v>
      </c>
      <c r="H26" s="1">
        <v>72532</v>
      </c>
      <c r="I26" s="1">
        <v>10599</v>
      </c>
      <c r="J26" s="1">
        <v>12483</v>
      </c>
      <c r="K26" s="1">
        <v>22037</v>
      </c>
      <c r="L26" s="1">
        <v>5965</v>
      </c>
      <c r="M26">
        <v>739</v>
      </c>
      <c r="N26" s="1">
        <v>1012</v>
      </c>
      <c r="O26">
        <v>447</v>
      </c>
      <c r="P26">
        <v>29</v>
      </c>
      <c r="Q26">
        <v>60</v>
      </c>
      <c r="R26">
        <v>9</v>
      </c>
      <c r="S26">
        <v>9</v>
      </c>
      <c r="T26">
        <v>32</v>
      </c>
      <c r="U26">
        <v>15</v>
      </c>
      <c r="V26">
        <v>0</v>
      </c>
      <c r="W26">
        <v>5</v>
      </c>
      <c r="X26">
        <v>138</v>
      </c>
      <c r="Y26">
        <v>2</v>
      </c>
      <c r="Z26">
        <v>7</v>
      </c>
      <c r="AA26">
        <v>196</v>
      </c>
      <c r="AB26">
        <v>0</v>
      </c>
      <c r="AC26">
        <v>16</v>
      </c>
      <c r="AD26">
        <v>1</v>
      </c>
      <c r="AE26">
        <v>16</v>
      </c>
      <c r="AF26">
        <v>0</v>
      </c>
      <c r="AG26" s="1">
        <v>0</v>
      </c>
      <c r="AH26" s="1">
        <v>0</v>
      </c>
    </row>
    <row r="27" spans="1:34" x14ac:dyDescent="0.3">
      <c r="A27" t="s">
        <v>35</v>
      </c>
      <c r="B27" t="s">
        <v>41</v>
      </c>
      <c r="C27" t="s">
        <v>38</v>
      </c>
      <c r="D27" s="1">
        <v>1265503</v>
      </c>
      <c r="E27" s="1">
        <v>620992</v>
      </c>
      <c r="F27" s="1">
        <v>321570</v>
      </c>
      <c r="G27" s="1">
        <v>101393</v>
      </c>
      <c r="H27" s="1">
        <v>131982</v>
      </c>
      <c r="I27" s="1">
        <v>14988</v>
      </c>
      <c r="J27" s="1">
        <v>24366</v>
      </c>
      <c r="K27" s="1">
        <v>40517</v>
      </c>
      <c r="L27" s="1">
        <v>8109</v>
      </c>
      <c r="M27">
        <v>310</v>
      </c>
      <c r="N27" s="1">
        <v>1251</v>
      </c>
      <c r="O27">
        <v>5</v>
      </c>
      <c r="P27" s="1">
        <v>0</v>
      </c>
      <c r="Q27">
        <v>0</v>
      </c>
      <c r="R27">
        <v>4</v>
      </c>
      <c r="S27">
        <v>6</v>
      </c>
      <c r="T27">
        <v>0</v>
      </c>
      <c r="U27">
        <v>1</v>
      </c>
      <c r="V27">
        <v>0</v>
      </c>
      <c r="W27">
        <v>0</v>
      </c>
      <c r="X27">
        <v>0</v>
      </c>
      <c r="Y27">
        <v>2</v>
      </c>
      <c r="Z27">
        <v>7</v>
      </c>
      <c r="AA27">
        <v>0</v>
      </c>
      <c r="AB27">
        <v>0</v>
      </c>
      <c r="AC27" s="1">
        <v>0</v>
      </c>
      <c r="AD27">
        <v>0</v>
      </c>
      <c r="AE27">
        <v>0</v>
      </c>
      <c r="AF27">
        <v>0</v>
      </c>
      <c r="AG27" s="1">
        <v>0</v>
      </c>
      <c r="AH27" s="1">
        <v>0</v>
      </c>
    </row>
    <row r="28" spans="1:34" x14ac:dyDescent="0.3">
      <c r="A28" t="s">
        <v>35</v>
      </c>
      <c r="B28" t="s">
        <v>42</v>
      </c>
      <c r="C28" t="s">
        <v>34</v>
      </c>
      <c r="D28" s="1">
        <v>626228</v>
      </c>
      <c r="E28" s="1">
        <v>329623</v>
      </c>
      <c r="F28" s="1">
        <v>32862</v>
      </c>
      <c r="G28">
        <v>877</v>
      </c>
      <c r="H28" s="1">
        <v>8898</v>
      </c>
      <c r="I28" s="1">
        <v>92332</v>
      </c>
      <c r="J28">
        <v>659</v>
      </c>
      <c r="K28">
        <v>387</v>
      </c>
      <c r="L28" s="1">
        <v>34089</v>
      </c>
      <c r="M28" s="1">
        <v>21086</v>
      </c>
      <c r="N28" s="1">
        <v>27693</v>
      </c>
      <c r="O28" s="1">
        <v>6432</v>
      </c>
      <c r="P28" s="1">
        <v>16556</v>
      </c>
      <c r="Q28" s="1">
        <v>4868</v>
      </c>
      <c r="R28" s="1">
        <v>3375</v>
      </c>
      <c r="S28" s="1">
        <v>9394</v>
      </c>
      <c r="T28" s="1">
        <v>10640</v>
      </c>
      <c r="U28" s="1">
        <v>3645</v>
      </c>
      <c r="V28">
        <v>25</v>
      </c>
      <c r="W28" s="1">
        <v>4741</v>
      </c>
      <c r="X28" s="1">
        <v>5712</v>
      </c>
      <c r="Y28" s="1">
        <v>2918</v>
      </c>
      <c r="Z28" s="1">
        <v>1943</v>
      </c>
      <c r="AA28">
        <v>868</v>
      </c>
      <c r="AB28" s="1">
        <v>2243</v>
      </c>
      <c r="AC28" s="1">
        <v>1987</v>
      </c>
      <c r="AD28">
        <v>947</v>
      </c>
      <c r="AE28">
        <v>482</v>
      </c>
      <c r="AF28">
        <v>930</v>
      </c>
      <c r="AG28">
        <v>16</v>
      </c>
      <c r="AH28" s="1">
        <v>0</v>
      </c>
    </row>
    <row r="29" spans="1:34" x14ac:dyDescent="0.3">
      <c r="A29" t="s">
        <v>35</v>
      </c>
      <c r="B29" t="s">
        <v>42</v>
      </c>
      <c r="C29" t="s">
        <v>37</v>
      </c>
      <c r="D29" s="1">
        <v>416134</v>
      </c>
      <c r="E29" s="1">
        <v>139850</v>
      </c>
      <c r="F29" s="1">
        <v>22586</v>
      </c>
      <c r="G29">
        <v>329</v>
      </c>
      <c r="H29" s="1">
        <v>2774</v>
      </c>
      <c r="I29" s="1">
        <v>91499</v>
      </c>
      <c r="J29">
        <v>212</v>
      </c>
      <c r="K29">
        <v>150</v>
      </c>
      <c r="L29" s="1">
        <v>33270</v>
      </c>
      <c r="M29" s="1">
        <v>20972</v>
      </c>
      <c r="N29" s="1">
        <v>27472</v>
      </c>
      <c r="O29" s="1">
        <v>6426</v>
      </c>
      <c r="P29" s="1">
        <v>16520</v>
      </c>
      <c r="Q29" s="1">
        <v>4863</v>
      </c>
      <c r="R29" s="1">
        <v>3365</v>
      </c>
      <c r="S29" s="1">
        <v>9369</v>
      </c>
      <c r="T29" s="1">
        <v>10639</v>
      </c>
      <c r="U29" s="1">
        <v>3640</v>
      </c>
      <c r="V29">
        <v>4</v>
      </c>
      <c r="W29" s="1">
        <v>4741</v>
      </c>
      <c r="X29" s="1">
        <v>5705</v>
      </c>
      <c r="Y29" s="1">
        <v>2913</v>
      </c>
      <c r="Z29" s="1">
        <v>1936</v>
      </c>
      <c r="AA29">
        <v>867</v>
      </c>
      <c r="AB29" s="1">
        <v>2242</v>
      </c>
      <c r="AC29" s="1">
        <v>1987</v>
      </c>
      <c r="AD29">
        <v>391</v>
      </c>
      <c r="AE29">
        <v>481</v>
      </c>
      <c r="AF29">
        <v>929</v>
      </c>
      <c r="AG29">
        <v>2</v>
      </c>
      <c r="AH29" s="1">
        <v>0</v>
      </c>
    </row>
    <row r="30" spans="1:34" x14ac:dyDescent="0.3">
      <c r="A30" t="s">
        <v>35</v>
      </c>
      <c r="B30" t="s">
        <v>42</v>
      </c>
      <c r="C30" t="s">
        <v>38</v>
      </c>
      <c r="D30" s="1">
        <v>210094</v>
      </c>
      <c r="E30" s="1">
        <v>189773</v>
      </c>
      <c r="F30" s="1">
        <v>10276</v>
      </c>
      <c r="G30">
        <v>548</v>
      </c>
      <c r="H30" s="1">
        <v>6124</v>
      </c>
      <c r="I30">
        <v>833</v>
      </c>
      <c r="J30">
        <v>447</v>
      </c>
      <c r="K30">
        <v>237</v>
      </c>
      <c r="L30">
        <v>819</v>
      </c>
      <c r="M30">
        <v>114</v>
      </c>
      <c r="N30">
        <v>221</v>
      </c>
      <c r="O30">
        <v>6</v>
      </c>
      <c r="P30">
        <v>36</v>
      </c>
      <c r="Q30">
        <v>5</v>
      </c>
      <c r="R30">
        <v>10</v>
      </c>
      <c r="S30">
        <v>25</v>
      </c>
      <c r="T30">
        <v>1</v>
      </c>
      <c r="U30">
        <v>5</v>
      </c>
      <c r="V30">
        <v>21</v>
      </c>
      <c r="W30">
        <v>0</v>
      </c>
      <c r="X30">
        <v>7</v>
      </c>
      <c r="Y30">
        <v>5</v>
      </c>
      <c r="Z30">
        <v>7</v>
      </c>
      <c r="AA30">
        <v>1</v>
      </c>
      <c r="AB30">
        <v>1</v>
      </c>
      <c r="AC30" s="1">
        <v>0</v>
      </c>
      <c r="AD30">
        <v>556</v>
      </c>
      <c r="AE30">
        <v>1</v>
      </c>
      <c r="AF30">
        <v>1</v>
      </c>
      <c r="AG30">
        <v>14</v>
      </c>
      <c r="AH30" s="1">
        <v>0</v>
      </c>
    </row>
    <row r="31" spans="1:34" x14ac:dyDescent="0.3">
      <c r="A31" t="s">
        <v>35</v>
      </c>
      <c r="B31" t="s">
        <v>43</v>
      </c>
      <c r="C31" t="s">
        <v>34</v>
      </c>
      <c r="D31" s="1">
        <v>618456</v>
      </c>
      <c r="E31" s="1">
        <v>514047</v>
      </c>
      <c r="F31" s="1">
        <v>52233</v>
      </c>
      <c r="G31" s="1">
        <v>4892</v>
      </c>
      <c r="H31" s="1">
        <v>39012</v>
      </c>
      <c r="I31" s="1">
        <v>3722</v>
      </c>
      <c r="J31">
        <v>541</v>
      </c>
      <c r="K31" s="1">
        <v>1416</v>
      </c>
      <c r="L31" s="1">
        <v>2116</v>
      </c>
      <c r="M31">
        <v>69</v>
      </c>
      <c r="N31">
        <v>369</v>
      </c>
      <c r="O31">
        <v>6</v>
      </c>
      <c r="P31">
        <v>7</v>
      </c>
      <c r="Q31">
        <v>0</v>
      </c>
      <c r="R31">
        <v>1</v>
      </c>
      <c r="S31">
        <v>3</v>
      </c>
      <c r="T31">
        <v>2</v>
      </c>
      <c r="U31">
        <v>2</v>
      </c>
      <c r="V31">
        <v>0</v>
      </c>
      <c r="W31">
        <v>7</v>
      </c>
      <c r="X31">
        <v>0</v>
      </c>
      <c r="Y31">
        <v>2</v>
      </c>
      <c r="Z31">
        <v>7</v>
      </c>
      <c r="AA31">
        <v>0</v>
      </c>
      <c r="AB31">
        <v>0</v>
      </c>
      <c r="AC31" s="1">
        <v>0</v>
      </c>
      <c r="AD31">
        <v>0</v>
      </c>
      <c r="AE31">
        <v>2</v>
      </c>
      <c r="AF31">
        <v>0</v>
      </c>
      <c r="AG31">
        <v>0</v>
      </c>
      <c r="AH31" s="1">
        <v>0</v>
      </c>
    </row>
    <row r="32" spans="1:34" x14ac:dyDescent="0.3">
      <c r="A32" t="s">
        <v>35</v>
      </c>
      <c r="B32" t="s">
        <v>43</v>
      </c>
      <c r="C32" t="s">
        <v>37</v>
      </c>
      <c r="D32" s="1">
        <v>192260</v>
      </c>
      <c r="E32" s="1">
        <v>154333</v>
      </c>
      <c r="F32" s="1">
        <v>17594</v>
      </c>
      <c r="G32" s="1">
        <v>1905</v>
      </c>
      <c r="H32" s="1">
        <v>15007</v>
      </c>
      <c r="I32" s="1">
        <v>1526</v>
      </c>
      <c r="J32">
        <v>211</v>
      </c>
      <c r="K32">
        <v>476</v>
      </c>
      <c r="L32">
        <v>931</v>
      </c>
      <c r="M32">
        <v>34</v>
      </c>
      <c r="N32">
        <v>220</v>
      </c>
      <c r="O32">
        <v>2</v>
      </c>
      <c r="P32">
        <v>4</v>
      </c>
      <c r="Q32">
        <v>0</v>
      </c>
      <c r="R32">
        <v>1</v>
      </c>
      <c r="S32">
        <v>2</v>
      </c>
      <c r="T32">
        <v>2</v>
      </c>
      <c r="U32">
        <v>2</v>
      </c>
      <c r="V32">
        <v>0</v>
      </c>
      <c r="W32">
        <v>4</v>
      </c>
      <c r="X32">
        <v>0</v>
      </c>
      <c r="Y32">
        <v>2</v>
      </c>
      <c r="Z32">
        <v>2</v>
      </c>
      <c r="AA32">
        <v>0</v>
      </c>
      <c r="AB32">
        <v>0</v>
      </c>
      <c r="AC32" s="1">
        <v>0</v>
      </c>
      <c r="AD32">
        <v>0</v>
      </c>
      <c r="AE32">
        <v>2</v>
      </c>
      <c r="AF32">
        <v>0</v>
      </c>
      <c r="AG32">
        <v>0</v>
      </c>
      <c r="AH32" s="1">
        <v>0</v>
      </c>
    </row>
    <row r="33" spans="1:34" x14ac:dyDescent="0.3">
      <c r="A33" t="s">
        <v>35</v>
      </c>
      <c r="B33" t="s">
        <v>43</v>
      </c>
      <c r="C33" t="s">
        <v>38</v>
      </c>
      <c r="D33" s="1">
        <v>426196</v>
      </c>
      <c r="E33" s="1">
        <v>359714</v>
      </c>
      <c r="F33" s="1">
        <v>34639</v>
      </c>
      <c r="G33" s="1">
        <v>2987</v>
      </c>
      <c r="H33" s="1">
        <v>24005</v>
      </c>
      <c r="I33" s="1">
        <v>2196</v>
      </c>
      <c r="J33">
        <v>330</v>
      </c>
      <c r="K33">
        <v>940</v>
      </c>
      <c r="L33" s="1">
        <v>1185</v>
      </c>
      <c r="M33">
        <v>35</v>
      </c>
      <c r="N33">
        <v>149</v>
      </c>
      <c r="O33">
        <v>4</v>
      </c>
      <c r="P33">
        <v>3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3</v>
      </c>
      <c r="X33">
        <v>0</v>
      </c>
      <c r="Y33">
        <v>0</v>
      </c>
      <c r="Z33">
        <v>5</v>
      </c>
      <c r="AA33">
        <v>0</v>
      </c>
      <c r="AB33">
        <v>0</v>
      </c>
      <c r="AC33" s="1">
        <v>0</v>
      </c>
      <c r="AD33">
        <v>0</v>
      </c>
      <c r="AE33">
        <v>0</v>
      </c>
      <c r="AF33">
        <v>0</v>
      </c>
      <c r="AG33">
        <v>0</v>
      </c>
      <c r="AH33" s="1">
        <v>0</v>
      </c>
    </row>
    <row r="34" spans="1:34" x14ac:dyDescent="0.3">
      <c r="A34" t="s">
        <v>35</v>
      </c>
      <c r="B34" t="s">
        <v>44</v>
      </c>
      <c r="C34" t="s">
        <v>34</v>
      </c>
      <c r="D34" s="1">
        <v>598276</v>
      </c>
      <c r="E34" s="1">
        <v>445894</v>
      </c>
      <c r="F34" s="1">
        <v>136782</v>
      </c>
      <c r="G34">
        <v>761</v>
      </c>
      <c r="H34" s="1">
        <v>3310</v>
      </c>
      <c r="I34">
        <v>742</v>
      </c>
      <c r="J34" s="1">
        <v>1638</v>
      </c>
      <c r="K34" s="1">
        <v>2896</v>
      </c>
      <c r="L34" s="1">
        <v>1556</v>
      </c>
      <c r="M34">
        <v>319</v>
      </c>
      <c r="N34">
        <v>861</v>
      </c>
      <c r="O34">
        <v>105</v>
      </c>
      <c r="P34">
        <v>451</v>
      </c>
      <c r="Q34">
        <v>512</v>
      </c>
      <c r="R34">
        <v>250</v>
      </c>
      <c r="S34">
        <v>541</v>
      </c>
      <c r="T34">
        <v>169</v>
      </c>
      <c r="U34">
        <v>440</v>
      </c>
      <c r="V34">
        <v>2</v>
      </c>
      <c r="W34">
        <v>223</v>
      </c>
      <c r="X34">
        <v>276</v>
      </c>
      <c r="Y34">
        <v>109</v>
      </c>
      <c r="Z34">
        <v>76</v>
      </c>
      <c r="AA34">
        <v>0</v>
      </c>
      <c r="AB34">
        <v>91</v>
      </c>
      <c r="AC34">
        <v>98</v>
      </c>
      <c r="AD34">
        <v>1</v>
      </c>
      <c r="AE34">
        <v>9</v>
      </c>
      <c r="AF34">
        <v>164</v>
      </c>
      <c r="AG34">
        <v>0</v>
      </c>
      <c r="AH34" s="1">
        <v>0</v>
      </c>
    </row>
    <row r="35" spans="1:34" x14ac:dyDescent="0.3">
      <c r="A35" t="s">
        <v>35</v>
      </c>
      <c r="B35" t="s">
        <v>44</v>
      </c>
      <c r="C35" t="s">
        <v>37</v>
      </c>
      <c r="D35" s="1">
        <v>300887</v>
      </c>
      <c r="E35" s="1">
        <v>210818</v>
      </c>
      <c r="F35" s="1">
        <v>79161</v>
      </c>
      <c r="G35">
        <v>273</v>
      </c>
      <c r="H35" s="1">
        <v>1151</v>
      </c>
      <c r="I35">
        <v>682</v>
      </c>
      <c r="J35">
        <v>756</v>
      </c>
      <c r="K35" s="1">
        <v>1939</v>
      </c>
      <c r="L35" s="1">
        <v>1430</v>
      </c>
      <c r="M35">
        <v>316</v>
      </c>
      <c r="N35">
        <v>848</v>
      </c>
      <c r="O35">
        <v>105</v>
      </c>
      <c r="P35">
        <v>450</v>
      </c>
      <c r="Q35">
        <v>512</v>
      </c>
      <c r="R35">
        <v>249</v>
      </c>
      <c r="S35">
        <v>541</v>
      </c>
      <c r="T35">
        <v>169</v>
      </c>
      <c r="U35">
        <v>440</v>
      </c>
      <c r="V35">
        <v>1</v>
      </c>
      <c r="W35">
        <v>223</v>
      </c>
      <c r="X35">
        <v>276</v>
      </c>
      <c r="Y35">
        <v>109</v>
      </c>
      <c r="Z35">
        <v>76</v>
      </c>
      <c r="AA35">
        <v>0</v>
      </c>
      <c r="AB35">
        <v>91</v>
      </c>
      <c r="AC35">
        <v>98</v>
      </c>
      <c r="AD35">
        <v>0</v>
      </c>
      <c r="AE35">
        <v>9</v>
      </c>
      <c r="AF35">
        <v>164</v>
      </c>
      <c r="AG35">
        <v>0</v>
      </c>
      <c r="AH35" s="1">
        <v>0</v>
      </c>
    </row>
    <row r="36" spans="1:34" x14ac:dyDescent="0.3">
      <c r="A36" t="s">
        <v>35</v>
      </c>
      <c r="B36" t="s">
        <v>44</v>
      </c>
      <c r="C36" t="s">
        <v>38</v>
      </c>
      <c r="D36" s="1">
        <v>297389</v>
      </c>
      <c r="E36" s="1">
        <v>235076</v>
      </c>
      <c r="F36" s="1">
        <v>57621</v>
      </c>
      <c r="G36">
        <v>488</v>
      </c>
      <c r="H36" s="1">
        <v>2159</v>
      </c>
      <c r="I36">
        <v>60</v>
      </c>
      <c r="J36">
        <v>882</v>
      </c>
      <c r="K36">
        <v>957</v>
      </c>
      <c r="L36">
        <v>126</v>
      </c>
      <c r="M36">
        <v>3</v>
      </c>
      <c r="N36">
        <v>13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s="1">
        <v>0</v>
      </c>
      <c r="AD36">
        <v>1</v>
      </c>
      <c r="AE36">
        <v>0</v>
      </c>
      <c r="AF36">
        <v>0</v>
      </c>
      <c r="AG36">
        <v>0</v>
      </c>
      <c r="AH36" s="1">
        <v>0</v>
      </c>
    </row>
    <row r="37" spans="1:34" x14ac:dyDescent="0.3">
      <c r="A37" t="s">
        <v>35</v>
      </c>
      <c r="B37" t="s">
        <v>45</v>
      </c>
      <c r="C37" t="s">
        <v>34</v>
      </c>
      <c r="D37" s="1">
        <v>399226</v>
      </c>
      <c r="E37" s="1">
        <v>337584</v>
      </c>
      <c r="F37" s="1">
        <v>19707</v>
      </c>
      <c r="G37" s="1">
        <v>3357</v>
      </c>
      <c r="H37" s="1">
        <v>34811</v>
      </c>
      <c r="I37" s="1">
        <v>1660</v>
      </c>
      <c r="J37">
        <v>41</v>
      </c>
      <c r="K37">
        <v>200</v>
      </c>
      <c r="L37" s="1">
        <v>1426</v>
      </c>
      <c r="M37">
        <v>105</v>
      </c>
      <c r="N37">
        <v>216</v>
      </c>
      <c r="O37">
        <v>13</v>
      </c>
      <c r="P37">
        <v>48</v>
      </c>
      <c r="Q37">
        <v>2</v>
      </c>
      <c r="R37">
        <v>3</v>
      </c>
      <c r="S37">
        <v>16</v>
      </c>
      <c r="T37">
        <v>8</v>
      </c>
      <c r="U37">
        <v>3</v>
      </c>
      <c r="V37">
        <v>0</v>
      </c>
      <c r="W37">
        <v>2</v>
      </c>
      <c r="X37">
        <v>6</v>
      </c>
      <c r="Y37">
        <v>2</v>
      </c>
      <c r="Z37">
        <v>2</v>
      </c>
      <c r="AA37">
        <v>6</v>
      </c>
      <c r="AB37">
        <v>3</v>
      </c>
      <c r="AC37" s="1">
        <v>0</v>
      </c>
      <c r="AD37">
        <v>3</v>
      </c>
      <c r="AE37">
        <v>1</v>
      </c>
      <c r="AF37">
        <v>0</v>
      </c>
      <c r="AG37">
        <v>1</v>
      </c>
      <c r="AH37" s="1">
        <v>0</v>
      </c>
    </row>
    <row r="38" spans="1:34" x14ac:dyDescent="0.3">
      <c r="A38" t="s">
        <v>35</v>
      </c>
      <c r="B38" t="s">
        <v>45</v>
      </c>
      <c r="C38" t="s">
        <v>37</v>
      </c>
      <c r="D38" s="1">
        <v>170074</v>
      </c>
      <c r="E38" s="1">
        <v>141184</v>
      </c>
      <c r="F38" s="1">
        <v>9745</v>
      </c>
      <c r="G38" s="1">
        <v>1732</v>
      </c>
      <c r="H38" s="1">
        <v>15575</v>
      </c>
      <c r="I38">
        <v>787</v>
      </c>
      <c r="J38">
        <v>20</v>
      </c>
      <c r="K38">
        <v>120</v>
      </c>
      <c r="L38">
        <v>626</v>
      </c>
      <c r="M38">
        <v>60</v>
      </c>
      <c r="N38">
        <v>118</v>
      </c>
      <c r="O38">
        <v>11</v>
      </c>
      <c r="P38">
        <v>47</v>
      </c>
      <c r="Q38">
        <v>2</v>
      </c>
      <c r="R38">
        <v>3</v>
      </c>
      <c r="S38">
        <v>11</v>
      </c>
      <c r="T38">
        <v>7</v>
      </c>
      <c r="U38">
        <v>3</v>
      </c>
      <c r="V38">
        <v>0</v>
      </c>
      <c r="W38">
        <v>2</v>
      </c>
      <c r="X38">
        <v>6</v>
      </c>
      <c r="Y38">
        <v>2</v>
      </c>
      <c r="Z38">
        <v>1</v>
      </c>
      <c r="AA38">
        <v>6</v>
      </c>
      <c r="AB38">
        <v>3</v>
      </c>
      <c r="AC38" s="1">
        <v>0</v>
      </c>
      <c r="AD38">
        <v>1</v>
      </c>
      <c r="AE38">
        <v>1</v>
      </c>
      <c r="AF38">
        <v>0</v>
      </c>
      <c r="AG38">
        <v>1</v>
      </c>
      <c r="AH38" s="1">
        <v>0</v>
      </c>
    </row>
    <row r="39" spans="1:34" x14ac:dyDescent="0.3">
      <c r="A39" t="s">
        <v>35</v>
      </c>
      <c r="B39" t="s">
        <v>45</v>
      </c>
      <c r="C39" t="s">
        <v>38</v>
      </c>
      <c r="D39" s="1">
        <v>229152</v>
      </c>
      <c r="E39" s="1">
        <v>196400</v>
      </c>
      <c r="F39" s="1">
        <v>9962</v>
      </c>
      <c r="G39" s="1">
        <v>1625</v>
      </c>
      <c r="H39" s="1">
        <v>19236</v>
      </c>
      <c r="I39">
        <v>873</v>
      </c>
      <c r="J39">
        <v>21</v>
      </c>
      <c r="K39">
        <v>80</v>
      </c>
      <c r="L39">
        <v>800</v>
      </c>
      <c r="M39">
        <v>45</v>
      </c>
      <c r="N39">
        <v>98</v>
      </c>
      <c r="O39">
        <v>2</v>
      </c>
      <c r="P39">
        <v>1</v>
      </c>
      <c r="Q39">
        <v>0</v>
      </c>
      <c r="R39">
        <v>0</v>
      </c>
      <c r="S39">
        <v>5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 s="1">
        <v>0</v>
      </c>
      <c r="AD39">
        <v>2</v>
      </c>
      <c r="AE39">
        <v>0</v>
      </c>
      <c r="AF39">
        <v>0</v>
      </c>
      <c r="AG39">
        <v>0</v>
      </c>
      <c r="AH39" s="1">
        <v>0</v>
      </c>
    </row>
    <row r="40" spans="1:34" x14ac:dyDescent="0.3">
      <c r="A40" t="s">
        <v>35</v>
      </c>
      <c r="B40" t="s">
        <v>46</v>
      </c>
      <c r="C40" t="s">
        <v>34</v>
      </c>
      <c r="D40" s="1">
        <v>371090</v>
      </c>
      <c r="E40" s="1">
        <v>305797</v>
      </c>
      <c r="F40" s="1">
        <v>45360</v>
      </c>
      <c r="G40" s="1">
        <v>1569</v>
      </c>
      <c r="H40" s="1">
        <v>8353</v>
      </c>
      <c r="I40" s="1">
        <v>1864</v>
      </c>
      <c r="J40">
        <v>255</v>
      </c>
      <c r="K40" s="1">
        <v>5807</v>
      </c>
      <c r="L40">
        <v>604</v>
      </c>
      <c r="M40">
        <v>363</v>
      </c>
      <c r="N40">
        <v>193</v>
      </c>
      <c r="O40">
        <v>29</v>
      </c>
      <c r="P40">
        <v>69</v>
      </c>
      <c r="Q40">
        <v>87</v>
      </c>
      <c r="R40">
        <v>46</v>
      </c>
      <c r="S40">
        <v>79</v>
      </c>
      <c r="T40">
        <v>185</v>
      </c>
      <c r="U40">
        <v>24</v>
      </c>
      <c r="V40">
        <v>171</v>
      </c>
      <c r="W40">
        <v>96</v>
      </c>
      <c r="X40">
        <v>79</v>
      </c>
      <c r="Y40">
        <v>0</v>
      </c>
      <c r="Z40">
        <v>42</v>
      </c>
      <c r="AA40">
        <v>1</v>
      </c>
      <c r="AB40">
        <v>1</v>
      </c>
      <c r="AC40">
        <v>4</v>
      </c>
      <c r="AD40">
        <v>0</v>
      </c>
      <c r="AE40">
        <v>1</v>
      </c>
      <c r="AF40">
        <v>9</v>
      </c>
      <c r="AG40">
        <v>2</v>
      </c>
      <c r="AH40" s="1">
        <v>0</v>
      </c>
    </row>
    <row r="41" spans="1:34" x14ac:dyDescent="0.3">
      <c r="A41" t="s">
        <v>35</v>
      </c>
      <c r="B41" t="s">
        <v>46</v>
      </c>
      <c r="C41" t="s">
        <v>37</v>
      </c>
      <c r="D41" s="1">
        <v>148851</v>
      </c>
      <c r="E41" s="1">
        <v>122812</v>
      </c>
      <c r="F41" s="1">
        <v>17444</v>
      </c>
      <c r="G41">
        <v>652</v>
      </c>
      <c r="H41" s="1">
        <v>2648</v>
      </c>
      <c r="I41" s="1">
        <v>1438</v>
      </c>
      <c r="J41">
        <v>25</v>
      </c>
      <c r="K41" s="1">
        <v>1970</v>
      </c>
      <c r="L41">
        <v>448</v>
      </c>
      <c r="M41">
        <v>341</v>
      </c>
      <c r="N41">
        <v>160</v>
      </c>
      <c r="O41">
        <v>27</v>
      </c>
      <c r="P41">
        <v>69</v>
      </c>
      <c r="Q41">
        <v>87</v>
      </c>
      <c r="R41">
        <v>45</v>
      </c>
      <c r="S41">
        <v>79</v>
      </c>
      <c r="T41">
        <v>185</v>
      </c>
      <c r="U41">
        <v>24</v>
      </c>
      <c r="V41">
        <v>165</v>
      </c>
      <c r="W41">
        <v>96</v>
      </c>
      <c r="X41">
        <v>79</v>
      </c>
      <c r="Y41">
        <v>0</v>
      </c>
      <c r="Z41">
        <v>40</v>
      </c>
      <c r="AA41">
        <v>1</v>
      </c>
      <c r="AB41">
        <v>1</v>
      </c>
      <c r="AC41">
        <v>4</v>
      </c>
      <c r="AD41">
        <v>0</v>
      </c>
      <c r="AE41">
        <v>0</v>
      </c>
      <c r="AF41">
        <v>9</v>
      </c>
      <c r="AG41">
        <v>2</v>
      </c>
      <c r="AH41" s="1">
        <v>0</v>
      </c>
    </row>
    <row r="42" spans="1:34" x14ac:dyDescent="0.3">
      <c r="A42" t="s">
        <v>35</v>
      </c>
      <c r="B42" t="s">
        <v>46</v>
      </c>
      <c r="C42" t="s">
        <v>38</v>
      </c>
      <c r="D42" s="1">
        <v>222239</v>
      </c>
      <c r="E42" s="1">
        <v>182985</v>
      </c>
      <c r="F42" s="1">
        <v>27916</v>
      </c>
      <c r="G42">
        <v>917</v>
      </c>
      <c r="H42" s="1">
        <v>5705</v>
      </c>
      <c r="I42">
        <v>426</v>
      </c>
      <c r="J42">
        <v>230</v>
      </c>
      <c r="K42" s="1">
        <v>3837</v>
      </c>
      <c r="L42">
        <v>156</v>
      </c>
      <c r="M42">
        <v>22</v>
      </c>
      <c r="N42">
        <v>33</v>
      </c>
      <c r="O42">
        <v>2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6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 s="1">
        <v>0</v>
      </c>
      <c r="AD42">
        <v>0</v>
      </c>
      <c r="AE42">
        <v>1</v>
      </c>
      <c r="AF42">
        <v>0</v>
      </c>
      <c r="AG42">
        <v>0</v>
      </c>
      <c r="AH42" s="1">
        <v>0</v>
      </c>
    </row>
    <row r="43" spans="1:34" x14ac:dyDescent="0.3">
      <c r="A43" t="s">
        <v>35</v>
      </c>
      <c r="B43" t="s">
        <v>47</v>
      </c>
      <c r="C43" t="s">
        <v>34</v>
      </c>
      <c r="D43" s="1">
        <v>368372</v>
      </c>
      <c r="E43" s="1">
        <v>214536</v>
      </c>
      <c r="F43" s="1">
        <v>19658</v>
      </c>
      <c r="G43" s="1">
        <v>1782</v>
      </c>
      <c r="H43" s="1">
        <v>4790</v>
      </c>
      <c r="I43" s="1">
        <v>32572</v>
      </c>
      <c r="J43">
        <v>162</v>
      </c>
      <c r="K43">
        <v>316</v>
      </c>
      <c r="L43" s="1">
        <v>35404</v>
      </c>
      <c r="M43" s="1">
        <v>6707</v>
      </c>
      <c r="N43" s="1">
        <v>21468</v>
      </c>
      <c r="O43">
        <v>301</v>
      </c>
      <c r="P43" s="1">
        <v>3786</v>
      </c>
      <c r="Q43" s="1">
        <v>10431</v>
      </c>
      <c r="R43">
        <v>196</v>
      </c>
      <c r="S43" s="1">
        <v>2874</v>
      </c>
      <c r="T43" s="1">
        <v>3796</v>
      </c>
      <c r="U43">
        <v>773</v>
      </c>
      <c r="V43">
        <v>2</v>
      </c>
      <c r="W43" s="1">
        <v>2141</v>
      </c>
      <c r="X43">
        <v>815</v>
      </c>
      <c r="Y43" s="1">
        <v>1453</v>
      </c>
      <c r="Z43" s="1">
        <v>1245</v>
      </c>
      <c r="AA43">
        <v>535</v>
      </c>
      <c r="AB43">
        <v>558</v>
      </c>
      <c r="AC43">
        <v>712</v>
      </c>
      <c r="AD43">
        <v>0</v>
      </c>
      <c r="AE43">
        <v>742</v>
      </c>
      <c r="AF43">
        <v>617</v>
      </c>
      <c r="AG43">
        <v>0</v>
      </c>
      <c r="AH43" s="1">
        <v>0</v>
      </c>
    </row>
    <row r="44" spans="1:34" x14ac:dyDescent="0.3">
      <c r="A44" t="s">
        <v>35</v>
      </c>
      <c r="B44" t="s">
        <v>47</v>
      </c>
      <c r="C44" t="s">
        <v>37</v>
      </c>
      <c r="D44" s="1">
        <v>243698</v>
      </c>
      <c r="E44" s="1">
        <v>97709</v>
      </c>
      <c r="F44" s="1">
        <v>16415</v>
      </c>
      <c r="G44">
        <v>738</v>
      </c>
      <c r="H44" s="1">
        <v>2058</v>
      </c>
      <c r="I44" s="1">
        <v>32371</v>
      </c>
      <c r="J44">
        <v>73</v>
      </c>
      <c r="K44">
        <v>264</v>
      </c>
      <c r="L44" s="1">
        <v>34974</v>
      </c>
      <c r="M44" s="1">
        <v>6689</v>
      </c>
      <c r="N44" s="1">
        <v>21438</v>
      </c>
      <c r="O44">
        <v>301</v>
      </c>
      <c r="P44" s="1">
        <v>3785</v>
      </c>
      <c r="Q44" s="1">
        <v>10430</v>
      </c>
      <c r="R44">
        <v>196</v>
      </c>
      <c r="S44" s="1">
        <v>2874</v>
      </c>
      <c r="T44" s="1">
        <v>3796</v>
      </c>
      <c r="U44">
        <v>773</v>
      </c>
      <c r="V44" s="1">
        <v>0</v>
      </c>
      <c r="W44" s="1">
        <v>2141</v>
      </c>
      <c r="X44">
        <v>815</v>
      </c>
      <c r="Y44" s="1">
        <v>1451</v>
      </c>
      <c r="Z44" s="1">
        <v>1244</v>
      </c>
      <c r="AA44">
        <v>535</v>
      </c>
      <c r="AB44">
        <v>558</v>
      </c>
      <c r="AC44">
        <v>711</v>
      </c>
      <c r="AD44">
        <v>0</v>
      </c>
      <c r="AE44">
        <v>742</v>
      </c>
      <c r="AF44">
        <v>617</v>
      </c>
      <c r="AG44">
        <v>0</v>
      </c>
      <c r="AH44" s="1">
        <v>0</v>
      </c>
    </row>
    <row r="45" spans="1:34" x14ac:dyDescent="0.3">
      <c r="A45" t="s">
        <v>35</v>
      </c>
      <c r="B45" t="s">
        <v>47</v>
      </c>
      <c r="C45" t="s">
        <v>38</v>
      </c>
      <c r="D45" s="1">
        <v>124674</v>
      </c>
      <c r="E45" s="1">
        <v>116827</v>
      </c>
      <c r="F45" s="1">
        <v>3243</v>
      </c>
      <c r="G45" s="1">
        <v>1044</v>
      </c>
      <c r="H45" s="1">
        <v>2732</v>
      </c>
      <c r="I45">
        <v>201</v>
      </c>
      <c r="J45">
        <v>89</v>
      </c>
      <c r="K45">
        <v>52</v>
      </c>
      <c r="L45">
        <v>430</v>
      </c>
      <c r="M45">
        <v>18</v>
      </c>
      <c r="N45">
        <v>30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2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 s="1">
        <v>0</v>
      </c>
    </row>
    <row r="46" spans="1:34" x14ac:dyDescent="0.3">
      <c r="A46" t="s">
        <v>35</v>
      </c>
      <c r="B46" t="s">
        <v>48</v>
      </c>
      <c r="C46" t="s">
        <v>34</v>
      </c>
      <c r="D46" s="1">
        <v>327055</v>
      </c>
      <c r="E46" s="1">
        <v>288430</v>
      </c>
      <c r="F46" s="1">
        <v>17762</v>
      </c>
      <c r="G46" s="1">
        <v>1899</v>
      </c>
      <c r="H46" s="1">
        <v>12186</v>
      </c>
      <c r="I46" s="1">
        <v>1903</v>
      </c>
      <c r="J46">
        <v>127</v>
      </c>
      <c r="K46">
        <v>469</v>
      </c>
      <c r="L46" s="1">
        <v>2386</v>
      </c>
      <c r="M46">
        <v>237</v>
      </c>
      <c r="N46" s="1">
        <v>1065</v>
      </c>
      <c r="O46">
        <v>80</v>
      </c>
      <c r="P46">
        <v>125</v>
      </c>
      <c r="Q46">
        <v>4</v>
      </c>
      <c r="R46">
        <v>3</v>
      </c>
      <c r="S46">
        <v>69</v>
      </c>
      <c r="T46">
        <v>23</v>
      </c>
      <c r="U46">
        <v>49</v>
      </c>
      <c r="V46">
        <v>0</v>
      </c>
      <c r="W46">
        <v>12</v>
      </c>
      <c r="X46">
        <v>10</v>
      </c>
      <c r="Y46">
        <v>58</v>
      </c>
      <c r="Z46">
        <v>27</v>
      </c>
      <c r="AA46">
        <v>50</v>
      </c>
      <c r="AB46">
        <v>4</v>
      </c>
      <c r="AC46">
        <v>1</v>
      </c>
      <c r="AD46">
        <v>0</v>
      </c>
      <c r="AE46">
        <v>75</v>
      </c>
      <c r="AF46">
        <v>1</v>
      </c>
      <c r="AG46">
        <v>0</v>
      </c>
      <c r="AH46" s="1">
        <v>0</v>
      </c>
    </row>
    <row r="47" spans="1:34" x14ac:dyDescent="0.3">
      <c r="A47" t="s">
        <v>35</v>
      </c>
      <c r="B47" t="s">
        <v>48</v>
      </c>
      <c r="C47" t="s">
        <v>37</v>
      </c>
      <c r="D47" s="1">
        <v>141868</v>
      </c>
      <c r="E47" s="1">
        <v>121822</v>
      </c>
      <c r="F47" s="1">
        <v>8801</v>
      </c>
      <c r="G47">
        <v>932</v>
      </c>
      <c r="H47" s="1">
        <v>4966</v>
      </c>
      <c r="I47" s="1">
        <v>1361</v>
      </c>
      <c r="J47">
        <v>46</v>
      </c>
      <c r="K47">
        <v>375</v>
      </c>
      <c r="L47" s="1">
        <v>1768</v>
      </c>
      <c r="M47">
        <v>215</v>
      </c>
      <c r="N47" s="1">
        <v>1004</v>
      </c>
      <c r="O47">
        <v>77</v>
      </c>
      <c r="P47">
        <v>125</v>
      </c>
      <c r="Q47">
        <v>4</v>
      </c>
      <c r="R47">
        <v>3</v>
      </c>
      <c r="S47">
        <v>66</v>
      </c>
      <c r="T47">
        <v>23</v>
      </c>
      <c r="U47">
        <v>49</v>
      </c>
      <c r="V47">
        <v>0</v>
      </c>
      <c r="W47">
        <v>11</v>
      </c>
      <c r="X47">
        <v>10</v>
      </c>
      <c r="Y47">
        <v>58</v>
      </c>
      <c r="Z47">
        <v>21</v>
      </c>
      <c r="AA47">
        <v>50</v>
      </c>
      <c r="AB47">
        <v>4</v>
      </c>
      <c r="AC47">
        <v>1</v>
      </c>
      <c r="AD47">
        <v>0</v>
      </c>
      <c r="AE47">
        <v>75</v>
      </c>
      <c r="AF47">
        <v>1</v>
      </c>
      <c r="AG47">
        <v>0</v>
      </c>
      <c r="AH47" s="1">
        <v>0</v>
      </c>
    </row>
    <row r="48" spans="1:34" x14ac:dyDescent="0.3">
      <c r="A48" t="s">
        <v>35</v>
      </c>
      <c r="B48" t="s">
        <v>48</v>
      </c>
      <c r="C48" t="s">
        <v>38</v>
      </c>
      <c r="D48" s="1">
        <v>185187</v>
      </c>
      <c r="E48" s="1">
        <v>166608</v>
      </c>
      <c r="F48" s="1">
        <v>8961</v>
      </c>
      <c r="G48">
        <v>967</v>
      </c>
      <c r="H48" s="1">
        <v>7220</v>
      </c>
      <c r="I48">
        <v>542</v>
      </c>
      <c r="J48">
        <v>81</v>
      </c>
      <c r="K48">
        <v>94</v>
      </c>
      <c r="L48">
        <v>618</v>
      </c>
      <c r="M48">
        <v>22</v>
      </c>
      <c r="N48">
        <v>61</v>
      </c>
      <c r="O48">
        <v>3</v>
      </c>
      <c r="P48">
        <v>0</v>
      </c>
      <c r="Q48">
        <v>0</v>
      </c>
      <c r="R48">
        <v>0</v>
      </c>
      <c r="S48">
        <v>3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s="1">
        <v>0</v>
      </c>
    </row>
    <row r="49" spans="1:34" x14ac:dyDescent="0.3">
      <c r="A49" t="s">
        <v>35</v>
      </c>
      <c r="B49" t="s">
        <v>49</v>
      </c>
      <c r="C49" t="s">
        <v>34</v>
      </c>
      <c r="D49" s="1">
        <v>198949</v>
      </c>
      <c r="E49" s="1">
        <v>89166</v>
      </c>
      <c r="F49" s="1">
        <v>9806</v>
      </c>
      <c r="G49" s="1">
        <v>1409</v>
      </c>
      <c r="H49" s="1">
        <v>1806</v>
      </c>
      <c r="I49" s="1">
        <v>36927</v>
      </c>
      <c r="J49">
        <v>44</v>
      </c>
      <c r="K49">
        <v>269</v>
      </c>
      <c r="L49" s="1">
        <v>23053</v>
      </c>
      <c r="M49" s="1">
        <v>5067</v>
      </c>
      <c r="N49" s="1">
        <v>10051</v>
      </c>
      <c r="O49" s="1">
        <v>1415</v>
      </c>
      <c r="P49" s="1">
        <v>6030</v>
      </c>
      <c r="Q49">
        <v>776</v>
      </c>
      <c r="R49">
        <v>531</v>
      </c>
      <c r="S49" s="1">
        <v>4865</v>
      </c>
      <c r="T49" s="1">
        <v>2016</v>
      </c>
      <c r="U49">
        <v>593</v>
      </c>
      <c r="V49">
        <v>1</v>
      </c>
      <c r="W49">
        <v>958</v>
      </c>
      <c r="X49">
        <v>473</v>
      </c>
      <c r="Y49" s="1">
        <v>1839</v>
      </c>
      <c r="Z49">
        <v>404</v>
      </c>
      <c r="AA49">
        <v>534</v>
      </c>
      <c r="AB49">
        <v>325</v>
      </c>
      <c r="AC49">
        <v>309</v>
      </c>
      <c r="AD49">
        <v>0</v>
      </c>
      <c r="AE49">
        <v>187</v>
      </c>
      <c r="AF49">
        <v>94</v>
      </c>
      <c r="AG49">
        <v>1</v>
      </c>
      <c r="AH49" s="1">
        <v>0</v>
      </c>
    </row>
    <row r="50" spans="1:34" x14ac:dyDescent="0.3">
      <c r="A50" t="s">
        <v>35</v>
      </c>
      <c r="B50" t="s">
        <v>49</v>
      </c>
      <c r="C50" t="s">
        <v>37</v>
      </c>
      <c r="D50" s="1">
        <v>168958</v>
      </c>
      <c r="E50" s="1">
        <v>62789</v>
      </c>
      <c r="F50" s="1">
        <v>7925</v>
      </c>
      <c r="G50" s="1">
        <v>1012</v>
      </c>
      <c r="H50" s="1">
        <v>1044</v>
      </c>
      <c r="I50" s="1">
        <v>36766</v>
      </c>
      <c r="J50">
        <v>27</v>
      </c>
      <c r="K50">
        <v>207</v>
      </c>
      <c r="L50" s="1">
        <v>22942</v>
      </c>
      <c r="M50" s="1">
        <v>5044</v>
      </c>
      <c r="N50" s="1">
        <v>9933</v>
      </c>
      <c r="O50" s="1">
        <v>1407</v>
      </c>
      <c r="P50" s="1">
        <v>6011</v>
      </c>
      <c r="Q50">
        <v>776</v>
      </c>
      <c r="R50">
        <v>531</v>
      </c>
      <c r="S50" s="1">
        <v>4834</v>
      </c>
      <c r="T50" s="1">
        <v>2015</v>
      </c>
      <c r="U50">
        <v>590</v>
      </c>
      <c r="V50">
        <v>0</v>
      </c>
      <c r="W50">
        <v>958</v>
      </c>
      <c r="X50">
        <v>472</v>
      </c>
      <c r="Y50" s="1">
        <v>1824</v>
      </c>
      <c r="Z50">
        <v>403</v>
      </c>
      <c r="AA50">
        <v>533</v>
      </c>
      <c r="AB50">
        <v>325</v>
      </c>
      <c r="AC50">
        <v>308</v>
      </c>
      <c r="AD50">
        <v>0</v>
      </c>
      <c r="AE50">
        <v>187</v>
      </c>
      <c r="AF50">
        <v>94</v>
      </c>
      <c r="AG50">
        <v>1</v>
      </c>
      <c r="AH50" s="1">
        <v>0</v>
      </c>
    </row>
    <row r="51" spans="1:34" x14ac:dyDescent="0.3">
      <c r="A51" t="s">
        <v>35</v>
      </c>
      <c r="B51" t="s">
        <v>49</v>
      </c>
      <c r="C51" t="s">
        <v>38</v>
      </c>
      <c r="D51" s="1">
        <v>29991</v>
      </c>
      <c r="E51" s="1">
        <v>26377</v>
      </c>
      <c r="F51" s="1">
        <v>1881</v>
      </c>
      <c r="G51">
        <v>397</v>
      </c>
      <c r="H51">
        <v>762</v>
      </c>
      <c r="I51">
        <v>161</v>
      </c>
      <c r="J51">
        <v>17</v>
      </c>
      <c r="K51">
        <v>62</v>
      </c>
      <c r="L51">
        <v>111</v>
      </c>
      <c r="M51">
        <v>23</v>
      </c>
      <c r="N51">
        <v>118</v>
      </c>
      <c r="O51">
        <v>8</v>
      </c>
      <c r="P51">
        <v>19</v>
      </c>
      <c r="Q51">
        <v>0</v>
      </c>
      <c r="R51">
        <v>0</v>
      </c>
      <c r="S51">
        <v>31</v>
      </c>
      <c r="T51">
        <v>1</v>
      </c>
      <c r="U51">
        <v>3</v>
      </c>
      <c r="V51">
        <v>1</v>
      </c>
      <c r="W51">
        <v>0</v>
      </c>
      <c r="X51">
        <v>1</v>
      </c>
      <c r="Y51">
        <v>15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 s="1">
        <v>0</v>
      </c>
    </row>
    <row r="52" spans="1:34" x14ac:dyDescent="0.3">
      <c r="A52" t="s">
        <v>35</v>
      </c>
      <c r="B52" t="s">
        <v>50</v>
      </c>
      <c r="C52" t="s">
        <v>34</v>
      </c>
      <c r="D52" s="1">
        <v>174157</v>
      </c>
      <c r="E52" s="1">
        <v>145143</v>
      </c>
      <c r="F52" s="1">
        <v>13532</v>
      </c>
      <c r="G52">
        <v>532</v>
      </c>
      <c r="H52" s="1">
        <v>3143</v>
      </c>
      <c r="I52">
        <v>114</v>
      </c>
      <c r="J52" s="1">
        <v>7699</v>
      </c>
      <c r="K52" s="1">
        <v>1725</v>
      </c>
      <c r="L52">
        <v>899</v>
      </c>
      <c r="M52">
        <v>34</v>
      </c>
      <c r="N52" s="1">
        <v>1263</v>
      </c>
      <c r="O52">
        <v>3</v>
      </c>
      <c r="P52">
        <v>0</v>
      </c>
      <c r="Q52">
        <v>0</v>
      </c>
      <c r="R52">
        <v>2</v>
      </c>
      <c r="S52">
        <v>0</v>
      </c>
      <c r="T52">
        <v>0</v>
      </c>
      <c r="U52">
        <v>2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64</v>
      </c>
      <c r="AE52">
        <v>0</v>
      </c>
      <c r="AF52">
        <v>0</v>
      </c>
      <c r="AG52">
        <v>0</v>
      </c>
      <c r="AH52" s="1">
        <v>0</v>
      </c>
    </row>
    <row r="53" spans="1:34" x14ac:dyDescent="0.3">
      <c r="A53" t="s">
        <v>35</v>
      </c>
      <c r="B53" t="s">
        <v>50</v>
      </c>
      <c r="C53" t="s">
        <v>37</v>
      </c>
      <c r="D53" s="1">
        <v>71582</v>
      </c>
      <c r="E53" s="1">
        <v>59932</v>
      </c>
      <c r="F53" s="1">
        <v>5664</v>
      </c>
      <c r="G53">
        <v>218</v>
      </c>
      <c r="H53" s="1">
        <v>1057</v>
      </c>
      <c r="I53">
        <v>55</v>
      </c>
      <c r="J53" s="1">
        <v>3122</v>
      </c>
      <c r="K53">
        <v>734</v>
      </c>
      <c r="L53">
        <v>384</v>
      </c>
      <c r="M53">
        <v>23</v>
      </c>
      <c r="N53">
        <v>367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0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21</v>
      </c>
      <c r="AE53">
        <v>0</v>
      </c>
      <c r="AF53">
        <v>0</v>
      </c>
      <c r="AG53">
        <v>0</v>
      </c>
      <c r="AH53" s="1">
        <v>0</v>
      </c>
    </row>
    <row r="54" spans="1:34" x14ac:dyDescent="0.3">
      <c r="A54" t="s">
        <v>35</v>
      </c>
      <c r="B54" t="s">
        <v>50</v>
      </c>
      <c r="C54" t="s">
        <v>38</v>
      </c>
      <c r="D54" s="1">
        <v>102575</v>
      </c>
      <c r="E54" s="1">
        <v>85211</v>
      </c>
      <c r="F54" s="1">
        <v>7868</v>
      </c>
      <c r="G54">
        <v>314</v>
      </c>
      <c r="H54" s="1">
        <v>2086</v>
      </c>
      <c r="I54">
        <v>59</v>
      </c>
      <c r="J54" s="1">
        <v>4577</v>
      </c>
      <c r="K54">
        <v>991</v>
      </c>
      <c r="L54">
        <v>515</v>
      </c>
      <c r="M54">
        <v>11</v>
      </c>
      <c r="N54">
        <v>896</v>
      </c>
      <c r="O54">
        <v>2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43</v>
      </c>
      <c r="AE54">
        <v>0</v>
      </c>
      <c r="AF54">
        <v>0</v>
      </c>
      <c r="AG54">
        <v>0</v>
      </c>
      <c r="AH54" s="1">
        <v>0</v>
      </c>
    </row>
    <row r="55" spans="1:34" x14ac:dyDescent="0.3">
      <c r="A55" t="s">
        <v>35</v>
      </c>
      <c r="B55" t="s">
        <v>51</v>
      </c>
      <c r="C55" t="s">
        <v>34</v>
      </c>
      <c r="D55" s="1">
        <v>80573</v>
      </c>
      <c r="E55" s="1">
        <v>20532</v>
      </c>
      <c r="F55" s="1">
        <v>6271</v>
      </c>
      <c r="G55">
        <v>119</v>
      </c>
      <c r="H55">
        <v>278</v>
      </c>
      <c r="I55" s="1">
        <v>10629</v>
      </c>
      <c r="J55">
        <v>18</v>
      </c>
      <c r="K55">
        <v>122</v>
      </c>
      <c r="L55" s="1">
        <v>12584</v>
      </c>
      <c r="M55" s="1">
        <v>2056</v>
      </c>
      <c r="N55" s="1">
        <v>8616</v>
      </c>
      <c r="O55">
        <v>542</v>
      </c>
      <c r="P55" s="1">
        <v>3380</v>
      </c>
      <c r="Q55" s="1">
        <v>3741</v>
      </c>
      <c r="R55">
        <v>345</v>
      </c>
      <c r="S55" s="1">
        <v>1683</v>
      </c>
      <c r="T55" s="1">
        <v>4267</v>
      </c>
      <c r="U55">
        <v>593</v>
      </c>
      <c r="V55">
        <v>3</v>
      </c>
      <c r="W55" s="1">
        <v>1954</v>
      </c>
      <c r="X55">
        <v>796</v>
      </c>
      <c r="Y55">
        <v>585</v>
      </c>
      <c r="Z55">
        <v>22</v>
      </c>
      <c r="AA55">
        <v>93</v>
      </c>
      <c r="AB55">
        <v>423</v>
      </c>
      <c r="AC55">
        <v>553</v>
      </c>
      <c r="AD55">
        <v>0</v>
      </c>
      <c r="AE55">
        <v>14</v>
      </c>
      <c r="AF55">
        <v>354</v>
      </c>
      <c r="AG55">
        <v>0</v>
      </c>
      <c r="AH55" s="1">
        <v>0</v>
      </c>
    </row>
    <row r="56" spans="1:34" x14ac:dyDescent="0.3">
      <c r="A56" t="s">
        <v>35</v>
      </c>
      <c r="B56" t="s">
        <v>51</v>
      </c>
      <c r="C56" t="s">
        <v>37</v>
      </c>
      <c r="D56" s="1">
        <v>72497</v>
      </c>
      <c r="E56" s="1">
        <v>13360</v>
      </c>
      <c r="F56" s="1">
        <v>5703</v>
      </c>
      <c r="G56">
        <v>48</v>
      </c>
      <c r="H56">
        <v>119</v>
      </c>
      <c r="I56" s="1">
        <v>10603</v>
      </c>
      <c r="J56">
        <v>4</v>
      </c>
      <c r="K56">
        <v>64</v>
      </c>
      <c r="L56" s="1">
        <v>12583</v>
      </c>
      <c r="M56" s="1">
        <v>2052</v>
      </c>
      <c r="N56" s="1">
        <v>8616</v>
      </c>
      <c r="O56">
        <v>542</v>
      </c>
      <c r="P56" s="1">
        <v>3380</v>
      </c>
      <c r="Q56" s="1">
        <v>3741</v>
      </c>
      <c r="R56">
        <v>345</v>
      </c>
      <c r="S56" s="1">
        <v>1682</v>
      </c>
      <c r="T56" s="1">
        <v>4267</v>
      </c>
      <c r="U56">
        <v>593</v>
      </c>
      <c r="V56">
        <v>1</v>
      </c>
      <c r="W56" s="1">
        <v>1954</v>
      </c>
      <c r="X56">
        <v>796</v>
      </c>
      <c r="Y56">
        <v>585</v>
      </c>
      <c r="Z56">
        <v>22</v>
      </c>
      <c r="AA56">
        <v>93</v>
      </c>
      <c r="AB56">
        <v>423</v>
      </c>
      <c r="AC56">
        <v>553</v>
      </c>
      <c r="AD56">
        <v>0</v>
      </c>
      <c r="AE56">
        <v>14</v>
      </c>
      <c r="AF56">
        <v>354</v>
      </c>
      <c r="AG56">
        <v>0</v>
      </c>
      <c r="AH56" s="1">
        <v>0</v>
      </c>
    </row>
    <row r="57" spans="1:34" x14ac:dyDescent="0.3">
      <c r="A57" t="s">
        <v>35</v>
      </c>
      <c r="B57" t="s">
        <v>51</v>
      </c>
      <c r="C57" t="s">
        <v>38</v>
      </c>
      <c r="D57" s="1">
        <v>8076</v>
      </c>
      <c r="E57" s="1">
        <v>7172</v>
      </c>
      <c r="F57">
        <v>568</v>
      </c>
      <c r="G57">
        <v>71</v>
      </c>
      <c r="H57">
        <v>159</v>
      </c>
      <c r="I57">
        <v>26</v>
      </c>
      <c r="J57">
        <v>14</v>
      </c>
      <c r="K57">
        <v>58</v>
      </c>
      <c r="L57">
        <v>1</v>
      </c>
      <c r="M57">
        <v>4</v>
      </c>
      <c r="N57" s="1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s="1">
        <v>0</v>
      </c>
    </row>
    <row r="58" spans="1:34" x14ac:dyDescent="0.3">
      <c r="A58" t="s">
        <v>35</v>
      </c>
      <c r="B58" t="s">
        <v>52</v>
      </c>
      <c r="C58" t="s">
        <v>34</v>
      </c>
      <c r="D58" s="1">
        <v>72503</v>
      </c>
      <c r="E58" s="1">
        <v>68254</v>
      </c>
      <c r="F58" s="1">
        <v>3535</v>
      </c>
      <c r="G58">
        <v>393</v>
      </c>
      <c r="H58">
        <v>9</v>
      </c>
      <c r="I58">
        <v>28</v>
      </c>
      <c r="J58">
        <v>88</v>
      </c>
      <c r="K58">
        <v>128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59</v>
      </c>
      <c r="V58">
        <v>0</v>
      </c>
      <c r="W58">
        <v>0</v>
      </c>
      <c r="X58">
        <v>0</v>
      </c>
      <c r="Y58">
        <v>0</v>
      </c>
      <c r="Z58">
        <v>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s="1">
        <v>0</v>
      </c>
    </row>
    <row r="59" spans="1:34" x14ac:dyDescent="0.3">
      <c r="A59" t="s">
        <v>35</v>
      </c>
      <c r="B59" t="s">
        <v>52</v>
      </c>
      <c r="C59" t="s">
        <v>37</v>
      </c>
      <c r="D59" s="1">
        <v>49955</v>
      </c>
      <c r="E59" s="1">
        <v>46632</v>
      </c>
      <c r="F59" s="1">
        <v>2831</v>
      </c>
      <c r="G59">
        <v>260</v>
      </c>
      <c r="H59">
        <v>6</v>
      </c>
      <c r="I59">
        <v>17</v>
      </c>
      <c r="J59">
        <v>58</v>
      </c>
      <c r="K59">
        <v>108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36</v>
      </c>
      <c r="V59">
        <v>0</v>
      </c>
      <c r="W59">
        <v>0</v>
      </c>
      <c r="X59">
        <v>0</v>
      </c>
      <c r="Y59">
        <v>0</v>
      </c>
      <c r="Z59">
        <v>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s="1">
        <v>0</v>
      </c>
    </row>
    <row r="60" spans="1:34" x14ac:dyDescent="0.3">
      <c r="A60" t="s">
        <v>35</v>
      </c>
      <c r="B60" t="s">
        <v>52</v>
      </c>
      <c r="C60" t="s">
        <v>38</v>
      </c>
      <c r="D60" s="1">
        <v>22548</v>
      </c>
      <c r="E60" s="1">
        <v>21622</v>
      </c>
      <c r="F60">
        <v>704</v>
      </c>
      <c r="G60">
        <v>133</v>
      </c>
      <c r="H60">
        <v>3</v>
      </c>
      <c r="I60">
        <v>11</v>
      </c>
      <c r="J60">
        <v>30</v>
      </c>
      <c r="K60">
        <v>20</v>
      </c>
      <c r="L60">
        <v>0</v>
      </c>
      <c r="M60">
        <v>0</v>
      </c>
      <c r="N60" s="1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s="1">
        <v>0</v>
      </c>
    </row>
    <row r="61" spans="1:34" x14ac:dyDescent="0.3">
      <c r="A61" t="s">
        <v>35</v>
      </c>
      <c r="B61" t="s">
        <v>53</v>
      </c>
      <c r="C61" t="s">
        <v>34</v>
      </c>
      <c r="D61" s="1">
        <v>70958</v>
      </c>
      <c r="E61" s="1">
        <v>67436</v>
      </c>
      <c r="F61" s="1">
        <v>1115</v>
      </c>
      <c r="G61" s="1">
        <v>1135</v>
      </c>
      <c r="H61">
        <v>146</v>
      </c>
      <c r="I61">
        <v>503</v>
      </c>
      <c r="J61">
        <v>46</v>
      </c>
      <c r="K61">
        <v>23</v>
      </c>
      <c r="L61">
        <v>290</v>
      </c>
      <c r="M61">
        <v>32</v>
      </c>
      <c r="N61">
        <v>195</v>
      </c>
      <c r="O61">
        <v>2</v>
      </c>
      <c r="P61">
        <v>3</v>
      </c>
      <c r="Q61">
        <v>1</v>
      </c>
      <c r="R61">
        <v>0</v>
      </c>
      <c r="S61">
        <v>2</v>
      </c>
      <c r="T61">
        <v>0</v>
      </c>
      <c r="U61">
        <v>27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s="1">
        <v>0</v>
      </c>
    </row>
    <row r="62" spans="1:34" x14ac:dyDescent="0.3">
      <c r="A62" t="s">
        <v>35</v>
      </c>
      <c r="B62" t="s">
        <v>53</v>
      </c>
      <c r="C62" t="s">
        <v>37</v>
      </c>
      <c r="D62" s="1">
        <v>30679</v>
      </c>
      <c r="E62" s="1">
        <v>29375</v>
      </c>
      <c r="F62">
        <v>446</v>
      </c>
      <c r="G62">
        <v>449</v>
      </c>
      <c r="H62">
        <v>40</v>
      </c>
      <c r="I62">
        <v>153</v>
      </c>
      <c r="J62">
        <v>15</v>
      </c>
      <c r="K62">
        <v>7</v>
      </c>
      <c r="L62">
        <v>107</v>
      </c>
      <c r="M62">
        <v>15</v>
      </c>
      <c r="N62">
        <v>53</v>
      </c>
      <c r="O62">
        <v>1</v>
      </c>
      <c r="P62">
        <v>3</v>
      </c>
      <c r="Q62">
        <v>1</v>
      </c>
      <c r="R62">
        <v>0</v>
      </c>
      <c r="S62">
        <v>1</v>
      </c>
      <c r="T62">
        <v>0</v>
      </c>
      <c r="U62">
        <v>13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s="1">
        <v>0</v>
      </c>
    </row>
    <row r="63" spans="1:34" x14ac:dyDescent="0.3">
      <c r="A63" t="s">
        <v>35</v>
      </c>
      <c r="B63" t="s">
        <v>53</v>
      </c>
      <c r="C63" t="s">
        <v>38</v>
      </c>
      <c r="D63" s="1">
        <v>40279</v>
      </c>
      <c r="E63" s="1">
        <v>38061</v>
      </c>
      <c r="F63">
        <v>669</v>
      </c>
      <c r="G63">
        <v>686</v>
      </c>
      <c r="H63">
        <v>106</v>
      </c>
      <c r="I63">
        <v>350</v>
      </c>
      <c r="J63">
        <v>31</v>
      </c>
      <c r="K63">
        <v>16</v>
      </c>
      <c r="L63">
        <v>183</v>
      </c>
      <c r="M63">
        <v>17</v>
      </c>
      <c r="N63">
        <v>142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14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s="1">
        <v>0</v>
      </c>
    </row>
    <row r="64" spans="1:34" x14ac:dyDescent="0.3">
      <c r="A64" t="s">
        <v>35</v>
      </c>
      <c r="B64" t="s">
        <v>54</v>
      </c>
      <c r="C64" t="s">
        <v>34</v>
      </c>
      <c r="D64" s="1">
        <v>61307</v>
      </c>
      <c r="E64" s="1">
        <v>54683</v>
      </c>
      <c r="F64" s="1">
        <v>1587</v>
      </c>
      <c r="G64" s="1">
        <v>1770</v>
      </c>
      <c r="H64">
        <v>225</v>
      </c>
      <c r="I64">
        <v>959</v>
      </c>
      <c r="J64">
        <v>74</v>
      </c>
      <c r="K64">
        <v>101</v>
      </c>
      <c r="L64">
        <v>238</v>
      </c>
      <c r="M64">
        <v>293</v>
      </c>
      <c r="N64">
        <v>309</v>
      </c>
      <c r="O64">
        <v>25</v>
      </c>
      <c r="P64">
        <v>223</v>
      </c>
      <c r="Q64">
        <v>28</v>
      </c>
      <c r="R64">
        <v>43</v>
      </c>
      <c r="S64">
        <v>223</v>
      </c>
      <c r="T64">
        <v>200</v>
      </c>
      <c r="U64">
        <v>40</v>
      </c>
      <c r="V64">
        <v>1</v>
      </c>
      <c r="W64">
        <v>87</v>
      </c>
      <c r="X64">
        <v>6</v>
      </c>
      <c r="Y64">
        <v>111</v>
      </c>
      <c r="Z64">
        <v>3</v>
      </c>
      <c r="AA64">
        <v>3</v>
      </c>
      <c r="AB64">
        <v>43</v>
      </c>
      <c r="AC64">
        <v>24</v>
      </c>
      <c r="AD64">
        <v>0</v>
      </c>
      <c r="AE64">
        <v>0</v>
      </c>
      <c r="AF64">
        <v>8</v>
      </c>
      <c r="AG64">
        <v>0</v>
      </c>
      <c r="AH64" s="1">
        <v>0</v>
      </c>
    </row>
    <row r="65" spans="1:34" x14ac:dyDescent="0.3">
      <c r="A65" t="s">
        <v>35</v>
      </c>
      <c r="B65" t="s">
        <v>54</v>
      </c>
      <c r="C65" t="s">
        <v>37</v>
      </c>
      <c r="D65" s="1">
        <v>34946</v>
      </c>
      <c r="E65" s="1">
        <v>30686</v>
      </c>
      <c r="F65">
        <v>880</v>
      </c>
      <c r="G65">
        <v>852</v>
      </c>
      <c r="H65">
        <v>123</v>
      </c>
      <c r="I65">
        <v>659</v>
      </c>
      <c r="J65">
        <v>31</v>
      </c>
      <c r="K65">
        <v>61</v>
      </c>
      <c r="L65">
        <v>126</v>
      </c>
      <c r="M65">
        <v>292</v>
      </c>
      <c r="N65">
        <v>187</v>
      </c>
      <c r="O65">
        <v>25</v>
      </c>
      <c r="P65">
        <v>220</v>
      </c>
      <c r="Q65">
        <v>28</v>
      </c>
      <c r="R65">
        <v>43</v>
      </c>
      <c r="S65">
        <v>216</v>
      </c>
      <c r="T65">
        <v>200</v>
      </c>
      <c r="U65">
        <v>39</v>
      </c>
      <c r="V65">
        <v>0</v>
      </c>
      <c r="W65">
        <v>87</v>
      </c>
      <c r="X65">
        <v>6</v>
      </c>
      <c r="Y65">
        <v>105</v>
      </c>
      <c r="Z65">
        <v>3</v>
      </c>
      <c r="AA65">
        <v>3</v>
      </c>
      <c r="AB65">
        <v>42</v>
      </c>
      <c r="AC65">
        <v>24</v>
      </c>
      <c r="AD65">
        <v>0</v>
      </c>
      <c r="AE65">
        <v>0</v>
      </c>
      <c r="AF65">
        <v>8</v>
      </c>
      <c r="AG65">
        <v>0</v>
      </c>
      <c r="AH65" s="1">
        <v>0</v>
      </c>
    </row>
    <row r="66" spans="1:34" x14ac:dyDescent="0.3">
      <c r="A66" t="s">
        <v>35</v>
      </c>
      <c r="B66" t="s">
        <v>54</v>
      </c>
      <c r="C66" t="s">
        <v>38</v>
      </c>
      <c r="D66" s="1">
        <v>26361</v>
      </c>
      <c r="E66" s="1">
        <v>23997</v>
      </c>
      <c r="F66">
        <v>707</v>
      </c>
      <c r="G66">
        <v>918</v>
      </c>
      <c r="H66">
        <v>102</v>
      </c>
      <c r="I66">
        <v>300</v>
      </c>
      <c r="J66">
        <v>43</v>
      </c>
      <c r="K66">
        <v>40</v>
      </c>
      <c r="L66">
        <v>112</v>
      </c>
      <c r="M66">
        <v>1</v>
      </c>
      <c r="N66">
        <v>122</v>
      </c>
      <c r="O66">
        <v>0</v>
      </c>
      <c r="P66">
        <v>3</v>
      </c>
      <c r="Q66">
        <v>0</v>
      </c>
      <c r="R66">
        <v>0</v>
      </c>
      <c r="S66">
        <v>7</v>
      </c>
      <c r="T66">
        <v>0</v>
      </c>
      <c r="U66">
        <v>1</v>
      </c>
      <c r="V66">
        <v>1</v>
      </c>
      <c r="W66">
        <v>0</v>
      </c>
      <c r="X66">
        <v>0</v>
      </c>
      <c r="Y66">
        <v>6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 s="1">
        <v>0</v>
      </c>
    </row>
    <row r="67" spans="1:34" x14ac:dyDescent="0.3">
      <c r="A67" t="s">
        <v>35</v>
      </c>
      <c r="B67" t="s">
        <v>55</v>
      </c>
      <c r="C67" t="s">
        <v>34</v>
      </c>
      <c r="D67" s="1">
        <v>53268</v>
      </c>
      <c r="E67" s="1">
        <v>51597</v>
      </c>
      <c r="F67" s="1">
        <v>1086</v>
      </c>
      <c r="G67">
        <v>291</v>
      </c>
      <c r="H67">
        <v>209</v>
      </c>
      <c r="I67">
        <v>13</v>
      </c>
      <c r="J67">
        <v>16</v>
      </c>
      <c r="K67">
        <v>23</v>
      </c>
      <c r="L67">
        <v>31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s="1">
        <v>0</v>
      </c>
    </row>
    <row r="68" spans="1:34" x14ac:dyDescent="0.3">
      <c r="A68" t="s">
        <v>35</v>
      </c>
      <c r="B68" t="s">
        <v>55</v>
      </c>
      <c r="C68" t="s">
        <v>37</v>
      </c>
      <c r="D68" s="1">
        <v>33942</v>
      </c>
      <c r="E68" s="1">
        <v>32971</v>
      </c>
      <c r="F68">
        <v>672</v>
      </c>
      <c r="G68">
        <v>143</v>
      </c>
      <c r="H68">
        <v>106</v>
      </c>
      <c r="I68">
        <v>11</v>
      </c>
      <c r="J68">
        <v>7</v>
      </c>
      <c r="K68">
        <v>9</v>
      </c>
      <c r="L68">
        <v>21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s="1">
        <v>0</v>
      </c>
    </row>
    <row r="69" spans="1:34" x14ac:dyDescent="0.3">
      <c r="A69" t="s">
        <v>35</v>
      </c>
      <c r="B69" t="s">
        <v>55</v>
      </c>
      <c r="C69" t="s">
        <v>38</v>
      </c>
      <c r="D69" s="1">
        <v>19326</v>
      </c>
      <c r="E69" s="1">
        <v>18626</v>
      </c>
      <c r="F69">
        <v>414</v>
      </c>
      <c r="G69">
        <v>148</v>
      </c>
      <c r="H69">
        <v>103</v>
      </c>
      <c r="I69">
        <v>2</v>
      </c>
      <c r="J69">
        <v>9</v>
      </c>
      <c r="K69">
        <v>14</v>
      </c>
      <c r="L69">
        <v>10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s="1">
        <v>0</v>
      </c>
    </row>
    <row r="70" spans="1:34" x14ac:dyDescent="0.3">
      <c r="A70" t="s">
        <v>35</v>
      </c>
      <c r="B70" t="s">
        <v>56</v>
      </c>
      <c r="C70" t="s">
        <v>34</v>
      </c>
      <c r="D70" s="1">
        <v>45452</v>
      </c>
      <c r="E70" s="1">
        <v>37815</v>
      </c>
      <c r="F70" s="1">
        <v>3119</v>
      </c>
      <c r="G70">
        <v>338</v>
      </c>
      <c r="H70" s="1">
        <v>3784</v>
      </c>
      <c r="I70">
        <v>120</v>
      </c>
      <c r="J70">
        <v>16</v>
      </c>
      <c r="K70">
        <v>101</v>
      </c>
      <c r="L70">
        <v>133</v>
      </c>
      <c r="M70">
        <v>4</v>
      </c>
      <c r="N70">
        <v>21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 s="1">
        <v>0</v>
      </c>
    </row>
    <row r="71" spans="1:34" x14ac:dyDescent="0.3">
      <c r="A71" t="s">
        <v>35</v>
      </c>
      <c r="B71" t="s">
        <v>56</v>
      </c>
      <c r="C71" t="s">
        <v>37</v>
      </c>
      <c r="D71" s="1">
        <v>13972</v>
      </c>
      <c r="E71" s="1">
        <v>11072</v>
      </c>
      <c r="F71" s="1">
        <v>1046</v>
      </c>
      <c r="G71">
        <v>97</v>
      </c>
      <c r="H71" s="1">
        <v>1606</v>
      </c>
      <c r="I71">
        <v>48</v>
      </c>
      <c r="J71">
        <v>2</v>
      </c>
      <c r="K71">
        <v>38</v>
      </c>
      <c r="L71">
        <v>47</v>
      </c>
      <c r="M71">
        <v>4</v>
      </c>
      <c r="N71">
        <v>11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 s="1">
        <v>0</v>
      </c>
    </row>
    <row r="72" spans="1:34" x14ac:dyDescent="0.3">
      <c r="A72" t="s">
        <v>35</v>
      </c>
      <c r="B72" t="s">
        <v>56</v>
      </c>
      <c r="C72" t="s">
        <v>38</v>
      </c>
      <c r="D72" s="1">
        <v>31480</v>
      </c>
      <c r="E72" s="1">
        <v>26743</v>
      </c>
      <c r="F72" s="1">
        <v>2073</v>
      </c>
      <c r="G72">
        <v>241</v>
      </c>
      <c r="H72" s="1">
        <v>2178</v>
      </c>
      <c r="I72">
        <v>72</v>
      </c>
      <c r="J72">
        <v>14</v>
      </c>
      <c r="K72">
        <v>63</v>
      </c>
      <c r="L72">
        <v>86</v>
      </c>
      <c r="M72">
        <v>0</v>
      </c>
      <c r="N72">
        <v>10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s="1">
        <v>0</v>
      </c>
    </row>
    <row r="73" spans="1:34" x14ac:dyDescent="0.3">
      <c r="A73" t="s">
        <v>35</v>
      </c>
      <c r="B73" t="s">
        <v>57</v>
      </c>
      <c r="C73" t="s">
        <v>34</v>
      </c>
      <c r="D73" s="1">
        <v>38485</v>
      </c>
      <c r="E73" s="1">
        <v>30845</v>
      </c>
      <c r="F73">
        <v>394</v>
      </c>
      <c r="G73">
        <v>93</v>
      </c>
      <c r="H73">
        <v>62</v>
      </c>
      <c r="I73">
        <v>596</v>
      </c>
      <c r="J73">
        <v>41</v>
      </c>
      <c r="K73">
        <v>32</v>
      </c>
      <c r="L73" s="1">
        <v>4408</v>
      </c>
      <c r="M73">
        <v>92</v>
      </c>
      <c r="N73" s="1">
        <v>1786</v>
      </c>
      <c r="O73">
        <v>0</v>
      </c>
      <c r="P73">
        <v>2</v>
      </c>
      <c r="Q73">
        <v>0</v>
      </c>
      <c r="R73">
        <v>4</v>
      </c>
      <c r="S73">
        <v>11</v>
      </c>
      <c r="T73">
        <v>73</v>
      </c>
      <c r="U73">
        <v>0</v>
      </c>
      <c r="V73">
        <v>3</v>
      </c>
      <c r="W73">
        <v>32</v>
      </c>
      <c r="X73">
        <v>0</v>
      </c>
      <c r="Y73">
        <v>3</v>
      </c>
      <c r="Z73">
        <v>5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1</v>
      </c>
      <c r="AG73">
        <v>0</v>
      </c>
      <c r="AH73" s="1">
        <v>0</v>
      </c>
    </row>
    <row r="74" spans="1:34" x14ac:dyDescent="0.3">
      <c r="A74" t="s">
        <v>35</v>
      </c>
      <c r="B74" t="s">
        <v>57</v>
      </c>
      <c r="C74" t="s">
        <v>37</v>
      </c>
      <c r="D74" s="1">
        <v>33565</v>
      </c>
      <c r="E74" s="1">
        <v>26130</v>
      </c>
      <c r="F74">
        <v>275</v>
      </c>
      <c r="G74">
        <v>68</v>
      </c>
      <c r="H74">
        <v>39</v>
      </c>
      <c r="I74">
        <v>589</v>
      </c>
      <c r="J74">
        <v>21</v>
      </c>
      <c r="K74">
        <v>25</v>
      </c>
      <c r="L74" s="1">
        <v>4407</v>
      </c>
      <c r="M74">
        <v>92</v>
      </c>
      <c r="N74" s="1">
        <v>1786</v>
      </c>
      <c r="O74">
        <v>0</v>
      </c>
      <c r="P74">
        <v>2</v>
      </c>
      <c r="Q74">
        <v>0</v>
      </c>
      <c r="R74">
        <v>4</v>
      </c>
      <c r="S74">
        <v>11</v>
      </c>
      <c r="T74">
        <v>73</v>
      </c>
      <c r="U74">
        <v>0</v>
      </c>
      <c r="V74">
        <v>0</v>
      </c>
      <c r="W74">
        <v>32</v>
      </c>
      <c r="X74">
        <v>0</v>
      </c>
      <c r="Y74">
        <v>3</v>
      </c>
      <c r="Z74">
        <v>5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1</v>
      </c>
      <c r="AG74">
        <v>0</v>
      </c>
      <c r="AH74" s="1">
        <v>0</v>
      </c>
    </row>
    <row r="75" spans="1:34" x14ac:dyDescent="0.3">
      <c r="A75" t="s">
        <v>35</v>
      </c>
      <c r="B75" t="s">
        <v>57</v>
      </c>
      <c r="C75" t="s">
        <v>38</v>
      </c>
      <c r="D75" s="1">
        <v>4920</v>
      </c>
      <c r="E75" s="1">
        <v>4715</v>
      </c>
      <c r="F75">
        <v>119</v>
      </c>
      <c r="G75">
        <v>25</v>
      </c>
      <c r="H75">
        <v>23</v>
      </c>
      <c r="I75">
        <v>7</v>
      </c>
      <c r="J75">
        <v>20</v>
      </c>
      <c r="K75">
        <v>7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s="1">
        <v>0</v>
      </c>
    </row>
    <row r="76" spans="1:34" x14ac:dyDescent="0.3">
      <c r="A76" t="s">
        <v>35</v>
      </c>
      <c r="B76" t="s">
        <v>58</v>
      </c>
      <c r="C76" t="s">
        <v>34</v>
      </c>
      <c r="D76" s="1">
        <v>28366</v>
      </c>
      <c r="E76" s="1">
        <v>20866</v>
      </c>
      <c r="F76" s="1">
        <v>1430</v>
      </c>
      <c r="G76">
        <v>41</v>
      </c>
      <c r="H76">
        <v>41</v>
      </c>
      <c r="I76" s="1">
        <v>3322</v>
      </c>
      <c r="J76">
        <v>24</v>
      </c>
      <c r="K76" s="1">
        <v>1091</v>
      </c>
      <c r="L76">
        <v>542</v>
      </c>
      <c r="M76">
        <v>124</v>
      </c>
      <c r="N76">
        <v>106</v>
      </c>
      <c r="O76">
        <v>22</v>
      </c>
      <c r="P76">
        <v>93</v>
      </c>
      <c r="Q76">
        <v>24</v>
      </c>
      <c r="R76">
        <v>9</v>
      </c>
      <c r="S76">
        <v>91</v>
      </c>
      <c r="T76">
        <v>288</v>
      </c>
      <c r="U76">
        <v>11</v>
      </c>
      <c r="V76">
        <v>1</v>
      </c>
      <c r="W76">
        <v>125</v>
      </c>
      <c r="X76">
        <v>14</v>
      </c>
      <c r="Y76">
        <v>30</v>
      </c>
      <c r="Z76">
        <v>4</v>
      </c>
      <c r="AA76">
        <v>0</v>
      </c>
      <c r="AB76">
        <v>48</v>
      </c>
      <c r="AC76">
        <v>16</v>
      </c>
      <c r="AD76">
        <v>0</v>
      </c>
      <c r="AE76">
        <v>1</v>
      </c>
      <c r="AF76">
        <v>2</v>
      </c>
      <c r="AG76">
        <v>0</v>
      </c>
      <c r="AH76" s="1">
        <v>0</v>
      </c>
    </row>
    <row r="77" spans="1:34" x14ac:dyDescent="0.3">
      <c r="A77" t="s">
        <v>35</v>
      </c>
      <c r="B77" t="s">
        <v>58</v>
      </c>
      <c r="C77" t="s">
        <v>37</v>
      </c>
      <c r="D77" s="1">
        <v>25369</v>
      </c>
      <c r="E77" s="1">
        <v>18176</v>
      </c>
      <c r="F77" s="1">
        <v>1340</v>
      </c>
      <c r="G77">
        <v>35</v>
      </c>
      <c r="H77">
        <v>20</v>
      </c>
      <c r="I77" s="1">
        <v>3313</v>
      </c>
      <c r="J77">
        <v>19</v>
      </c>
      <c r="K77">
        <v>919</v>
      </c>
      <c r="L77">
        <v>541</v>
      </c>
      <c r="M77">
        <v>124</v>
      </c>
      <c r="N77">
        <v>105</v>
      </c>
      <c r="O77">
        <v>22</v>
      </c>
      <c r="P77">
        <v>93</v>
      </c>
      <c r="Q77">
        <v>24</v>
      </c>
      <c r="R77">
        <v>9</v>
      </c>
      <c r="S77">
        <v>91</v>
      </c>
      <c r="T77">
        <v>287</v>
      </c>
      <c r="U77">
        <v>11</v>
      </c>
      <c r="V77">
        <v>0</v>
      </c>
      <c r="W77">
        <v>125</v>
      </c>
      <c r="X77">
        <v>14</v>
      </c>
      <c r="Y77">
        <v>30</v>
      </c>
      <c r="Z77">
        <v>4</v>
      </c>
      <c r="AA77">
        <v>0</v>
      </c>
      <c r="AB77">
        <v>48</v>
      </c>
      <c r="AC77">
        <v>16</v>
      </c>
      <c r="AD77">
        <v>0</v>
      </c>
      <c r="AE77">
        <v>1</v>
      </c>
      <c r="AF77">
        <v>2</v>
      </c>
      <c r="AG77">
        <v>0</v>
      </c>
      <c r="AH77" s="1">
        <v>0</v>
      </c>
    </row>
    <row r="78" spans="1:34" x14ac:dyDescent="0.3">
      <c r="A78" t="s">
        <v>35</v>
      </c>
      <c r="B78" t="s">
        <v>58</v>
      </c>
      <c r="C78" t="s">
        <v>38</v>
      </c>
      <c r="D78" s="1">
        <v>2997</v>
      </c>
      <c r="E78" s="1">
        <v>2690</v>
      </c>
      <c r="F78">
        <v>90</v>
      </c>
      <c r="G78">
        <v>6</v>
      </c>
      <c r="H78">
        <v>21</v>
      </c>
      <c r="I78">
        <v>9</v>
      </c>
      <c r="J78">
        <v>5</v>
      </c>
      <c r="K78">
        <v>172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s="1">
        <v>0</v>
      </c>
    </row>
    <row r="79" spans="1:34" x14ac:dyDescent="0.3">
      <c r="A79" t="s">
        <v>35</v>
      </c>
      <c r="B79" t="s">
        <v>59</v>
      </c>
      <c r="C79" t="s">
        <v>34</v>
      </c>
      <c r="D79" s="1">
        <v>25430</v>
      </c>
      <c r="E79" s="1">
        <v>19713</v>
      </c>
      <c r="F79" s="1">
        <v>5159</v>
      </c>
      <c r="G79">
        <v>49</v>
      </c>
      <c r="H79">
        <v>360</v>
      </c>
      <c r="I79">
        <v>4</v>
      </c>
      <c r="J79">
        <v>2</v>
      </c>
      <c r="K79">
        <v>47</v>
      </c>
      <c r="L79">
        <v>15</v>
      </c>
      <c r="M79">
        <v>1</v>
      </c>
      <c r="N79">
        <v>34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46</v>
      </c>
      <c r="AH79" s="1">
        <v>0</v>
      </c>
    </row>
    <row r="80" spans="1:34" x14ac:dyDescent="0.3">
      <c r="A80" t="s">
        <v>35</v>
      </c>
      <c r="B80" t="s">
        <v>59</v>
      </c>
      <c r="C80" t="s">
        <v>37</v>
      </c>
      <c r="D80" s="1">
        <v>14750</v>
      </c>
      <c r="E80" s="1">
        <v>11931</v>
      </c>
      <c r="F80" s="1">
        <v>2591</v>
      </c>
      <c r="G80">
        <v>19</v>
      </c>
      <c r="H80">
        <v>105</v>
      </c>
      <c r="I80" s="1">
        <v>0</v>
      </c>
      <c r="J80" s="1">
        <v>0</v>
      </c>
      <c r="K80">
        <v>19</v>
      </c>
      <c r="L80">
        <v>15</v>
      </c>
      <c r="M80">
        <v>1</v>
      </c>
      <c r="N80">
        <v>34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35</v>
      </c>
      <c r="AH80" s="1">
        <v>0</v>
      </c>
    </row>
    <row r="81" spans="1:34" x14ac:dyDescent="0.3">
      <c r="A81" t="s">
        <v>35</v>
      </c>
      <c r="B81" t="s">
        <v>59</v>
      </c>
      <c r="C81" t="s">
        <v>38</v>
      </c>
      <c r="D81" s="1">
        <v>10680</v>
      </c>
      <c r="E81" s="1">
        <v>7782</v>
      </c>
      <c r="F81" s="1">
        <v>2568</v>
      </c>
      <c r="G81">
        <v>30</v>
      </c>
      <c r="H81">
        <v>255</v>
      </c>
      <c r="I81">
        <v>4</v>
      </c>
      <c r="J81">
        <v>2</v>
      </c>
      <c r="K81">
        <v>28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11</v>
      </c>
      <c r="AH81" s="1">
        <v>0</v>
      </c>
    </row>
    <row r="82" spans="1:34" x14ac:dyDescent="0.3">
      <c r="A82" t="s">
        <v>35</v>
      </c>
      <c r="B82" t="s">
        <v>60</v>
      </c>
      <c r="C82" t="s">
        <v>34</v>
      </c>
      <c r="D82" s="1">
        <v>25137</v>
      </c>
      <c r="E82" s="1">
        <v>20780</v>
      </c>
      <c r="F82" s="1">
        <v>1618</v>
      </c>
      <c r="G82">
        <v>642</v>
      </c>
      <c r="H82">
        <v>369</v>
      </c>
      <c r="I82">
        <v>716</v>
      </c>
      <c r="J82">
        <v>53</v>
      </c>
      <c r="K82">
        <v>68</v>
      </c>
      <c r="L82">
        <v>227</v>
      </c>
      <c r="M82">
        <v>235</v>
      </c>
      <c r="N82">
        <v>327</v>
      </c>
      <c r="O82">
        <v>0</v>
      </c>
      <c r="P82">
        <v>2</v>
      </c>
      <c r="Q82">
        <v>0</v>
      </c>
      <c r="R82">
        <v>1</v>
      </c>
      <c r="S82">
        <v>49</v>
      </c>
      <c r="T82">
        <v>4</v>
      </c>
      <c r="U82">
        <v>0</v>
      </c>
      <c r="V82">
        <v>0</v>
      </c>
      <c r="W82">
        <v>0</v>
      </c>
      <c r="X82">
        <v>0</v>
      </c>
      <c r="Y82">
        <v>0</v>
      </c>
      <c r="Z82">
        <v>44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</v>
      </c>
      <c r="AH82" s="1">
        <v>0</v>
      </c>
    </row>
    <row r="83" spans="1:34" x14ac:dyDescent="0.3">
      <c r="A83" t="s">
        <v>35</v>
      </c>
      <c r="B83" t="s">
        <v>60</v>
      </c>
      <c r="C83" t="s">
        <v>37</v>
      </c>
      <c r="D83" s="1">
        <v>13109</v>
      </c>
      <c r="E83" s="1">
        <v>10751</v>
      </c>
      <c r="F83">
        <v>925</v>
      </c>
      <c r="G83">
        <v>392</v>
      </c>
      <c r="H83">
        <v>187</v>
      </c>
      <c r="I83">
        <v>344</v>
      </c>
      <c r="J83">
        <v>34</v>
      </c>
      <c r="K83">
        <v>40</v>
      </c>
      <c r="L83">
        <v>113</v>
      </c>
      <c r="M83">
        <v>114</v>
      </c>
      <c r="N83">
        <v>157</v>
      </c>
      <c r="O83">
        <v>0</v>
      </c>
      <c r="P83">
        <v>1</v>
      </c>
      <c r="Q83">
        <v>0</v>
      </c>
      <c r="R83">
        <v>1</v>
      </c>
      <c r="S83">
        <v>25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19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 s="1">
        <v>0</v>
      </c>
    </row>
    <row r="84" spans="1:34" x14ac:dyDescent="0.3">
      <c r="A84" t="s">
        <v>35</v>
      </c>
      <c r="B84" t="s">
        <v>60</v>
      </c>
      <c r="C84" t="s">
        <v>38</v>
      </c>
      <c r="D84" s="1">
        <v>12028</v>
      </c>
      <c r="E84" s="1">
        <v>10029</v>
      </c>
      <c r="F84">
        <v>693</v>
      </c>
      <c r="G84">
        <v>250</v>
      </c>
      <c r="H84">
        <v>182</v>
      </c>
      <c r="I84">
        <v>372</v>
      </c>
      <c r="J84">
        <v>19</v>
      </c>
      <c r="K84">
        <v>28</v>
      </c>
      <c r="L84">
        <v>114</v>
      </c>
      <c r="M84">
        <v>121</v>
      </c>
      <c r="N84">
        <v>170</v>
      </c>
      <c r="O84">
        <v>0</v>
      </c>
      <c r="P84">
        <v>1</v>
      </c>
      <c r="Q84">
        <v>0</v>
      </c>
      <c r="R84">
        <v>0</v>
      </c>
      <c r="S84">
        <v>24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s="1">
        <v>0</v>
      </c>
    </row>
    <row r="85" spans="1:34" x14ac:dyDescent="0.3">
      <c r="A85" t="s">
        <v>35</v>
      </c>
      <c r="B85" t="s">
        <v>61</v>
      </c>
      <c r="C85" t="s">
        <v>34</v>
      </c>
      <c r="D85" s="1">
        <v>24437</v>
      </c>
      <c r="E85" s="1">
        <v>18156</v>
      </c>
      <c r="F85" s="1">
        <v>1519</v>
      </c>
      <c r="G85" s="1">
        <v>2689</v>
      </c>
      <c r="H85">
        <v>52</v>
      </c>
      <c r="I85">
        <v>615</v>
      </c>
      <c r="J85">
        <v>19</v>
      </c>
      <c r="K85">
        <v>34</v>
      </c>
      <c r="L85">
        <v>4</v>
      </c>
      <c r="M85">
        <v>70</v>
      </c>
      <c r="N85">
        <v>2</v>
      </c>
      <c r="O85">
        <v>36</v>
      </c>
      <c r="P85">
        <v>662</v>
      </c>
      <c r="Q85">
        <v>22</v>
      </c>
      <c r="R85">
        <v>102</v>
      </c>
      <c r="S85">
        <v>176</v>
      </c>
      <c r="T85">
        <v>58</v>
      </c>
      <c r="U85">
        <v>63</v>
      </c>
      <c r="V85">
        <v>0</v>
      </c>
      <c r="W85">
        <v>42</v>
      </c>
      <c r="X85">
        <v>32</v>
      </c>
      <c r="Y85">
        <v>45</v>
      </c>
      <c r="Z85">
        <v>2</v>
      </c>
      <c r="AA85">
        <v>1</v>
      </c>
      <c r="AB85">
        <v>8</v>
      </c>
      <c r="AC85">
        <v>21</v>
      </c>
      <c r="AD85">
        <v>1</v>
      </c>
      <c r="AE85">
        <v>0</v>
      </c>
      <c r="AF85">
        <v>6</v>
      </c>
      <c r="AG85">
        <v>0</v>
      </c>
      <c r="AH85" s="1">
        <v>0</v>
      </c>
    </row>
    <row r="86" spans="1:34" x14ac:dyDescent="0.3">
      <c r="A86" t="s">
        <v>35</v>
      </c>
      <c r="B86" t="s">
        <v>61</v>
      </c>
      <c r="C86" t="s">
        <v>37</v>
      </c>
      <c r="D86" s="1">
        <v>21483</v>
      </c>
      <c r="E86" s="1">
        <v>15752</v>
      </c>
      <c r="F86" s="1">
        <v>1326</v>
      </c>
      <c r="G86" s="1">
        <v>2354</v>
      </c>
      <c r="H86">
        <v>45</v>
      </c>
      <c r="I86">
        <v>613</v>
      </c>
      <c r="J86">
        <v>18</v>
      </c>
      <c r="K86">
        <v>29</v>
      </c>
      <c r="L86">
        <v>4</v>
      </c>
      <c r="M86">
        <v>70</v>
      </c>
      <c r="N86">
        <v>2</v>
      </c>
      <c r="O86">
        <v>35</v>
      </c>
      <c r="P86">
        <v>659</v>
      </c>
      <c r="Q86">
        <v>22</v>
      </c>
      <c r="R86">
        <v>102</v>
      </c>
      <c r="S86">
        <v>176</v>
      </c>
      <c r="T86">
        <v>58</v>
      </c>
      <c r="U86">
        <v>63</v>
      </c>
      <c r="V86">
        <v>0</v>
      </c>
      <c r="W86">
        <v>42</v>
      </c>
      <c r="X86">
        <v>32</v>
      </c>
      <c r="Y86">
        <v>43</v>
      </c>
      <c r="Z86">
        <v>2</v>
      </c>
      <c r="AA86">
        <v>1</v>
      </c>
      <c r="AB86">
        <v>8</v>
      </c>
      <c r="AC86">
        <v>20</v>
      </c>
      <c r="AD86">
        <v>1</v>
      </c>
      <c r="AE86">
        <v>0</v>
      </c>
      <c r="AF86">
        <v>6</v>
      </c>
      <c r="AG86">
        <v>0</v>
      </c>
      <c r="AH86" s="1">
        <v>0</v>
      </c>
    </row>
    <row r="87" spans="1:34" x14ac:dyDescent="0.3">
      <c r="A87" t="s">
        <v>35</v>
      </c>
      <c r="B87" t="s">
        <v>61</v>
      </c>
      <c r="C87" t="s">
        <v>38</v>
      </c>
      <c r="D87" s="1">
        <v>2954</v>
      </c>
      <c r="E87" s="1">
        <v>2404</v>
      </c>
      <c r="F87">
        <v>193</v>
      </c>
      <c r="G87">
        <v>335</v>
      </c>
      <c r="H87">
        <v>7</v>
      </c>
      <c r="I87">
        <v>2</v>
      </c>
      <c r="J87">
        <v>1</v>
      </c>
      <c r="K87">
        <v>5</v>
      </c>
      <c r="L87">
        <v>0</v>
      </c>
      <c r="M87">
        <v>0</v>
      </c>
      <c r="N87">
        <v>0</v>
      </c>
      <c r="O87">
        <v>1</v>
      </c>
      <c r="P87">
        <v>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 s="1">
        <v>0</v>
      </c>
    </row>
    <row r="88" spans="1:34" x14ac:dyDescent="0.3">
      <c r="A88" t="s">
        <v>35</v>
      </c>
      <c r="B88" t="s">
        <v>62</v>
      </c>
      <c r="C88" t="s">
        <v>34</v>
      </c>
      <c r="D88" s="1">
        <v>21410</v>
      </c>
      <c r="E88" s="1">
        <v>19966</v>
      </c>
      <c r="F88">
        <v>279</v>
      </c>
      <c r="G88">
        <v>888</v>
      </c>
      <c r="H88">
        <v>164</v>
      </c>
      <c r="I88">
        <v>9</v>
      </c>
      <c r="J88">
        <v>5</v>
      </c>
      <c r="K88">
        <v>3</v>
      </c>
      <c r="L88">
        <v>14</v>
      </c>
      <c r="M88">
        <v>1</v>
      </c>
      <c r="N88">
        <v>11</v>
      </c>
      <c r="O88">
        <v>0</v>
      </c>
      <c r="P88">
        <v>18</v>
      </c>
      <c r="Q88">
        <v>0</v>
      </c>
      <c r="R88">
        <v>5</v>
      </c>
      <c r="S88">
        <v>6</v>
      </c>
      <c r="T88">
        <v>0</v>
      </c>
      <c r="U88">
        <v>0</v>
      </c>
      <c r="V88">
        <v>0</v>
      </c>
      <c r="W88">
        <v>0</v>
      </c>
      <c r="X88">
        <v>0</v>
      </c>
      <c r="Y88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36</v>
      </c>
      <c r="AH88" s="1">
        <v>0</v>
      </c>
    </row>
    <row r="89" spans="1:34" x14ac:dyDescent="0.3">
      <c r="A89" t="s">
        <v>35</v>
      </c>
      <c r="B89" t="s">
        <v>62</v>
      </c>
      <c r="C89" t="s">
        <v>37</v>
      </c>
      <c r="D89" s="1">
        <v>11378</v>
      </c>
      <c r="E89" s="1">
        <v>10480</v>
      </c>
      <c r="F89">
        <v>201</v>
      </c>
      <c r="G89">
        <v>531</v>
      </c>
      <c r="H89">
        <v>76</v>
      </c>
      <c r="I89">
        <v>6</v>
      </c>
      <c r="J89">
        <v>4</v>
      </c>
      <c r="K89">
        <v>3</v>
      </c>
      <c r="L89">
        <v>9</v>
      </c>
      <c r="M89">
        <v>1</v>
      </c>
      <c r="N89">
        <v>4</v>
      </c>
      <c r="O89">
        <v>0</v>
      </c>
      <c r="P89">
        <v>18</v>
      </c>
      <c r="Q89">
        <v>0</v>
      </c>
      <c r="R89">
        <v>5</v>
      </c>
      <c r="S89">
        <v>6</v>
      </c>
      <c r="T89">
        <v>0</v>
      </c>
      <c r="U89">
        <v>0</v>
      </c>
      <c r="V89">
        <v>0</v>
      </c>
      <c r="W89">
        <v>0</v>
      </c>
      <c r="X89">
        <v>0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29</v>
      </c>
      <c r="AH89" s="1">
        <v>0</v>
      </c>
    </row>
    <row r="90" spans="1:34" x14ac:dyDescent="0.3">
      <c r="A90" t="s">
        <v>35</v>
      </c>
      <c r="B90" t="s">
        <v>62</v>
      </c>
      <c r="C90" t="s">
        <v>38</v>
      </c>
      <c r="D90" s="1">
        <v>10032</v>
      </c>
      <c r="E90" s="1">
        <v>9486</v>
      </c>
      <c r="F90">
        <v>78</v>
      </c>
      <c r="G90">
        <v>357</v>
      </c>
      <c r="H90">
        <v>88</v>
      </c>
      <c r="I90">
        <v>3</v>
      </c>
      <c r="J90">
        <v>1</v>
      </c>
      <c r="K90">
        <v>0</v>
      </c>
      <c r="L90">
        <v>5</v>
      </c>
      <c r="M90">
        <v>0</v>
      </c>
      <c r="N90">
        <v>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7</v>
      </c>
      <c r="AH90" s="1">
        <v>0</v>
      </c>
    </row>
    <row r="91" spans="1:34" x14ac:dyDescent="0.3">
      <c r="A91" t="s">
        <v>35</v>
      </c>
      <c r="B91" t="s">
        <v>63</v>
      </c>
      <c r="C91" t="s">
        <v>34</v>
      </c>
      <c r="D91" s="1">
        <v>17987</v>
      </c>
      <c r="E91" s="1">
        <v>17711</v>
      </c>
      <c r="F91">
        <v>137</v>
      </c>
      <c r="G91">
        <v>6</v>
      </c>
      <c r="H91">
        <v>1</v>
      </c>
      <c r="I91">
        <v>0</v>
      </c>
      <c r="J91">
        <v>105</v>
      </c>
      <c r="K91">
        <v>13</v>
      </c>
      <c r="L91">
        <v>0</v>
      </c>
      <c r="M91">
        <v>14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s="1">
        <v>0</v>
      </c>
    </row>
    <row r="92" spans="1:34" x14ac:dyDescent="0.3">
      <c r="A92" t="s">
        <v>35</v>
      </c>
      <c r="B92" t="s">
        <v>63</v>
      </c>
      <c r="C92" t="s">
        <v>37</v>
      </c>
      <c r="D92" s="1">
        <v>9907</v>
      </c>
      <c r="E92" s="1">
        <v>9744</v>
      </c>
      <c r="F92">
        <v>87</v>
      </c>
      <c r="G92">
        <v>2</v>
      </c>
      <c r="H92">
        <v>0</v>
      </c>
      <c r="I92">
        <v>0</v>
      </c>
      <c r="J92">
        <v>54</v>
      </c>
      <c r="K92">
        <v>7</v>
      </c>
      <c r="L92">
        <v>0</v>
      </c>
      <c r="M92">
        <v>13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s="1">
        <v>0</v>
      </c>
    </row>
    <row r="93" spans="1:34" x14ac:dyDescent="0.3">
      <c r="A93" t="s">
        <v>35</v>
      </c>
      <c r="B93" t="s">
        <v>63</v>
      </c>
      <c r="C93" t="s">
        <v>38</v>
      </c>
      <c r="D93" s="1">
        <v>8080</v>
      </c>
      <c r="E93" s="1">
        <v>7967</v>
      </c>
      <c r="F93">
        <v>50</v>
      </c>
      <c r="G93">
        <v>4</v>
      </c>
      <c r="H93">
        <v>1</v>
      </c>
      <c r="I93">
        <v>0</v>
      </c>
      <c r="J93">
        <v>51</v>
      </c>
      <c r="K93">
        <v>6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s="1">
        <v>0</v>
      </c>
    </row>
    <row r="94" spans="1:34" x14ac:dyDescent="0.3">
      <c r="A94" t="s">
        <v>35</v>
      </c>
      <c r="B94" t="s">
        <v>64</v>
      </c>
      <c r="C94" t="s">
        <v>34</v>
      </c>
      <c r="D94" s="1">
        <v>16497</v>
      </c>
      <c r="E94" s="1">
        <v>14967</v>
      </c>
      <c r="F94">
        <v>478</v>
      </c>
      <c r="G94">
        <v>116</v>
      </c>
      <c r="H94">
        <v>28</v>
      </c>
      <c r="I94">
        <v>314</v>
      </c>
      <c r="J94">
        <v>43</v>
      </c>
      <c r="K94">
        <v>106</v>
      </c>
      <c r="L94">
        <v>0</v>
      </c>
      <c r="M94">
        <v>24</v>
      </c>
      <c r="N94">
        <v>2</v>
      </c>
      <c r="O94">
        <v>10</v>
      </c>
      <c r="P94">
        <v>63</v>
      </c>
      <c r="Q94">
        <v>62</v>
      </c>
      <c r="R94">
        <v>0</v>
      </c>
      <c r="S94">
        <v>186</v>
      </c>
      <c r="T94">
        <v>27</v>
      </c>
      <c r="U94">
        <v>5</v>
      </c>
      <c r="V94">
        <v>1</v>
      </c>
      <c r="W94">
        <v>16</v>
      </c>
      <c r="X94">
        <v>1</v>
      </c>
      <c r="Y94">
        <v>20</v>
      </c>
      <c r="Z94">
        <v>0</v>
      </c>
      <c r="AA94">
        <v>1</v>
      </c>
      <c r="AB94">
        <v>16</v>
      </c>
      <c r="AC94">
        <v>2</v>
      </c>
      <c r="AD94">
        <v>0</v>
      </c>
      <c r="AE94">
        <v>9</v>
      </c>
      <c r="AF94">
        <v>0</v>
      </c>
      <c r="AG94">
        <v>0</v>
      </c>
      <c r="AH94" s="1">
        <v>0</v>
      </c>
    </row>
    <row r="95" spans="1:34" x14ac:dyDescent="0.3">
      <c r="A95" t="s">
        <v>35</v>
      </c>
      <c r="B95" t="s">
        <v>64</v>
      </c>
      <c r="C95" t="s">
        <v>37</v>
      </c>
      <c r="D95" s="1">
        <v>13912</v>
      </c>
      <c r="E95" s="1">
        <v>12485</v>
      </c>
      <c r="F95">
        <v>426</v>
      </c>
      <c r="G95">
        <v>92</v>
      </c>
      <c r="H95">
        <v>20</v>
      </c>
      <c r="I95">
        <v>314</v>
      </c>
      <c r="J95">
        <v>33</v>
      </c>
      <c r="K95">
        <v>99</v>
      </c>
      <c r="L95">
        <v>0</v>
      </c>
      <c r="M95">
        <v>24</v>
      </c>
      <c r="N95">
        <v>1</v>
      </c>
      <c r="O95">
        <v>10</v>
      </c>
      <c r="P95">
        <v>63</v>
      </c>
      <c r="Q95">
        <v>62</v>
      </c>
      <c r="R95">
        <v>0</v>
      </c>
      <c r="S95">
        <v>186</v>
      </c>
      <c r="T95">
        <v>27</v>
      </c>
      <c r="U95">
        <v>5</v>
      </c>
      <c r="V95">
        <v>0</v>
      </c>
      <c r="W95">
        <v>16</v>
      </c>
      <c r="X95">
        <v>1</v>
      </c>
      <c r="Y95">
        <v>20</v>
      </c>
      <c r="Z95">
        <v>0</v>
      </c>
      <c r="AA95">
        <v>1</v>
      </c>
      <c r="AB95">
        <v>16</v>
      </c>
      <c r="AC95">
        <v>2</v>
      </c>
      <c r="AD95">
        <v>0</v>
      </c>
      <c r="AE95">
        <v>9</v>
      </c>
      <c r="AF95">
        <v>0</v>
      </c>
      <c r="AG95">
        <v>0</v>
      </c>
      <c r="AH95" s="1">
        <v>0</v>
      </c>
    </row>
    <row r="96" spans="1:34" x14ac:dyDescent="0.3">
      <c r="A96" t="s">
        <v>35</v>
      </c>
      <c r="B96" t="s">
        <v>64</v>
      </c>
      <c r="C96" t="s">
        <v>38</v>
      </c>
      <c r="D96" s="1">
        <v>2585</v>
      </c>
      <c r="E96" s="1">
        <v>2482</v>
      </c>
      <c r="F96">
        <v>52</v>
      </c>
      <c r="G96">
        <v>24</v>
      </c>
      <c r="H96">
        <v>8</v>
      </c>
      <c r="I96">
        <v>0</v>
      </c>
      <c r="J96">
        <v>10</v>
      </c>
      <c r="K96">
        <v>7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s="1">
        <v>0</v>
      </c>
    </row>
    <row r="97" spans="1:34" x14ac:dyDescent="0.3">
      <c r="A97" t="s">
        <v>35</v>
      </c>
      <c r="B97" t="s">
        <v>65</v>
      </c>
      <c r="C97" t="s">
        <v>34</v>
      </c>
      <c r="D97" s="1">
        <v>13381</v>
      </c>
      <c r="E97" s="1">
        <v>12287</v>
      </c>
      <c r="F97">
        <v>224</v>
      </c>
      <c r="G97">
        <v>264</v>
      </c>
      <c r="H97">
        <v>5</v>
      </c>
      <c r="I97">
        <v>292</v>
      </c>
      <c r="J97">
        <v>45</v>
      </c>
      <c r="K97">
        <v>8</v>
      </c>
      <c r="L97">
        <v>154</v>
      </c>
      <c r="M97">
        <v>34</v>
      </c>
      <c r="N97">
        <v>39</v>
      </c>
      <c r="O97">
        <v>0</v>
      </c>
      <c r="P97">
        <v>5</v>
      </c>
      <c r="Q97">
        <v>0</v>
      </c>
      <c r="R97">
        <v>0</v>
      </c>
      <c r="S97">
        <v>0</v>
      </c>
      <c r="T97">
        <v>0</v>
      </c>
      <c r="U97">
        <v>24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s="1">
        <v>0</v>
      </c>
    </row>
    <row r="98" spans="1:34" x14ac:dyDescent="0.3">
      <c r="A98" t="s">
        <v>35</v>
      </c>
      <c r="B98" t="s">
        <v>65</v>
      </c>
      <c r="C98" t="s">
        <v>37</v>
      </c>
      <c r="D98" s="1">
        <v>7618</v>
      </c>
      <c r="E98" s="1">
        <v>6972</v>
      </c>
      <c r="F98">
        <v>138</v>
      </c>
      <c r="G98">
        <v>132</v>
      </c>
      <c r="H98">
        <v>2</v>
      </c>
      <c r="I98">
        <v>190</v>
      </c>
      <c r="J98">
        <v>10</v>
      </c>
      <c r="K98">
        <v>4</v>
      </c>
      <c r="L98">
        <v>96</v>
      </c>
      <c r="M98">
        <v>33</v>
      </c>
      <c r="N98">
        <v>20</v>
      </c>
      <c r="O98">
        <v>0</v>
      </c>
      <c r="P98">
        <v>4</v>
      </c>
      <c r="Q98">
        <v>0</v>
      </c>
      <c r="R98">
        <v>0</v>
      </c>
      <c r="S98">
        <v>0</v>
      </c>
      <c r="T98">
        <v>0</v>
      </c>
      <c r="U98">
        <v>17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s="1">
        <v>0</v>
      </c>
    </row>
    <row r="99" spans="1:34" x14ac:dyDescent="0.3">
      <c r="A99" t="s">
        <v>35</v>
      </c>
      <c r="B99" t="s">
        <v>65</v>
      </c>
      <c r="C99" t="s">
        <v>38</v>
      </c>
      <c r="D99" s="1">
        <v>5763</v>
      </c>
      <c r="E99" s="1">
        <v>5315</v>
      </c>
      <c r="F99">
        <v>86</v>
      </c>
      <c r="G99">
        <v>132</v>
      </c>
      <c r="H99">
        <v>3</v>
      </c>
      <c r="I99">
        <v>102</v>
      </c>
      <c r="J99">
        <v>35</v>
      </c>
      <c r="K99">
        <v>4</v>
      </c>
      <c r="L99">
        <v>58</v>
      </c>
      <c r="M99">
        <v>1</v>
      </c>
      <c r="N99">
        <v>19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s="1">
        <v>0</v>
      </c>
    </row>
    <row r="100" spans="1:34" x14ac:dyDescent="0.3">
      <c r="A100" t="s">
        <v>35</v>
      </c>
      <c r="B100" t="s">
        <v>66</v>
      </c>
      <c r="C100" t="s">
        <v>34</v>
      </c>
      <c r="D100" s="1">
        <v>9402</v>
      </c>
      <c r="E100" s="1">
        <v>8821</v>
      </c>
      <c r="F100">
        <v>219</v>
      </c>
      <c r="G100">
        <v>279</v>
      </c>
      <c r="H100">
        <v>15</v>
      </c>
      <c r="I100">
        <v>16</v>
      </c>
      <c r="J100">
        <v>2</v>
      </c>
      <c r="K100">
        <v>1</v>
      </c>
      <c r="L100">
        <v>9</v>
      </c>
      <c r="M100">
        <v>3</v>
      </c>
      <c r="N100">
        <v>8</v>
      </c>
      <c r="O100">
        <v>0</v>
      </c>
      <c r="P100">
        <v>6</v>
      </c>
      <c r="Q100">
        <v>0</v>
      </c>
      <c r="R100">
        <v>3</v>
      </c>
      <c r="S100">
        <v>17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s="1">
        <v>0</v>
      </c>
    </row>
    <row r="101" spans="1:34" x14ac:dyDescent="0.3">
      <c r="A101" t="s">
        <v>35</v>
      </c>
      <c r="B101" t="s">
        <v>66</v>
      </c>
      <c r="C101" t="s">
        <v>37</v>
      </c>
      <c r="D101" s="1">
        <v>4869</v>
      </c>
      <c r="E101" s="1">
        <v>4456</v>
      </c>
      <c r="F101">
        <v>184</v>
      </c>
      <c r="G101">
        <v>173</v>
      </c>
      <c r="H101">
        <v>10</v>
      </c>
      <c r="I101">
        <v>8</v>
      </c>
      <c r="J101">
        <v>1</v>
      </c>
      <c r="K101">
        <v>1</v>
      </c>
      <c r="L101">
        <v>5</v>
      </c>
      <c r="M101">
        <v>2</v>
      </c>
      <c r="N101">
        <v>2</v>
      </c>
      <c r="O101">
        <v>0</v>
      </c>
      <c r="P101">
        <v>6</v>
      </c>
      <c r="Q101">
        <v>0</v>
      </c>
      <c r="R101">
        <v>3</v>
      </c>
      <c r="S101">
        <v>15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s="1">
        <v>0</v>
      </c>
    </row>
    <row r="102" spans="1:34" x14ac:dyDescent="0.3">
      <c r="A102" t="s">
        <v>35</v>
      </c>
      <c r="B102" t="s">
        <v>66</v>
      </c>
      <c r="C102" t="s">
        <v>38</v>
      </c>
      <c r="D102" s="1">
        <v>4533</v>
      </c>
      <c r="E102" s="1">
        <v>4365</v>
      </c>
      <c r="F102">
        <v>35</v>
      </c>
      <c r="G102">
        <v>106</v>
      </c>
      <c r="H102">
        <v>5</v>
      </c>
      <c r="I102">
        <v>8</v>
      </c>
      <c r="J102">
        <v>1</v>
      </c>
      <c r="K102">
        <v>0</v>
      </c>
      <c r="L102">
        <v>4</v>
      </c>
      <c r="M102">
        <v>1</v>
      </c>
      <c r="N102">
        <v>6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s="1">
        <v>0</v>
      </c>
    </row>
    <row r="103" spans="1:34" x14ac:dyDescent="0.3">
      <c r="A103" t="s">
        <v>35</v>
      </c>
      <c r="B103" t="s">
        <v>67</v>
      </c>
      <c r="C103" t="s">
        <v>34</v>
      </c>
      <c r="D103" s="1">
        <v>8174</v>
      </c>
      <c r="E103" s="1">
        <v>7816</v>
      </c>
      <c r="F103">
        <v>236</v>
      </c>
      <c r="G103">
        <v>31</v>
      </c>
      <c r="H103">
        <v>34</v>
      </c>
      <c r="I103">
        <v>6</v>
      </c>
      <c r="J103">
        <v>6</v>
      </c>
      <c r="K103">
        <v>17</v>
      </c>
      <c r="L103">
        <v>8</v>
      </c>
      <c r="M103">
        <v>4</v>
      </c>
      <c r="N103">
        <v>2</v>
      </c>
      <c r="O103">
        <v>13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s="1">
        <v>0</v>
      </c>
    </row>
    <row r="104" spans="1:34" x14ac:dyDescent="0.3">
      <c r="A104" t="s">
        <v>35</v>
      </c>
      <c r="B104" t="s">
        <v>67</v>
      </c>
      <c r="C104" t="s">
        <v>37</v>
      </c>
      <c r="D104" s="1">
        <v>4100</v>
      </c>
      <c r="E104" s="1">
        <v>3860</v>
      </c>
      <c r="F104">
        <v>167</v>
      </c>
      <c r="G104">
        <v>19</v>
      </c>
      <c r="H104">
        <v>10</v>
      </c>
      <c r="I104">
        <v>3</v>
      </c>
      <c r="J104">
        <v>1</v>
      </c>
      <c r="K104">
        <v>17</v>
      </c>
      <c r="L104">
        <v>5</v>
      </c>
      <c r="M104">
        <v>4</v>
      </c>
      <c r="N104">
        <v>0</v>
      </c>
      <c r="O104">
        <v>13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s="1">
        <v>0</v>
      </c>
    </row>
    <row r="105" spans="1:34" x14ac:dyDescent="0.3">
      <c r="A105" t="s">
        <v>35</v>
      </c>
      <c r="B105" t="s">
        <v>67</v>
      </c>
      <c r="C105" t="s">
        <v>38</v>
      </c>
      <c r="D105" s="1">
        <v>4074</v>
      </c>
      <c r="E105" s="1">
        <v>3956</v>
      </c>
      <c r="F105">
        <v>69</v>
      </c>
      <c r="G105">
        <v>12</v>
      </c>
      <c r="H105">
        <v>24</v>
      </c>
      <c r="I105">
        <v>3</v>
      </c>
      <c r="J105">
        <v>5</v>
      </c>
      <c r="K105">
        <v>0</v>
      </c>
      <c r="L105">
        <v>3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s="1">
        <v>0</v>
      </c>
    </row>
    <row r="106" spans="1:34" x14ac:dyDescent="0.3">
      <c r="A106" t="s">
        <v>35</v>
      </c>
      <c r="B106" t="s">
        <v>68</v>
      </c>
      <c r="C106" t="s">
        <v>34</v>
      </c>
      <c r="D106" s="1">
        <v>7102</v>
      </c>
      <c r="E106" s="1">
        <v>6911</v>
      </c>
      <c r="F106">
        <v>65</v>
      </c>
      <c r="G106">
        <v>103</v>
      </c>
      <c r="H106">
        <v>1</v>
      </c>
      <c r="I106">
        <v>7</v>
      </c>
      <c r="J106">
        <v>0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s="1">
        <v>0</v>
      </c>
    </row>
    <row r="107" spans="1:34" x14ac:dyDescent="0.3">
      <c r="A107" t="s">
        <v>35</v>
      </c>
      <c r="B107" t="s">
        <v>68</v>
      </c>
      <c r="C107" t="s">
        <v>37</v>
      </c>
      <c r="D107" s="1">
        <v>6353</v>
      </c>
      <c r="E107" s="1">
        <v>6221</v>
      </c>
      <c r="F107">
        <v>44</v>
      </c>
      <c r="G107">
        <v>67</v>
      </c>
      <c r="H107">
        <v>1</v>
      </c>
      <c r="I107">
        <v>6</v>
      </c>
      <c r="J107">
        <v>0</v>
      </c>
      <c r="K107">
        <v>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s="1">
        <v>0</v>
      </c>
    </row>
    <row r="108" spans="1:34" x14ac:dyDescent="0.3">
      <c r="A108" t="s">
        <v>35</v>
      </c>
      <c r="B108" t="s">
        <v>68</v>
      </c>
      <c r="C108" t="s">
        <v>38</v>
      </c>
      <c r="D108">
        <v>749</v>
      </c>
      <c r="E108">
        <v>690</v>
      </c>
      <c r="F108">
        <v>21</v>
      </c>
      <c r="G108">
        <v>36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s="1">
        <v>0</v>
      </c>
    </row>
    <row r="109" spans="1:34" x14ac:dyDescent="0.3">
      <c r="A109" t="s">
        <v>35</v>
      </c>
      <c r="B109" t="s">
        <v>69</v>
      </c>
      <c r="C109" t="s">
        <v>34</v>
      </c>
      <c r="D109" s="1">
        <v>4411</v>
      </c>
      <c r="E109" s="1">
        <v>4178</v>
      </c>
      <c r="F109">
        <v>41</v>
      </c>
      <c r="G109">
        <v>144</v>
      </c>
      <c r="H109">
        <v>4</v>
      </c>
      <c r="I109">
        <v>6</v>
      </c>
      <c r="J109">
        <v>0</v>
      </c>
      <c r="K109">
        <v>0</v>
      </c>
      <c r="L109">
        <v>8</v>
      </c>
      <c r="M109">
        <v>0</v>
      </c>
      <c r="N109">
        <v>25</v>
      </c>
      <c r="O109">
        <v>0</v>
      </c>
      <c r="P109">
        <v>3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s="1">
        <v>0</v>
      </c>
    </row>
    <row r="110" spans="1:34" x14ac:dyDescent="0.3">
      <c r="A110" t="s">
        <v>35</v>
      </c>
      <c r="B110" t="s">
        <v>69</v>
      </c>
      <c r="C110" t="s">
        <v>37</v>
      </c>
      <c r="D110" s="1">
        <v>2024</v>
      </c>
      <c r="E110" s="1">
        <v>1903</v>
      </c>
      <c r="F110">
        <v>28</v>
      </c>
      <c r="G110">
        <v>72</v>
      </c>
      <c r="H110">
        <v>4</v>
      </c>
      <c r="I110">
        <v>3</v>
      </c>
      <c r="J110">
        <v>0</v>
      </c>
      <c r="K110">
        <v>0</v>
      </c>
      <c r="L110">
        <v>3</v>
      </c>
      <c r="M110">
        <v>0</v>
      </c>
      <c r="N110">
        <v>6</v>
      </c>
      <c r="O110">
        <v>0</v>
      </c>
      <c r="P110">
        <v>3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s="1">
        <v>0</v>
      </c>
    </row>
    <row r="111" spans="1:34" x14ac:dyDescent="0.3">
      <c r="A111" t="s">
        <v>35</v>
      </c>
      <c r="B111" t="s">
        <v>69</v>
      </c>
      <c r="C111" t="s">
        <v>38</v>
      </c>
      <c r="D111" s="1">
        <v>2387</v>
      </c>
      <c r="E111" s="1">
        <v>2275</v>
      </c>
      <c r="F111">
        <v>13</v>
      </c>
      <c r="G111">
        <v>72</v>
      </c>
      <c r="H111">
        <v>0</v>
      </c>
      <c r="I111">
        <v>3</v>
      </c>
      <c r="J111">
        <v>0</v>
      </c>
      <c r="K111">
        <v>0</v>
      </c>
      <c r="L111">
        <v>5</v>
      </c>
      <c r="M111">
        <v>0</v>
      </c>
      <c r="N111">
        <v>19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s="1">
        <v>0</v>
      </c>
    </row>
    <row r="112" spans="1:34" x14ac:dyDescent="0.3">
      <c r="A112" t="s">
        <v>35</v>
      </c>
      <c r="B112" t="s">
        <v>70</v>
      </c>
      <c r="C112" t="s">
        <v>34</v>
      </c>
      <c r="D112" s="1">
        <v>4294</v>
      </c>
      <c r="E112" s="1">
        <v>3671</v>
      </c>
      <c r="F112">
        <v>221</v>
      </c>
      <c r="G112">
        <v>131</v>
      </c>
      <c r="H112">
        <v>143</v>
      </c>
      <c r="I112">
        <v>101</v>
      </c>
      <c r="J112">
        <v>0</v>
      </c>
      <c r="K112">
        <v>9</v>
      </c>
      <c r="L112">
        <v>0</v>
      </c>
      <c r="M112">
        <v>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12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s="1">
        <v>0</v>
      </c>
    </row>
    <row r="113" spans="1:34" x14ac:dyDescent="0.3">
      <c r="A113" t="s">
        <v>35</v>
      </c>
      <c r="B113" t="s">
        <v>70</v>
      </c>
      <c r="C113" t="s">
        <v>37</v>
      </c>
      <c r="D113" s="1">
        <v>2389</v>
      </c>
      <c r="E113" s="1">
        <v>1990</v>
      </c>
      <c r="F113">
        <v>134</v>
      </c>
      <c r="G113">
        <v>74</v>
      </c>
      <c r="H113">
        <v>74</v>
      </c>
      <c r="I113">
        <v>98</v>
      </c>
      <c r="J113">
        <v>0</v>
      </c>
      <c r="K113">
        <v>3</v>
      </c>
      <c r="L113">
        <v>0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s="1">
        <v>0</v>
      </c>
    </row>
    <row r="114" spans="1:34" x14ac:dyDescent="0.3">
      <c r="A114" t="s">
        <v>35</v>
      </c>
      <c r="B114" t="s">
        <v>70</v>
      </c>
      <c r="C114" t="s">
        <v>38</v>
      </c>
      <c r="D114" s="1">
        <v>1905</v>
      </c>
      <c r="E114" s="1">
        <v>1681</v>
      </c>
      <c r="F114">
        <v>87</v>
      </c>
      <c r="G114">
        <v>57</v>
      </c>
      <c r="H114">
        <v>69</v>
      </c>
      <c r="I114">
        <v>3</v>
      </c>
      <c r="J114">
        <v>0</v>
      </c>
      <c r="K114">
        <v>6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s="1">
        <v>0</v>
      </c>
    </row>
    <row r="115" spans="1:34" x14ac:dyDescent="0.3">
      <c r="A115" t="s">
        <v>35</v>
      </c>
      <c r="B115" t="s">
        <v>71</v>
      </c>
      <c r="C115" t="s">
        <v>34</v>
      </c>
      <c r="D115" s="1">
        <v>2822</v>
      </c>
      <c r="E115" s="1">
        <v>2370</v>
      </c>
      <c r="F115">
        <v>40</v>
      </c>
      <c r="G115">
        <v>6</v>
      </c>
      <c r="H115">
        <v>0</v>
      </c>
      <c r="I115">
        <v>64</v>
      </c>
      <c r="J115">
        <v>0</v>
      </c>
      <c r="K115">
        <v>1</v>
      </c>
      <c r="L115">
        <v>1</v>
      </c>
      <c r="M115">
        <v>21</v>
      </c>
      <c r="N115">
        <v>0</v>
      </c>
      <c r="O115">
        <v>0</v>
      </c>
      <c r="P115">
        <v>7</v>
      </c>
      <c r="Q115">
        <v>0</v>
      </c>
      <c r="R115">
        <v>92</v>
      </c>
      <c r="S115">
        <v>93</v>
      </c>
      <c r="T115">
        <v>55</v>
      </c>
      <c r="U115">
        <v>7</v>
      </c>
      <c r="V115">
        <v>0</v>
      </c>
      <c r="W115">
        <v>43</v>
      </c>
      <c r="X115">
        <v>12</v>
      </c>
      <c r="Y115">
        <v>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 s="1">
        <v>0</v>
      </c>
    </row>
    <row r="116" spans="1:34" x14ac:dyDescent="0.3">
      <c r="A116" t="s">
        <v>35</v>
      </c>
      <c r="B116" t="s">
        <v>71</v>
      </c>
      <c r="C116" t="s">
        <v>37</v>
      </c>
      <c r="D116" s="1">
        <v>2335</v>
      </c>
      <c r="E116" s="1">
        <v>1892</v>
      </c>
      <c r="F116">
        <v>32</v>
      </c>
      <c r="G116">
        <v>5</v>
      </c>
      <c r="H116">
        <v>0</v>
      </c>
      <c r="I116">
        <v>64</v>
      </c>
      <c r="J116">
        <v>0</v>
      </c>
      <c r="K116">
        <v>1</v>
      </c>
      <c r="L116">
        <v>1</v>
      </c>
      <c r="M116">
        <v>21</v>
      </c>
      <c r="N116">
        <v>0</v>
      </c>
      <c r="O116">
        <v>0</v>
      </c>
      <c r="P116">
        <v>7</v>
      </c>
      <c r="Q116">
        <v>0</v>
      </c>
      <c r="R116">
        <v>92</v>
      </c>
      <c r="S116">
        <v>93</v>
      </c>
      <c r="T116">
        <v>55</v>
      </c>
      <c r="U116">
        <v>7</v>
      </c>
      <c r="V116">
        <v>0</v>
      </c>
      <c r="W116">
        <v>43</v>
      </c>
      <c r="X116">
        <v>12</v>
      </c>
      <c r="Y116">
        <v>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 s="1">
        <v>0</v>
      </c>
    </row>
    <row r="117" spans="1:34" x14ac:dyDescent="0.3">
      <c r="A117" t="s">
        <v>35</v>
      </c>
      <c r="B117" t="s">
        <v>71</v>
      </c>
      <c r="C117" t="s">
        <v>38</v>
      </c>
      <c r="D117">
        <v>487</v>
      </c>
      <c r="E117">
        <v>478</v>
      </c>
      <c r="F117">
        <v>8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s="1">
        <v>0</v>
      </c>
    </row>
    <row r="118" spans="1:34" x14ac:dyDescent="0.3">
      <c r="A118" t="s">
        <v>35</v>
      </c>
      <c r="B118" t="s">
        <v>72</v>
      </c>
      <c r="C118" t="s">
        <v>34</v>
      </c>
      <c r="D118" s="1">
        <v>2751</v>
      </c>
      <c r="E118" s="1">
        <v>2731</v>
      </c>
      <c r="F118">
        <v>7</v>
      </c>
      <c r="G118">
        <v>6</v>
      </c>
      <c r="H118">
        <v>2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s="1">
        <v>0</v>
      </c>
    </row>
    <row r="119" spans="1:34" x14ac:dyDescent="0.3">
      <c r="A119" t="s">
        <v>35</v>
      </c>
      <c r="B119" t="s">
        <v>72</v>
      </c>
      <c r="C119" t="s">
        <v>37</v>
      </c>
      <c r="D119" s="1">
        <v>2342</v>
      </c>
      <c r="E119" s="1">
        <v>2326</v>
      </c>
      <c r="F119">
        <v>5</v>
      </c>
      <c r="G119">
        <v>5</v>
      </c>
      <c r="H119">
        <v>1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s="1">
        <v>0</v>
      </c>
    </row>
    <row r="120" spans="1:34" x14ac:dyDescent="0.3">
      <c r="A120" t="s">
        <v>35</v>
      </c>
      <c r="B120" t="s">
        <v>72</v>
      </c>
      <c r="C120" t="s">
        <v>38</v>
      </c>
      <c r="D120">
        <v>409</v>
      </c>
      <c r="E120">
        <v>405</v>
      </c>
      <c r="F120">
        <v>2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s="1">
        <v>0</v>
      </c>
    </row>
    <row r="121" spans="1:34" x14ac:dyDescent="0.3">
      <c r="A121" t="s">
        <v>35</v>
      </c>
      <c r="B121" t="s">
        <v>73</v>
      </c>
      <c r="C121" t="s">
        <v>34</v>
      </c>
      <c r="D121" s="1">
        <v>2637</v>
      </c>
      <c r="E121" s="1">
        <v>2447</v>
      </c>
      <c r="F121">
        <v>67</v>
      </c>
      <c r="G121">
        <v>17</v>
      </c>
      <c r="H121">
        <v>11</v>
      </c>
      <c r="I121">
        <v>57</v>
      </c>
      <c r="J121">
        <v>1</v>
      </c>
      <c r="K121">
        <v>0</v>
      </c>
      <c r="L121">
        <v>1</v>
      </c>
      <c r="M121">
        <v>3</v>
      </c>
      <c r="N121">
        <v>10</v>
      </c>
      <c r="O121">
        <v>4</v>
      </c>
      <c r="P121">
        <v>4</v>
      </c>
      <c r="Q121">
        <v>2</v>
      </c>
      <c r="R121">
        <v>1</v>
      </c>
      <c r="S121">
        <v>7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 s="1">
        <v>0</v>
      </c>
    </row>
    <row r="122" spans="1:34" x14ac:dyDescent="0.3">
      <c r="A122" t="s">
        <v>35</v>
      </c>
      <c r="B122" t="s">
        <v>73</v>
      </c>
      <c r="C122" t="s">
        <v>37</v>
      </c>
      <c r="D122" s="1">
        <v>2152</v>
      </c>
      <c r="E122" s="1">
        <v>1988</v>
      </c>
      <c r="F122">
        <v>56</v>
      </c>
      <c r="G122">
        <v>9</v>
      </c>
      <c r="H122">
        <v>8</v>
      </c>
      <c r="I122">
        <v>57</v>
      </c>
      <c r="J122">
        <v>1</v>
      </c>
      <c r="K122">
        <v>0</v>
      </c>
      <c r="L122">
        <v>1</v>
      </c>
      <c r="M122">
        <v>3</v>
      </c>
      <c r="N122">
        <v>6</v>
      </c>
      <c r="O122">
        <v>4</v>
      </c>
      <c r="P122">
        <v>4</v>
      </c>
      <c r="Q122">
        <v>2</v>
      </c>
      <c r="R122">
        <v>1</v>
      </c>
      <c r="S122">
        <v>7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 s="1">
        <v>0</v>
      </c>
    </row>
    <row r="123" spans="1:34" x14ac:dyDescent="0.3">
      <c r="A123" t="s">
        <v>35</v>
      </c>
      <c r="B123" t="s">
        <v>73</v>
      </c>
      <c r="C123" t="s">
        <v>38</v>
      </c>
      <c r="D123">
        <v>485</v>
      </c>
      <c r="E123">
        <v>459</v>
      </c>
      <c r="F123">
        <v>11</v>
      </c>
      <c r="G123">
        <v>8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s="1">
        <v>0</v>
      </c>
    </row>
    <row r="124" spans="1:34" x14ac:dyDescent="0.3">
      <c r="A124" t="s">
        <v>35</v>
      </c>
      <c r="B124" t="s">
        <v>74</v>
      </c>
      <c r="C124" t="s">
        <v>34</v>
      </c>
      <c r="D124" s="1">
        <v>2236</v>
      </c>
      <c r="E124" s="1">
        <v>2083</v>
      </c>
      <c r="F124">
        <v>35</v>
      </c>
      <c r="G124">
        <v>106</v>
      </c>
      <c r="H124">
        <v>4</v>
      </c>
      <c r="I124">
        <v>0</v>
      </c>
      <c r="J124">
        <v>0</v>
      </c>
      <c r="K124">
        <v>0</v>
      </c>
      <c r="L124">
        <v>6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s="1">
        <v>0</v>
      </c>
    </row>
    <row r="125" spans="1:34" x14ac:dyDescent="0.3">
      <c r="A125" t="s">
        <v>35</v>
      </c>
      <c r="B125" t="s">
        <v>74</v>
      </c>
      <c r="C125" t="s">
        <v>37</v>
      </c>
      <c r="D125" s="1">
        <v>1228</v>
      </c>
      <c r="E125" s="1">
        <v>1134</v>
      </c>
      <c r="F125">
        <v>28</v>
      </c>
      <c r="G125">
        <v>61</v>
      </c>
      <c r="H125">
        <v>1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s="1">
        <v>0</v>
      </c>
    </row>
    <row r="126" spans="1:34" x14ac:dyDescent="0.3">
      <c r="A126" t="s">
        <v>35</v>
      </c>
      <c r="B126" t="s">
        <v>74</v>
      </c>
      <c r="C126" t="s">
        <v>38</v>
      </c>
      <c r="D126" s="1">
        <v>1008</v>
      </c>
      <c r="E126">
        <v>949</v>
      </c>
      <c r="F126">
        <v>7</v>
      </c>
      <c r="G126">
        <v>45</v>
      </c>
      <c r="H126">
        <v>3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s="1">
        <v>0</v>
      </c>
    </row>
    <row r="127" spans="1:34" x14ac:dyDescent="0.3">
      <c r="A127" t="s">
        <v>35</v>
      </c>
      <c r="B127" t="s">
        <v>75</v>
      </c>
      <c r="C127" t="s">
        <v>34</v>
      </c>
      <c r="D127" s="1">
        <v>2147</v>
      </c>
      <c r="E127" s="1">
        <v>1977</v>
      </c>
      <c r="F127">
        <v>48</v>
      </c>
      <c r="G127">
        <v>62</v>
      </c>
      <c r="H127">
        <v>6</v>
      </c>
      <c r="I127">
        <v>5</v>
      </c>
      <c r="J127">
        <v>0</v>
      </c>
      <c r="K127">
        <v>0</v>
      </c>
      <c r="L127">
        <v>10</v>
      </c>
      <c r="M127">
        <v>2</v>
      </c>
      <c r="N127">
        <v>0</v>
      </c>
      <c r="O127">
        <v>5</v>
      </c>
      <c r="P127">
        <v>3</v>
      </c>
      <c r="Q127">
        <v>0</v>
      </c>
      <c r="R127">
        <v>0</v>
      </c>
      <c r="S127">
        <v>1</v>
      </c>
      <c r="T127">
        <v>14</v>
      </c>
      <c r="U127">
        <v>14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s="1">
        <v>0</v>
      </c>
    </row>
    <row r="128" spans="1:34" x14ac:dyDescent="0.3">
      <c r="A128" t="s">
        <v>35</v>
      </c>
      <c r="B128" t="s">
        <v>75</v>
      </c>
      <c r="C128" t="s">
        <v>37</v>
      </c>
      <c r="D128" s="1">
        <v>1395</v>
      </c>
      <c r="E128" s="1">
        <v>1273</v>
      </c>
      <c r="F128">
        <v>37</v>
      </c>
      <c r="G128">
        <v>34</v>
      </c>
      <c r="H128">
        <v>1</v>
      </c>
      <c r="I128">
        <v>2</v>
      </c>
      <c r="J128">
        <v>0</v>
      </c>
      <c r="K128">
        <v>0</v>
      </c>
      <c r="L128">
        <v>9</v>
      </c>
      <c r="M128">
        <v>2</v>
      </c>
      <c r="N128">
        <v>0</v>
      </c>
      <c r="O128">
        <v>5</v>
      </c>
      <c r="P128">
        <v>3</v>
      </c>
      <c r="Q128">
        <v>0</v>
      </c>
      <c r="R128">
        <v>0</v>
      </c>
      <c r="S128">
        <v>1</v>
      </c>
      <c r="T128">
        <v>14</v>
      </c>
      <c r="U128">
        <v>14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s="1">
        <v>0</v>
      </c>
    </row>
    <row r="129" spans="1:34" x14ac:dyDescent="0.3">
      <c r="A129" t="s">
        <v>35</v>
      </c>
      <c r="B129" t="s">
        <v>75</v>
      </c>
      <c r="C129" t="s">
        <v>38</v>
      </c>
      <c r="D129">
        <v>752</v>
      </c>
      <c r="E129">
        <v>704</v>
      </c>
      <c r="F129">
        <v>11</v>
      </c>
      <c r="G129">
        <v>28</v>
      </c>
      <c r="H129">
        <v>5</v>
      </c>
      <c r="I129">
        <v>3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s="1">
        <v>0</v>
      </c>
    </row>
    <row r="130" spans="1:34" x14ac:dyDescent="0.3">
      <c r="A130" t="s">
        <v>35</v>
      </c>
      <c r="B130" t="s">
        <v>76</v>
      </c>
      <c r="C130" t="s">
        <v>34</v>
      </c>
      <c r="D130" s="1">
        <v>1653</v>
      </c>
      <c r="E130" s="1">
        <v>1536</v>
      </c>
      <c r="F130">
        <v>103</v>
      </c>
      <c r="G130">
        <v>0</v>
      </c>
      <c r="H130">
        <v>13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s="1">
        <v>0</v>
      </c>
    </row>
    <row r="131" spans="1:34" x14ac:dyDescent="0.3">
      <c r="A131" t="s">
        <v>35</v>
      </c>
      <c r="B131" t="s">
        <v>76</v>
      </c>
      <c r="C131" t="s">
        <v>37</v>
      </c>
      <c r="D131" s="1">
        <v>1423</v>
      </c>
      <c r="E131" s="1">
        <v>1315</v>
      </c>
      <c r="F131">
        <v>94</v>
      </c>
      <c r="G131">
        <v>0</v>
      </c>
      <c r="H131">
        <v>13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s="1">
        <v>0</v>
      </c>
    </row>
    <row r="132" spans="1:34" x14ac:dyDescent="0.3">
      <c r="A132" t="s">
        <v>35</v>
      </c>
      <c r="B132" t="s">
        <v>76</v>
      </c>
      <c r="C132" t="s">
        <v>38</v>
      </c>
      <c r="D132">
        <v>230</v>
      </c>
      <c r="E132">
        <v>221</v>
      </c>
      <c r="F132">
        <v>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s="1">
        <v>0</v>
      </c>
    </row>
    <row r="133" spans="1:34" x14ac:dyDescent="0.3">
      <c r="A133" t="s">
        <v>35</v>
      </c>
      <c r="B133" t="s">
        <v>77</v>
      </c>
      <c r="C133" t="s">
        <v>34</v>
      </c>
      <c r="D133" s="1">
        <v>1639</v>
      </c>
      <c r="E133" s="1">
        <v>1501</v>
      </c>
      <c r="F133">
        <v>33</v>
      </c>
      <c r="G133">
        <v>17</v>
      </c>
      <c r="H133">
        <v>7</v>
      </c>
      <c r="I133">
        <v>3</v>
      </c>
      <c r="J133">
        <v>1</v>
      </c>
      <c r="K133">
        <v>0</v>
      </c>
      <c r="L133">
        <v>23</v>
      </c>
      <c r="M133">
        <v>1</v>
      </c>
      <c r="N133">
        <v>52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s="1">
        <v>0</v>
      </c>
    </row>
    <row r="134" spans="1:34" x14ac:dyDescent="0.3">
      <c r="A134" t="s">
        <v>35</v>
      </c>
      <c r="B134" t="s">
        <v>77</v>
      </c>
      <c r="C134" t="s">
        <v>37</v>
      </c>
      <c r="D134" s="1">
        <v>1061</v>
      </c>
      <c r="E134">
        <v>968</v>
      </c>
      <c r="F134">
        <v>23</v>
      </c>
      <c r="G134">
        <v>7</v>
      </c>
      <c r="H134">
        <v>4</v>
      </c>
      <c r="I134">
        <v>3</v>
      </c>
      <c r="J134">
        <v>1</v>
      </c>
      <c r="K134">
        <v>0</v>
      </c>
      <c r="L134">
        <v>18</v>
      </c>
      <c r="M134">
        <v>1</v>
      </c>
      <c r="N134">
        <v>35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s="1">
        <v>0</v>
      </c>
    </row>
    <row r="135" spans="1:34" x14ac:dyDescent="0.3">
      <c r="A135" t="s">
        <v>35</v>
      </c>
      <c r="B135" t="s">
        <v>77</v>
      </c>
      <c r="C135" t="s">
        <v>38</v>
      </c>
      <c r="D135">
        <v>578</v>
      </c>
      <c r="E135">
        <v>533</v>
      </c>
      <c r="F135">
        <v>10</v>
      </c>
      <c r="G135">
        <v>10</v>
      </c>
      <c r="H135">
        <v>3</v>
      </c>
      <c r="I135">
        <v>0</v>
      </c>
      <c r="J135">
        <v>0</v>
      </c>
      <c r="K135">
        <v>0</v>
      </c>
      <c r="L135">
        <v>5</v>
      </c>
      <c r="M135">
        <v>0</v>
      </c>
      <c r="N135">
        <v>17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s="1">
        <v>0</v>
      </c>
    </row>
    <row r="136" spans="1:34" x14ac:dyDescent="0.3">
      <c r="A136" t="s">
        <v>35</v>
      </c>
      <c r="B136" t="s">
        <v>78</v>
      </c>
      <c r="C136" t="s">
        <v>34</v>
      </c>
      <c r="D136" s="1">
        <v>1515</v>
      </c>
      <c r="E136" s="1">
        <v>1207</v>
      </c>
      <c r="F136">
        <v>67</v>
      </c>
      <c r="G136">
        <v>76</v>
      </c>
      <c r="H136">
        <v>14</v>
      </c>
      <c r="I136">
        <v>34</v>
      </c>
      <c r="J136">
        <v>0</v>
      </c>
      <c r="K136">
        <v>1</v>
      </c>
      <c r="L136">
        <v>47</v>
      </c>
      <c r="M136">
        <v>10</v>
      </c>
      <c r="N136">
        <v>14</v>
      </c>
      <c r="O136">
        <v>1</v>
      </c>
      <c r="P136">
        <v>5</v>
      </c>
      <c r="Q136">
        <v>2</v>
      </c>
      <c r="R136">
        <v>0</v>
      </c>
      <c r="S136">
        <v>8</v>
      </c>
      <c r="T136">
        <v>7</v>
      </c>
      <c r="U136">
        <v>2</v>
      </c>
      <c r="V136">
        <v>0</v>
      </c>
      <c r="W136">
        <v>1</v>
      </c>
      <c r="X136">
        <v>1</v>
      </c>
      <c r="Y136">
        <v>7</v>
      </c>
      <c r="Z136">
        <v>0</v>
      </c>
      <c r="AA136">
        <v>4</v>
      </c>
      <c r="AB136">
        <v>0</v>
      </c>
      <c r="AC136">
        <v>2</v>
      </c>
      <c r="AD136">
        <v>0</v>
      </c>
      <c r="AE136">
        <v>2</v>
      </c>
      <c r="AF136">
        <v>2</v>
      </c>
      <c r="AG136">
        <v>1</v>
      </c>
      <c r="AH136" s="1">
        <v>0</v>
      </c>
    </row>
    <row r="137" spans="1:34" x14ac:dyDescent="0.3">
      <c r="A137" t="s">
        <v>35</v>
      </c>
      <c r="B137" t="s">
        <v>78</v>
      </c>
      <c r="C137" t="s">
        <v>37</v>
      </c>
      <c r="D137">
        <v>820</v>
      </c>
      <c r="E137">
        <v>599</v>
      </c>
      <c r="F137">
        <v>52</v>
      </c>
      <c r="G137">
        <v>43</v>
      </c>
      <c r="H137">
        <v>7</v>
      </c>
      <c r="I137">
        <v>24</v>
      </c>
      <c r="J137">
        <v>0</v>
      </c>
      <c r="K137">
        <v>1</v>
      </c>
      <c r="L137">
        <v>36</v>
      </c>
      <c r="M137">
        <v>9</v>
      </c>
      <c r="N137">
        <v>9</v>
      </c>
      <c r="O137">
        <v>1</v>
      </c>
      <c r="P137">
        <v>5</v>
      </c>
      <c r="Q137">
        <v>2</v>
      </c>
      <c r="R137">
        <v>0</v>
      </c>
      <c r="S137">
        <v>6</v>
      </c>
      <c r="T137">
        <v>7</v>
      </c>
      <c r="U137">
        <v>2</v>
      </c>
      <c r="V137">
        <v>0</v>
      </c>
      <c r="W137">
        <v>1</v>
      </c>
      <c r="X137">
        <v>1</v>
      </c>
      <c r="Y137">
        <v>6</v>
      </c>
      <c r="Z137">
        <v>0</v>
      </c>
      <c r="AA137">
        <v>2</v>
      </c>
      <c r="AB137">
        <v>0</v>
      </c>
      <c r="AC137">
        <v>2</v>
      </c>
      <c r="AD137">
        <v>0</v>
      </c>
      <c r="AE137">
        <v>2</v>
      </c>
      <c r="AF137">
        <v>2</v>
      </c>
      <c r="AG137">
        <v>1</v>
      </c>
      <c r="AH137" s="1">
        <v>0</v>
      </c>
    </row>
    <row r="138" spans="1:34" x14ac:dyDescent="0.3">
      <c r="A138" t="s">
        <v>35</v>
      </c>
      <c r="B138" t="s">
        <v>78</v>
      </c>
      <c r="C138" t="s">
        <v>38</v>
      </c>
      <c r="D138">
        <v>695</v>
      </c>
      <c r="E138">
        <v>608</v>
      </c>
      <c r="F138">
        <v>15</v>
      </c>
      <c r="G138">
        <v>33</v>
      </c>
      <c r="H138">
        <v>7</v>
      </c>
      <c r="I138">
        <v>10</v>
      </c>
      <c r="J138">
        <v>0</v>
      </c>
      <c r="K138">
        <v>0</v>
      </c>
      <c r="L138">
        <v>11</v>
      </c>
      <c r="M138">
        <v>1</v>
      </c>
      <c r="N138">
        <v>5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s="1">
        <v>0</v>
      </c>
    </row>
    <row r="139" spans="1:34" x14ac:dyDescent="0.3">
      <c r="A139" t="s">
        <v>35</v>
      </c>
      <c r="B139" t="s">
        <v>79</v>
      </c>
      <c r="C139" t="s">
        <v>34</v>
      </c>
      <c r="D139" s="1">
        <v>1150</v>
      </c>
      <c r="E139" s="1">
        <v>1093</v>
      </c>
      <c r="F139">
        <v>8</v>
      </c>
      <c r="G139">
        <v>16</v>
      </c>
      <c r="H139">
        <v>4</v>
      </c>
      <c r="I139">
        <v>13</v>
      </c>
      <c r="J139">
        <v>1</v>
      </c>
      <c r="K139">
        <v>7</v>
      </c>
      <c r="L139">
        <v>0</v>
      </c>
      <c r="M139">
        <v>0</v>
      </c>
      <c r="N139">
        <v>0</v>
      </c>
      <c r="O139">
        <v>4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 s="1">
        <v>0</v>
      </c>
    </row>
    <row r="140" spans="1:34" x14ac:dyDescent="0.3">
      <c r="A140" t="s">
        <v>35</v>
      </c>
      <c r="B140" t="s">
        <v>79</v>
      </c>
      <c r="C140" t="s">
        <v>37</v>
      </c>
      <c r="D140">
        <v>961</v>
      </c>
      <c r="E140">
        <v>906</v>
      </c>
      <c r="F140">
        <v>7</v>
      </c>
      <c r="G140">
        <v>15</v>
      </c>
      <c r="H140">
        <v>4</v>
      </c>
      <c r="I140">
        <v>13</v>
      </c>
      <c r="J140">
        <v>1</v>
      </c>
      <c r="K140">
        <v>7</v>
      </c>
      <c r="L140">
        <v>0</v>
      </c>
      <c r="M140">
        <v>0</v>
      </c>
      <c r="N140">
        <v>0</v>
      </c>
      <c r="O140">
        <v>4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 s="1">
        <v>0</v>
      </c>
    </row>
    <row r="141" spans="1:34" x14ac:dyDescent="0.3">
      <c r="A141" t="s">
        <v>35</v>
      </c>
      <c r="B141" t="s">
        <v>79</v>
      </c>
      <c r="C141" t="s">
        <v>38</v>
      </c>
      <c r="D141">
        <v>189</v>
      </c>
      <c r="E141">
        <v>187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s="1">
        <v>0</v>
      </c>
    </row>
    <row r="142" spans="1:34" x14ac:dyDescent="0.3">
      <c r="A142" t="s">
        <v>35</v>
      </c>
      <c r="B142" t="s">
        <v>80</v>
      </c>
      <c r="C142" t="s">
        <v>34</v>
      </c>
      <c r="D142" s="1">
        <v>1076</v>
      </c>
      <c r="E142">
        <v>944</v>
      </c>
      <c r="F142">
        <v>39</v>
      </c>
      <c r="G142">
        <v>17</v>
      </c>
      <c r="H142">
        <v>2</v>
      </c>
      <c r="I142">
        <v>34</v>
      </c>
      <c r="J142">
        <v>0</v>
      </c>
      <c r="K142">
        <v>2</v>
      </c>
      <c r="L142">
        <v>0</v>
      </c>
      <c r="M142">
        <v>6</v>
      </c>
      <c r="N142">
        <v>1</v>
      </c>
      <c r="O142">
        <v>5</v>
      </c>
      <c r="P142">
        <v>8</v>
      </c>
      <c r="Q142">
        <v>0</v>
      </c>
      <c r="R142">
        <v>3</v>
      </c>
      <c r="S142">
        <v>0</v>
      </c>
      <c r="T142">
        <v>9</v>
      </c>
      <c r="U142">
        <v>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s="1">
        <v>0</v>
      </c>
    </row>
    <row r="143" spans="1:34" x14ac:dyDescent="0.3">
      <c r="A143" t="s">
        <v>35</v>
      </c>
      <c r="B143" t="s">
        <v>80</v>
      </c>
      <c r="C143" t="s">
        <v>37</v>
      </c>
      <c r="D143">
        <v>791</v>
      </c>
      <c r="E143">
        <v>671</v>
      </c>
      <c r="F143">
        <v>33</v>
      </c>
      <c r="G143">
        <v>14</v>
      </c>
      <c r="H143">
        <v>2</v>
      </c>
      <c r="I143">
        <v>32</v>
      </c>
      <c r="J143">
        <v>0</v>
      </c>
      <c r="K143">
        <v>2</v>
      </c>
      <c r="L143">
        <v>0</v>
      </c>
      <c r="M143">
        <v>6</v>
      </c>
      <c r="N143">
        <v>0</v>
      </c>
      <c r="O143">
        <v>5</v>
      </c>
      <c r="P143">
        <v>8</v>
      </c>
      <c r="Q143">
        <v>0</v>
      </c>
      <c r="R143">
        <v>3</v>
      </c>
      <c r="S143">
        <v>0</v>
      </c>
      <c r="T143">
        <v>9</v>
      </c>
      <c r="U143">
        <v>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s="1">
        <v>0</v>
      </c>
    </row>
    <row r="144" spans="1:34" x14ac:dyDescent="0.3">
      <c r="A144" t="s">
        <v>35</v>
      </c>
      <c r="B144" t="s">
        <v>80</v>
      </c>
      <c r="C144" t="s">
        <v>38</v>
      </c>
      <c r="D144">
        <v>285</v>
      </c>
      <c r="E144">
        <v>273</v>
      </c>
      <c r="F144">
        <v>6</v>
      </c>
      <c r="G144">
        <v>3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s="1">
        <v>0</v>
      </c>
    </row>
    <row r="145" spans="1:34" x14ac:dyDescent="0.3">
      <c r="A145" t="s">
        <v>35</v>
      </c>
      <c r="B145" t="s">
        <v>81</v>
      </c>
      <c r="C145" t="s">
        <v>34</v>
      </c>
      <c r="D145" s="1">
        <v>1059</v>
      </c>
      <c r="E145">
        <v>952</v>
      </c>
      <c r="F145">
        <v>22</v>
      </c>
      <c r="G145">
        <v>44</v>
      </c>
      <c r="H145">
        <v>13</v>
      </c>
      <c r="I145">
        <v>17</v>
      </c>
      <c r="J145">
        <v>0</v>
      </c>
      <c r="K145">
        <v>0</v>
      </c>
      <c r="L145">
        <v>0</v>
      </c>
      <c r="M145">
        <v>0</v>
      </c>
      <c r="N145">
        <v>11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s="1">
        <v>0</v>
      </c>
    </row>
    <row r="146" spans="1:34" x14ac:dyDescent="0.3">
      <c r="A146" t="s">
        <v>35</v>
      </c>
      <c r="B146" t="s">
        <v>81</v>
      </c>
      <c r="C146" t="s">
        <v>37</v>
      </c>
      <c r="D146">
        <v>545</v>
      </c>
      <c r="E146">
        <v>484</v>
      </c>
      <c r="F146">
        <v>14</v>
      </c>
      <c r="G146">
        <v>24</v>
      </c>
      <c r="H146">
        <v>5</v>
      </c>
      <c r="I146">
        <v>12</v>
      </c>
      <c r="J146">
        <v>0</v>
      </c>
      <c r="K146">
        <v>0</v>
      </c>
      <c r="L146">
        <v>0</v>
      </c>
      <c r="M146">
        <v>0</v>
      </c>
      <c r="N146">
        <v>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s="1">
        <v>0</v>
      </c>
    </row>
    <row r="147" spans="1:34" x14ac:dyDescent="0.3">
      <c r="A147" t="s">
        <v>35</v>
      </c>
      <c r="B147" t="s">
        <v>81</v>
      </c>
      <c r="C147" t="s">
        <v>38</v>
      </c>
      <c r="D147">
        <v>514</v>
      </c>
      <c r="E147">
        <v>468</v>
      </c>
      <c r="F147">
        <v>8</v>
      </c>
      <c r="G147">
        <v>20</v>
      </c>
      <c r="H147">
        <v>8</v>
      </c>
      <c r="I147">
        <v>5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s="1">
        <v>0</v>
      </c>
    </row>
    <row r="148" spans="1:34" x14ac:dyDescent="0.3">
      <c r="A148" t="s">
        <v>35</v>
      </c>
      <c r="B148" t="s">
        <v>82</v>
      </c>
      <c r="C148" t="s">
        <v>34</v>
      </c>
      <c r="D148">
        <v>532</v>
      </c>
      <c r="E148">
        <v>468</v>
      </c>
      <c r="F148">
        <v>28</v>
      </c>
      <c r="G148">
        <v>2</v>
      </c>
      <c r="H148">
        <v>4</v>
      </c>
      <c r="I148">
        <v>11</v>
      </c>
      <c r="J148">
        <v>0</v>
      </c>
      <c r="K148">
        <v>7</v>
      </c>
      <c r="L148">
        <v>8</v>
      </c>
      <c r="M148">
        <v>2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s="1">
        <v>0</v>
      </c>
    </row>
    <row r="149" spans="1:34" x14ac:dyDescent="0.3">
      <c r="A149" t="s">
        <v>35</v>
      </c>
      <c r="B149" t="s">
        <v>82</v>
      </c>
      <c r="C149" t="s">
        <v>37</v>
      </c>
      <c r="D149">
        <v>307</v>
      </c>
      <c r="E149">
        <v>252</v>
      </c>
      <c r="F149">
        <v>21</v>
      </c>
      <c r="G149">
        <v>2</v>
      </c>
      <c r="H149">
        <v>3</v>
      </c>
      <c r="I149">
        <v>11</v>
      </c>
      <c r="J149">
        <v>0</v>
      </c>
      <c r="K149">
        <v>6</v>
      </c>
      <c r="L149">
        <v>8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s="1">
        <v>0</v>
      </c>
    </row>
    <row r="150" spans="1:34" x14ac:dyDescent="0.3">
      <c r="A150" t="s">
        <v>35</v>
      </c>
      <c r="B150" t="s">
        <v>82</v>
      </c>
      <c r="C150" t="s">
        <v>38</v>
      </c>
      <c r="D150">
        <v>225</v>
      </c>
      <c r="E150">
        <v>216</v>
      </c>
      <c r="F150">
        <v>7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s="1">
        <v>0</v>
      </c>
    </row>
    <row r="151" spans="1:34" x14ac:dyDescent="0.3">
      <c r="A151" t="s">
        <v>35</v>
      </c>
      <c r="B151" t="s">
        <v>83</v>
      </c>
      <c r="C151" t="s">
        <v>34</v>
      </c>
      <c r="D151">
        <v>283</v>
      </c>
      <c r="E151">
        <v>277</v>
      </c>
      <c r="F151">
        <v>4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s="1">
        <v>0</v>
      </c>
    </row>
    <row r="152" spans="1:34" x14ac:dyDescent="0.3">
      <c r="A152" t="s">
        <v>35</v>
      </c>
      <c r="B152" t="s">
        <v>83</v>
      </c>
      <c r="C152" t="s">
        <v>37</v>
      </c>
      <c r="D152">
        <v>231</v>
      </c>
      <c r="E152">
        <v>226</v>
      </c>
      <c r="F152">
        <v>4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s="1">
        <v>0</v>
      </c>
    </row>
    <row r="153" spans="1:34" x14ac:dyDescent="0.3">
      <c r="A153" t="s">
        <v>35</v>
      </c>
      <c r="B153" t="s">
        <v>83</v>
      </c>
      <c r="C153" t="s">
        <v>38</v>
      </c>
      <c r="D153">
        <v>52</v>
      </c>
      <c r="E153">
        <v>51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s="1">
        <v>0</v>
      </c>
    </row>
    <row r="154" spans="1:34" x14ac:dyDescent="0.3">
      <c r="A154" t="s">
        <v>35</v>
      </c>
      <c r="B154" t="s">
        <v>84</v>
      </c>
      <c r="C154" t="s">
        <v>34</v>
      </c>
      <c r="D154">
        <v>264</v>
      </c>
      <c r="E154">
        <v>227</v>
      </c>
      <c r="F154">
        <v>20</v>
      </c>
      <c r="G154">
        <v>1</v>
      </c>
      <c r="H154">
        <v>3</v>
      </c>
      <c r="I154">
        <v>2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2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</v>
      </c>
      <c r="AD154">
        <v>0</v>
      </c>
      <c r="AE154">
        <v>0</v>
      </c>
      <c r="AF154">
        <v>0</v>
      </c>
      <c r="AG154">
        <v>0</v>
      </c>
      <c r="AH154" s="1">
        <v>0</v>
      </c>
    </row>
    <row r="155" spans="1:34" x14ac:dyDescent="0.3">
      <c r="A155" t="s">
        <v>35</v>
      </c>
      <c r="B155" t="s">
        <v>84</v>
      </c>
      <c r="C155" t="s">
        <v>37</v>
      </c>
      <c r="D155">
        <v>151</v>
      </c>
      <c r="E155">
        <v>122</v>
      </c>
      <c r="F155">
        <v>15</v>
      </c>
      <c r="G155">
        <v>1</v>
      </c>
      <c r="H155">
        <v>1</v>
      </c>
      <c r="I155">
        <v>2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2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</v>
      </c>
      <c r="AD155">
        <v>0</v>
      </c>
      <c r="AE155">
        <v>0</v>
      </c>
      <c r="AF155">
        <v>0</v>
      </c>
      <c r="AG155">
        <v>0</v>
      </c>
      <c r="AH155" s="1">
        <v>0</v>
      </c>
    </row>
    <row r="156" spans="1:34" x14ac:dyDescent="0.3">
      <c r="A156" t="s">
        <v>35</v>
      </c>
      <c r="B156" t="s">
        <v>84</v>
      </c>
      <c r="C156" t="s">
        <v>38</v>
      </c>
      <c r="D156">
        <v>113</v>
      </c>
      <c r="E156">
        <v>105</v>
      </c>
      <c r="F156">
        <v>5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s="1">
        <v>0</v>
      </c>
    </row>
    <row r="157" spans="1:34" x14ac:dyDescent="0.3">
      <c r="A157" t="s">
        <v>35</v>
      </c>
      <c r="B157" t="s">
        <v>85</v>
      </c>
      <c r="C157" t="s">
        <v>34</v>
      </c>
      <c r="D157">
        <v>254</v>
      </c>
      <c r="E157">
        <v>247</v>
      </c>
      <c r="F157">
        <v>6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s="1">
        <v>0</v>
      </c>
    </row>
    <row r="158" spans="1:34" x14ac:dyDescent="0.3">
      <c r="A158" t="s">
        <v>35</v>
      </c>
      <c r="B158" t="s">
        <v>85</v>
      </c>
      <c r="C158" t="s">
        <v>37</v>
      </c>
      <c r="D158">
        <v>179</v>
      </c>
      <c r="E158">
        <v>177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s="1">
        <v>0</v>
      </c>
    </row>
    <row r="159" spans="1:34" x14ac:dyDescent="0.3">
      <c r="A159" t="s">
        <v>35</v>
      </c>
      <c r="B159" t="s">
        <v>85</v>
      </c>
      <c r="C159" t="s">
        <v>38</v>
      </c>
      <c r="D159">
        <v>75</v>
      </c>
      <c r="E159">
        <v>70</v>
      </c>
      <c r="F159">
        <v>4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s="1">
        <v>0</v>
      </c>
    </row>
    <row r="160" spans="1:34" x14ac:dyDescent="0.3">
      <c r="A160" t="s">
        <v>35</v>
      </c>
      <c r="B160" t="s">
        <v>86</v>
      </c>
      <c r="C160" t="s">
        <v>34</v>
      </c>
      <c r="D160">
        <v>4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s="1">
        <v>0</v>
      </c>
    </row>
    <row r="161" spans="1:34" x14ac:dyDescent="0.3">
      <c r="A161" t="s">
        <v>35</v>
      </c>
      <c r="B161" t="s">
        <v>86</v>
      </c>
      <c r="C161" t="s">
        <v>37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s="1">
        <v>0</v>
      </c>
    </row>
    <row r="162" spans="1:34" x14ac:dyDescent="0.3">
      <c r="A162" t="s">
        <v>35</v>
      </c>
      <c r="B162" t="s">
        <v>86</v>
      </c>
      <c r="C162" t="s">
        <v>38</v>
      </c>
      <c r="D162">
        <v>3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s="1">
        <v>0</v>
      </c>
    </row>
    <row r="163" spans="1:34" x14ac:dyDescent="0.3">
      <c r="A163" t="s">
        <v>87</v>
      </c>
      <c r="B163" t="s">
        <v>252</v>
      </c>
      <c r="C163" t="s">
        <v>34</v>
      </c>
      <c r="D163" s="1">
        <v>1855089</v>
      </c>
      <c r="E163" s="1">
        <v>1551305</v>
      </c>
      <c r="F163" s="1">
        <v>86518</v>
      </c>
      <c r="G163" s="1">
        <v>66096</v>
      </c>
      <c r="H163" s="1">
        <v>12833</v>
      </c>
      <c r="I163" s="1">
        <v>53942</v>
      </c>
      <c r="J163" s="1">
        <v>3088</v>
      </c>
      <c r="K163" s="1">
        <v>6742</v>
      </c>
      <c r="L163" s="1">
        <v>11449</v>
      </c>
      <c r="M163" s="1">
        <v>8349</v>
      </c>
      <c r="N163" s="1">
        <v>19486</v>
      </c>
      <c r="O163">
        <v>279</v>
      </c>
      <c r="P163" s="1">
        <v>1743</v>
      </c>
      <c r="Q163">
        <v>113</v>
      </c>
      <c r="R163" s="1">
        <v>1290</v>
      </c>
      <c r="S163" s="1">
        <v>1356</v>
      </c>
      <c r="T163">
        <v>583</v>
      </c>
      <c r="U163">
        <v>25</v>
      </c>
      <c r="V163" s="1">
        <v>19964</v>
      </c>
      <c r="W163" s="1">
        <v>4832</v>
      </c>
      <c r="X163" s="1">
        <v>2641</v>
      </c>
      <c r="Y163">
        <v>8</v>
      </c>
      <c r="Z163" s="1">
        <v>2210</v>
      </c>
      <c r="AA163">
        <v>62</v>
      </c>
      <c r="AB163">
        <v>90</v>
      </c>
      <c r="AC163">
        <v>0</v>
      </c>
      <c r="AD163">
        <v>31</v>
      </c>
      <c r="AE163">
        <v>26</v>
      </c>
      <c r="AF163">
        <v>0</v>
      </c>
      <c r="AG163">
        <v>1</v>
      </c>
      <c r="AH163">
        <v>27</v>
      </c>
    </row>
    <row r="164" spans="1:34" x14ac:dyDescent="0.3">
      <c r="A164" t="s">
        <v>87</v>
      </c>
      <c r="B164" t="s">
        <v>252</v>
      </c>
      <c r="C164" t="s">
        <v>37</v>
      </c>
      <c r="D164" s="1">
        <f>D168+D172</f>
        <v>1000584</v>
      </c>
      <c r="E164" s="1">
        <f t="shared" ref="E164:AH164" si="5">E168+E172</f>
        <v>819068</v>
      </c>
      <c r="F164" s="1">
        <f t="shared" si="5"/>
        <v>58177</v>
      </c>
      <c r="G164" s="1">
        <f t="shared" si="5"/>
        <v>35978</v>
      </c>
      <c r="H164" s="1">
        <f t="shared" si="5"/>
        <v>6443</v>
      </c>
      <c r="I164" s="1">
        <f t="shared" si="5"/>
        <v>28300</v>
      </c>
      <c r="J164" s="1">
        <f t="shared" si="5"/>
        <v>1697</v>
      </c>
      <c r="K164" s="1">
        <f t="shared" si="5"/>
        <v>4070</v>
      </c>
      <c r="L164" s="1">
        <f t="shared" si="5"/>
        <v>5422</v>
      </c>
      <c r="M164" s="1">
        <f t="shared" si="5"/>
        <v>3920</v>
      </c>
      <c r="N164" s="1">
        <f t="shared" si="5"/>
        <v>8955</v>
      </c>
      <c r="O164" s="1">
        <f t="shared" si="5"/>
        <v>254</v>
      </c>
      <c r="P164" s="1">
        <f t="shared" si="5"/>
        <v>1631</v>
      </c>
      <c r="Q164" s="1">
        <f t="shared" si="5"/>
        <v>110</v>
      </c>
      <c r="R164" s="1">
        <f t="shared" si="5"/>
        <v>1144</v>
      </c>
      <c r="S164" s="1">
        <f t="shared" si="5"/>
        <v>815</v>
      </c>
      <c r="T164" s="1">
        <f t="shared" si="5"/>
        <v>572</v>
      </c>
      <c r="U164" s="1">
        <f t="shared" si="5"/>
        <v>10</v>
      </c>
      <c r="V164" s="1">
        <f t="shared" si="5"/>
        <v>15705</v>
      </c>
      <c r="W164" s="1">
        <f t="shared" si="5"/>
        <v>4506</v>
      </c>
      <c r="X164" s="1">
        <f t="shared" si="5"/>
        <v>2559</v>
      </c>
      <c r="Y164" s="1">
        <f t="shared" si="5"/>
        <v>3</v>
      </c>
      <c r="Z164" s="1">
        <f t="shared" si="5"/>
        <v>1036</v>
      </c>
      <c r="AA164" s="1">
        <f t="shared" si="5"/>
        <v>52</v>
      </c>
      <c r="AB164" s="1">
        <f t="shared" si="5"/>
        <v>89</v>
      </c>
      <c r="AC164" s="1">
        <f t="shared" si="5"/>
        <v>0</v>
      </c>
      <c r="AD164" s="1">
        <f t="shared" si="5"/>
        <v>16</v>
      </c>
      <c r="AE164" s="1">
        <f t="shared" si="5"/>
        <v>26</v>
      </c>
      <c r="AF164" s="1">
        <f t="shared" si="5"/>
        <v>0</v>
      </c>
      <c r="AG164" s="1">
        <f t="shared" si="5"/>
        <v>0</v>
      </c>
      <c r="AH164" s="1">
        <f t="shared" si="5"/>
        <v>26</v>
      </c>
    </row>
    <row r="165" spans="1:34" x14ac:dyDescent="0.3">
      <c r="A165" t="s">
        <v>87</v>
      </c>
      <c r="B165" t="s">
        <v>252</v>
      </c>
      <c r="C165" t="s">
        <v>38</v>
      </c>
      <c r="D165" s="1">
        <f>D169+D173</f>
        <v>854265</v>
      </c>
      <c r="E165" s="1">
        <f t="shared" ref="E165:AH165" si="6">E169+E173</f>
        <v>732030</v>
      </c>
      <c r="F165" s="1">
        <f t="shared" si="6"/>
        <v>28326</v>
      </c>
      <c r="G165" s="1">
        <f t="shared" si="6"/>
        <v>30108</v>
      </c>
      <c r="H165" s="1">
        <f t="shared" si="6"/>
        <v>6389</v>
      </c>
      <c r="I165" s="1">
        <f t="shared" si="6"/>
        <v>25636</v>
      </c>
      <c r="J165" s="1">
        <f t="shared" si="6"/>
        <v>1391</v>
      </c>
      <c r="K165" s="1">
        <f t="shared" si="6"/>
        <v>2672</v>
      </c>
      <c r="L165" s="1">
        <f t="shared" si="6"/>
        <v>6027</v>
      </c>
      <c r="M165" s="1">
        <f t="shared" si="6"/>
        <v>4429</v>
      </c>
      <c r="N165" s="1">
        <f t="shared" si="6"/>
        <v>10530</v>
      </c>
      <c r="O165" s="1">
        <f t="shared" si="6"/>
        <v>25</v>
      </c>
      <c r="P165" s="1">
        <f t="shared" si="6"/>
        <v>112</v>
      </c>
      <c r="Q165" s="1">
        <f t="shared" si="6"/>
        <v>3</v>
      </c>
      <c r="R165" s="1">
        <f t="shared" si="6"/>
        <v>146</v>
      </c>
      <c r="S165" s="1">
        <f t="shared" si="6"/>
        <v>541</v>
      </c>
      <c r="T165" s="1">
        <f t="shared" si="6"/>
        <v>11</v>
      </c>
      <c r="U165" s="1">
        <f t="shared" si="6"/>
        <v>15</v>
      </c>
      <c r="V165" s="1">
        <f t="shared" si="6"/>
        <v>4259</v>
      </c>
      <c r="W165" s="1">
        <f t="shared" si="6"/>
        <v>326</v>
      </c>
      <c r="X165" s="1">
        <f t="shared" si="6"/>
        <v>82</v>
      </c>
      <c r="Y165" s="1">
        <f t="shared" si="6"/>
        <v>5</v>
      </c>
      <c r="Z165" s="1">
        <f t="shared" si="6"/>
        <v>1174</v>
      </c>
      <c r="AA165" s="1">
        <f t="shared" si="6"/>
        <v>10</v>
      </c>
      <c r="AB165" s="1">
        <f t="shared" si="6"/>
        <v>1</v>
      </c>
      <c r="AC165" s="1">
        <f t="shared" si="6"/>
        <v>0</v>
      </c>
      <c r="AD165" s="1">
        <f t="shared" si="6"/>
        <v>15</v>
      </c>
      <c r="AE165" s="1">
        <f t="shared" si="6"/>
        <v>0</v>
      </c>
      <c r="AF165" s="1">
        <f t="shared" si="6"/>
        <v>0</v>
      </c>
      <c r="AG165" s="1">
        <f t="shared" si="6"/>
        <v>1</v>
      </c>
      <c r="AH165" s="1">
        <f t="shared" si="6"/>
        <v>1</v>
      </c>
    </row>
    <row r="166" spans="1:34" x14ac:dyDescent="0.3">
      <c r="A166" t="s">
        <v>87</v>
      </c>
      <c r="B166" t="s">
        <v>252</v>
      </c>
      <c r="C166" t="s">
        <v>89</v>
      </c>
      <c r="D166" s="1">
        <f>D170+D174</f>
        <v>240</v>
      </c>
      <c r="E166" s="1">
        <f t="shared" ref="E166:AH166" si="7">E170+E174</f>
        <v>207</v>
      </c>
      <c r="F166" s="1">
        <f t="shared" si="7"/>
        <v>15</v>
      </c>
      <c r="G166" s="1">
        <f t="shared" si="7"/>
        <v>10</v>
      </c>
      <c r="H166" s="1">
        <f t="shared" si="7"/>
        <v>1</v>
      </c>
      <c r="I166" s="1">
        <f t="shared" si="7"/>
        <v>6</v>
      </c>
      <c r="J166" s="1">
        <f t="shared" si="7"/>
        <v>0</v>
      </c>
      <c r="K166" s="1">
        <f t="shared" si="7"/>
        <v>0</v>
      </c>
      <c r="L166" s="1">
        <f t="shared" si="7"/>
        <v>0</v>
      </c>
      <c r="M166" s="1">
        <f t="shared" si="7"/>
        <v>0</v>
      </c>
      <c r="N166" s="1">
        <f t="shared" si="7"/>
        <v>1</v>
      </c>
      <c r="O166" s="1">
        <f t="shared" si="7"/>
        <v>0</v>
      </c>
      <c r="P166" s="1">
        <f t="shared" si="7"/>
        <v>0</v>
      </c>
      <c r="Q166" s="1">
        <f t="shared" si="7"/>
        <v>0</v>
      </c>
      <c r="R166" s="1">
        <f t="shared" si="7"/>
        <v>0</v>
      </c>
      <c r="S166" s="1">
        <f t="shared" si="7"/>
        <v>0</v>
      </c>
      <c r="T166" s="1">
        <f t="shared" si="7"/>
        <v>0</v>
      </c>
      <c r="U166" s="1">
        <f t="shared" si="7"/>
        <v>0</v>
      </c>
      <c r="V166" s="1">
        <f t="shared" si="7"/>
        <v>0</v>
      </c>
      <c r="W166" s="1">
        <f t="shared" si="7"/>
        <v>0</v>
      </c>
      <c r="X166" s="1">
        <f t="shared" si="7"/>
        <v>0</v>
      </c>
      <c r="Y166" s="1">
        <f t="shared" si="7"/>
        <v>0</v>
      </c>
      <c r="Z166" s="1">
        <f t="shared" si="7"/>
        <v>0</v>
      </c>
      <c r="AA166" s="1">
        <f t="shared" si="7"/>
        <v>0</v>
      </c>
      <c r="AB166" s="1">
        <f t="shared" si="7"/>
        <v>0</v>
      </c>
      <c r="AC166" s="1">
        <f t="shared" si="7"/>
        <v>0</v>
      </c>
      <c r="AD166" s="1">
        <f t="shared" si="7"/>
        <v>0</v>
      </c>
      <c r="AE166" s="1">
        <f t="shared" si="7"/>
        <v>0</v>
      </c>
      <c r="AF166" s="1">
        <f t="shared" si="7"/>
        <v>0</v>
      </c>
      <c r="AG166" s="1">
        <f t="shared" si="7"/>
        <v>0</v>
      </c>
      <c r="AH166" s="1">
        <f t="shared" si="7"/>
        <v>0</v>
      </c>
    </row>
    <row r="167" spans="1:34" x14ac:dyDescent="0.3">
      <c r="A167" t="s">
        <v>87</v>
      </c>
      <c r="B167" t="s">
        <v>88</v>
      </c>
      <c r="C167" t="s">
        <v>34</v>
      </c>
      <c r="D167" s="1">
        <v>1568255</v>
      </c>
      <c r="E167" s="1">
        <v>1309091</v>
      </c>
      <c r="F167" s="1">
        <v>73403</v>
      </c>
      <c r="G167" s="1">
        <v>57645</v>
      </c>
      <c r="H167" s="1">
        <v>9547</v>
      </c>
      <c r="I167" s="1">
        <v>44536</v>
      </c>
      <c r="J167" s="1">
        <v>2565</v>
      </c>
      <c r="K167" s="1">
        <v>6014</v>
      </c>
      <c r="L167" s="1">
        <v>8780</v>
      </c>
      <c r="M167" s="1">
        <v>7051</v>
      </c>
      <c r="N167" s="1">
        <v>15259</v>
      </c>
      <c r="O167">
        <v>264</v>
      </c>
      <c r="P167" s="1">
        <v>1679</v>
      </c>
      <c r="Q167">
        <v>113</v>
      </c>
      <c r="R167" s="1">
        <v>1290</v>
      </c>
      <c r="S167" s="1">
        <v>1078</v>
      </c>
      <c r="T167">
        <v>583</v>
      </c>
      <c r="U167">
        <v>22</v>
      </c>
      <c r="V167" s="1">
        <v>19959</v>
      </c>
      <c r="W167" s="1">
        <v>4831</v>
      </c>
      <c r="X167" s="1">
        <v>2641</v>
      </c>
      <c r="Y167">
        <v>6</v>
      </c>
      <c r="Z167" s="1">
        <v>1669</v>
      </c>
      <c r="AA167">
        <v>62</v>
      </c>
      <c r="AB167">
        <v>87</v>
      </c>
      <c r="AC167">
        <v>0</v>
      </c>
      <c r="AD167">
        <v>30</v>
      </c>
      <c r="AE167">
        <v>22</v>
      </c>
      <c r="AF167">
        <v>0</v>
      </c>
      <c r="AG167">
        <v>1</v>
      </c>
      <c r="AH167">
        <v>27</v>
      </c>
    </row>
    <row r="168" spans="1:34" x14ac:dyDescent="0.3">
      <c r="A168" t="s">
        <v>87</v>
      </c>
      <c r="B168" t="s">
        <v>88</v>
      </c>
      <c r="C168" t="s">
        <v>37</v>
      </c>
      <c r="D168" s="1">
        <v>853052</v>
      </c>
      <c r="E168" s="1">
        <v>695232</v>
      </c>
      <c r="F168" s="1">
        <v>49998</v>
      </c>
      <c r="G168" s="1">
        <v>31477</v>
      </c>
      <c r="H168" s="1">
        <v>4850</v>
      </c>
      <c r="I168" s="1">
        <v>23831</v>
      </c>
      <c r="J168" s="1">
        <v>1393</v>
      </c>
      <c r="K168" s="1">
        <v>3621</v>
      </c>
      <c r="L168" s="1">
        <v>4186</v>
      </c>
      <c r="M168" s="1">
        <v>3323</v>
      </c>
      <c r="N168" s="1">
        <v>7017</v>
      </c>
      <c r="O168">
        <v>247</v>
      </c>
      <c r="P168" s="1">
        <v>1606</v>
      </c>
      <c r="Q168">
        <v>110</v>
      </c>
      <c r="R168" s="1">
        <v>1144</v>
      </c>
      <c r="S168">
        <v>684</v>
      </c>
      <c r="T168">
        <v>572</v>
      </c>
      <c r="U168">
        <v>8</v>
      </c>
      <c r="V168" s="1">
        <v>15705</v>
      </c>
      <c r="W168" s="1">
        <v>4505</v>
      </c>
      <c r="X168" s="1">
        <v>2559</v>
      </c>
      <c r="Y168">
        <v>2</v>
      </c>
      <c r="Z168">
        <v>781</v>
      </c>
      <c r="AA168">
        <v>52</v>
      </c>
      <c r="AB168">
        <v>86</v>
      </c>
      <c r="AC168">
        <v>0</v>
      </c>
      <c r="AD168">
        <v>15</v>
      </c>
      <c r="AE168">
        <v>22</v>
      </c>
      <c r="AF168">
        <v>0</v>
      </c>
      <c r="AG168">
        <v>0</v>
      </c>
      <c r="AH168">
        <v>26</v>
      </c>
    </row>
    <row r="169" spans="1:34" x14ac:dyDescent="0.3">
      <c r="A169" t="s">
        <v>87</v>
      </c>
      <c r="B169" t="s">
        <v>88</v>
      </c>
      <c r="C169" t="s">
        <v>38</v>
      </c>
      <c r="D169" s="1">
        <v>714973</v>
      </c>
      <c r="E169" s="1">
        <v>613660</v>
      </c>
      <c r="F169" s="1">
        <v>23391</v>
      </c>
      <c r="G169" s="1">
        <v>26158</v>
      </c>
      <c r="H169" s="1">
        <v>4696</v>
      </c>
      <c r="I169" s="1">
        <v>20700</v>
      </c>
      <c r="J169" s="1">
        <v>1172</v>
      </c>
      <c r="K169" s="1">
        <v>2393</v>
      </c>
      <c r="L169" s="1">
        <v>4594</v>
      </c>
      <c r="M169" s="1">
        <v>3728</v>
      </c>
      <c r="N169" s="1">
        <v>8241</v>
      </c>
      <c r="O169">
        <v>17</v>
      </c>
      <c r="P169">
        <v>73</v>
      </c>
      <c r="Q169">
        <v>3</v>
      </c>
      <c r="R169">
        <v>146</v>
      </c>
      <c r="S169">
        <v>394</v>
      </c>
      <c r="T169">
        <v>11</v>
      </c>
      <c r="U169">
        <v>14</v>
      </c>
      <c r="V169" s="1">
        <v>4254</v>
      </c>
      <c r="W169">
        <v>326</v>
      </c>
      <c r="X169">
        <v>82</v>
      </c>
      <c r="Y169">
        <v>4</v>
      </c>
      <c r="Z169">
        <v>888</v>
      </c>
      <c r="AA169">
        <v>10</v>
      </c>
      <c r="AB169">
        <v>1</v>
      </c>
      <c r="AC169">
        <v>0</v>
      </c>
      <c r="AD169">
        <v>15</v>
      </c>
      <c r="AE169">
        <v>0</v>
      </c>
      <c r="AF169">
        <v>0</v>
      </c>
      <c r="AG169">
        <v>1</v>
      </c>
      <c r="AH169">
        <v>1</v>
      </c>
    </row>
    <row r="170" spans="1:34" x14ac:dyDescent="0.3">
      <c r="A170" t="s">
        <v>87</v>
      </c>
      <c r="B170" t="s">
        <v>88</v>
      </c>
      <c r="C170" t="s">
        <v>89</v>
      </c>
      <c r="D170">
        <v>230</v>
      </c>
      <c r="E170">
        <v>199</v>
      </c>
      <c r="F170">
        <v>14</v>
      </c>
      <c r="G170">
        <v>10</v>
      </c>
      <c r="H170">
        <v>1</v>
      </c>
      <c r="I170">
        <v>5</v>
      </c>
      <c r="J170" s="1">
        <v>0</v>
      </c>
      <c r="K170" s="1">
        <v>0</v>
      </c>
      <c r="L170" s="1">
        <v>0</v>
      </c>
      <c r="M170" s="1">
        <v>0</v>
      </c>
      <c r="N170">
        <v>1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</row>
    <row r="171" spans="1:34" x14ac:dyDescent="0.3">
      <c r="A171" t="s">
        <v>87</v>
      </c>
      <c r="B171" t="s">
        <v>90</v>
      </c>
      <c r="C171" t="s">
        <v>34</v>
      </c>
      <c r="D171" s="1">
        <v>286834</v>
      </c>
      <c r="E171" s="1">
        <v>242214</v>
      </c>
      <c r="F171" s="1">
        <v>13115</v>
      </c>
      <c r="G171" s="1">
        <v>8451</v>
      </c>
      <c r="H171" s="1">
        <v>3286</v>
      </c>
      <c r="I171" s="1">
        <v>9406</v>
      </c>
      <c r="J171">
        <v>523</v>
      </c>
      <c r="K171">
        <v>728</v>
      </c>
      <c r="L171" s="1">
        <v>2669</v>
      </c>
      <c r="M171" s="1">
        <v>1298</v>
      </c>
      <c r="N171" s="1">
        <v>4227</v>
      </c>
      <c r="O171">
        <v>15</v>
      </c>
      <c r="P171">
        <v>64</v>
      </c>
      <c r="Q171" s="1">
        <v>0</v>
      </c>
      <c r="R171" s="1">
        <v>0</v>
      </c>
      <c r="S171">
        <v>278</v>
      </c>
      <c r="T171">
        <v>0</v>
      </c>
      <c r="U171">
        <v>3</v>
      </c>
      <c r="V171">
        <v>5</v>
      </c>
      <c r="W171">
        <v>1</v>
      </c>
      <c r="X171" s="1">
        <v>0</v>
      </c>
      <c r="Y171">
        <v>2</v>
      </c>
      <c r="Z171">
        <v>541</v>
      </c>
      <c r="AA171">
        <v>0</v>
      </c>
      <c r="AB171">
        <v>3</v>
      </c>
      <c r="AC171">
        <v>0</v>
      </c>
      <c r="AD171">
        <v>1</v>
      </c>
      <c r="AE171">
        <v>4</v>
      </c>
      <c r="AF171">
        <v>0</v>
      </c>
      <c r="AG171">
        <v>0</v>
      </c>
      <c r="AH171">
        <v>0</v>
      </c>
    </row>
    <row r="172" spans="1:34" x14ac:dyDescent="0.3">
      <c r="A172" t="s">
        <v>87</v>
      </c>
      <c r="B172" t="s">
        <v>90</v>
      </c>
      <c r="C172" t="s">
        <v>37</v>
      </c>
      <c r="D172" s="1">
        <v>147532</v>
      </c>
      <c r="E172" s="1">
        <v>123836</v>
      </c>
      <c r="F172" s="1">
        <v>8179</v>
      </c>
      <c r="G172" s="1">
        <v>4501</v>
      </c>
      <c r="H172" s="1">
        <v>1593</v>
      </c>
      <c r="I172" s="1">
        <v>4469</v>
      </c>
      <c r="J172">
        <v>304</v>
      </c>
      <c r="K172">
        <v>449</v>
      </c>
      <c r="L172" s="1">
        <v>1236</v>
      </c>
      <c r="M172">
        <v>597</v>
      </c>
      <c r="N172" s="1">
        <v>1938</v>
      </c>
      <c r="O172">
        <v>7</v>
      </c>
      <c r="P172">
        <v>25</v>
      </c>
      <c r="Q172">
        <v>0</v>
      </c>
      <c r="R172" s="1">
        <v>0</v>
      </c>
      <c r="S172">
        <v>131</v>
      </c>
      <c r="T172">
        <v>0</v>
      </c>
      <c r="U172">
        <v>2</v>
      </c>
      <c r="V172" s="1">
        <v>0</v>
      </c>
      <c r="W172">
        <v>1</v>
      </c>
      <c r="X172" s="1">
        <v>0</v>
      </c>
      <c r="Y172">
        <v>1</v>
      </c>
      <c r="Z172">
        <v>255</v>
      </c>
      <c r="AA172">
        <v>0</v>
      </c>
      <c r="AB172">
        <v>3</v>
      </c>
      <c r="AC172">
        <v>0</v>
      </c>
      <c r="AD172">
        <v>1</v>
      </c>
      <c r="AE172">
        <v>4</v>
      </c>
      <c r="AF172">
        <v>0</v>
      </c>
      <c r="AG172">
        <v>0</v>
      </c>
      <c r="AH172">
        <v>0</v>
      </c>
    </row>
    <row r="173" spans="1:34" x14ac:dyDescent="0.3">
      <c r="A173" t="s">
        <v>87</v>
      </c>
      <c r="B173" t="s">
        <v>90</v>
      </c>
      <c r="C173" t="s">
        <v>38</v>
      </c>
      <c r="D173" s="1">
        <v>139292</v>
      </c>
      <c r="E173" s="1">
        <v>118370</v>
      </c>
      <c r="F173" s="1">
        <v>4935</v>
      </c>
      <c r="G173" s="1">
        <v>3950</v>
      </c>
      <c r="H173" s="1">
        <v>1693</v>
      </c>
      <c r="I173" s="1">
        <v>4936</v>
      </c>
      <c r="J173">
        <v>219</v>
      </c>
      <c r="K173">
        <v>279</v>
      </c>
      <c r="L173" s="1">
        <v>1433</v>
      </c>
      <c r="M173">
        <v>701</v>
      </c>
      <c r="N173" s="1">
        <v>2289</v>
      </c>
      <c r="O173">
        <v>8</v>
      </c>
      <c r="P173">
        <v>39</v>
      </c>
      <c r="Q173">
        <v>0</v>
      </c>
      <c r="R173" s="1">
        <v>0</v>
      </c>
      <c r="S173">
        <v>147</v>
      </c>
      <c r="T173">
        <v>0</v>
      </c>
      <c r="U173">
        <v>1</v>
      </c>
      <c r="V173">
        <v>5</v>
      </c>
      <c r="W173">
        <v>0</v>
      </c>
      <c r="X173" s="1">
        <v>0</v>
      </c>
      <c r="Y173">
        <v>1</v>
      </c>
      <c r="Z173">
        <v>286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3">
      <c r="A174" t="s">
        <v>87</v>
      </c>
      <c r="B174" t="s">
        <v>90</v>
      </c>
      <c r="C174" t="s">
        <v>89</v>
      </c>
      <c r="D174">
        <v>10</v>
      </c>
      <c r="E174">
        <v>8</v>
      </c>
      <c r="F174">
        <v>1</v>
      </c>
      <c r="G174" s="1">
        <v>0</v>
      </c>
      <c r="H174" s="1">
        <v>0</v>
      </c>
      <c r="I174">
        <v>1</v>
      </c>
      <c r="J174">
        <v>0</v>
      </c>
      <c r="K174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</row>
    <row r="175" spans="1:34" x14ac:dyDescent="0.3">
      <c r="A175" t="s">
        <v>91</v>
      </c>
      <c r="B175" t="s">
        <v>252</v>
      </c>
      <c r="C175" t="s">
        <v>34</v>
      </c>
      <c r="D175" s="1">
        <v>200241</v>
      </c>
      <c r="E175" s="1">
        <v>155765</v>
      </c>
      <c r="F175" s="1">
        <v>14230</v>
      </c>
      <c r="G175" s="1">
        <v>7459</v>
      </c>
      <c r="H175" s="1">
        <v>1252</v>
      </c>
      <c r="I175" s="1">
        <v>9464</v>
      </c>
      <c r="J175">
        <v>249</v>
      </c>
      <c r="K175">
        <v>570</v>
      </c>
      <c r="L175" s="1">
        <v>3900</v>
      </c>
      <c r="M175" s="1">
        <v>1999</v>
      </c>
      <c r="N175" s="1">
        <v>4406</v>
      </c>
      <c r="O175">
        <v>11</v>
      </c>
      <c r="P175">
        <v>141</v>
      </c>
      <c r="Q175">
        <v>11</v>
      </c>
      <c r="R175">
        <v>5</v>
      </c>
      <c r="S175">
        <v>295</v>
      </c>
      <c r="T175">
        <v>67</v>
      </c>
      <c r="U175">
        <v>8</v>
      </c>
      <c r="V175">
        <v>18</v>
      </c>
      <c r="W175">
        <v>22</v>
      </c>
      <c r="X175">
        <v>40</v>
      </c>
      <c r="Y175">
        <v>32</v>
      </c>
      <c r="Z175">
        <v>100</v>
      </c>
      <c r="AA175">
        <v>122</v>
      </c>
      <c r="AB175">
        <v>66</v>
      </c>
      <c r="AC175">
        <v>1</v>
      </c>
      <c r="AD175">
        <v>0</v>
      </c>
      <c r="AE175">
        <v>4</v>
      </c>
      <c r="AF175">
        <v>0</v>
      </c>
      <c r="AG175">
        <v>4</v>
      </c>
      <c r="AH175">
        <v>0</v>
      </c>
    </row>
    <row r="176" spans="1:34" x14ac:dyDescent="0.3">
      <c r="A176" t="s">
        <v>91</v>
      </c>
      <c r="B176" t="s">
        <v>252</v>
      </c>
      <c r="C176" t="s">
        <v>253</v>
      </c>
      <c r="D176" s="1">
        <f>D179+D182+D185+D188+D191+D194+D197+D200+D203+D206+D209+D212+D215+D218+D221+D224+D227+D230+D233+D236+D239+D242+D245+D248+D251+D254+D257+D260+D263+D266+D269+D272+D275+D278</f>
        <v>103949</v>
      </c>
      <c r="E176" s="1">
        <f t="shared" ref="E176:AH176" si="8">E179+E182+E185+E188+E191+E194+E197+E200+E203+E206+E209+E212+E215+E218+E221+E224+E227+E230+E233+E236+E239+E242+E245+E248+E251+E254+E257+E260+E263+E266+E269+E272+E275+E278</f>
        <v>74789</v>
      </c>
      <c r="F176" s="1">
        <f t="shared" si="8"/>
        <v>8425</v>
      </c>
      <c r="G176" s="1">
        <f t="shared" si="8"/>
        <v>3659</v>
      </c>
      <c r="H176" s="1">
        <f t="shared" si="8"/>
        <v>567</v>
      </c>
      <c r="I176" s="1">
        <f t="shared" si="8"/>
        <v>6923</v>
      </c>
      <c r="J176" s="1">
        <f t="shared" si="8"/>
        <v>118</v>
      </c>
      <c r="K176" s="1">
        <f t="shared" si="8"/>
        <v>431</v>
      </c>
      <c r="L176" s="1">
        <f t="shared" si="8"/>
        <v>3243</v>
      </c>
      <c r="M176" s="1">
        <f t="shared" si="8"/>
        <v>1678</v>
      </c>
      <c r="N176" s="1">
        <f t="shared" si="8"/>
        <v>3263</v>
      </c>
      <c r="O176" s="1">
        <f t="shared" si="8"/>
        <v>10</v>
      </c>
      <c r="P176" s="1">
        <f t="shared" si="8"/>
        <v>139</v>
      </c>
      <c r="Q176" s="1">
        <f t="shared" si="8"/>
        <v>10</v>
      </c>
      <c r="R176" s="1">
        <f t="shared" si="8"/>
        <v>5</v>
      </c>
      <c r="S176" s="1">
        <f t="shared" si="8"/>
        <v>231</v>
      </c>
      <c r="T176" s="1">
        <f t="shared" si="8"/>
        <v>67</v>
      </c>
      <c r="U176" s="1">
        <f t="shared" si="8"/>
        <v>6</v>
      </c>
      <c r="V176" s="1">
        <f t="shared" si="8"/>
        <v>8</v>
      </c>
      <c r="W176" s="1">
        <f t="shared" si="8"/>
        <v>22</v>
      </c>
      <c r="X176" s="1">
        <f t="shared" si="8"/>
        <v>40</v>
      </c>
      <c r="Y176" s="1">
        <f t="shared" si="8"/>
        <v>32</v>
      </c>
      <c r="Z176" s="1">
        <f t="shared" si="8"/>
        <v>93</v>
      </c>
      <c r="AA176" s="1">
        <f t="shared" si="8"/>
        <v>118</v>
      </c>
      <c r="AB176" s="1">
        <f t="shared" si="8"/>
        <v>66</v>
      </c>
      <c r="AC176" s="1">
        <f t="shared" si="8"/>
        <v>1</v>
      </c>
      <c r="AD176" s="1">
        <f t="shared" si="8"/>
        <v>0</v>
      </c>
      <c r="AE176" s="1">
        <f t="shared" si="8"/>
        <v>3</v>
      </c>
      <c r="AF176" s="1">
        <f t="shared" si="8"/>
        <v>0</v>
      </c>
      <c r="AG176" s="1">
        <f t="shared" si="8"/>
        <v>2</v>
      </c>
      <c r="AH176" s="1">
        <f t="shared" si="8"/>
        <v>0</v>
      </c>
    </row>
    <row r="177" spans="1:34" x14ac:dyDescent="0.3">
      <c r="A177" t="s">
        <v>91</v>
      </c>
      <c r="B177" t="s">
        <v>252</v>
      </c>
      <c r="C177" t="s">
        <v>254</v>
      </c>
      <c r="D177" s="1">
        <f>D180+D183+D186+D189+D192+D195+D198+D201+D204+D207+D210+D213+D216+D219+D222+D225+D228+D231+D234+D237+D240+D243+D246+D249+D252+D255+D258+D261+D264+D267+D270+D273+D276</f>
        <v>96292</v>
      </c>
      <c r="E177" s="1">
        <f t="shared" ref="E177:AH177" si="9">E180+E183+E186+E189+E192+E195+E198+E201+E204+E207+E210+E213+E216+E219+E222+E225+E228+E231+E234+E237+E240+E243+E246+E249+E252+E255+E258+E261+E264+E267+E270+E273+E276</f>
        <v>80976</v>
      </c>
      <c r="F177" s="1">
        <f t="shared" si="9"/>
        <v>5805</v>
      </c>
      <c r="G177" s="1">
        <f t="shared" si="9"/>
        <v>3800</v>
      </c>
      <c r="H177" s="1">
        <f t="shared" si="9"/>
        <v>685</v>
      </c>
      <c r="I177" s="1">
        <f t="shared" si="9"/>
        <v>2541</v>
      </c>
      <c r="J177" s="1">
        <f t="shared" si="9"/>
        <v>131</v>
      </c>
      <c r="K177" s="1">
        <f t="shared" si="9"/>
        <v>139</v>
      </c>
      <c r="L177" s="1">
        <f t="shared" si="9"/>
        <v>657</v>
      </c>
      <c r="M177" s="1">
        <f t="shared" si="9"/>
        <v>321</v>
      </c>
      <c r="N177" s="1">
        <f t="shared" si="9"/>
        <v>1143</v>
      </c>
      <c r="O177" s="1">
        <f t="shared" si="9"/>
        <v>1</v>
      </c>
      <c r="P177" s="1">
        <f t="shared" si="9"/>
        <v>2</v>
      </c>
      <c r="Q177" s="1">
        <f t="shared" si="9"/>
        <v>1</v>
      </c>
      <c r="R177" s="1">
        <f t="shared" si="9"/>
        <v>0</v>
      </c>
      <c r="S177" s="1">
        <f t="shared" si="9"/>
        <v>64</v>
      </c>
      <c r="T177" s="1">
        <f t="shared" si="9"/>
        <v>0</v>
      </c>
      <c r="U177" s="1">
        <f t="shared" si="9"/>
        <v>2</v>
      </c>
      <c r="V177" s="1">
        <f t="shared" si="9"/>
        <v>10</v>
      </c>
      <c r="W177" s="1">
        <f t="shared" si="9"/>
        <v>0</v>
      </c>
      <c r="X177" s="1">
        <f t="shared" si="9"/>
        <v>0</v>
      </c>
      <c r="Y177" s="1">
        <f t="shared" si="9"/>
        <v>0</v>
      </c>
      <c r="Z177" s="1">
        <f t="shared" si="9"/>
        <v>7</v>
      </c>
      <c r="AA177" s="1">
        <f t="shared" si="9"/>
        <v>4</v>
      </c>
      <c r="AB177" s="1">
        <f t="shared" si="9"/>
        <v>0</v>
      </c>
      <c r="AC177" s="1">
        <f t="shared" si="9"/>
        <v>0</v>
      </c>
      <c r="AD177" s="1">
        <f t="shared" si="9"/>
        <v>0</v>
      </c>
      <c r="AE177" s="1">
        <f t="shared" si="9"/>
        <v>1</v>
      </c>
      <c r="AF177" s="1">
        <f t="shared" si="9"/>
        <v>0</v>
      </c>
      <c r="AG177" s="1">
        <f t="shared" si="9"/>
        <v>2</v>
      </c>
      <c r="AH177" s="1">
        <f t="shared" si="9"/>
        <v>0</v>
      </c>
    </row>
    <row r="178" spans="1:34" x14ac:dyDescent="0.3">
      <c r="A178" t="s">
        <v>255</v>
      </c>
      <c r="B178" t="s">
        <v>92</v>
      </c>
      <c r="C178" t="s">
        <v>34</v>
      </c>
      <c r="D178" s="1">
        <v>87967</v>
      </c>
      <c r="E178" s="1">
        <v>71957</v>
      </c>
      <c r="F178" s="1">
        <v>7068</v>
      </c>
      <c r="G178" s="1">
        <v>2386</v>
      </c>
      <c r="H178">
        <v>327</v>
      </c>
      <c r="I178" s="1">
        <v>2968</v>
      </c>
      <c r="J178">
        <v>50</v>
      </c>
      <c r="K178">
        <v>264</v>
      </c>
      <c r="L178">
        <v>854</v>
      </c>
      <c r="M178">
        <v>439</v>
      </c>
      <c r="N178" s="1">
        <v>1492</v>
      </c>
      <c r="O178">
        <v>8</v>
      </c>
      <c r="P178">
        <v>38</v>
      </c>
      <c r="Q178" s="1">
        <v>0</v>
      </c>
      <c r="R178">
        <v>5</v>
      </c>
      <c r="S178">
        <v>45</v>
      </c>
      <c r="T178">
        <v>20</v>
      </c>
      <c r="U178" s="1">
        <v>0</v>
      </c>
      <c r="V178">
        <v>5</v>
      </c>
      <c r="W178">
        <v>1</v>
      </c>
      <c r="X178">
        <v>17</v>
      </c>
      <c r="Y178" s="1">
        <v>0</v>
      </c>
      <c r="Z178">
        <v>17</v>
      </c>
      <c r="AA178">
        <v>2</v>
      </c>
      <c r="AB178">
        <v>3</v>
      </c>
      <c r="AC178" s="1">
        <v>0</v>
      </c>
      <c r="AD178" s="1">
        <v>0</v>
      </c>
      <c r="AE178" s="1">
        <v>0</v>
      </c>
      <c r="AF178" s="1">
        <v>0</v>
      </c>
      <c r="AG178">
        <v>1</v>
      </c>
      <c r="AH178" s="1">
        <v>0</v>
      </c>
    </row>
    <row r="179" spans="1:34" x14ac:dyDescent="0.3">
      <c r="A179" t="s">
        <v>91</v>
      </c>
      <c r="B179" t="s">
        <v>92</v>
      </c>
      <c r="C179" t="s">
        <v>37</v>
      </c>
      <c r="D179" s="1">
        <v>44110</v>
      </c>
      <c r="E179" s="1">
        <v>34672</v>
      </c>
      <c r="F179" s="1">
        <v>4598</v>
      </c>
      <c r="G179" s="1">
        <v>1139</v>
      </c>
      <c r="H179">
        <v>150</v>
      </c>
      <c r="I179" s="1">
        <v>1623</v>
      </c>
      <c r="J179">
        <v>18</v>
      </c>
      <c r="K179">
        <v>217</v>
      </c>
      <c r="L179">
        <v>520</v>
      </c>
      <c r="M179">
        <v>291</v>
      </c>
      <c r="N179">
        <v>751</v>
      </c>
      <c r="O179">
        <v>7</v>
      </c>
      <c r="P179">
        <v>38</v>
      </c>
      <c r="Q179" s="1">
        <v>0</v>
      </c>
      <c r="R179">
        <v>5</v>
      </c>
      <c r="S179">
        <v>24</v>
      </c>
      <c r="T179">
        <v>20</v>
      </c>
      <c r="U179" s="1">
        <v>0</v>
      </c>
      <c r="V179">
        <v>1</v>
      </c>
      <c r="W179">
        <v>1</v>
      </c>
      <c r="X179">
        <v>17</v>
      </c>
      <c r="Y179" s="1">
        <v>0</v>
      </c>
      <c r="Z179">
        <v>13</v>
      </c>
      <c r="AA179">
        <v>2</v>
      </c>
      <c r="AB179">
        <v>3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</row>
    <row r="180" spans="1:34" x14ac:dyDescent="0.3">
      <c r="A180" t="s">
        <v>91</v>
      </c>
      <c r="B180" t="s">
        <v>92</v>
      </c>
      <c r="C180" t="s">
        <v>38</v>
      </c>
      <c r="D180" s="1">
        <v>43857</v>
      </c>
      <c r="E180" s="1">
        <v>37285</v>
      </c>
      <c r="F180" s="1">
        <v>2470</v>
      </c>
      <c r="G180" s="1">
        <v>1247</v>
      </c>
      <c r="H180">
        <v>177</v>
      </c>
      <c r="I180" s="1">
        <v>1345</v>
      </c>
      <c r="J180">
        <v>32</v>
      </c>
      <c r="K180">
        <v>47</v>
      </c>
      <c r="L180">
        <v>334</v>
      </c>
      <c r="M180">
        <v>148</v>
      </c>
      <c r="N180">
        <v>741</v>
      </c>
      <c r="O180">
        <v>1</v>
      </c>
      <c r="P180">
        <v>0</v>
      </c>
      <c r="Q180" s="1">
        <v>0</v>
      </c>
      <c r="R180">
        <v>0</v>
      </c>
      <c r="S180">
        <v>21</v>
      </c>
      <c r="T180">
        <v>0</v>
      </c>
      <c r="U180" s="1">
        <v>0</v>
      </c>
      <c r="V180">
        <v>4</v>
      </c>
      <c r="W180">
        <v>0</v>
      </c>
      <c r="X180">
        <v>0</v>
      </c>
      <c r="Y180" s="1">
        <v>0</v>
      </c>
      <c r="Z180">
        <v>4</v>
      </c>
      <c r="AA180">
        <v>0</v>
      </c>
      <c r="AB180">
        <v>0</v>
      </c>
      <c r="AC180" s="1">
        <v>0</v>
      </c>
      <c r="AD180" s="1">
        <v>0</v>
      </c>
      <c r="AE180" s="1">
        <v>0</v>
      </c>
      <c r="AF180" s="1">
        <v>0</v>
      </c>
      <c r="AG180">
        <v>1</v>
      </c>
      <c r="AH180" s="1">
        <v>0</v>
      </c>
    </row>
    <row r="181" spans="1:34" x14ac:dyDescent="0.3">
      <c r="A181" t="s">
        <v>91</v>
      </c>
      <c r="B181" t="s">
        <v>93</v>
      </c>
      <c r="C181" t="s">
        <v>34</v>
      </c>
      <c r="D181" s="1">
        <v>42181</v>
      </c>
      <c r="E181" s="1">
        <v>32432</v>
      </c>
      <c r="F181" s="1">
        <v>2941</v>
      </c>
      <c r="G181" s="1">
        <v>2487</v>
      </c>
      <c r="H181">
        <v>334</v>
      </c>
      <c r="I181" s="1">
        <v>1464</v>
      </c>
      <c r="J181">
        <v>99</v>
      </c>
      <c r="K181">
        <v>145</v>
      </c>
      <c r="L181">
        <v>774</v>
      </c>
      <c r="M181">
        <v>393</v>
      </c>
      <c r="N181">
        <v>891</v>
      </c>
      <c r="O181">
        <v>0</v>
      </c>
      <c r="P181">
        <v>1</v>
      </c>
      <c r="Q181" s="1">
        <v>0</v>
      </c>
      <c r="R181">
        <v>0</v>
      </c>
      <c r="S181">
        <v>67</v>
      </c>
      <c r="T181">
        <v>2</v>
      </c>
      <c r="U181" s="1">
        <v>0</v>
      </c>
      <c r="V181">
        <v>2</v>
      </c>
      <c r="W181">
        <v>4</v>
      </c>
      <c r="X181">
        <v>1</v>
      </c>
      <c r="Y181">
        <v>4</v>
      </c>
      <c r="Z181">
        <v>18</v>
      </c>
      <c r="AA181">
        <v>120</v>
      </c>
      <c r="AB181">
        <v>0</v>
      </c>
      <c r="AC181" s="1">
        <v>0</v>
      </c>
      <c r="AD181" s="1">
        <v>0</v>
      </c>
      <c r="AE181" s="1">
        <v>0</v>
      </c>
      <c r="AF181" s="1">
        <v>0</v>
      </c>
      <c r="AG181">
        <v>2</v>
      </c>
      <c r="AH181" s="1">
        <v>0</v>
      </c>
    </row>
    <row r="182" spans="1:34" x14ac:dyDescent="0.3">
      <c r="A182" t="s">
        <v>91</v>
      </c>
      <c r="B182" t="s">
        <v>93</v>
      </c>
      <c r="C182" t="s">
        <v>37</v>
      </c>
      <c r="D182" s="1">
        <v>21846</v>
      </c>
      <c r="E182" s="1">
        <v>15714</v>
      </c>
      <c r="F182" s="1">
        <v>1738</v>
      </c>
      <c r="G182" s="1">
        <v>1200</v>
      </c>
      <c r="H182">
        <v>151</v>
      </c>
      <c r="I182" s="1">
        <v>1030</v>
      </c>
      <c r="J182">
        <v>52</v>
      </c>
      <c r="K182">
        <v>101</v>
      </c>
      <c r="L182">
        <v>674</v>
      </c>
      <c r="M182">
        <v>308</v>
      </c>
      <c r="N182">
        <v>694</v>
      </c>
      <c r="O182">
        <v>0</v>
      </c>
      <c r="P182">
        <v>1</v>
      </c>
      <c r="Q182" s="1">
        <v>0</v>
      </c>
      <c r="R182">
        <v>0</v>
      </c>
      <c r="S182">
        <v>37</v>
      </c>
      <c r="T182">
        <v>2</v>
      </c>
      <c r="U182" s="1">
        <v>0</v>
      </c>
      <c r="V182">
        <v>2</v>
      </c>
      <c r="W182">
        <v>4</v>
      </c>
      <c r="X182">
        <v>1</v>
      </c>
      <c r="Y182">
        <v>4</v>
      </c>
      <c r="Z182">
        <v>16</v>
      </c>
      <c r="AA182">
        <v>116</v>
      </c>
      <c r="AB182">
        <v>0</v>
      </c>
      <c r="AC182" s="1">
        <v>0</v>
      </c>
      <c r="AD182" s="1">
        <v>0</v>
      </c>
      <c r="AE182" s="1">
        <v>0</v>
      </c>
      <c r="AF182" s="1">
        <v>0</v>
      </c>
      <c r="AG182">
        <v>1</v>
      </c>
      <c r="AH182" s="1">
        <v>0</v>
      </c>
    </row>
    <row r="183" spans="1:34" x14ac:dyDescent="0.3">
      <c r="A183" t="s">
        <v>91</v>
      </c>
      <c r="B183" t="s">
        <v>93</v>
      </c>
      <c r="C183" t="s">
        <v>38</v>
      </c>
      <c r="D183" s="1">
        <v>20335</v>
      </c>
      <c r="E183" s="1">
        <v>16718</v>
      </c>
      <c r="F183" s="1">
        <v>1203</v>
      </c>
      <c r="G183" s="1">
        <v>1287</v>
      </c>
      <c r="H183">
        <v>183</v>
      </c>
      <c r="I183">
        <v>434</v>
      </c>
      <c r="J183">
        <v>47</v>
      </c>
      <c r="K183">
        <v>44</v>
      </c>
      <c r="L183">
        <v>100</v>
      </c>
      <c r="M183">
        <v>85</v>
      </c>
      <c r="N183">
        <v>197</v>
      </c>
      <c r="O183">
        <v>0</v>
      </c>
      <c r="P183">
        <v>0</v>
      </c>
      <c r="Q183" s="1">
        <v>0</v>
      </c>
      <c r="R183">
        <v>0</v>
      </c>
      <c r="S183">
        <v>30</v>
      </c>
      <c r="T183">
        <v>0</v>
      </c>
      <c r="U183" s="1">
        <v>0</v>
      </c>
      <c r="V183">
        <v>0</v>
      </c>
      <c r="W183">
        <v>0</v>
      </c>
      <c r="X183">
        <v>0</v>
      </c>
      <c r="Y183" s="1">
        <v>0</v>
      </c>
      <c r="Z183">
        <v>2</v>
      </c>
      <c r="AA183">
        <v>4</v>
      </c>
      <c r="AB183">
        <v>0</v>
      </c>
      <c r="AC183" s="1">
        <v>0</v>
      </c>
      <c r="AD183" s="1">
        <v>0</v>
      </c>
      <c r="AE183" s="1">
        <v>0</v>
      </c>
      <c r="AF183" s="1">
        <v>0</v>
      </c>
      <c r="AG183">
        <v>1</v>
      </c>
      <c r="AH183" s="1">
        <v>0</v>
      </c>
    </row>
    <row r="184" spans="1:34" x14ac:dyDescent="0.3">
      <c r="A184" t="s">
        <v>91</v>
      </c>
      <c r="B184" t="s">
        <v>94</v>
      </c>
      <c r="C184" t="s">
        <v>34</v>
      </c>
      <c r="D184" s="1">
        <v>16031</v>
      </c>
      <c r="E184" s="1">
        <v>12043</v>
      </c>
      <c r="F184">
        <v>908</v>
      </c>
      <c r="G184">
        <v>499</v>
      </c>
      <c r="H184">
        <v>127</v>
      </c>
      <c r="I184" s="1">
        <v>1087</v>
      </c>
      <c r="J184">
        <v>3</v>
      </c>
      <c r="K184">
        <v>22</v>
      </c>
      <c r="L184">
        <v>684</v>
      </c>
      <c r="M184">
        <v>199</v>
      </c>
      <c r="N184">
        <v>385</v>
      </c>
      <c r="O184">
        <v>0</v>
      </c>
      <c r="P184">
        <v>11</v>
      </c>
      <c r="Q184">
        <v>1</v>
      </c>
      <c r="R184">
        <v>0</v>
      </c>
      <c r="S184">
        <v>36</v>
      </c>
      <c r="T184">
        <v>19</v>
      </c>
      <c r="U184" s="1">
        <v>0</v>
      </c>
      <c r="V184">
        <v>1</v>
      </c>
      <c r="W184">
        <v>1</v>
      </c>
      <c r="X184">
        <v>0</v>
      </c>
      <c r="Y184" s="1">
        <v>0</v>
      </c>
      <c r="Z184">
        <v>5</v>
      </c>
      <c r="AA184">
        <v>0</v>
      </c>
      <c r="AB184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 x14ac:dyDescent="0.3">
      <c r="A185" t="s">
        <v>91</v>
      </c>
      <c r="B185" t="s">
        <v>94</v>
      </c>
      <c r="C185" t="s">
        <v>37</v>
      </c>
      <c r="D185" s="1">
        <v>8508</v>
      </c>
      <c r="E185" s="1">
        <v>5579</v>
      </c>
      <c r="F185">
        <v>420</v>
      </c>
      <c r="G185">
        <v>231</v>
      </c>
      <c r="H185">
        <v>54</v>
      </c>
      <c r="I185">
        <v>973</v>
      </c>
      <c r="J185">
        <v>1</v>
      </c>
      <c r="K185">
        <v>9</v>
      </c>
      <c r="L185">
        <v>662</v>
      </c>
      <c r="M185">
        <v>179</v>
      </c>
      <c r="N185">
        <v>328</v>
      </c>
      <c r="O185">
        <v>0</v>
      </c>
      <c r="P185">
        <v>11</v>
      </c>
      <c r="Q185">
        <v>1</v>
      </c>
      <c r="R185">
        <v>0</v>
      </c>
      <c r="S185">
        <v>34</v>
      </c>
      <c r="T185">
        <v>19</v>
      </c>
      <c r="U185" s="1">
        <v>0</v>
      </c>
      <c r="V185">
        <v>1</v>
      </c>
      <c r="W185">
        <v>1</v>
      </c>
      <c r="X185">
        <v>0</v>
      </c>
      <c r="Y185" s="1">
        <v>0</v>
      </c>
      <c r="Z185">
        <v>5</v>
      </c>
      <c r="AA185">
        <v>0</v>
      </c>
      <c r="AB185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</row>
    <row r="186" spans="1:34" x14ac:dyDescent="0.3">
      <c r="A186" t="s">
        <v>91</v>
      </c>
      <c r="B186" t="s">
        <v>94</v>
      </c>
      <c r="C186" t="s">
        <v>38</v>
      </c>
      <c r="D186" s="1">
        <v>7523</v>
      </c>
      <c r="E186" s="1">
        <v>6464</v>
      </c>
      <c r="F186">
        <v>488</v>
      </c>
      <c r="G186">
        <v>268</v>
      </c>
      <c r="H186">
        <v>73</v>
      </c>
      <c r="I186">
        <v>114</v>
      </c>
      <c r="J186">
        <v>2</v>
      </c>
      <c r="K186">
        <v>13</v>
      </c>
      <c r="L186">
        <v>22</v>
      </c>
      <c r="M186">
        <v>20</v>
      </c>
      <c r="N186">
        <v>57</v>
      </c>
      <c r="O186">
        <v>0</v>
      </c>
      <c r="P186">
        <v>0</v>
      </c>
      <c r="Q186" s="1">
        <v>0</v>
      </c>
      <c r="R186">
        <v>0</v>
      </c>
      <c r="S186">
        <v>2</v>
      </c>
      <c r="T186">
        <v>0</v>
      </c>
      <c r="U186" s="1">
        <v>0</v>
      </c>
      <c r="V186">
        <v>0</v>
      </c>
      <c r="W186">
        <v>0</v>
      </c>
      <c r="X186">
        <v>0</v>
      </c>
      <c r="Y186" s="1">
        <v>0</v>
      </c>
      <c r="Z186">
        <v>0</v>
      </c>
      <c r="AA186">
        <v>0</v>
      </c>
      <c r="AB186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</row>
    <row r="187" spans="1:34" x14ac:dyDescent="0.3">
      <c r="A187" t="s">
        <v>91</v>
      </c>
      <c r="B187" t="s">
        <v>95</v>
      </c>
      <c r="C187" t="s">
        <v>34</v>
      </c>
      <c r="D187" s="1">
        <v>9976</v>
      </c>
      <c r="E187" s="1">
        <v>6990</v>
      </c>
      <c r="F187">
        <v>894</v>
      </c>
      <c r="G187">
        <v>541</v>
      </c>
      <c r="H187">
        <v>110</v>
      </c>
      <c r="I187">
        <v>719</v>
      </c>
      <c r="J187">
        <v>11</v>
      </c>
      <c r="K187">
        <v>23</v>
      </c>
      <c r="L187">
        <v>236</v>
      </c>
      <c r="M187">
        <v>164</v>
      </c>
      <c r="N187">
        <v>255</v>
      </c>
      <c r="O187">
        <v>0</v>
      </c>
      <c r="P187">
        <v>0</v>
      </c>
      <c r="Q187" s="1">
        <v>0</v>
      </c>
      <c r="R187">
        <v>0</v>
      </c>
      <c r="S187">
        <v>13</v>
      </c>
      <c r="T187">
        <v>4</v>
      </c>
      <c r="U187" s="1">
        <v>0</v>
      </c>
      <c r="V187">
        <v>0</v>
      </c>
      <c r="W187">
        <v>0</v>
      </c>
      <c r="X187">
        <v>3</v>
      </c>
      <c r="Y187">
        <v>3</v>
      </c>
      <c r="Z187">
        <v>10</v>
      </c>
      <c r="AA187">
        <v>0</v>
      </c>
      <c r="AB187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</row>
    <row r="188" spans="1:34" x14ac:dyDescent="0.3">
      <c r="A188" t="s">
        <v>91</v>
      </c>
      <c r="B188" t="s">
        <v>95</v>
      </c>
      <c r="C188" t="s">
        <v>37</v>
      </c>
      <c r="D188" s="1">
        <v>5469</v>
      </c>
      <c r="E188" s="1">
        <v>3474</v>
      </c>
      <c r="F188">
        <v>414</v>
      </c>
      <c r="G188">
        <v>295</v>
      </c>
      <c r="H188">
        <v>53</v>
      </c>
      <c r="I188">
        <v>575</v>
      </c>
      <c r="J188">
        <v>8</v>
      </c>
      <c r="K188">
        <v>20</v>
      </c>
      <c r="L188">
        <v>218</v>
      </c>
      <c r="M188">
        <v>146</v>
      </c>
      <c r="N188">
        <v>234</v>
      </c>
      <c r="O188">
        <v>0</v>
      </c>
      <c r="P188">
        <v>0</v>
      </c>
      <c r="Q188" s="1">
        <v>0</v>
      </c>
      <c r="R188">
        <v>0</v>
      </c>
      <c r="S188">
        <v>13</v>
      </c>
      <c r="T188">
        <v>4</v>
      </c>
      <c r="U188" s="1">
        <v>0</v>
      </c>
      <c r="V188">
        <v>0</v>
      </c>
      <c r="W188">
        <v>0</v>
      </c>
      <c r="X188">
        <v>3</v>
      </c>
      <c r="Y188">
        <v>3</v>
      </c>
      <c r="Z188">
        <v>9</v>
      </c>
      <c r="AA188">
        <v>0</v>
      </c>
      <c r="AB188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</row>
    <row r="189" spans="1:34" x14ac:dyDescent="0.3">
      <c r="A189" t="s">
        <v>91</v>
      </c>
      <c r="B189" t="s">
        <v>95</v>
      </c>
      <c r="C189" t="s">
        <v>38</v>
      </c>
      <c r="D189" s="1">
        <v>4507</v>
      </c>
      <c r="E189" s="1">
        <v>3516</v>
      </c>
      <c r="F189">
        <v>480</v>
      </c>
      <c r="G189">
        <v>246</v>
      </c>
      <c r="H189">
        <v>57</v>
      </c>
      <c r="I189">
        <v>144</v>
      </c>
      <c r="J189">
        <v>3</v>
      </c>
      <c r="K189">
        <v>3</v>
      </c>
      <c r="L189">
        <v>18</v>
      </c>
      <c r="M189">
        <v>18</v>
      </c>
      <c r="N189">
        <v>21</v>
      </c>
      <c r="O189">
        <v>0</v>
      </c>
      <c r="P189">
        <v>0</v>
      </c>
      <c r="Q189" s="1">
        <v>0</v>
      </c>
      <c r="R189">
        <v>0</v>
      </c>
      <c r="S189">
        <v>0</v>
      </c>
      <c r="T189">
        <v>0</v>
      </c>
      <c r="U189" s="1">
        <v>0</v>
      </c>
      <c r="V189">
        <v>0</v>
      </c>
      <c r="W189">
        <v>0</v>
      </c>
      <c r="X189">
        <v>0</v>
      </c>
      <c r="Y189" s="1">
        <v>0</v>
      </c>
      <c r="Z189">
        <v>1</v>
      </c>
      <c r="AA189">
        <v>0</v>
      </c>
      <c r="AB189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</row>
    <row r="190" spans="1:34" x14ac:dyDescent="0.3">
      <c r="A190" t="s">
        <v>91</v>
      </c>
      <c r="B190" t="s">
        <v>96</v>
      </c>
      <c r="C190" t="s">
        <v>34</v>
      </c>
      <c r="D190" s="1">
        <v>8953</v>
      </c>
      <c r="E190" s="1">
        <v>6877</v>
      </c>
      <c r="F190">
        <v>585</v>
      </c>
      <c r="G190">
        <v>550</v>
      </c>
      <c r="H190">
        <v>107</v>
      </c>
      <c r="I190">
        <v>477</v>
      </c>
      <c r="J190">
        <v>30</v>
      </c>
      <c r="K190">
        <v>15</v>
      </c>
      <c r="L190">
        <v>99</v>
      </c>
      <c r="M190">
        <v>61</v>
      </c>
      <c r="N190">
        <v>137</v>
      </c>
      <c r="O190">
        <v>0</v>
      </c>
      <c r="P190">
        <v>2</v>
      </c>
      <c r="Q190" s="1">
        <v>0</v>
      </c>
      <c r="R190">
        <v>0</v>
      </c>
      <c r="S190">
        <v>8</v>
      </c>
      <c r="T190">
        <v>0</v>
      </c>
      <c r="U190">
        <v>1</v>
      </c>
      <c r="V190">
        <v>1</v>
      </c>
      <c r="W190">
        <v>0</v>
      </c>
      <c r="X190">
        <v>0</v>
      </c>
      <c r="Y190" s="1">
        <v>0</v>
      </c>
      <c r="Z190">
        <v>3</v>
      </c>
      <c r="AA190">
        <v>0</v>
      </c>
      <c r="AB190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</row>
    <row r="191" spans="1:34" x14ac:dyDescent="0.3">
      <c r="A191" t="s">
        <v>91</v>
      </c>
      <c r="B191" t="s">
        <v>96</v>
      </c>
      <c r="C191" t="s">
        <v>37</v>
      </c>
      <c r="D191" s="1">
        <v>4380</v>
      </c>
      <c r="E191" s="1">
        <v>3116</v>
      </c>
      <c r="F191">
        <v>282</v>
      </c>
      <c r="G191">
        <v>305</v>
      </c>
      <c r="H191">
        <v>49</v>
      </c>
      <c r="I191">
        <v>347</v>
      </c>
      <c r="J191">
        <v>15</v>
      </c>
      <c r="K191">
        <v>8</v>
      </c>
      <c r="L191">
        <v>87</v>
      </c>
      <c r="M191">
        <v>52</v>
      </c>
      <c r="N191">
        <v>106</v>
      </c>
      <c r="O191">
        <v>0</v>
      </c>
      <c r="P191">
        <v>2</v>
      </c>
      <c r="Q191" s="1">
        <v>0</v>
      </c>
      <c r="R191">
        <v>0</v>
      </c>
      <c r="S191">
        <v>7</v>
      </c>
      <c r="T191">
        <v>0</v>
      </c>
      <c r="U191">
        <v>1</v>
      </c>
      <c r="V191">
        <v>0</v>
      </c>
      <c r="W191">
        <v>0</v>
      </c>
      <c r="X191">
        <v>0</v>
      </c>
      <c r="Y191" s="1">
        <v>0</v>
      </c>
      <c r="Z191">
        <v>3</v>
      </c>
      <c r="AA191">
        <v>0</v>
      </c>
      <c r="AB19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 x14ac:dyDescent="0.3">
      <c r="A192" t="s">
        <v>91</v>
      </c>
      <c r="B192" t="s">
        <v>96</v>
      </c>
      <c r="C192" t="s">
        <v>38</v>
      </c>
      <c r="D192" s="1">
        <v>4573</v>
      </c>
      <c r="E192" s="1">
        <v>3761</v>
      </c>
      <c r="F192">
        <v>303</v>
      </c>
      <c r="G192">
        <v>245</v>
      </c>
      <c r="H192">
        <v>58</v>
      </c>
      <c r="I192">
        <v>130</v>
      </c>
      <c r="J192">
        <v>15</v>
      </c>
      <c r="K192">
        <v>7</v>
      </c>
      <c r="L192">
        <v>12</v>
      </c>
      <c r="M192">
        <v>9</v>
      </c>
      <c r="N192">
        <v>31</v>
      </c>
      <c r="O192">
        <v>0</v>
      </c>
      <c r="P192">
        <v>0</v>
      </c>
      <c r="Q192" s="1">
        <v>0</v>
      </c>
      <c r="R192">
        <v>0</v>
      </c>
      <c r="S192">
        <v>1</v>
      </c>
      <c r="T192">
        <v>0</v>
      </c>
      <c r="U192" s="1">
        <v>0</v>
      </c>
      <c r="V192">
        <v>1</v>
      </c>
      <c r="W192">
        <v>0</v>
      </c>
      <c r="X192">
        <v>0</v>
      </c>
      <c r="Y192" s="1">
        <v>0</v>
      </c>
      <c r="Z192">
        <v>0</v>
      </c>
      <c r="AA192">
        <v>0</v>
      </c>
      <c r="AB192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</row>
    <row r="193" spans="1:34" x14ac:dyDescent="0.3">
      <c r="A193" t="s">
        <v>91</v>
      </c>
      <c r="B193" t="s">
        <v>97</v>
      </c>
      <c r="C193" t="s">
        <v>34</v>
      </c>
      <c r="D193" s="1">
        <v>7840</v>
      </c>
      <c r="E193" s="1">
        <v>5786</v>
      </c>
      <c r="F193">
        <v>482</v>
      </c>
      <c r="G193">
        <v>304</v>
      </c>
      <c r="H193">
        <v>61</v>
      </c>
      <c r="I193">
        <v>585</v>
      </c>
      <c r="J193">
        <v>13</v>
      </c>
      <c r="K193">
        <v>14</v>
      </c>
      <c r="L193">
        <v>147</v>
      </c>
      <c r="M193">
        <v>172</v>
      </c>
      <c r="N193">
        <v>175</v>
      </c>
      <c r="O193">
        <v>1</v>
      </c>
      <c r="P193">
        <v>12</v>
      </c>
      <c r="Q193" s="1">
        <v>0</v>
      </c>
      <c r="R193">
        <v>0</v>
      </c>
      <c r="S193">
        <v>48</v>
      </c>
      <c r="T193">
        <v>2</v>
      </c>
      <c r="U193">
        <v>5</v>
      </c>
      <c r="V193">
        <v>3</v>
      </c>
      <c r="W193">
        <v>4</v>
      </c>
      <c r="X193">
        <v>2</v>
      </c>
      <c r="Y193">
        <v>6</v>
      </c>
      <c r="Z193">
        <v>17</v>
      </c>
      <c r="AA193">
        <v>0</v>
      </c>
      <c r="AB193">
        <v>0</v>
      </c>
      <c r="AC193">
        <v>1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 x14ac:dyDescent="0.3">
      <c r="A194" t="s">
        <v>91</v>
      </c>
      <c r="B194" t="s">
        <v>97</v>
      </c>
      <c r="C194" t="s">
        <v>37</v>
      </c>
      <c r="D194" s="1">
        <v>3801</v>
      </c>
      <c r="E194" s="1">
        <v>2382</v>
      </c>
      <c r="F194">
        <v>197</v>
      </c>
      <c r="G194">
        <v>123</v>
      </c>
      <c r="H194">
        <v>16</v>
      </c>
      <c r="I194">
        <v>510</v>
      </c>
      <c r="J194">
        <v>4</v>
      </c>
      <c r="K194">
        <v>7</v>
      </c>
      <c r="L194">
        <v>137</v>
      </c>
      <c r="M194">
        <v>159</v>
      </c>
      <c r="N194">
        <v>172</v>
      </c>
      <c r="O194">
        <v>1</v>
      </c>
      <c r="P194">
        <v>11</v>
      </c>
      <c r="Q194" s="1">
        <v>0</v>
      </c>
      <c r="R194">
        <v>0</v>
      </c>
      <c r="S194">
        <v>46</v>
      </c>
      <c r="T194">
        <v>2</v>
      </c>
      <c r="U194">
        <v>3</v>
      </c>
      <c r="V194">
        <v>1</v>
      </c>
      <c r="W194">
        <v>4</v>
      </c>
      <c r="X194">
        <v>2</v>
      </c>
      <c r="Y194">
        <v>6</v>
      </c>
      <c r="Z194">
        <v>17</v>
      </c>
      <c r="AA194">
        <v>0</v>
      </c>
      <c r="AB194">
        <v>0</v>
      </c>
      <c r="AC194">
        <v>1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 x14ac:dyDescent="0.3">
      <c r="A195" t="s">
        <v>91</v>
      </c>
      <c r="B195" t="s">
        <v>97</v>
      </c>
      <c r="C195" t="s">
        <v>38</v>
      </c>
      <c r="D195" s="1">
        <v>4039</v>
      </c>
      <c r="E195" s="1">
        <v>3404</v>
      </c>
      <c r="F195">
        <v>285</v>
      </c>
      <c r="G195">
        <v>181</v>
      </c>
      <c r="H195">
        <v>45</v>
      </c>
      <c r="I195">
        <v>75</v>
      </c>
      <c r="J195">
        <v>9</v>
      </c>
      <c r="K195">
        <v>7</v>
      </c>
      <c r="L195">
        <v>10</v>
      </c>
      <c r="M195">
        <v>13</v>
      </c>
      <c r="N195">
        <v>3</v>
      </c>
      <c r="O195">
        <v>0</v>
      </c>
      <c r="P195">
        <v>1</v>
      </c>
      <c r="Q195" s="1">
        <v>0</v>
      </c>
      <c r="R195">
        <v>0</v>
      </c>
      <c r="S195">
        <v>2</v>
      </c>
      <c r="T195">
        <v>0</v>
      </c>
      <c r="U195">
        <v>2</v>
      </c>
      <c r="V195">
        <v>2</v>
      </c>
      <c r="W195">
        <v>0</v>
      </c>
      <c r="X195">
        <v>0</v>
      </c>
      <c r="Y195" s="1">
        <v>0</v>
      </c>
      <c r="Z195">
        <v>0</v>
      </c>
      <c r="AA195">
        <v>0</v>
      </c>
      <c r="AB195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</row>
    <row r="196" spans="1:34" x14ac:dyDescent="0.3">
      <c r="A196" t="s">
        <v>91</v>
      </c>
      <c r="B196" t="s">
        <v>98</v>
      </c>
      <c r="C196" t="s">
        <v>34</v>
      </c>
      <c r="D196" s="1">
        <v>3538</v>
      </c>
      <c r="E196" s="1">
        <v>2969</v>
      </c>
      <c r="F196">
        <v>136</v>
      </c>
      <c r="G196">
        <v>103</v>
      </c>
      <c r="H196">
        <v>17</v>
      </c>
      <c r="I196">
        <v>117</v>
      </c>
      <c r="J196">
        <v>8</v>
      </c>
      <c r="K196">
        <v>20</v>
      </c>
      <c r="L196">
        <v>29</v>
      </c>
      <c r="M196">
        <v>31</v>
      </c>
      <c r="N196">
        <v>42</v>
      </c>
      <c r="O196">
        <v>0</v>
      </c>
      <c r="P196">
        <v>0</v>
      </c>
      <c r="Q196" s="1">
        <v>0</v>
      </c>
      <c r="R196">
        <v>0</v>
      </c>
      <c r="S196">
        <v>3</v>
      </c>
      <c r="T196">
        <v>0</v>
      </c>
      <c r="U196">
        <v>0</v>
      </c>
      <c r="V196">
        <v>1</v>
      </c>
      <c r="W196">
        <v>0</v>
      </c>
      <c r="X196">
        <v>0</v>
      </c>
      <c r="Y196" s="1">
        <v>0</v>
      </c>
      <c r="Z196">
        <v>0</v>
      </c>
      <c r="AA196">
        <v>0</v>
      </c>
      <c r="AB196">
        <v>62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</row>
    <row r="197" spans="1:34" x14ac:dyDescent="0.3">
      <c r="A197" t="s">
        <v>91</v>
      </c>
      <c r="B197" t="s">
        <v>98</v>
      </c>
      <c r="C197" t="s">
        <v>37</v>
      </c>
      <c r="D197" s="1">
        <v>1873</v>
      </c>
      <c r="E197" s="1">
        <v>1447</v>
      </c>
      <c r="F197">
        <v>86</v>
      </c>
      <c r="G197">
        <v>52</v>
      </c>
      <c r="H197">
        <v>9</v>
      </c>
      <c r="I197">
        <v>106</v>
      </c>
      <c r="J197">
        <v>6</v>
      </c>
      <c r="K197">
        <v>15</v>
      </c>
      <c r="L197">
        <v>23</v>
      </c>
      <c r="M197">
        <v>28</v>
      </c>
      <c r="N197">
        <v>37</v>
      </c>
      <c r="O197">
        <v>0</v>
      </c>
      <c r="P197">
        <v>0</v>
      </c>
      <c r="Q197" s="1">
        <v>0</v>
      </c>
      <c r="R197">
        <v>0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0</v>
      </c>
      <c r="Y197" s="1">
        <v>0</v>
      </c>
      <c r="Z197">
        <v>0</v>
      </c>
      <c r="AA197">
        <v>0</v>
      </c>
      <c r="AB197">
        <v>62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</row>
    <row r="198" spans="1:34" x14ac:dyDescent="0.3">
      <c r="A198" t="s">
        <v>91</v>
      </c>
      <c r="B198" t="s">
        <v>98</v>
      </c>
      <c r="C198" t="s">
        <v>38</v>
      </c>
      <c r="D198" s="1">
        <v>1665</v>
      </c>
      <c r="E198" s="1">
        <v>1522</v>
      </c>
      <c r="F198">
        <v>50</v>
      </c>
      <c r="G198">
        <v>51</v>
      </c>
      <c r="H198">
        <v>8</v>
      </c>
      <c r="I198">
        <v>11</v>
      </c>
      <c r="J198">
        <v>2</v>
      </c>
      <c r="K198">
        <v>5</v>
      </c>
      <c r="L198">
        <v>6</v>
      </c>
      <c r="M198">
        <v>3</v>
      </c>
      <c r="N198">
        <v>5</v>
      </c>
      <c r="O198">
        <v>0</v>
      </c>
      <c r="P198">
        <v>0</v>
      </c>
      <c r="Q198" s="1">
        <v>0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 s="1">
        <v>0</v>
      </c>
      <c r="Z198">
        <v>0</v>
      </c>
      <c r="AA198">
        <v>0</v>
      </c>
      <c r="AB198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</row>
    <row r="199" spans="1:34" x14ac:dyDescent="0.3">
      <c r="A199" t="s">
        <v>91</v>
      </c>
      <c r="B199" t="s">
        <v>99</v>
      </c>
      <c r="C199" t="s">
        <v>34</v>
      </c>
      <c r="D199" s="1">
        <v>2956</v>
      </c>
      <c r="E199" s="1">
        <v>2414</v>
      </c>
      <c r="F199">
        <v>177</v>
      </c>
      <c r="G199">
        <v>99</v>
      </c>
      <c r="H199">
        <v>20</v>
      </c>
      <c r="I199">
        <v>161</v>
      </c>
      <c r="J199">
        <v>0</v>
      </c>
      <c r="K199">
        <v>2</v>
      </c>
      <c r="L199">
        <v>43</v>
      </c>
      <c r="M199">
        <v>11</v>
      </c>
      <c r="N199">
        <v>23</v>
      </c>
      <c r="O199">
        <v>0</v>
      </c>
      <c r="P199">
        <v>0</v>
      </c>
      <c r="Q199" s="1">
        <v>0</v>
      </c>
      <c r="R199">
        <v>0</v>
      </c>
      <c r="S199">
        <v>5</v>
      </c>
      <c r="T199">
        <v>0</v>
      </c>
      <c r="U199">
        <v>0</v>
      </c>
      <c r="V199">
        <v>0</v>
      </c>
      <c r="W199">
        <v>0</v>
      </c>
      <c r="X199">
        <v>0</v>
      </c>
      <c r="Y199" s="1">
        <v>0</v>
      </c>
      <c r="Z199">
        <v>1</v>
      </c>
      <c r="AA199">
        <v>0</v>
      </c>
      <c r="AB199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</row>
    <row r="200" spans="1:34" x14ac:dyDescent="0.3">
      <c r="A200" t="s">
        <v>91</v>
      </c>
      <c r="B200" t="s">
        <v>99</v>
      </c>
      <c r="C200" t="s">
        <v>37</v>
      </c>
      <c r="D200" s="1">
        <v>1438</v>
      </c>
      <c r="E200" s="1">
        <v>1152</v>
      </c>
      <c r="F200">
        <v>90</v>
      </c>
      <c r="G200">
        <v>51</v>
      </c>
      <c r="H200">
        <v>9</v>
      </c>
      <c r="I200">
        <v>82</v>
      </c>
      <c r="J200">
        <v>0</v>
      </c>
      <c r="K200">
        <v>0</v>
      </c>
      <c r="L200">
        <v>25</v>
      </c>
      <c r="M200">
        <v>10</v>
      </c>
      <c r="N200">
        <v>15</v>
      </c>
      <c r="O200">
        <v>0</v>
      </c>
      <c r="P200">
        <v>0</v>
      </c>
      <c r="Q200" s="1">
        <v>0</v>
      </c>
      <c r="R200">
        <v>0</v>
      </c>
      <c r="S200">
        <v>3</v>
      </c>
      <c r="T200">
        <v>0</v>
      </c>
      <c r="U200">
        <v>0</v>
      </c>
      <c r="V200">
        <v>0</v>
      </c>
      <c r="W200">
        <v>0</v>
      </c>
      <c r="X200">
        <v>0</v>
      </c>
      <c r="Y200" s="1">
        <v>0</v>
      </c>
      <c r="Z200">
        <v>1</v>
      </c>
      <c r="AA200">
        <v>0</v>
      </c>
      <c r="AB200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</row>
    <row r="201" spans="1:34" x14ac:dyDescent="0.3">
      <c r="A201" t="s">
        <v>91</v>
      </c>
      <c r="B201" t="s">
        <v>99</v>
      </c>
      <c r="C201" t="s">
        <v>38</v>
      </c>
      <c r="D201" s="1">
        <v>1518</v>
      </c>
      <c r="E201" s="1">
        <v>1262</v>
      </c>
      <c r="F201">
        <v>87</v>
      </c>
      <c r="G201">
        <v>48</v>
      </c>
      <c r="H201">
        <v>11</v>
      </c>
      <c r="I201">
        <v>79</v>
      </c>
      <c r="J201">
        <v>0</v>
      </c>
      <c r="K201">
        <v>2</v>
      </c>
      <c r="L201">
        <v>18</v>
      </c>
      <c r="M201">
        <v>1</v>
      </c>
      <c r="N201">
        <v>8</v>
      </c>
      <c r="O201">
        <v>0</v>
      </c>
      <c r="P201">
        <v>0</v>
      </c>
      <c r="Q201" s="1">
        <v>0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 s="1">
        <v>0</v>
      </c>
      <c r="Z201">
        <v>0</v>
      </c>
      <c r="AA201">
        <v>0</v>
      </c>
      <c r="AB20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</row>
    <row r="202" spans="1:34" x14ac:dyDescent="0.3">
      <c r="A202" t="s">
        <v>91</v>
      </c>
      <c r="B202" t="s">
        <v>100</v>
      </c>
      <c r="C202" t="s">
        <v>34</v>
      </c>
      <c r="D202" s="1">
        <v>2302</v>
      </c>
      <c r="E202" s="1">
        <v>1844</v>
      </c>
      <c r="F202">
        <v>116</v>
      </c>
      <c r="G202">
        <v>51</v>
      </c>
      <c r="H202">
        <v>25</v>
      </c>
      <c r="I202">
        <v>92</v>
      </c>
      <c r="J202">
        <v>3</v>
      </c>
      <c r="K202">
        <v>12</v>
      </c>
      <c r="L202">
        <v>64</v>
      </c>
      <c r="M202">
        <v>17</v>
      </c>
      <c r="N202">
        <v>65</v>
      </c>
      <c r="O202">
        <v>0</v>
      </c>
      <c r="P202">
        <v>6</v>
      </c>
      <c r="Q202" s="1">
        <v>0</v>
      </c>
      <c r="R202">
        <v>0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</v>
      </c>
      <c r="Z202">
        <v>0</v>
      </c>
      <c r="AA202">
        <v>0</v>
      </c>
      <c r="AB202">
        <v>0</v>
      </c>
      <c r="AC202" s="1">
        <v>0</v>
      </c>
      <c r="AD202" s="1">
        <v>0</v>
      </c>
      <c r="AE202" s="1">
        <v>0</v>
      </c>
      <c r="AF202" s="1">
        <v>0</v>
      </c>
      <c r="AG202">
        <v>1</v>
      </c>
      <c r="AH202" s="1">
        <v>0</v>
      </c>
    </row>
    <row r="203" spans="1:34" x14ac:dyDescent="0.3">
      <c r="A203" t="s">
        <v>91</v>
      </c>
      <c r="B203" t="s">
        <v>100</v>
      </c>
      <c r="C203" t="s">
        <v>37</v>
      </c>
      <c r="D203" s="1">
        <v>1203</v>
      </c>
      <c r="E203">
        <v>871</v>
      </c>
      <c r="F203">
        <v>67</v>
      </c>
      <c r="G203">
        <v>23</v>
      </c>
      <c r="H203">
        <v>8</v>
      </c>
      <c r="I203">
        <v>79</v>
      </c>
      <c r="J203">
        <v>1</v>
      </c>
      <c r="K203">
        <v>12</v>
      </c>
      <c r="L203">
        <v>58</v>
      </c>
      <c r="M203">
        <v>14</v>
      </c>
      <c r="N203">
        <v>57</v>
      </c>
      <c r="O203">
        <v>0</v>
      </c>
      <c r="P203">
        <v>6</v>
      </c>
      <c r="Q203" s="1">
        <v>0</v>
      </c>
      <c r="R203">
        <v>0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</v>
      </c>
      <c r="Z203">
        <v>0</v>
      </c>
      <c r="AA203">
        <v>0</v>
      </c>
      <c r="AB203">
        <v>0</v>
      </c>
      <c r="AC203" s="1">
        <v>0</v>
      </c>
      <c r="AD203" s="1">
        <v>0</v>
      </c>
      <c r="AE203" s="1">
        <v>0</v>
      </c>
      <c r="AF203" s="1">
        <v>0</v>
      </c>
      <c r="AG203">
        <v>1</v>
      </c>
      <c r="AH203" s="1">
        <v>0</v>
      </c>
    </row>
    <row r="204" spans="1:34" x14ac:dyDescent="0.3">
      <c r="A204" t="s">
        <v>91</v>
      </c>
      <c r="B204" t="s">
        <v>100</v>
      </c>
      <c r="C204" t="s">
        <v>38</v>
      </c>
      <c r="D204" s="1">
        <v>1099</v>
      </c>
      <c r="E204">
        <v>973</v>
      </c>
      <c r="F204">
        <v>49</v>
      </c>
      <c r="G204">
        <v>28</v>
      </c>
      <c r="H204">
        <v>17</v>
      </c>
      <c r="I204">
        <v>13</v>
      </c>
      <c r="J204">
        <v>2</v>
      </c>
      <c r="K204">
        <v>0</v>
      </c>
      <c r="L204">
        <v>6</v>
      </c>
      <c r="M204">
        <v>3</v>
      </c>
      <c r="N204">
        <v>8</v>
      </c>
      <c r="O204">
        <v>0</v>
      </c>
      <c r="P204">
        <v>0</v>
      </c>
      <c r="Q204" s="1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s="1">
        <v>0</v>
      </c>
      <c r="Z204">
        <v>0</v>
      </c>
      <c r="AA204">
        <v>0</v>
      </c>
      <c r="AB204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</row>
    <row r="205" spans="1:34" x14ac:dyDescent="0.3">
      <c r="A205" t="s">
        <v>91</v>
      </c>
      <c r="B205" t="s">
        <v>101</v>
      </c>
      <c r="C205" t="s">
        <v>34</v>
      </c>
      <c r="D205" s="1">
        <v>2059</v>
      </c>
      <c r="E205" s="1">
        <v>1351</v>
      </c>
      <c r="F205">
        <v>78</v>
      </c>
      <c r="G205">
        <v>50</v>
      </c>
      <c r="H205">
        <v>15</v>
      </c>
      <c r="I205">
        <v>286</v>
      </c>
      <c r="J205">
        <v>1</v>
      </c>
      <c r="K205">
        <v>4</v>
      </c>
      <c r="L205">
        <v>30</v>
      </c>
      <c r="M205">
        <v>70</v>
      </c>
      <c r="N205">
        <v>103</v>
      </c>
      <c r="O205">
        <v>0</v>
      </c>
      <c r="P205">
        <v>13</v>
      </c>
      <c r="Q205">
        <v>10</v>
      </c>
      <c r="R205">
        <v>0</v>
      </c>
      <c r="S205">
        <v>17</v>
      </c>
      <c r="T205">
        <v>6</v>
      </c>
      <c r="U205">
        <v>0</v>
      </c>
      <c r="V205">
        <v>0</v>
      </c>
      <c r="W205">
        <v>3</v>
      </c>
      <c r="X205">
        <v>11</v>
      </c>
      <c r="Y205">
        <v>4</v>
      </c>
      <c r="Z205">
        <v>2</v>
      </c>
      <c r="AA205">
        <v>0</v>
      </c>
      <c r="AB205">
        <v>1</v>
      </c>
      <c r="AC205" s="1">
        <v>0</v>
      </c>
      <c r="AD205" s="1">
        <v>0</v>
      </c>
      <c r="AE205">
        <v>4</v>
      </c>
      <c r="AF205" s="1">
        <v>0</v>
      </c>
      <c r="AG205" s="1">
        <v>0</v>
      </c>
      <c r="AH205" s="1">
        <v>0</v>
      </c>
    </row>
    <row r="206" spans="1:34" x14ac:dyDescent="0.3">
      <c r="A206" t="s">
        <v>91</v>
      </c>
      <c r="B206" t="s">
        <v>101</v>
      </c>
      <c r="C206" t="s">
        <v>37</v>
      </c>
      <c r="D206" s="1">
        <v>1109</v>
      </c>
      <c r="E206">
        <v>608</v>
      </c>
      <c r="F206">
        <v>34</v>
      </c>
      <c r="G206">
        <v>21</v>
      </c>
      <c r="H206">
        <v>6</v>
      </c>
      <c r="I206">
        <v>188</v>
      </c>
      <c r="J206">
        <v>0</v>
      </c>
      <c r="K206">
        <v>1</v>
      </c>
      <c r="L206">
        <v>26</v>
      </c>
      <c r="M206">
        <v>67</v>
      </c>
      <c r="N206">
        <v>89</v>
      </c>
      <c r="O206">
        <v>0</v>
      </c>
      <c r="P206">
        <v>13</v>
      </c>
      <c r="Q206">
        <v>9</v>
      </c>
      <c r="R206">
        <v>0</v>
      </c>
      <c r="S206">
        <v>17</v>
      </c>
      <c r="T206">
        <v>6</v>
      </c>
      <c r="U206">
        <v>0</v>
      </c>
      <c r="V206">
        <v>0</v>
      </c>
      <c r="W206">
        <v>3</v>
      </c>
      <c r="X206">
        <v>11</v>
      </c>
      <c r="Y206">
        <v>4</v>
      </c>
      <c r="Z206">
        <v>2</v>
      </c>
      <c r="AA206">
        <v>0</v>
      </c>
      <c r="AB206">
        <v>1</v>
      </c>
      <c r="AC206" s="1">
        <v>0</v>
      </c>
      <c r="AD206" s="1">
        <v>0</v>
      </c>
      <c r="AE206">
        <v>3</v>
      </c>
      <c r="AF206" s="1">
        <v>0</v>
      </c>
      <c r="AG206" s="1">
        <v>0</v>
      </c>
      <c r="AH206" s="1">
        <v>0</v>
      </c>
    </row>
    <row r="207" spans="1:34" x14ac:dyDescent="0.3">
      <c r="A207" t="s">
        <v>91</v>
      </c>
      <c r="B207" t="s">
        <v>101</v>
      </c>
      <c r="C207" t="s">
        <v>38</v>
      </c>
      <c r="D207">
        <v>950</v>
      </c>
      <c r="E207">
        <v>743</v>
      </c>
      <c r="F207">
        <v>44</v>
      </c>
      <c r="G207">
        <v>29</v>
      </c>
      <c r="H207">
        <v>9</v>
      </c>
      <c r="I207">
        <v>98</v>
      </c>
      <c r="J207">
        <v>1</v>
      </c>
      <c r="K207">
        <v>3</v>
      </c>
      <c r="L207">
        <v>4</v>
      </c>
      <c r="M207">
        <v>3</v>
      </c>
      <c r="N207">
        <v>14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s="1">
        <v>0</v>
      </c>
      <c r="AD207" s="1">
        <v>0</v>
      </c>
      <c r="AE207">
        <v>1</v>
      </c>
      <c r="AF207" s="1">
        <v>0</v>
      </c>
      <c r="AG207" s="1">
        <v>0</v>
      </c>
      <c r="AH207" s="1">
        <v>0</v>
      </c>
    </row>
    <row r="208" spans="1:34" x14ac:dyDescent="0.3">
      <c r="A208" t="s">
        <v>91</v>
      </c>
      <c r="B208" t="s">
        <v>102</v>
      </c>
      <c r="C208" t="s">
        <v>34</v>
      </c>
      <c r="D208" s="1">
        <v>1970</v>
      </c>
      <c r="E208" s="1">
        <v>1542</v>
      </c>
      <c r="F208">
        <v>124</v>
      </c>
      <c r="G208">
        <v>40</v>
      </c>
      <c r="H208">
        <v>12</v>
      </c>
      <c r="I208">
        <v>126</v>
      </c>
      <c r="J208">
        <v>5</v>
      </c>
      <c r="K208">
        <v>1</v>
      </c>
      <c r="L208">
        <v>69</v>
      </c>
      <c r="M208">
        <v>9</v>
      </c>
      <c r="N208">
        <v>36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2</v>
      </c>
      <c r="Z208">
        <v>2</v>
      </c>
      <c r="AA208">
        <v>0</v>
      </c>
      <c r="AB208">
        <v>0</v>
      </c>
      <c r="AC208" s="1">
        <v>0</v>
      </c>
      <c r="AD208" s="1">
        <v>0</v>
      </c>
      <c r="AE208">
        <v>0</v>
      </c>
      <c r="AF208" s="1">
        <v>0</v>
      </c>
      <c r="AG208" s="1">
        <v>0</v>
      </c>
      <c r="AH208" s="1">
        <v>0</v>
      </c>
    </row>
    <row r="209" spans="1:34" x14ac:dyDescent="0.3">
      <c r="A209" t="s">
        <v>91</v>
      </c>
      <c r="B209" t="s">
        <v>102</v>
      </c>
      <c r="C209" t="s">
        <v>37</v>
      </c>
      <c r="D209" s="1">
        <v>1118</v>
      </c>
      <c r="E209">
        <v>812</v>
      </c>
      <c r="F209">
        <v>65</v>
      </c>
      <c r="G209">
        <v>28</v>
      </c>
      <c r="H209">
        <v>4</v>
      </c>
      <c r="I209">
        <v>98</v>
      </c>
      <c r="J209">
        <v>1</v>
      </c>
      <c r="K209">
        <v>1</v>
      </c>
      <c r="L209">
        <v>64</v>
      </c>
      <c r="M209">
        <v>9</v>
      </c>
      <c r="N209">
        <v>30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1</v>
      </c>
      <c r="Y209">
        <v>2</v>
      </c>
      <c r="Z209">
        <v>2</v>
      </c>
      <c r="AA209">
        <v>0</v>
      </c>
      <c r="AB209">
        <v>0</v>
      </c>
      <c r="AC209" s="1">
        <v>0</v>
      </c>
      <c r="AD209" s="1">
        <v>0</v>
      </c>
      <c r="AE209">
        <v>0</v>
      </c>
      <c r="AF209" s="1">
        <v>0</v>
      </c>
      <c r="AG209" s="1">
        <v>0</v>
      </c>
      <c r="AH209" s="1">
        <v>0</v>
      </c>
    </row>
    <row r="210" spans="1:34" x14ac:dyDescent="0.3">
      <c r="A210" t="s">
        <v>91</v>
      </c>
      <c r="B210" t="s">
        <v>102</v>
      </c>
      <c r="C210" t="s">
        <v>38</v>
      </c>
      <c r="D210">
        <v>852</v>
      </c>
      <c r="E210">
        <v>730</v>
      </c>
      <c r="F210">
        <v>59</v>
      </c>
      <c r="G210">
        <v>12</v>
      </c>
      <c r="H210">
        <v>8</v>
      </c>
      <c r="I210">
        <v>28</v>
      </c>
      <c r="J210">
        <v>4</v>
      </c>
      <c r="K210">
        <v>0</v>
      </c>
      <c r="L210">
        <v>5</v>
      </c>
      <c r="M210">
        <v>0</v>
      </c>
      <c r="N210">
        <v>6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s="1">
        <v>0</v>
      </c>
      <c r="AD210" s="1">
        <v>0</v>
      </c>
      <c r="AE210">
        <v>0</v>
      </c>
      <c r="AF210" s="1">
        <v>0</v>
      </c>
      <c r="AG210" s="1">
        <v>0</v>
      </c>
      <c r="AH210" s="1">
        <v>0</v>
      </c>
    </row>
    <row r="211" spans="1:34" x14ac:dyDescent="0.3">
      <c r="A211" t="s">
        <v>91</v>
      </c>
      <c r="B211" t="s">
        <v>103</v>
      </c>
      <c r="C211" t="s">
        <v>34</v>
      </c>
      <c r="D211" s="1">
        <v>1923</v>
      </c>
      <c r="E211" s="1">
        <v>1380</v>
      </c>
      <c r="F211">
        <v>163</v>
      </c>
      <c r="G211">
        <v>43</v>
      </c>
      <c r="H211">
        <v>2</v>
      </c>
      <c r="I211">
        <v>132</v>
      </c>
      <c r="J211">
        <v>7</v>
      </c>
      <c r="K211">
        <v>5</v>
      </c>
      <c r="L211">
        <v>74</v>
      </c>
      <c r="M211">
        <v>25</v>
      </c>
      <c r="N211">
        <v>89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 s="1">
        <v>0</v>
      </c>
      <c r="AD211" s="1">
        <v>0</v>
      </c>
      <c r="AE211">
        <v>0</v>
      </c>
      <c r="AF211" s="1">
        <v>0</v>
      </c>
      <c r="AG211" s="1">
        <v>0</v>
      </c>
      <c r="AH211" s="1">
        <v>0</v>
      </c>
    </row>
    <row r="212" spans="1:34" x14ac:dyDescent="0.3">
      <c r="A212" t="s">
        <v>91</v>
      </c>
      <c r="B212" t="s">
        <v>103</v>
      </c>
      <c r="C212" t="s">
        <v>37</v>
      </c>
      <c r="D212" s="1">
        <v>1076</v>
      </c>
      <c r="E212">
        <v>703</v>
      </c>
      <c r="F212">
        <v>74</v>
      </c>
      <c r="G212">
        <v>24</v>
      </c>
      <c r="H212">
        <v>1</v>
      </c>
      <c r="I212">
        <v>117</v>
      </c>
      <c r="J212">
        <v>5</v>
      </c>
      <c r="K212">
        <v>5</v>
      </c>
      <c r="L212">
        <v>68</v>
      </c>
      <c r="M212">
        <v>23</v>
      </c>
      <c r="N212">
        <v>53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 s="1">
        <v>0</v>
      </c>
      <c r="AD212" s="1">
        <v>0</v>
      </c>
      <c r="AE212">
        <v>0</v>
      </c>
      <c r="AF212" s="1">
        <v>0</v>
      </c>
      <c r="AG212" s="1">
        <v>0</v>
      </c>
      <c r="AH212" s="1">
        <v>0</v>
      </c>
    </row>
    <row r="213" spans="1:34" x14ac:dyDescent="0.3">
      <c r="A213" t="s">
        <v>91</v>
      </c>
      <c r="B213" t="s">
        <v>103</v>
      </c>
      <c r="C213" t="s">
        <v>38</v>
      </c>
      <c r="D213">
        <v>847</v>
      </c>
      <c r="E213">
        <v>677</v>
      </c>
      <c r="F213">
        <v>89</v>
      </c>
      <c r="G213">
        <v>19</v>
      </c>
      <c r="H213">
        <v>1</v>
      </c>
      <c r="I213">
        <v>15</v>
      </c>
      <c r="J213">
        <v>2</v>
      </c>
      <c r="K213">
        <v>0</v>
      </c>
      <c r="L213">
        <v>6</v>
      </c>
      <c r="M213">
        <v>2</v>
      </c>
      <c r="N213">
        <v>36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s="1">
        <v>0</v>
      </c>
      <c r="AD213" s="1">
        <v>0</v>
      </c>
      <c r="AE213">
        <v>0</v>
      </c>
      <c r="AF213" s="1">
        <v>0</v>
      </c>
      <c r="AG213" s="1">
        <v>0</v>
      </c>
      <c r="AH213" s="1">
        <v>0</v>
      </c>
    </row>
    <row r="214" spans="1:34" x14ac:dyDescent="0.3">
      <c r="A214" t="s">
        <v>91</v>
      </c>
      <c r="B214" t="s">
        <v>104</v>
      </c>
      <c r="C214" t="s">
        <v>34</v>
      </c>
      <c r="D214" s="1">
        <v>1823</v>
      </c>
      <c r="E214">
        <v>833</v>
      </c>
      <c r="F214">
        <v>49</v>
      </c>
      <c r="G214">
        <v>32</v>
      </c>
      <c r="H214">
        <v>3</v>
      </c>
      <c r="I214">
        <v>518</v>
      </c>
      <c r="J214">
        <v>5</v>
      </c>
      <c r="K214">
        <v>6</v>
      </c>
      <c r="L214">
        <v>130</v>
      </c>
      <c r="M214">
        <v>84</v>
      </c>
      <c r="N214">
        <v>115</v>
      </c>
      <c r="O214">
        <v>0</v>
      </c>
      <c r="P214">
        <v>5</v>
      </c>
      <c r="Q214">
        <v>0</v>
      </c>
      <c r="R214">
        <v>0</v>
      </c>
      <c r="S214">
        <v>7</v>
      </c>
      <c r="T214">
        <v>7</v>
      </c>
      <c r="U214">
        <v>0</v>
      </c>
      <c r="V214">
        <v>0</v>
      </c>
      <c r="W214">
        <v>3</v>
      </c>
      <c r="X214">
        <v>4</v>
      </c>
      <c r="Y214">
        <v>9</v>
      </c>
      <c r="Z214">
        <v>13</v>
      </c>
      <c r="AA214">
        <v>0</v>
      </c>
      <c r="AB214">
        <v>0</v>
      </c>
      <c r="AC214" s="1">
        <v>0</v>
      </c>
      <c r="AD214" s="1">
        <v>0</v>
      </c>
      <c r="AE214">
        <v>0</v>
      </c>
      <c r="AF214" s="1">
        <v>0</v>
      </c>
      <c r="AG214" s="1">
        <v>0</v>
      </c>
      <c r="AH214" s="1">
        <v>0</v>
      </c>
    </row>
    <row r="215" spans="1:34" x14ac:dyDescent="0.3">
      <c r="A215" t="s">
        <v>91</v>
      </c>
      <c r="B215" t="s">
        <v>104</v>
      </c>
      <c r="C215" t="s">
        <v>37</v>
      </c>
      <c r="D215" s="1">
        <v>1317</v>
      </c>
      <c r="E215">
        <v>394</v>
      </c>
      <c r="F215">
        <v>24</v>
      </c>
      <c r="G215">
        <v>12</v>
      </c>
      <c r="H215">
        <v>1</v>
      </c>
      <c r="I215">
        <v>512</v>
      </c>
      <c r="J215">
        <v>2</v>
      </c>
      <c r="K215">
        <v>3</v>
      </c>
      <c r="L215">
        <v>129</v>
      </c>
      <c r="M215">
        <v>79</v>
      </c>
      <c r="N215">
        <v>113</v>
      </c>
      <c r="O215">
        <v>0</v>
      </c>
      <c r="P215">
        <v>5</v>
      </c>
      <c r="Q215">
        <v>0</v>
      </c>
      <c r="R215">
        <v>0</v>
      </c>
      <c r="S215">
        <v>7</v>
      </c>
      <c r="T215">
        <v>7</v>
      </c>
      <c r="U215">
        <v>0</v>
      </c>
      <c r="V215">
        <v>0</v>
      </c>
      <c r="W215">
        <v>3</v>
      </c>
      <c r="X215">
        <v>4</v>
      </c>
      <c r="Y215">
        <v>9</v>
      </c>
      <c r="Z215">
        <v>13</v>
      </c>
      <c r="AA215">
        <v>0</v>
      </c>
      <c r="AB215">
        <v>0</v>
      </c>
      <c r="AC215" s="1">
        <v>0</v>
      </c>
      <c r="AD215" s="1">
        <v>0</v>
      </c>
      <c r="AE215">
        <v>0</v>
      </c>
      <c r="AF215" s="1">
        <v>0</v>
      </c>
      <c r="AG215" s="1">
        <v>0</v>
      </c>
      <c r="AH215" s="1">
        <v>0</v>
      </c>
    </row>
    <row r="216" spans="1:34" x14ac:dyDescent="0.3">
      <c r="A216" t="s">
        <v>91</v>
      </c>
      <c r="B216" t="s">
        <v>104</v>
      </c>
      <c r="C216" t="s">
        <v>38</v>
      </c>
      <c r="D216">
        <v>506</v>
      </c>
      <c r="E216">
        <v>439</v>
      </c>
      <c r="F216">
        <v>25</v>
      </c>
      <c r="G216">
        <v>20</v>
      </c>
      <c r="H216">
        <v>2</v>
      </c>
      <c r="I216">
        <v>6</v>
      </c>
      <c r="J216">
        <v>3</v>
      </c>
      <c r="K216">
        <v>3</v>
      </c>
      <c r="L216">
        <v>1</v>
      </c>
      <c r="M216">
        <v>5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s="1">
        <v>0</v>
      </c>
      <c r="AD216" s="1">
        <v>0</v>
      </c>
      <c r="AE216">
        <v>0</v>
      </c>
      <c r="AF216" s="1">
        <v>0</v>
      </c>
      <c r="AG216" s="1">
        <v>0</v>
      </c>
      <c r="AH216" s="1">
        <v>0</v>
      </c>
    </row>
    <row r="217" spans="1:34" x14ac:dyDescent="0.3">
      <c r="A217" t="s">
        <v>91</v>
      </c>
      <c r="B217" t="s">
        <v>105</v>
      </c>
      <c r="C217" t="s">
        <v>34</v>
      </c>
      <c r="D217" s="1">
        <v>1359</v>
      </c>
      <c r="E217">
        <v>682</v>
      </c>
      <c r="F217">
        <v>99</v>
      </c>
      <c r="G217">
        <v>22</v>
      </c>
      <c r="H217">
        <v>9</v>
      </c>
      <c r="I217">
        <v>166</v>
      </c>
      <c r="J217">
        <v>2</v>
      </c>
      <c r="K217">
        <v>19</v>
      </c>
      <c r="L217">
        <v>125</v>
      </c>
      <c r="M217">
        <v>100</v>
      </c>
      <c r="N217">
        <v>103</v>
      </c>
      <c r="O217">
        <v>0</v>
      </c>
      <c r="P217">
        <v>14</v>
      </c>
      <c r="Q217">
        <v>0</v>
      </c>
      <c r="R217">
        <v>0</v>
      </c>
      <c r="S217">
        <v>11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5</v>
      </c>
      <c r="AA217">
        <v>0</v>
      </c>
      <c r="AB217">
        <v>0</v>
      </c>
      <c r="AC217" s="1">
        <v>0</v>
      </c>
      <c r="AD217" s="1">
        <v>0</v>
      </c>
      <c r="AE217">
        <v>0</v>
      </c>
      <c r="AF217" s="1">
        <v>0</v>
      </c>
      <c r="AG217" s="1">
        <v>0</v>
      </c>
      <c r="AH217" s="1">
        <v>0</v>
      </c>
    </row>
    <row r="218" spans="1:34" x14ac:dyDescent="0.3">
      <c r="A218" t="s">
        <v>91</v>
      </c>
      <c r="B218" t="s">
        <v>105</v>
      </c>
      <c r="C218" t="s">
        <v>37</v>
      </c>
      <c r="D218" s="1">
        <v>1001</v>
      </c>
      <c r="E218">
        <v>368</v>
      </c>
      <c r="F218">
        <v>83</v>
      </c>
      <c r="G218">
        <v>13</v>
      </c>
      <c r="H218">
        <v>4</v>
      </c>
      <c r="I218">
        <v>160</v>
      </c>
      <c r="J218">
        <v>0</v>
      </c>
      <c r="K218">
        <v>19</v>
      </c>
      <c r="L218">
        <v>123</v>
      </c>
      <c r="M218">
        <v>99</v>
      </c>
      <c r="N218">
        <v>102</v>
      </c>
      <c r="O218">
        <v>0</v>
      </c>
      <c r="P218">
        <v>13</v>
      </c>
      <c r="Q218">
        <v>0</v>
      </c>
      <c r="R218">
        <v>0</v>
      </c>
      <c r="S218">
        <v>11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5</v>
      </c>
      <c r="AA218">
        <v>0</v>
      </c>
      <c r="AB218">
        <v>0</v>
      </c>
      <c r="AC218" s="1">
        <v>0</v>
      </c>
      <c r="AD218" s="1">
        <v>0</v>
      </c>
      <c r="AE218">
        <v>0</v>
      </c>
      <c r="AF218" s="1">
        <v>0</v>
      </c>
      <c r="AG218" s="1">
        <v>0</v>
      </c>
      <c r="AH218" s="1">
        <v>0</v>
      </c>
    </row>
    <row r="219" spans="1:34" x14ac:dyDescent="0.3">
      <c r="A219" t="s">
        <v>91</v>
      </c>
      <c r="B219" t="s">
        <v>105</v>
      </c>
      <c r="C219" t="s">
        <v>38</v>
      </c>
      <c r="D219">
        <v>358</v>
      </c>
      <c r="E219">
        <v>314</v>
      </c>
      <c r="F219">
        <v>16</v>
      </c>
      <c r="G219">
        <v>9</v>
      </c>
      <c r="H219">
        <v>5</v>
      </c>
      <c r="I219">
        <v>6</v>
      </c>
      <c r="J219">
        <v>2</v>
      </c>
      <c r="K219">
        <v>0</v>
      </c>
      <c r="L219">
        <v>2</v>
      </c>
      <c r="M219">
        <v>1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s="1">
        <v>0</v>
      </c>
      <c r="AD219" s="1">
        <v>0</v>
      </c>
      <c r="AE219">
        <v>0</v>
      </c>
      <c r="AF219" s="1">
        <v>0</v>
      </c>
      <c r="AG219" s="1">
        <v>0</v>
      </c>
      <c r="AH219" s="1">
        <v>0</v>
      </c>
    </row>
    <row r="220" spans="1:34" x14ac:dyDescent="0.3">
      <c r="A220" t="s">
        <v>91</v>
      </c>
      <c r="B220" t="s">
        <v>106</v>
      </c>
      <c r="C220" t="s">
        <v>34</v>
      </c>
      <c r="D220" s="1">
        <v>1234</v>
      </c>
      <c r="E220">
        <v>936</v>
      </c>
      <c r="F220">
        <v>91</v>
      </c>
      <c r="G220">
        <v>35</v>
      </c>
      <c r="H220">
        <v>3</v>
      </c>
      <c r="I220">
        <v>76</v>
      </c>
      <c r="J220">
        <v>1</v>
      </c>
      <c r="K220">
        <v>6</v>
      </c>
      <c r="L220">
        <v>55</v>
      </c>
      <c r="M220">
        <v>7</v>
      </c>
      <c r="N220">
        <v>14</v>
      </c>
      <c r="O220">
        <v>0</v>
      </c>
      <c r="P220">
        <v>0</v>
      </c>
      <c r="Q220">
        <v>0</v>
      </c>
      <c r="R220">
        <v>0</v>
      </c>
      <c r="S220">
        <v>3</v>
      </c>
      <c r="T220">
        <v>4</v>
      </c>
      <c r="U220">
        <v>1</v>
      </c>
      <c r="V220">
        <v>0</v>
      </c>
      <c r="W220">
        <v>2</v>
      </c>
      <c r="X220">
        <v>0</v>
      </c>
      <c r="Y220">
        <v>0</v>
      </c>
      <c r="Z220">
        <v>0</v>
      </c>
      <c r="AA220">
        <v>0</v>
      </c>
      <c r="AB220">
        <v>0</v>
      </c>
      <c r="AC220" s="1">
        <v>0</v>
      </c>
      <c r="AD220" s="1">
        <v>0</v>
      </c>
      <c r="AE220">
        <v>0</v>
      </c>
      <c r="AF220" s="1">
        <v>0</v>
      </c>
      <c r="AG220" s="1">
        <v>0</v>
      </c>
      <c r="AH220" s="1">
        <v>0</v>
      </c>
    </row>
    <row r="221" spans="1:34" x14ac:dyDescent="0.3">
      <c r="A221" t="s">
        <v>91</v>
      </c>
      <c r="B221" t="s">
        <v>106</v>
      </c>
      <c r="C221" t="s">
        <v>37</v>
      </c>
      <c r="D221">
        <v>715</v>
      </c>
      <c r="E221">
        <v>479</v>
      </c>
      <c r="F221">
        <v>65</v>
      </c>
      <c r="G221">
        <v>14</v>
      </c>
      <c r="H221">
        <v>3</v>
      </c>
      <c r="I221">
        <v>66</v>
      </c>
      <c r="J221">
        <v>1</v>
      </c>
      <c r="K221">
        <v>5</v>
      </c>
      <c r="L221">
        <v>52</v>
      </c>
      <c r="M221">
        <v>6</v>
      </c>
      <c r="N221">
        <v>14</v>
      </c>
      <c r="O221">
        <v>0</v>
      </c>
      <c r="P221">
        <v>0</v>
      </c>
      <c r="Q221">
        <v>0</v>
      </c>
      <c r="R221">
        <v>0</v>
      </c>
      <c r="S221">
        <v>3</v>
      </c>
      <c r="T221">
        <v>4</v>
      </c>
      <c r="U221">
        <v>1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 s="1">
        <v>0</v>
      </c>
      <c r="AD221" s="1">
        <v>0</v>
      </c>
      <c r="AE221">
        <v>0</v>
      </c>
      <c r="AF221" s="1">
        <v>0</v>
      </c>
      <c r="AG221" s="1">
        <v>0</v>
      </c>
      <c r="AH221" s="1">
        <v>0</v>
      </c>
    </row>
    <row r="222" spans="1:34" x14ac:dyDescent="0.3">
      <c r="A222" t="s">
        <v>91</v>
      </c>
      <c r="B222" t="s">
        <v>106</v>
      </c>
      <c r="C222" t="s">
        <v>38</v>
      </c>
      <c r="D222">
        <v>519</v>
      </c>
      <c r="E222">
        <v>457</v>
      </c>
      <c r="F222">
        <v>26</v>
      </c>
      <c r="G222">
        <v>21</v>
      </c>
      <c r="H222">
        <v>0</v>
      </c>
      <c r="I222">
        <v>10</v>
      </c>
      <c r="J222">
        <v>0</v>
      </c>
      <c r="K222">
        <v>1</v>
      </c>
      <c r="L222">
        <v>3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s="1">
        <v>0</v>
      </c>
      <c r="AD222" s="1">
        <v>0</v>
      </c>
      <c r="AE222">
        <v>0</v>
      </c>
      <c r="AF222" s="1">
        <v>0</v>
      </c>
      <c r="AG222" s="1">
        <v>0</v>
      </c>
      <c r="AH222" s="1">
        <v>0</v>
      </c>
    </row>
    <row r="223" spans="1:34" x14ac:dyDescent="0.3">
      <c r="A223" t="s">
        <v>91</v>
      </c>
      <c r="B223" t="s">
        <v>107</v>
      </c>
      <c r="C223" t="s">
        <v>34</v>
      </c>
      <c r="D223" s="1">
        <v>1091</v>
      </c>
      <c r="E223">
        <v>845</v>
      </c>
      <c r="F223">
        <v>67</v>
      </c>
      <c r="G223">
        <v>43</v>
      </c>
      <c r="H223">
        <v>6</v>
      </c>
      <c r="I223">
        <v>45</v>
      </c>
      <c r="J223">
        <v>2</v>
      </c>
      <c r="K223">
        <v>1</v>
      </c>
      <c r="L223">
        <v>65</v>
      </c>
      <c r="M223">
        <v>1</v>
      </c>
      <c r="N223">
        <v>13</v>
      </c>
      <c r="O223">
        <v>0</v>
      </c>
      <c r="P223">
        <v>0</v>
      </c>
      <c r="Q223">
        <v>0</v>
      </c>
      <c r="R223">
        <v>0</v>
      </c>
      <c r="S223">
        <v>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s="1">
        <v>0</v>
      </c>
      <c r="AD223" s="1">
        <v>0</v>
      </c>
      <c r="AE223">
        <v>0</v>
      </c>
      <c r="AF223" s="1">
        <v>0</v>
      </c>
      <c r="AG223" s="1">
        <v>0</v>
      </c>
      <c r="AH223" s="1">
        <v>0</v>
      </c>
    </row>
    <row r="224" spans="1:34" x14ac:dyDescent="0.3">
      <c r="A224" t="s">
        <v>91</v>
      </c>
      <c r="B224" t="s">
        <v>107</v>
      </c>
      <c r="C224" t="s">
        <v>37</v>
      </c>
      <c r="D224">
        <v>518</v>
      </c>
      <c r="E224">
        <v>348</v>
      </c>
      <c r="F224">
        <v>29</v>
      </c>
      <c r="G224">
        <v>23</v>
      </c>
      <c r="H224">
        <v>3</v>
      </c>
      <c r="I224">
        <v>35</v>
      </c>
      <c r="J224">
        <v>0</v>
      </c>
      <c r="K224">
        <v>0</v>
      </c>
      <c r="L224">
        <v>65</v>
      </c>
      <c r="M224">
        <v>1</v>
      </c>
      <c r="N224">
        <v>11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s="1">
        <v>0</v>
      </c>
      <c r="AD224" s="1">
        <v>0</v>
      </c>
      <c r="AE224">
        <v>0</v>
      </c>
      <c r="AF224" s="1">
        <v>0</v>
      </c>
      <c r="AG224" s="1">
        <v>0</v>
      </c>
      <c r="AH224" s="1">
        <v>0</v>
      </c>
    </row>
    <row r="225" spans="1:34" x14ac:dyDescent="0.3">
      <c r="A225" t="s">
        <v>91</v>
      </c>
      <c r="B225" t="s">
        <v>107</v>
      </c>
      <c r="C225" t="s">
        <v>38</v>
      </c>
      <c r="D225">
        <v>573</v>
      </c>
      <c r="E225">
        <v>497</v>
      </c>
      <c r="F225">
        <v>38</v>
      </c>
      <c r="G225">
        <v>20</v>
      </c>
      <c r="H225">
        <v>3</v>
      </c>
      <c r="I225">
        <v>10</v>
      </c>
      <c r="J225">
        <v>2</v>
      </c>
      <c r="K225">
        <v>1</v>
      </c>
      <c r="L225">
        <v>0</v>
      </c>
      <c r="M225">
        <v>0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s="1">
        <v>0</v>
      </c>
      <c r="AD225" s="1">
        <v>0</v>
      </c>
      <c r="AE225">
        <v>0</v>
      </c>
      <c r="AF225" s="1">
        <v>0</v>
      </c>
      <c r="AG225" s="1">
        <v>0</v>
      </c>
      <c r="AH225" s="1">
        <v>0</v>
      </c>
    </row>
    <row r="226" spans="1:34" x14ac:dyDescent="0.3">
      <c r="A226" t="s">
        <v>91</v>
      </c>
      <c r="B226" t="s">
        <v>108</v>
      </c>
      <c r="C226" t="s">
        <v>34</v>
      </c>
      <c r="D226" s="1">
        <v>1085</v>
      </c>
      <c r="E226">
        <v>836</v>
      </c>
      <c r="F226">
        <v>52</v>
      </c>
      <c r="G226">
        <v>25</v>
      </c>
      <c r="H226">
        <v>4</v>
      </c>
      <c r="I226">
        <v>14</v>
      </c>
      <c r="J226">
        <v>1</v>
      </c>
      <c r="K226">
        <v>7</v>
      </c>
      <c r="L226">
        <v>30</v>
      </c>
      <c r="M226">
        <v>9</v>
      </c>
      <c r="N226">
        <v>105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s="1">
        <v>0</v>
      </c>
      <c r="AD226" s="1">
        <v>0</v>
      </c>
      <c r="AE226">
        <v>0</v>
      </c>
      <c r="AF226" s="1">
        <v>0</v>
      </c>
      <c r="AG226" s="1">
        <v>0</v>
      </c>
      <c r="AH226" s="1">
        <v>0</v>
      </c>
    </row>
    <row r="227" spans="1:34" x14ac:dyDescent="0.3">
      <c r="A227" t="s">
        <v>91</v>
      </c>
      <c r="B227" t="s">
        <v>108</v>
      </c>
      <c r="C227" t="s">
        <v>37</v>
      </c>
      <c r="D227">
        <v>637</v>
      </c>
      <c r="E227">
        <v>418</v>
      </c>
      <c r="F227">
        <v>40</v>
      </c>
      <c r="G227">
        <v>11</v>
      </c>
      <c r="H227">
        <v>4</v>
      </c>
      <c r="I227">
        <v>13</v>
      </c>
      <c r="J227">
        <v>0</v>
      </c>
      <c r="K227">
        <v>7</v>
      </c>
      <c r="L227">
        <v>30</v>
      </c>
      <c r="M227">
        <v>8</v>
      </c>
      <c r="N227">
        <v>105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s="1">
        <v>0</v>
      </c>
      <c r="AD227" s="1">
        <v>0</v>
      </c>
      <c r="AE227">
        <v>0</v>
      </c>
      <c r="AF227" s="1">
        <v>0</v>
      </c>
      <c r="AG227" s="1">
        <v>0</v>
      </c>
      <c r="AH227" s="1">
        <v>0</v>
      </c>
    </row>
    <row r="228" spans="1:34" x14ac:dyDescent="0.3">
      <c r="A228" t="s">
        <v>91</v>
      </c>
      <c r="B228" t="s">
        <v>108</v>
      </c>
      <c r="C228" t="s">
        <v>38</v>
      </c>
      <c r="D228">
        <v>448</v>
      </c>
      <c r="E228">
        <v>418</v>
      </c>
      <c r="F228">
        <v>12</v>
      </c>
      <c r="G228">
        <v>14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s="1">
        <v>0</v>
      </c>
      <c r="AD228" s="1">
        <v>0</v>
      </c>
      <c r="AE228">
        <v>0</v>
      </c>
      <c r="AF228" s="1">
        <v>0</v>
      </c>
      <c r="AG228" s="1">
        <v>0</v>
      </c>
      <c r="AH228" s="1">
        <v>0</v>
      </c>
    </row>
    <row r="229" spans="1:34" x14ac:dyDescent="0.3">
      <c r="A229" t="s">
        <v>91</v>
      </c>
      <c r="B229" t="s">
        <v>109</v>
      </c>
      <c r="C229" t="s">
        <v>34</v>
      </c>
      <c r="D229">
        <v>793</v>
      </c>
      <c r="E229">
        <v>702</v>
      </c>
      <c r="F229">
        <v>16</v>
      </c>
      <c r="G229">
        <v>39</v>
      </c>
      <c r="H229">
        <v>30</v>
      </c>
      <c r="I229">
        <v>2</v>
      </c>
      <c r="J229">
        <v>0</v>
      </c>
      <c r="K229">
        <v>2</v>
      </c>
      <c r="L229">
        <v>0</v>
      </c>
      <c r="M229">
        <v>0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s="1">
        <v>0</v>
      </c>
      <c r="AD229" s="1">
        <v>0</v>
      </c>
      <c r="AE229">
        <v>0</v>
      </c>
      <c r="AF229" s="1">
        <v>0</v>
      </c>
      <c r="AG229" s="1">
        <v>0</v>
      </c>
      <c r="AH229" s="1">
        <v>0</v>
      </c>
    </row>
    <row r="230" spans="1:34" x14ac:dyDescent="0.3">
      <c r="A230" t="s">
        <v>91</v>
      </c>
      <c r="B230" t="s">
        <v>109</v>
      </c>
      <c r="C230" t="s">
        <v>37</v>
      </c>
      <c r="D230">
        <v>507</v>
      </c>
      <c r="E230">
        <v>450</v>
      </c>
      <c r="F230">
        <v>11</v>
      </c>
      <c r="G230">
        <v>21</v>
      </c>
      <c r="H230">
        <v>23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s="1">
        <v>0</v>
      </c>
      <c r="AD230" s="1">
        <v>0</v>
      </c>
      <c r="AE230">
        <v>0</v>
      </c>
      <c r="AF230" s="1">
        <v>0</v>
      </c>
      <c r="AG230" s="1">
        <v>0</v>
      </c>
      <c r="AH230" s="1">
        <v>0</v>
      </c>
    </row>
    <row r="231" spans="1:34" x14ac:dyDescent="0.3">
      <c r="A231" t="s">
        <v>91</v>
      </c>
      <c r="B231" t="s">
        <v>109</v>
      </c>
      <c r="C231" t="s">
        <v>38</v>
      </c>
      <c r="D231">
        <v>286</v>
      </c>
      <c r="E231">
        <v>252</v>
      </c>
      <c r="F231">
        <v>5</v>
      </c>
      <c r="G231">
        <v>18</v>
      </c>
      <c r="H231">
        <v>7</v>
      </c>
      <c r="I231">
        <v>1</v>
      </c>
      <c r="J231">
        <v>0</v>
      </c>
      <c r="K231">
        <v>2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s="1">
        <v>0</v>
      </c>
      <c r="AD231" s="1">
        <v>0</v>
      </c>
      <c r="AE231">
        <v>0</v>
      </c>
      <c r="AF231" s="1">
        <v>0</v>
      </c>
      <c r="AG231" s="1">
        <v>0</v>
      </c>
      <c r="AH231" s="1">
        <v>0</v>
      </c>
    </row>
    <row r="232" spans="1:34" x14ac:dyDescent="0.3">
      <c r="A232" t="s">
        <v>91</v>
      </c>
      <c r="B232" t="s">
        <v>110</v>
      </c>
      <c r="C232" t="s">
        <v>34</v>
      </c>
      <c r="D232">
        <v>714</v>
      </c>
      <c r="E232">
        <v>392</v>
      </c>
      <c r="F232">
        <v>31</v>
      </c>
      <c r="G232">
        <v>6</v>
      </c>
      <c r="H232">
        <v>4</v>
      </c>
      <c r="I232">
        <v>66</v>
      </c>
      <c r="J232">
        <v>2</v>
      </c>
      <c r="K232">
        <v>0</v>
      </c>
      <c r="L232">
        <v>61</v>
      </c>
      <c r="M232">
        <v>31</v>
      </c>
      <c r="N232">
        <v>109</v>
      </c>
      <c r="O232">
        <v>0</v>
      </c>
      <c r="P232">
        <v>8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2</v>
      </c>
      <c r="AA232">
        <v>0</v>
      </c>
      <c r="AB232">
        <v>0</v>
      </c>
      <c r="AC232" s="1">
        <v>0</v>
      </c>
      <c r="AD232" s="1">
        <v>0</v>
      </c>
      <c r="AE232">
        <v>0</v>
      </c>
      <c r="AF232" s="1">
        <v>0</v>
      </c>
      <c r="AG232" s="1">
        <v>0</v>
      </c>
      <c r="AH232" s="1">
        <v>0</v>
      </c>
    </row>
    <row r="233" spans="1:34" x14ac:dyDescent="0.3">
      <c r="A233" t="s">
        <v>91</v>
      </c>
      <c r="B233" t="s">
        <v>110</v>
      </c>
      <c r="C233" t="s">
        <v>37</v>
      </c>
      <c r="D233">
        <v>463</v>
      </c>
      <c r="E233">
        <v>177</v>
      </c>
      <c r="F233">
        <v>16</v>
      </c>
      <c r="G233">
        <v>1</v>
      </c>
      <c r="H233">
        <v>1</v>
      </c>
      <c r="I233">
        <v>62</v>
      </c>
      <c r="J233">
        <v>1</v>
      </c>
      <c r="K233">
        <v>0</v>
      </c>
      <c r="L233">
        <v>57</v>
      </c>
      <c r="M233">
        <v>30</v>
      </c>
      <c r="N233">
        <v>106</v>
      </c>
      <c r="O233">
        <v>0</v>
      </c>
      <c r="P233">
        <v>8</v>
      </c>
      <c r="Q233">
        <v>0</v>
      </c>
      <c r="R233">
        <v>0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 s="1">
        <v>0</v>
      </c>
      <c r="AD233" s="1">
        <v>0</v>
      </c>
      <c r="AE233">
        <v>0</v>
      </c>
      <c r="AF233" s="1">
        <v>0</v>
      </c>
      <c r="AG233" s="1">
        <v>0</v>
      </c>
      <c r="AH233" s="1">
        <v>0</v>
      </c>
    </row>
    <row r="234" spans="1:34" x14ac:dyDescent="0.3">
      <c r="A234" t="s">
        <v>91</v>
      </c>
      <c r="B234" t="s">
        <v>110</v>
      </c>
      <c r="C234" t="s">
        <v>38</v>
      </c>
      <c r="D234">
        <v>251</v>
      </c>
      <c r="E234">
        <v>215</v>
      </c>
      <c r="F234">
        <v>15</v>
      </c>
      <c r="G234">
        <v>5</v>
      </c>
      <c r="H234">
        <v>3</v>
      </c>
      <c r="I234">
        <v>4</v>
      </c>
      <c r="J234">
        <v>1</v>
      </c>
      <c r="K234">
        <v>0</v>
      </c>
      <c r="L234">
        <v>4</v>
      </c>
      <c r="M234">
        <v>1</v>
      </c>
      <c r="N234">
        <v>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s="1">
        <v>0</v>
      </c>
      <c r="AD234" s="1">
        <v>0</v>
      </c>
      <c r="AE234">
        <v>0</v>
      </c>
      <c r="AF234" s="1">
        <v>0</v>
      </c>
      <c r="AG234" s="1">
        <v>0</v>
      </c>
      <c r="AH234" s="1">
        <v>0</v>
      </c>
    </row>
    <row r="235" spans="1:34" x14ac:dyDescent="0.3">
      <c r="A235" t="s">
        <v>91</v>
      </c>
      <c r="B235" t="s">
        <v>111</v>
      </c>
      <c r="C235" t="s">
        <v>34</v>
      </c>
      <c r="D235">
        <v>655</v>
      </c>
      <c r="E235">
        <v>270</v>
      </c>
      <c r="F235">
        <v>8</v>
      </c>
      <c r="G235">
        <v>8</v>
      </c>
      <c r="H235">
        <v>4</v>
      </c>
      <c r="I235">
        <v>176</v>
      </c>
      <c r="J235">
        <v>0</v>
      </c>
      <c r="K235">
        <v>0</v>
      </c>
      <c r="L235">
        <v>46</v>
      </c>
      <c r="M235">
        <v>56</v>
      </c>
      <c r="N235">
        <v>78</v>
      </c>
      <c r="O235">
        <v>0</v>
      </c>
      <c r="P235">
        <v>0</v>
      </c>
      <c r="Q235">
        <v>0</v>
      </c>
      <c r="R235">
        <v>0</v>
      </c>
      <c r="S235">
        <v>8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s="1">
        <v>0</v>
      </c>
      <c r="AD235" s="1">
        <v>0</v>
      </c>
      <c r="AE235">
        <v>0</v>
      </c>
      <c r="AF235" s="1">
        <v>0</v>
      </c>
      <c r="AG235" s="1">
        <v>0</v>
      </c>
      <c r="AH235" s="1">
        <v>0</v>
      </c>
    </row>
    <row r="236" spans="1:34" x14ac:dyDescent="0.3">
      <c r="A236" t="s">
        <v>91</v>
      </c>
      <c r="B236" t="s">
        <v>111</v>
      </c>
      <c r="C236" t="s">
        <v>37</v>
      </c>
      <c r="D236">
        <v>500</v>
      </c>
      <c r="E236">
        <v>128</v>
      </c>
      <c r="F236">
        <v>4</v>
      </c>
      <c r="G236">
        <v>5</v>
      </c>
      <c r="H236">
        <v>3</v>
      </c>
      <c r="I236">
        <v>173</v>
      </c>
      <c r="J236">
        <v>0</v>
      </c>
      <c r="K236">
        <v>0</v>
      </c>
      <c r="L236">
        <v>46</v>
      </c>
      <c r="M236">
        <v>55</v>
      </c>
      <c r="N236">
        <v>78</v>
      </c>
      <c r="O236">
        <v>0</v>
      </c>
      <c r="P236">
        <v>0</v>
      </c>
      <c r="Q236">
        <v>0</v>
      </c>
      <c r="R236">
        <v>0</v>
      </c>
      <c r="S236">
        <v>8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s="1">
        <v>0</v>
      </c>
      <c r="AD236" s="1">
        <v>0</v>
      </c>
      <c r="AE236">
        <v>0</v>
      </c>
      <c r="AF236" s="1">
        <v>0</v>
      </c>
      <c r="AG236" s="1">
        <v>0</v>
      </c>
      <c r="AH236" s="1">
        <v>0</v>
      </c>
    </row>
    <row r="237" spans="1:34" x14ac:dyDescent="0.3">
      <c r="A237" t="s">
        <v>91</v>
      </c>
      <c r="B237" t="s">
        <v>111</v>
      </c>
      <c r="C237" t="s">
        <v>38</v>
      </c>
      <c r="D237">
        <v>155</v>
      </c>
      <c r="E237">
        <v>142</v>
      </c>
      <c r="F237">
        <v>4</v>
      </c>
      <c r="G237">
        <v>3</v>
      </c>
      <c r="H237">
        <v>1</v>
      </c>
      <c r="I237">
        <v>3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s="1">
        <v>0</v>
      </c>
      <c r="AD237" s="1">
        <v>0</v>
      </c>
      <c r="AE237">
        <v>0</v>
      </c>
      <c r="AF237" s="1">
        <v>0</v>
      </c>
      <c r="AG237" s="1">
        <v>0</v>
      </c>
      <c r="AH237" s="1">
        <v>0</v>
      </c>
    </row>
    <row r="238" spans="1:34" x14ac:dyDescent="0.3">
      <c r="A238" t="s">
        <v>91</v>
      </c>
      <c r="B238" t="s">
        <v>112</v>
      </c>
      <c r="C238" t="s">
        <v>34</v>
      </c>
      <c r="D238">
        <v>651</v>
      </c>
      <c r="E238">
        <v>578</v>
      </c>
      <c r="F238">
        <v>27</v>
      </c>
      <c r="G238">
        <v>23</v>
      </c>
      <c r="H238">
        <v>14</v>
      </c>
      <c r="I238">
        <v>5</v>
      </c>
      <c r="J238">
        <v>0</v>
      </c>
      <c r="K238">
        <v>1</v>
      </c>
      <c r="L238">
        <v>0</v>
      </c>
      <c r="M238">
        <v>1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s="1">
        <v>0</v>
      </c>
      <c r="AD238" s="1">
        <v>0</v>
      </c>
      <c r="AE238">
        <v>0</v>
      </c>
      <c r="AF238" s="1">
        <v>0</v>
      </c>
      <c r="AG238" s="1">
        <v>0</v>
      </c>
      <c r="AH238" s="1">
        <v>0</v>
      </c>
    </row>
    <row r="239" spans="1:34" x14ac:dyDescent="0.3">
      <c r="A239" t="s">
        <v>91</v>
      </c>
      <c r="B239" t="s">
        <v>112</v>
      </c>
      <c r="C239" t="s">
        <v>37</v>
      </c>
      <c r="D239">
        <v>442</v>
      </c>
      <c r="E239">
        <v>393</v>
      </c>
      <c r="F239">
        <v>16</v>
      </c>
      <c r="G239">
        <v>18</v>
      </c>
      <c r="H239">
        <v>7</v>
      </c>
      <c r="I239">
        <v>5</v>
      </c>
      <c r="J239">
        <v>0</v>
      </c>
      <c r="K239">
        <v>1</v>
      </c>
      <c r="L239">
        <v>0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s="1">
        <v>0</v>
      </c>
      <c r="AD239" s="1">
        <v>0</v>
      </c>
      <c r="AE239">
        <v>0</v>
      </c>
      <c r="AF239" s="1">
        <v>0</v>
      </c>
      <c r="AG239" s="1">
        <v>0</v>
      </c>
      <c r="AH239" s="1">
        <v>0</v>
      </c>
    </row>
    <row r="240" spans="1:34" x14ac:dyDescent="0.3">
      <c r="A240" t="s">
        <v>91</v>
      </c>
      <c r="B240" t="s">
        <v>112</v>
      </c>
      <c r="C240" t="s">
        <v>38</v>
      </c>
      <c r="D240">
        <v>209</v>
      </c>
      <c r="E240">
        <v>185</v>
      </c>
      <c r="F240">
        <v>11</v>
      </c>
      <c r="G240">
        <v>5</v>
      </c>
      <c r="H240">
        <v>7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s="1">
        <v>0</v>
      </c>
      <c r="AD240" s="1">
        <v>0</v>
      </c>
      <c r="AE240">
        <v>0</v>
      </c>
      <c r="AF240" s="1">
        <v>0</v>
      </c>
      <c r="AG240" s="1">
        <v>0</v>
      </c>
      <c r="AH240" s="1">
        <v>0</v>
      </c>
    </row>
    <row r="241" spans="1:34" x14ac:dyDescent="0.3">
      <c r="A241" t="s">
        <v>91</v>
      </c>
      <c r="B241" t="s">
        <v>113</v>
      </c>
      <c r="C241" t="s">
        <v>34</v>
      </c>
      <c r="D241">
        <v>629</v>
      </c>
      <c r="E241">
        <v>573</v>
      </c>
      <c r="F241">
        <v>7</v>
      </c>
      <c r="G241">
        <v>13</v>
      </c>
      <c r="H241">
        <v>3</v>
      </c>
      <c r="I241">
        <v>20</v>
      </c>
      <c r="J241">
        <v>4</v>
      </c>
      <c r="K241">
        <v>1</v>
      </c>
      <c r="L241">
        <v>1</v>
      </c>
      <c r="M241">
        <v>2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s="1">
        <v>0</v>
      </c>
      <c r="AD241" s="1">
        <v>0</v>
      </c>
      <c r="AE241">
        <v>0</v>
      </c>
      <c r="AF241" s="1">
        <v>0</v>
      </c>
      <c r="AG241" s="1">
        <v>0</v>
      </c>
      <c r="AH241" s="1">
        <v>0</v>
      </c>
    </row>
    <row r="242" spans="1:34" x14ac:dyDescent="0.3">
      <c r="A242" t="s">
        <v>91</v>
      </c>
      <c r="B242" t="s">
        <v>113</v>
      </c>
      <c r="C242" t="s">
        <v>37</v>
      </c>
      <c r="D242">
        <v>340</v>
      </c>
      <c r="E242">
        <v>306</v>
      </c>
      <c r="F242">
        <v>2</v>
      </c>
      <c r="G242">
        <v>6</v>
      </c>
      <c r="H242">
        <v>0</v>
      </c>
      <c r="I242">
        <v>17</v>
      </c>
      <c r="J242">
        <v>2</v>
      </c>
      <c r="K242">
        <v>0</v>
      </c>
      <c r="L242">
        <v>1</v>
      </c>
      <c r="M242">
        <v>2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s="1">
        <v>0</v>
      </c>
      <c r="AD242" s="1">
        <v>0</v>
      </c>
      <c r="AE242">
        <v>0</v>
      </c>
      <c r="AF242" s="1">
        <v>0</v>
      </c>
      <c r="AG242" s="1">
        <v>0</v>
      </c>
      <c r="AH242" s="1">
        <v>0</v>
      </c>
    </row>
    <row r="243" spans="1:34" x14ac:dyDescent="0.3">
      <c r="A243" t="s">
        <v>91</v>
      </c>
      <c r="B243" t="s">
        <v>113</v>
      </c>
      <c r="C243" t="s">
        <v>38</v>
      </c>
      <c r="D243">
        <v>289</v>
      </c>
      <c r="E243">
        <v>267</v>
      </c>
      <c r="F243">
        <v>5</v>
      </c>
      <c r="G243">
        <v>7</v>
      </c>
      <c r="H243">
        <v>3</v>
      </c>
      <c r="I243">
        <v>3</v>
      </c>
      <c r="J243">
        <v>2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s="1">
        <v>0</v>
      </c>
      <c r="AD243" s="1">
        <v>0</v>
      </c>
      <c r="AE243">
        <v>0</v>
      </c>
      <c r="AF243" s="1">
        <v>0</v>
      </c>
      <c r="AG243" s="1">
        <v>0</v>
      </c>
      <c r="AH243" s="1">
        <v>0</v>
      </c>
    </row>
    <row r="244" spans="1:34" x14ac:dyDescent="0.3">
      <c r="A244" t="s">
        <v>91</v>
      </c>
      <c r="B244" t="s">
        <v>114</v>
      </c>
      <c r="C244" t="s">
        <v>34</v>
      </c>
      <c r="D244">
        <v>433</v>
      </c>
      <c r="E244">
        <v>236</v>
      </c>
      <c r="F244">
        <v>6</v>
      </c>
      <c r="G244">
        <v>7</v>
      </c>
      <c r="H244">
        <v>1</v>
      </c>
      <c r="I244">
        <v>6</v>
      </c>
      <c r="J244">
        <v>0</v>
      </c>
      <c r="K244">
        <v>0</v>
      </c>
      <c r="L244">
        <v>166</v>
      </c>
      <c r="M244">
        <v>1</v>
      </c>
      <c r="N244">
        <v>3</v>
      </c>
      <c r="O244">
        <v>0</v>
      </c>
      <c r="P244">
        <v>0</v>
      </c>
      <c r="Q244">
        <v>0</v>
      </c>
      <c r="R244">
        <v>0</v>
      </c>
      <c r="S244">
        <v>5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s="1">
        <v>0</v>
      </c>
      <c r="AD244" s="1">
        <v>0</v>
      </c>
      <c r="AE244">
        <v>0</v>
      </c>
      <c r="AF244" s="1">
        <v>0</v>
      </c>
      <c r="AG244" s="1">
        <v>0</v>
      </c>
      <c r="AH244" s="1">
        <v>0</v>
      </c>
    </row>
    <row r="245" spans="1:34" x14ac:dyDescent="0.3">
      <c r="A245" t="s">
        <v>91</v>
      </c>
      <c r="B245" t="s">
        <v>114</v>
      </c>
      <c r="C245" t="s">
        <v>37</v>
      </c>
      <c r="D245">
        <v>204</v>
      </c>
      <c r="E245">
        <v>111</v>
      </c>
      <c r="F245">
        <v>2</v>
      </c>
      <c r="G245">
        <v>6</v>
      </c>
      <c r="H245">
        <v>1</v>
      </c>
      <c r="I245">
        <v>4</v>
      </c>
      <c r="J245">
        <v>0</v>
      </c>
      <c r="K245">
        <v>0</v>
      </c>
      <c r="L245">
        <v>75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s="1">
        <v>0</v>
      </c>
      <c r="AD245" s="1">
        <v>0</v>
      </c>
      <c r="AE245">
        <v>0</v>
      </c>
      <c r="AF245" s="1">
        <v>0</v>
      </c>
      <c r="AG245" s="1">
        <v>0</v>
      </c>
      <c r="AH245" s="1">
        <v>0</v>
      </c>
    </row>
    <row r="246" spans="1:34" x14ac:dyDescent="0.3">
      <c r="A246" t="s">
        <v>91</v>
      </c>
      <c r="B246" t="s">
        <v>114</v>
      </c>
      <c r="C246" t="s">
        <v>38</v>
      </c>
      <c r="D246">
        <v>229</v>
      </c>
      <c r="E246">
        <v>125</v>
      </c>
      <c r="F246">
        <v>4</v>
      </c>
      <c r="G246">
        <v>1</v>
      </c>
      <c r="H246">
        <v>0</v>
      </c>
      <c r="I246">
        <v>2</v>
      </c>
      <c r="J246">
        <v>0</v>
      </c>
      <c r="K246">
        <v>0</v>
      </c>
      <c r="L246">
        <v>91</v>
      </c>
      <c r="M246">
        <v>0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4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s="1">
        <v>0</v>
      </c>
      <c r="AD246" s="1">
        <v>0</v>
      </c>
      <c r="AE246">
        <v>0</v>
      </c>
      <c r="AF246" s="1">
        <v>0</v>
      </c>
      <c r="AG246" s="1">
        <v>0</v>
      </c>
      <c r="AH246" s="1">
        <v>0</v>
      </c>
    </row>
    <row r="247" spans="1:34" x14ac:dyDescent="0.3">
      <c r="A247" t="s">
        <v>91</v>
      </c>
      <c r="B247" t="s">
        <v>115</v>
      </c>
      <c r="C247" t="s">
        <v>34</v>
      </c>
      <c r="D247">
        <v>382</v>
      </c>
      <c r="E247">
        <v>214</v>
      </c>
      <c r="F247">
        <v>12</v>
      </c>
      <c r="G247">
        <v>14</v>
      </c>
      <c r="H247">
        <v>10</v>
      </c>
      <c r="I247">
        <v>6</v>
      </c>
      <c r="J247">
        <v>0</v>
      </c>
      <c r="K247">
        <v>0</v>
      </c>
      <c r="L247">
        <v>43</v>
      </c>
      <c r="M247">
        <v>33</v>
      </c>
      <c r="N247">
        <v>47</v>
      </c>
      <c r="O247">
        <v>0</v>
      </c>
      <c r="P247">
        <v>0</v>
      </c>
      <c r="Q247">
        <v>0</v>
      </c>
      <c r="R247">
        <v>0</v>
      </c>
      <c r="S247">
        <v>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s="1">
        <v>0</v>
      </c>
      <c r="AD247" s="1">
        <v>0</v>
      </c>
      <c r="AE247">
        <v>0</v>
      </c>
      <c r="AF247" s="1">
        <v>0</v>
      </c>
      <c r="AG247" s="1">
        <v>0</v>
      </c>
      <c r="AH247" s="1">
        <v>0</v>
      </c>
    </row>
    <row r="248" spans="1:34" x14ac:dyDescent="0.3">
      <c r="A248" t="s">
        <v>91</v>
      </c>
      <c r="B248" t="s">
        <v>115</v>
      </c>
      <c r="C248" t="s">
        <v>37</v>
      </c>
      <c r="D248">
        <v>263</v>
      </c>
      <c r="E248">
        <v>129</v>
      </c>
      <c r="F248">
        <v>5</v>
      </c>
      <c r="G248">
        <v>7</v>
      </c>
      <c r="H248">
        <v>5</v>
      </c>
      <c r="I248">
        <v>6</v>
      </c>
      <c r="J248">
        <v>0</v>
      </c>
      <c r="K248">
        <v>0</v>
      </c>
      <c r="L248">
        <v>29</v>
      </c>
      <c r="M248">
        <v>32</v>
      </c>
      <c r="N248">
        <v>47</v>
      </c>
      <c r="O248">
        <v>0</v>
      </c>
      <c r="P248">
        <v>0</v>
      </c>
      <c r="Q248">
        <v>0</v>
      </c>
      <c r="R248">
        <v>0</v>
      </c>
      <c r="S248">
        <v>3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s="1">
        <v>0</v>
      </c>
      <c r="AD248" s="1">
        <v>0</v>
      </c>
      <c r="AE248">
        <v>0</v>
      </c>
      <c r="AF248" s="1">
        <v>0</v>
      </c>
      <c r="AG248" s="1">
        <v>0</v>
      </c>
      <c r="AH248" s="1">
        <v>0</v>
      </c>
    </row>
    <row r="249" spans="1:34" x14ac:dyDescent="0.3">
      <c r="A249" t="s">
        <v>91</v>
      </c>
      <c r="B249" t="s">
        <v>115</v>
      </c>
      <c r="C249" t="s">
        <v>38</v>
      </c>
      <c r="D249">
        <v>119</v>
      </c>
      <c r="E249">
        <v>85</v>
      </c>
      <c r="F249">
        <v>7</v>
      </c>
      <c r="G249">
        <v>7</v>
      </c>
      <c r="H249">
        <v>5</v>
      </c>
      <c r="I249">
        <v>0</v>
      </c>
      <c r="J249">
        <v>0</v>
      </c>
      <c r="K249">
        <v>0</v>
      </c>
      <c r="L249">
        <v>14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s="1">
        <v>0</v>
      </c>
      <c r="AD249" s="1">
        <v>0</v>
      </c>
      <c r="AE249">
        <v>0</v>
      </c>
      <c r="AF249" s="1">
        <v>0</v>
      </c>
      <c r="AG249" s="1">
        <v>0</v>
      </c>
      <c r="AH249" s="1">
        <v>0</v>
      </c>
    </row>
    <row r="250" spans="1:34" x14ac:dyDescent="0.3">
      <c r="A250" t="s">
        <v>91</v>
      </c>
      <c r="B250" t="s">
        <v>116</v>
      </c>
      <c r="C250" t="s">
        <v>34</v>
      </c>
      <c r="D250">
        <v>346</v>
      </c>
      <c r="E250">
        <v>184</v>
      </c>
      <c r="F250">
        <v>17</v>
      </c>
      <c r="G250">
        <v>6</v>
      </c>
      <c r="H250">
        <v>1</v>
      </c>
      <c r="I250">
        <v>37</v>
      </c>
      <c r="J250">
        <v>0</v>
      </c>
      <c r="K250">
        <v>0</v>
      </c>
      <c r="L250">
        <v>7</v>
      </c>
      <c r="M250">
        <v>35</v>
      </c>
      <c r="N250">
        <v>51</v>
      </c>
      <c r="O250">
        <v>0</v>
      </c>
      <c r="P250">
        <v>0</v>
      </c>
      <c r="Q250">
        <v>0</v>
      </c>
      <c r="R250">
        <v>0</v>
      </c>
      <c r="S250">
        <v>4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3</v>
      </c>
      <c r="AA250">
        <v>0</v>
      </c>
      <c r="AB250">
        <v>0</v>
      </c>
      <c r="AC250" s="1">
        <v>0</v>
      </c>
      <c r="AD250" s="1">
        <v>0</v>
      </c>
      <c r="AE250">
        <v>0</v>
      </c>
      <c r="AF250" s="1">
        <v>0</v>
      </c>
      <c r="AG250" s="1">
        <v>0</v>
      </c>
      <c r="AH250" s="1">
        <v>0</v>
      </c>
    </row>
    <row r="251" spans="1:34" x14ac:dyDescent="0.3">
      <c r="A251" t="s">
        <v>91</v>
      </c>
      <c r="B251" t="s">
        <v>116</v>
      </c>
      <c r="C251" t="s">
        <v>37</v>
      </c>
      <c r="D251">
        <v>258</v>
      </c>
      <c r="E251">
        <v>103</v>
      </c>
      <c r="F251">
        <v>14</v>
      </c>
      <c r="G251">
        <v>6</v>
      </c>
      <c r="H251">
        <v>1</v>
      </c>
      <c r="I251">
        <v>34</v>
      </c>
      <c r="J251">
        <v>0</v>
      </c>
      <c r="K251">
        <v>0</v>
      </c>
      <c r="L251">
        <v>7</v>
      </c>
      <c r="M251">
        <v>34</v>
      </c>
      <c r="N251">
        <v>51</v>
      </c>
      <c r="O251">
        <v>0</v>
      </c>
      <c r="P251">
        <v>0</v>
      </c>
      <c r="Q251">
        <v>0</v>
      </c>
      <c r="R251">
        <v>0</v>
      </c>
      <c r="S251">
        <v>4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3</v>
      </c>
      <c r="AA251">
        <v>0</v>
      </c>
      <c r="AB251">
        <v>0</v>
      </c>
      <c r="AC251" s="1">
        <v>0</v>
      </c>
      <c r="AD251" s="1">
        <v>0</v>
      </c>
      <c r="AE251">
        <v>0</v>
      </c>
      <c r="AF251" s="1">
        <v>0</v>
      </c>
      <c r="AG251" s="1">
        <v>0</v>
      </c>
      <c r="AH251" s="1">
        <v>0</v>
      </c>
    </row>
    <row r="252" spans="1:34" x14ac:dyDescent="0.3">
      <c r="A252" t="s">
        <v>91</v>
      </c>
      <c r="B252" t="s">
        <v>116</v>
      </c>
      <c r="C252" t="s">
        <v>38</v>
      </c>
      <c r="D252">
        <v>88</v>
      </c>
      <c r="E252">
        <v>81</v>
      </c>
      <c r="F252">
        <v>3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s="1">
        <v>0</v>
      </c>
      <c r="AD252" s="1">
        <v>0</v>
      </c>
      <c r="AE252">
        <v>0</v>
      </c>
      <c r="AF252" s="1">
        <v>0</v>
      </c>
      <c r="AG252" s="1">
        <v>0</v>
      </c>
      <c r="AH252" s="1">
        <v>0</v>
      </c>
    </row>
    <row r="253" spans="1:34" x14ac:dyDescent="0.3">
      <c r="A253" t="s">
        <v>91</v>
      </c>
      <c r="B253" t="s">
        <v>117</v>
      </c>
      <c r="C253" t="s">
        <v>34</v>
      </c>
      <c r="D253">
        <v>258</v>
      </c>
      <c r="E253">
        <v>199</v>
      </c>
      <c r="F253">
        <v>24</v>
      </c>
      <c r="G253">
        <v>4</v>
      </c>
      <c r="H253">
        <v>0</v>
      </c>
      <c r="I253">
        <v>2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28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s="1">
        <v>0</v>
      </c>
      <c r="AD253" s="1">
        <v>0</v>
      </c>
      <c r="AE253">
        <v>0</v>
      </c>
      <c r="AF253" s="1">
        <v>0</v>
      </c>
      <c r="AG253" s="1">
        <v>0</v>
      </c>
      <c r="AH253" s="1">
        <v>0</v>
      </c>
    </row>
    <row r="254" spans="1:34" x14ac:dyDescent="0.3">
      <c r="A254" t="s">
        <v>91</v>
      </c>
      <c r="B254" t="s">
        <v>117</v>
      </c>
      <c r="C254" t="s">
        <v>37</v>
      </c>
      <c r="D254">
        <v>158</v>
      </c>
      <c r="E254">
        <v>105</v>
      </c>
      <c r="F254">
        <v>19</v>
      </c>
      <c r="G254">
        <v>3</v>
      </c>
      <c r="H254">
        <v>0</v>
      </c>
      <c r="I254">
        <v>2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28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s="1">
        <v>0</v>
      </c>
      <c r="AD254" s="1">
        <v>0</v>
      </c>
      <c r="AE254">
        <v>0</v>
      </c>
      <c r="AF254" s="1">
        <v>0</v>
      </c>
      <c r="AG254" s="1">
        <v>0</v>
      </c>
      <c r="AH254" s="1">
        <v>0</v>
      </c>
    </row>
    <row r="255" spans="1:34" x14ac:dyDescent="0.3">
      <c r="A255" t="s">
        <v>91</v>
      </c>
      <c r="B255" t="s">
        <v>117</v>
      </c>
      <c r="C255" t="s">
        <v>38</v>
      </c>
      <c r="D255">
        <v>100</v>
      </c>
      <c r="E255">
        <v>94</v>
      </c>
      <c r="F255">
        <v>5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s="1">
        <v>0</v>
      </c>
      <c r="AD255" s="1">
        <v>0</v>
      </c>
      <c r="AE255">
        <v>0</v>
      </c>
      <c r="AF255" s="1">
        <v>0</v>
      </c>
      <c r="AG255" s="1">
        <v>0</v>
      </c>
      <c r="AH255" s="1">
        <v>0</v>
      </c>
    </row>
    <row r="256" spans="1:34" x14ac:dyDescent="0.3">
      <c r="A256" t="s">
        <v>91</v>
      </c>
      <c r="B256" t="s">
        <v>118</v>
      </c>
      <c r="C256" t="s">
        <v>34</v>
      </c>
      <c r="D256">
        <v>190</v>
      </c>
      <c r="E256">
        <v>92</v>
      </c>
      <c r="F256">
        <v>6</v>
      </c>
      <c r="G256">
        <v>4</v>
      </c>
      <c r="H256">
        <v>0</v>
      </c>
      <c r="I256">
        <v>28</v>
      </c>
      <c r="J256">
        <v>1</v>
      </c>
      <c r="K256">
        <v>0</v>
      </c>
      <c r="L256">
        <v>13</v>
      </c>
      <c r="M256">
        <v>16</v>
      </c>
      <c r="N256">
        <v>29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s="1">
        <v>0</v>
      </c>
      <c r="AD256" s="1">
        <v>0</v>
      </c>
      <c r="AE256">
        <v>0</v>
      </c>
      <c r="AF256" s="1">
        <v>0</v>
      </c>
      <c r="AG256" s="1">
        <v>0</v>
      </c>
      <c r="AH256" s="1">
        <v>0</v>
      </c>
    </row>
    <row r="257" spans="1:34" x14ac:dyDescent="0.3">
      <c r="A257" t="s">
        <v>91</v>
      </c>
      <c r="B257" t="s">
        <v>118</v>
      </c>
      <c r="C257" t="s">
        <v>37</v>
      </c>
      <c r="D257">
        <v>149</v>
      </c>
      <c r="E257">
        <v>55</v>
      </c>
      <c r="F257">
        <v>3</v>
      </c>
      <c r="G257">
        <v>4</v>
      </c>
      <c r="H257">
        <v>0</v>
      </c>
      <c r="I257">
        <v>28</v>
      </c>
      <c r="J257">
        <v>0</v>
      </c>
      <c r="K257">
        <v>0</v>
      </c>
      <c r="L257">
        <v>13</v>
      </c>
      <c r="M257">
        <v>16</v>
      </c>
      <c r="N257">
        <v>29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s="1">
        <v>0</v>
      </c>
      <c r="AD257" s="1">
        <v>0</v>
      </c>
      <c r="AE257">
        <v>0</v>
      </c>
      <c r="AF257" s="1">
        <v>0</v>
      </c>
      <c r="AG257" s="1">
        <v>0</v>
      </c>
      <c r="AH257" s="1">
        <v>0</v>
      </c>
    </row>
    <row r="258" spans="1:34" x14ac:dyDescent="0.3">
      <c r="A258" t="s">
        <v>91</v>
      </c>
      <c r="B258" t="s">
        <v>118</v>
      </c>
      <c r="C258" t="s">
        <v>38</v>
      </c>
      <c r="D258">
        <v>41</v>
      </c>
      <c r="E258">
        <v>37</v>
      </c>
      <c r="F258">
        <v>3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s="1">
        <v>0</v>
      </c>
      <c r="AD258" s="1">
        <v>0</v>
      </c>
      <c r="AE258">
        <v>0</v>
      </c>
      <c r="AF258" s="1">
        <v>0</v>
      </c>
      <c r="AG258" s="1">
        <v>0</v>
      </c>
      <c r="AH258" s="1">
        <v>0</v>
      </c>
    </row>
    <row r="259" spans="1:34" x14ac:dyDescent="0.3">
      <c r="A259" t="s">
        <v>91</v>
      </c>
      <c r="B259" t="s">
        <v>119</v>
      </c>
      <c r="C259" t="s">
        <v>34</v>
      </c>
      <c r="D259">
        <v>188</v>
      </c>
      <c r="E259">
        <v>135</v>
      </c>
      <c r="F259">
        <v>9</v>
      </c>
      <c r="G259">
        <v>3</v>
      </c>
      <c r="H259">
        <v>0</v>
      </c>
      <c r="I259">
        <v>24</v>
      </c>
      <c r="J259">
        <v>0</v>
      </c>
      <c r="K259">
        <v>0</v>
      </c>
      <c r="L259">
        <v>0</v>
      </c>
      <c r="M259">
        <v>3</v>
      </c>
      <c r="N259">
        <v>14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s="1">
        <v>0</v>
      </c>
      <c r="AD259" s="1">
        <v>0</v>
      </c>
      <c r="AE259">
        <v>0</v>
      </c>
      <c r="AF259" s="1">
        <v>0</v>
      </c>
      <c r="AG259" s="1">
        <v>0</v>
      </c>
      <c r="AH259" s="1">
        <v>0</v>
      </c>
    </row>
    <row r="260" spans="1:34" x14ac:dyDescent="0.3">
      <c r="A260" t="s">
        <v>91</v>
      </c>
      <c r="B260" t="s">
        <v>119</v>
      </c>
      <c r="C260" t="s">
        <v>37</v>
      </c>
      <c r="D260">
        <v>129</v>
      </c>
      <c r="E260">
        <v>81</v>
      </c>
      <c r="F260">
        <v>5</v>
      </c>
      <c r="G260">
        <v>3</v>
      </c>
      <c r="H260">
        <v>0</v>
      </c>
      <c r="I260">
        <v>24</v>
      </c>
      <c r="J260">
        <v>0</v>
      </c>
      <c r="K260">
        <v>0</v>
      </c>
      <c r="L260">
        <v>0</v>
      </c>
      <c r="M260">
        <v>2</v>
      </c>
      <c r="N260">
        <v>14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s="1">
        <v>0</v>
      </c>
      <c r="AD260" s="1">
        <v>0</v>
      </c>
      <c r="AE260">
        <v>0</v>
      </c>
      <c r="AF260" s="1">
        <v>0</v>
      </c>
      <c r="AG260" s="1">
        <v>0</v>
      </c>
      <c r="AH260" s="1">
        <v>0</v>
      </c>
    </row>
    <row r="261" spans="1:34" x14ac:dyDescent="0.3">
      <c r="A261" t="s">
        <v>91</v>
      </c>
      <c r="B261" t="s">
        <v>119</v>
      </c>
      <c r="C261" t="s">
        <v>38</v>
      </c>
      <c r="D261">
        <v>59</v>
      </c>
      <c r="E261">
        <v>54</v>
      </c>
      <c r="F261">
        <v>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s="1">
        <v>0</v>
      </c>
      <c r="AD261" s="1">
        <v>0</v>
      </c>
      <c r="AE261">
        <v>0</v>
      </c>
      <c r="AF261" s="1">
        <v>0</v>
      </c>
      <c r="AG261" s="1">
        <v>0</v>
      </c>
      <c r="AH261" s="1">
        <v>0</v>
      </c>
    </row>
    <row r="262" spans="1:34" x14ac:dyDescent="0.3">
      <c r="A262" t="s">
        <v>91</v>
      </c>
      <c r="B262" t="s">
        <v>120</v>
      </c>
      <c r="C262" t="s">
        <v>34</v>
      </c>
      <c r="D262">
        <v>180</v>
      </c>
      <c r="E262">
        <v>116</v>
      </c>
      <c r="F262">
        <v>7</v>
      </c>
      <c r="G262">
        <v>7</v>
      </c>
      <c r="H262">
        <v>0</v>
      </c>
      <c r="I262">
        <v>30</v>
      </c>
      <c r="J262">
        <v>0</v>
      </c>
      <c r="K262">
        <v>0</v>
      </c>
      <c r="L262">
        <v>12</v>
      </c>
      <c r="M262">
        <v>3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0</v>
      </c>
      <c r="AC262" s="1">
        <v>0</v>
      </c>
      <c r="AD262" s="1">
        <v>0</v>
      </c>
      <c r="AE262">
        <v>0</v>
      </c>
      <c r="AF262" s="1">
        <v>0</v>
      </c>
      <c r="AG262" s="1">
        <v>0</v>
      </c>
      <c r="AH262" s="1">
        <v>0</v>
      </c>
    </row>
    <row r="263" spans="1:34" x14ac:dyDescent="0.3">
      <c r="A263" t="s">
        <v>91</v>
      </c>
      <c r="B263" t="s">
        <v>120</v>
      </c>
      <c r="C263" t="s">
        <v>37</v>
      </c>
      <c r="D263">
        <v>105</v>
      </c>
      <c r="E263">
        <v>55</v>
      </c>
      <c r="F263">
        <v>4</v>
      </c>
      <c r="G263">
        <v>3</v>
      </c>
      <c r="H263">
        <v>0</v>
      </c>
      <c r="I263">
        <v>25</v>
      </c>
      <c r="J263">
        <v>0</v>
      </c>
      <c r="K263">
        <v>0</v>
      </c>
      <c r="L263">
        <v>12</v>
      </c>
      <c r="M263">
        <v>1</v>
      </c>
      <c r="N263">
        <v>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 s="1">
        <v>0</v>
      </c>
      <c r="AD263" s="1">
        <v>0</v>
      </c>
      <c r="AE263">
        <v>0</v>
      </c>
      <c r="AF263" s="1">
        <v>0</v>
      </c>
      <c r="AG263" s="1">
        <v>0</v>
      </c>
      <c r="AH263" s="1">
        <v>0</v>
      </c>
    </row>
    <row r="264" spans="1:34" x14ac:dyDescent="0.3">
      <c r="A264" t="s">
        <v>91</v>
      </c>
      <c r="B264" t="s">
        <v>120</v>
      </c>
      <c r="C264" t="s">
        <v>38</v>
      </c>
      <c r="D264">
        <v>75</v>
      </c>
      <c r="E264">
        <v>61</v>
      </c>
      <c r="F264">
        <v>3</v>
      </c>
      <c r="G264">
        <v>4</v>
      </c>
      <c r="H264">
        <v>0</v>
      </c>
      <c r="I264">
        <v>5</v>
      </c>
      <c r="J264">
        <v>0</v>
      </c>
      <c r="K264">
        <v>0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s="1">
        <v>0</v>
      </c>
      <c r="AD264" s="1">
        <v>0</v>
      </c>
      <c r="AE264">
        <v>0</v>
      </c>
      <c r="AF264" s="1">
        <v>0</v>
      </c>
      <c r="AG264" s="1">
        <v>0</v>
      </c>
      <c r="AH264" s="1">
        <v>0</v>
      </c>
    </row>
    <row r="265" spans="1:34" x14ac:dyDescent="0.3">
      <c r="A265" t="s">
        <v>91</v>
      </c>
      <c r="B265" t="s">
        <v>121</v>
      </c>
      <c r="C265" t="s">
        <v>34</v>
      </c>
      <c r="D265">
        <v>165</v>
      </c>
      <c r="E265">
        <v>123</v>
      </c>
      <c r="F265">
        <v>13</v>
      </c>
      <c r="G265">
        <v>8</v>
      </c>
      <c r="H265">
        <v>0</v>
      </c>
      <c r="I265">
        <v>2</v>
      </c>
      <c r="J265">
        <v>1</v>
      </c>
      <c r="K265">
        <v>0</v>
      </c>
      <c r="L265">
        <v>1</v>
      </c>
      <c r="M265">
        <v>2</v>
      </c>
      <c r="N265">
        <v>6</v>
      </c>
      <c r="O265">
        <v>2</v>
      </c>
      <c r="P265">
        <v>3</v>
      </c>
      <c r="Q265">
        <v>0</v>
      </c>
      <c r="R265">
        <v>0</v>
      </c>
      <c r="S265">
        <v>0</v>
      </c>
      <c r="T265">
        <v>3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 s="1">
        <v>0</v>
      </c>
      <c r="AD265" s="1">
        <v>0</v>
      </c>
      <c r="AE265">
        <v>0</v>
      </c>
      <c r="AF265" s="1">
        <v>0</v>
      </c>
      <c r="AG265" s="1">
        <v>0</v>
      </c>
      <c r="AH265" s="1">
        <v>0</v>
      </c>
    </row>
    <row r="266" spans="1:34" x14ac:dyDescent="0.3">
      <c r="A266" t="s">
        <v>91</v>
      </c>
      <c r="B266" t="s">
        <v>121</v>
      </c>
      <c r="C266" t="s">
        <v>37</v>
      </c>
      <c r="D266">
        <v>113</v>
      </c>
      <c r="E266">
        <v>78</v>
      </c>
      <c r="F266">
        <v>10</v>
      </c>
      <c r="G266">
        <v>8</v>
      </c>
      <c r="H266">
        <v>0</v>
      </c>
      <c r="I266">
        <v>2</v>
      </c>
      <c r="J266">
        <v>1</v>
      </c>
      <c r="K266">
        <v>0</v>
      </c>
      <c r="L266">
        <v>0</v>
      </c>
      <c r="M266">
        <v>2</v>
      </c>
      <c r="N266">
        <v>3</v>
      </c>
      <c r="O266">
        <v>2</v>
      </c>
      <c r="P266">
        <v>3</v>
      </c>
      <c r="Q266">
        <v>0</v>
      </c>
      <c r="R266">
        <v>0</v>
      </c>
      <c r="S266">
        <v>0</v>
      </c>
      <c r="T266">
        <v>3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 s="1">
        <v>0</v>
      </c>
      <c r="AD266" s="1">
        <v>0</v>
      </c>
      <c r="AE266">
        <v>0</v>
      </c>
      <c r="AF266" s="1">
        <v>0</v>
      </c>
      <c r="AG266" s="1">
        <v>0</v>
      </c>
      <c r="AH266" s="1">
        <v>0</v>
      </c>
    </row>
    <row r="267" spans="1:34" x14ac:dyDescent="0.3">
      <c r="A267" t="s">
        <v>91</v>
      </c>
      <c r="B267" t="s">
        <v>121</v>
      </c>
      <c r="C267" t="s">
        <v>38</v>
      </c>
      <c r="D267">
        <v>52</v>
      </c>
      <c r="E267">
        <v>45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s="1">
        <v>0</v>
      </c>
      <c r="AD267" s="1">
        <v>0</v>
      </c>
      <c r="AE267">
        <v>0</v>
      </c>
      <c r="AF267" s="1">
        <v>0</v>
      </c>
      <c r="AG267" s="1">
        <v>0</v>
      </c>
      <c r="AH267" s="1">
        <v>0</v>
      </c>
    </row>
    <row r="268" spans="1:34" x14ac:dyDescent="0.3">
      <c r="A268" t="s">
        <v>91</v>
      </c>
      <c r="B268" t="s">
        <v>122</v>
      </c>
      <c r="C268" t="s">
        <v>34</v>
      </c>
      <c r="D268">
        <v>129</v>
      </c>
      <c r="E268">
        <v>46</v>
      </c>
      <c r="F268">
        <v>0</v>
      </c>
      <c r="G268">
        <v>0</v>
      </c>
      <c r="H268">
        <v>0</v>
      </c>
      <c r="I268">
        <v>25</v>
      </c>
      <c r="J268">
        <v>0</v>
      </c>
      <c r="K268">
        <v>0</v>
      </c>
      <c r="L268">
        <v>36</v>
      </c>
      <c r="M268">
        <v>16</v>
      </c>
      <c r="N268">
        <v>6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s="1">
        <v>0</v>
      </c>
      <c r="AD268" s="1">
        <v>0</v>
      </c>
      <c r="AE268">
        <v>0</v>
      </c>
      <c r="AF268" s="1">
        <v>0</v>
      </c>
      <c r="AG268" s="1">
        <v>0</v>
      </c>
      <c r="AH268" s="1">
        <v>0</v>
      </c>
    </row>
    <row r="269" spans="1:34" x14ac:dyDescent="0.3">
      <c r="A269" t="s">
        <v>91</v>
      </c>
      <c r="B269" t="s">
        <v>122</v>
      </c>
      <c r="C269" t="s">
        <v>37</v>
      </c>
      <c r="D269">
        <v>106</v>
      </c>
      <c r="E269">
        <v>24</v>
      </c>
      <c r="F269">
        <v>0</v>
      </c>
      <c r="G269">
        <v>0</v>
      </c>
      <c r="H269">
        <v>0</v>
      </c>
      <c r="I269">
        <v>24</v>
      </c>
      <c r="J269">
        <v>0</v>
      </c>
      <c r="K269">
        <v>0</v>
      </c>
      <c r="L269">
        <v>36</v>
      </c>
      <c r="M269">
        <v>16</v>
      </c>
      <c r="N269">
        <v>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s="1">
        <v>0</v>
      </c>
      <c r="AD269" s="1">
        <v>0</v>
      </c>
      <c r="AE269">
        <v>0</v>
      </c>
      <c r="AF269" s="1">
        <v>0</v>
      </c>
      <c r="AG269" s="1">
        <v>0</v>
      </c>
      <c r="AH269" s="1">
        <v>0</v>
      </c>
    </row>
    <row r="270" spans="1:34" x14ac:dyDescent="0.3">
      <c r="A270" t="s">
        <v>91</v>
      </c>
      <c r="B270" t="s">
        <v>122</v>
      </c>
      <c r="C270" t="s">
        <v>38</v>
      </c>
      <c r="D270">
        <v>23</v>
      </c>
      <c r="E270">
        <v>22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s="1">
        <v>0</v>
      </c>
      <c r="AD270" s="1">
        <v>0</v>
      </c>
      <c r="AE270">
        <v>0</v>
      </c>
      <c r="AF270" s="1">
        <v>0</v>
      </c>
      <c r="AG270" s="1">
        <v>0</v>
      </c>
      <c r="AH270" s="1">
        <v>0</v>
      </c>
    </row>
    <row r="271" spans="1:34" x14ac:dyDescent="0.3">
      <c r="A271" t="s">
        <v>91</v>
      </c>
      <c r="B271" t="s">
        <v>123</v>
      </c>
      <c r="C271" t="s">
        <v>34</v>
      </c>
      <c r="D271">
        <v>123</v>
      </c>
      <c r="E271">
        <v>110</v>
      </c>
      <c r="F271">
        <v>8</v>
      </c>
      <c r="G271">
        <v>3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s="1">
        <v>0</v>
      </c>
      <c r="AD271" s="1">
        <v>0</v>
      </c>
      <c r="AE271">
        <v>0</v>
      </c>
      <c r="AF271" s="1">
        <v>0</v>
      </c>
      <c r="AG271" s="1">
        <v>0</v>
      </c>
      <c r="AH271" s="1">
        <v>0</v>
      </c>
    </row>
    <row r="272" spans="1:34" x14ac:dyDescent="0.3">
      <c r="A272" t="s">
        <v>91</v>
      </c>
      <c r="B272" t="s">
        <v>123</v>
      </c>
      <c r="C272" t="s">
        <v>37</v>
      </c>
      <c r="D272">
        <v>39</v>
      </c>
      <c r="E272">
        <v>35</v>
      </c>
      <c r="F272">
        <v>3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s="1">
        <v>0</v>
      </c>
      <c r="AD272" s="1">
        <v>0</v>
      </c>
      <c r="AE272">
        <v>0</v>
      </c>
      <c r="AF272" s="1">
        <v>0</v>
      </c>
      <c r="AG272" s="1">
        <v>0</v>
      </c>
      <c r="AH272" s="1">
        <v>0</v>
      </c>
    </row>
    <row r="273" spans="1:34" x14ac:dyDescent="0.3">
      <c r="A273" t="s">
        <v>91</v>
      </c>
      <c r="B273" t="s">
        <v>123</v>
      </c>
      <c r="C273" t="s">
        <v>38</v>
      </c>
      <c r="D273">
        <v>84</v>
      </c>
      <c r="E273">
        <v>75</v>
      </c>
      <c r="F273">
        <v>5</v>
      </c>
      <c r="G273">
        <v>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s="1">
        <v>0</v>
      </c>
      <c r="AD273" s="1">
        <v>0</v>
      </c>
      <c r="AE273">
        <v>0</v>
      </c>
      <c r="AF273" s="1">
        <v>0</v>
      </c>
      <c r="AG273" s="1">
        <v>0</v>
      </c>
      <c r="AH273" s="1">
        <v>0</v>
      </c>
    </row>
    <row r="274" spans="1:34" x14ac:dyDescent="0.3">
      <c r="A274" t="s">
        <v>91</v>
      </c>
      <c r="B274" t="s">
        <v>124</v>
      </c>
      <c r="C274" t="s">
        <v>34</v>
      </c>
      <c r="D274">
        <v>116</v>
      </c>
      <c r="E274">
        <v>77</v>
      </c>
      <c r="F274">
        <v>9</v>
      </c>
      <c r="G274">
        <v>4</v>
      </c>
      <c r="H274">
        <v>2</v>
      </c>
      <c r="I274">
        <v>2</v>
      </c>
      <c r="J274">
        <v>0</v>
      </c>
      <c r="K274">
        <v>0</v>
      </c>
      <c r="L274">
        <v>5</v>
      </c>
      <c r="M274">
        <v>8</v>
      </c>
      <c r="N274">
        <v>8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s="1">
        <v>0</v>
      </c>
      <c r="AD274" s="1">
        <v>0</v>
      </c>
      <c r="AE274">
        <v>0</v>
      </c>
      <c r="AF274" s="1">
        <v>0</v>
      </c>
      <c r="AG274" s="1">
        <v>0</v>
      </c>
      <c r="AH274" s="1">
        <v>0</v>
      </c>
    </row>
    <row r="275" spans="1:34" x14ac:dyDescent="0.3">
      <c r="A275" t="s">
        <v>91</v>
      </c>
      <c r="B275" t="s">
        <v>124</v>
      </c>
      <c r="C275" t="s">
        <v>37</v>
      </c>
      <c r="D275">
        <v>53</v>
      </c>
      <c r="E275">
        <v>21</v>
      </c>
      <c r="F275">
        <v>5</v>
      </c>
      <c r="G275">
        <v>2</v>
      </c>
      <c r="H275">
        <v>1</v>
      </c>
      <c r="I275">
        <v>2</v>
      </c>
      <c r="J275">
        <v>0</v>
      </c>
      <c r="K275">
        <v>0</v>
      </c>
      <c r="L275">
        <v>5</v>
      </c>
      <c r="M275">
        <v>8</v>
      </c>
      <c r="N275">
        <v>8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s="1">
        <v>0</v>
      </c>
      <c r="AD275" s="1">
        <v>0</v>
      </c>
      <c r="AE275">
        <v>0</v>
      </c>
      <c r="AF275" s="1">
        <v>0</v>
      </c>
      <c r="AG275" s="1">
        <v>0</v>
      </c>
      <c r="AH275" s="1">
        <v>0</v>
      </c>
    </row>
    <row r="276" spans="1:34" x14ac:dyDescent="0.3">
      <c r="A276" t="s">
        <v>91</v>
      </c>
      <c r="B276" t="s">
        <v>124</v>
      </c>
      <c r="C276" t="s">
        <v>38</v>
      </c>
      <c r="D276">
        <v>63</v>
      </c>
      <c r="E276">
        <v>56</v>
      </c>
      <c r="F276">
        <v>4</v>
      </c>
      <c r="G276">
        <v>2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s="1">
        <v>0</v>
      </c>
      <c r="AD276" s="1">
        <v>0</v>
      </c>
      <c r="AE276">
        <v>0</v>
      </c>
      <c r="AF276" s="1">
        <v>0</v>
      </c>
      <c r="AG276" s="1">
        <v>0</v>
      </c>
      <c r="AH276" s="1">
        <v>0</v>
      </c>
    </row>
    <row r="277" spans="1:34" x14ac:dyDescent="0.3">
      <c r="A277" t="s">
        <v>91</v>
      </c>
      <c r="B277" t="s">
        <v>125</v>
      </c>
      <c r="C277" t="s">
        <v>34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s="1">
        <v>0</v>
      </c>
      <c r="AD277" s="1">
        <v>0</v>
      </c>
      <c r="AE277">
        <v>0</v>
      </c>
      <c r="AF277" s="1">
        <v>0</v>
      </c>
      <c r="AG277" s="1">
        <v>0</v>
      </c>
      <c r="AH277" s="1">
        <v>0</v>
      </c>
    </row>
    <row r="278" spans="1:34" x14ac:dyDescent="0.3">
      <c r="A278" t="s">
        <v>91</v>
      </c>
      <c r="B278" t="s">
        <v>125</v>
      </c>
      <c r="C278" t="s">
        <v>37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s="1">
        <v>0</v>
      </c>
      <c r="AD278" s="1">
        <v>0</v>
      </c>
      <c r="AE278">
        <v>0</v>
      </c>
      <c r="AF278" s="1">
        <v>0</v>
      </c>
      <c r="AG278" s="1">
        <v>0</v>
      </c>
      <c r="AH278" s="1">
        <v>0</v>
      </c>
    </row>
    <row r="279" spans="1:34" x14ac:dyDescent="0.3">
      <c r="A279" t="s">
        <v>126</v>
      </c>
      <c r="B279" t="s">
        <v>252</v>
      </c>
      <c r="C279" t="s">
        <v>34</v>
      </c>
      <c r="D279" s="1">
        <v>1336031</v>
      </c>
      <c r="E279" s="1">
        <v>1023155</v>
      </c>
      <c r="F279" s="1">
        <v>79224</v>
      </c>
      <c r="G279" s="1">
        <v>49256</v>
      </c>
      <c r="H279" s="1">
        <v>14802</v>
      </c>
      <c r="I279" s="1">
        <v>66424</v>
      </c>
      <c r="J279" s="1">
        <v>1638</v>
      </c>
      <c r="K279" s="1">
        <v>3151</v>
      </c>
      <c r="L279" s="1">
        <v>18732</v>
      </c>
      <c r="M279" s="1">
        <v>8568</v>
      </c>
      <c r="N279" s="1">
        <v>14438</v>
      </c>
      <c r="O279" s="1">
        <v>1155</v>
      </c>
      <c r="P279" s="1">
        <v>4077</v>
      </c>
      <c r="Q279" s="1">
        <v>26473</v>
      </c>
      <c r="R279">
        <v>417</v>
      </c>
      <c r="S279" s="1">
        <v>4053</v>
      </c>
      <c r="T279" s="1">
        <v>1935</v>
      </c>
      <c r="U279" s="1">
        <v>10328</v>
      </c>
      <c r="V279">
        <v>52</v>
      </c>
      <c r="W279">
        <v>851</v>
      </c>
      <c r="X279" s="1">
        <v>1811</v>
      </c>
      <c r="Y279" s="1">
        <v>1086</v>
      </c>
      <c r="Z279" s="1">
        <v>2242</v>
      </c>
      <c r="AA279">
        <v>421</v>
      </c>
      <c r="AB279">
        <v>898</v>
      </c>
      <c r="AC279">
        <v>303</v>
      </c>
      <c r="AD279">
        <v>1</v>
      </c>
      <c r="AE279">
        <v>388</v>
      </c>
      <c r="AF279">
        <v>76</v>
      </c>
      <c r="AG279">
        <v>76</v>
      </c>
      <c r="AH279" s="1">
        <v>0</v>
      </c>
    </row>
    <row r="280" spans="1:34" x14ac:dyDescent="0.3">
      <c r="A280" t="s">
        <v>126</v>
      </c>
      <c r="B280" t="s">
        <v>252</v>
      </c>
      <c r="C280" t="s">
        <v>253</v>
      </c>
      <c r="D280" s="1">
        <f>D284+D287+D291+D295+D298+D301+D304+D308+D311+D314+D317+D320+D323+D326+D329+D332+D335+D338+D341+D344+D347+D350+D353+D356+D359+D362+D365+D368+D371+D374+D377+D380+D383+D386+D389+D392+D395+D399+D402+D406+D409++D412+D415+D417+D419+D422+D425+D428+D430+D433+D436</f>
        <v>754665</v>
      </c>
      <c r="E280" s="1">
        <f t="shared" ref="E280:AH280" si="10">E284+E287+E291+E295+E298+E301+E304+E308+E311+E314+E317+E320+E323+E326+E329+E332+E335+E338+E341+E344+E347+E350+E353+E356+E359+E362+E365+E368+E371+E374+E377+E380+E383+E386+E389+E392+E395+E399+E402+E406+E409++E412+E415+E417+E419+E422+E425+E428+E430+E433+E436</f>
        <v>537954</v>
      </c>
      <c r="F280" s="1">
        <f t="shared" si="10"/>
        <v>50518</v>
      </c>
      <c r="G280" s="1">
        <f t="shared" si="10"/>
        <v>28018</v>
      </c>
      <c r="H280" s="1">
        <f t="shared" si="10"/>
        <v>7752</v>
      </c>
      <c r="I280" s="1">
        <f t="shared" si="10"/>
        <v>46667</v>
      </c>
      <c r="J280" s="1">
        <f t="shared" si="10"/>
        <v>893</v>
      </c>
      <c r="K280" s="1">
        <f t="shared" si="10"/>
        <v>2293</v>
      </c>
      <c r="L280" s="1">
        <f t="shared" si="10"/>
        <v>12207</v>
      </c>
      <c r="M280" s="1">
        <f t="shared" si="10"/>
        <v>6557</v>
      </c>
      <c r="N280" s="1">
        <f t="shared" si="10"/>
        <v>9147</v>
      </c>
      <c r="O280" s="1">
        <f t="shared" si="10"/>
        <v>1143</v>
      </c>
      <c r="P280" s="1">
        <f t="shared" si="10"/>
        <v>4017</v>
      </c>
      <c r="Q280" s="1">
        <f t="shared" si="10"/>
        <v>26271</v>
      </c>
      <c r="R280" s="1">
        <f t="shared" si="10"/>
        <v>413</v>
      </c>
      <c r="S280" s="1">
        <f t="shared" si="10"/>
        <v>3683</v>
      </c>
      <c r="T280" s="1">
        <f t="shared" si="10"/>
        <v>1930</v>
      </c>
      <c r="U280" s="1">
        <f t="shared" si="10"/>
        <v>7471</v>
      </c>
      <c r="V280" s="1">
        <f t="shared" si="10"/>
        <v>15</v>
      </c>
      <c r="W280" s="1">
        <f t="shared" si="10"/>
        <v>851</v>
      </c>
      <c r="X280" s="1">
        <f t="shared" si="10"/>
        <v>1807</v>
      </c>
      <c r="Y280" s="1">
        <f t="shared" si="10"/>
        <v>1080</v>
      </c>
      <c r="Z280" s="1">
        <f t="shared" si="10"/>
        <v>1867</v>
      </c>
      <c r="AA280" s="1">
        <f t="shared" si="10"/>
        <v>414</v>
      </c>
      <c r="AB280" s="1">
        <f t="shared" si="10"/>
        <v>878</v>
      </c>
      <c r="AC280" s="1">
        <f t="shared" si="10"/>
        <v>302</v>
      </c>
      <c r="AD280" s="1">
        <f t="shared" si="10"/>
        <v>1</v>
      </c>
      <c r="AE280" s="1">
        <f t="shared" si="10"/>
        <v>377</v>
      </c>
      <c r="AF280" s="1">
        <f t="shared" si="10"/>
        <v>76</v>
      </c>
      <c r="AG280" s="1">
        <f t="shared" si="10"/>
        <v>63</v>
      </c>
      <c r="AH280" s="1">
        <f t="shared" si="10"/>
        <v>0</v>
      </c>
    </row>
    <row r="281" spans="1:34" x14ac:dyDescent="0.3">
      <c r="A281" t="s">
        <v>126</v>
      </c>
      <c r="B281" t="s">
        <v>252</v>
      </c>
      <c r="C281" t="s">
        <v>254</v>
      </c>
      <c r="D281" s="1">
        <f>D285+D288+D292+D296+D299+D302+D305+D309+D312+D315+D318+D321+D324+D327+D330+D333+D336+D339+D342+D345+D348+D351+D354+D357+D360+D363+D366+D369+D372+D375+D378+D381+D384+D387+D390+D393+D396+D400+D403+D407+D410++D413+D420+D423+D426+D431+D434</f>
        <v>581343</v>
      </c>
      <c r="E281" s="1">
        <f t="shared" ref="E281:AH281" si="11">E285+E288+E292+E296+E299+E302+E305+E309+E312+E315+E318+E321+E324+E327+E330+E333+E336+E339+E342+E345+E348+E351+E354+E357+E360+E363+E366+E369+E372+E375+E378+E381+E384+E387+E390+E393+E396+E400+E403+E407+E410++E413+E420+E423+E426+E431+E434</f>
        <v>485180</v>
      </c>
      <c r="F281" s="1">
        <f t="shared" si="11"/>
        <v>28706</v>
      </c>
      <c r="G281" s="1">
        <f t="shared" si="11"/>
        <v>21237</v>
      </c>
      <c r="H281" s="1">
        <f t="shared" si="11"/>
        <v>7049</v>
      </c>
      <c r="I281" s="1">
        <f t="shared" si="11"/>
        <v>19757</v>
      </c>
      <c r="J281" s="1">
        <f t="shared" si="11"/>
        <v>745</v>
      </c>
      <c r="K281" s="1">
        <f t="shared" si="11"/>
        <v>858</v>
      </c>
      <c r="L281" s="1">
        <f t="shared" si="11"/>
        <v>6525</v>
      </c>
      <c r="M281" s="1">
        <f t="shared" si="11"/>
        <v>2011</v>
      </c>
      <c r="N281" s="1">
        <f t="shared" si="11"/>
        <v>5291</v>
      </c>
      <c r="O281" s="1">
        <f t="shared" si="11"/>
        <v>12</v>
      </c>
      <c r="P281" s="1">
        <f t="shared" si="11"/>
        <v>60</v>
      </c>
      <c r="Q281" s="1">
        <f t="shared" si="11"/>
        <v>202</v>
      </c>
      <c r="R281" s="1">
        <f t="shared" si="11"/>
        <v>4</v>
      </c>
      <c r="S281" s="1">
        <f t="shared" si="11"/>
        <v>370</v>
      </c>
      <c r="T281" s="1">
        <f t="shared" si="11"/>
        <v>5</v>
      </c>
      <c r="U281" s="1">
        <f t="shared" si="11"/>
        <v>2857</v>
      </c>
      <c r="V281" s="1">
        <f t="shared" si="11"/>
        <v>37</v>
      </c>
      <c r="W281" s="1">
        <f t="shared" si="11"/>
        <v>0</v>
      </c>
      <c r="X281" s="1">
        <f t="shared" si="11"/>
        <v>4</v>
      </c>
      <c r="Y281" s="1">
        <f t="shared" si="11"/>
        <v>6</v>
      </c>
      <c r="Z281" s="1">
        <f t="shared" si="11"/>
        <v>375</v>
      </c>
      <c r="AA281" s="1">
        <f t="shared" si="11"/>
        <v>7</v>
      </c>
      <c r="AB281" s="1">
        <f t="shared" si="11"/>
        <v>20</v>
      </c>
      <c r="AC281" s="1">
        <f t="shared" si="11"/>
        <v>1</v>
      </c>
      <c r="AD281" s="1">
        <f t="shared" si="11"/>
        <v>0</v>
      </c>
      <c r="AE281" s="1">
        <f t="shared" si="11"/>
        <v>11</v>
      </c>
      <c r="AF281" s="1">
        <f t="shared" si="11"/>
        <v>0</v>
      </c>
      <c r="AG281" s="1">
        <f t="shared" si="11"/>
        <v>13</v>
      </c>
      <c r="AH281" s="1">
        <f t="shared" si="11"/>
        <v>0</v>
      </c>
    </row>
    <row r="282" spans="1:34" x14ac:dyDescent="0.3">
      <c r="A282" t="s">
        <v>126</v>
      </c>
      <c r="B282" t="s">
        <v>252</v>
      </c>
      <c r="C282" t="s">
        <v>256</v>
      </c>
      <c r="D282" s="1">
        <f>D289+D293+D306+D397+D404</f>
        <v>23</v>
      </c>
      <c r="E282" s="1">
        <f t="shared" ref="E282:AH282" si="12">E289+E293+E306+E397+E404</f>
        <v>21</v>
      </c>
      <c r="F282" s="1">
        <f t="shared" si="12"/>
        <v>0</v>
      </c>
      <c r="G282" s="1">
        <f t="shared" si="12"/>
        <v>1</v>
      </c>
      <c r="H282" s="1">
        <f t="shared" si="12"/>
        <v>1</v>
      </c>
      <c r="I282" s="1">
        <f t="shared" si="12"/>
        <v>0</v>
      </c>
      <c r="J282" s="1">
        <f t="shared" si="12"/>
        <v>0</v>
      </c>
      <c r="K282" s="1">
        <f t="shared" si="12"/>
        <v>0</v>
      </c>
      <c r="L282" s="1">
        <f t="shared" si="12"/>
        <v>0</v>
      </c>
      <c r="M282" s="1">
        <f t="shared" si="12"/>
        <v>0</v>
      </c>
      <c r="N282" s="1">
        <f t="shared" si="12"/>
        <v>0</v>
      </c>
      <c r="O282" s="1">
        <f t="shared" si="12"/>
        <v>0</v>
      </c>
      <c r="P282" s="1">
        <f t="shared" si="12"/>
        <v>0</v>
      </c>
      <c r="Q282" s="1">
        <f t="shared" si="12"/>
        <v>0</v>
      </c>
      <c r="R282" s="1">
        <f t="shared" si="12"/>
        <v>0</v>
      </c>
      <c r="S282" s="1">
        <f t="shared" si="12"/>
        <v>0</v>
      </c>
      <c r="T282" s="1">
        <f t="shared" si="12"/>
        <v>0</v>
      </c>
      <c r="U282" s="1">
        <f t="shared" si="12"/>
        <v>0</v>
      </c>
      <c r="V282" s="1">
        <f t="shared" si="12"/>
        <v>0</v>
      </c>
      <c r="W282" s="1">
        <f t="shared" si="12"/>
        <v>0</v>
      </c>
      <c r="X282" s="1">
        <f t="shared" si="12"/>
        <v>0</v>
      </c>
      <c r="Y282" s="1">
        <f t="shared" si="12"/>
        <v>0</v>
      </c>
      <c r="Z282" s="1">
        <f t="shared" si="12"/>
        <v>0</v>
      </c>
      <c r="AA282" s="1">
        <f t="shared" si="12"/>
        <v>0</v>
      </c>
      <c r="AB282" s="1">
        <f t="shared" si="12"/>
        <v>0</v>
      </c>
      <c r="AC282" s="1">
        <f t="shared" si="12"/>
        <v>0</v>
      </c>
      <c r="AD282" s="1">
        <f t="shared" si="12"/>
        <v>0</v>
      </c>
      <c r="AE282" s="1">
        <f t="shared" si="12"/>
        <v>0</v>
      </c>
      <c r="AF282" s="1">
        <f t="shared" si="12"/>
        <v>0</v>
      </c>
      <c r="AG282" s="1">
        <f t="shared" si="12"/>
        <v>0</v>
      </c>
      <c r="AH282" s="1">
        <f t="shared" si="12"/>
        <v>0</v>
      </c>
    </row>
    <row r="283" spans="1:34" x14ac:dyDescent="0.3">
      <c r="A283" t="s">
        <v>126</v>
      </c>
      <c r="B283" t="s">
        <v>127</v>
      </c>
      <c r="C283" t="s">
        <v>34</v>
      </c>
      <c r="D283" s="1">
        <v>232101</v>
      </c>
      <c r="E283" s="1">
        <v>146735</v>
      </c>
      <c r="F283" s="1">
        <v>15841</v>
      </c>
      <c r="G283" s="1">
        <v>8824</v>
      </c>
      <c r="H283" s="1">
        <v>2480</v>
      </c>
      <c r="I283" s="1">
        <v>8685</v>
      </c>
      <c r="J283">
        <v>338</v>
      </c>
      <c r="K283">
        <v>508</v>
      </c>
      <c r="L283" s="1">
        <v>4834</v>
      </c>
      <c r="M283" s="1">
        <v>1386</v>
      </c>
      <c r="N283">
        <v>396</v>
      </c>
      <c r="O283">
        <v>317</v>
      </c>
      <c r="P283" s="1">
        <v>1308</v>
      </c>
      <c r="Q283" s="1">
        <v>25926</v>
      </c>
      <c r="R283">
        <v>138</v>
      </c>
      <c r="S283">
        <v>914</v>
      </c>
      <c r="T283">
        <v>454</v>
      </c>
      <c r="U283" s="1">
        <v>9506</v>
      </c>
      <c r="V283">
        <v>4</v>
      </c>
      <c r="W283">
        <v>281</v>
      </c>
      <c r="X283">
        <v>902</v>
      </c>
      <c r="Y283">
        <v>210</v>
      </c>
      <c r="Z283" s="1">
        <v>1526</v>
      </c>
      <c r="AA283">
        <v>24</v>
      </c>
      <c r="AB283">
        <v>431</v>
      </c>
      <c r="AC283">
        <v>52</v>
      </c>
      <c r="AD283">
        <v>0</v>
      </c>
      <c r="AE283">
        <v>78</v>
      </c>
      <c r="AF283">
        <v>3</v>
      </c>
      <c r="AG283">
        <v>0</v>
      </c>
      <c r="AH283">
        <v>0</v>
      </c>
    </row>
    <row r="284" spans="1:34" x14ac:dyDescent="0.3">
      <c r="A284" t="s">
        <v>126</v>
      </c>
      <c r="B284" t="s">
        <v>127</v>
      </c>
      <c r="C284" t="s">
        <v>37</v>
      </c>
      <c r="D284" s="1">
        <v>124207</v>
      </c>
      <c r="E284" s="1">
        <v>61633</v>
      </c>
      <c r="F284" s="1">
        <v>8917</v>
      </c>
      <c r="G284" s="1">
        <v>3395</v>
      </c>
      <c r="H284">
        <v>965</v>
      </c>
      <c r="I284" s="1">
        <v>6353</v>
      </c>
      <c r="J284">
        <v>131</v>
      </c>
      <c r="K284">
        <v>341</v>
      </c>
      <c r="L284" s="1">
        <v>2015</v>
      </c>
      <c r="M284" s="1">
        <v>1355</v>
      </c>
      <c r="N284">
        <v>236</v>
      </c>
      <c r="O284">
        <v>309</v>
      </c>
      <c r="P284" s="1">
        <v>1307</v>
      </c>
      <c r="Q284" s="1">
        <v>25724</v>
      </c>
      <c r="R284">
        <v>137</v>
      </c>
      <c r="S284">
        <v>904</v>
      </c>
      <c r="T284">
        <v>452</v>
      </c>
      <c r="U284" s="1">
        <v>6681</v>
      </c>
      <c r="V284">
        <v>2</v>
      </c>
      <c r="W284">
        <v>281</v>
      </c>
      <c r="X284">
        <v>900</v>
      </c>
      <c r="Y284">
        <v>210</v>
      </c>
      <c r="Z284" s="1">
        <v>1389</v>
      </c>
      <c r="AA284">
        <v>24</v>
      </c>
      <c r="AB284">
        <v>419</v>
      </c>
      <c r="AC284">
        <v>52</v>
      </c>
      <c r="AD284">
        <v>0</v>
      </c>
      <c r="AE284">
        <v>72</v>
      </c>
      <c r="AF284">
        <v>3</v>
      </c>
      <c r="AG284">
        <v>0</v>
      </c>
      <c r="AH284">
        <v>0</v>
      </c>
    </row>
    <row r="285" spans="1:34" x14ac:dyDescent="0.3">
      <c r="A285" t="s">
        <v>126</v>
      </c>
      <c r="B285" t="s">
        <v>127</v>
      </c>
      <c r="C285" t="s">
        <v>38</v>
      </c>
      <c r="D285" s="1">
        <v>107894</v>
      </c>
      <c r="E285" s="1">
        <v>85102</v>
      </c>
      <c r="F285" s="1">
        <v>6924</v>
      </c>
      <c r="G285" s="1">
        <v>5429</v>
      </c>
      <c r="H285" s="1">
        <v>1515</v>
      </c>
      <c r="I285" s="1">
        <v>2332</v>
      </c>
      <c r="J285">
        <v>207</v>
      </c>
      <c r="K285">
        <v>167</v>
      </c>
      <c r="L285" s="1">
        <v>2819</v>
      </c>
      <c r="M285">
        <v>31</v>
      </c>
      <c r="N285">
        <v>160</v>
      </c>
      <c r="O285">
        <v>8</v>
      </c>
      <c r="P285">
        <v>1</v>
      </c>
      <c r="Q285">
        <v>202</v>
      </c>
      <c r="R285">
        <v>1</v>
      </c>
      <c r="S285">
        <v>10</v>
      </c>
      <c r="T285">
        <v>2</v>
      </c>
      <c r="U285" s="1">
        <v>2825</v>
      </c>
      <c r="V285">
        <v>2</v>
      </c>
      <c r="W285">
        <v>0</v>
      </c>
      <c r="X285">
        <v>2</v>
      </c>
      <c r="Y285">
        <v>0</v>
      </c>
      <c r="Z285">
        <v>137</v>
      </c>
      <c r="AA285">
        <v>0</v>
      </c>
      <c r="AB285">
        <v>12</v>
      </c>
      <c r="AC285">
        <v>0</v>
      </c>
      <c r="AD285">
        <v>0</v>
      </c>
      <c r="AE285">
        <v>6</v>
      </c>
      <c r="AF285">
        <v>0</v>
      </c>
      <c r="AG285">
        <v>0</v>
      </c>
      <c r="AH285">
        <v>0</v>
      </c>
    </row>
    <row r="286" spans="1:34" x14ac:dyDescent="0.3">
      <c r="A286" t="s">
        <v>126</v>
      </c>
      <c r="B286" t="s">
        <v>128</v>
      </c>
      <c r="C286" t="s">
        <v>34</v>
      </c>
      <c r="D286" s="1">
        <v>180442</v>
      </c>
      <c r="E286" s="1">
        <v>154892</v>
      </c>
      <c r="F286" s="1">
        <v>10126</v>
      </c>
      <c r="G286" s="1">
        <v>7362</v>
      </c>
      <c r="H286" s="1">
        <v>1447</v>
      </c>
      <c r="I286" s="1">
        <v>4611</v>
      </c>
      <c r="J286">
        <v>221</v>
      </c>
      <c r="K286">
        <v>574</v>
      </c>
      <c r="L286">
        <v>399</v>
      </c>
      <c r="M286">
        <v>272</v>
      </c>
      <c r="N286">
        <v>248</v>
      </c>
      <c r="O286">
        <v>3</v>
      </c>
      <c r="P286">
        <v>49</v>
      </c>
      <c r="Q286">
        <v>21</v>
      </c>
      <c r="R286">
        <v>0</v>
      </c>
      <c r="S286">
        <v>35</v>
      </c>
      <c r="T286">
        <v>1</v>
      </c>
      <c r="U286">
        <v>44</v>
      </c>
      <c r="V286">
        <v>2</v>
      </c>
      <c r="W286">
        <v>0</v>
      </c>
      <c r="X286">
        <v>20</v>
      </c>
      <c r="Y286">
        <v>6</v>
      </c>
      <c r="Z286">
        <v>18</v>
      </c>
      <c r="AA286">
        <v>16</v>
      </c>
      <c r="AB286">
        <v>65</v>
      </c>
      <c r="AC286">
        <v>0</v>
      </c>
      <c r="AD286">
        <v>0</v>
      </c>
      <c r="AE286">
        <v>9</v>
      </c>
      <c r="AF286">
        <v>0</v>
      </c>
      <c r="AG286">
        <v>1</v>
      </c>
      <c r="AH286">
        <v>0</v>
      </c>
    </row>
    <row r="287" spans="1:34" x14ac:dyDescent="0.3">
      <c r="A287" t="s">
        <v>126</v>
      </c>
      <c r="B287" t="s">
        <v>128</v>
      </c>
      <c r="C287" t="s">
        <v>37</v>
      </c>
      <c r="D287" s="1">
        <v>94761</v>
      </c>
      <c r="E287" s="1">
        <v>78830</v>
      </c>
      <c r="F287" s="1">
        <v>6547</v>
      </c>
      <c r="G287" s="1">
        <v>4605</v>
      </c>
      <c r="H287">
        <v>807</v>
      </c>
      <c r="I287" s="1">
        <v>2693</v>
      </c>
      <c r="J287">
        <v>122</v>
      </c>
      <c r="K287">
        <v>406</v>
      </c>
      <c r="L287">
        <v>215</v>
      </c>
      <c r="M287">
        <v>177</v>
      </c>
      <c r="N287">
        <v>109</v>
      </c>
      <c r="O287">
        <v>3</v>
      </c>
      <c r="P287">
        <v>43</v>
      </c>
      <c r="Q287">
        <v>21</v>
      </c>
      <c r="R287">
        <v>0</v>
      </c>
      <c r="S287">
        <v>32</v>
      </c>
      <c r="T287">
        <v>1</v>
      </c>
      <c r="U287">
        <v>28</v>
      </c>
      <c r="V287">
        <v>0</v>
      </c>
      <c r="W287">
        <v>0</v>
      </c>
      <c r="X287">
        <v>20</v>
      </c>
      <c r="Y287">
        <v>6</v>
      </c>
      <c r="Z287">
        <v>10</v>
      </c>
      <c r="AA287">
        <v>16</v>
      </c>
      <c r="AB287">
        <v>60</v>
      </c>
      <c r="AC287">
        <v>0</v>
      </c>
      <c r="AD287">
        <v>0</v>
      </c>
      <c r="AE287">
        <v>9</v>
      </c>
      <c r="AF287">
        <v>0</v>
      </c>
      <c r="AG287">
        <v>1</v>
      </c>
      <c r="AH287">
        <v>0</v>
      </c>
    </row>
    <row r="288" spans="1:34" x14ac:dyDescent="0.3">
      <c r="A288" t="s">
        <v>126</v>
      </c>
      <c r="B288" t="s">
        <v>128</v>
      </c>
      <c r="C288" t="s">
        <v>38</v>
      </c>
      <c r="D288" s="1">
        <v>85680</v>
      </c>
      <c r="E288" s="1">
        <v>76061</v>
      </c>
      <c r="F288" s="1">
        <v>3579</v>
      </c>
      <c r="G288" s="1">
        <v>2757</v>
      </c>
      <c r="H288">
        <v>640</v>
      </c>
      <c r="I288" s="1">
        <v>1918</v>
      </c>
      <c r="J288">
        <v>99</v>
      </c>
      <c r="K288">
        <v>168</v>
      </c>
      <c r="L288">
        <v>184</v>
      </c>
      <c r="M288">
        <v>95</v>
      </c>
      <c r="N288">
        <v>139</v>
      </c>
      <c r="O288">
        <v>0</v>
      </c>
      <c r="P288">
        <v>6</v>
      </c>
      <c r="Q288">
        <v>0</v>
      </c>
      <c r="R288">
        <v>0</v>
      </c>
      <c r="S288">
        <v>3</v>
      </c>
      <c r="T288">
        <v>0</v>
      </c>
      <c r="U288">
        <v>16</v>
      </c>
      <c r="V288">
        <v>2</v>
      </c>
      <c r="W288">
        <v>0</v>
      </c>
      <c r="X288">
        <v>0</v>
      </c>
      <c r="Y288">
        <v>0</v>
      </c>
      <c r="Z288">
        <v>8</v>
      </c>
      <c r="AA288">
        <v>0</v>
      </c>
      <c r="AB288">
        <v>5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3">
      <c r="A289" t="s">
        <v>126</v>
      </c>
      <c r="B289" t="s">
        <v>128</v>
      </c>
      <c r="C289" t="s">
        <v>89</v>
      </c>
      <c r="D289">
        <v>1</v>
      </c>
      <c r="E289">
        <v>1</v>
      </c>
      <c r="F289" s="1">
        <v>0</v>
      </c>
      <c r="G289" s="1">
        <v>0</v>
      </c>
      <c r="H289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</row>
    <row r="290" spans="1:34" x14ac:dyDescent="0.3">
      <c r="A290" t="s">
        <v>126</v>
      </c>
      <c r="B290" t="s">
        <v>129</v>
      </c>
      <c r="C290" t="s">
        <v>34</v>
      </c>
      <c r="D290" s="1">
        <v>177633</v>
      </c>
      <c r="E290" s="1">
        <v>143497</v>
      </c>
      <c r="F290" s="1">
        <v>8347</v>
      </c>
      <c r="G290" s="1">
        <v>6549</v>
      </c>
      <c r="H290" s="1">
        <v>1837</v>
      </c>
      <c r="I290" s="1">
        <v>9271</v>
      </c>
      <c r="J290">
        <v>201</v>
      </c>
      <c r="K290">
        <v>428</v>
      </c>
      <c r="L290" s="1">
        <v>3000</v>
      </c>
      <c r="M290" s="1">
        <v>1052</v>
      </c>
      <c r="N290" s="1">
        <v>3195</v>
      </c>
      <c r="O290">
        <v>1</v>
      </c>
      <c r="P290">
        <v>31</v>
      </c>
      <c r="Q290" s="1">
        <v>0</v>
      </c>
      <c r="R290">
        <v>1</v>
      </c>
      <c r="S290">
        <v>80</v>
      </c>
      <c r="T290">
        <v>10</v>
      </c>
      <c r="U290">
        <v>5</v>
      </c>
      <c r="V290">
        <v>25</v>
      </c>
      <c r="W290">
        <v>1</v>
      </c>
      <c r="X290">
        <v>15</v>
      </c>
      <c r="Y290">
        <v>7</v>
      </c>
      <c r="Z290">
        <v>47</v>
      </c>
      <c r="AA290">
        <v>28</v>
      </c>
      <c r="AB290">
        <v>3</v>
      </c>
      <c r="AC290">
        <v>0</v>
      </c>
      <c r="AD290">
        <v>0</v>
      </c>
      <c r="AE290">
        <v>1</v>
      </c>
      <c r="AF290">
        <v>0</v>
      </c>
      <c r="AG290">
        <v>1</v>
      </c>
      <c r="AH290">
        <v>0</v>
      </c>
    </row>
    <row r="291" spans="1:34" x14ac:dyDescent="0.3">
      <c r="A291" t="s">
        <v>126</v>
      </c>
      <c r="B291" t="s">
        <v>129</v>
      </c>
      <c r="C291" t="s">
        <v>37</v>
      </c>
      <c r="D291" s="1">
        <v>103291</v>
      </c>
      <c r="E291" s="1">
        <v>83273</v>
      </c>
      <c r="F291" s="1">
        <v>5126</v>
      </c>
      <c r="G291" s="1">
        <v>4156</v>
      </c>
      <c r="H291" s="1">
        <v>1046</v>
      </c>
      <c r="I291" s="1">
        <v>5250</v>
      </c>
      <c r="J291">
        <v>131</v>
      </c>
      <c r="K291">
        <v>303</v>
      </c>
      <c r="L291" s="1">
        <v>1543</v>
      </c>
      <c r="M291">
        <v>648</v>
      </c>
      <c r="N291" s="1">
        <v>1649</v>
      </c>
      <c r="O291">
        <v>1</v>
      </c>
      <c r="P291">
        <v>23</v>
      </c>
      <c r="Q291">
        <v>0</v>
      </c>
      <c r="R291">
        <v>1</v>
      </c>
      <c r="S291">
        <v>49</v>
      </c>
      <c r="T291">
        <v>10</v>
      </c>
      <c r="U291">
        <v>4</v>
      </c>
      <c r="V291">
        <v>0</v>
      </c>
      <c r="W291">
        <v>1</v>
      </c>
      <c r="X291">
        <v>15</v>
      </c>
      <c r="Y291">
        <v>7</v>
      </c>
      <c r="Z291">
        <v>25</v>
      </c>
      <c r="AA291">
        <v>26</v>
      </c>
      <c r="AB291">
        <v>3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</row>
    <row r="292" spans="1:34" x14ac:dyDescent="0.3">
      <c r="A292" t="s">
        <v>126</v>
      </c>
      <c r="B292" t="s">
        <v>129</v>
      </c>
      <c r="C292" t="s">
        <v>38</v>
      </c>
      <c r="D292" s="1">
        <v>74324</v>
      </c>
      <c r="E292" s="1">
        <v>60208</v>
      </c>
      <c r="F292" s="1">
        <v>3221</v>
      </c>
      <c r="G292" s="1">
        <v>2392</v>
      </c>
      <c r="H292">
        <v>790</v>
      </c>
      <c r="I292" s="1">
        <v>4021</v>
      </c>
      <c r="J292">
        <v>70</v>
      </c>
      <c r="K292">
        <v>125</v>
      </c>
      <c r="L292" s="1">
        <v>1457</v>
      </c>
      <c r="M292">
        <v>404</v>
      </c>
      <c r="N292" s="1">
        <v>1546</v>
      </c>
      <c r="O292">
        <v>0</v>
      </c>
      <c r="P292">
        <v>8</v>
      </c>
      <c r="Q292">
        <v>0</v>
      </c>
      <c r="R292">
        <v>0</v>
      </c>
      <c r="S292">
        <v>31</v>
      </c>
      <c r="T292">
        <v>0</v>
      </c>
      <c r="U292">
        <v>1</v>
      </c>
      <c r="V292">
        <v>25</v>
      </c>
      <c r="W292">
        <v>0</v>
      </c>
      <c r="X292">
        <v>0</v>
      </c>
      <c r="Y292">
        <v>0</v>
      </c>
      <c r="Z292">
        <v>22</v>
      </c>
      <c r="AA292">
        <v>2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</row>
    <row r="293" spans="1:34" x14ac:dyDescent="0.3">
      <c r="A293" t="s">
        <v>126</v>
      </c>
      <c r="B293" t="s">
        <v>129</v>
      </c>
      <c r="C293" t="s">
        <v>89</v>
      </c>
      <c r="D293">
        <v>18</v>
      </c>
      <c r="E293">
        <v>16</v>
      </c>
      <c r="F293" s="1">
        <v>0</v>
      </c>
      <c r="G293">
        <v>1</v>
      </c>
      <c r="H293">
        <v>1</v>
      </c>
      <c r="I293" s="1">
        <v>0</v>
      </c>
      <c r="J293">
        <v>0</v>
      </c>
      <c r="K293">
        <v>0</v>
      </c>
      <c r="L293" s="1">
        <v>0</v>
      </c>
      <c r="M293">
        <v>0</v>
      </c>
      <c r="N293" s="1">
        <v>0</v>
      </c>
      <c r="O293">
        <v>0</v>
      </c>
      <c r="P293" s="1">
        <v>0</v>
      </c>
      <c r="Q293">
        <v>0</v>
      </c>
      <c r="R293" s="1">
        <v>0</v>
      </c>
      <c r="S293">
        <v>0</v>
      </c>
      <c r="T293" s="1">
        <v>0</v>
      </c>
      <c r="U293">
        <v>0</v>
      </c>
      <c r="V293" s="1">
        <v>0</v>
      </c>
      <c r="W293">
        <v>0</v>
      </c>
      <c r="X293" s="1">
        <v>0</v>
      </c>
      <c r="Y293">
        <v>0</v>
      </c>
      <c r="Z293" s="1">
        <v>0</v>
      </c>
      <c r="AA293">
        <v>0</v>
      </c>
      <c r="AB293" s="1">
        <v>0</v>
      </c>
      <c r="AC293">
        <v>0</v>
      </c>
      <c r="AD293" s="1">
        <v>0</v>
      </c>
      <c r="AE293">
        <v>0</v>
      </c>
      <c r="AF293" s="1">
        <v>0</v>
      </c>
      <c r="AG293">
        <v>0</v>
      </c>
      <c r="AH293" s="1">
        <v>0</v>
      </c>
    </row>
    <row r="294" spans="1:34" x14ac:dyDescent="0.3">
      <c r="A294" t="s">
        <v>126</v>
      </c>
      <c r="B294" t="s">
        <v>130</v>
      </c>
      <c r="C294" t="s">
        <v>34</v>
      </c>
      <c r="D294" s="1">
        <v>175918</v>
      </c>
      <c r="E294" s="1">
        <v>131938</v>
      </c>
      <c r="F294" s="1">
        <v>9815</v>
      </c>
      <c r="G294" s="1">
        <v>7676</v>
      </c>
      <c r="H294" s="1">
        <v>3010</v>
      </c>
      <c r="I294" s="1">
        <v>12836</v>
      </c>
      <c r="J294">
        <v>286</v>
      </c>
      <c r="K294">
        <v>429</v>
      </c>
      <c r="L294" s="1">
        <v>1974</v>
      </c>
      <c r="M294" s="1">
        <v>2073</v>
      </c>
      <c r="N294" s="1">
        <v>4811</v>
      </c>
      <c r="O294">
        <v>26</v>
      </c>
      <c r="P294">
        <v>56</v>
      </c>
      <c r="Q294">
        <v>33</v>
      </c>
      <c r="R294">
        <v>17</v>
      </c>
      <c r="S294">
        <v>426</v>
      </c>
      <c r="T294">
        <v>16</v>
      </c>
      <c r="U294">
        <v>112</v>
      </c>
      <c r="V294">
        <v>6</v>
      </c>
      <c r="W294">
        <v>14</v>
      </c>
      <c r="X294">
        <v>14</v>
      </c>
      <c r="Y294">
        <v>36</v>
      </c>
      <c r="Z294">
        <v>222</v>
      </c>
      <c r="AA294">
        <v>70</v>
      </c>
      <c r="AB294">
        <v>0</v>
      </c>
      <c r="AC294">
        <v>1</v>
      </c>
      <c r="AD294">
        <v>0</v>
      </c>
      <c r="AE294">
        <v>16</v>
      </c>
      <c r="AF294">
        <v>0</v>
      </c>
      <c r="AG294">
        <v>5</v>
      </c>
      <c r="AH294">
        <v>0</v>
      </c>
    </row>
    <row r="295" spans="1:34" x14ac:dyDescent="0.3">
      <c r="A295" t="s">
        <v>126</v>
      </c>
      <c r="B295" t="s">
        <v>130</v>
      </c>
      <c r="C295" t="s">
        <v>37</v>
      </c>
      <c r="D295" s="1">
        <v>99083</v>
      </c>
      <c r="E295" s="1">
        <v>73226</v>
      </c>
      <c r="F295" s="1">
        <v>6051</v>
      </c>
      <c r="G295" s="1">
        <v>4764</v>
      </c>
      <c r="H295" s="1">
        <v>1643</v>
      </c>
      <c r="I295" s="1">
        <v>7157</v>
      </c>
      <c r="J295">
        <v>180</v>
      </c>
      <c r="K295">
        <v>314</v>
      </c>
      <c r="L295" s="1">
        <v>1286</v>
      </c>
      <c r="M295" s="1">
        <v>1129</v>
      </c>
      <c r="N295" s="1">
        <v>2607</v>
      </c>
      <c r="O295">
        <v>26</v>
      </c>
      <c r="P295">
        <v>43</v>
      </c>
      <c r="Q295">
        <v>33</v>
      </c>
      <c r="R295">
        <v>15</v>
      </c>
      <c r="S295">
        <v>194</v>
      </c>
      <c r="T295">
        <v>16</v>
      </c>
      <c r="U295">
        <v>112</v>
      </c>
      <c r="V295">
        <v>4</v>
      </c>
      <c r="W295">
        <v>14</v>
      </c>
      <c r="X295">
        <v>13</v>
      </c>
      <c r="Y295">
        <v>35</v>
      </c>
      <c r="Z295">
        <v>135</v>
      </c>
      <c r="AA295">
        <v>67</v>
      </c>
      <c r="AB295">
        <v>0</v>
      </c>
      <c r="AC295">
        <v>1</v>
      </c>
      <c r="AD295">
        <v>0</v>
      </c>
      <c r="AE295">
        <v>14</v>
      </c>
      <c r="AF295">
        <v>0</v>
      </c>
      <c r="AG295">
        <v>4</v>
      </c>
      <c r="AH295">
        <v>0</v>
      </c>
    </row>
    <row r="296" spans="1:34" x14ac:dyDescent="0.3">
      <c r="A296" t="s">
        <v>126</v>
      </c>
      <c r="B296" t="s">
        <v>130</v>
      </c>
      <c r="C296" t="s">
        <v>38</v>
      </c>
      <c r="D296" s="1">
        <v>76835</v>
      </c>
      <c r="E296" s="1">
        <v>58712</v>
      </c>
      <c r="F296" s="1">
        <v>3764</v>
      </c>
      <c r="G296" s="1">
        <v>2912</v>
      </c>
      <c r="H296" s="1">
        <v>1367</v>
      </c>
      <c r="I296" s="1">
        <v>5679</v>
      </c>
      <c r="J296">
        <v>106</v>
      </c>
      <c r="K296">
        <v>115</v>
      </c>
      <c r="L296">
        <v>688</v>
      </c>
      <c r="M296">
        <v>944</v>
      </c>
      <c r="N296" s="1">
        <v>2204</v>
      </c>
      <c r="O296">
        <v>0</v>
      </c>
      <c r="P296">
        <v>13</v>
      </c>
      <c r="Q296">
        <v>0</v>
      </c>
      <c r="R296">
        <v>2</v>
      </c>
      <c r="S296">
        <v>232</v>
      </c>
      <c r="T296">
        <v>0</v>
      </c>
      <c r="U296">
        <v>0</v>
      </c>
      <c r="V296">
        <v>2</v>
      </c>
      <c r="W296">
        <v>0</v>
      </c>
      <c r="X296">
        <v>1</v>
      </c>
      <c r="Y296">
        <v>1</v>
      </c>
      <c r="Z296">
        <v>87</v>
      </c>
      <c r="AA296">
        <v>3</v>
      </c>
      <c r="AB296">
        <v>0</v>
      </c>
      <c r="AC296">
        <v>0</v>
      </c>
      <c r="AD296">
        <v>0</v>
      </c>
      <c r="AE296">
        <v>2</v>
      </c>
      <c r="AF296">
        <v>0</v>
      </c>
      <c r="AG296">
        <v>1</v>
      </c>
      <c r="AH296">
        <v>0</v>
      </c>
    </row>
    <row r="297" spans="1:34" x14ac:dyDescent="0.3">
      <c r="A297" t="s">
        <v>126</v>
      </c>
      <c r="B297" t="s">
        <v>131</v>
      </c>
      <c r="C297" t="s">
        <v>34</v>
      </c>
      <c r="D297" s="1">
        <v>81617</v>
      </c>
      <c r="E297" s="1">
        <v>64776</v>
      </c>
      <c r="F297" s="1">
        <v>4264</v>
      </c>
      <c r="G297" s="1">
        <v>3041</v>
      </c>
      <c r="H297">
        <v>699</v>
      </c>
      <c r="I297" s="1">
        <v>5775</v>
      </c>
      <c r="J297">
        <v>60</v>
      </c>
      <c r="K297">
        <v>218</v>
      </c>
      <c r="L297" s="1">
        <v>1767</v>
      </c>
      <c r="M297">
        <v>318</v>
      </c>
      <c r="N297">
        <v>486</v>
      </c>
      <c r="O297">
        <v>4</v>
      </c>
      <c r="P297">
        <v>5</v>
      </c>
      <c r="Q297">
        <v>0</v>
      </c>
      <c r="R297">
        <v>0</v>
      </c>
      <c r="S297">
        <v>21</v>
      </c>
      <c r="T297">
        <v>2</v>
      </c>
      <c r="U297">
        <v>6</v>
      </c>
      <c r="V297">
        <v>2</v>
      </c>
      <c r="W297">
        <v>2</v>
      </c>
      <c r="X297">
        <v>28</v>
      </c>
      <c r="Y297">
        <v>74</v>
      </c>
      <c r="Z297">
        <v>64</v>
      </c>
      <c r="AA297">
        <v>3</v>
      </c>
      <c r="AB297">
        <v>0</v>
      </c>
      <c r="AC297">
        <v>1</v>
      </c>
      <c r="AD297">
        <v>0</v>
      </c>
      <c r="AE297">
        <v>1</v>
      </c>
      <c r="AF297">
        <v>0</v>
      </c>
      <c r="AG297">
        <v>0</v>
      </c>
      <c r="AH297">
        <v>0</v>
      </c>
    </row>
    <row r="298" spans="1:34" x14ac:dyDescent="0.3">
      <c r="A298" t="s">
        <v>126</v>
      </c>
      <c r="B298" t="s">
        <v>131</v>
      </c>
      <c r="C298" t="s">
        <v>37</v>
      </c>
      <c r="D298" s="1">
        <v>47709</v>
      </c>
      <c r="E298" s="1">
        <v>35160</v>
      </c>
      <c r="F298" s="1">
        <v>3013</v>
      </c>
      <c r="G298" s="1">
        <v>1958</v>
      </c>
      <c r="H298">
        <v>416</v>
      </c>
      <c r="I298" s="1">
        <v>4486</v>
      </c>
      <c r="J298">
        <v>38</v>
      </c>
      <c r="K298">
        <v>168</v>
      </c>
      <c r="L298" s="1">
        <v>1588</v>
      </c>
      <c r="M298">
        <v>295</v>
      </c>
      <c r="N298">
        <v>381</v>
      </c>
      <c r="O298">
        <v>4</v>
      </c>
      <c r="P298">
        <v>5</v>
      </c>
      <c r="Q298">
        <v>0</v>
      </c>
      <c r="R298">
        <v>0</v>
      </c>
      <c r="S298">
        <v>16</v>
      </c>
      <c r="T298">
        <v>2</v>
      </c>
      <c r="U298">
        <v>6</v>
      </c>
      <c r="V298">
        <v>2</v>
      </c>
      <c r="W298">
        <v>2</v>
      </c>
      <c r="X298">
        <v>28</v>
      </c>
      <c r="Y298">
        <v>72</v>
      </c>
      <c r="Z298">
        <v>64</v>
      </c>
      <c r="AA298">
        <v>3</v>
      </c>
      <c r="AB298">
        <v>0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</row>
    <row r="299" spans="1:34" x14ac:dyDescent="0.3">
      <c r="A299" t="s">
        <v>126</v>
      </c>
      <c r="B299" t="s">
        <v>131</v>
      </c>
      <c r="C299" t="s">
        <v>38</v>
      </c>
      <c r="D299" s="1">
        <v>33908</v>
      </c>
      <c r="E299" s="1">
        <v>29616</v>
      </c>
      <c r="F299" s="1">
        <v>1251</v>
      </c>
      <c r="G299" s="1">
        <v>1083</v>
      </c>
      <c r="H299">
        <v>283</v>
      </c>
      <c r="I299" s="1">
        <v>1289</v>
      </c>
      <c r="J299">
        <v>22</v>
      </c>
      <c r="K299">
        <v>50</v>
      </c>
      <c r="L299">
        <v>179</v>
      </c>
      <c r="M299">
        <v>23</v>
      </c>
      <c r="N299">
        <v>105</v>
      </c>
      <c r="O299">
        <v>0</v>
      </c>
      <c r="P299">
        <v>0</v>
      </c>
      <c r="Q299">
        <v>0</v>
      </c>
      <c r="R299">
        <v>0</v>
      </c>
      <c r="S299">
        <v>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 x14ac:dyDescent="0.3">
      <c r="A300" t="s">
        <v>126</v>
      </c>
      <c r="B300" t="s">
        <v>132</v>
      </c>
      <c r="C300" t="s">
        <v>34</v>
      </c>
      <c r="D300" s="1">
        <v>59549</v>
      </c>
      <c r="E300" s="1">
        <v>50744</v>
      </c>
      <c r="F300" s="1">
        <v>3121</v>
      </c>
      <c r="G300" s="1">
        <v>2261</v>
      </c>
      <c r="H300">
        <v>881</v>
      </c>
      <c r="I300" s="1">
        <v>1458</v>
      </c>
      <c r="J300">
        <v>77</v>
      </c>
      <c r="K300">
        <v>110</v>
      </c>
      <c r="L300">
        <v>253</v>
      </c>
      <c r="M300">
        <v>179</v>
      </c>
      <c r="N300">
        <v>389</v>
      </c>
      <c r="O300">
        <v>3</v>
      </c>
      <c r="P300">
        <v>12</v>
      </c>
      <c r="Q300">
        <v>1</v>
      </c>
      <c r="R300">
        <v>0</v>
      </c>
      <c r="S300">
        <v>27</v>
      </c>
      <c r="T300">
        <v>1</v>
      </c>
      <c r="U300">
        <v>10</v>
      </c>
      <c r="V300">
        <v>1</v>
      </c>
      <c r="W300">
        <v>0</v>
      </c>
      <c r="X300">
        <v>0</v>
      </c>
      <c r="Y300">
        <v>0</v>
      </c>
      <c r="Z300">
        <v>6</v>
      </c>
      <c r="AA300">
        <v>0</v>
      </c>
      <c r="AB300">
        <v>8</v>
      </c>
      <c r="AC300">
        <v>0</v>
      </c>
      <c r="AD300">
        <v>0</v>
      </c>
      <c r="AE300">
        <v>5</v>
      </c>
      <c r="AF300">
        <v>0</v>
      </c>
      <c r="AG300">
        <v>2</v>
      </c>
      <c r="AH300">
        <v>0</v>
      </c>
    </row>
    <row r="301" spans="1:34" x14ac:dyDescent="0.3">
      <c r="A301" t="s">
        <v>126</v>
      </c>
      <c r="B301" t="s">
        <v>132</v>
      </c>
      <c r="C301" t="s">
        <v>37</v>
      </c>
      <c r="D301" s="1">
        <v>31191</v>
      </c>
      <c r="E301" s="1">
        <v>26079</v>
      </c>
      <c r="F301" s="1">
        <v>1870</v>
      </c>
      <c r="G301" s="1">
        <v>1322</v>
      </c>
      <c r="H301">
        <v>453</v>
      </c>
      <c r="I301">
        <v>776</v>
      </c>
      <c r="J301">
        <v>47</v>
      </c>
      <c r="K301">
        <v>78</v>
      </c>
      <c r="L301">
        <v>162</v>
      </c>
      <c r="M301">
        <v>105</v>
      </c>
      <c r="N301">
        <v>234</v>
      </c>
      <c r="O301">
        <v>2</v>
      </c>
      <c r="P301">
        <v>12</v>
      </c>
      <c r="Q301">
        <v>1</v>
      </c>
      <c r="R301">
        <v>0</v>
      </c>
      <c r="S301">
        <v>21</v>
      </c>
      <c r="T301">
        <v>1</v>
      </c>
      <c r="U301">
        <v>10</v>
      </c>
      <c r="V301">
        <v>1</v>
      </c>
      <c r="W301">
        <v>0</v>
      </c>
      <c r="X301">
        <v>0</v>
      </c>
      <c r="Y301">
        <v>0</v>
      </c>
      <c r="Z301">
        <v>4</v>
      </c>
      <c r="AA301">
        <v>0</v>
      </c>
      <c r="AB301">
        <v>8</v>
      </c>
      <c r="AC301">
        <v>0</v>
      </c>
      <c r="AD301">
        <v>0</v>
      </c>
      <c r="AE301">
        <v>4</v>
      </c>
      <c r="AF301">
        <v>0</v>
      </c>
      <c r="AG301">
        <v>1</v>
      </c>
      <c r="AH301">
        <v>0</v>
      </c>
    </row>
    <row r="302" spans="1:34" x14ac:dyDescent="0.3">
      <c r="A302" t="s">
        <v>126</v>
      </c>
      <c r="B302" t="s">
        <v>132</v>
      </c>
      <c r="C302" t="s">
        <v>38</v>
      </c>
      <c r="D302" s="1">
        <v>28358</v>
      </c>
      <c r="E302" s="1">
        <v>24665</v>
      </c>
      <c r="F302" s="1">
        <v>1251</v>
      </c>
      <c r="G302">
        <v>939</v>
      </c>
      <c r="H302">
        <v>428</v>
      </c>
      <c r="I302">
        <v>682</v>
      </c>
      <c r="J302">
        <v>30</v>
      </c>
      <c r="K302">
        <v>32</v>
      </c>
      <c r="L302">
        <v>91</v>
      </c>
      <c r="M302">
        <v>74</v>
      </c>
      <c r="N302">
        <v>155</v>
      </c>
      <c r="O302">
        <v>1</v>
      </c>
      <c r="P302">
        <v>0</v>
      </c>
      <c r="Q302">
        <v>0</v>
      </c>
      <c r="R302">
        <v>0</v>
      </c>
      <c r="S302">
        <v>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1</v>
      </c>
      <c r="AH302">
        <v>0</v>
      </c>
    </row>
    <row r="303" spans="1:34" x14ac:dyDescent="0.3">
      <c r="A303" t="s">
        <v>126</v>
      </c>
      <c r="B303" t="s">
        <v>133</v>
      </c>
      <c r="C303" t="s">
        <v>34</v>
      </c>
      <c r="D303" s="1">
        <v>58167</v>
      </c>
      <c r="E303" s="1">
        <v>46922</v>
      </c>
      <c r="F303" s="1">
        <v>5880</v>
      </c>
      <c r="G303" s="1">
        <v>1808</v>
      </c>
      <c r="H303">
        <v>641</v>
      </c>
      <c r="I303" s="1">
        <v>1123</v>
      </c>
      <c r="J303">
        <v>66</v>
      </c>
      <c r="K303">
        <v>137</v>
      </c>
      <c r="L303">
        <v>219</v>
      </c>
      <c r="M303">
        <v>244</v>
      </c>
      <c r="N303">
        <v>197</v>
      </c>
      <c r="O303">
        <v>8</v>
      </c>
      <c r="P303">
        <v>40</v>
      </c>
      <c r="Q303">
        <v>3</v>
      </c>
      <c r="R303">
        <v>19</v>
      </c>
      <c r="S303">
        <v>519</v>
      </c>
      <c r="T303">
        <v>31</v>
      </c>
      <c r="U303">
        <v>66</v>
      </c>
      <c r="V303">
        <v>6</v>
      </c>
      <c r="W303">
        <v>1</v>
      </c>
      <c r="X303">
        <v>68</v>
      </c>
      <c r="Y303">
        <v>4</v>
      </c>
      <c r="Z303">
        <v>157</v>
      </c>
      <c r="AA303">
        <v>1</v>
      </c>
      <c r="AB303">
        <v>5</v>
      </c>
      <c r="AC303">
        <v>1</v>
      </c>
      <c r="AD303">
        <v>0</v>
      </c>
      <c r="AE303">
        <v>0</v>
      </c>
      <c r="AF303">
        <v>0</v>
      </c>
      <c r="AG303">
        <v>1</v>
      </c>
      <c r="AH303">
        <v>0</v>
      </c>
    </row>
    <row r="304" spans="1:34" x14ac:dyDescent="0.3">
      <c r="A304" t="s">
        <v>126</v>
      </c>
      <c r="B304" t="s">
        <v>133</v>
      </c>
      <c r="C304" t="s">
        <v>37</v>
      </c>
      <c r="D304" s="1">
        <v>36278</v>
      </c>
      <c r="E304" s="1">
        <v>27947</v>
      </c>
      <c r="F304" s="1">
        <v>4873</v>
      </c>
      <c r="G304" s="1">
        <v>1092</v>
      </c>
      <c r="H304">
        <v>349</v>
      </c>
      <c r="I304">
        <v>646</v>
      </c>
      <c r="J304">
        <v>42</v>
      </c>
      <c r="K304">
        <v>108</v>
      </c>
      <c r="L304">
        <v>127</v>
      </c>
      <c r="M304">
        <v>132</v>
      </c>
      <c r="N304">
        <v>105</v>
      </c>
      <c r="O304">
        <v>7</v>
      </c>
      <c r="P304">
        <v>39</v>
      </c>
      <c r="Q304">
        <v>3</v>
      </c>
      <c r="R304">
        <v>19</v>
      </c>
      <c r="S304">
        <v>511</v>
      </c>
      <c r="T304">
        <v>31</v>
      </c>
      <c r="U304">
        <v>66</v>
      </c>
      <c r="V304">
        <v>6</v>
      </c>
      <c r="W304">
        <v>1</v>
      </c>
      <c r="X304">
        <v>68</v>
      </c>
      <c r="Y304">
        <v>4</v>
      </c>
      <c r="Z304">
        <v>94</v>
      </c>
      <c r="AA304">
        <v>1</v>
      </c>
      <c r="AB304">
        <v>5</v>
      </c>
      <c r="AC304">
        <v>1</v>
      </c>
      <c r="AD304">
        <v>0</v>
      </c>
      <c r="AE304">
        <v>0</v>
      </c>
      <c r="AF304">
        <v>0</v>
      </c>
      <c r="AG304">
        <v>1</v>
      </c>
      <c r="AH304">
        <v>0</v>
      </c>
    </row>
    <row r="305" spans="1:34" x14ac:dyDescent="0.3">
      <c r="A305" t="s">
        <v>126</v>
      </c>
      <c r="B305" t="s">
        <v>133</v>
      </c>
      <c r="C305" t="s">
        <v>38</v>
      </c>
      <c r="D305" s="1">
        <v>21887</v>
      </c>
      <c r="E305" s="1">
        <v>18973</v>
      </c>
      <c r="F305" s="1">
        <v>1007</v>
      </c>
      <c r="G305">
        <v>716</v>
      </c>
      <c r="H305">
        <v>292</v>
      </c>
      <c r="I305">
        <v>477</v>
      </c>
      <c r="J305">
        <v>24</v>
      </c>
      <c r="K305">
        <v>29</v>
      </c>
      <c r="L305">
        <v>92</v>
      </c>
      <c r="M305">
        <v>112</v>
      </c>
      <c r="N305">
        <v>92</v>
      </c>
      <c r="O305">
        <v>1</v>
      </c>
      <c r="P305">
        <v>1</v>
      </c>
      <c r="Q305">
        <v>0</v>
      </c>
      <c r="R305">
        <v>0</v>
      </c>
      <c r="S305">
        <v>8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63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3">
      <c r="A306" t="s">
        <v>126</v>
      </c>
      <c r="B306" t="s">
        <v>133</v>
      </c>
      <c r="C306" t="s">
        <v>89</v>
      </c>
      <c r="D306">
        <v>2</v>
      </c>
      <c r="E306">
        <v>2</v>
      </c>
      <c r="F306" s="1">
        <v>0</v>
      </c>
      <c r="G306" s="1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3">
      <c r="A307" t="s">
        <v>126</v>
      </c>
      <c r="B307" t="s">
        <v>134</v>
      </c>
      <c r="C307" t="s">
        <v>34</v>
      </c>
      <c r="D307" s="1">
        <v>54055</v>
      </c>
      <c r="E307" s="1">
        <v>45481</v>
      </c>
      <c r="F307" s="1">
        <v>4014</v>
      </c>
      <c r="G307" s="1">
        <v>1272</v>
      </c>
      <c r="H307">
        <v>501</v>
      </c>
      <c r="I307" s="1">
        <v>1336</v>
      </c>
      <c r="J307">
        <v>41</v>
      </c>
      <c r="K307">
        <v>78</v>
      </c>
      <c r="L307">
        <v>280</v>
      </c>
      <c r="M307">
        <v>138</v>
      </c>
      <c r="N307">
        <v>241</v>
      </c>
      <c r="O307">
        <v>31</v>
      </c>
      <c r="P307">
        <v>100</v>
      </c>
      <c r="Q307">
        <v>21</v>
      </c>
      <c r="R307">
        <v>16</v>
      </c>
      <c r="S307">
        <v>184</v>
      </c>
      <c r="T307">
        <v>59</v>
      </c>
      <c r="U307">
        <v>53</v>
      </c>
      <c r="V307">
        <v>2</v>
      </c>
      <c r="W307">
        <v>31</v>
      </c>
      <c r="X307">
        <v>56</v>
      </c>
      <c r="Y307">
        <v>71</v>
      </c>
      <c r="Z307">
        <v>3</v>
      </c>
      <c r="AA307">
        <v>29</v>
      </c>
      <c r="AB307">
        <v>2</v>
      </c>
      <c r="AC307">
        <v>2</v>
      </c>
      <c r="AD307">
        <v>0</v>
      </c>
      <c r="AE307">
        <v>13</v>
      </c>
      <c r="AF307">
        <v>0</v>
      </c>
      <c r="AG307">
        <v>0</v>
      </c>
      <c r="AH307">
        <v>0</v>
      </c>
    </row>
    <row r="308" spans="1:34" x14ac:dyDescent="0.3">
      <c r="A308" t="s">
        <v>126</v>
      </c>
      <c r="B308" t="s">
        <v>134</v>
      </c>
      <c r="C308" t="s">
        <v>37</v>
      </c>
      <c r="D308" s="1">
        <v>29364</v>
      </c>
      <c r="E308" s="1">
        <v>23373</v>
      </c>
      <c r="F308" s="1">
        <v>2817</v>
      </c>
      <c r="G308">
        <v>608</v>
      </c>
      <c r="H308">
        <v>255</v>
      </c>
      <c r="I308" s="1">
        <v>1099</v>
      </c>
      <c r="J308">
        <v>17</v>
      </c>
      <c r="K308">
        <v>44</v>
      </c>
      <c r="L308">
        <v>203</v>
      </c>
      <c r="M308">
        <v>121</v>
      </c>
      <c r="N308">
        <v>196</v>
      </c>
      <c r="O308">
        <v>31</v>
      </c>
      <c r="P308">
        <v>98</v>
      </c>
      <c r="Q308">
        <v>21</v>
      </c>
      <c r="R308">
        <v>16</v>
      </c>
      <c r="S308">
        <v>151</v>
      </c>
      <c r="T308">
        <v>57</v>
      </c>
      <c r="U308">
        <v>51</v>
      </c>
      <c r="V308">
        <v>0</v>
      </c>
      <c r="W308">
        <v>31</v>
      </c>
      <c r="X308">
        <v>55</v>
      </c>
      <c r="Y308">
        <v>71</v>
      </c>
      <c r="Z308">
        <v>3</v>
      </c>
      <c r="AA308">
        <v>29</v>
      </c>
      <c r="AB308">
        <v>2</v>
      </c>
      <c r="AC308">
        <v>2</v>
      </c>
      <c r="AD308">
        <v>0</v>
      </c>
      <c r="AE308">
        <v>13</v>
      </c>
      <c r="AF308">
        <v>0</v>
      </c>
      <c r="AG308">
        <v>0</v>
      </c>
      <c r="AH308">
        <v>0</v>
      </c>
    </row>
    <row r="309" spans="1:34" x14ac:dyDescent="0.3">
      <c r="A309" t="s">
        <v>126</v>
      </c>
      <c r="B309" t="s">
        <v>134</v>
      </c>
      <c r="C309" t="s">
        <v>38</v>
      </c>
      <c r="D309" s="1">
        <v>24691</v>
      </c>
      <c r="E309" s="1">
        <v>22108</v>
      </c>
      <c r="F309" s="1">
        <v>1197</v>
      </c>
      <c r="G309">
        <v>664</v>
      </c>
      <c r="H309">
        <v>246</v>
      </c>
      <c r="I309">
        <v>237</v>
      </c>
      <c r="J309">
        <v>24</v>
      </c>
      <c r="K309">
        <v>34</v>
      </c>
      <c r="L309">
        <v>77</v>
      </c>
      <c r="M309">
        <v>17</v>
      </c>
      <c r="N309">
        <v>45</v>
      </c>
      <c r="O309">
        <v>0</v>
      </c>
      <c r="P309">
        <v>2</v>
      </c>
      <c r="Q309">
        <v>0</v>
      </c>
      <c r="R309">
        <v>0</v>
      </c>
      <c r="S309">
        <v>33</v>
      </c>
      <c r="T309">
        <v>2</v>
      </c>
      <c r="U309">
        <v>2</v>
      </c>
      <c r="V309">
        <v>2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x14ac:dyDescent="0.3">
      <c r="A310" t="s">
        <v>126</v>
      </c>
      <c r="B310" t="s">
        <v>135</v>
      </c>
      <c r="C310" t="s">
        <v>34</v>
      </c>
      <c r="D310" s="1">
        <v>29791</v>
      </c>
      <c r="E310" s="1">
        <v>24754</v>
      </c>
      <c r="F310" s="1">
        <v>1727</v>
      </c>
      <c r="G310" s="1">
        <v>1329</v>
      </c>
      <c r="H310">
        <v>279</v>
      </c>
      <c r="I310" s="1">
        <v>1103</v>
      </c>
      <c r="J310">
        <v>28</v>
      </c>
      <c r="K310">
        <v>52</v>
      </c>
      <c r="L310">
        <v>168</v>
      </c>
      <c r="M310">
        <v>153</v>
      </c>
      <c r="N310">
        <v>172</v>
      </c>
      <c r="O310">
        <v>0</v>
      </c>
      <c r="P310">
        <v>4</v>
      </c>
      <c r="Q310">
        <v>0</v>
      </c>
      <c r="R310">
        <v>0</v>
      </c>
      <c r="S310">
        <v>5</v>
      </c>
      <c r="T310">
        <v>0</v>
      </c>
      <c r="U310">
        <v>6</v>
      </c>
      <c r="V310">
        <v>0</v>
      </c>
      <c r="W310">
        <v>1</v>
      </c>
      <c r="X310">
        <v>0</v>
      </c>
      <c r="Y310">
        <v>0</v>
      </c>
      <c r="Z310">
        <v>9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</row>
    <row r="311" spans="1:34" x14ac:dyDescent="0.3">
      <c r="A311" t="s">
        <v>126</v>
      </c>
      <c r="B311" t="s">
        <v>135</v>
      </c>
      <c r="C311" t="s">
        <v>37</v>
      </c>
      <c r="D311" s="1">
        <v>16207</v>
      </c>
      <c r="E311" s="1">
        <v>13242</v>
      </c>
      <c r="F311" s="1">
        <v>1120</v>
      </c>
      <c r="G311">
        <v>810</v>
      </c>
      <c r="H311">
        <v>144</v>
      </c>
      <c r="I311">
        <v>556</v>
      </c>
      <c r="J311">
        <v>21</v>
      </c>
      <c r="K311">
        <v>43</v>
      </c>
      <c r="L311">
        <v>87</v>
      </c>
      <c r="M311">
        <v>82</v>
      </c>
      <c r="N311">
        <v>88</v>
      </c>
      <c r="O311">
        <v>0</v>
      </c>
      <c r="P311">
        <v>1</v>
      </c>
      <c r="Q311">
        <v>0</v>
      </c>
      <c r="R311">
        <v>0</v>
      </c>
      <c r="S311">
        <v>2</v>
      </c>
      <c r="T311">
        <v>0</v>
      </c>
      <c r="U311">
        <v>3</v>
      </c>
      <c r="V311">
        <v>0</v>
      </c>
      <c r="W311">
        <v>1</v>
      </c>
      <c r="X311">
        <v>0</v>
      </c>
      <c r="Y311">
        <v>0</v>
      </c>
      <c r="Z311">
        <v>6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</row>
    <row r="312" spans="1:34" x14ac:dyDescent="0.3">
      <c r="A312" t="s">
        <v>126</v>
      </c>
      <c r="B312" t="s">
        <v>135</v>
      </c>
      <c r="C312" t="s">
        <v>38</v>
      </c>
      <c r="D312" s="1">
        <v>13584</v>
      </c>
      <c r="E312" s="1">
        <v>11512</v>
      </c>
      <c r="F312">
        <v>607</v>
      </c>
      <c r="G312">
        <v>519</v>
      </c>
      <c r="H312">
        <v>135</v>
      </c>
      <c r="I312">
        <v>547</v>
      </c>
      <c r="J312">
        <v>7</v>
      </c>
      <c r="K312">
        <v>9</v>
      </c>
      <c r="L312">
        <v>81</v>
      </c>
      <c r="M312">
        <v>71</v>
      </c>
      <c r="N312">
        <v>84</v>
      </c>
      <c r="O312">
        <v>0</v>
      </c>
      <c r="P312">
        <v>3</v>
      </c>
      <c r="Q312">
        <v>0</v>
      </c>
      <c r="R312">
        <v>0</v>
      </c>
      <c r="S312">
        <v>3</v>
      </c>
      <c r="T312">
        <v>0</v>
      </c>
      <c r="U312">
        <v>3</v>
      </c>
      <c r="V312">
        <v>0</v>
      </c>
      <c r="W312">
        <v>0</v>
      </c>
      <c r="X312">
        <v>0</v>
      </c>
      <c r="Y312">
        <v>0</v>
      </c>
      <c r="Z312">
        <v>3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3">
      <c r="A313" t="s">
        <v>126</v>
      </c>
      <c r="B313" t="s">
        <v>136</v>
      </c>
      <c r="C313" t="s">
        <v>34</v>
      </c>
      <c r="D313" s="1">
        <v>25352</v>
      </c>
      <c r="E313" s="1">
        <v>21111</v>
      </c>
      <c r="F313" s="1">
        <v>1309</v>
      </c>
      <c r="G313" s="1">
        <v>1229</v>
      </c>
      <c r="H313">
        <v>195</v>
      </c>
      <c r="I313">
        <v>369</v>
      </c>
      <c r="J313">
        <v>27</v>
      </c>
      <c r="K313">
        <v>40</v>
      </c>
      <c r="L313">
        <v>508</v>
      </c>
      <c r="M313">
        <v>75</v>
      </c>
      <c r="N313">
        <v>265</v>
      </c>
      <c r="O313">
        <v>66</v>
      </c>
      <c r="P313">
        <v>77</v>
      </c>
      <c r="Q313">
        <v>2</v>
      </c>
      <c r="R313">
        <v>14</v>
      </c>
      <c r="S313">
        <v>17</v>
      </c>
      <c r="T313">
        <v>2</v>
      </c>
      <c r="U313">
        <v>0</v>
      </c>
      <c r="V313">
        <v>0</v>
      </c>
      <c r="W313">
        <v>0</v>
      </c>
      <c r="X313">
        <v>25</v>
      </c>
      <c r="Y313">
        <v>0</v>
      </c>
      <c r="Z313">
        <v>1</v>
      </c>
      <c r="AA313">
        <v>1</v>
      </c>
      <c r="AB313">
        <v>5</v>
      </c>
      <c r="AC313">
        <v>0</v>
      </c>
      <c r="AD313">
        <v>1</v>
      </c>
      <c r="AE313">
        <v>0</v>
      </c>
      <c r="AF313">
        <v>0</v>
      </c>
      <c r="AG313">
        <v>13</v>
      </c>
      <c r="AH313">
        <v>0</v>
      </c>
    </row>
    <row r="314" spans="1:34" x14ac:dyDescent="0.3">
      <c r="A314" t="s">
        <v>126</v>
      </c>
      <c r="B314" t="s">
        <v>136</v>
      </c>
      <c r="C314" t="s">
        <v>37</v>
      </c>
      <c r="D314" s="1">
        <v>14711</v>
      </c>
      <c r="E314" s="1">
        <v>11789</v>
      </c>
      <c r="F314">
        <v>796</v>
      </c>
      <c r="G314">
        <v>768</v>
      </c>
      <c r="H314">
        <v>111</v>
      </c>
      <c r="I314">
        <v>229</v>
      </c>
      <c r="J314">
        <v>22</v>
      </c>
      <c r="K314">
        <v>25</v>
      </c>
      <c r="L314">
        <v>472</v>
      </c>
      <c r="M314">
        <v>52</v>
      </c>
      <c r="N314">
        <v>235</v>
      </c>
      <c r="O314">
        <v>65</v>
      </c>
      <c r="P314">
        <v>75</v>
      </c>
      <c r="Q314">
        <v>2</v>
      </c>
      <c r="R314">
        <v>14</v>
      </c>
      <c r="S314">
        <v>11</v>
      </c>
      <c r="T314">
        <v>2</v>
      </c>
      <c r="U314">
        <v>0</v>
      </c>
      <c r="V314">
        <v>0</v>
      </c>
      <c r="W314">
        <v>0</v>
      </c>
      <c r="X314">
        <v>25</v>
      </c>
      <c r="Y314">
        <v>0</v>
      </c>
      <c r="Z314">
        <v>1</v>
      </c>
      <c r="AA314">
        <v>1</v>
      </c>
      <c r="AB314">
        <v>5</v>
      </c>
      <c r="AC314">
        <v>0</v>
      </c>
      <c r="AD314">
        <v>1</v>
      </c>
      <c r="AE314">
        <v>0</v>
      </c>
      <c r="AF314">
        <v>0</v>
      </c>
      <c r="AG314">
        <v>10</v>
      </c>
      <c r="AH314">
        <v>0</v>
      </c>
    </row>
    <row r="315" spans="1:34" x14ac:dyDescent="0.3">
      <c r="A315" t="s">
        <v>126</v>
      </c>
      <c r="B315" t="s">
        <v>136</v>
      </c>
      <c r="C315" t="s">
        <v>38</v>
      </c>
      <c r="D315" s="1">
        <v>10641</v>
      </c>
      <c r="E315" s="1">
        <v>9322</v>
      </c>
      <c r="F315">
        <v>513</v>
      </c>
      <c r="G315">
        <v>461</v>
      </c>
      <c r="H315">
        <v>84</v>
      </c>
      <c r="I315">
        <v>140</v>
      </c>
      <c r="J315">
        <v>5</v>
      </c>
      <c r="K315">
        <v>15</v>
      </c>
      <c r="L315">
        <v>36</v>
      </c>
      <c r="M315">
        <v>23</v>
      </c>
      <c r="N315">
        <v>30</v>
      </c>
      <c r="O315">
        <v>1</v>
      </c>
      <c r="P315">
        <v>2</v>
      </c>
      <c r="Q315">
        <v>0</v>
      </c>
      <c r="R315">
        <v>0</v>
      </c>
      <c r="S315">
        <v>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</v>
      </c>
      <c r="AH315">
        <v>0</v>
      </c>
    </row>
    <row r="316" spans="1:34" x14ac:dyDescent="0.3">
      <c r="A316" t="s">
        <v>126</v>
      </c>
      <c r="B316" t="s">
        <v>137</v>
      </c>
      <c r="C316" t="s">
        <v>34</v>
      </c>
      <c r="D316" s="1">
        <v>23966</v>
      </c>
      <c r="E316" s="1">
        <v>7926</v>
      </c>
      <c r="F316">
        <v>933</v>
      </c>
      <c r="G316">
        <v>139</v>
      </c>
      <c r="H316">
        <v>163</v>
      </c>
      <c r="I316" s="1">
        <v>7319</v>
      </c>
      <c r="J316">
        <v>6</v>
      </c>
      <c r="K316">
        <v>20</v>
      </c>
      <c r="L316" s="1">
        <v>1724</v>
      </c>
      <c r="M316">
        <v>558</v>
      </c>
      <c r="N316">
        <v>815</v>
      </c>
      <c r="O316">
        <v>257</v>
      </c>
      <c r="P316">
        <v>978</v>
      </c>
      <c r="Q316">
        <v>374</v>
      </c>
      <c r="R316">
        <v>131</v>
      </c>
      <c r="S316">
        <v>518</v>
      </c>
      <c r="T316">
        <v>666</v>
      </c>
      <c r="U316">
        <v>194</v>
      </c>
      <c r="V316">
        <v>2</v>
      </c>
      <c r="W316">
        <v>293</v>
      </c>
      <c r="X316">
        <v>416</v>
      </c>
      <c r="Y316">
        <v>185</v>
      </c>
      <c r="Z316">
        <v>10</v>
      </c>
      <c r="AA316">
        <v>24</v>
      </c>
      <c r="AB316">
        <v>136</v>
      </c>
      <c r="AC316">
        <v>129</v>
      </c>
      <c r="AD316">
        <v>0</v>
      </c>
      <c r="AE316">
        <v>42</v>
      </c>
      <c r="AF316">
        <v>8</v>
      </c>
      <c r="AG316">
        <v>0</v>
      </c>
      <c r="AH316">
        <v>0</v>
      </c>
    </row>
    <row r="317" spans="1:34" x14ac:dyDescent="0.3">
      <c r="A317" t="s">
        <v>126</v>
      </c>
      <c r="B317" t="s">
        <v>137</v>
      </c>
      <c r="C317" t="s">
        <v>37</v>
      </c>
      <c r="D317" s="1">
        <v>19759</v>
      </c>
      <c r="E317" s="1">
        <v>4244</v>
      </c>
      <c r="F317">
        <v>792</v>
      </c>
      <c r="G317">
        <v>43</v>
      </c>
      <c r="H317">
        <v>69</v>
      </c>
      <c r="I317" s="1">
        <v>7255</v>
      </c>
      <c r="J317">
        <v>1</v>
      </c>
      <c r="K317">
        <v>17</v>
      </c>
      <c r="L317" s="1">
        <v>1628</v>
      </c>
      <c r="M317">
        <v>554</v>
      </c>
      <c r="N317">
        <v>797</v>
      </c>
      <c r="O317">
        <v>257</v>
      </c>
      <c r="P317">
        <v>976</v>
      </c>
      <c r="Q317">
        <v>374</v>
      </c>
      <c r="R317">
        <v>131</v>
      </c>
      <c r="S317">
        <v>518</v>
      </c>
      <c r="T317">
        <v>666</v>
      </c>
      <c r="U317">
        <v>194</v>
      </c>
      <c r="V317">
        <v>0</v>
      </c>
      <c r="W317">
        <v>293</v>
      </c>
      <c r="X317">
        <v>416</v>
      </c>
      <c r="Y317">
        <v>185</v>
      </c>
      <c r="Z317">
        <v>10</v>
      </c>
      <c r="AA317">
        <v>24</v>
      </c>
      <c r="AB317">
        <v>136</v>
      </c>
      <c r="AC317">
        <v>129</v>
      </c>
      <c r="AD317">
        <v>0</v>
      </c>
      <c r="AE317">
        <v>42</v>
      </c>
      <c r="AF317">
        <v>8</v>
      </c>
      <c r="AG317">
        <v>0</v>
      </c>
      <c r="AH317">
        <v>0</v>
      </c>
    </row>
    <row r="318" spans="1:34" x14ac:dyDescent="0.3">
      <c r="A318" t="s">
        <v>126</v>
      </c>
      <c r="B318" t="s">
        <v>137</v>
      </c>
      <c r="C318" t="s">
        <v>38</v>
      </c>
      <c r="D318" s="1">
        <v>4207</v>
      </c>
      <c r="E318" s="1">
        <v>3682</v>
      </c>
      <c r="F318">
        <v>141</v>
      </c>
      <c r="G318">
        <v>96</v>
      </c>
      <c r="H318">
        <v>94</v>
      </c>
      <c r="I318">
        <v>64</v>
      </c>
      <c r="J318">
        <v>5</v>
      </c>
      <c r="K318">
        <v>3</v>
      </c>
      <c r="L318">
        <v>96</v>
      </c>
      <c r="M318">
        <v>4</v>
      </c>
      <c r="N318">
        <v>18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3">
      <c r="A319" t="s">
        <v>126</v>
      </c>
      <c r="B319" t="s">
        <v>138</v>
      </c>
      <c r="C319" t="s">
        <v>34</v>
      </c>
      <c r="D319" s="1">
        <v>21562</v>
      </c>
      <c r="E319" s="1">
        <v>18474</v>
      </c>
      <c r="F319" s="1">
        <v>1219</v>
      </c>
      <c r="G319">
        <v>784</v>
      </c>
      <c r="H319">
        <v>201</v>
      </c>
      <c r="I319">
        <v>460</v>
      </c>
      <c r="J319">
        <v>21</v>
      </c>
      <c r="K319">
        <v>68</v>
      </c>
      <c r="L319">
        <v>88</v>
      </c>
      <c r="M319">
        <v>66</v>
      </c>
      <c r="N319">
        <v>62</v>
      </c>
      <c r="O319">
        <v>1</v>
      </c>
      <c r="P319">
        <v>20</v>
      </c>
      <c r="Q319">
        <v>0</v>
      </c>
      <c r="R319">
        <v>0</v>
      </c>
      <c r="S319">
        <v>6</v>
      </c>
      <c r="T319">
        <v>0</v>
      </c>
      <c r="U319">
        <v>14</v>
      </c>
      <c r="V319">
        <v>0</v>
      </c>
      <c r="W319">
        <v>0</v>
      </c>
      <c r="X319">
        <v>31</v>
      </c>
      <c r="Y319">
        <v>1</v>
      </c>
      <c r="Z319">
        <v>45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</row>
    <row r="320" spans="1:34" x14ac:dyDescent="0.3">
      <c r="A320" t="s">
        <v>126</v>
      </c>
      <c r="B320" t="s">
        <v>138</v>
      </c>
      <c r="C320" t="s">
        <v>37</v>
      </c>
      <c r="D320" s="1">
        <v>11812</v>
      </c>
      <c r="E320" s="1">
        <v>9841</v>
      </c>
      <c r="F320">
        <v>833</v>
      </c>
      <c r="G320">
        <v>517</v>
      </c>
      <c r="H320">
        <v>118</v>
      </c>
      <c r="I320">
        <v>237</v>
      </c>
      <c r="J320">
        <v>9</v>
      </c>
      <c r="K320">
        <v>64</v>
      </c>
      <c r="L320">
        <v>44</v>
      </c>
      <c r="M320">
        <v>33</v>
      </c>
      <c r="N320">
        <v>30</v>
      </c>
      <c r="O320">
        <v>1</v>
      </c>
      <c r="P320">
        <v>17</v>
      </c>
      <c r="Q320">
        <v>0</v>
      </c>
      <c r="R320">
        <v>0</v>
      </c>
      <c r="S320">
        <v>5</v>
      </c>
      <c r="T320">
        <v>0</v>
      </c>
      <c r="U320">
        <v>11</v>
      </c>
      <c r="V320">
        <v>0</v>
      </c>
      <c r="W320">
        <v>0</v>
      </c>
      <c r="X320">
        <v>31</v>
      </c>
      <c r="Y320">
        <v>1</v>
      </c>
      <c r="Z320">
        <v>19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</row>
    <row r="321" spans="1:34" x14ac:dyDescent="0.3">
      <c r="A321" t="s">
        <v>126</v>
      </c>
      <c r="B321" t="s">
        <v>138</v>
      </c>
      <c r="C321" t="s">
        <v>38</v>
      </c>
      <c r="D321" s="1">
        <v>9750</v>
      </c>
      <c r="E321" s="1">
        <v>8633</v>
      </c>
      <c r="F321">
        <v>386</v>
      </c>
      <c r="G321">
        <v>267</v>
      </c>
      <c r="H321">
        <v>83</v>
      </c>
      <c r="I321">
        <v>223</v>
      </c>
      <c r="J321">
        <v>12</v>
      </c>
      <c r="K321">
        <v>4</v>
      </c>
      <c r="L321">
        <v>44</v>
      </c>
      <c r="M321">
        <v>33</v>
      </c>
      <c r="N321">
        <v>32</v>
      </c>
      <c r="O321">
        <v>0</v>
      </c>
      <c r="P321">
        <v>3</v>
      </c>
      <c r="Q321">
        <v>0</v>
      </c>
      <c r="R321">
        <v>0</v>
      </c>
      <c r="S321">
        <v>1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26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3">
      <c r="A322" t="s">
        <v>126</v>
      </c>
      <c r="B322" t="s">
        <v>139</v>
      </c>
      <c r="C322" t="s">
        <v>34</v>
      </c>
      <c r="D322" s="1">
        <v>18881</v>
      </c>
      <c r="E322" s="1">
        <v>11582</v>
      </c>
      <c r="F322" s="1">
        <v>1218</v>
      </c>
      <c r="G322">
        <v>461</v>
      </c>
      <c r="H322">
        <v>149</v>
      </c>
      <c r="I322" s="1">
        <v>2949</v>
      </c>
      <c r="J322">
        <v>16</v>
      </c>
      <c r="K322">
        <v>9</v>
      </c>
      <c r="L322">
        <v>671</v>
      </c>
      <c r="M322">
        <v>352</v>
      </c>
      <c r="N322">
        <v>510</v>
      </c>
      <c r="O322">
        <v>61</v>
      </c>
      <c r="P322">
        <v>207</v>
      </c>
      <c r="Q322">
        <v>9</v>
      </c>
      <c r="R322">
        <v>14</v>
      </c>
      <c r="S322">
        <v>211</v>
      </c>
      <c r="T322">
        <v>103</v>
      </c>
      <c r="U322">
        <v>53</v>
      </c>
      <c r="V322">
        <v>0</v>
      </c>
      <c r="W322">
        <v>40</v>
      </c>
      <c r="X322">
        <v>32</v>
      </c>
      <c r="Y322">
        <v>80</v>
      </c>
      <c r="Z322">
        <v>22</v>
      </c>
      <c r="AA322">
        <v>28</v>
      </c>
      <c r="AB322">
        <v>46</v>
      </c>
      <c r="AC322">
        <v>17</v>
      </c>
      <c r="AD322">
        <v>0</v>
      </c>
      <c r="AE322">
        <v>20</v>
      </c>
      <c r="AF322">
        <v>19</v>
      </c>
      <c r="AG322">
        <v>2</v>
      </c>
      <c r="AH322">
        <v>0</v>
      </c>
    </row>
    <row r="323" spans="1:34" x14ac:dyDescent="0.3">
      <c r="A323" t="s">
        <v>126</v>
      </c>
      <c r="B323" t="s">
        <v>139</v>
      </c>
      <c r="C323" t="s">
        <v>37</v>
      </c>
      <c r="D323" s="1">
        <v>11555</v>
      </c>
      <c r="E323" s="1">
        <v>5495</v>
      </c>
      <c r="F323">
        <v>708</v>
      </c>
      <c r="G323">
        <v>214</v>
      </c>
      <c r="H323">
        <v>71</v>
      </c>
      <c r="I323" s="1">
        <v>2701</v>
      </c>
      <c r="J323">
        <v>5</v>
      </c>
      <c r="K323">
        <v>7</v>
      </c>
      <c r="L323">
        <v>624</v>
      </c>
      <c r="M323">
        <v>338</v>
      </c>
      <c r="N323">
        <v>433</v>
      </c>
      <c r="O323">
        <v>61</v>
      </c>
      <c r="P323">
        <v>206</v>
      </c>
      <c r="Q323">
        <v>9</v>
      </c>
      <c r="R323">
        <v>14</v>
      </c>
      <c r="S323">
        <v>211</v>
      </c>
      <c r="T323">
        <v>103</v>
      </c>
      <c r="U323">
        <v>52</v>
      </c>
      <c r="V323">
        <v>0</v>
      </c>
      <c r="W323">
        <v>40</v>
      </c>
      <c r="X323">
        <v>32</v>
      </c>
      <c r="Y323">
        <v>79</v>
      </c>
      <c r="Z323">
        <v>22</v>
      </c>
      <c r="AA323">
        <v>28</v>
      </c>
      <c r="AB323">
        <v>44</v>
      </c>
      <c r="AC323">
        <v>17</v>
      </c>
      <c r="AD323">
        <v>0</v>
      </c>
      <c r="AE323">
        <v>20</v>
      </c>
      <c r="AF323">
        <v>19</v>
      </c>
      <c r="AG323">
        <v>2</v>
      </c>
      <c r="AH323">
        <v>0</v>
      </c>
    </row>
    <row r="324" spans="1:34" x14ac:dyDescent="0.3">
      <c r="A324" t="s">
        <v>126</v>
      </c>
      <c r="B324" t="s">
        <v>139</v>
      </c>
      <c r="C324" t="s">
        <v>38</v>
      </c>
      <c r="D324" s="1">
        <v>7326</v>
      </c>
      <c r="E324" s="1">
        <v>6087</v>
      </c>
      <c r="F324">
        <v>510</v>
      </c>
      <c r="G324">
        <v>247</v>
      </c>
      <c r="H324">
        <v>78</v>
      </c>
      <c r="I324">
        <v>248</v>
      </c>
      <c r="J324">
        <v>11</v>
      </c>
      <c r="K324">
        <v>2</v>
      </c>
      <c r="L324">
        <v>47</v>
      </c>
      <c r="M324">
        <v>14</v>
      </c>
      <c r="N324">
        <v>77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3">
      <c r="A325" t="s">
        <v>126</v>
      </c>
      <c r="B325" t="s">
        <v>140</v>
      </c>
      <c r="C325" t="s">
        <v>34</v>
      </c>
      <c r="D325" s="1">
        <v>18152</v>
      </c>
      <c r="E325" s="1">
        <v>14713</v>
      </c>
      <c r="F325" s="1">
        <v>1348</v>
      </c>
      <c r="G325">
        <v>816</v>
      </c>
      <c r="H325">
        <v>180</v>
      </c>
      <c r="I325">
        <v>756</v>
      </c>
      <c r="J325">
        <v>23</v>
      </c>
      <c r="K325">
        <v>33</v>
      </c>
      <c r="L325">
        <v>49</v>
      </c>
      <c r="M325">
        <v>60</v>
      </c>
      <c r="N325">
        <v>73</v>
      </c>
      <c r="O325">
        <v>3</v>
      </c>
      <c r="P325">
        <v>19</v>
      </c>
      <c r="Q325">
        <v>0</v>
      </c>
      <c r="R325">
        <v>1</v>
      </c>
      <c r="S325">
        <v>15</v>
      </c>
      <c r="T325">
        <v>31</v>
      </c>
      <c r="U325">
        <v>16</v>
      </c>
      <c r="V325">
        <v>0</v>
      </c>
      <c r="W325">
        <v>0</v>
      </c>
      <c r="X325">
        <v>3</v>
      </c>
      <c r="Y325">
        <v>6</v>
      </c>
      <c r="Z325">
        <v>0</v>
      </c>
      <c r="AA325">
        <v>3</v>
      </c>
      <c r="AB325">
        <v>2</v>
      </c>
      <c r="AC325">
        <v>0</v>
      </c>
      <c r="AD325">
        <v>0</v>
      </c>
      <c r="AE325">
        <v>2</v>
      </c>
      <c r="AF325">
        <v>0</v>
      </c>
      <c r="AG325">
        <v>0</v>
      </c>
      <c r="AH325">
        <v>0</v>
      </c>
    </row>
    <row r="326" spans="1:34" x14ac:dyDescent="0.3">
      <c r="A326" t="s">
        <v>126</v>
      </c>
      <c r="B326" t="s">
        <v>140</v>
      </c>
      <c r="C326" t="s">
        <v>37</v>
      </c>
      <c r="D326" s="1">
        <v>10517</v>
      </c>
      <c r="E326" s="1">
        <v>8271</v>
      </c>
      <c r="F326">
        <v>847</v>
      </c>
      <c r="G326">
        <v>520</v>
      </c>
      <c r="H326">
        <v>110</v>
      </c>
      <c r="I326">
        <v>511</v>
      </c>
      <c r="J326">
        <v>13</v>
      </c>
      <c r="K326">
        <v>28</v>
      </c>
      <c r="L326">
        <v>29</v>
      </c>
      <c r="M326">
        <v>47</v>
      </c>
      <c r="N326">
        <v>43</v>
      </c>
      <c r="O326">
        <v>3</v>
      </c>
      <c r="P326">
        <v>18</v>
      </c>
      <c r="Q326">
        <v>0</v>
      </c>
      <c r="R326">
        <v>1</v>
      </c>
      <c r="S326">
        <v>13</v>
      </c>
      <c r="T326">
        <v>31</v>
      </c>
      <c r="U326">
        <v>16</v>
      </c>
      <c r="V326">
        <v>0</v>
      </c>
      <c r="W326">
        <v>0</v>
      </c>
      <c r="X326">
        <v>3</v>
      </c>
      <c r="Y326">
        <v>6</v>
      </c>
      <c r="Z326">
        <v>0</v>
      </c>
      <c r="AA326">
        <v>3</v>
      </c>
      <c r="AB326">
        <v>2</v>
      </c>
      <c r="AC326">
        <v>0</v>
      </c>
      <c r="AD326">
        <v>0</v>
      </c>
      <c r="AE326">
        <v>2</v>
      </c>
      <c r="AF326">
        <v>0</v>
      </c>
      <c r="AG326">
        <v>0</v>
      </c>
      <c r="AH326">
        <v>0</v>
      </c>
    </row>
    <row r="327" spans="1:34" x14ac:dyDescent="0.3">
      <c r="A327" t="s">
        <v>126</v>
      </c>
      <c r="B327" t="s">
        <v>140</v>
      </c>
      <c r="C327" t="s">
        <v>38</v>
      </c>
      <c r="D327" s="1">
        <v>7635</v>
      </c>
      <c r="E327" s="1">
        <v>6442</v>
      </c>
      <c r="F327">
        <v>501</v>
      </c>
      <c r="G327">
        <v>296</v>
      </c>
      <c r="H327">
        <v>70</v>
      </c>
      <c r="I327">
        <v>245</v>
      </c>
      <c r="J327">
        <v>10</v>
      </c>
      <c r="K327">
        <v>5</v>
      </c>
      <c r="L327">
        <v>20</v>
      </c>
      <c r="M327">
        <v>13</v>
      </c>
      <c r="N327">
        <v>30</v>
      </c>
      <c r="O327">
        <v>0</v>
      </c>
      <c r="P327">
        <v>1</v>
      </c>
      <c r="Q327">
        <v>0</v>
      </c>
      <c r="R327">
        <v>0</v>
      </c>
      <c r="S327">
        <v>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 x14ac:dyDescent="0.3">
      <c r="A328" t="s">
        <v>126</v>
      </c>
      <c r="B328" t="s">
        <v>141</v>
      </c>
      <c r="C328" t="s">
        <v>34</v>
      </c>
      <c r="D328" s="1">
        <v>17478</v>
      </c>
      <c r="E328" s="1">
        <v>14258</v>
      </c>
      <c r="F328" s="1">
        <v>1014</v>
      </c>
      <c r="G328">
        <v>571</v>
      </c>
      <c r="H328">
        <v>332</v>
      </c>
      <c r="I328">
        <v>697</v>
      </c>
      <c r="J328">
        <v>21</v>
      </c>
      <c r="K328">
        <v>21</v>
      </c>
      <c r="L328">
        <v>161</v>
      </c>
      <c r="M328">
        <v>62</v>
      </c>
      <c r="N328">
        <v>274</v>
      </c>
      <c r="O328">
        <v>0</v>
      </c>
      <c r="P328">
        <v>6</v>
      </c>
      <c r="Q328">
        <v>1</v>
      </c>
      <c r="R328">
        <v>0</v>
      </c>
      <c r="S328">
        <v>11</v>
      </c>
      <c r="T328">
        <v>1</v>
      </c>
      <c r="U328">
        <v>10</v>
      </c>
      <c r="V328">
        <v>0</v>
      </c>
      <c r="W328">
        <v>1</v>
      </c>
      <c r="X328">
        <v>1</v>
      </c>
      <c r="Y328">
        <v>5</v>
      </c>
      <c r="Z328">
        <v>28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2</v>
      </c>
      <c r="AH328">
        <v>0</v>
      </c>
    </row>
    <row r="329" spans="1:34" x14ac:dyDescent="0.3">
      <c r="A329" t="s">
        <v>126</v>
      </c>
      <c r="B329" t="s">
        <v>141</v>
      </c>
      <c r="C329" t="s">
        <v>37</v>
      </c>
      <c r="D329" s="1">
        <v>9054</v>
      </c>
      <c r="E329" s="1">
        <v>7148</v>
      </c>
      <c r="F329">
        <v>560</v>
      </c>
      <c r="G329">
        <v>311</v>
      </c>
      <c r="H329">
        <v>181</v>
      </c>
      <c r="I329">
        <v>460</v>
      </c>
      <c r="J329">
        <v>11</v>
      </c>
      <c r="K329">
        <v>17</v>
      </c>
      <c r="L329">
        <v>122</v>
      </c>
      <c r="M329">
        <v>51</v>
      </c>
      <c r="N329">
        <v>144</v>
      </c>
      <c r="O329">
        <v>0</v>
      </c>
      <c r="P329">
        <v>6</v>
      </c>
      <c r="Q329">
        <v>1</v>
      </c>
      <c r="R329">
        <v>0</v>
      </c>
      <c r="S329">
        <v>6</v>
      </c>
      <c r="T329">
        <v>1</v>
      </c>
      <c r="U329">
        <v>10</v>
      </c>
      <c r="V329">
        <v>0</v>
      </c>
      <c r="W329">
        <v>1</v>
      </c>
      <c r="X329">
        <v>1</v>
      </c>
      <c r="Y329">
        <v>4</v>
      </c>
      <c r="Z329">
        <v>16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2</v>
      </c>
      <c r="AH329">
        <v>0</v>
      </c>
    </row>
    <row r="330" spans="1:34" x14ac:dyDescent="0.3">
      <c r="A330" t="s">
        <v>126</v>
      </c>
      <c r="B330" t="s">
        <v>141</v>
      </c>
      <c r="C330" t="s">
        <v>38</v>
      </c>
      <c r="D330" s="1">
        <v>8424</v>
      </c>
      <c r="E330" s="1">
        <v>7110</v>
      </c>
      <c r="F330">
        <v>454</v>
      </c>
      <c r="G330">
        <v>260</v>
      </c>
      <c r="H330">
        <v>151</v>
      </c>
      <c r="I330">
        <v>237</v>
      </c>
      <c r="J330">
        <v>10</v>
      </c>
      <c r="K330">
        <v>4</v>
      </c>
      <c r="L330">
        <v>39</v>
      </c>
      <c r="M330">
        <v>11</v>
      </c>
      <c r="N330">
        <v>130</v>
      </c>
      <c r="O330">
        <v>0</v>
      </c>
      <c r="P330">
        <v>0</v>
      </c>
      <c r="Q330">
        <v>0</v>
      </c>
      <c r="R330">
        <v>0</v>
      </c>
      <c r="S330">
        <v>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12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3">
      <c r="A331" t="s">
        <v>126</v>
      </c>
      <c r="B331" t="s">
        <v>142</v>
      </c>
      <c r="C331" t="s">
        <v>34</v>
      </c>
      <c r="D331" s="1">
        <v>17461</v>
      </c>
      <c r="E331" s="1">
        <v>14451</v>
      </c>
      <c r="F331">
        <v>847</v>
      </c>
      <c r="G331">
        <v>795</v>
      </c>
      <c r="H331">
        <v>206</v>
      </c>
      <c r="I331">
        <v>586</v>
      </c>
      <c r="J331">
        <v>20</v>
      </c>
      <c r="K331">
        <v>56</v>
      </c>
      <c r="L331">
        <v>183</v>
      </c>
      <c r="M331">
        <v>115</v>
      </c>
      <c r="N331">
        <v>178</v>
      </c>
      <c r="O331">
        <v>0</v>
      </c>
      <c r="P331">
        <v>7</v>
      </c>
      <c r="Q331">
        <v>0</v>
      </c>
      <c r="R331">
        <v>1</v>
      </c>
      <c r="S331">
        <v>4</v>
      </c>
      <c r="T331">
        <v>1</v>
      </c>
      <c r="U331">
        <v>2</v>
      </c>
      <c r="V331">
        <v>0</v>
      </c>
      <c r="W331">
        <v>1</v>
      </c>
      <c r="X331">
        <v>0</v>
      </c>
      <c r="Y331">
        <v>0</v>
      </c>
      <c r="Z331">
        <v>8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 x14ac:dyDescent="0.3">
      <c r="A332" t="s">
        <v>126</v>
      </c>
      <c r="B332" t="s">
        <v>142</v>
      </c>
      <c r="C332" t="s">
        <v>37</v>
      </c>
      <c r="D332" s="1">
        <v>10188</v>
      </c>
      <c r="E332" s="1">
        <v>8321</v>
      </c>
      <c r="F332">
        <v>542</v>
      </c>
      <c r="G332">
        <v>504</v>
      </c>
      <c r="H332">
        <v>118</v>
      </c>
      <c r="I332">
        <v>361</v>
      </c>
      <c r="J332">
        <v>10</v>
      </c>
      <c r="K332">
        <v>46</v>
      </c>
      <c r="L332">
        <v>94</v>
      </c>
      <c r="M332">
        <v>73</v>
      </c>
      <c r="N332">
        <v>103</v>
      </c>
      <c r="O332">
        <v>0</v>
      </c>
      <c r="P332">
        <v>6</v>
      </c>
      <c r="Q332">
        <v>0</v>
      </c>
      <c r="R332">
        <v>0</v>
      </c>
      <c r="S332">
        <v>2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5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3">
      <c r="A333" t="s">
        <v>126</v>
      </c>
      <c r="B333" t="s">
        <v>142</v>
      </c>
      <c r="C333" t="s">
        <v>38</v>
      </c>
      <c r="D333" s="1">
        <v>7273</v>
      </c>
      <c r="E333" s="1">
        <v>6130</v>
      </c>
      <c r="F333">
        <v>305</v>
      </c>
      <c r="G333">
        <v>291</v>
      </c>
      <c r="H333">
        <v>88</v>
      </c>
      <c r="I333">
        <v>225</v>
      </c>
      <c r="J333">
        <v>10</v>
      </c>
      <c r="K333">
        <v>10</v>
      </c>
      <c r="L333">
        <v>89</v>
      </c>
      <c r="M333">
        <v>42</v>
      </c>
      <c r="N333">
        <v>75</v>
      </c>
      <c r="O333">
        <v>0</v>
      </c>
      <c r="P333">
        <v>1</v>
      </c>
      <c r="Q333">
        <v>0</v>
      </c>
      <c r="R333">
        <v>1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3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3">
      <c r="A334" t="s">
        <v>126</v>
      </c>
      <c r="B334" t="s">
        <v>143</v>
      </c>
      <c r="C334" t="s">
        <v>34</v>
      </c>
      <c r="D334" s="1">
        <v>15716</v>
      </c>
      <c r="E334" s="1">
        <v>14307</v>
      </c>
      <c r="F334">
        <v>546</v>
      </c>
      <c r="G334">
        <v>472</v>
      </c>
      <c r="H334">
        <v>80</v>
      </c>
      <c r="I334">
        <v>176</v>
      </c>
      <c r="J334">
        <v>13</v>
      </c>
      <c r="K334">
        <v>19</v>
      </c>
      <c r="L334">
        <v>49</v>
      </c>
      <c r="M334">
        <v>13</v>
      </c>
      <c r="N334">
        <v>31</v>
      </c>
      <c r="O334">
        <v>0</v>
      </c>
      <c r="P334">
        <v>4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</row>
    <row r="335" spans="1:34" x14ac:dyDescent="0.3">
      <c r="A335" t="s">
        <v>126</v>
      </c>
      <c r="B335" t="s">
        <v>143</v>
      </c>
      <c r="C335" t="s">
        <v>37</v>
      </c>
      <c r="D335" s="1">
        <v>9665</v>
      </c>
      <c r="E335" s="1">
        <v>8846</v>
      </c>
      <c r="F335">
        <v>329</v>
      </c>
      <c r="G335">
        <v>263</v>
      </c>
      <c r="H335">
        <v>40</v>
      </c>
      <c r="I335">
        <v>93</v>
      </c>
      <c r="J335">
        <v>7</v>
      </c>
      <c r="K335">
        <v>14</v>
      </c>
      <c r="L335">
        <v>36</v>
      </c>
      <c r="M335">
        <v>11</v>
      </c>
      <c r="N335">
        <v>16</v>
      </c>
      <c r="O335">
        <v>0</v>
      </c>
      <c r="P335">
        <v>4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</row>
    <row r="336" spans="1:34" x14ac:dyDescent="0.3">
      <c r="A336" t="s">
        <v>126</v>
      </c>
      <c r="B336" t="s">
        <v>143</v>
      </c>
      <c r="C336" t="s">
        <v>38</v>
      </c>
      <c r="D336" s="1">
        <v>6051</v>
      </c>
      <c r="E336" s="1">
        <v>5461</v>
      </c>
      <c r="F336">
        <v>217</v>
      </c>
      <c r="G336">
        <v>209</v>
      </c>
      <c r="H336">
        <v>40</v>
      </c>
      <c r="I336">
        <v>83</v>
      </c>
      <c r="J336">
        <v>6</v>
      </c>
      <c r="K336">
        <v>5</v>
      </c>
      <c r="L336">
        <v>13</v>
      </c>
      <c r="M336">
        <v>2</v>
      </c>
      <c r="N336">
        <v>15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3">
      <c r="A337" t="s">
        <v>126</v>
      </c>
      <c r="B337" t="s">
        <v>144</v>
      </c>
      <c r="C337" t="s">
        <v>34</v>
      </c>
      <c r="D337" s="1">
        <v>15279</v>
      </c>
      <c r="E337" s="1">
        <v>12275</v>
      </c>
      <c r="F337">
        <v>887</v>
      </c>
      <c r="G337">
        <v>699</v>
      </c>
      <c r="H337">
        <v>238</v>
      </c>
      <c r="I337">
        <v>581</v>
      </c>
      <c r="J337">
        <v>31</v>
      </c>
      <c r="K337">
        <v>51</v>
      </c>
      <c r="L337">
        <v>173</v>
      </c>
      <c r="M337">
        <v>77</v>
      </c>
      <c r="N337">
        <v>201</v>
      </c>
      <c r="O337">
        <v>5</v>
      </c>
      <c r="P337">
        <v>0</v>
      </c>
      <c r="Q337">
        <v>1</v>
      </c>
      <c r="R337">
        <v>0</v>
      </c>
      <c r="S337">
        <v>33</v>
      </c>
      <c r="T337">
        <v>0</v>
      </c>
      <c r="U337">
        <v>6</v>
      </c>
      <c r="V337">
        <v>0</v>
      </c>
      <c r="W337">
        <v>0</v>
      </c>
      <c r="X337">
        <v>0</v>
      </c>
      <c r="Y337">
        <v>6</v>
      </c>
      <c r="Z337">
        <v>9</v>
      </c>
      <c r="AA337">
        <v>1</v>
      </c>
      <c r="AB337">
        <v>0</v>
      </c>
      <c r="AC337">
        <v>0</v>
      </c>
      <c r="AD337">
        <v>0</v>
      </c>
      <c r="AE337">
        <v>3</v>
      </c>
      <c r="AF337">
        <v>0</v>
      </c>
      <c r="AG337">
        <v>2</v>
      </c>
      <c r="AH337">
        <v>0</v>
      </c>
    </row>
    <row r="338" spans="1:34" x14ac:dyDescent="0.3">
      <c r="A338" t="s">
        <v>126</v>
      </c>
      <c r="B338" t="s">
        <v>144</v>
      </c>
      <c r="C338" t="s">
        <v>37</v>
      </c>
      <c r="D338" s="1">
        <v>8774</v>
      </c>
      <c r="E338" s="1">
        <v>6987</v>
      </c>
      <c r="F338">
        <v>542</v>
      </c>
      <c r="G338">
        <v>433</v>
      </c>
      <c r="H338">
        <v>144</v>
      </c>
      <c r="I338">
        <v>327</v>
      </c>
      <c r="J338">
        <v>15</v>
      </c>
      <c r="K338">
        <v>44</v>
      </c>
      <c r="L338">
        <v>89</v>
      </c>
      <c r="M338">
        <v>47</v>
      </c>
      <c r="N338">
        <v>100</v>
      </c>
      <c r="O338">
        <v>5</v>
      </c>
      <c r="P338">
        <v>0</v>
      </c>
      <c r="Q338">
        <v>1</v>
      </c>
      <c r="R338">
        <v>0</v>
      </c>
      <c r="S338">
        <v>21</v>
      </c>
      <c r="T338">
        <v>0</v>
      </c>
      <c r="U338">
        <v>5</v>
      </c>
      <c r="V338">
        <v>0</v>
      </c>
      <c r="W338">
        <v>0</v>
      </c>
      <c r="X338">
        <v>0</v>
      </c>
      <c r="Y338">
        <v>6</v>
      </c>
      <c r="Z338">
        <v>4</v>
      </c>
      <c r="AA338">
        <v>1</v>
      </c>
      <c r="AB338">
        <v>0</v>
      </c>
      <c r="AC338">
        <v>0</v>
      </c>
      <c r="AD338">
        <v>0</v>
      </c>
      <c r="AE338">
        <v>3</v>
      </c>
      <c r="AF338">
        <v>0</v>
      </c>
      <c r="AG338">
        <v>0</v>
      </c>
      <c r="AH338">
        <v>0</v>
      </c>
    </row>
    <row r="339" spans="1:34" x14ac:dyDescent="0.3">
      <c r="A339" t="s">
        <v>126</v>
      </c>
      <c r="B339" t="s">
        <v>144</v>
      </c>
      <c r="C339" t="s">
        <v>38</v>
      </c>
      <c r="D339" s="1">
        <v>6505</v>
      </c>
      <c r="E339" s="1">
        <v>5288</v>
      </c>
      <c r="F339">
        <v>345</v>
      </c>
      <c r="G339">
        <v>266</v>
      </c>
      <c r="H339">
        <v>94</v>
      </c>
      <c r="I339">
        <v>254</v>
      </c>
      <c r="J339">
        <v>16</v>
      </c>
      <c r="K339">
        <v>7</v>
      </c>
      <c r="L339">
        <v>84</v>
      </c>
      <c r="M339">
        <v>30</v>
      </c>
      <c r="N339">
        <v>101</v>
      </c>
      <c r="O339">
        <v>0</v>
      </c>
      <c r="P339">
        <v>0</v>
      </c>
      <c r="Q339">
        <v>0</v>
      </c>
      <c r="R339">
        <v>0</v>
      </c>
      <c r="S339">
        <v>12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5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</v>
      </c>
      <c r="AH339">
        <v>0</v>
      </c>
    </row>
    <row r="340" spans="1:34" x14ac:dyDescent="0.3">
      <c r="A340" t="s">
        <v>126</v>
      </c>
      <c r="B340" t="s">
        <v>145</v>
      </c>
      <c r="C340" t="s">
        <v>34</v>
      </c>
      <c r="D340" s="1">
        <v>14971</v>
      </c>
      <c r="E340" s="1">
        <v>12130</v>
      </c>
      <c r="F340" s="1">
        <v>1416</v>
      </c>
      <c r="G340">
        <v>598</v>
      </c>
      <c r="H340">
        <v>121</v>
      </c>
      <c r="I340">
        <v>252</v>
      </c>
      <c r="J340">
        <v>27</v>
      </c>
      <c r="K340">
        <v>17</v>
      </c>
      <c r="L340">
        <v>47</v>
      </c>
      <c r="M340">
        <v>33</v>
      </c>
      <c r="N340">
        <v>137</v>
      </c>
      <c r="O340">
        <v>3</v>
      </c>
      <c r="P340">
        <v>125</v>
      </c>
      <c r="Q340">
        <v>7</v>
      </c>
      <c r="R340">
        <v>0</v>
      </c>
      <c r="S340">
        <v>34</v>
      </c>
      <c r="T340">
        <v>4</v>
      </c>
      <c r="U340">
        <v>3</v>
      </c>
      <c r="V340">
        <v>1</v>
      </c>
      <c r="W340">
        <v>1</v>
      </c>
      <c r="X340">
        <v>4</v>
      </c>
      <c r="Y340">
        <v>4</v>
      </c>
      <c r="Z340">
        <v>5</v>
      </c>
      <c r="AA340">
        <v>1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</row>
    <row r="341" spans="1:34" x14ac:dyDescent="0.3">
      <c r="A341" t="s">
        <v>126</v>
      </c>
      <c r="B341" t="s">
        <v>145</v>
      </c>
      <c r="C341" t="s">
        <v>37</v>
      </c>
      <c r="D341" s="1">
        <v>8451</v>
      </c>
      <c r="E341" s="1">
        <v>6648</v>
      </c>
      <c r="F341">
        <v>916</v>
      </c>
      <c r="G341">
        <v>342</v>
      </c>
      <c r="H341">
        <v>83</v>
      </c>
      <c r="I341">
        <v>130</v>
      </c>
      <c r="J341">
        <v>14</v>
      </c>
      <c r="K341">
        <v>11</v>
      </c>
      <c r="L341">
        <v>31</v>
      </c>
      <c r="M341">
        <v>23</v>
      </c>
      <c r="N341">
        <v>72</v>
      </c>
      <c r="O341">
        <v>3</v>
      </c>
      <c r="P341">
        <v>119</v>
      </c>
      <c r="Q341">
        <v>7</v>
      </c>
      <c r="R341">
        <v>0</v>
      </c>
      <c r="S341">
        <v>31</v>
      </c>
      <c r="T341">
        <v>4</v>
      </c>
      <c r="U341">
        <v>3</v>
      </c>
      <c r="V341">
        <v>0</v>
      </c>
      <c r="W341">
        <v>1</v>
      </c>
      <c r="X341">
        <v>4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</row>
    <row r="342" spans="1:34" x14ac:dyDescent="0.3">
      <c r="A342" t="s">
        <v>126</v>
      </c>
      <c r="B342" t="s">
        <v>145</v>
      </c>
      <c r="C342" t="s">
        <v>38</v>
      </c>
      <c r="D342" s="1">
        <v>6520</v>
      </c>
      <c r="E342" s="1">
        <v>5482</v>
      </c>
      <c r="F342">
        <v>500</v>
      </c>
      <c r="G342">
        <v>256</v>
      </c>
      <c r="H342">
        <v>38</v>
      </c>
      <c r="I342">
        <v>122</v>
      </c>
      <c r="J342">
        <v>13</v>
      </c>
      <c r="K342">
        <v>6</v>
      </c>
      <c r="L342">
        <v>16</v>
      </c>
      <c r="M342">
        <v>10</v>
      </c>
      <c r="N342">
        <v>65</v>
      </c>
      <c r="O342">
        <v>0</v>
      </c>
      <c r="P342">
        <v>6</v>
      </c>
      <c r="Q342">
        <v>0</v>
      </c>
      <c r="R342">
        <v>0</v>
      </c>
      <c r="S342">
        <v>3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3">
      <c r="A343" t="s">
        <v>126</v>
      </c>
      <c r="B343" t="s">
        <v>146</v>
      </c>
      <c r="C343" t="s">
        <v>34</v>
      </c>
      <c r="D343" s="1">
        <v>13470</v>
      </c>
      <c r="E343" s="1">
        <v>11740</v>
      </c>
      <c r="F343">
        <v>816</v>
      </c>
      <c r="G343">
        <v>371</v>
      </c>
      <c r="H343">
        <v>118</v>
      </c>
      <c r="I343">
        <v>155</v>
      </c>
      <c r="J343">
        <v>19</v>
      </c>
      <c r="K343">
        <v>102</v>
      </c>
      <c r="L343">
        <v>77</v>
      </c>
      <c r="M343">
        <v>6</v>
      </c>
      <c r="N343">
        <v>18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</v>
      </c>
      <c r="V343">
        <v>0</v>
      </c>
      <c r="W343">
        <v>2</v>
      </c>
      <c r="X343">
        <v>0</v>
      </c>
      <c r="Y343">
        <v>0</v>
      </c>
      <c r="Z343">
        <v>4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38</v>
      </c>
      <c r="AH343">
        <v>0</v>
      </c>
    </row>
    <row r="344" spans="1:34" x14ac:dyDescent="0.3">
      <c r="A344" t="s">
        <v>126</v>
      </c>
      <c r="B344" t="s">
        <v>146</v>
      </c>
      <c r="C344" t="s">
        <v>37</v>
      </c>
      <c r="D344" s="1">
        <v>7526</v>
      </c>
      <c r="E344" s="1">
        <v>6401</v>
      </c>
      <c r="F344">
        <v>570</v>
      </c>
      <c r="G344">
        <v>201</v>
      </c>
      <c r="H344">
        <v>67</v>
      </c>
      <c r="I344">
        <v>93</v>
      </c>
      <c r="J344">
        <v>12</v>
      </c>
      <c r="K344">
        <v>91</v>
      </c>
      <c r="L344">
        <v>36</v>
      </c>
      <c r="M344">
        <v>4</v>
      </c>
      <c r="N344">
        <v>11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4</v>
      </c>
      <c r="V344">
        <v>0</v>
      </c>
      <c r="W344">
        <v>2</v>
      </c>
      <c r="X344">
        <v>0</v>
      </c>
      <c r="Y344">
        <v>0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32</v>
      </c>
      <c r="AH344">
        <v>0</v>
      </c>
    </row>
    <row r="345" spans="1:34" x14ac:dyDescent="0.3">
      <c r="A345" t="s">
        <v>126</v>
      </c>
      <c r="B345" t="s">
        <v>146</v>
      </c>
      <c r="C345" t="s">
        <v>38</v>
      </c>
      <c r="D345" s="1">
        <v>5944</v>
      </c>
      <c r="E345" s="1">
        <v>5339</v>
      </c>
      <c r="F345">
        <v>246</v>
      </c>
      <c r="G345">
        <v>170</v>
      </c>
      <c r="H345">
        <v>51</v>
      </c>
      <c r="I345">
        <v>62</v>
      </c>
      <c r="J345">
        <v>7</v>
      </c>
      <c r="K345">
        <v>11</v>
      </c>
      <c r="L345">
        <v>41</v>
      </c>
      <c r="M345">
        <v>2</v>
      </c>
      <c r="N345">
        <v>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6</v>
      </c>
      <c r="AH345">
        <v>0</v>
      </c>
    </row>
    <row r="346" spans="1:34" x14ac:dyDescent="0.3">
      <c r="A346" t="s">
        <v>126</v>
      </c>
      <c r="B346" t="s">
        <v>147</v>
      </c>
      <c r="C346" t="s">
        <v>34</v>
      </c>
      <c r="D346" s="1">
        <v>12548</v>
      </c>
      <c r="E346" s="1">
        <v>7960</v>
      </c>
      <c r="F346">
        <v>891</v>
      </c>
      <c r="G346">
        <v>279</v>
      </c>
      <c r="H346">
        <v>74</v>
      </c>
      <c r="I346">
        <v>946</v>
      </c>
      <c r="J346">
        <v>10</v>
      </c>
      <c r="K346">
        <v>24</v>
      </c>
      <c r="L346">
        <v>142</v>
      </c>
      <c r="M346">
        <v>345</v>
      </c>
      <c r="N346">
        <v>331</v>
      </c>
      <c r="O346">
        <v>162</v>
      </c>
      <c r="P346">
        <v>243</v>
      </c>
      <c r="Q346">
        <v>12</v>
      </c>
      <c r="R346">
        <v>41</v>
      </c>
      <c r="S346">
        <v>273</v>
      </c>
      <c r="T346">
        <v>215</v>
      </c>
      <c r="U346">
        <v>69</v>
      </c>
      <c r="V346">
        <v>0</v>
      </c>
      <c r="W346">
        <v>59</v>
      </c>
      <c r="X346">
        <v>4</v>
      </c>
      <c r="Y346">
        <v>160</v>
      </c>
      <c r="Z346">
        <v>2</v>
      </c>
      <c r="AA346">
        <v>59</v>
      </c>
      <c r="AB346">
        <v>37</v>
      </c>
      <c r="AC346">
        <v>75</v>
      </c>
      <c r="AD346">
        <v>0</v>
      </c>
      <c r="AE346">
        <v>120</v>
      </c>
      <c r="AF346">
        <v>13</v>
      </c>
      <c r="AG346">
        <v>2</v>
      </c>
      <c r="AH346">
        <v>0</v>
      </c>
    </row>
    <row r="347" spans="1:34" x14ac:dyDescent="0.3">
      <c r="A347" t="s">
        <v>126</v>
      </c>
      <c r="B347" t="s">
        <v>147</v>
      </c>
      <c r="C347" t="s">
        <v>37</v>
      </c>
      <c r="D347" s="1">
        <v>9037</v>
      </c>
      <c r="E347" s="1">
        <v>4817</v>
      </c>
      <c r="F347">
        <v>710</v>
      </c>
      <c r="G347">
        <v>193</v>
      </c>
      <c r="H347">
        <v>46</v>
      </c>
      <c r="I347">
        <v>924</v>
      </c>
      <c r="J347">
        <v>5</v>
      </c>
      <c r="K347">
        <v>22</v>
      </c>
      <c r="L347">
        <v>132</v>
      </c>
      <c r="M347">
        <v>343</v>
      </c>
      <c r="N347">
        <v>319</v>
      </c>
      <c r="O347">
        <v>161</v>
      </c>
      <c r="P347">
        <v>235</v>
      </c>
      <c r="Q347">
        <v>12</v>
      </c>
      <c r="R347">
        <v>41</v>
      </c>
      <c r="S347">
        <v>272</v>
      </c>
      <c r="T347">
        <v>214</v>
      </c>
      <c r="U347">
        <v>67</v>
      </c>
      <c r="V347">
        <v>0</v>
      </c>
      <c r="W347">
        <v>59</v>
      </c>
      <c r="X347">
        <v>4</v>
      </c>
      <c r="Y347">
        <v>159</v>
      </c>
      <c r="Z347">
        <v>1</v>
      </c>
      <c r="AA347">
        <v>57</v>
      </c>
      <c r="AB347">
        <v>36</v>
      </c>
      <c r="AC347">
        <v>74</v>
      </c>
      <c r="AD347">
        <v>0</v>
      </c>
      <c r="AE347">
        <v>119</v>
      </c>
      <c r="AF347">
        <v>13</v>
      </c>
      <c r="AG347">
        <v>2</v>
      </c>
      <c r="AH347">
        <v>0</v>
      </c>
    </row>
    <row r="348" spans="1:34" x14ac:dyDescent="0.3">
      <c r="A348" t="s">
        <v>126</v>
      </c>
      <c r="B348" t="s">
        <v>147</v>
      </c>
      <c r="C348" t="s">
        <v>38</v>
      </c>
      <c r="D348" s="1">
        <v>3511</v>
      </c>
      <c r="E348" s="1">
        <v>3143</v>
      </c>
      <c r="F348">
        <v>181</v>
      </c>
      <c r="G348">
        <v>86</v>
      </c>
      <c r="H348">
        <v>28</v>
      </c>
      <c r="I348">
        <v>22</v>
      </c>
      <c r="J348">
        <v>5</v>
      </c>
      <c r="K348">
        <v>2</v>
      </c>
      <c r="L348">
        <v>10</v>
      </c>
      <c r="M348">
        <v>2</v>
      </c>
      <c r="N348">
        <v>12</v>
      </c>
      <c r="O348">
        <v>1</v>
      </c>
      <c r="P348">
        <v>8</v>
      </c>
      <c r="Q348">
        <v>0</v>
      </c>
      <c r="R348">
        <v>0</v>
      </c>
      <c r="S348">
        <v>1</v>
      </c>
      <c r="T348">
        <v>1</v>
      </c>
      <c r="U348">
        <v>2</v>
      </c>
      <c r="V348">
        <v>0</v>
      </c>
      <c r="W348">
        <v>0</v>
      </c>
      <c r="X348">
        <v>0</v>
      </c>
      <c r="Y348">
        <v>1</v>
      </c>
      <c r="Z348">
        <v>1</v>
      </c>
      <c r="AA348">
        <v>2</v>
      </c>
      <c r="AB348">
        <v>1</v>
      </c>
      <c r="AC348">
        <v>1</v>
      </c>
      <c r="AD348">
        <v>0</v>
      </c>
      <c r="AE348">
        <v>1</v>
      </c>
      <c r="AF348">
        <v>0</v>
      </c>
      <c r="AG348">
        <v>0</v>
      </c>
      <c r="AH348">
        <v>0</v>
      </c>
    </row>
    <row r="349" spans="1:34" x14ac:dyDescent="0.3">
      <c r="A349" t="s">
        <v>126</v>
      </c>
      <c r="B349" t="s">
        <v>148</v>
      </c>
      <c r="C349" t="s">
        <v>34</v>
      </c>
      <c r="D349" s="1">
        <v>9282</v>
      </c>
      <c r="E349" s="1">
        <v>7839</v>
      </c>
      <c r="F349">
        <v>474</v>
      </c>
      <c r="G349">
        <v>267</v>
      </c>
      <c r="H349">
        <v>103</v>
      </c>
      <c r="I349">
        <v>212</v>
      </c>
      <c r="J349">
        <v>7</v>
      </c>
      <c r="K349">
        <v>17</v>
      </c>
      <c r="L349">
        <v>284</v>
      </c>
      <c r="M349">
        <v>24</v>
      </c>
      <c r="N349">
        <v>40</v>
      </c>
      <c r="O349">
        <v>0</v>
      </c>
      <c r="P349">
        <v>0</v>
      </c>
      <c r="Q349">
        <v>0</v>
      </c>
      <c r="R349">
        <v>0</v>
      </c>
      <c r="S349">
        <v>7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2</v>
      </c>
      <c r="Z349">
        <v>5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3">
      <c r="A350" t="s">
        <v>126</v>
      </c>
      <c r="B350" t="s">
        <v>148</v>
      </c>
      <c r="C350" t="s">
        <v>37</v>
      </c>
      <c r="D350" s="1">
        <v>4780</v>
      </c>
      <c r="E350" s="1">
        <v>3896</v>
      </c>
      <c r="F350">
        <v>243</v>
      </c>
      <c r="G350">
        <v>142</v>
      </c>
      <c r="H350">
        <v>71</v>
      </c>
      <c r="I350">
        <v>144</v>
      </c>
      <c r="J350">
        <v>3</v>
      </c>
      <c r="K350">
        <v>10</v>
      </c>
      <c r="L350">
        <v>214</v>
      </c>
      <c r="M350">
        <v>19</v>
      </c>
      <c r="N350">
        <v>23</v>
      </c>
      <c r="O350">
        <v>0</v>
      </c>
      <c r="P350">
        <v>0</v>
      </c>
      <c r="Q350">
        <v>0</v>
      </c>
      <c r="R350">
        <v>0</v>
      </c>
      <c r="S350">
        <v>7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2</v>
      </c>
      <c r="Z350">
        <v>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 x14ac:dyDescent="0.3">
      <c r="A351" t="s">
        <v>126</v>
      </c>
      <c r="B351" t="s">
        <v>148</v>
      </c>
      <c r="C351" t="s">
        <v>38</v>
      </c>
      <c r="D351" s="1">
        <v>4502</v>
      </c>
      <c r="E351" s="1">
        <v>3943</v>
      </c>
      <c r="F351">
        <v>231</v>
      </c>
      <c r="G351">
        <v>125</v>
      </c>
      <c r="H351">
        <v>32</v>
      </c>
      <c r="I351">
        <v>68</v>
      </c>
      <c r="J351">
        <v>4</v>
      </c>
      <c r="K351">
        <v>7</v>
      </c>
      <c r="L351">
        <v>70</v>
      </c>
      <c r="M351">
        <v>5</v>
      </c>
      <c r="N351">
        <v>17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 x14ac:dyDescent="0.3">
      <c r="A352" t="s">
        <v>126</v>
      </c>
      <c r="B352" t="s">
        <v>149</v>
      </c>
      <c r="C352" t="s">
        <v>34</v>
      </c>
      <c r="D352" s="1">
        <v>7844</v>
      </c>
      <c r="E352" s="1">
        <v>4634</v>
      </c>
      <c r="F352">
        <v>580</v>
      </c>
      <c r="G352">
        <v>255</v>
      </c>
      <c r="H352">
        <v>29</v>
      </c>
      <c r="I352">
        <v>758</v>
      </c>
      <c r="J352">
        <v>2</v>
      </c>
      <c r="K352">
        <v>12</v>
      </c>
      <c r="L352">
        <v>358</v>
      </c>
      <c r="M352">
        <v>196</v>
      </c>
      <c r="N352">
        <v>211</v>
      </c>
      <c r="O352">
        <v>61</v>
      </c>
      <c r="P352">
        <v>207</v>
      </c>
      <c r="Q352">
        <v>7</v>
      </c>
      <c r="R352">
        <v>5</v>
      </c>
      <c r="S352">
        <v>63</v>
      </c>
      <c r="T352">
        <v>176</v>
      </c>
      <c r="U352">
        <v>8</v>
      </c>
      <c r="V352">
        <v>0</v>
      </c>
      <c r="W352">
        <v>12</v>
      </c>
      <c r="X352">
        <v>117</v>
      </c>
      <c r="Y352">
        <v>17</v>
      </c>
      <c r="Z352">
        <v>10</v>
      </c>
      <c r="AA352">
        <v>4</v>
      </c>
      <c r="AB352">
        <v>117</v>
      </c>
      <c r="AC352">
        <v>4</v>
      </c>
      <c r="AD352">
        <v>0</v>
      </c>
      <c r="AE352">
        <v>0</v>
      </c>
      <c r="AF352">
        <v>0</v>
      </c>
      <c r="AG352">
        <v>1</v>
      </c>
      <c r="AH352">
        <v>0</v>
      </c>
    </row>
    <row r="353" spans="1:34" x14ac:dyDescent="0.3">
      <c r="A353" t="s">
        <v>126</v>
      </c>
      <c r="B353" t="s">
        <v>149</v>
      </c>
      <c r="C353" t="s">
        <v>37</v>
      </c>
      <c r="D353" s="1">
        <v>4766</v>
      </c>
      <c r="E353" s="1">
        <v>2271</v>
      </c>
      <c r="F353">
        <v>261</v>
      </c>
      <c r="G353">
        <v>108</v>
      </c>
      <c r="H353">
        <v>18</v>
      </c>
      <c r="I353">
        <v>652</v>
      </c>
      <c r="J353">
        <v>1</v>
      </c>
      <c r="K353">
        <v>9</v>
      </c>
      <c r="L353">
        <v>266</v>
      </c>
      <c r="M353">
        <v>188</v>
      </c>
      <c r="N353">
        <v>185</v>
      </c>
      <c r="O353">
        <v>61</v>
      </c>
      <c r="P353">
        <v>207</v>
      </c>
      <c r="Q353">
        <v>7</v>
      </c>
      <c r="R353">
        <v>5</v>
      </c>
      <c r="S353">
        <v>61</v>
      </c>
      <c r="T353">
        <v>176</v>
      </c>
      <c r="U353">
        <v>8</v>
      </c>
      <c r="V353">
        <v>0</v>
      </c>
      <c r="W353">
        <v>12</v>
      </c>
      <c r="X353">
        <v>117</v>
      </c>
      <c r="Y353">
        <v>17</v>
      </c>
      <c r="Z353">
        <v>10</v>
      </c>
      <c r="AA353">
        <v>4</v>
      </c>
      <c r="AB353">
        <v>117</v>
      </c>
      <c r="AC353">
        <v>4</v>
      </c>
      <c r="AD353">
        <v>0</v>
      </c>
      <c r="AE353">
        <v>0</v>
      </c>
      <c r="AF353">
        <v>0</v>
      </c>
      <c r="AG353">
        <v>1</v>
      </c>
      <c r="AH353">
        <v>0</v>
      </c>
    </row>
    <row r="354" spans="1:34" x14ac:dyDescent="0.3">
      <c r="A354" t="s">
        <v>126</v>
      </c>
      <c r="B354" t="s">
        <v>149</v>
      </c>
      <c r="C354" t="s">
        <v>38</v>
      </c>
      <c r="D354" s="1">
        <v>3078</v>
      </c>
      <c r="E354" s="1">
        <v>2363</v>
      </c>
      <c r="F354">
        <v>319</v>
      </c>
      <c r="G354">
        <v>147</v>
      </c>
      <c r="H354">
        <v>11</v>
      </c>
      <c r="I354">
        <v>106</v>
      </c>
      <c r="J354">
        <v>1</v>
      </c>
      <c r="K354">
        <v>3</v>
      </c>
      <c r="L354">
        <v>92</v>
      </c>
      <c r="M354">
        <v>8</v>
      </c>
      <c r="N354">
        <v>26</v>
      </c>
      <c r="O354">
        <v>0</v>
      </c>
      <c r="P354">
        <v>0</v>
      </c>
      <c r="Q354">
        <v>0</v>
      </c>
      <c r="R354">
        <v>0</v>
      </c>
      <c r="S354">
        <v>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3">
      <c r="A355" t="s">
        <v>126</v>
      </c>
      <c r="B355" t="s">
        <v>150</v>
      </c>
      <c r="C355" t="s">
        <v>34</v>
      </c>
      <c r="D355" s="1">
        <v>7106</v>
      </c>
      <c r="E355" s="1">
        <v>3648</v>
      </c>
      <c r="F355">
        <v>335</v>
      </c>
      <c r="G355">
        <v>115</v>
      </c>
      <c r="H355">
        <v>33</v>
      </c>
      <c r="I355">
        <v>903</v>
      </c>
      <c r="J355">
        <v>4</v>
      </c>
      <c r="K355">
        <v>4</v>
      </c>
      <c r="L355">
        <v>452</v>
      </c>
      <c r="M355">
        <v>364</v>
      </c>
      <c r="N355">
        <v>344</v>
      </c>
      <c r="O355">
        <v>84</v>
      </c>
      <c r="P355">
        <v>152</v>
      </c>
      <c r="Q355">
        <v>8</v>
      </c>
      <c r="R355">
        <v>4</v>
      </c>
      <c r="S355">
        <v>237</v>
      </c>
      <c r="T355">
        <v>45</v>
      </c>
      <c r="U355">
        <v>46</v>
      </c>
      <c r="V355">
        <v>0</v>
      </c>
      <c r="W355">
        <v>23</v>
      </c>
      <c r="X355">
        <v>17</v>
      </c>
      <c r="Y355">
        <v>88</v>
      </c>
      <c r="Z355">
        <v>15</v>
      </c>
      <c r="AA355">
        <v>78</v>
      </c>
      <c r="AB355">
        <v>23</v>
      </c>
      <c r="AC355">
        <v>3</v>
      </c>
      <c r="AD355">
        <v>0</v>
      </c>
      <c r="AE355">
        <v>53</v>
      </c>
      <c r="AF355">
        <v>28</v>
      </c>
      <c r="AG355">
        <v>0</v>
      </c>
      <c r="AH355">
        <v>0</v>
      </c>
    </row>
    <row r="356" spans="1:34" x14ac:dyDescent="0.3">
      <c r="A356" t="s">
        <v>126</v>
      </c>
      <c r="B356" t="s">
        <v>150</v>
      </c>
      <c r="C356" t="s">
        <v>37</v>
      </c>
      <c r="D356" s="1">
        <v>5363</v>
      </c>
      <c r="E356" s="1">
        <v>2125</v>
      </c>
      <c r="F356">
        <v>246</v>
      </c>
      <c r="G356">
        <v>63</v>
      </c>
      <c r="H356">
        <v>18</v>
      </c>
      <c r="I356">
        <v>871</v>
      </c>
      <c r="J356">
        <v>1</v>
      </c>
      <c r="K356">
        <v>1</v>
      </c>
      <c r="L356">
        <v>442</v>
      </c>
      <c r="M356">
        <v>352</v>
      </c>
      <c r="N356">
        <v>341</v>
      </c>
      <c r="O356">
        <v>84</v>
      </c>
      <c r="P356">
        <v>152</v>
      </c>
      <c r="Q356">
        <v>8</v>
      </c>
      <c r="R356">
        <v>4</v>
      </c>
      <c r="S356">
        <v>236</v>
      </c>
      <c r="T356">
        <v>45</v>
      </c>
      <c r="U356">
        <v>46</v>
      </c>
      <c r="V356">
        <v>0</v>
      </c>
      <c r="W356">
        <v>23</v>
      </c>
      <c r="X356">
        <v>17</v>
      </c>
      <c r="Y356">
        <v>88</v>
      </c>
      <c r="Z356">
        <v>15</v>
      </c>
      <c r="AA356">
        <v>78</v>
      </c>
      <c r="AB356">
        <v>23</v>
      </c>
      <c r="AC356">
        <v>3</v>
      </c>
      <c r="AD356">
        <v>0</v>
      </c>
      <c r="AE356">
        <v>53</v>
      </c>
      <c r="AF356">
        <v>28</v>
      </c>
      <c r="AG356">
        <v>0</v>
      </c>
      <c r="AH356">
        <v>0</v>
      </c>
    </row>
    <row r="357" spans="1:34" x14ac:dyDescent="0.3">
      <c r="A357" t="s">
        <v>126</v>
      </c>
      <c r="B357" t="s">
        <v>150</v>
      </c>
      <c r="C357" t="s">
        <v>38</v>
      </c>
      <c r="D357" s="1">
        <v>1743</v>
      </c>
      <c r="E357" s="1">
        <v>1523</v>
      </c>
      <c r="F357">
        <v>89</v>
      </c>
      <c r="G357">
        <v>52</v>
      </c>
      <c r="H357">
        <v>15</v>
      </c>
      <c r="I357">
        <v>32</v>
      </c>
      <c r="J357">
        <v>3</v>
      </c>
      <c r="K357">
        <v>3</v>
      </c>
      <c r="L357">
        <v>10</v>
      </c>
      <c r="M357">
        <v>12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3">
      <c r="A358" t="s">
        <v>126</v>
      </c>
      <c r="B358" t="s">
        <v>151</v>
      </c>
      <c r="C358" t="s">
        <v>34</v>
      </c>
      <c r="D358" s="1">
        <v>6542</v>
      </c>
      <c r="E358" s="1">
        <v>5445</v>
      </c>
      <c r="F358">
        <v>484</v>
      </c>
      <c r="G358">
        <v>174</v>
      </c>
      <c r="H358">
        <v>336</v>
      </c>
      <c r="I358">
        <v>60</v>
      </c>
      <c r="J358">
        <v>20</v>
      </c>
      <c r="K358">
        <v>18</v>
      </c>
      <c r="L358">
        <v>0</v>
      </c>
      <c r="M358">
        <v>0</v>
      </c>
      <c r="N358">
        <v>4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3">
      <c r="A359" t="s">
        <v>126</v>
      </c>
      <c r="B359" t="s">
        <v>151</v>
      </c>
      <c r="C359" t="s">
        <v>37</v>
      </c>
      <c r="D359" s="1">
        <v>2762</v>
      </c>
      <c r="E359" s="1">
        <v>2227</v>
      </c>
      <c r="F359">
        <v>238</v>
      </c>
      <c r="G359">
        <v>90</v>
      </c>
      <c r="H359">
        <v>158</v>
      </c>
      <c r="I359">
        <v>24</v>
      </c>
      <c r="J359">
        <v>13</v>
      </c>
      <c r="K359">
        <v>9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 x14ac:dyDescent="0.3">
      <c r="A360" t="s">
        <v>126</v>
      </c>
      <c r="B360" t="s">
        <v>151</v>
      </c>
      <c r="C360" t="s">
        <v>38</v>
      </c>
      <c r="D360" s="1">
        <v>3780</v>
      </c>
      <c r="E360" s="1">
        <v>3218</v>
      </c>
      <c r="F360">
        <v>246</v>
      </c>
      <c r="G360">
        <v>84</v>
      </c>
      <c r="H360">
        <v>178</v>
      </c>
      <c r="I360">
        <v>36</v>
      </c>
      <c r="J360">
        <v>7</v>
      </c>
      <c r="K360">
        <v>9</v>
      </c>
      <c r="L360">
        <v>0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3">
      <c r="A361" t="s">
        <v>126</v>
      </c>
      <c r="B361" t="s">
        <v>152</v>
      </c>
      <c r="C361" t="s">
        <v>34</v>
      </c>
      <c r="D361" s="1">
        <v>5983</v>
      </c>
      <c r="E361" s="1">
        <v>4877</v>
      </c>
      <c r="F361">
        <v>339</v>
      </c>
      <c r="G361">
        <v>217</v>
      </c>
      <c r="H361">
        <v>42</v>
      </c>
      <c r="I361">
        <v>225</v>
      </c>
      <c r="J361">
        <v>17</v>
      </c>
      <c r="K361">
        <v>12</v>
      </c>
      <c r="L361">
        <v>72</v>
      </c>
      <c r="M361">
        <v>12</v>
      </c>
      <c r="N361">
        <v>25</v>
      </c>
      <c r="O361">
        <v>21</v>
      </c>
      <c r="P361">
        <v>25</v>
      </c>
      <c r="Q361">
        <v>3</v>
      </c>
      <c r="R361">
        <v>1</v>
      </c>
      <c r="S361">
        <v>21</v>
      </c>
      <c r="T361">
        <v>16</v>
      </c>
      <c r="U361">
        <v>29</v>
      </c>
      <c r="V361">
        <v>1</v>
      </c>
      <c r="W361">
        <v>2</v>
      </c>
      <c r="X361">
        <v>10</v>
      </c>
      <c r="Y361">
        <v>1</v>
      </c>
      <c r="Z361">
        <v>0</v>
      </c>
      <c r="AA361">
        <v>3</v>
      </c>
      <c r="AB361">
        <v>0</v>
      </c>
      <c r="AC361">
        <v>2</v>
      </c>
      <c r="AD361">
        <v>0</v>
      </c>
      <c r="AE361">
        <v>10</v>
      </c>
      <c r="AF361">
        <v>0</v>
      </c>
      <c r="AG361">
        <v>0</v>
      </c>
      <c r="AH361">
        <v>0</v>
      </c>
    </row>
    <row r="362" spans="1:34" x14ac:dyDescent="0.3">
      <c r="A362" t="s">
        <v>126</v>
      </c>
      <c r="B362" t="s">
        <v>152</v>
      </c>
      <c r="C362" t="s">
        <v>37</v>
      </c>
      <c r="D362" s="1">
        <v>2918</v>
      </c>
      <c r="E362" s="1">
        <v>2281</v>
      </c>
      <c r="F362">
        <v>163</v>
      </c>
      <c r="G362">
        <v>101</v>
      </c>
      <c r="H362">
        <v>24</v>
      </c>
      <c r="I362">
        <v>125</v>
      </c>
      <c r="J362">
        <v>4</v>
      </c>
      <c r="K362">
        <v>4</v>
      </c>
      <c r="L362">
        <v>58</v>
      </c>
      <c r="M362">
        <v>9</v>
      </c>
      <c r="N362">
        <v>6</v>
      </c>
      <c r="O362">
        <v>21</v>
      </c>
      <c r="P362">
        <v>25</v>
      </c>
      <c r="Q362">
        <v>3</v>
      </c>
      <c r="R362">
        <v>1</v>
      </c>
      <c r="S362">
        <v>20</v>
      </c>
      <c r="T362">
        <v>16</v>
      </c>
      <c r="U362">
        <v>29</v>
      </c>
      <c r="V362">
        <v>0</v>
      </c>
      <c r="W362">
        <v>2</v>
      </c>
      <c r="X362">
        <v>10</v>
      </c>
      <c r="Y362">
        <v>1</v>
      </c>
      <c r="Z362">
        <v>0</v>
      </c>
      <c r="AA362">
        <v>3</v>
      </c>
      <c r="AB362">
        <v>0</v>
      </c>
      <c r="AC362">
        <v>2</v>
      </c>
      <c r="AD362">
        <v>0</v>
      </c>
      <c r="AE362">
        <v>10</v>
      </c>
      <c r="AF362">
        <v>0</v>
      </c>
      <c r="AG362">
        <v>0</v>
      </c>
      <c r="AH362">
        <v>0</v>
      </c>
    </row>
    <row r="363" spans="1:34" x14ac:dyDescent="0.3">
      <c r="A363" t="s">
        <v>126</v>
      </c>
      <c r="B363" t="s">
        <v>152</v>
      </c>
      <c r="C363" t="s">
        <v>38</v>
      </c>
      <c r="D363" s="1">
        <v>3065</v>
      </c>
      <c r="E363" s="1">
        <v>2596</v>
      </c>
      <c r="F363">
        <v>176</v>
      </c>
      <c r="G363">
        <v>116</v>
      </c>
      <c r="H363">
        <v>18</v>
      </c>
      <c r="I363">
        <v>100</v>
      </c>
      <c r="J363">
        <v>13</v>
      </c>
      <c r="K363">
        <v>8</v>
      </c>
      <c r="L363">
        <v>14</v>
      </c>
      <c r="M363">
        <v>3</v>
      </c>
      <c r="N363">
        <v>19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 x14ac:dyDescent="0.3">
      <c r="A364" t="s">
        <v>126</v>
      </c>
      <c r="B364" t="s">
        <v>153</v>
      </c>
      <c r="C364" t="s">
        <v>34</v>
      </c>
      <c r="D364" s="1">
        <v>5228</v>
      </c>
      <c r="E364" s="1">
        <v>4540</v>
      </c>
      <c r="F364">
        <v>247</v>
      </c>
      <c r="G364">
        <v>181</v>
      </c>
      <c r="H364">
        <v>84</v>
      </c>
      <c r="I364">
        <v>85</v>
      </c>
      <c r="J364">
        <v>9</v>
      </c>
      <c r="K364">
        <v>24</v>
      </c>
      <c r="L364">
        <v>26</v>
      </c>
      <c r="M364">
        <v>14</v>
      </c>
      <c r="N364">
        <v>14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</v>
      </c>
      <c r="Y364">
        <v>0</v>
      </c>
      <c r="Z364">
        <v>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3">
      <c r="A365" t="s">
        <v>126</v>
      </c>
      <c r="B365" t="s">
        <v>153</v>
      </c>
      <c r="C365" t="s">
        <v>37</v>
      </c>
      <c r="D365" s="1">
        <v>2896</v>
      </c>
      <c r="E365" s="1">
        <v>2500</v>
      </c>
      <c r="F365">
        <v>148</v>
      </c>
      <c r="G365">
        <v>96</v>
      </c>
      <c r="H365">
        <v>43</v>
      </c>
      <c r="I365">
        <v>49</v>
      </c>
      <c r="J365">
        <v>4</v>
      </c>
      <c r="K365">
        <v>19</v>
      </c>
      <c r="L365">
        <v>14</v>
      </c>
      <c r="M365">
        <v>12</v>
      </c>
      <c r="N365">
        <v>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3">
      <c r="A366" t="s">
        <v>126</v>
      </c>
      <c r="B366" t="s">
        <v>153</v>
      </c>
      <c r="C366" t="s">
        <v>38</v>
      </c>
      <c r="D366" s="1">
        <v>2332</v>
      </c>
      <c r="E366" s="1">
        <v>2040</v>
      </c>
      <c r="F366">
        <v>99</v>
      </c>
      <c r="G366">
        <v>85</v>
      </c>
      <c r="H366">
        <v>41</v>
      </c>
      <c r="I366">
        <v>36</v>
      </c>
      <c r="J366">
        <v>5</v>
      </c>
      <c r="K366">
        <v>5</v>
      </c>
      <c r="L366">
        <v>12</v>
      </c>
      <c r="M366">
        <v>2</v>
      </c>
      <c r="N366">
        <v>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 x14ac:dyDescent="0.3">
      <c r="A367" t="s">
        <v>126</v>
      </c>
      <c r="B367" t="s">
        <v>154</v>
      </c>
      <c r="C367" t="s">
        <v>34</v>
      </c>
      <c r="D367" s="1">
        <v>4124</v>
      </c>
      <c r="E367" s="1">
        <v>2695</v>
      </c>
      <c r="F367">
        <v>200</v>
      </c>
      <c r="G367">
        <v>96</v>
      </c>
      <c r="H367">
        <v>50</v>
      </c>
      <c r="I367">
        <v>566</v>
      </c>
      <c r="J367">
        <v>2</v>
      </c>
      <c r="K367">
        <v>19</v>
      </c>
      <c r="L367">
        <v>179</v>
      </c>
      <c r="M367">
        <v>102</v>
      </c>
      <c r="N367">
        <v>175</v>
      </c>
      <c r="O367">
        <v>0</v>
      </c>
      <c r="P367">
        <v>3</v>
      </c>
      <c r="Q367">
        <v>1</v>
      </c>
      <c r="R367">
        <v>0</v>
      </c>
      <c r="S367">
        <v>10</v>
      </c>
      <c r="T367">
        <v>3</v>
      </c>
      <c r="U367">
        <v>0</v>
      </c>
      <c r="V367">
        <v>0</v>
      </c>
      <c r="W367">
        <v>6</v>
      </c>
      <c r="X367">
        <v>0</v>
      </c>
      <c r="Y367">
        <v>1</v>
      </c>
      <c r="Z367">
        <v>12</v>
      </c>
      <c r="AA367">
        <v>1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2</v>
      </c>
      <c r="AH367">
        <v>0</v>
      </c>
    </row>
    <row r="368" spans="1:34" x14ac:dyDescent="0.3">
      <c r="A368" t="s">
        <v>126</v>
      </c>
      <c r="B368" t="s">
        <v>154</v>
      </c>
      <c r="C368" t="s">
        <v>37</v>
      </c>
      <c r="D368" s="1">
        <v>2767</v>
      </c>
      <c r="E368" s="1">
        <v>1481</v>
      </c>
      <c r="F368">
        <v>148</v>
      </c>
      <c r="G368">
        <v>57</v>
      </c>
      <c r="H368">
        <v>29</v>
      </c>
      <c r="I368">
        <v>544</v>
      </c>
      <c r="J368">
        <v>2</v>
      </c>
      <c r="K368">
        <v>17</v>
      </c>
      <c r="L368">
        <v>177</v>
      </c>
      <c r="M368">
        <v>101</v>
      </c>
      <c r="N368">
        <v>173</v>
      </c>
      <c r="O368">
        <v>0</v>
      </c>
      <c r="P368">
        <v>2</v>
      </c>
      <c r="Q368">
        <v>1</v>
      </c>
      <c r="R368">
        <v>0</v>
      </c>
      <c r="S368">
        <v>9</v>
      </c>
      <c r="T368">
        <v>3</v>
      </c>
      <c r="U368">
        <v>0</v>
      </c>
      <c r="V368">
        <v>0</v>
      </c>
      <c r="W368">
        <v>6</v>
      </c>
      <c r="X368">
        <v>0</v>
      </c>
      <c r="Y368">
        <v>1</v>
      </c>
      <c r="Z368">
        <v>12</v>
      </c>
      <c r="AA368">
        <v>1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2</v>
      </c>
      <c r="AH368">
        <v>0</v>
      </c>
    </row>
    <row r="369" spans="1:34" x14ac:dyDescent="0.3">
      <c r="A369" t="s">
        <v>126</v>
      </c>
      <c r="B369" t="s">
        <v>154</v>
      </c>
      <c r="C369" t="s">
        <v>38</v>
      </c>
      <c r="D369" s="1">
        <v>1357</v>
      </c>
      <c r="E369" s="1">
        <v>1214</v>
      </c>
      <c r="F369">
        <v>52</v>
      </c>
      <c r="G369">
        <v>39</v>
      </c>
      <c r="H369">
        <v>21</v>
      </c>
      <c r="I369">
        <v>22</v>
      </c>
      <c r="J369">
        <v>0</v>
      </c>
      <c r="K369">
        <v>2</v>
      </c>
      <c r="L369">
        <v>2</v>
      </c>
      <c r="M369">
        <v>1</v>
      </c>
      <c r="N369">
        <v>2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3">
      <c r="A370" t="s">
        <v>126</v>
      </c>
      <c r="B370" t="s">
        <v>155</v>
      </c>
      <c r="C370" t="s">
        <v>34</v>
      </c>
      <c r="D370" s="1">
        <v>3623</v>
      </c>
      <c r="E370" s="1">
        <v>2645</v>
      </c>
      <c r="F370">
        <v>142</v>
      </c>
      <c r="G370">
        <v>77</v>
      </c>
      <c r="H370">
        <v>11</v>
      </c>
      <c r="I370">
        <v>116</v>
      </c>
      <c r="J370">
        <v>12</v>
      </c>
      <c r="K370">
        <v>3</v>
      </c>
      <c r="L370">
        <v>4</v>
      </c>
      <c r="M370">
        <v>47</v>
      </c>
      <c r="N370">
        <v>17</v>
      </c>
      <c r="O370">
        <v>13</v>
      </c>
      <c r="P370">
        <v>216</v>
      </c>
      <c r="Q370">
        <v>15</v>
      </c>
      <c r="R370">
        <v>3</v>
      </c>
      <c r="S370">
        <v>163</v>
      </c>
      <c r="T370">
        <v>4</v>
      </c>
      <c r="U370">
        <v>41</v>
      </c>
      <c r="V370">
        <v>0</v>
      </c>
      <c r="W370">
        <v>0</v>
      </c>
      <c r="X370">
        <v>16</v>
      </c>
      <c r="Y370">
        <v>55</v>
      </c>
      <c r="Z370">
        <v>0</v>
      </c>
      <c r="AA370">
        <v>15</v>
      </c>
      <c r="AB370">
        <v>1</v>
      </c>
      <c r="AC370">
        <v>0</v>
      </c>
      <c r="AD370">
        <v>0</v>
      </c>
      <c r="AE370">
        <v>7</v>
      </c>
      <c r="AF370">
        <v>0</v>
      </c>
      <c r="AG370">
        <v>0</v>
      </c>
      <c r="AH370">
        <v>0</v>
      </c>
    </row>
    <row r="371" spans="1:34" x14ac:dyDescent="0.3">
      <c r="A371" t="s">
        <v>126</v>
      </c>
      <c r="B371" t="s">
        <v>155</v>
      </c>
      <c r="C371" t="s">
        <v>37</v>
      </c>
      <c r="D371" s="1">
        <v>2125</v>
      </c>
      <c r="E371" s="1">
        <v>1295</v>
      </c>
      <c r="F371">
        <v>76</v>
      </c>
      <c r="G371">
        <v>47</v>
      </c>
      <c r="H371">
        <v>9</v>
      </c>
      <c r="I371">
        <v>91</v>
      </c>
      <c r="J371">
        <v>5</v>
      </c>
      <c r="K371">
        <v>0</v>
      </c>
      <c r="L371">
        <v>1</v>
      </c>
      <c r="M371">
        <v>47</v>
      </c>
      <c r="N371">
        <v>8</v>
      </c>
      <c r="O371">
        <v>13</v>
      </c>
      <c r="P371">
        <v>215</v>
      </c>
      <c r="Q371">
        <v>15</v>
      </c>
      <c r="R371">
        <v>3</v>
      </c>
      <c r="S371">
        <v>161</v>
      </c>
      <c r="T371">
        <v>4</v>
      </c>
      <c r="U371">
        <v>41</v>
      </c>
      <c r="V371">
        <v>0</v>
      </c>
      <c r="W371">
        <v>0</v>
      </c>
      <c r="X371">
        <v>16</v>
      </c>
      <c r="Y371">
        <v>55</v>
      </c>
      <c r="Z371">
        <v>0</v>
      </c>
      <c r="AA371">
        <v>15</v>
      </c>
      <c r="AB371">
        <v>1</v>
      </c>
      <c r="AC371">
        <v>0</v>
      </c>
      <c r="AD371">
        <v>0</v>
      </c>
      <c r="AE371">
        <v>7</v>
      </c>
      <c r="AF371">
        <v>0</v>
      </c>
      <c r="AG371">
        <v>0</v>
      </c>
      <c r="AH371">
        <v>0</v>
      </c>
    </row>
    <row r="372" spans="1:34" x14ac:dyDescent="0.3">
      <c r="A372" t="s">
        <v>126</v>
      </c>
      <c r="B372" t="s">
        <v>155</v>
      </c>
      <c r="C372" t="s">
        <v>38</v>
      </c>
      <c r="D372" s="1">
        <v>1498</v>
      </c>
      <c r="E372" s="1">
        <v>1350</v>
      </c>
      <c r="F372">
        <v>66</v>
      </c>
      <c r="G372">
        <v>30</v>
      </c>
      <c r="H372">
        <v>2</v>
      </c>
      <c r="I372">
        <v>25</v>
      </c>
      <c r="J372">
        <v>7</v>
      </c>
      <c r="K372">
        <v>3</v>
      </c>
      <c r="L372">
        <v>3</v>
      </c>
      <c r="M372">
        <v>0</v>
      </c>
      <c r="N372">
        <v>9</v>
      </c>
      <c r="O372">
        <v>0</v>
      </c>
      <c r="P372">
        <v>1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 x14ac:dyDescent="0.3">
      <c r="A373" t="s">
        <v>126</v>
      </c>
      <c r="B373" t="s">
        <v>156</v>
      </c>
      <c r="C373" t="s">
        <v>34</v>
      </c>
      <c r="D373" s="1">
        <v>2821</v>
      </c>
      <c r="E373" s="1">
        <v>2423</v>
      </c>
      <c r="F373">
        <v>139</v>
      </c>
      <c r="G373">
        <v>81</v>
      </c>
      <c r="H373">
        <v>39</v>
      </c>
      <c r="I373">
        <v>69</v>
      </c>
      <c r="J373">
        <v>6</v>
      </c>
      <c r="K373">
        <v>20</v>
      </c>
      <c r="L373">
        <v>19</v>
      </c>
      <c r="M373">
        <v>4</v>
      </c>
      <c r="N373">
        <v>12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</v>
      </c>
      <c r="U373">
        <v>0</v>
      </c>
      <c r="V373">
        <v>0</v>
      </c>
      <c r="W373">
        <v>2</v>
      </c>
      <c r="X373">
        <v>1</v>
      </c>
      <c r="Y373">
        <v>0</v>
      </c>
      <c r="Z373">
        <v>3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3">
      <c r="A374" t="s">
        <v>126</v>
      </c>
      <c r="B374" t="s">
        <v>156</v>
      </c>
      <c r="C374" t="s">
        <v>37</v>
      </c>
      <c r="D374" s="1">
        <v>1577</v>
      </c>
      <c r="E374" s="1">
        <v>1326</v>
      </c>
      <c r="F374">
        <v>86</v>
      </c>
      <c r="G374">
        <v>48</v>
      </c>
      <c r="H374">
        <v>27</v>
      </c>
      <c r="I374">
        <v>39</v>
      </c>
      <c r="J374">
        <v>5</v>
      </c>
      <c r="K374">
        <v>19</v>
      </c>
      <c r="L374">
        <v>9</v>
      </c>
      <c r="M374">
        <v>3</v>
      </c>
      <c r="N374">
        <v>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</v>
      </c>
      <c r="U374">
        <v>0</v>
      </c>
      <c r="V374">
        <v>0</v>
      </c>
      <c r="W374">
        <v>2</v>
      </c>
      <c r="X374">
        <v>1</v>
      </c>
      <c r="Y374">
        <v>0</v>
      </c>
      <c r="Z374">
        <v>2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 x14ac:dyDescent="0.3">
      <c r="A375" t="s">
        <v>126</v>
      </c>
      <c r="B375" t="s">
        <v>156</v>
      </c>
      <c r="C375" t="s">
        <v>38</v>
      </c>
      <c r="D375" s="1">
        <v>1244</v>
      </c>
      <c r="E375" s="1">
        <v>1097</v>
      </c>
      <c r="F375">
        <v>53</v>
      </c>
      <c r="G375">
        <v>33</v>
      </c>
      <c r="H375">
        <v>12</v>
      </c>
      <c r="I375">
        <v>30</v>
      </c>
      <c r="J375">
        <v>1</v>
      </c>
      <c r="K375">
        <v>1</v>
      </c>
      <c r="L375">
        <v>10</v>
      </c>
      <c r="M375">
        <v>1</v>
      </c>
      <c r="N375">
        <v>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3">
      <c r="A376" t="s">
        <v>126</v>
      </c>
      <c r="B376" t="s">
        <v>157</v>
      </c>
      <c r="C376" t="s">
        <v>34</v>
      </c>
      <c r="D376" s="1">
        <v>2722</v>
      </c>
      <c r="E376" s="1">
        <v>2054</v>
      </c>
      <c r="F376">
        <v>89</v>
      </c>
      <c r="G376">
        <v>85</v>
      </c>
      <c r="H376">
        <v>119</v>
      </c>
      <c r="I376">
        <v>123</v>
      </c>
      <c r="J376">
        <v>1</v>
      </c>
      <c r="K376">
        <v>4</v>
      </c>
      <c r="L376">
        <v>117</v>
      </c>
      <c r="M376">
        <v>13</v>
      </c>
      <c r="N376">
        <v>88</v>
      </c>
      <c r="O376">
        <v>1</v>
      </c>
      <c r="P376">
        <v>9</v>
      </c>
      <c r="Q376">
        <v>4</v>
      </c>
      <c r="R376">
        <v>0</v>
      </c>
      <c r="S376">
        <v>1</v>
      </c>
      <c r="T376">
        <v>1</v>
      </c>
      <c r="U376">
        <v>2</v>
      </c>
      <c r="V376">
        <v>0</v>
      </c>
      <c r="W376">
        <v>0</v>
      </c>
      <c r="X376">
        <v>1</v>
      </c>
      <c r="Y376">
        <v>3</v>
      </c>
      <c r="Z376">
        <v>2</v>
      </c>
      <c r="AA376">
        <v>2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1</v>
      </c>
      <c r="AH376">
        <v>0</v>
      </c>
    </row>
    <row r="377" spans="1:34" x14ac:dyDescent="0.3">
      <c r="A377" t="s">
        <v>126</v>
      </c>
      <c r="B377" t="s">
        <v>157</v>
      </c>
      <c r="C377" t="s">
        <v>37</v>
      </c>
      <c r="D377" s="1">
        <v>1203</v>
      </c>
      <c r="E377">
        <v>803</v>
      </c>
      <c r="F377">
        <v>30</v>
      </c>
      <c r="G377">
        <v>39</v>
      </c>
      <c r="H377">
        <v>54</v>
      </c>
      <c r="I377">
        <v>96</v>
      </c>
      <c r="J377">
        <v>0</v>
      </c>
      <c r="K377">
        <v>0</v>
      </c>
      <c r="L377">
        <v>65</v>
      </c>
      <c r="M377">
        <v>10</v>
      </c>
      <c r="N377">
        <v>79</v>
      </c>
      <c r="O377">
        <v>1</v>
      </c>
      <c r="P377">
        <v>9</v>
      </c>
      <c r="Q377">
        <v>4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3</v>
      </c>
      <c r="Z377">
        <v>2</v>
      </c>
      <c r="AA377">
        <v>2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1</v>
      </c>
      <c r="AH377">
        <v>0</v>
      </c>
    </row>
    <row r="378" spans="1:34" x14ac:dyDescent="0.3">
      <c r="A378" t="s">
        <v>126</v>
      </c>
      <c r="B378" t="s">
        <v>157</v>
      </c>
      <c r="C378" t="s">
        <v>38</v>
      </c>
      <c r="D378" s="1">
        <v>1519</v>
      </c>
      <c r="E378" s="1">
        <v>1251</v>
      </c>
      <c r="F378">
        <v>59</v>
      </c>
      <c r="G378">
        <v>46</v>
      </c>
      <c r="H378">
        <v>65</v>
      </c>
      <c r="I378">
        <v>27</v>
      </c>
      <c r="J378">
        <v>1</v>
      </c>
      <c r="K378">
        <v>4</v>
      </c>
      <c r="L378">
        <v>52</v>
      </c>
      <c r="M378">
        <v>3</v>
      </c>
      <c r="N378">
        <v>9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 x14ac:dyDescent="0.3">
      <c r="A379" t="s">
        <v>126</v>
      </c>
      <c r="B379" t="s">
        <v>158</v>
      </c>
      <c r="C379" t="s">
        <v>34</v>
      </c>
      <c r="D379" s="1">
        <v>2717</v>
      </c>
      <c r="E379" s="1">
        <v>2367</v>
      </c>
      <c r="F379">
        <v>133</v>
      </c>
      <c r="G379">
        <v>56</v>
      </c>
      <c r="H379">
        <v>21</v>
      </c>
      <c r="I379">
        <v>71</v>
      </c>
      <c r="J379">
        <v>0</v>
      </c>
      <c r="K379">
        <v>12</v>
      </c>
      <c r="L379">
        <v>10</v>
      </c>
      <c r="M379">
        <v>4</v>
      </c>
      <c r="N379">
        <v>18</v>
      </c>
      <c r="O379">
        <v>0</v>
      </c>
      <c r="P379">
        <v>9</v>
      </c>
      <c r="Q379">
        <v>0</v>
      </c>
      <c r="R379">
        <v>0</v>
      </c>
      <c r="S379">
        <v>2</v>
      </c>
      <c r="T379">
        <v>3</v>
      </c>
      <c r="U379">
        <v>4</v>
      </c>
      <c r="V379">
        <v>0</v>
      </c>
      <c r="W379">
        <v>1</v>
      </c>
      <c r="X379">
        <v>3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</row>
    <row r="380" spans="1:34" x14ac:dyDescent="0.3">
      <c r="A380" t="s">
        <v>126</v>
      </c>
      <c r="B380" t="s">
        <v>158</v>
      </c>
      <c r="C380" t="s">
        <v>37</v>
      </c>
      <c r="D380" s="1">
        <v>1316</v>
      </c>
      <c r="E380" s="1">
        <v>1082</v>
      </c>
      <c r="F380">
        <v>89</v>
      </c>
      <c r="G380">
        <v>25</v>
      </c>
      <c r="H380">
        <v>16</v>
      </c>
      <c r="I380">
        <v>58</v>
      </c>
      <c r="J380">
        <v>0</v>
      </c>
      <c r="K380">
        <v>8</v>
      </c>
      <c r="L380">
        <v>6</v>
      </c>
      <c r="M380">
        <v>4</v>
      </c>
      <c r="N380">
        <v>3</v>
      </c>
      <c r="O380">
        <v>0</v>
      </c>
      <c r="P380">
        <v>9</v>
      </c>
      <c r="Q380">
        <v>0</v>
      </c>
      <c r="R380">
        <v>0</v>
      </c>
      <c r="S380">
        <v>2</v>
      </c>
      <c r="T380">
        <v>3</v>
      </c>
      <c r="U380">
        <v>4</v>
      </c>
      <c r="V380">
        <v>0</v>
      </c>
      <c r="W380">
        <v>1</v>
      </c>
      <c r="X380">
        <v>3</v>
      </c>
      <c r="Y380">
        <v>1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</row>
    <row r="381" spans="1:34" x14ac:dyDescent="0.3">
      <c r="A381" t="s">
        <v>126</v>
      </c>
      <c r="B381" t="s">
        <v>158</v>
      </c>
      <c r="C381" t="s">
        <v>38</v>
      </c>
      <c r="D381" s="1">
        <v>1401</v>
      </c>
      <c r="E381" s="1">
        <v>1285</v>
      </c>
      <c r="F381">
        <v>44</v>
      </c>
      <c r="G381">
        <v>31</v>
      </c>
      <c r="H381">
        <v>5</v>
      </c>
      <c r="I381">
        <v>13</v>
      </c>
      <c r="J381">
        <v>0</v>
      </c>
      <c r="K381">
        <v>4</v>
      </c>
      <c r="L381">
        <v>4</v>
      </c>
      <c r="M381">
        <v>0</v>
      </c>
      <c r="N381">
        <v>15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3">
      <c r="A382" t="s">
        <v>126</v>
      </c>
      <c r="B382" t="s">
        <v>159</v>
      </c>
      <c r="C382" t="s">
        <v>34</v>
      </c>
      <c r="D382" s="1">
        <v>2300</v>
      </c>
      <c r="E382">
        <v>428</v>
      </c>
      <c r="F382">
        <v>97</v>
      </c>
      <c r="G382">
        <v>13</v>
      </c>
      <c r="H382">
        <v>1</v>
      </c>
      <c r="I382">
        <v>978</v>
      </c>
      <c r="J382">
        <v>0</v>
      </c>
      <c r="K382">
        <v>0</v>
      </c>
      <c r="L382">
        <v>268</v>
      </c>
      <c r="M382">
        <v>85</v>
      </c>
      <c r="N382">
        <v>142</v>
      </c>
      <c r="O382">
        <v>11</v>
      </c>
      <c r="P382">
        <v>45</v>
      </c>
      <c r="Q382">
        <v>2</v>
      </c>
      <c r="R382">
        <v>0</v>
      </c>
      <c r="S382">
        <v>59</v>
      </c>
      <c r="T382">
        <v>51</v>
      </c>
      <c r="U382">
        <v>1</v>
      </c>
      <c r="V382">
        <v>0</v>
      </c>
      <c r="W382">
        <v>53</v>
      </c>
      <c r="X382">
        <v>7</v>
      </c>
      <c r="Y382">
        <v>9</v>
      </c>
      <c r="Z382">
        <v>0</v>
      </c>
      <c r="AA382">
        <v>29</v>
      </c>
      <c r="AB382">
        <v>9</v>
      </c>
      <c r="AC382">
        <v>5</v>
      </c>
      <c r="AD382">
        <v>0</v>
      </c>
      <c r="AE382">
        <v>2</v>
      </c>
      <c r="AF382">
        <v>5</v>
      </c>
      <c r="AG382">
        <v>0</v>
      </c>
      <c r="AH382">
        <v>0</v>
      </c>
    </row>
    <row r="383" spans="1:34" x14ac:dyDescent="0.3">
      <c r="A383" t="s">
        <v>126</v>
      </c>
      <c r="B383" t="s">
        <v>159</v>
      </c>
      <c r="C383" t="s">
        <v>37</v>
      </c>
      <c r="D383" s="1">
        <v>2150</v>
      </c>
      <c r="E383">
        <v>306</v>
      </c>
      <c r="F383">
        <v>93</v>
      </c>
      <c r="G383">
        <v>6</v>
      </c>
      <c r="H383">
        <v>0</v>
      </c>
      <c r="I383">
        <v>971</v>
      </c>
      <c r="J383">
        <v>0</v>
      </c>
      <c r="K383">
        <v>0</v>
      </c>
      <c r="L383">
        <v>261</v>
      </c>
      <c r="M383">
        <v>83</v>
      </c>
      <c r="N383">
        <v>142</v>
      </c>
      <c r="O383">
        <v>11</v>
      </c>
      <c r="P383">
        <v>45</v>
      </c>
      <c r="Q383">
        <v>2</v>
      </c>
      <c r="R383">
        <v>0</v>
      </c>
      <c r="S383">
        <v>59</v>
      </c>
      <c r="T383">
        <v>51</v>
      </c>
      <c r="U383">
        <v>1</v>
      </c>
      <c r="V383">
        <v>0</v>
      </c>
      <c r="W383">
        <v>53</v>
      </c>
      <c r="X383">
        <v>7</v>
      </c>
      <c r="Y383">
        <v>9</v>
      </c>
      <c r="Z383">
        <v>0</v>
      </c>
      <c r="AA383">
        <v>29</v>
      </c>
      <c r="AB383">
        <v>9</v>
      </c>
      <c r="AC383">
        <v>5</v>
      </c>
      <c r="AD383">
        <v>0</v>
      </c>
      <c r="AE383">
        <v>2</v>
      </c>
      <c r="AF383">
        <v>5</v>
      </c>
      <c r="AG383">
        <v>0</v>
      </c>
      <c r="AH383">
        <v>0</v>
      </c>
    </row>
    <row r="384" spans="1:34" x14ac:dyDescent="0.3">
      <c r="A384" t="s">
        <v>126</v>
      </c>
      <c r="B384" t="s">
        <v>159</v>
      </c>
      <c r="C384" t="s">
        <v>38</v>
      </c>
      <c r="D384">
        <v>150</v>
      </c>
      <c r="E384">
        <v>122</v>
      </c>
      <c r="F384">
        <v>4</v>
      </c>
      <c r="G384">
        <v>7</v>
      </c>
      <c r="H384">
        <v>1</v>
      </c>
      <c r="I384">
        <v>7</v>
      </c>
      <c r="J384">
        <v>0</v>
      </c>
      <c r="K384">
        <v>0</v>
      </c>
      <c r="L384">
        <v>7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3">
      <c r="A385" t="s">
        <v>126</v>
      </c>
      <c r="B385" t="s">
        <v>160</v>
      </c>
      <c r="C385" t="s">
        <v>34</v>
      </c>
      <c r="D385" s="1">
        <v>2115</v>
      </c>
      <c r="E385" s="1">
        <v>1896</v>
      </c>
      <c r="F385">
        <v>50</v>
      </c>
      <c r="G385">
        <v>34</v>
      </c>
      <c r="H385">
        <v>16</v>
      </c>
      <c r="I385">
        <v>49</v>
      </c>
      <c r="J385">
        <v>2</v>
      </c>
      <c r="K385">
        <v>3</v>
      </c>
      <c r="L385">
        <v>3</v>
      </c>
      <c r="M385">
        <v>10</v>
      </c>
      <c r="N385">
        <v>2</v>
      </c>
      <c r="O385">
        <v>0</v>
      </c>
      <c r="P385">
        <v>4</v>
      </c>
      <c r="Q385">
        <v>8</v>
      </c>
      <c r="R385">
        <v>7</v>
      </c>
      <c r="S385">
        <v>3</v>
      </c>
      <c r="T385">
        <v>8</v>
      </c>
      <c r="U385">
        <v>2</v>
      </c>
      <c r="V385">
        <v>0</v>
      </c>
      <c r="W385">
        <v>7</v>
      </c>
      <c r="X385">
        <v>9</v>
      </c>
      <c r="Y385">
        <v>0</v>
      </c>
      <c r="Z385">
        <v>0</v>
      </c>
      <c r="AA385">
        <v>0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 x14ac:dyDescent="0.3">
      <c r="A386" t="s">
        <v>126</v>
      </c>
      <c r="B386" t="s">
        <v>160</v>
      </c>
      <c r="C386" t="s">
        <v>37</v>
      </c>
      <c r="D386" s="1">
        <v>1239</v>
      </c>
      <c r="E386" s="1">
        <v>1094</v>
      </c>
      <c r="F386">
        <v>24</v>
      </c>
      <c r="G386">
        <v>18</v>
      </c>
      <c r="H386">
        <v>7</v>
      </c>
      <c r="I386">
        <v>37</v>
      </c>
      <c r="J386">
        <v>0</v>
      </c>
      <c r="K386">
        <v>0</v>
      </c>
      <c r="L386">
        <v>1</v>
      </c>
      <c r="M386">
        <v>8</v>
      </c>
      <c r="N386">
        <v>0</v>
      </c>
      <c r="O386">
        <v>0</v>
      </c>
      <c r="P386">
        <v>4</v>
      </c>
      <c r="Q386">
        <v>8</v>
      </c>
      <c r="R386">
        <v>7</v>
      </c>
      <c r="S386">
        <v>3</v>
      </c>
      <c r="T386">
        <v>8</v>
      </c>
      <c r="U386">
        <v>2</v>
      </c>
      <c r="V386">
        <v>0</v>
      </c>
      <c r="W386">
        <v>7</v>
      </c>
      <c r="X386">
        <v>9</v>
      </c>
      <c r="Y386">
        <v>0</v>
      </c>
      <c r="Z386">
        <v>0</v>
      </c>
      <c r="AA386">
        <v>0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</row>
    <row r="387" spans="1:34" x14ac:dyDescent="0.3">
      <c r="A387" t="s">
        <v>126</v>
      </c>
      <c r="B387" t="s">
        <v>160</v>
      </c>
      <c r="C387" t="s">
        <v>38</v>
      </c>
      <c r="D387">
        <v>876</v>
      </c>
      <c r="E387">
        <v>802</v>
      </c>
      <c r="F387">
        <v>26</v>
      </c>
      <c r="G387">
        <v>16</v>
      </c>
      <c r="H387">
        <v>9</v>
      </c>
      <c r="I387">
        <v>12</v>
      </c>
      <c r="J387">
        <v>2</v>
      </c>
      <c r="K387">
        <v>3</v>
      </c>
      <c r="L387">
        <v>2</v>
      </c>
      <c r="M387">
        <v>2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3">
      <c r="A388" t="s">
        <v>126</v>
      </c>
      <c r="B388" t="s">
        <v>161</v>
      </c>
      <c r="C388" t="s">
        <v>34</v>
      </c>
      <c r="D388" s="1">
        <v>1963</v>
      </c>
      <c r="E388" s="1">
        <v>1685</v>
      </c>
      <c r="F388">
        <v>71</v>
      </c>
      <c r="G388">
        <v>69</v>
      </c>
      <c r="H388">
        <v>29</v>
      </c>
      <c r="I388">
        <v>73</v>
      </c>
      <c r="J388">
        <v>2</v>
      </c>
      <c r="K388">
        <v>3</v>
      </c>
      <c r="L388">
        <v>12</v>
      </c>
      <c r="M388">
        <v>6</v>
      </c>
      <c r="N388">
        <v>12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 x14ac:dyDescent="0.3">
      <c r="A389" t="s">
        <v>126</v>
      </c>
      <c r="B389" t="s">
        <v>161</v>
      </c>
      <c r="C389" t="s">
        <v>37</v>
      </c>
      <c r="D389" s="1">
        <v>1033</v>
      </c>
      <c r="E389">
        <v>885</v>
      </c>
      <c r="F389">
        <v>36</v>
      </c>
      <c r="G389">
        <v>41</v>
      </c>
      <c r="H389">
        <v>14</v>
      </c>
      <c r="I389">
        <v>37</v>
      </c>
      <c r="J389">
        <v>2</v>
      </c>
      <c r="K389">
        <v>3</v>
      </c>
      <c r="L389">
        <v>6</v>
      </c>
      <c r="M389">
        <v>3</v>
      </c>
      <c r="N389">
        <v>6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3">
      <c r="A390" t="s">
        <v>126</v>
      </c>
      <c r="B390" t="s">
        <v>161</v>
      </c>
      <c r="C390" t="s">
        <v>38</v>
      </c>
      <c r="D390">
        <v>930</v>
      </c>
      <c r="E390">
        <v>800</v>
      </c>
      <c r="F390">
        <v>35</v>
      </c>
      <c r="G390">
        <v>28</v>
      </c>
      <c r="H390">
        <v>15</v>
      </c>
      <c r="I390">
        <v>36</v>
      </c>
      <c r="J390">
        <v>0</v>
      </c>
      <c r="K390">
        <v>0</v>
      </c>
      <c r="L390">
        <v>6</v>
      </c>
      <c r="M390">
        <v>3</v>
      </c>
      <c r="N390">
        <v>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</row>
    <row r="391" spans="1:34" x14ac:dyDescent="0.3">
      <c r="A391" t="s">
        <v>126</v>
      </c>
      <c r="B391" t="s">
        <v>162</v>
      </c>
      <c r="C391" t="s">
        <v>34</v>
      </c>
      <c r="D391" s="1">
        <v>1850</v>
      </c>
      <c r="E391" s="1">
        <v>1058</v>
      </c>
      <c r="F391">
        <v>38</v>
      </c>
      <c r="G391">
        <v>14</v>
      </c>
      <c r="H391">
        <v>20</v>
      </c>
      <c r="I391">
        <v>269</v>
      </c>
      <c r="J391">
        <v>1</v>
      </c>
      <c r="K391">
        <v>1</v>
      </c>
      <c r="L391">
        <v>12</v>
      </c>
      <c r="M391">
        <v>16</v>
      </c>
      <c r="N391">
        <v>2</v>
      </c>
      <c r="O391">
        <v>12</v>
      </c>
      <c r="P391">
        <v>112</v>
      </c>
      <c r="Q391">
        <v>13</v>
      </c>
      <c r="R391">
        <v>3</v>
      </c>
      <c r="S391">
        <v>147</v>
      </c>
      <c r="T391">
        <v>29</v>
      </c>
      <c r="U391">
        <v>13</v>
      </c>
      <c r="V391">
        <v>0</v>
      </c>
      <c r="W391">
        <v>17</v>
      </c>
      <c r="X391">
        <v>5</v>
      </c>
      <c r="Y391">
        <v>53</v>
      </c>
      <c r="Z391">
        <v>1</v>
      </c>
      <c r="AA391">
        <v>1</v>
      </c>
      <c r="AB391">
        <v>3</v>
      </c>
      <c r="AC391">
        <v>10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3">
      <c r="A392" t="s">
        <v>126</v>
      </c>
      <c r="B392" t="s">
        <v>162</v>
      </c>
      <c r="C392" t="s">
        <v>37</v>
      </c>
      <c r="D392" s="1">
        <v>1271</v>
      </c>
      <c r="E392">
        <v>517</v>
      </c>
      <c r="F392">
        <v>29</v>
      </c>
      <c r="G392">
        <v>5</v>
      </c>
      <c r="H392">
        <v>7</v>
      </c>
      <c r="I392">
        <v>269</v>
      </c>
      <c r="J392">
        <v>0</v>
      </c>
      <c r="K392">
        <v>0</v>
      </c>
      <c r="L392">
        <v>7</v>
      </c>
      <c r="M392">
        <v>16</v>
      </c>
      <c r="N392">
        <v>2</v>
      </c>
      <c r="O392">
        <v>12</v>
      </c>
      <c r="P392">
        <v>112</v>
      </c>
      <c r="Q392">
        <v>13</v>
      </c>
      <c r="R392">
        <v>3</v>
      </c>
      <c r="S392">
        <v>147</v>
      </c>
      <c r="T392">
        <v>29</v>
      </c>
      <c r="U392">
        <v>13</v>
      </c>
      <c r="V392">
        <v>0</v>
      </c>
      <c r="W392">
        <v>17</v>
      </c>
      <c r="X392">
        <v>5</v>
      </c>
      <c r="Y392">
        <v>53</v>
      </c>
      <c r="Z392">
        <v>1</v>
      </c>
      <c r="AA392">
        <v>1</v>
      </c>
      <c r="AB392">
        <v>3</v>
      </c>
      <c r="AC392">
        <v>10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3">
      <c r="A393" t="s">
        <v>126</v>
      </c>
      <c r="B393" t="s">
        <v>162</v>
      </c>
      <c r="C393" t="s">
        <v>38</v>
      </c>
      <c r="D393">
        <v>579</v>
      </c>
      <c r="E393">
        <v>541</v>
      </c>
      <c r="F393">
        <v>9</v>
      </c>
      <c r="G393">
        <v>9</v>
      </c>
      <c r="H393">
        <v>13</v>
      </c>
      <c r="I393">
        <v>0</v>
      </c>
      <c r="J393">
        <v>1</v>
      </c>
      <c r="K393">
        <v>1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3">
      <c r="A394" t="s">
        <v>126</v>
      </c>
      <c r="B394" t="s">
        <v>163</v>
      </c>
      <c r="C394" t="s">
        <v>34</v>
      </c>
      <c r="D394" s="1">
        <v>1120</v>
      </c>
      <c r="E394">
        <v>734</v>
      </c>
      <c r="F394">
        <v>55</v>
      </c>
      <c r="G394">
        <v>45</v>
      </c>
      <c r="H394">
        <v>15</v>
      </c>
      <c r="I394">
        <v>147</v>
      </c>
      <c r="J394">
        <v>0</v>
      </c>
      <c r="K394">
        <v>0</v>
      </c>
      <c r="L394">
        <v>24</v>
      </c>
      <c r="M394">
        <v>9</v>
      </c>
      <c r="N394">
        <v>90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3">
      <c r="A395" t="s">
        <v>126</v>
      </c>
      <c r="B395" t="s">
        <v>163</v>
      </c>
      <c r="C395" t="s">
        <v>37</v>
      </c>
      <c r="D395">
        <v>577</v>
      </c>
      <c r="E395">
        <v>359</v>
      </c>
      <c r="F395">
        <v>30</v>
      </c>
      <c r="G395">
        <v>29</v>
      </c>
      <c r="H395">
        <v>10</v>
      </c>
      <c r="I395">
        <v>78</v>
      </c>
      <c r="J395">
        <v>0</v>
      </c>
      <c r="K395">
        <v>0</v>
      </c>
      <c r="L395">
        <v>14</v>
      </c>
      <c r="M395">
        <v>7</v>
      </c>
      <c r="N395">
        <v>49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 x14ac:dyDescent="0.3">
      <c r="A396" t="s">
        <v>126</v>
      </c>
      <c r="B396" t="s">
        <v>163</v>
      </c>
      <c r="C396" t="s">
        <v>38</v>
      </c>
      <c r="D396">
        <v>542</v>
      </c>
      <c r="E396">
        <v>374</v>
      </c>
      <c r="F396">
        <v>25</v>
      </c>
      <c r="G396">
        <v>16</v>
      </c>
      <c r="H396">
        <v>5</v>
      </c>
      <c r="I396">
        <v>69</v>
      </c>
      <c r="J396">
        <v>0</v>
      </c>
      <c r="K396">
        <v>0</v>
      </c>
      <c r="L396">
        <v>10</v>
      </c>
      <c r="M396">
        <v>2</v>
      </c>
      <c r="N396">
        <v>41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 x14ac:dyDescent="0.3">
      <c r="A397" t="s">
        <v>126</v>
      </c>
      <c r="B397" t="s">
        <v>163</v>
      </c>
      <c r="C397" t="s">
        <v>89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 x14ac:dyDescent="0.3">
      <c r="A398" t="s">
        <v>126</v>
      </c>
      <c r="B398" t="s">
        <v>164</v>
      </c>
      <c r="C398" t="s">
        <v>34</v>
      </c>
      <c r="D398" s="1">
        <v>1006</v>
      </c>
      <c r="E398">
        <v>923</v>
      </c>
      <c r="F398">
        <v>30</v>
      </c>
      <c r="G398">
        <v>25</v>
      </c>
      <c r="H398">
        <v>1</v>
      </c>
      <c r="I398">
        <v>13</v>
      </c>
      <c r="J398">
        <v>0</v>
      </c>
      <c r="K398">
        <v>1</v>
      </c>
      <c r="L398">
        <v>8</v>
      </c>
      <c r="M398">
        <v>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</row>
    <row r="399" spans="1:34" x14ac:dyDescent="0.3">
      <c r="A399" t="s">
        <v>126</v>
      </c>
      <c r="B399" t="s">
        <v>164</v>
      </c>
      <c r="C399" t="s">
        <v>37</v>
      </c>
      <c r="D399">
        <v>599</v>
      </c>
      <c r="E399">
        <v>552</v>
      </c>
      <c r="F399">
        <v>10</v>
      </c>
      <c r="G399">
        <v>12</v>
      </c>
      <c r="H399">
        <v>0</v>
      </c>
      <c r="I399">
        <v>12</v>
      </c>
      <c r="J399">
        <v>0</v>
      </c>
      <c r="K399">
        <v>0</v>
      </c>
      <c r="L399">
        <v>8</v>
      </c>
      <c r="M399">
        <v>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</row>
    <row r="400" spans="1:34" x14ac:dyDescent="0.3">
      <c r="A400" t="s">
        <v>126</v>
      </c>
      <c r="B400" t="s">
        <v>164</v>
      </c>
      <c r="C400" t="s">
        <v>38</v>
      </c>
      <c r="D400">
        <v>407</v>
      </c>
      <c r="E400">
        <v>371</v>
      </c>
      <c r="F400">
        <v>20</v>
      </c>
      <c r="G400">
        <v>13</v>
      </c>
      <c r="H400">
        <v>1</v>
      </c>
      <c r="I400">
        <v>1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 x14ac:dyDescent="0.3">
      <c r="A401" t="s">
        <v>126</v>
      </c>
      <c r="B401" t="s">
        <v>165</v>
      </c>
      <c r="C401" t="s">
        <v>34</v>
      </c>
      <c r="D401">
        <v>862</v>
      </c>
      <c r="E401">
        <v>733</v>
      </c>
      <c r="F401">
        <v>43</v>
      </c>
      <c r="G401">
        <v>38</v>
      </c>
      <c r="H401">
        <v>7</v>
      </c>
      <c r="I401">
        <v>11</v>
      </c>
      <c r="J401">
        <v>0</v>
      </c>
      <c r="K401">
        <v>1</v>
      </c>
      <c r="L401">
        <v>9</v>
      </c>
      <c r="M401">
        <v>16</v>
      </c>
      <c r="N401">
        <v>2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 x14ac:dyDescent="0.3">
      <c r="A402" t="s">
        <v>126</v>
      </c>
      <c r="B402" t="s">
        <v>165</v>
      </c>
      <c r="C402" t="s">
        <v>37</v>
      </c>
      <c r="D402">
        <v>446</v>
      </c>
      <c r="E402">
        <v>373</v>
      </c>
      <c r="F402">
        <v>22</v>
      </c>
      <c r="G402">
        <v>23</v>
      </c>
      <c r="H402">
        <v>5</v>
      </c>
      <c r="I402">
        <v>7</v>
      </c>
      <c r="J402">
        <v>0</v>
      </c>
      <c r="K402">
        <v>1</v>
      </c>
      <c r="L402">
        <v>3</v>
      </c>
      <c r="M402">
        <v>9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 x14ac:dyDescent="0.3">
      <c r="A403" t="s">
        <v>126</v>
      </c>
      <c r="B403" t="s">
        <v>165</v>
      </c>
      <c r="C403" t="s">
        <v>38</v>
      </c>
      <c r="D403">
        <v>415</v>
      </c>
      <c r="E403">
        <v>359</v>
      </c>
      <c r="F403">
        <v>21</v>
      </c>
      <c r="G403">
        <v>15</v>
      </c>
      <c r="H403">
        <v>2</v>
      </c>
      <c r="I403">
        <v>4</v>
      </c>
      <c r="J403">
        <v>0</v>
      </c>
      <c r="K403">
        <v>0</v>
      </c>
      <c r="L403">
        <v>6</v>
      </c>
      <c r="M403">
        <v>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</row>
    <row r="404" spans="1:34" x14ac:dyDescent="0.3">
      <c r="A404" t="s">
        <v>126</v>
      </c>
      <c r="B404" t="s">
        <v>165</v>
      </c>
      <c r="C404" t="s">
        <v>89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 x14ac:dyDescent="0.3">
      <c r="A405" t="s">
        <v>126</v>
      </c>
      <c r="B405" t="s">
        <v>166</v>
      </c>
      <c r="C405" t="s">
        <v>34</v>
      </c>
      <c r="D405">
        <v>686</v>
      </c>
      <c r="E405">
        <v>600</v>
      </c>
      <c r="F405">
        <v>28</v>
      </c>
      <c r="G405">
        <v>22</v>
      </c>
      <c r="H405">
        <v>6</v>
      </c>
      <c r="I405">
        <v>7</v>
      </c>
      <c r="J405">
        <v>0</v>
      </c>
      <c r="K405">
        <v>0</v>
      </c>
      <c r="L405">
        <v>19</v>
      </c>
      <c r="M405">
        <v>1</v>
      </c>
      <c r="N405">
        <v>2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 x14ac:dyDescent="0.3">
      <c r="A406" t="s">
        <v>126</v>
      </c>
      <c r="B406" t="s">
        <v>166</v>
      </c>
      <c r="C406" t="s">
        <v>37</v>
      </c>
      <c r="D406">
        <v>373</v>
      </c>
      <c r="E406">
        <v>320</v>
      </c>
      <c r="F406">
        <v>18</v>
      </c>
      <c r="G406">
        <v>15</v>
      </c>
      <c r="H406">
        <v>4</v>
      </c>
      <c r="I406">
        <v>5</v>
      </c>
      <c r="J406">
        <v>0</v>
      </c>
      <c r="K406">
        <v>0</v>
      </c>
      <c r="L406">
        <v>9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</row>
    <row r="407" spans="1:34" x14ac:dyDescent="0.3">
      <c r="A407" t="s">
        <v>126</v>
      </c>
      <c r="B407" t="s">
        <v>166</v>
      </c>
      <c r="C407" t="s">
        <v>38</v>
      </c>
      <c r="D407">
        <v>313</v>
      </c>
      <c r="E407">
        <v>280</v>
      </c>
      <c r="F407">
        <v>10</v>
      </c>
      <c r="G407">
        <v>7</v>
      </c>
      <c r="H407">
        <v>2</v>
      </c>
      <c r="I407">
        <v>2</v>
      </c>
      <c r="J407">
        <v>0</v>
      </c>
      <c r="K407">
        <v>0</v>
      </c>
      <c r="L407">
        <v>10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 x14ac:dyDescent="0.3">
      <c r="A408" t="s">
        <v>126</v>
      </c>
      <c r="B408" t="s">
        <v>167</v>
      </c>
      <c r="C408" t="s">
        <v>34</v>
      </c>
      <c r="D408">
        <v>531</v>
      </c>
      <c r="E408">
        <v>278</v>
      </c>
      <c r="F408">
        <v>15</v>
      </c>
      <c r="G408">
        <v>9</v>
      </c>
      <c r="H408">
        <v>2</v>
      </c>
      <c r="I408">
        <v>38</v>
      </c>
      <c r="J408">
        <v>1</v>
      </c>
      <c r="K408">
        <v>0</v>
      </c>
      <c r="L408">
        <v>42</v>
      </c>
      <c r="M408">
        <v>12</v>
      </c>
      <c r="N408">
        <v>125</v>
      </c>
      <c r="O408">
        <v>0</v>
      </c>
      <c r="P408">
        <v>4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3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 x14ac:dyDescent="0.3">
      <c r="A409" t="s">
        <v>126</v>
      </c>
      <c r="B409" t="s">
        <v>167</v>
      </c>
      <c r="C409" t="s">
        <v>37</v>
      </c>
      <c r="D409">
        <v>363</v>
      </c>
      <c r="E409">
        <v>129</v>
      </c>
      <c r="F409">
        <v>10</v>
      </c>
      <c r="G409">
        <v>5</v>
      </c>
      <c r="H409">
        <v>1</v>
      </c>
      <c r="I409">
        <v>36</v>
      </c>
      <c r="J409">
        <v>0</v>
      </c>
      <c r="K409">
        <v>0</v>
      </c>
      <c r="L409">
        <v>40</v>
      </c>
      <c r="M409">
        <v>10</v>
      </c>
      <c r="N409">
        <v>123</v>
      </c>
      <c r="O409">
        <v>0</v>
      </c>
      <c r="P409">
        <v>4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 x14ac:dyDescent="0.3">
      <c r="A410" t="s">
        <v>126</v>
      </c>
      <c r="B410" t="s">
        <v>167</v>
      </c>
      <c r="C410" t="s">
        <v>38</v>
      </c>
      <c r="D410">
        <v>168</v>
      </c>
      <c r="E410">
        <v>149</v>
      </c>
      <c r="F410">
        <v>5</v>
      </c>
      <c r="G410">
        <v>4</v>
      </c>
      <c r="H410">
        <v>1</v>
      </c>
      <c r="I410">
        <v>2</v>
      </c>
      <c r="J410">
        <v>1</v>
      </c>
      <c r="K410">
        <v>0</v>
      </c>
      <c r="L410">
        <v>2</v>
      </c>
      <c r="M410">
        <v>2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 x14ac:dyDescent="0.3">
      <c r="A411" t="s">
        <v>126</v>
      </c>
      <c r="B411" t="s">
        <v>168</v>
      </c>
      <c r="C411" t="s">
        <v>34</v>
      </c>
      <c r="D411">
        <v>451</v>
      </c>
      <c r="E411">
        <v>395</v>
      </c>
      <c r="F411">
        <v>9</v>
      </c>
      <c r="G411">
        <v>13</v>
      </c>
      <c r="H411">
        <v>5</v>
      </c>
      <c r="I411">
        <v>19</v>
      </c>
      <c r="J411">
        <v>0</v>
      </c>
      <c r="K411">
        <v>1</v>
      </c>
      <c r="L411">
        <v>8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 x14ac:dyDescent="0.3">
      <c r="A412" t="s">
        <v>126</v>
      </c>
      <c r="B412" t="s">
        <v>168</v>
      </c>
      <c r="C412" t="s">
        <v>37</v>
      </c>
      <c r="D412">
        <v>169</v>
      </c>
      <c r="E412">
        <v>155</v>
      </c>
      <c r="F412">
        <v>1</v>
      </c>
      <c r="G412">
        <v>2</v>
      </c>
      <c r="H412">
        <v>1</v>
      </c>
      <c r="I412">
        <v>5</v>
      </c>
      <c r="J412">
        <v>0</v>
      </c>
      <c r="K412">
        <v>0</v>
      </c>
      <c r="L412">
        <v>4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 x14ac:dyDescent="0.3">
      <c r="A413" t="s">
        <v>126</v>
      </c>
      <c r="B413" t="s">
        <v>168</v>
      </c>
      <c r="C413" t="s">
        <v>38</v>
      </c>
      <c r="D413">
        <v>282</v>
      </c>
      <c r="E413">
        <v>240</v>
      </c>
      <c r="F413">
        <v>8</v>
      </c>
      <c r="G413">
        <v>11</v>
      </c>
      <c r="H413">
        <v>4</v>
      </c>
      <c r="I413">
        <v>14</v>
      </c>
      <c r="J413">
        <v>0</v>
      </c>
      <c r="K413">
        <v>1</v>
      </c>
      <c r="L413">
        <v>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 x14ac:dyDescent="0.3">
      <c r="A414" t="s">
        <v>126</v>
      </c>
      <c r="B414" t="s">
        <v>169</v>
      </c>
      <c r="C414" t="s">
        <v>34</v>
      </c>
      <c r="D414">
        <v>260</v>
      </c>
      <c r="E414">
        <v>80</v>
      </c>
      <c r="F414">
        <v>1</v>
      </c>
      <c r="G414">
        <v>8</v>
      </c>
      <c r="H414">
        <v>0</v>
      </c>
      <c r="I414">
        <v>89</v>
      </c>
      <c r="J414">
        <v>0</v>
      </c>
      <c r="K414">
        <v>0</v>
      </c>
      <c r="L414">
        <v>31</v>
      </c>
      <c r="M414">
        <v>20</v>
      </c>
      <c r="N414">
        <v>26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</row>
    <row r="415" spans="1:34" x14ac:dyDescent="0.3">
      <c r="A415" t="s">
        <v>126</v>
      </c>
      <c r="B415" t="s">
        <v>169</v>
      </c>
      <c r="C415" t="s">
        <v>37</v>
      </c>
      <c r="D415">
        <v>260</v>
      </c>
      <c r="E415">
        <v>80</v>
      </c>
      <c r="F415">
        <v>1</v>
      </c>
      <c r="G415">
        <v>8</v>
      </c>
      <c r="H415">
        <v>0</v>
      </c>
      <c r="I415">
        <v>89</v>
      </c>
      <c r="J415">
        <v>0</v>
      </c>
      <c r="K415">
        <v>0</v>
      </c>
      <c r="L415">
        <v>31</v>
      </c>
      <c r="M415">
        <v>20</v>
      </c>
      <c r="N415">
        <v>26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</row>
    <row r="416" spans="1:34" x14ac:dyDescent="0.3">
      <c r="A416" t="s">
        <v>126</v>
      </c>
      <c r="B416" t="s">
        <v>170</v>
      </c>
      <c r="C416" t="s">
        <v>34</v>
      </c>
      <c r="D416">
        <v>207</v>
      </c>
      <c r="E416">
        <v>20</v>
      </c>
      <c r="F416">
        <v>6</v>
      </c>
      <c r="G416">
        <v>4</v>
      </c>
      <c r="H416">
        <v>0</v>
      </c>
      <c r="I416">
        <v>81</v>
      </c>
      <c r="J416">
        <v>0</v>
      </c>
      <c r="K416">
        <v>0</v>
      </c>
      <c r="L416">
        <v>7</v>
      </c>
      <c r="M416">
        <v>31</v>
      </c>
      <c r="N416">
        <v>55</v>
      </c>
      <c r="O416">
        <v>0</v>
      </c>
      <c r="P416">
        <v>0</v>
      </c>
      <c r="Q416">
        <v>0</v>
      </c>
      <c r="R416">
        <v>0</v>
      </c>
      <c r="S416">
        <v>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 x14ac:dyDescent="0.3">
      <c r="A417" t="s">
        <v>126</v>
      </c>
      <c r="B417" t="s">
        <v>170</v>
      </c>
      <c r="C417" t="s">
        <v>37</v>
      </c>
      <c r="D417">
        <v>207</v>
      </c>
      <c r="E417">
        <v>20</v>
      </c>
      <c r="F417">
        <v>6</v>
      </c>
      <c r="G417">
        <v>4</v>
      </c>
      <c r="H417">
        <v>0</v>
      </c>
      <c r="I417">
        <v>81</v>
      </c>
      <c r="J417">
        <v>0</v>
      </c>
      <c r="K417">
        <v>0</v>
      </c>
      <c r="L417">
        <v>7</v>
      </c>
      <c r="M417">
        <v>31</v>
      </c>
      <c r="N417">
        <v>55</v>
      </c>
      <c r="O417">
        <v>0</v>
      </c>
      <c r="P417">
        <v>0</v>
      </c>
      <c r="Q417">
        <v>0</v>
      </c>
      <c r="R417">
        <v>0</v>
      </c>
      <c r="S417">
        <v>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 x14ac:dyDescent="0.3">
      <c r="A418" t="s">
        <v>126</v>
      </c>
      <c r="B418" t="s">
        <v>171</v>
      </c>
      <c r="C418" t="s">
        <v>34</v>
      </c>
      <c r="D418">
        <v>161</v>
      </c>
      <c r="E418">
        <v>152</v>
      </c>
      <c r="F418">
        <v>6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 x14ac:dyDescent="0.3">
      <c r="A419" t="s">
        <v>126</v>
      </c>
      <c r="B419" t="s">
        <v>171</v>
      </c>
      <c r="C419" t="s">
        <v>37</v>
      </c>
      <c r="D419">
        <v>93</v>
      </c>
      <c r="E419">
        <v>88</v>
      </c>
      <c r="F419">
        <v>3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 x14ac:dyDescent="0.3">
      <c r="A420" t="s">
        <v>126</v>
      </c>
      <c r="B420" t="s">
        <v>171</v>
      </c>
      <c r="C420" t="s">
        <v>38</v>
      </c>
      <c r="D420">
        <v>68</v>
      </c>
      <c r="E420">
        <v>64</v>
      </c>
      <c r="F420">
        <v>3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3">
      <c r="A421" t="s">
        <v>126</v>
      </c>
      <c r="B421" t="s">
        <v>172</v>
      </c>
      <c r="C421" t="s">
        <v>34</v>
      </c>
      <c r="D421">
        <v>120</v>
      </c>
      <c r="E421">
        <v>93</v>
      </c>
      <c r="F421">
        <v>9</v>
      </c>
      <c r="G421">
        <v>3</v>
      </c>
      <c r="H421">
        <v>0</v>
      </c>
      <c r="I421">
        <v>14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3">
      <c r="A422" t="s">
        <v>126</v>
      </c>
      <c r="B422" t="s">
        <v>172</v>
      </c>
      <c r="C422" t="s">
        <v>37</v>
      </c>
      <c r="D422">
        <v>65</v>
      </c>
      <c r="E422">
        <v>51</v>
      </c>
      <c r="F422">
        <v>5</v>
      </c>
      <c r="G422">
        <v>0</v>
      </c>
      <c r="H422">
        <v>0</v>
      </c>
      <c r="I422">
        <v>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3">
      <c r="A423" t="s">
        <v>126</v>
      </c>
      <c r="B423" t="s">
        <v>172</v>
      </c>
      <c r="C423" t="s">
        <v>38</v>
      </c>
      <c r="D423">
        <v>55</v>
      </c>
      <c r="E423">
        <v>42</v>
      </c>
      <c r="F423">
        <v>4</v>
      </c>
      <c r="G423">
        <v>3</v>
      </c>
      <c r="H423">
        <v>0</v>
      </c>
      <c r="I423">
        <v>5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 x14ac:dyDescent="0.3">
      <c r="A424" t="s">
        <v>126</v>
      </c>
      <c r="B424" t="s">
        <v>173</v>
      </c>
      <c r="C424" t="s">
        <v>34</v>
      </c>
      <c r="D424">
        <v>107</v>
      </c>
      <c r="E424">
        <v>98</v>
      </c>
      <c r="F424">
        <v>1</v>
      </c>
      <c r="G424">
        <v>6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 x14ac:dyDescent="0.3">
      <c r="A425" t="s">
        <v>126</v>
      </c>
      <c r="B425" t="s">
        <v>173</v>
      </c>
      <c r="C425" t="s">
        <v>37</v>
      </c>
      <c r="D425">
        <v>66</v>
      </c>
      <c r="E425">
        <v>61</v>
      </c>
      <c r="F425">
        <v>1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 x14ac:dyDescent="0.3">
      <c r="A426" t="s">
        <v>126</v>
      </c>
      <c r="B426" t="s">
        <v>173</v>
      </c>
      <c r="C426" t="s">
        <v>38</v>
      </c>
      <c r="D426">
        <v>41</v>
      </c>
      <c r="E426">
        <v>37</v>
      </c>
      <c r="F426">
        <v>0</v>
      </c>
      <c r="G426">
        <v>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 x14ac:dyDescent="0.3">
      <c r="A427" t="s">
        <v>126</v>
      </c>
      <c r="B427" t="s">
        <v>174</v>
      </c>
      <c r="C427" t="s">
        <v>34</v>
      </c>
      <c r="D427">
        <v>76</v>
      </c>
      <c r="E427">
        <v>54</v>
      </c>
      <c r="F427">
        <v>19</v>
      </c>
      <c r="G427">
        <v>1</v>
      </c>
      <c r="H427">
        <v>0</v>
      </c>
      <c r="I427">
        <v>0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 x14ac:dyDescent="0.3">
      <c r="A428" t="s">
        <v>126</v>
      </c>
      <c r="B428" t="s">
        <v>174</v>
      </c>
      <c r="C428" t="s">
        <v>37</v>
      </c>
      <c r="D428">
        <v>76</v>
      </c>
      <c r="E428">
        <v>54</v>
      </c>
      <c r="F428">
        <v>19</v>
      </c>
      <c r="G428">
        <v>1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 x14ac:dyDescent="0.3">
      <c r="A429" t="s">
        <v>126</v>
      </c>
      <c r="B429" t="s">
        <v>175</v>
      </c>
      <c r="C429" t="s">
        <v>34</v>
      </c>
      <c r="D429">
        <v>66</v>
      </c>
      <c r="E429">
        <v>51</v>
      </c>
      <c r="F429">
        <v>3</v>
      </c>
      <c r="G429">
        <v>6</v>
      </c>
      <c r="H429">
        <v>0</v>
      </c>
      <c r="I429">
        <v>4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 x14ac:dyDescent="0.3">
      <c r="A430" t="s">
        <v>126</v>
      </c>
      <c r="B430" t="s">
        <v>175</v>
      </c>
      <c r="C430" t="s">
        <v>37</v>
      </c>
      <c r="D430">
        <v>34</v>
      </c>
      <c r="E430">
        <v>25</v>
      </c>
      <c r="F430">
        <v>2</v>
      </c>
      <c r="G430">
        <v>5</v>
      </c>
      <c r="H430">
        <v>0</v>
      </c>
      <c r="I430">
        <v>1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</row>
    <row r="431" spans="1:34" x14ac:dyDescent="0.3">
      <c r="A431" t="s">
        <v>126</v>
      </c>
      <c r="B431" t="s">
        <v>175</v>
      </c>
      <c r="C431" t="s">
        <v>38</v>
      </c>
      <c r="D431">
        <v>32</v>
      </c>
      <c r="E431">
        <v>26</v>
      </c>
      <c r="F431">
        <v>1</v>
      </c>
      <c r="G431">
        <v>1</v>
      </c>
      <c r="H431">
        <v>0</v>
      </c>
      <c r="I431">
        <v>3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 x14ac:dyDescent="0.3">
      <c r="A432" t="s">
        <v>126</v>
      </c>
      <c r="B432" t="s">
        <v>176</v>
      </c>
      <c r="C432" t="s">
        <v>34</v>
      </c>
      <c r="D432">
        <v>42</v>
      </c>
      <c r="E432">
        <v>37</v>
      </c>
      <c r="F432">
        <v>2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 x14ac:dyDescent="0.3">
      <c r="A433" t="s">
        <v>126</v>
      </c>
      <c r="B433" t="s">
        <v>176</v>
      </c>
      <c r="C433" t="s">
        <v>37</v>
      </c>
      <c r="D433">
        <v>24</v>
      </c>
      <c r="E433">
        <v>20</v>
      </c>
      <c r="F433">
        <v>1</v>
      </c>
      <c r="G433">
        <v>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 x14ac:dyDescent="0.3">
      <c r="A434" t="s">
        <v>126</v>
      </c>
      <c r="B434" t="s">
        <v>176</v>
      </c>
      <c r="C434" t="s">
        <v>38</v>
      </c>
      <c r="D434">
        <v>18</v>
      </c>
      <c r="E434">
        <v>17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 x14ac:dyDescent="0.3">
      <c r="A435" t="s">
        <v>126</v>
      </c>
      <c r="B435" t="s">
        <v>177</v>
      </c>
      <c r="C435" t="s">
        <v>34</v>
      </c>
      <c r="D435">
        <v>7</v>
      </c>
      <c r="E435">
        <v>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 x14ac:dyDescent="0.3">
      <c r="A436" t="s">
        <v>126</v>
      </c>
      <c r="B436" t="s">
        <v>177</v>
      </c>
      <c r="C436" t="s">
        <v>37</v>
      </c>
      <c r="D436">
        <v>7</v>
      </c>
      <c r="E436">
        <v>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</row>
    <row r="437" spans="1:34" x14ac:dyDescent="0.3">
      <c r="A437" t="s">
        <v>178</v>
      </c>
      <c r="B437" t="s">
        <v>252</v>
      </c>
      <c r="C437" t="s">
        <v>34</v>
      </c>
      <c r="D437" s="1">
        <v>318392</v>
      </c>
      <c r="E437" s="1">
        <v>255538</v>
      </c>
      <c r="F437" s="1">
        <v>15950</v>
      </c>
      <c r="G437" s="1">
        <v>10467</v>
      </c>
      <c r="H437" s="1">
        <v>3950</v>
      </c>
      <c r="I437" s="1">
        <v>18388</v>
      </c>
      <c r="J437">
        <v>355</v>
      </c>
      <c r="K437">
        <v>626</v>
      </c>
      <c r="L437" s="1">
        <v>4067</v>
      </c>
      <c r="M437" s="1">
        <v>2104</v>
      </c>
      <c r="N437" s="1">
        <v>5583</v>
      </c>
      <c r="O437">
        <v>7</v>
      </c>
      <c r="P437">
        <v>312</v>
      </c>
      <c r="Q437">
        <v>75</v>
      </c>
      <c r="R437">
        <v>0</v>
      </c>
      <c r="S437">
        <v>145</v>
      </c>
      <c r="T437">
        <v>3</v>
      </c>
      <c r="U437">
        <v>13</v>
      </c>
      <c r="V437">
        <v>94</v>
      </c>
      <c r="W437">
        <v>0</v>
      </c>
      <c r="X437">
        <v>13</v>
      </c>
      <c r="Y437">
        <v>3</v>
      </c>
      <c r="Z437">
        <v>692</v>
      </c>
      <c r="AA437">
        <v>2</v>
      </c>
      <c r="AB437">
        <v>0</v>
      </c>
      <c r="AC437">
        <v>0</v>
      </c>
      <c r="AD437">
        <v>1</v>
      </c>
      <c r="AE437">
        <v>3</v>
      </c>
      <c r="AF437">
        <v>0</v>
      </c>
      <c r="AG437">
        <v>1</v>
      </c>
      <c r="AH437">
        <v>0</v>
      </c>
    </row>
    <row r="438" spans="1:34" x14ac:dyDescent="0.3">
      <c r="A438" t="s">
        <v>178</v>
      </c>
      <c r="B438" t="s">
        <v>252</v>
      </c>
      <c r="C438" t="s">
        <v>37</v>
      </c>
      <c r="D438" s="1">
        <f>D442+D446+D450+D453+D456+D459+D462+D465+D468+D471+D474+D477+D480+D483+D486</f>
        <v>161151</v>
      </c>
      <c r="E438" s="1">
        <f t="shared" ref="E438:AH438" si="13">E442+E446+E450+E453+E456+E459+E462+E465+E468+E471+E474+E477+E480+E483+E486</f>
        <v>128573</v>
      </c>
      <c r="F438" s="1">
        <f t="shared" si="13"/>
        <v>9094</v>
      </c>
      <c r="G438" s="1">
        <f t="shared" si="13"/>
        <v>5742</v>
      </c>
      <c r="H438" s="1">
        <f t="shared" si="13"/>
        <v>1992</v>
      </c>
      <c r="I438" s="1">
        <f t="shared" si="13"/>
        <v>8701</v>
      </c>
      <c r="J438" s="1">
        <f t="shared" si="13"/>
        <v>212</v>
      </c>
      <c r="K438" s="1">
        <f t="shared" si="13"/>
        <v>432</v>
      </c>
      <c r="L438" s="1">
        <f t="shared" si="13"/>
        <v>2001</v>
      </c>
      <c r="M438" s="1">
        <f t="shared" si="13"/>
        <v>1006</v>
      </c>
      <c r="N438" s="1">
        <f t="shared" si="13"/>
        <v>2680</v>
      </c>
      <c r="O438" s="1">
        <f t="shared" si="13"/>
        <v>3</v>
      </c>
      <c r="P438" s="1">
        <f t="shared" si="13"/>
        <v>142</v>
      </c>
      <c r="Q438" s="1">
        <f t="shared" si="13"/>
        <v>74</v>
      </c>
      <c r="R438" s="1">
        <f t="shared" si="13"/>
        <v>0</v>
      </c>
      <c r="S438" s="1">
        <f t="shared" si="13"/>
        <v>67</v>
      </c>
      <c r="T438" s="1">
        <f t="shared" si="13"/>
        <v>3</v>
      </c>
      <c r="U438" s="1">
        <f t="shared" si="13"/>
        <v>8</v>
      </c>
      <c r="V438" s="1">
        <f t="shared" si="13"/>
        <v>86</v>
      </c>
      <c r="W438" s="1">
        <f t="shared" si="13"/>
        <v>0</v>
      </c>
      <c r="X438" s="1">
        <f t="shared" si="13"/>
        <v>13</v>
      </c>
      <c r="Y438" s="1">
        <f t="shared" si="13"/>
        <v>1</v>
      </c>
      <c r="Z438" s="1">
        <f t="shared" si="13"/>
        <v>314</v>
      </c>
      <c r="AA438" s="1">
        <f t="shared" si="13"/>
        <v>2</v>
      </c>
      <c r="AB438" s="1">
        <f t="shared" si="13"/>
        <v>0</v>
      </c>
      <c r="AC438" s="1">
        <f t="shared" si="13"/>
        <v>0</v>
      </c>
      <c r="AD438" s="1">
        <f t="shared" si="13"/>
        <v>1</v>
      </c>
      <c r="AE438" s="1">
        <f t="shared" si="13"/>
        <v>3</v>
      </c>
      <c r="AF438" s="1">
        <f t="shared" si="13"/>
        <v>0</v>
      </c>
      <c r="AG438" s="1">
        <f t="shared" si="13"/>
        <v>1</v>
      </c>
      <c r="AH438" s="1">
        <f t="shared" si="13"/>
        <v>0</v>
      </c>
    </row>
    <row r="439" spans="1:34" x14ac:dyDescent="0.3">
      <c r="A439" t="s">
        <v>178</v>
      </c>
      <c r="B439" t="s">
        <v>252</v>
      </c>
      <c r="C439" t="s">
        <v>38</v>
      </c>
      <c r="D439" s="1">
        <f>D443+D447+D451+D454+D457+D460+D463+D466+D469+D472+D475+D478+D481+D484</f>
        <v>157223</v>
      </c>
      <c r="E439" s="1">
        <f t="shared" ref="E439:AH439" si="14">E443+E447+E451+E454+E457+E460+E463+E466+E469+E472+E475+E478+E481+E484</f>
        <v>126949</v>
      </c>
      <c r="F439" s="1">
        <f t="shared" si="14"/>
        <v>6855</v>
      </c>
      <c r="G439" s="1">
        <f t="shared" si="14"/>
        <v>4724</v>
      </c>
      <c r="H439" s="1">
        <f t="shared" si="14"/>
        <v>1958</v>
      </c>
      <c r="I439" s="1">
        <f t="shared" si="14"/>
        <v>9687</v>
      </c>
      <c r="J439" s="1">
        <f t="shared" si="14"/>
        <v>143</v>
      </c>
      <c r="K439" s="1">
        <f t="shared" si="14"/>
        <v>194</v>
      </c>
      <c r="L439" s="1">
        <f t="shared" si="14"/>
        <v>2066</v>
      </c>
      <c r="M439" s="1">
        <f t="shared" si="14"/>
        <v>1098</v>
      </c>
      <c r="N439" s="1">
        <f t="shared" si="14"/>
        <v>2903</v>
      </c>
      <c r="O439" s="1">
        <f t="shared" si="14"/>
        <v>4</v>
      </c>
      <c r="P439" s="1">
        <f t="shared" si="14"/>
        <v>170</v>
      </c>
      <c r="Q439" s="1">
        <f t="shared" si="14"/>
        <v>1</v>
      </c>
      <c r="R439" s="1">
        <f t="shared" si="14"/>
        <v>0</v>
      </c>
      <c r="S439" s="1">
        <f t="shared" si="14"/>
        <v>78</v>
      </c>
      <c r="T439" s="1">
        <f t="shared" si="14"/>
        <v>0</v>
      </c>
      <c r="U439" s="1">
        <f t="shared" si="14"/>
        <v>5</v>
      </c>
      <c r="V439" s="1">
        <f t="shared" si="14"/>
        <v>8</v>
      </c>
      <c r="W439" s="1">
        <f t="shared" si="14"/>
        <v>0</v>
      </c>
      <c r="X439" s="1">
        <f t="shared" si="14"/>
        <v>0</v>
      </c>
      <c r="Y439" s="1">
        <f t="shared" si="14"/>
        <v>2</v>
      </c>
      <c r="Z439" s="1">
        <f t="shared" si="14"/>
        <v>378</v>
      </c>
      <c r="AA439" s="1">
        <f t="shared" si="14"/>
        <v>0</v>
      </c>
      <c r="AB439" s="1">
        <f t="shared" si="14"/>
        <v>0</v>
      </c>
      <c r="AC439" s="1">
        <f t="shared" si="14"/>
        <v>0</v>
      </c>
      <c r="AD439" s="1">
        <f t="shared" si="14"/>
        <v>0</v>
      </c>
      <c r="AE439" s="1">
        <f t="shared" si="14"/>
        <v>0</v>
      </c>
      <c r="AF439" s="1">
        <f t="shared" si="14"/>
        <v>0</v>
      </c>
      <c r="AG439" s="1">
        <f t="shared" si="14"/>
        <v>0</v>
      </c>
      <c r="AH439" s="1">
        <f t="shared" si="14"/>
        <v>0</v>
      </c>
    </row>
    <row r="440" spans="1:34" x14ac:dyDescent="0.3">
      <c r="A440" t="s">
        <v>178</v>
      </c>
      <c r="B440" t="s">
        <v>252</v>
      </c>
      <c r="C440" t="s">
        <v>89</v>
      </c>
      <c r="D440" s="1">
        <f>D444+D448</f>
        <v>18</v>
      </c>
      <c r="E440" s="1">
        <f t="shared" ref="E440:AH440" si="15">E444+E448</f>
        <v>16</v>
      </c>
      <c r="F440" s="1">
        <f t="shared" si="15"/>
        <v>1</v>
      </c>
      <c r="G440" s="1">
        <f t="shared" si="15"/>
        <v>1</v>
      </c>
      <c r="H440" s="1">
        <f t="shared" si="15"/>
        <v>0</v>
      </c>
      <c r="I440" s="1">
        <f t="shared" si="15"/>
        <v>0</v>
      </c>
      <c r="J440" s="1">
        <f t="shared" si="15"/>
        <v>0</v>
      </c>
      <c r="K440" s="1">
        <f t="shared" si="15"/>
        <v>0</v>
      </c>
      <c r="L440" s="1">
        <f t="shared" si="15"/>
        <v>0</v>
      </c>
      <c r="M440" s="1">
        <f t="shared" si="15"/>
        <v>0</v>
      </c>
      <c r="N440" s="1">
        <f t="shared" si="15"/>
        <v>0</v>
      </c>
      <c r="O440" s="1">
        <f t="shared" si="15"/>
        <v>0</v>
      </c>
      <c r="P440" s="1">
        <f t="shared" si="15"/>
        <v>0</v>
      </c>
      <c r="Q440" s="1">
        <f t="shared" si="15"/>
        <v>0</v>
      </c>
      <c r="R440" s="1">
        <f t="shared" si="15"/>
        <v>0</v>
      </c>
      <c r="S440" s="1">
        <f t="shared" si="15"/>
        <v>0</v>
      </c>
      <c r="T440" s="1">
        <f t="shared" si="15"/>
        <v>0</v>
      </c>
      <c r="U440" s="1">
        <f t="shared" si="15"/>
        <v>0</v>
      </c>
      <c r="V440" s="1">
        <f t="shared" si="15"/>
        <v>0</v>
      </c>
      <c r="W440" s="1">
        <f t="shared" si="15"/>
        <v>0</v>
      </c>
      <c r="X440" s="1">
        <f t="shared" si="15"/>
        <v>0</v>
      </c>
      <c r="Y440" s="1">
        <f t="shared" si="15"/>
        <v>0</v>
      </c>
      <c r="Z440" s="1">
        <f t="shared" si="15"/>
        <v>0</v>
      </c>
      <c r="AA440" s="1">
        <f t="shared" si="15"/>
        <v>0</v>
      </c>
      <c r="AB440" s="1">
        <f t="shared" si="15"/>
        <v>0</v>
      </c>
      <c r="AC440" s="1">
        <f t="shared" si="15"/>
        <v>0</v>
      </c>
      <c r="AD440" s="1">
        <f t="shared" si="15"/>
        <v>0</v>
      </c>
      <c r="AE440" s="1">
        <f t="shared" si="15"/>
        <v>0</v>
      </c>
      <c r="AF440" s="1">
        <f t="shared" si="15"/>
        <v>0</v>
      </c>
      <c r="AG440" s="1">
        <f t="shared" si="15"/>
        <v>0</v>
      </c>
      <c r="AH440" s="1">
        <f t="shared" si="15"/>
        <v>0</v>
      </c>
    </row>
    <row r="441" spans="1:34" x14ac:dyDescent="0.3">
      <c r="A441" t="s">
        <v>178</v>
      </c>
      <c r="B441" t="s">
        <v>179</v>
      </c>
      <c r="C441" t="s">
        <v>34</v>
      </c>
      <c r="D441" s="1">
        <v>269051</v>
      </c>
      <c r="E441" s="1">
        <v>215985</v>
      </c>
      <c r="F441" s="1">
        <v>12967</v>
      </c>
      <c r="G441" s="1">
        <v>8928</v>
      </c>
      <c r="H441" s="1">
        <v>3314</v>
      </c>
      <c r="I441" s="1">
        <v>15958</v>
      </c>
      <c r="J441">
        <v>271</v>
      </c>
      <c r="K441">
        <v>465</v>
      </c>
      <c r="L441" s="1">
        <v>3352</v>
      </c>
      <c r="M441" s="1">
        <v>1795</v>
      </c>
      <c r="N441" s="1">
        <v>4998</v>
      </c>
      <c r="O441">
        <v>5</v>
      </c>
      <c r="P441">
        <v>213</v>
      </c>
      <c r="Q441" s="1">
        <v>0</v>
      </c>
      <c r="R441" s="1">
        <v>0</v>
      </c>
      <c r="S441">
        <v>118</v>
      </c>
      <c r="T441">
        <v>2</v>
      </c>
      <c r="U441">
        <v>12</v>
      </c>
      <c r="V441">
        <v>54</v>
      </c>
      <c r="W441">
        <v>0</v>
      </c>
      <c r="X441">
        <v>1</v>
      </c>
      <c r="Y441">
        <v>1</v>
      </c>
      <c r="Z441">
        <v>609</v>
      </c>
      <c r="AA441">
        <v>1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1</v>
      </c>
      <c r="AH441">
        <v>0</v>
      </c>
    </row>
    <row r="442" spans="1:34" x14ac:dyDescent="0.3">
      <c r="A442" t="s">
        <v>178</v>
      </c>
      <c r="B442" t="s">
        <v>179</v>
      </c>
      <c r="C442" t="s">
        <v>37</v>
      </c>
      <c r="D442" s="1">
        <v>134248</v>
      </c>
      <c r="E442" s="1">
        <v>107412</v>
      </c>
      <c r="F442" s="1">
        <v>7190</v>
      </c>
      <c r="G442" s="1">
        <v>4840</v>
      </c>
      <c r="H442" s="1">
        <v>1653</v>
      </c>
      <c r="I442" s="1">
        <v>7382</v>
      </c>
      <c r="J442">
        <v>153</v>
      </c>
      <c r="K442">
        <v>312</v>
      </c>
      <c r="L442" s="1">
        <v>1590</v>
      </c>
      <c r="M442">
        <v>854</v>
      </c>
      <c r="N442" s="1">
        <v>2374</v>
      </c>
      <c r="O442">
        <v>1</v>
      </c>
      <c r="P442">
        <v>90</v>
      </c>
      <c r="Q442">
        <v>0</v>
      </c>
      <c r="R442">
        <v>0</v>
      </c>
      <c r="S442">
        <v>55</v>
      </c>
      <c r="T442">
        <v>2</v>
      </c>
      <c r="U442">
        <v>7</v>
      </c>
      <c r="V442">
        <v>53</v>
      </c>
      <c r="W442">
        <v>0</v>
      </c>
      <c r="X442">
        <v>1</v>
      </c>
      <c r="Y442">
        <v>0</v>
      </c>
      <c r="Z442">
        <v>276</v>
      </c>
      <c r="AA442">
        <v>1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1</v>
      </c>
      <c r="AH442">
        <v>0</v>
      </c>
    </row>
    <row r="443" spans="1:34" x14ac:dyDescent="0.3">
      <c r="A443" t="s">
        <v>178</v>
      </c>
      <c r="B443" t="s">
        <v>179</v>
      </c>
      <c r="C443" t="s">
        <v>38</v>
      </c>
      <c r="D443" s="1">
        <v>134789</v>
      </c>
      <c r="E443" s="1">
        <v>108561</v>
      </c>
      <c r="F443" s="1">
        <v>5776</v>
      </c>
      <c r="G443" s="1">
        <v>4087</v>
      </c>
      <c r="H443" s="1">
        <v>1661</v>
      </c>
      <c r="I443" s="1">
        <v>8576</v>
      </c>
      <c r="J443">
        <v>118</v>
      </c>
      <c r="K443">
        <v>153</v>
      </c>
      <c r="L443" s="1">
        <v>1762</v>
      </c>
      <c r="M443">
        <v>941</v>
      </c>
      <c r="N443" s="1">
        <v>2624</v>
      </c>
      <c r="O443">
        <v>4</v>
      </c>
      <c r="P443">
        <v>123</v>
      </c>
      <c r="Q443">
        <v>0</v>
      </c>
      <c r="R443">
        <v>0</v>
      </c>
      <c r="S443">
        <v>63</v>
      </c>
      <c r="T443">
        <v>0</v>
      </c>
      <c r="U443">
        <v>5</v>
      </c>
      <c r="V443">
        <v>1</v>
      </c>
      <c r="W443">
        <v>0</v>
      </c>
      <c r="X443">
        <v>0</v>
      </c>
      <c r="Y443">
        <v>1</v>
      </c>
      <c r="Z443">
        <v>333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 x14ac:dyDescent="0.3">
      <c r="A444" t="s">
        <v>178</v>
      </c>
      <c r="B444" t="s">
        <v>179</v>
      </c>
      <c r="C444" t="s">
        <v>89</v>
      </c>
      <c r="D444">
        <v>14</v>
      </c>
      <c r="E444">
        <v>12</v>
      </c>
      <c r="F444">
        <v>1</v>
      </c>
      <c r="G444">
        <v>1</v>
      </c>
      <c r="H444" s="1">
        <v>0</v>
      </c>
      <c r="I444" s="1">
        <v>0</v>
      </c>
      <c r="J444">
        <v>0</v>
      </c>
      <c r="K444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</row>
    <row r="445" spans="1:34" x14ac:dyDescent="0.3">
      <c r="A445" t="s">
        <v>178</v>
      </c>
      <c r="B445" t="s">
        <v>180</v>
      </c>
      <c r="C445" t="s">
        <v>34</v>
      </c>
      <c r="D445" s="1">
        <v>45880</v>
      </c>
      <c r="E445" s="1">
        <v>37119</v>
      </c>
      <c r="F445" s="1">
        <v>2676</v>
      </c>
      <c r="G445" s="1">
        <v>1498</v>
      </c>
      <c r="H445">
        <v>534</v>
      </c>
      <c r="I445" s="1">
        <v>2095</v>
      </c>
      <c r="J445">
        <v>80</v>
      </c>
      <c r="K445">
        <v>158</v>
      </c>
      <c r="L445">
        <v>582</v>
      </c>
      <c r="M445">
        <v>306</v>
      </c>
      <c r="N445">
        <v>581</v>
      </c>
      <c r="O445">
        <v>2</v>
      </c>
      <c r="P445">
        <v>97</v>
      </c>
      <c r="Q445" s="1">
        <v>0</v>
      </c>
      <c r="R445" s="1">
        <v>0</v>
      </c>
      <c r="S445">
        <v>27</v>
      </c>
      <c r="T445">
        <v>0</v>
      </c>
      <c r="U445">
        <v>1</v>
      </c>
      <c r="V445">
        <v>36</v>
      </c>
      <c r="W445">
        <v>0</v>
      </c>
      <c r="X445">
        <v>1</v>
      </c>
      <c r="Y445">
        <v>2</v>
      </c>
      <c r="Z445">
        <v>83</v>
      </c>
      <c r="AA445">
        <v>1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</row>
    <row r="446" spans="1:34" x14ac:dyDescent="0.3">
      <c r="A446" t="s">
        <v>178</v>
      </c>
      <c r="B446" t="s">
        <v>180</v>
      </c>
      <c r="C446" t="s">
        <v>37</v>
      </c>
      <c r="D446" s="1">
        <v>24707</v>
      </c>
      <c r="E446" s="1">
        <v>19821</v>
      </c>
      <c r="F446" s="1">
        <v>1710</v>
      </c>
      <c r="G446">
        <v>877</v>
      </c>
      <c r="H446">
        <v>270</v>
      </c>
      <c r="I446">
        <v>987</v>
      </c>
      <c r="J446">
        <v>55</v>
      </c>
      <c r="K446">
        <v>119</v>
      </c>
      <c r="L446">
        <v>278</v>
      </c>
      <c r="M446">
        <v>149</v>
      </c>
      <c r="N446">
        <v>304</v>
      </c>
      <c r="O446">
        <v>2</v>
      </c>
      <c r="P446">
        <v>50</v>
      </c>
      <c r="Q446" s="1">
        <v>0</v>
      </c>
      <c r="R446" s="1">
        <v>0</v>
      </c>
      <c r="S446">
        <v>12</v>
      </c>
      <c r="T446">
        <v>0</v>
      </c>
      <c r="U446">
        <v>1</v>
      </c>
      <c r="V446">
        <v>30</v>
      </c>
      <c r="W446">
        <v>0</v>
      </c>
      <c r="X446">
        <v>1</v>
      </c>
      <c r="Y446">
        <v>1</v>
      </c>
      <c r="Z446">
        <v>38</v>
      </c>
      <c r="AA446">
        <v>1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</row>
    <row r="447" spans="1:34" x14ac:dyDescent="0.3">
      <c r="A447" t="s">
        <v>178</v>
      </c>
      <c r="B447" t="s">
        <v>180</v>
      </c>
      <c r="C447" t="s">
        <v>38</v>
      </c>
      <c r="D447" s="1">
        <v>21169</v>
      </c>
      <c r="E447" s="1">
        <v>17294</v>
      </c>
      <c r="F447">
        <v>966</v>
      </c>
      <c r="G447">
        <v>621</v>
      </c>
      <c r="H447">
        <v>264</v>
      </c>
      <c r="I447" s="1">
        <v>1108</v>
      </c>
      <c r="J447">
        <v>25</v>
      </c>
      <c r="K447">
        <v>39</v>
      </c>
      <c r="L447">
        <v>304</v>
      </c>
      <c r="M447">
        <v>157</v>
      </c>
      <c r="N447">
        <v>277</v>
      </c>
      <c r="O447">
        <v>0</v>
      </c>
      <c r="P447">
        <v>47</v>
      </c>
      <c r="Q447" s="1">
        <v>0</v>
      </c>
      <c r="R447" s="1">
        <v>0</v>
      </c>
      <c r="S447">
        <v>15</v>
      </c>
      <c r="T447">
        <v>0</v>
      </c>
      <c r="U447">
        <v>0</v>
      </c>
      <c r="V447">
        <v>6</v>
      </c>
      <c r="W447">
        <v>0</v>
      </c>
      <c r="X447">
        <v>0</v>
      </c>
      <c r="Y447">
        <v>1</v>
      </c>
      <c r="Z447">
        <v>45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 x14ac:dyDescent="0.3">
      <c r="A448" t="s">
        <v>178</v>
      </c>
      <c r="B448" t="s">
        <v>180</v>
      </c>
      <c r="C448" t="s">
        <v>89</v>
      </c>
      <c r="D448">
        <v>4</v>
      </c>
      <c r="E448">
        <v>4</v>
      </c>
      <c r="F448" s="1">
        <v>0</v>
      </c>
      <c r="G448">
        <v>0</v>
      </c>
      <c r="H448">
        <v>0</v>
      </c>
      <c r="I448" s="1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s="1">
        <v>0</v>
      </c>
      <c r="R448" s="1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3">
      <c r="A449" t="s">
        <v>178</v>
      </c>
      <c r="B449" t="s">
        <v>181</v>
      </c>
      <c r="C449" t="s">
        <v>34</v>
      </c>
      <c r="D449">
        <v>909</v>
      </c>
      <c r="E449">
        <v>737</v>
      </c>
      <c r="F449">
        <v>56</v>
      </c>
      <c r="G449">
        <v>9</v>
      </c>
      <c r="H449">
        <v>18</v>
      </c>
      <c r="I449">
        <v>86</v>
      </c>
      <c r="J449">
        <v>0</v>
      </c>
      <c r="K449">
        <v>1</v>
      </c>
      <c r="L449">
        <v>0</v>
      </c>
      <c r="M449">
        <v>1</v>
      </c>
      <c r="N449">
        <v>0</v>
      </c>
      <c r="O449">
        <v>0</v>
      </c>
      <c r="P449">
        <v>1</v>
      </c>
      <c r="Q449" s="1">
        <v>0</v>
      </c>
      <c r="R449" s="1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 x14ac:dyDescent="0.3">
      <c r="A450" t="s">
        <v>178</v>
      </c>
      <c r="B450" t="s">
        <v>181</v>
      </c>
      <c r="C450" t="s">
        <v>37</v>
      </c>
      <c r="D450">
        <v>545</v>
      </c>
      <c r="E450">
        <v>408</v>
      </c>
      <c r="F450">
        <v>35</v>
      </c>
      <c r="G450">
        <v>8</v>
      </c>
      <c r="H450">
        <v>8</v>
      </c>
      <c r="I450">
        <v>84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 s="1">
        <v>0</v>
      </c>
      <c r="R450" s="1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3">
      <c r="A451" t="s">
        <v>178</v>
      </c>
      <c r="B451" t="s">
        <v>181</v>
      </c>
      <c r="C451" t="s">
        <v>38</v>
      </c>
      <c r="D451">
        <v>364</v>
      </c>
      <c r="E451">
        <v>329</v>
      </c>
      <c r="F451">
        <v>21</v>
      </c>
      <c r="G451">
        <v>1</v>
      </c>
      <c r="H451">
        <v>10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 s="1">
        <v>0</v>
      </c>
      <c r="R451" s="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3">
      <c r="A452" t="s">
        <v>178</v>
      </c>
      <c r="B452" t="s">
        <v>182</v>
      </c>
      <c r="C452" t="s">
        <v>34</v>
      </c>
      <c r="D452">
        <v>577</v>
      </c>
      <c r="E452">
        <v>338</v>
      </c>
      <c r="F452">
        <v>77</v>
      </c>
      <c r="G452">
        <v>3</v>
      </c>
      <c r="H452">
        <v>19</v>
      </c>
      <c r="I452">
        <v>136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 s="1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</row>
    <row r="453" spans="1:34" x14ac:dyDescent="0.3">
      <c r="A453" t="s">
        <v>178</v>
      </c>
      <c r="B453" t="s">
        <v>182</v>
      </c>
      <c r="C453" t="s">
        <v>37</v>
      </c>
      <c r="D453">
        <v>418</v>
      </c>
      <c r="E453">
        <v>217</v>
      </c>
      <c r="F453">
        <v>51</v>
      </c>
      <c r="G453">
        <v>2</v>
      </c>
      <c r="H453">
        <v>8</v>
      </c>
      <c r="I453">
        <v>136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 s="1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</row>
    <row r="454" spans="1:34" x14ac:dyDescent="0.3">
      <c r="A454" t="s">
        <v>178</v>
      </c>
      <c r="B454" t="s">
        <v>182</v>
      </c>
      <c r="C454" t="s">
        <v>38</v>
      </c>
      <c r="D454">
        <v>159</v>
      </c>
      <c r="E454">
        <v>121</v>
      </c>
      <c r="F454">
        <v>26</v>
      </c>
      <c r="G454">
        <v>1</v>
      </c>
      <c r="H454">
        <v>11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s="1">
        <v>0</v>
      </c>
      <c r="R454" s="1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3">
      <c r="A455" t="s">
        <v>178</v>
      </c>
      <c r="B455" t="s">
        <v>183</v>
      </c>
      <c r="C455" t="s">
        <v>34</v>
      </c>
      <c r="D455">
        <v>393</v>
      </c>
      <c r="E455">
        <v>360</v>
      </c>
      <c r="F455">
        <v>30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 s="1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 x14ac:dyDescent="0.3">
      <c r="A456" t="s">
        <v>178</v>
      </c>
      <c r="B456" t="s">
        <v>183</v>
      </c>
      <c r="C456" t="s">
        <v>37</v>
      </c>
      <c r="D456">
        <v>179</v>
      </c>
      <c r="E456">
        <v>164</v>
      </c>
      <c r="F456">
        <v>13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 s="1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 x14ac:dyDescent="0.3">
      <c r="A457" t="s">
        <v>178</v>
      </c>
      <c r="B457" t="s">
        <v>183</v>
      </c>
      <c r="C457" t="s">
        <v>38</v>
      </c>
      <c r="D457">
        <v>214</v>
      </c>
      <c r="E457">
        <v>196</v>
      </c>
      <c r="F457">
        <v>17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s="1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</row>
    <row r="458" spans="1:34" x14ac:dyDescent="0.3">
      <c r="A458" t="s">
        <v>178</v>
      </c>
      <c r="B458" t="s">
        <v>184</v>
      </c>
      <c r="C458" t="s">
        <v>34</v>
      </c>
      <c r="D458">
        <v>313</v>
      </c>
      <c r="E458">
        <v>78</v>
      </c>
      <c r="F458">
        <v>15</v>
      </c>
      <c r="G458">
        <v>0</v>
      </c>
      <c r="H458">
        <v>0</v>
      </c>
      <c r="I458">
        <v>86</v>
      </c>
      <c r="J458">
        <v>0</v>
      </c>
      <c r="K458">
        <v>0</v>
      </c>
      <c r="L458">
        <v>133</v>
      </c>
      <c r="M458">
        <v>0</v>
      </c>
      <c r="N458">
        <v>0</v>
      </c>
      <c r="O458">
        <v>0</v>
      </c>
      <c r="P458">
        <v>0</v>
      </c>
      <c r="Q458">
        <v>0</v>
      </c>
      <c r="R458" s="1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x14ac:dyDescent="0.3">
      <c r="A459" t="s">
        <v>178</v>
      </c>
      <c r="B459" t="s">
        <v>184</v>
      </c>
      <c r="C459" t="s">
        <v>37</v>
      </c>
      <c r="D459">
        <v>275</v>
      </c>
      <c r="E459">
        <v>44</v>
      </c>
      <c r="F459">
        <v>11</v>
      </c>
      <c r="G459">
        <v>0</v>
      </c>
      <c r="H459">
        <v>0</v>
      </c>
      <c r="I459">
        <v>86</v>
      </c>
      <c r="J459">
        <v>0</v>
      </c>
      <c r="K459">
        <v>0</v>
      </c>
      <c r="L459">
        <v>133</v>
      </c>
      <c r="M459">
        <v>0</v>
      </c>
      <c r="N459">
        <v>0</v>
      </c>
      <c r="O459">
        <v>0</v>
      </c>
      <c r="P459">
        <v>0</v>
      </c>
      <c r="Q459">
        <v>0</v>
      </c>
      <c r="R459" s="1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 x14ac:dyDescent="0.3">
      <c r="A460" t="s">
        <v>178</v>
      </c>
      <c r="B460" t="s">
        <v>184</v>
      </c>
      <c r="C460" t="s">
        <v>38</v>
      </c>
      <c r="D460">
        <v>38</v>
      </c>
      <c r="E460">
        <v>34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s="1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 x14ac:dyDescent="0.3">
      <c r="A461" t="s">
        <v>178</v>
      </c>
      <c r="B461" t="s">
        <v>185</v>
      </c>
      <c r="C461" t="s">
        <v>34</v>
      </c>
      <c r="D461">
        <v>291</v>
      </c>
      <c r="E461">
        <v>192</v>
      </c>
      <c r="F461">
        <v>19</v>
      </c>
      <c r="G461">
        <v>12</v>
      </c>
      <c r="H461">
        <v>57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8</v>
      </c>
      <c r="R461" s="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 x14ac:dyDescent="0.3">
      <c r="A462" t="s">
        <v>178</v>
      </c>
      <c r="B462" t="s">
        <v>185</v>
      </c>
      <c r="C462" t="s">
        <v>37</v>
      </c>
      <c r="D462">
        <v>223</v>
      </c>
      <c r="E462">
        <v>141</v>
      </c>
      <c r="F462">
        <v>9</v>
      </c>
      <c r="G462">
        <v>10</v>
      </c>
      <c r="H462">
        <v>52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8</v>
      </c>
      <c r="R462" s="1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3">
      <c r="A463" t="s">
        <v>178</v>
      </c>
      <c r="B463" t="s">
        <v>185</v>
      </c>
      <c r="C463" t="s">
        <v>38</v>
      </c>
      <c r="D463">
        <v>68</v>
      </c>
      <c r="E463">
        <v>51</v>
      </c>
      <c r="F463">
        <v>10</v>
      </c>
      <c r="G463">
        <v>2</v>
      </c>
      <c r="H463">
        <v>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s="1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3">
      <c r="A464" t="s">
        <v>178</v>
      </c>
      <c r="B464" t="s">
        <v>186</v>
      </c>
      <c r="C464" t="s">
        <v>34</v>
      </c>
      <c r="D464">
        <v>243</v>
      </c>
      <c r="E464">
        <v>209</v>
      </c>
      <c r="F464">
        <v>9</v>
      </c>
      <c r="G464">
        <v>16</v>
      </c>
      <c r="H464">
        <v>4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1">
        <v>0</v>
      </c>
      <c r="S464">
        <v>0</v>
      </c>
      <c r="T464">
        <v>0</v>
      </c>
      <c r="U464">
        <v>0</v>
      </c>
      <c r="V464">
        <v>3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3">
      <c r="A465" t="s">
        <v>178</v>
      </c>
      <c r="B465" t="s">
        <v>186</v>
      </c>
      <c r="C465" t="s">
        <v>37</v>
      </c>
      <c r="D465">
        <v>130</v>
      </c>
      <c r="E465">
        <v>114</v>
      </c>
      <c r="F465">
        <v>7</v>
      </c>
      <c r="G465">
        <v>4</v>
      </c>
      <c r="H465">
        <v>1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1">
        <v>0</v>
      </c>
      <c r="S465">
        <v>0</v>
      </c>
      <c r="T465">
        <v>0</v>
      </c>
      <c r="U465">
        <v>0</v>
      </c>
      <c r="V465">
        <v>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3">
      <c r="A466" t="s">
        <v>178</v>
      </c>
      <c r="B466" t="s">
        <v>186</v>
      </c>
      <c r="C466" t="s">
        <v>38</v>
      </c>
      <c r="D466">
        <v>113</v>
      </c>
      <c r="E466">
        <v>95</v>
      </c>
      <c r="F466">
        <v>2</v>
      </c>
      <c r="G466">
        <v>12</v>
      </c>
      <c r="H466">
        <v>3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s="1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3">
      <c r="A467" t="s">
        <v>178</v>
      </c>
      <c r="B467" t="s">
        <v>187</v>
      </c>
      <c r="C467" t="s">
        <v>34</v>
      </c>
      <c r="D467">
        <v>190</v>
      </c>
      <c r="E467">
        <v>156</v>
      </c>
      <c r="F467">
        <v>19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15</v>
      </c>
      <c r="R467" s="1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3">
      <c r="A468" t="s">
        <v>178</v>
      </c>
      <c r="B468" t="s">
        <v>187</v>
      </c>
      <c r="C468" t="s">
        <v>37</v>
      </c>
      <c r="D468">
        <v>112</v>
      </c>
      <c r="E468">
        <v>84</v>
      </c>
      <c r="F468">
        <v>13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</v>
      </c>
      <c r="R468" s="1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3">
      <c r="A469" t="s">
        <v>178</v>
      </c>
      <c r="B469" t="s">
        <v>187</v>
      </c>
      <c r="C469" t="s">
        <v>38</v>
      </c>
      <c r="D469">
        <v>78</v>
      </c>
      <c r="E469">
        <v>72</v>
      </c>
      <c r="F469">
        <v>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1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3">
      <c r="A470" t="s">
        <v>178</v>
      </c>
      <c r="B470" t="s">
        <v>188</v>
      </c>
      <c r="C470" t="s">
        <v>34</v>
      </c>
      <c r="D470">
        <v>170</v>
      </c>
      <c r="E470">
        <v>140</v>
      </c>
      <c r="F470">
        <v>29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1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3">
      <c r="A471" t="s">
        <v>178</v>
      </c>
      <c r="B471" t="s">
        <v>188</v>
      </c>
      <c r="C471" t="s">
        <v>37</v>
      </c>
      <c r="D471">
        <v>55</v>
      </c>
      <c r="E471">
        <v>42</v>
      </c>
      <c r="F471">
        <v>13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3">
      <c r="A472" t="s">
        <v>178</v>
      </c>
      <c r="B472" t="s">
        <v>188</v>
      </c>
      <c r="C472" t="s">
        <v>38</v>
      </c>
      <c r="D472">
        <v>115</v>
      </c>
      <c r="E472">
        <v>98</v>
      </c>
      <c r="F472">
        <v>16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1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x14ac:dyDescent="0.3">
      <c r="A473" t="s">
        <v>178</v>
      </c>
      <c r="B473" t="s">
        <v>189</v>
      </c>
      <c r="C473" t="s">
        <v>34</v>
      </c>
      <c r="D473">
        <v>136</v>
      </c>
      <c r="E473">
        <v>107</v>
      </c>
      <c r="F473">
        <v>13</v>
      </c>
      <c r="G473">
        <v>1</v>
      </c>
      <c r="H473">
        <v>1</v>
      </c>
      <c r="I473">
        <v>6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1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7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 x14ac:dyDescent="0.3">
      <c r="A474" t="s">
        <v>178</v>
      </c>
      <c r="B474" t="s">
        <v>189</v>
      </c>
      <c r="C474" t="s">
        <v>37</v>
      </c>
      <c r="D474">
        <v>75</v>
      </c>
      <c r="E474">
        <v>52</v>
      </c>
      <c r="F474">
        <v>8</v>
      </c>
      <c r="G474">
        <v>1</v>
      </c>
      <c r="H474">
        <v>0</v>
      </c>
      <c r="I474">
        <v>6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1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7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3">
      <c r="A475" t="s">
        <v>178</v>
      </c>
      <c r="B475" t="s">
        <v>189</v>
      </c>
      <c r="C475" t="s">
        <v>38</v>
      </c>
      <c r="D475">
        <v>61</v>
      </c>
      <c r="E475">
        <v>55</v>
      </c>
      <c r="F475">
        <v>5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1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x14ac:dyDescent="0.3">
      <c r="A476" t="s">
        <v>178</v>
      </c>
      <c r="B476" t="s">
        <v>190</v>
      </c>
      <c r="C476" t="s">
        <v>34</v>
      </c>
      <c r="D476">
        <v>113</v>
      </c>
      <c r="E476">
        <v>59</v>
      </c>
      <c r="F476">
        <v>12</v>
      </c>
      <c r="G476">
        <v>0</v>
      </c>
      <c r="H476">
        <v>0</v>
      </c>
      <c r="I476">
        <v>17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21</v>
      </c>
      <c r="R476" s="1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</row>
    <row r="477" spans="1:34" x14ac:dyDescent="0.3">
      <c r="A477" t="s">
        <v>178</v>
      </c>
      <c r="B477" t="s">
        <v>190</v>
      </c>
      <c r="C477" t="s">
        <v>37</v>
      </c>
      <c r="D477">
        <v>82</v>
      </c>
      <c r="E477">
        <v>32</v>
      </c>
      <c r="F477">
        <v>9</v>
      </c>
      <c r="G477">
        <v>0</v>
      </c>
      <c r="H477">
        <v>0</v>
      </c>
      <c r="I477">
        <v>17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20</v>
      </c>
      <c r="R477" s="1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</row>
    <row r="478" spans="1:34" x14ac:dyDescent="0.3">
      <c r="A478" t="s">
        <v>178</v>
      </c>
      <c r="B478" t="s">
        <v>190</v>
      </c>
      <c r="C478" t="s">
        <v>38</v>
      </c>
      <c r="D478">
        <v>31</v>
      </c>
      <c r="E478">
        <v>27</v>
      </c>
      <c r="F478">
        <v>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 s="1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 x14ac:dyDescent="0.3">
      <c r="A479" t="s">
        <v>178</v>
      </c>
      <c r="B479" t="s">
        <v>191</v>
      </c>
      <c r="C479" t="s">
        <v>34</v>
      </c>
      <c r="D479">
        <v>76</v>
      </c>
      <c r="E479">
        <v>29</v>
      </c>
      <c r="F479">
        <v>24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23</v>
      </c>
      <c r="R479" s="1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 x14ac:dyDescent="0.3">
      <c r="A480" t="s">
        <v>178</v>
      </c>
      <c r="B480" t="s">
        <v>191</v>
      </c>
      <c r="C480" t="s">
        <v>37</v>
      </c>
      <c r="D480">
        <v>65</v>
      </c>
      <c r="E480">
        <v>19</v>
      </c>
      <c r="F480">
        <v>23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23</v>
      </c>
      <c r="R480" s="1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3">
      <c r="A481" t="s">
        <v>178</v>
      </c>
      <c r="B481" t="s">
        <v>191</v>
      </c>
      <c r="C481" t="s">
        <v>38</v>
      </c>
      <c r="D481">
        <v>11</v>
      </c>
      <c r="E481">
        <v>10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3">
      <c r="A482" t="s">
        <v>178</v>
      </c>
      <c r="B482" t="s">
        <v>192</v>
      </c>
      <c r="C482" t="s">
        <v>34</v>
      </c>
      <c r="D482">
        <v>46</v>
      </c>
      <c r="E482">
        <v>29</v>
      </c>
      <c r="F482">
        <v>4</v>
      </c>
      <c r="G482">
        <v>0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</v>
      </c>
      <c r="O482">
        <v>0</v>
      </c>
      <c r="P482">
        <v>0</v>
      </c>
      <c r="Q482">
        <v>6</v>
      </c>
      <c r="R482" s="1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x14ac:dyDescent="0.3">
      <c r="A483" t="s">
        <v>178</v>
      </c>
      <c r="B483" t="s">
        <v>192</v>
      </c>
      <c r="C483" t="s">
        <v>37</v>
      </c>
      <c r="D483">
        <v>33</v>
      </c>
      <c r="E483">
        <v>23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2</v>
      </c>
      <c r="O483">
        <v>0</v>
      </c>
      <c r="P483">
        <v>0</v>
      </c>
      <c r="Q483">
        <v>6</v>
      </c>
      <c r="R483" s="1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x14ac:dyDescent="0.3">
      <c r="A484" t="s">
        <v>178</v>
      </c>
      <c r="B484" t="s">
        <v>192</v>
      </c>
      <c r="C484" t="s">
        <v>38</v>
      </c>
      <c r="D484">
        <v>13</v>
      </c>
      <c r="E484">
        <v>6</v>
      </c>
      <c r="F484">
        <v>2</v>
      </c>
      <c r="G484">
        <v>0</v>
      </c>
      <c r="H484">
        <v>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</v>
      </c>
      <c r="O484">
        <v>0</v>
      </c>
      <c r="P484">
        <v>0</v>
      </c>
      <c r="Q484">
        <v>0</v>
      </c>
      <c r="R484" s="1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 x14ac:dyDescent="0.3">
      <c r="A485" t="s">
        <v>178</v>
      </c>
      <c r="B485" t="s">
        <v>193</v>
      </c>
      <c r="C485" t="s">
        <v>34</v>
      </c>
      <c r="D485">
        <v>4</v>
      </c>
      <c r="E485">
        <v>0</v>
      </c>
      <c r="F485">
        <v>0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2</v>
      </c>
      <c r="N485">
        <v>0</v>
      </c>
      <c r="O485">
        <v>0</v>
      </c>
      <c r="P485">
        <v>0</v>
      </c>
      <c r="Q485">
        <v>0</v>
      </c>
      <c r="R485" s="1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 x14ac:dyDescent="0.3">
      <c r="A486" t="s">
        <v>178</v>
      </c>
      <c r="B486" t="s">
        <v>193</v>
      </c>
      <c r="C486" t="s">
        <v>37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2</v>
      </c>
      <c r="N486">
        <v>0</v>
      </c>
      <c r="O486">
        <v>0</v>
      </c>
      <c r="P486">
        <v>0</v>
      </c>
      <c r="Q486">
        <v>0</v>
      </c>
      <c r="R486" s="1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 x14ac:dyDescent="0.3">
      <c r="A487" t="s">
        <v>194</v>
      </c>
      <c r="B487" t="s">
        <v>252</v>
      </c>
      <c r="C487" t="s">
        <v>34</v>
      </c>
      <c r="D487" s="1">
        <v>77079</v>
      </c>
      <c r="E487" s="1">
        <v>55182</v>
      </c>
      <c r="F487" s="1">
        <v>2350</v>
      </c>
      <c r="G487">
        <v>699</v>
      </c>
      <c r="H487">
        <v>431</v>
      </c>
      <c r="I487" s="1">
        <v>8526</v>
      </c>
      <c r="J487">
        <v>68</v>
      </c>
      <c r="K487">
        <v>172</v>
      </c>
      <c r="L487" s="1">
        <v>4198</v>
      </c>
      <c r="M487" s="1">
        <v>1665</v>
      </c>
      <c r="N487" s="1">
        <v>2600</v>
      </c>
      <c r="O487">
        <v>60</v>
      </c>
      <c r="P487">
        <v>159</v>
      </c>
      <c r="Q487">
        <v>95</v>
      </c>
      <c r="R487">
        <v>127</v>
      </c>
      <c r="S487">
        <v>215</v>
      </c>
      <c r="T487">
        <v>58</v>
      </c>
      <c r="U487">
        <v>34</v>
      </c>
      <c r="V487">
        <v>6</v>
      </c>
      <c r="W487">
        <v>53</v>
      </c>
      <c r="X487">
        <v>48</v>
      </c>
      <c r="Y487">
        <v>59</v>
      </c>
      <c r="Z487">
        <v>133</v>
      </c>
      <c r="AA487">
        <v>5</v>
      </c>
      <c r="AB487">
        <v>4</v>
      </c>
      <c r="AC487">
        <v>48</v>
      </c>
      <c r="AD487">
        <v>1</v>
      </c>
      <c r="AE487">
        <v>20</v>
      </c>
      <c r="AF487">
        <v>0</v>
      </c>
      <c r="AG487">
        <v>63</v>
      </c>
      <c r="AH487">
        <v>0</v>
      </c>
    </row>
    <row r="488" spans="1:34" x14ac:dyDescent="0.3">
      <c r="A488" t="s">
        <v>194</v>
      </c>
      <c r="B488" t="s">
        <v>252</v>
      </c>
      <c r="C488" t="s">
        <v>253</v>
      </c>
      <c r="D488" s="1">
        <f>D491+D494+D497+D500+D503+D506+D509+D512+D515+D518+D521+D524+D527+D530+D533+D536+D539+D542+D545+D548+D551+D554+D557+D560+D563+D566+D569+D572+D575+D578+D581+D584+D587+D590+D593+D596+D599+D602+D605+D608+D611+D614+D617+D620+D623+D626+D629+D632+D635+D638+D641+D644+D647+D650</f>
        <v>56101</v>
      </c>
      <c r="E488" s="1">
        <f t="shared" ref="E488:AH488" si="16">E491+E494+E497+E500+E503+E506+E509+E512+E515+E518+E521+E524+E527+E530+E533+E536+E539+E542+E545+E548+E551+E554+E557+E560+E563+E566+E569+E572+E575+E578+E581+E584+E587+E590+E593+E596+E599+E602+E605+E608+E611+E614+E617+E620+E623+E626+E629+E632+E635+E638+E641+E644+E647+E650</f>
        <v>36259</v>
      </c>
      <c r="F488" s="1">
        <f t="shared" si="16"/>
        <v>1496</v>
      </c>
      <c r="G488" s="1">
        <f t="shared" si="16"/>
        <v>388</v>
      </c>
      <c r="H488" s="1">
        <f t="shared" si="16"/>
        <v>202</v>
      </c>
      <c r="I488" s="1">
        <f t="shared" si="16"/>
        <v>8232</v>
      </c>
      <c r="J488" s="1">
        <f t="shared" si="16"/>
        <v>36</v>
      </c>
      <c r="K488" s="1">
        <f t="shared" si="16"/>
        <v>93</v>
      </c>
      <c r="L488" s="1">
        <f t="shared" si="16"/>
        <v>4107</v>
      </c>
      <c r="M488" s="1">
        <f t="shared" si="16"/>
        <v>1611</v>
      </c>
      <c r="N488" s="1">
        <f t="shared" si="16"/>
        <v>2513</v>
      </c>
      <c r="O488" s="1">
        <f t="shared" si="16"/>
        <v>59</v>
      </c>
      <c r="P488" s="1">
        <f t="shared" si="16"/>
        <v>156</v>
      </c>
      <c r="Q488" s="1">
        <f t="shared" si="16"/>
        <v>95</v>
      </c>
      <c r="R488" s="1">
        <f t="shared" si="16"/>
        <v>127</v>
      </c>
      <c r="S488" s="1">
        <f t="shared" si="16"/>
        <v>211</v>
      </c>
      <c r="T488" s="1">
        <f t="shared" si="16"/>
        <v>58</v>
      </c>
      <c r="U488" s="1">
        <f t="shared" si="16"/>
        <v>34</v>
      </c>
      <c r="V488" s="1">
        <f t="shared" si="16"/>
        <v>3</v>
      </c>
      <c r="W488" s="1">
        <f t="shared" si="16"/>
        <v>53</v>
      </c>
      <c r="X488" s="1">
        <f t="shared" si="16"/>
        <v>48</v>
      </c>
      <c r="Y488" s="1">
        <f t="shared" si="16"/>
        <v>59</v>
      </c>
      <c r="Z488" s="1">
        <f t="shared" si="16"/>
        <v>130</v>
      </c>
      <c r="AA488" s="1">
        <f t="shared" si="16"/>
        <v>5</v>
      </c>
      <c r="AB488" s="1">
        <f t="shared" si="16"/>
        <v>4</v>
      </c>
      <c r="AC488" s="1">
        <f t="shared" si="16"/>
        <v>48</v>
      </c>
      <c r="AD488" s="1">
        <f t="shared" si="16"/>
        <v>0</v>
      </c>
      <c r="AE488" s="1">
        <f t="shared" si="16"/>
        <v>20</v>
      </c>
      <c r="AF488" s="1">
        <f t="shared" si="16"/>
        <v>0</v>
      </c>
      <c r="AG488" s="1">
        <f t="shared" si="16"/>
        <v>54</v>
      </c>
      <c r="AH488" s="1">
        <f t="shared" si="16"/>
        <v>0</v>
      </c>
    </row>
    <row r="489" spans="1:34" x14ac:dyDescent="0.3">
      <c r="A489" t="s">
        <v>194</v>
      </c>
      <c r="B489" t="s">
        <v>252</v>
      </c>
      <c r="C489" t="s">
        <v>254</v>
      </c>
      <c r="D489" s="1">
        <f>D492+D495+D498+D501+D504+D507+D510+D513+D516+D519+D522+D525+D528+D531+D534+D537+D540+D543+D546+D549+D552+D555+D558+D561+D564+D567+D570+D573+D576+D579+D582+D585+D588+D591+D594+D597+D600+D603+D606+D609+D612+D615+D618+D621+D624+D627+D630+D633+D636+D639+D642+D645+D648+D651</f>
        <v>20978</v>
      </c>
      <c r="E489" s="1">
        <f t="shared" ref="E489:AH489" si="17">E492+E495+E498+E501+E504+E507+E510+E513+E516+E519+E522+E525+E528+E531+E534+E537+E540+E543+E546+E549+E552+E555+E558+E561+E564+E567+E570+E573+E576+E579+E582+E585+E588+E591+E594+E597+E600+E603+E606+E609+E612+E615+E618+E621+E624+E627+E630+E633+E636+E639+E642+E645+E648+E651</f>
        <v>18923</v>
      </c>
      <c r="F489" s="1">
        <f t="shared" si="17"/>
        <v>854</v>
      </c>
      <c r="G489" s="1">
        <f t="shared" si="17"/>
        <v>311</v>
      </c>
      <c r="H489" s="1">
        <f t="shared" si="17"/>
        <v>229</v>
      </c>
      <c r="I489" s="1">
        <f t="shared" si="17"/>
        <v>294</v>
      </c>
      <c r="J489" s="1">
        <f t="shared" si="17"/>
        <v>32</v>
      </c>
      <c r="K489" s="1">
        <f t="shared" si="17"/>
        <v>79</v>
      </c>
      <c r="L489" s="1">
        <f t="shared" si="17"/>
        <v>91</v>
      </c>
      <c r="M489" s="1">
        <f t="shared" si="17"/>
        <v>54</v>
      </c>
      <c r="N489" s="1">
        <f t="shared" si="17"/>
        <v>87</v>
      </c>
      <c r="O489" s="1">
        <f t="shared" si="17"/>
        <v>1</v>
      </c>
      <c r="P489" s="1">
        <f t="shared" si="17"/>
        <v>3</v>
      </c>
      <c r="Q489" s="1">
        <f t="shared" si="17"/>
        <v>0</v>
      </c>
      <c r="R489" s="1">
        <f t="shared" si="17"/>
        <v>0</v>
      </c>
      <c r="S489" s="1">
        <f t="shared" si="17"/>
        <v>4</v>
      </c>
      <c r="T489" s="1">
        <f t="shared" si="17"/>
        <v>0</v>
      </c>
      <c r="U489" s="1">
        <f t="shared" si="17"/>
        <v>0</v>
      </c>
      <c r="V489" s="1">
        <f t="shared" si="17"/>
        <v>3</v>
      </c>
      <c r="W489" s="1">
        <f t="shared" si="17"/>
        <v>0</v>
      </c>
      <c r="X489" s="1">
        <f t="shared" si="17"/>
        <v>0</v>
      </c>
      <c r="Y489" s="1">
        <f t="shared" si="17"/>
        <v>0</v>
      </c>
      <c r="Z489" s="1">
        <f t="shared" si="17"/>
        <v>3</v>
      </c>
      <c r="AA489" s="1">
        <f t="shared" si="17"/>
        <v>0</v>
      </c>
      <c r="AB489" s="1">
        <f t="shared" si="17"/>
        <v>0</v>
      </c>
      <c r="AC489" s="1">
        <f t="shared" si="17"/>
        <v>0</v>
      </c>
      <c r="AD489" s="1">
        <f t="shared" si="17"/>
        <v>1</v>
      </c>
      <c r="AE489" s="1">
        <f t="shared" si="17"/>
        <v>0</v>
      </c>
      <c r="AF489" s="1">
        <f t="shared" si="17"/>
        <v>0</v>
      </c>
      <c r="AG489" s="1">
        <f t="shared" si="17"/>
        <v>9</v>
      </c>
      <c r="AH489" s="1">
        <f t="shared" si="17"/>
        <v>0</v>
      </c>
    </row>
    <row r="490" spans="1:34" x14ac:dyDescent="0.3">
      <c r="A490" t="s">
        <v>194</v>
      </c>
      <c r="B490" t="s">
        <v>195</v>
      </c>
      <c r="C490" t="s">
        <v>34</v>
      </c>
      <c r="D490" s="1">
        <v>19442</v>
      </c>
      <c r="E490" s="1">
        <v>12190</v>
      </c>
      <c r="F490">
        <v>833</v>
      </c>
      <c r="G490">
        <v>248</v>
      </c>
      <c r="H490">
        <v>237</v>
      </c>
      <c r="I490" s="1">
        <v>2627</v>
      </c>
      <c r="J490">
        <v>31</v>
      </c>
      <c r="K490">
        <v>73</v>
      </c>
      <c r="L490" s="1">
        <v>1288</v>
      </c>
      <c r="M490">
        <v>624</v>
      </c>
      <c r="N490" s="1">
        <v>1082</v>
      </c>
      <c r="O490">
        <v>4</v>
      </c>
      <c r="P490">
        <v>19</v>
      </c>
      <c r="Q490">
        <v>1</v>
      </c>
      <c r="R490" s="1">
        <v>0</v>
      </c>
      <c r="S490">
        <v>50</v>
      </c>
      <c r="T490">
        <v>10</v>
      </c>
      <c r="U490">
        <v>2</v>
      </c>
      <c r="V490">
        <v>2</v>
      </c>
      <c r="W490">
        <v>19</v>
      </c>
      <c r="X490">
        <v>0</v>
      </c>
      <c r="Y490">
        <v>9</v>
      </c>
      <c r="Z490">
        <v>82</v>
      </c>
      <c r="AA490">
        <v>3</v>
      </c>
      <c r="AB490">
        <v>0</v>
      </c>
      <c r="AC490">
        <v>8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 x14ac:dyDescent="0.3">
      <c r="A491" t="s">
        <v>194</v>
      </c>
      <c r="B491" t="s">
        <v>195</v>
      </c>
      <c r="C491" t="s">
        <v>37</v>
      </c>
      <c r="D491" s="1">
        <v>11411</v>
      </c>
      <c r="E491" s="1">
        <v>5273</v>
      </c>
      <c r="F491">
        <v>372</v>
      </c>
      <c r="G491">
        <v>106</v>
      </c>
      <c r="H491">
        <v>93</v>
      </c>
      <c r="I491" s="1">
        <v>2452</v>
      </c>
      <c r="J491">
        <v>15</v>
      </c>
      <c r="K491">
        <v>27</v>
      </c>
      <c r="L491" s="1">
        <v>1235</v>
      </c>
      <c r="M491">
        <v>597</v>
      </c>
      <c r="N491" s="1">
        <v>1041</v>
      </c>
      <c r="O491">
        <v>3</v>
      </c>
      <c r="P491">
        <v>18</v>
      </c>
      <c r="Q491">
        <v>1</v>
      </c>
      <c r="R491" s="1">
        <v>0</v>
      </c>
      <c r="S491">
        <v>47</v>
      </c>
      <c r="T491">
        <v>10</v>
      </c>
      <c r="U491">
        <v>2</v>
      </c>
      <c r="V491">
        <v>1</v>
      </c>
      <c r="W491">
        <v>19</v>
      </c>
      <c r="X491">
        <v>0</v>
      </c>
      <c r="Y491">
        <v>9</v>
      </c>
      <c r="Z491">
        <v>79</v>
      </c>
      <c r="AA491">
        <v>3</v>
      </c>
      <c r="AB491">
        <v>0</v>
      </c>
      <c r="AC491">
        <v>8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 x14ac:dyDescent="0.3">
      <c r="A492" t="s">
        <v>194</v>
      </c>
      <c r="B492" t="s">
        <v>195</v>
      </c>
      <c r="C492" t="s">
        <v>38</v>
      </c>
      <c r="D492" s="1">
        <v>8031</v>
      </c>
      <c r="E492" s="1">
        <v>6917</v>
      </c>
      <c r="F492">
        <v>461</v>
      </c>
      <c r="G492">
        <v>142</v>
      </c>
      <c r="H492">
        <v>144</v>
      </c>
      <c r="I492">
        <v>175</v>
      </c>
      <c r="J492">
        <v>16</v>
      </c>
      <c r="K492">
        <v>46</v>
      </c>
      <c r="L492">
        <v>53</v>
      </c>
      <c r="M492">
        <v>27</v>
      </c>
      <c r="N492">
        <v>41</v>
      </c>
      <c r="O492">
        <v>1</v>
      </c>
      <c r="P492">
        <v>1</v>
      </c>
      <c r="Q492">
        <v>0</v>
      </c>
      <c r="R492" s="1">
        <v>0</v>
      </c>
      <c r="S492">
        <v>3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3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 x14ac:dyDescent="0.3">
      <c r="A493" t="s">
        <v>194</v>
      </c>
      <c r="B493" t="s">
        <v>196</v>
      </c>
      <c r="C493" t="s">
        <v>34</v>
      </c>
      <c r="D493" s="1">
        <v>9417</v>
      </c>
      <c r="E493" s="1">
        <v>8348</v>
      </c>
      <c r="F493">
        <v>279</v>
      </c>
      <c r="G493">
        <v>10</v>
      </c>
      <c r="H493">
        <v>6</v>
      </c>
      <c r="I493">
        <v>477</v>
      </c>
      <c r="J493">
        <v>0</v>
      </c>
      <c r="K493">
        <v>0</v>
      </c>
      <c r="L493">
        <v>29</v>
      </c>
      <c r="M493">
        <v>12</v>
      </c>
      <c r="N493">
        <v>6</v>
      </c>
      <c r="O493">
        <v>10</v>
      </c>
      <c r="P493">
        <v>26</v>
      </c>
      <c r="Q493">
        <v>16</v>
      </c>
      <c r="R493">
        <v>79</v>
      </c>
      <c r="S493">
        <v>32</v>
      </c>
      <c r="T493">
        <v>18</v>
      </c>
      <c r="U493">
        <v>3</v>
      </c>
      <c r="V493">
        <v>0</v>
      </c>
      <c r="W493">
        <v>3</v>
      </c>
      <c r="X493">
        <v>37</v>
      </c>
      <c r="Y493">
        <v>16</v>
      </c>
      <c r="Z493">
        <v>4</v>
      </c>
      <c r="AA493">
        <v>0</v>
      </c>
      <c r="AB493">
        <v>0</v>
      </c>
      <c r="AC493">
        <v>3</v>
      </c>
      <c r="AD493">
        <v>0</v>
      </c>
      <c r="AE493">
        <v>0</v>
      </c>
      <c r="AF493">
        <v>0</v>
      </c>
      <c r="AG493">
        <v>3</v>
      </c>
      <c r="AH493">
        <v>0</v>
      </c>
    </row>
    <row r="494" spans="1:34" x14ac:dyDescent="0.3">
      <c r="A494" t="s">
        <v>194</v>
      </c>
      <c r="B494" t="s">
        <v>196</v>
      </c>
      <c r="C494" t="s">
        <v>37</v>
      </c>
      <c r="D494" s="1">
        <v>8972</v>
      </c>
      <c r="E494" s="1">
        <v>7916</v>
      </c>
      <c r="F494">
        <v>272</v>
      </c>
      <c r="G494">
        <v>9</v>
      </c>
      <c r="H494">
        <v>4</v>
      </c>
      <c r="I494">
        <v>477</v>
      </c>
      <c r="J494">
        <v>0</v>
      </c>
      <c r="K494">
        <v>0</v>
      </c>
      <c r="L494">
        <v>28</v>
      </c>
      <c r="M494">
        <v>12</v>
      </c>
      <c r="N494">
        <v>6</v>
      </c>
      <c r="O494">
        <v>10</v>
      </c>
      <c r="P494">
        <v>26</v>
      </c>
      <c r="Q494">
        <v>16</v>
      </c>
      <c r="R494">
        <v>79</v>
      </c>
      <c r="S494">
        <v>32</v>
      </c>
      <c r="T494">
        <v>18</v>
      </c>
      <c r="U494">
        <v>3</v>
      </c>
      <c r="V494">
        <v>0</v>
      </c>
      <c r="W494">
        <v>3</v>
      </c>
      <c r="X494">
        <v>37</v>
      </c>
      <c r="Y494">
        <v>16</v>
      </c>
      <c r="Z494">
        <v>4</v>
      </c>
      <c r="AA494">
        <v>0</v>
      </c>
      <c r="AB494">
        <v>0</v>
      </c>
      <c r="AC494">
        <v>3</v>
      </c>
      <c r="AD494">
        <v>0</v>
      </c>
      <c r="AE494">
        <v>0</v>
      </c>
      <c r="AF494">
        <v>0</v>
      </c>
      <c r="AG494">
        <v>1</v>
      </c>
      <c r="AH494">
        <v>0</v>
      </c>
    </row>
    <row r="495" spans="1:34" x14ac:dyDescent="0.3">
      <c r="A495" t="s">
        <v>194</v>
      </c>
      <c r="B495" t="s">
        <v>196</v>
      </c>
      <c r="C495" t="s">
        <v>38</v>
      </c>
      <c r="D495">
        <v>445</v>
      </c>
      <c r="E495">
        <v>432</v>
      </c>
      <c r="F495">
        <v>7</v>
      </c>
      <c r="G495">
        <v>1</v>
      </c>
      <c r="H495">
        <v>2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 s="1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</v>
      </c>
      <c r="AH495">
        <v>0</v>
      </c>
    </row>
    <row r="496" spans="1:34" x14ac:dyDescent="0.3">
      <c r="A496" t="s">
        <v>194</v>
      </c>
      <c r="B496" t="s">
        <v>197</v>
      </c>
      <c r="C496" t="s">
        <v>34</v>
      </c>
      <c r="D496" s="1">
        <v>7319</v>
      </c>
      <c r="E496" s="1">
        <v>6165</v>
      </c>
      <c r="F496">
        <v>302</v>
      </c>
      <c r="G496">
        <v>68</v>
      </c>
      <c r="H496">
        <v>21</v>
      </c>
      <c r="I496">
        <v>294</v>
      </c>
      <c r="J496">
        <v>7</v>
      </c>
      <c r="K496">
        <v>28</v>
      </c>
      <c r="L496">
        <v>24</v>
      </c>
      <c r="M496">
        <v>71</v>
      </c>
      <c r="N496">
        <v>48</v>
      </c>
      <c r="O496">
        <v>15</v>
      </c>
      <c r="P496">
        <v>61</v>
      </c>
      <c r="Q496">
        <v>8</v>
      </c>
      <c r="R496">
        <v>47</v>
      </c>
      <c r="S496">
        <v>70</v>
      </c>
      <c r="T496">
        <v>13</v>
      </c>
      <c r="U496">
        <v>27</v>
      </c>
      <c r="V496">
        <v>0</v>
      </c>
      <c r="W496">
        <v>6</v>
      </c>
      <c r="X496">
        <v>1</v>
      </c>
      <c r="Y496">
        <v>18</v>
      </c>
      <c r="Z496">
        <v>0</v>
      </c>
      <c r="AA496">
        <v>2</v>
      </c>
      <c r="AB496">
        <v>0</v>
      </c>
      <c r="AC496">
        <v>20</v>
      </c>
      <c r="AD496">
        <v>0</v>
      </c>
      <c r="AE496">
        <v>0</v>
      </c>
      <c r="AF496">
        <v>0</v>
      </c>
      <c r="AG496">
        <v>3</v>
      </c>
      <c r="AH496">
        <v>0</v>
      </c>
    </row>
    <row r="497" spans="1:34" x14ac:dyDescent="0.3">
      <c r="A497" t="s">
        <v>194</v>
      </c>
      <c r="B497" t="s">
        <v>197</v>
      </c>
      <c r="C497" t="s">
        <v>37</v>
      </c>
      <c r="D497" s="1">
        <v>5742</v>
      </c>
      <c r="E497" s="1">
        <v>4682</v>
      </c>
      <c r="F497">
        <v>249</v>
      </c>
      <c r="G497">
        <v>45</v>
      </c>
      <c r="H497">
        <v>13</v>
      </c>
      <c r="I497">
        <v>292</v>
      </c>
      <c r="J497">
        <v>4</v>
      </c>
      <c r="K497">
        <v>24</v>
      </c>
      <c r="L497">
        <v>24</v>
      </c>
      <c r="M497">
        <v>71</v>
      </c>
      <c r="N497">
        <v>48</v>
      </c>
      <c r="O497">
        <v>15</v>
      </c>
      <c r="P497">
        <v>61</v>
      </c>
      <c r="Q497">
        <v>8</v>
      </c>
      <c r="R497">
        <v>47</v>
      </c>
      <c r="S497">
        <v>70</v>
      </c>
      <c r="T497">
        <v>13</v>
      </c>
      <c r="U497">
        <v>27</v>
      </c>
      <c r="V497">
        <v>0</v>
      </c>
      <c r="W497">
        <v>6</v>
      </c>
      <c r="X497">
        <v>1</v>
      </c>
      <c r="Y497">
        <v>18</v>
      </c>
      <c r="Z497">
        <v>0</v>
      </c>
      <c r="AA497">
        <v>2</v>
      </c>
      <c r="AB497">
        <v>0</v>
      </c>
      <c r="AC497">
        <v>20</v>
      </c>
      <c r="AD497">
        <v>0</v>
      </c>
      <c r="AE497">
        <v>0</v>
      </c>
      <c r="AF497">
        <v>0</v>
      </c>
      <c r="AG497">
        <v>2</v>
      </c>
      <c r="AH497">
        <v>0</v>
      </c>
    </row>
    <row r="498" spans="1:34" x14ac:dyDescent="0.3">
      <c r="A498" t="s">
        <v>194</v>
      </c>
      <c r="B498" t="s">
        <v>197</v>
      </c>
      <c r="C498" t="s">
        <v>38</v>
      </c>
      <c r="D498" s="1">
        <v>1577</v>
      </c>
      <c r="E498" s="1">
        <v>1483</v>
      </c>
      <c r="F498">
        <v>53</v>
      </c>
      <c r="G498">
        <v>23</v>
      </c>
      <c r="H498">
        <v>8</v>
      </c>
      <c r="I498">
        <v>2</v>
      </c>
      <c r="J498">
        <v>3</v>
      </c>
      <c r="K498">
        <v>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</row>
    <row r="499" spans="1:34" x14ac:dyDescent="0.3">
      <c r="A499" t="s">
        <v>194</v>
      </c>
      <c r="B499" t="s">
        <v>198</v>
      </c>
      <c r="C499" t="s">
        <v>34</v>
      </c>
      <c r="D499" s="1">
        <v>6145</v>
      </c>
      <c r="E499" s="1">
        <v>5506</v>
      </c>
      <c r="F499">
        <v>292</v>
      </c>
      <c r="G499">
        <v>97</v>
      </c>
      <c r="H499">
        <v>41</v>
      </c>
      <c r="I499">
        <v>109</v>
      </c>
      <c r="J499">
        <v>6</v>
      </c>
      <c r="K499">
        <v>17</v>
      </c>
      <c r="L499">
        <v>28</v>
      </c>
      <c r="M499">
        <v>10</v>
      </c>
      <c r="N499">
        <v>25</v>
      </c>
      <c r="O499">
        <v>0</v>
      </c>
      <c r="P499">
        <v>0</v>
      </c>
      <c r="Q499">
        <v>1</v>
      </c>
      <c r="R499">
        <v>0</v>
      </c>
      <c r="S499">
        <v>3</v>
      </c>
      <c r="T499">
        <v>0</v>
      </c>
      <c r="U499">
        <v>0</v>
      </c>
      <c r="V499">
        <v>3</v>
      </c>
      <c r="W499">
        <v>2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3</v>
      </c>
      <c r="AH499">
        <v>0</v>
      </c>
    </row>
    <row r="500" spans="1:34" x14ac:dyDescent="0.3">
      <c r="A500" t="s">
        <v>194</v>
      </c>
      <c r="B500" t="s">
        <v>198</v>
      </c>
      <c r="C500" t="s">
        <v>37</v>
      </c>
      <c r="D500" s="1">
        <v>2873</v>
      </c>
      <c r="E500" s="1">
        <v>2491</v>
      </c>
      <c r="F500">
        <v>170</v>
      </c>
      <c r="G500">
        <v>43</v>
      </c>
      <c r="H500">
        <v>16</v>
      </c>
      <c r="I500">
        <v>87</v>
      </c>
      <c r="J500">
        <v>1</v>
      </c>
      <c r="K500">
        <v>6</v>
      </c>
      <c r="L500">
        <v>23</v>
      </c>
      <c r="M500">
        <v>10</v>
      </c>
      <c r="N500">
        <v>16</v>
      </c>
      <c r="O500">
        <v>0</v>
      </c>
      <c r="P500">
        <v>0</v>
      </c>
      <c r="Q500">
        <v>1</v>
      </c>
      <c r="R500">
        <v>0</v>
      </c>
      <c r="S500">
        <v>2</v>
      </c>
      <c r="T500">
        <v>0</v>
      </c>
      <c r="U500">
        <v>0</v>
      </c>
      <c r="V500">
        <v>2</v>
      </c>
      <c r="W500">
        <v>2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</v>
      </c>
      <c r="AH500">
        <v>0</v>
      </c>
    </row>
    <row r="501" spans="1:34" x14ac:dyDescent="0.3">
      <c r="A501" t="s">
        <v>194</v>
      </c>
      <c r="B501" t="s">
        <v>198</v>
      </c>
      <c r="C501" t="s">
        <v>38</v>
      </c>
      <c r="D501" s="1">
        <v>3272</v>
      </c>
      <c r="E501" s="1">
        <v>3015</v>
      </c>
      <c r="F501">
        <v>122</v>
      </c>
      <c r="G501">
        <v>54</v>
      </c>
      <c r="H501">
        <v>25</v>
      </c>
      <c r="I501">
        <v>22</v>
      </c>
      <c r="J501">
        <v>5</v>
      </c>
      <c r="K501">
        <v>11</v>
      </c>
      <c r="L501">
        <v>5</v>
      </c>
      <c r="M501">
        <v>0</v>
      </c>
      <c r="N501">
        <v>9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1</v>
      </c>
      <c r="AH501">
        <v>0</v>
      </c>
    </row>
    <row r="502" spans="1:34" x14ac:dyDescent="0.3">
      <c r="A502" t="s">
        <v>194</v>
      </c>
      <c r="B502" t="s">
        <v>199</v>
      </c>
      <c r="C502" t="s">
        <v>34</v>
      </c>
      <c r="D502" s="1">
        <v>5007</v>
      </c>
      <c r="E502" s="1">
        <v>2203</v>
      </c>
      <c r="F502">
        <v>81</v>
      </c>
      <c r="G502">
        <v>9</v>
      </c>
      <c r="H502">
        <v>14</v>
      </c>
      <c r="I502" s="1">
        <v>1267</v>
      </c>
      <c r="J502">
        <v>1</v>
      </c>
      <c r="K502">
        <v>0</v>
      </c>
      <c r="L502">
        <v>872</v>
      </c>
      <c r="M502">
        <v>156</v>
      </c>
      <c r="N502">
        <v>365</v>
      </c>
      <c r="O502">
        <v>0</v>
      </c>
      <c r="P502">
        <v>4</v>
      </c>
      <c r="Q502">
        <v>0</v>
      </c>
      <c r="R502">
        <v>0</v>
      </c>
      <c r="S502">
        <v>7</v>
      </c>
      <c r="T502">
        <v>11</v>
      </c>
      <c r="U502">
        <v>0</v>
      </c>
      <c r="V502">
        <v>1</v>
      </c>
      <c r="W502">
        <v>11</v>
      </c>
      <c r="X502">
        <v>0</v>
      </c>
      <c r="Y502">
        <v>1</v>
      </c>
      <c r="Z502">
        <v>3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</row>
    <row r="503" spans="1:34" x14ac:dyDescent="0.3">
      <c r="A503" t="s">
        <v>194</v>
      </c>
      <c r="B503" t="s">
        <v>199</v>
      </c>
      <c r="C503" t="s">
        <v>37</v>
      </c>
      <c r="D503" s="1">
        <v>4037</v>
      </c>
      <c r="E503" s="1">
        <v>1305</v>
      </c>
      <c r="F503">
        <v>51</v>
      </c>
      <c r="G503">
        <v>4</v>
      </c>
      <c r="H503">
        <v>7</v>
      </c>
      <c r="I503" s="1">
        <v>1258</v>
      </c>
      <c r="J503">
        <v>0</v>
      </c>
      <c r="K503">
        <v>0</v>
      </c>
      <c r="L503">
        <v>866</v>
      </c>
      <c r="M503">
        <v>155</v>
      </c>
      <c r="N503">
        <v>353</v>
      </c>
      <c r="O503">
        <v>0</v>
      </c>
      <c r="P503">
        <v>4</v>
      </c>
      <c r="Q503">
        <v>0</v>
      </c>
      <c r="R503">
        <v>0</v>
      </c>
      <c r="S503">
        <v>7</v>
      </c>
      <c r="T503">
        <v>11</v>
      </c>
      <c r="U503">
        <v>0</v>
      </c>
      <c r="V503">
        <v>0</v>
      </c>
      <c r="W503">
        <v>11</v>
      </c>
      <c r="X503">
        <v>0</v>
      </c>
      <c r="Y503">
        <v>1</v>
      </c>
      <c r="Z503">
        <v>3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 x14ac:dyDescent="0.3">
      <c r="A504" t="s">
        <v>194</v>
      </c>
      <c r="B504" t="s">
        <v>199</v>
      </c>
      <c r="C504" t="s">
        <v>38</v>
      </c>
      <c r="D504">
        <v>970</v>
      </c>
      <c r="E504">
        <v>898</v>
      </c>
      <c r="F504">
        <v>30</v>
      </c>
      <c r="G504">
        <v>5</v>
      </c>
      <c r="H504">
        <v>7</v>
      </c>
      <c r="I504">
        <v>9</v>
      </c>
      <c r="J504">
        <v>1</v>
      </c>
      <c r="K504">
        <v>0</v>
      </c>
      <c r="L504">
        <v>6</v>
      </c>
      <c r="M504">
        <v>1</v>
      </c>
      <c r="N504">
        <v>12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 x14ac:dyDescent="0.3">
      <c r="A505" t="s">
        <v>194</v>
      </c>
      <c r="B505" t="s">
        <v>200</v>
      </c>
      <c r="C505" t="s">
        <v>34</v>
      </c>
      <c r="D505" s="1">
        <v>3198</v>
      </c>
      <c r="E505" s="1">
        <v>2544</v>
      </c>
      <c r="F505">
        <v>169</v>
      </c>
      <c r="G505">
        <v>28</v>
      </c>
      <c r="H505">
        <v>5</v>
      </c>
      <c r="I505">
        <v>218</v>
      </c>
      <c r="J505">
        <v>3</v>
      </c>
      <c r="K505">
        <v>10</v>
      </c>
      <c r="L505">
        <v>150</v>
      </c>
      <c r="M505">
        <v>35</v>
      </c>
      <c r="N505">
        <v>28</v>
      </c>
      <c r="O505">
        <v>0</v>
      </c>
      <c r="P505">
        <v>0</v>
      </c>
      <c r="Q505">
        <v>0</v>
      </c>
      <c r="R505">
        <v>0</v>
      </c>
      <c r="S505">
        <v>4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3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</row>
    <row r="506" spans="1:34" x14ac:dyDescent="0.3">
      <c r="A506" t="s">
        <v>194</v>
      </c>
      <c r="B506" t="s">
        <v>200</v>
      </c>
      <c r="C506" t="s">
        <v>37</v>
      </c>
      <c r="D506" s="1">
        <v>2094</v>
      </c>
      <c r="E506" s="1">
        <v>1521</v>
      </c>
      <c r="F506">
        <v>111</v>
      </c>
      <c r="G506">
        <v>14</v>
      </c>
      <c r="H506">
        <v>4</v>
      </c>
      <c r="I506">
        <v>215</v>
      </c>
      <c r="J506">
        <v>2</v>
      </c>
      <c r="K506">
        <v>9</v>
      </c>
      <c r="L506">
        <v>149</v>
      </c>
      <c r="M506">
        <v>35</v>
      </c>
      <c r="N506">
        <v>26</v>
      </c>
      <c r="O506">
        <v>0</v>
      </c>
      <c r="P506">
        <v>0</v>
      </c>
      <c r="Q506">
        <v>0</v>
      </c>
      <c r="R506">
        <v>0</v>
      </c>
      <c r="S506">
        <v>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</row>
    <row r="507" spans="1:34" x14ac:dyDescent="0.3">
      <c r="A507" t="s">
        <v>194</v>
      </c>
      <c r="B507" t="s">
        <v>200</v>
      </c>
      <c r="C507" t="s">
        <v>38</v>
      </c>
      <c r="D507" s="1">
        <v>1104</v>
      </c>
      <c r="E507" s="1">
        <v>1023</v>
      </c>
      <c r="F507">
        <v>58</v>
      </c>
      <c r="G507">
        <v>14</v>
      </c>
      <c r="H507">
        <v>1</v>
      </c>
      <c r="I507">
        <v>3</v>
      </c>
      <c r="J507">
        <v>1</v>
      </c>
      <c r="K507">
        <v>1</v>
      </c>
      <c r="L507">
        <v>1</v>
      </c>
      <c r="M507">
        <v>0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 x14ac:dyDescent="0.3">
      <c r="A508" t="s">
        <v>194</v>
      </c>
      <c r="B508" t="s">
        <v>201</v>
      </c>
      <c r="C508" t="s">
        <v>34</v>
      </c>
      <c r="D508" s="1">
        <v>3182</v>
      </c>
      <c r="E508">
        <v>520</v>
      </c>
      <c r="F508">
        <v>16</v>
      </c>
      <c r="G508">
        <v>10</v>
      </c>
      <c r="H508">
        <v>6</v>
      </c>
      <c r="I508" s="1">
        <v>1239</v>
      </c>
      <c r="J508">
        <v>0</v>
      </c>
      <c r="K508">
        <v>1</v>
      </c>
      <c r="L508">
        <v>597</v>
      </c>
      <c r="M508">
        <v>320</v>
      </c>
      <c r="N508">
        <v>421</v>
      </c>
      <c r="O508">
        <v>0</v>
      </c>
      <c r="P508">
        <v>0</v>
      </c>
      <c r="Q508">
        <v>0</v>
      </c>
      <c r="R508">
        <v>0</v>
      </c>
      <c r="S508">
        <v>21</v>
      </c>
      <c r="T508">
        <v>0</v>
      </c>
      <c r="U508">
        <v>0</v>
      </c>
      <c r="V508">
        <v>0</v>
      </c>
      <c r="W508">
        <v>5</v>
      </c>
      <c r="X508">
        <v>0</v>
      </c>
      <c r="Y508">
        <v>0</v>
      </c>
      <c r="Z508">
        <v>26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 x14ac:dyDescent="0.3">
      <c r="A509" t="s">
        <v>194</v>
      </c>
      <c r="B509" t="s">
        <v>201</v>
      </c>
      <c r="C509" t="s">
        <v>37</v>
      </c>
      <c r="D509" s="1">
        <v>2929</v>
      </c>
      <c r="E509">
        <v>304</v>
      </c>
      <c r="F509">
        <v>8</v>
      </c>
      <c r="G509">
        <v>6</v>
      </c>
      <c r="H509">
        <v>1</v>
      </c>
      <c r="I509" s="1">
        <v>1231</v>
      </c>
      <c r="J509">
        <v>0</v>
      </c>
      <c r="K509">
        <v>1</v>
      </c>
      <c r="L509">
        <v>592</v>
      </c>
      <c r="M509">
        <v>313</v>
      </c>
      <c r="N509">
        <v>421</v>
      </c>
      <c r="O509">
        <v>0</v>
      </c>
      <c r="P509">
        <v>0</v>
      </c>
      <c r="Q509">
        <v>0</v>
      </c>
      <c r="R509">
        <v>0</v>
      </c>
      <c r="S509">
        <v>21</v>
      </c>
      <c r="T509">
        <v>0</v>
      </c>
      <c r="U509">
        <v>0</v>
      </c>
      <c r="V509">
        <v>0</v>
      </c>
      <c r="W509">
        <v>5</v>
      </c>
      <c r="X509">
        <v>0</v>
      </c>
      <c r="Y509">
        <v>0</v>
      </c>
      <c r="Z509">
        <v>26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 x14ac:dyDescent="0.3">
      <c r="A510" t="s">
        <v>194</v>
      </c>
      <c r="B510" t="s">
        <v>201</v>
      </c>
      <c r="C510" t="s">
        <v>38</v>
      </c>
      <c r="D510">
        <v>253</v>
      </c>
      <c r="E510">
        <v>216</v>
      </c>
      <c r="F510">
        <v>8</v>
      </c>
      <c r="G510">
        <v>4</v>
      </c>
      <c r="H510">
        <v>5</v>
      </c>
      <c r="I510">
        <v>8</v>
      </c>
      <c r="J510">
        <v>0</v>
      </c>
      <c r="K510">
        <v>0</v>
      </c>
      <c r="L510">
        <v>5</v>
      </c>
      <c r="M510">
        <v>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 x14ac:dyDescent="0.3">
      <c r="A511" t="s">
        <v>194</v>
      </c>
      <c r="B511" t="s">
        <v>202</v>
      </c>
      <c r="C511" t="s">
        <v>34</v>
      </c>
      <c r="D511" s="1">
        <v>2379</v>
      </c>
      <c r="E511" s="1">
        <v>2355</v>
      </c>
      <c r="F511">
        <v>13</v>
      </c>
      <c r="G511">
        <v>3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</row>
    <row r="512" spans="1:34" x14ac:dyDescent="0.3">
      <c r="A512" t="s">
        <v>194</v>
      </c>
      <c r="B512" t="s">
        <v>202</v>
      </c>
      <c r="C512" t="s">
        <v>37</v>
      </c>
      <c r="D512" s="1">
        <v>2261</v>
      </c>
      <c r="E512" s="1">
        <v>2237</v>
      </c>
      <c r="F512">
        <v>13</v>
      </c>
      <c r="G512">
        <v>3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 x14ac:dyDescent="0.3">
      <c r="A513" t="s">
        <v>194</v>
      </c>
      <c r="B513" t="s">
        <v>202</v>
      </c>
      <c r="C513" t="s">
        <v>38</v>
      </c>
      <c r="D513">
        <v>118</v>
      </c>
      <c r="E513">
        <v>118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 x14ac:dyDescent="0.3">
      <c r="A514" t="s">
        <v>194</v>
      </c>
      <c r="B514" t="s">
        <v>203</v>
      </c>
      <c r="C514" t="s">
        <v>34</v>
      </c>
      <c r="D514" s="1">
        <v>2213</v>
      </c>
      <c r="E514" s="1">
        <v>1785</v>
      </c>
      <c r="F514">
        <v>30</v>
      </c>
      <c r="G514">
        <v>12</v>
      </c>
      <c r="H514">
        <v>4</v>
      </c>
      <c r="I514">
        <v>164</v>
      </c>
      <c r="J514">
        <v>6</v>
      </c>
      <c r="K514">
        <v>1</v>
      </c>
      <c r="L514">
        <v>47</v>
      </c>
      <c r="M514">
        <v>15</v>
      </c>
      <c r="N514">
        <v>9</v>
      </c>
      <c r="O514">
        <v>11</v>
      </c>
      <c r="P514">
        <v>40</v>
      </c>
      <c r="Q514">
        <v>62</v>
      </c>
      <c r="R514">
        <v>1</v>
      </c>
      <c r="S514">
        <v>3</v>
      </c>
      <c r="T514">
        <v>0</v>
      </c>
      <c r="U514">
        <v>0</v>
      </c>
      <c r="V514">
        <v>0</v>
      </c>
      <c r="W514">
        <v>0</v>
      </c>
      <c r="X514">
        <v>3</v>
      </c>
      <c r="Y514">
        <v>2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16</v>
      </c>
      <c r="AF514">
        <v>0</v>
      </c>
      <c r="AG514">
        <v>1</v>
      </c>
      <c r="AH514">
        <v>0</v>
      </c>
    </row>
    <row r="515" spans="1:34" x14ac:dyDescent="0.3">
      <c r="A515" t="s">
        <v>194</v>
      </c>
      <c r="B515" t="s">
        <v>203</v>
      </c>
      <c r="C515" t="s">
        <v>37</v>
      </c>
      <c r="D515" s="1">
        <v>1805</v>
      </c>
      <c r="E515" s="1">
        <v>1387</v>
      </c>
      <c r="F515">
        <v>26</v>
      </c>
      <c r="G515">
        <v>11</v>
      </c>
      <c r="H515">
        <v>3</v>
      </c>
      <c r="I515">
        <v>162</v>
      </c>
      <c r="J515">
        <v>6</v>
      </c>
      <c r="K515">
        <v>1</v>
      </c>
      <c r="L515">
        <v>47</v>
      </c>
      <c r="M515">
        <v>15</v>
      </c>
      <c r="N515">
        <v>9</v>
      </c>
      <c r="O515">
        <v>11</v>
      </c>
      <c r="P515">
        <v>38</v>
      </c>
      <c r="Q515">
        <v>62</v>
      </c>
      <c r="R515">
        <v>1</v>
      </c>
      <c r="S515">
        <v>3</v>
      </c>
      <c r="T515">
        <v>0</v>
      </c>
      <c r="U515">
        <v>0</v>
      </c>
      <c r="V515">
        <v>0</v>
      </c>
      <c r="W515">
        <v>0</v>
      </c>
      <c r="X515">
        <v>3</v>
      </c>
      <c r="Y515">
        <v>2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16</v>
      </c>
      <c r="AF515">
        <v>0</v>
      </c>
      <c r="AG515">
        <v>1</v>
      </c>
      <c r="AH515">
        <v>0</v>
      </c>
    </row>
    <row r="516" spans="1:34" x14ac:dyDescent="0.3">
      <c r="A516" t="s">
        <v>194</v>
      </c>
      <c r="B516" t="s">
        <v>203</v>
      </c>
      <c r="C516" t="s">
        <v>38</v>
      </c>
      <c r="D516">
        <v>408</v>
      </c>
      <c r="E516">
        <v>398</v>
      </c>
      <c r="F516">
        <v>4</v>
      </c>
      <c r="G516">
        <v>1</v>
      </c>
      <c r="H516">
        <v>1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</row>
    <row r="517" spans="1:34" x14ac:dyDescent="0.3">
      <c r="A517" t="s">
        <v>194</v>
      </c>
      <c r="B517" t="s">
        <v>204</v>
      </c>
      <c r="C517" t="s">
        <v>34</v>
      </c>
      <c r="D517" s="1">
        <v>2206</v>
      </c>
      <c r="E517">
        <v>826</v>
      </c>
      <c r="F517">
        <v>45</v>
      </c>
      <c r="G517">
        <v>34</v>
      </c>
      <c r="H517">
        <v>8</v>
      </c>
      <c r="I517">
        <v>588</v>
      </c>
      <c r="J517">
        <v>0</v>
      </c>
      <c r="K517">
        <v>3</v>
      </c>
      <c r="L517">
        <v>256</v>
      </c>
      <c r="M517">
        <v>192</v>
      </c>
      <c r="N517">
        <v>222</v>
      </c>
      <c r="O517">
        <v>4</v>
      </c>
      <c r="P517">
        <v>0</v>
      </c>
      <c r="Q517">
        <v>0</v>
      </c>
      <c r="R517">
        <v>0</v>
      </c>
      <c r="S517">
        <v>12</v>
      </c>
      <c r="T517">
        <v>0</v>
      </c>
      <c r="U517">
        <v>0</v>
      </c>
      <c r="V517">
        <v>0</v>
      </c>
      <c r="W517">
        <v>3</v>
      </c>
      <c r="X517">
        <v>0</v>
      </c>
      <c r="Y517">
        <v>3</v>
      </c>
      <c r="Z517">
        <v>9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</row>
    <row r="518" spans="1:34" x14ac:dyDescent="0.3">
      <c r="A518" t="s">
        <v>194</v>
      </c>
      <c r="B518" t="s">
        <v>204</v>
      </c>
      <c r="C518" t="s">
        <v>37</v>
      </c>
      <c r="D518" s="1">
        <v>1662</v>
      </c>
      <c r="E518">
        <v>417</v>
      </c>
      <c r="F518">
        <v>20</v>
      </c>
      <c r="G518">
        <v>21</v>
      </c>
      <c r="H518">
        <v>5</v>
      </c>
      <c r="I518">
        <v>527</v>
      </c>
      <c r="J518">
        <v>0</v>
      </c>
      <c r="K518">
        <v>2</v>
      </c>
      <c r="L518">
        <v>245</v>
      </c>
      <c r="M518">
        <v>182</v>
      </c>
      <c r="N518">
        <v>211</v>
      </c>
      <c r="O518">
        <v>4</v>
      </c>
      <c r="P518">
        <v>0</v>
      </c>
      <c r="Q518">
        <v>0</v>
      </c>
      <c r="R518">
        <v>0</v>
      </c>
      <c r="S518">
        <v>12</v>
      </c>
      <c r="T518">
        <v>0</v>
      </c>
      <c r="U518">
        <v>0</v>
      </c>
      <c r="V518">
        <v>0</v>
      </c>
      <c r="W518">
        <v>3</v>
      </c>
      <c r="X518">
        <v>0</v>
      </c>
      <c r="Y518">
        <v>3</v>
      </c>
      <c r="Z518">
        <v>9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</row>
    <row r="519" spans="1:34" x14ac:dyDescent="0.3">
      <c r="A519" t="s">
        <v>194</v>
      </c>
      <c r="B519" t="s">
        <v>204</v>
      </c>
      <c r="C519" t="s">
        <v>38</v>
      </c>
      <c r="D519">
        <v>544</v>
      </c>
      <c r="E519">
        <v>409</v>
      </c>
      <c r="F519">
        <v>25</v>
      </c>
      <c r="G519">
        <v>13</v>
      </c>
      <c r="H519">
        <v>3</v>
      </c>
      <c r="I519">
        <v>61</v>
      </c>
      <c r="J519">
        <v>0</v>
      </c>
      <c r="K519">
        <v>1</v>
      </c>
      <c r="L519">
        <v>11</v>
      </c>
      <c r="M519">
        <v>10</v>
      </c>
      <c r="N519">
        <v>11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 x14ac:dyDescent="0.3">
      <c r="A520" t="s">
        <v>194</v>
      </c>
      <c r="B520" t="s">
        <v>205</v>
      </c>
      <c r="C520" t="s">
        <v>34</v>
      </c>
      <c r="D520" s="1">
        <v>2133</v>
      </c>
      <c r="E520" s="1">
        <v>1931</v>
      </c>
      <c r="F520">
        <v>42</v>
      </c>
      <c r="G520">
        <v>26</v>
      </c>
      <c r="H520">
        <v>6</v>
      </c>
      <c r="I520">
        <v>35</v>
      </c>
      <c r="J520">
        <v>2</v>
      </c>
      <c r="K520">
        <v>19</v>
      </c>
      <c r="L520">
        <v>20</v>
      </c>
      <c r="M520">
        <v>39</v>
      </c>
      <c r="N520">
        <v>1</v>
      </c>
      <c r="O520">
        <v>3</v>
      </c>
      <c r="P520">
        <v>3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4</v>
      </c>
      <c r="AF520">
        <v>0</v>
      </c>
      <c r="AG520">
        <v>0</v>
      </c>
      <c r="AH520">
        <v>0</v>
      </c>
    </row>
    <row r="521" spans="1:34" x14ac:dyDescent="0.3">
      <c r="A521" t="s">
        <v>194</v>
      </c>
      <c r="B521" t="s">
        <v>205</v>
      </c>
      <c r="C521" t="s">
        <v>37</v>
      </c>
      <c r="D521" s="1">
        <v>1534</v>
      </c>
      <c r="E521" s="1">
        <v>1362</v>
      </c>
      <c r="F521">
        <v>32</v>
      </c>
      <c r="G521">
        <v>20</v>
      </c>
      <c r="H521">
        <v>3</v>
      </c>
      <c r="I521">
        <v>34</v>
      </c>
      <c r="J521">
        <v>2</v>
      </c>
      <c r="K521">
        <v>14</v>
      </c>
      <c r="L521">
        <v>20</v>
      </c>
      <c r="M521">
        <v>34</v>
      </c>
      <c r="N521">
        <v>1</v>
      </c>
      <c r="O521">
        <v>3</v>
      </c>
      <c r="P521">
        <v>3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4</v>
      </c>
      <c r="AF521">
        <v>0</v>
      </c>
      <c r="AG521">
        <v>0</v>
      </c>
      <c r="AH521">
        <v>0</v>
      </c>
    </row>
    <row r="522" spans="1:34" x14ac:dyDescent="0.3">
      <c r="A522" t="s">
        <v>194</v>
      </c>
      <c r="B522" t="s">
        <v>205</v>
      </c>
      <c r="C522" t="s">
        <v>38</v>
      </c>
      <c r="D522">
        <v>599</v>
      </c>
      <c r="E522">
        <v>569</v>
      </c>
      <c r="F522">
        <v>10</v>
      </c>
      <c r="G522">
        <v>6</v>
      </c>
      <c r="H522">
        <v>3</v>
      </c>
      <c r="I522">
        <v>1</v>
      </c>
      <c r="J522">
        <v>0</v>
      </c>
      <c r="K522">
        <v>5</v>
      </c>
      <c r="L522">
        <v>0</v>
      </c>
      <c r="M522">
        <v>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</row>
    <row r="523" spans="1:34" x14ac:dyDescent="0.3">
      <c r="A523" t="s">
        <v>194</v>
      </c>
      <c r="B523" t="s">
        <v>206</v>
      </c>
      <c r="C523" t="s">
        <v>34</v>
      </c>
      <c r="D523" s="1">
        <v>1966</v>
      </c>
      <c r="E523">
        <v>278</v>
      </c>
      <c r="F523">
        <v>10</v>
      </c>
      <c r="G523">
        <v>3</v>
      </c>
      <c r="H523">
        <v>19</v>
      </c>
      <c r="I523">
        <v>714</v>
      </c>
      <c r="J523">
        <v>0</v>
      </c>
      <c r="K523">
        <v>0</v>
      </c>
      <c r="L523">
        <v>660</v>
      </c>
      <c r="M523">
        <v>77</v>
      </c>
      <c r="N523">
        <v>203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 x14ac:dyDescent="0.3">
      <c r="A524" t="s">
        <v>194</v>
      </c>
      <c r="B524" t="s">
        <v>206</v>
      </c>
      <c r="C524" t="s">
        <v>37</v>
      </c>
      <c r="D524" s="1">
        <v>1791</v>
      </c>
      <c r="E524">
        <v>122</v>
      </c>
      <c r="F524">
        <v>6</v>
      </c>
      <c r="G524">
        <v>3</v>
      </c>
      <c r="H524">
        <v>11</v>
      </c>
      <c r="I524">
        <v>713</v>
      </c>
      <c r="J524">
        <v>0</v>
      </c>
      <c r="K524">
        <v>0</v>
      </c>
      <c r="L524">
        <v>657</v>
      </c>
      <c r="M524">
        <v>75</v>
      </c>
      <c r="N524">
        <v>202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 x14ac:dyDescent="0.3">
      <c r="A525" t="s">
        <v>194</v>
      </c>
      <c r="B525" t="s">
        <v>206</v>
      </c>
      <c r="C525" t="s">
        <v>38</v>
      </c>
      <c r="D525">
        <v>175</v>
      </c>
      <c r="E525">
        <v>156</v>
      </c>
      <c r="F525">
        <v>4</v>
      </c>
      <c r="G525">
        <v>0</v>
      </c>
      <c r="H525">
        <v>8</v>
      </c>
      <c r="I525">
        <v>1</v>
      </c>
      <c r="J525">
        <v>0</v>
      </c>
      <c r="K525">
        <v>0</v>
      </c>
      <c r="L525">
        <v>3</v>
      </c>
      <c r="M525">
        <v>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 x14ac:dyDescent="0.3">
      <c r="A526" t="s">
        <v>194</v>
      </c>
      <c r="B526" t="s">
        <v>207</v>
      </c>
      <c r="C526" t="s">
        <v>34</v>
      </c>
      <c r="D526" s="1">
        <v>1897</v>
      </c>
      <c r="E526" s="1">
        <v>1364</v>
      </c>
      <c r="F526">
        <v>40</v>
      </c>
      <c r="G526">
        <v>4</v>
      </c>
      <c r="H526">
        <v>3</v>
      </c>
      <c r="I526">
        <v>357</v>
      </c>
      <c r="J526">
        <v>0</v>
      </c>
      <c r="K526">
        <v>2</v>
      </c>
      <c r="L526">
        <v>35</v>
      </c>
      <c r="M526">
        <v>16</v>
      </c>
      <c r="N526">
        <v>40</v>
      </c>
      <c r="O526">
        <v>6</v>
      </c>
      <c r="P526">
        <v>0</v>
      </c>
      <c r="Q526">
        <v>3</v>
      </c>
      <c r="R526">
        <v>0</v>
      </c>
      <c r="S526">
        <v>0</v>
      </c>
      <c r="T526">
        <v>4</v>
      </c>
      <c r="U526">
        <v>0</v>
      </c>
      <c r="V526">
        <v>0</v>
      </c>
      <c r="W526">
        <v>1</v>
      </c>
      <c r="X526">
        <v>0</v>
      </c>
      <c r="Y526">
        <v>8</v>
      </c>
      <c r="Z526">
        <v>0</v>
      </c>
      <c r="AA526">
        <v>0</v>
      </c>
      <c r="AB526">
        <v>0</v>
      </c>
      <c r="AC526">
        <v>14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 x14ac:dyDescent="0.3">
      <c r="A527" t="s">
        <v>194</v>
      </c>
      <c r="B527" t="s">
        <v>207</v>
      </c>
      <c r="C527" t="s">
        <v>37</v>
      </c>
      <c r="D527" s="1">
        <v>1494</v>
      </c>
      <c r="E527">
        <v>974</v>
      </c>
      <c r="F527">
        <v>33</v>
      </c>
      <c r="G527">
        <v>1</v>
      </c>
      <c r="H527">
        <v>3</v>
      </c>
      <c r="I527">
        <v>357</v>
      </c>
      <c r="J527">
        <v>0</v>
      </c>
      <c r="K527">
        <v>0</v>
      </c>
      <c r="L527">
        <v>35</v>
      </c>
      <c r="M527">
        <v>16</v>
      </c>
      <c r="N527">
        <v>39</v>
      </c>
      <c r="O527">
        <v>6</v>
      </c>
      <c r="P527">
        <v>0</v>
      </c>
      <c r="Q527">
        <v>3</v>
      </c>
      <c r="R527">
        <v>0</v>
      </c>
      <c r="S527">
        <v>0</v>
      </c>
      <c r="T527">
        <v>4</v>
      </c>
      <c r="U527">
        <v>0</v>
      </c>
      <c r="V527">
        <v>0</v>
      </c>
      <c r="W527">
        <v>1</v>
      </c>
      <c r="X527">
        <v>0</v>
      </c>
      <c r="Y527">
        <v>8</v>
      </c>
      <c r="Z527">
        <v>0</v>
      </c>
      <c r="AA527">
        <v>0</v>
      </c>
      <c r="AB527">
        <v>0</v>
      </c>
      <c r="AC527">
        <v>14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 x14ac:dyDescent="0.3">
      <c r="A528" t="s">
        <v>194</v>
      </c>
      <c r="B528" t="s">
        <v>207</v>
      </c>
      <c r="C528" t="s">
        <v>38</v>
      </c>
      <c r="D528">
        <v>403</v>
      </c>
      <c r="E528">
        <v>390</v>
      </c>
      <c r="F528">
        <v>7</v>
      </c>
      <c r="G528">
        <v>3</v>
      </c>
      <c r="H528">
        <v>0</v>
      </c>
      <c r="I528">
        <v>0</v>
      </c>
      <c r="J528">
        <v>0</v>
      </c>
      <c r="K528">
        <v>2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 x14ac:dyDescent="0.3">
      <c r="A529" t="s">
        <v>194</v>
      </c>
      <c r="B529" t="s">
        <v>208</v>
      </c>
      <c r="C529" t="s">
        <v>34</v>
      </c>
      <c r="D529" s="1">
        <v>1676</v>
      </c>
      <c r="E529" s="1">
        <v>1529</v>
      </c>
      <c r="F529">
        <v>54</v>
      </c>
      <c r="G529">
        <v>52</v>
      </c>
      <c r="H529">
        <v>6</v>
      </c>
      <c r="I529">
        <v>4</v>
      </c>
      <c r="J529">
        <v>5</v>
      </c>
      <c r="K529">
        <v>1</v>
      </c>
      <c r="L529">
        <v>4</v>
      </c>
      <c r="M529">
        <v>4</v>
      </c>
      <c r="N529">
        <v>1</v>
      </c>
      <c r="O529">
        <v>6</v>
      </c>
      <c r="P529">
        <v>1</v>
      </c>
      <c r="Q529">
        <v>0</v>
      </c>
      <c r="R529">
        <v>0</v>
      </c>
      <c r="S529">
        <v>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</row>
    <row r="530" spans="1:34" x14ac:dyDescent="0.3">
      <c r="A530" t="s">
        <v>194</v>
      </c>
      <c r="B530" t="s">
        <v>208</v>
      </c>
      <c r="C530" t="s">
        <v>37</v>
      </c>
      <c r="D530" s="1">
        <v>1163</v>
      </c>
      <c r="E530" s="1">
        <v>1046</v>
      </c>
      <c r="F530">
        <v>40</v>
      </c>
      <c r="G530">
        <v>48</v>
      </c>
      <c r="H530">
        <v>5</v>
      </c>
      <c r="I530">
        <v>2</v>
      </c>
      <c r="J530">
        <v>1</v>
      </c>
      <c r="K530">
        <v>0</v>
      </c>
      <c r="L530">
        <v>2</v>
      </c>
      <c r="M530">
        <v>4</v>
      </c>
      <c r="N530">
        <v>0</v>
      </c>
      <c r="O530">
        <v>6</v>
      </c>
      <c r="P530">
        <v>1</v>
      </c>
      <c r="Q530">
        <v>0</v>
      </c>
      <c r="R530">
        <v>0</v>
      </c>
      <c r="S530">
        <v>7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</row>
    <row r="531" spans="1:34" x14ac:dyDescent="0.3">
      <c r="A531" t="s">
        <v>194</v>
      </c>
      <c r="B531" t="s">
        <v>208</v>
      </c>
      <c r="C531" t="s">
        <v>38</v>
      </c>
      <c r="D531">
        <v>513</v>
      </c>
      <c r="E531">
        <v>483</v>
      </c>
      <c r="F531">
        <v>14</v>
      </c>
      <c r="G531">
        <v>4</v>
      </c>
      <c r="H531">
        <v>1</v>
      </c>
      <c r="I531">
        <v>2</v>
      </c>
      <c r="J531">
        <v>4</v>
      </c>
      <c r="K531">
        <v>1</v>
      </c>
      <c r="L531">
        <v>2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</row>
    <row r="532" spans="1:34" x14ac:dyDescent="0.3">
      <c r="A532" t="s">
        <v>194</v>
      </c>
      <c r="B532" t="s">
        <v>209</v>
      </c>
      <c r="C532" t="s">
        <v>34</v>
      </c>
      <c r="D532" s="1">
        <v>1063</v>
      </c>
      <c r="E532">
        <v>863</v>
      </c>
      <c r="F532">
        <v>14</v>
      </c>
      <c r="G532">
        <v>5</v>
      </c>
      <c r="H532">
        <v>8</v>
      </c>
      <c r="I532">
        <v>79</v>
      </c>
      <c r="J532">
        <v>2</v>
      </c>
      <c r="K532">
        <v>7</v>
      </c>
      <c r="L532">
        <v>16</v>
      </c>
      <c r="M532">
        <v>35</v>
      </c>
      <c r="N532">
        <v>34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 x14ac:dyDescent="0.3">
      <c r="A533" t="s">
        <v>194</v>
      </c>
      <c r="B533" t="s">
        <v>209</v>
      </c>
      <c r="C533" t="s">
        <v>37</v>
      </c>
      <c r="D533">
        <v>706</v>
      </c>
      <c r="E533">
        <v>535</v>
      </c>
      <c r="F533">
        <v>9</v>
      </c>
      <c r="G533">
        <v>2</v>
      </c>
      <c r="H533">
        <v>4</v>
      </c>
      <c r="I533">
        <v>79</v>
      </c>
      <c r="J533">
        <v>1</v>
      </c>
      <c r="K533">
        <v>4</v>
      </c>
      <c r="L533">
        <v>12</v>
      </c>
      <c r="M533">
        <v>34</v>
      </c>
      <c r="N533">
        <v>26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 x14ac:dyDescent="0.3">
      <c r="A534" t="s">
        <v>194</v>
      </c>
      <c r="B534" t="s">
        <v>209</v>
      </c>
      <c r="C534" t="s">
        <v>38</v>
      </c>
      <c r="D534">
        <v>357</v>
      </c>
      <c r="E534">
        <v>328</v>
      </c>
      <c r="F534">
        <v>5</v>
      </c>
      <c r="G534">
        <v>3</v>
      </c>
      <c r="H534">
        <v>4</v>
      </c>
      <c r="I534">
        <v>0</v>
      </c>
      <c r="J534">
        <v>1</v>
      </c>
      <c r="K534">
        <v>3</v>
      </c>
      <c r="L534">
        <v>4</v>
      </c>
      <c r="M534">
        <v>1</v>
      </c>
      <c r="N534">
        <v>8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 x14ac:dyDescent="0.3">
      <c r="A535" t="s">
        <v>194</v>
      </c>
      <c r="B535" t="s">
        <v>210</v>
      </c>
      <c r="C535" t="s">
        <v>34</v>
      </c>
      <c r="D535">
        <v>681</v>
      </c>
      <c r="E535">
        <v>634</v>
      </c>
      <c r="F535">
        <v>3</v>
      </c>
      <c r="G535">
        <v>0</v>
      </c>
      <c r="H535">
        <v>2</v>
      </c>
      <c r="I535">
        <v>14</v>
      </c>
      <c r="J535">
        <v>0</v>
      </c>
      <c r="K535">
        <v>1</v>
      </c>
      <c r="L535">
        <v>15</v>
      </c>
      <c r="M535">
        <v>3</v>
      </c>
      <c r="N535">
        <v>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 x14ac:dyDescent="0.3">
      <c r="A536" t="s">
        <v>194</v>
      </c>
      <c r="B536" t="s">
        <v>210</v>
      </c>
      <c r="C536" t="s">
        <v>37</v>
      </c>
      <c r="D536">
        <v>500</v>
      </c>
      <c r="E536">
        <v>456</v>
      </c>
      <c r="F536">
        <v>0</v>
      </c>
      <c r="G536">
        <v>0</v>
      </c>
      <c r="H536">
        <v>2</v>
      </c>
      <c r="I536">
        <v>14</v>
      </c>
      <c r="J536">
        <v>0</v>
      </c>
      <c r="K536">
        <v>1</v>
      </c>
      <c r="L536">
        <v>15</v>
      </c>
      <c r="M536">
        <v>3</v>
      </c>
      <c r="N536">
        <v>9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 x14ac:dyDescent="0.3">
      <c r="A537" t="s">
        <v>194</v>
      </c>
      <c r="B537" t="s">
        <v>210</v>
      </c>
      <c r="C537" t="s">
        <v>38</v>
      </c>
      <c r="D537">
        <v>181</v>
      </c>
      <c r="E537">
        <v>178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 x14ac:dyDescent="0.3">
      <c r="A538" t="s">
        <v>194</v>
      </c>
      <c r="B538" t="s">
        <v>211</v>
      </c>
      <c r="C538" t="s">
        <v>34</v>
      </c>
      <c r="D538">
        <v>618</v>
      </c>
      <c r="E538">
        <v>587</v>
      </c>
      <c r="F538">
        <v>3</v>
      </c>
      <c r="G538">
        <v>5</v>
      </c>
      <c r="H538">
        <v>1</v>
      </c>
      <c r="I538">
        <v>8</v>
      </c>
      <c r="J538">
        <v>1</v>
      </c>
      <c r="K538">
        <v>0</v>
      </c>
      <c r="L538">
        <v>10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2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 x14ac:dyDescent="0.3">
      <c r="A539" t="s">
        <v>194</v>
      </c>
      <c r="B539" t="s">
        <v>211</v>
      </c>
      <c r="C539" t="s">
        <v>37</v>
      </c>
      <c r="D539">
        <v>408</v>
      </c>
      <c r="E539">
        <v>381</v>
      </c>
      <c r="F539">
        <v>0</v>
      </c>
      <c r="G539">
        <v>5</v>
      </c>
      <c r="H539">
        <v>1</v>
      </c>
      <c r="I539">
        <v>7</v>
      </c>
      <c r="J539">
        <v>1</v>
      </c>
      <c r="K539">
        <v>0</v>
      </c>
      <c r="L539">
        <v>10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2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3">
      <c r="A540" t="s">
        <v>194</v>
      </c>
      <c r="B540" t="s">
        <v>211</v>
      </c>
      <c r="C540" t="s">
        <v>38</v>
      </c>
      <c r="D540">
        <v>210</v>
      </c>
      <c r="E540">
        <v>206</v>
      </c>
      <c r="F540">
        <v>3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x14ac:dyDescent="0.3">
      <c r="A541" t="s">
        <v>194</v>
      </c>
      <c r="B541" t="s">
        <v>212</v>
      </c>
      <c r="C541" t="s">
        <v>34</v>
      </c>
      <c r="D541">
        <v>576</v>
      </c>
      <c r="E541">
        <v>516</v>
      </c>
      <c r="F541">
        <v>13</v>
      </c>
      <c r="G541">
        <v>12</v>
      </c>
      <c r="H541">
        <v>1</v>
      </c>
      <c r="I541">
        <v>18</v>
      </c>
      <c r="J541">
        <v>0</v>
      </c>
      <c r="K541">
        <v>0</v>
      </c>
      <c r="L541">
        <v>0</v>
      </c>
      <c r="M541">
        <v>4</v>
      </c>
      <c r="N541">
        <v>10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 x14ac:dyDescent="0.3">
      <c r="A542" t="s">
        <v>194</v>
      </c>
      <c r="B542" t="s">
        <v>212</v>
      </c>
      <c r="C542" t="s">
        <v>37</v>
      </c>
      <c r="D542">
        <v>383</v>
      </c>
      <c r="E542">
        <v>334</v>
      </c>
      <c r="F542">
        <v>11</v>
      </c>
      <c r="G542">
        <v>3</v>
      </c>
      <c r="H542">
        <v>1</v>
      </c>
      <c r="I542">
        <v>18</v>
      </c>
      <c r="J542">
        <v>0</v>
      </c>
      <c r="K542">
        <v>0</v>
      </c>
      <c r="L542">
        <v>0</v>
      </c>
      <c r="M542">
        <v>4</v>
      </c>
      <c r="N542">
        <v>10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 x14ac:dyDescent="0.3">
      <c r="A543" t="s">
        <v>194</v>
      </c>
      <c r="B543" t="s">
        <v>212</v>
      </c>
      <c r="C543" t="s">
        <v>38</v>
      </c>
      <c r="D543">
        <v>193</v>
      </c>
      <c r="E543">
        <v>182</v>
      </c>
      <c r="F543">
        <v>2</v>
      </c>
      <c r="G543">
        <v>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 x14ac:dyDescent="0.3">
      <c r="A544" t="s">
        <v>194</v>
      </c>
      <c r="B544" t="s">
        <v>213</v>
      </c>
      <c r="C544" t="s">
        <v>34</v>
      </c>
      <c r="D544">
        <v>542</v>
      </c>
      <c r="E544">
        <v>529</v>
      </c>
      <c r="F544">
        <v>6</v>
      </c>
      <c r="G544">
        <v>4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 x14ac:dyDescent="0.3">
      <c r="A545" t="s">
        <v>194</v>
      </c>
      <c r="B545" t="s">
        <v>213</v>
      </c>
      <c r="C545" t="s">
        <v>37</v>
      </c>
      <c r="D545">
        <v>376</v>
      </c>
      <c r="E545">
        <v>367</v>
      </c>
      <c r="F545">
        <v>3</v>
      </c>
      <c r="G545">
        <v>3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 x14ac:dyDescent="0.3">
      <c r="A546" t="s">
        <v>194</v>
      </c>
      <c r="B546" t="s">
        <v>213</v>
      </c>
      <c r="C546" t="s">
        <v>38</v>
      </c>
      <c r="D546">
        <v>166</v>
      </c>
      <c r="E546">
        <v>162</v>
      </c>
      <c r="F546">
        <v>3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 x14ac:dyDescent="0.3">
      <c r="A547" t="s">
        <v>194</v>
      </c>
      <c r="B547" t="s">
        <v>214</v>
      </c>
      <c r="C547" t="s">
        <v>34</v>
      </c>
      <c r="D547">
        <v>503</v>
      </c>
      <c r="E547">
        <v>483</v>
      </c>
      <c r="F547">
        <v>8</v>
      </c>
      <c r="G547">
        <v>5</v>
      </c>
      <c r="H547">
        <v>0</v>
      </c>
      <c r="I547">
        <v>3</v>
      </c>
      <c r="J547">
        <v>0</v>
      </c>
      <c r="K547">
        <v>3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</row>
    <row r="548" spans="1:34" x14ac:dyDescent="0.3">
      <c r="A548" t="s">
        <v>194</v>
      </c>
      <c r="B548" t="s">
        <v>214</v>
      </c>
      <c r="C548" t="s">
        <v>37</v>
      </c>
      <c r="D548">
        <v>378</v>
      </c>
      <c r="E548">
        <v>363</v>
      </c>
      <c r="F548">
        <v>6</v>
      </c>
      <c r="G548">
        <v>3</v>
      </c>
      <c r="H548">
        <v>0</v>
      </c>
      <c r="I548">
        <v>3</v>
      </c>
      <c r="J548">
        <v>0</v>
      </c>
      <c r="K548">
        <v>2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 x14ac:dyDescent="0.3">
      <c r="A549" t="s">
        <v>194</v>
      </c>
      <c r="B549" t="s">
        <v>214</v>
      </c>
      <c r="C549" t="s">
        <v>38</v>
      </c>
      <c r="D549">
        <v>125</v>
      </c>
      <c r="E549">
        <v>120</v>
      </c>
      <c r="F549">
        <v>2</v>
      </c>
      <c r="G549">
        <v>2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 x14ac:dyDescent="0.3">
      <c r="A550" t="s">
        <v>194</v>
      </c>
      <c r="B550" t="s">
        <v>215</v>
      </c>
      <c r="C550" t="s">
        <v>34</v>
      </c>
      <c r="D550">
        <v>452</v>
      </c>
      <c r="E550">
        <v>409</v>
      </c>
      <c r="F550">
        <v>8</v>
      </c>
      <c r="G550">
        <v>8</v>
      </c>
      <c r="H550">
        <v>6</v>
      </c>
      <c r="I550">
        <v>6</v>
      </c>
      <c r="J550">
        <v>2</v>
      </c>
      <c r="K550">
        <v>0</v>
      </c>
      <c r="L550">
        <v>11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</row>
    <row r="551" spans="1:34" x14ac:dyDescent="0.3">
      <c r="A551" t="s">
        <v>194</v>
      </c>
      <c r="B551" t="s">
        <v>215</v>
      </c>
      <c r="C551" t="s">
        <v>37</v>
      </c>
      <c r="D551">
        <v>372</v>
      </c>
      <c r="E551">
        <v>338</v>
      </c>
      <c r="F551">
        <v>7</v>
      </c>
      <c r="G551">
        <v>4</v>
      </c>
      <c r="H551">
        <v>2</v>
      </c>
      <c r="I551">
        <v>6</v>
      </c>
      <c r="J551">
        <v>2</v>
      </c>
      <c r="K551">
        <v>0</v>
      </c>
      <c r="L551">
        <v>11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</row>
    <row r="552" spans="1:34" x14ac:dyDescent="0.3">
      <c r="A552" t="s">
        <v>194</v>
      </c>
      <c r="B552" t="s">
        <v>215</v>
      </c>
      <c r="C552" t="s">
        <v>38</v>
      </c>
      <c r="D552">
        <v>80</v>
      </c>
      <c r="E552">
        <v>71</v>
      </c>
      <c r="F552">
        <v>1</v>
      </c>
      <c r="G552">
        <v>4</v>
      </c>
      <c r="H552">
        <v>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3">
      <c r="A553" t="s">
        <v>194</v>
      </c>
      <c r="B553" t="s">
        <v>216</v>
      </c>
      <c r="C553" t="s">
        <v>34</v>
      </c>
      <c r="D553">
        <v>379</v>
      </c>
      <c r="E553">
        <v>109</v>
      </c>
      <c r="F553">
        <v>2</v>
      </c>
      <c r="G553">
        <v>1</v>
      </c>
      <c r="H553">
        <v>0</v>
      </c>
      <c r="I553">
        <v>137</v>
      </c>
      <c r="J553">
        <v>0</v>
      </c>
      <c r="K553">
        <v>0</v>
      </c>
      <c r="L553">
        <v>35</v>
      </c>
      <c r="M553">
        <v>33</v>
      </c>
      <c r="N553">
        <v>62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 x14ac:dyDescent="0.3">
      <c r="A554" t="s">
        <v>194</v>
      </c>
      <c r="B554" t="s">
        <v>216</v>
      </c>
      <c r="C554" t="s">
        <v>37</v>
      </c>
      <c r="D554">
        <v>346</v>
      </c>
      <c r="E554">
        <v>80</v>
      </c>
      <c r="F554">
        <v>2</v>
      </c>
      <c r="G554">
        <v>0</v>
      </c>
      <c r="H554">
        <v>0</v>
      </c>
      <c r="I554">
        <v>134</v>
      </c>
      <c r="J554">
        <v>0</v>
      </c>
      <c r="K554">
        <v>0</v>
      </c>
      <c r="L554">
        <v>35</v>
      </c>
      <c r="M554">
        <v>33</v>
      </c>
      <c r="N554">
        <v>62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</row>
    <row r="555" spans="1:34" x14ac:dyDescent="0.3">
      <c r="A555" t="s">
        <v>194</v>
      </c>
      <c r="B555" t="s">
        <v>216</v>
      </c>
      <c r="C555" t="s">
        <v>38</v>
      </c>
      <c r="D555">
        <v>33</v>
      </c>
      <c r="E555">
        <v>29</v>
      </c>
      <c r="F555">
        <v>0</v>
      </c>
      <c r="G555">
        <v>1</v>
      </c>
      <c r="H555">
        <v>0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x14ac:dyDescent="0.3">
      <c r="A556" t="s">
        <v>194</v>
      </c>
      <c r="B556" t="s">
        <v>217</v>
      </c>
      <c r="C556" t="s">
        <v>34</v>
      </c>
      <c r="D556">
        <v>350</v>
      </c>
      <c r="E556">
        <v>307</v>
      </c>
      <c r="F556">
        <v>2</v>
      </c>
      <c r="G556">
        <v>1</v>
      </c>
      <c r="H556">
        <v>2</v>
      </c>
      <c r="I556">
        <v>33</v>
      </c>
      <c r="J556">
        <v>0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 x14ac:dyDescent="0.3">
      <c r="A557" t="s">
        <v>194</v>
      </c>
      <c r="B557" t="s">
        <v>217</v>
      </c>
      <c r="C557" t="s">
        <v>37</v>
      </c>
      <c r="D557">
        <v>250</v>
      </c>
      <c r="E557">
        <v>210</v>
      </c>
      <c r="F557">
        <v>0</v>
      </c>
      <c r="G557">
        <v>1</v>
      </c>
      <c r="H557">
        <v>1</v>
      </c>
      <c r="I557">
        <v>33</v>
      </c>
      <c r="J557">
        <v>0</v>
      </c>
      <c r="K557">
        <v>0</v>
      </c>
      <c r="L557">
        <v>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3">
      <c r="A558" t="s">
        <v>194</v>
      </c>
      <c r="B558" t="s">
        <v>217</v>
      </c>
      <c r="C558" t="s">
        <v>38</v>
      </c>
      <c r="D558">
        <v>100</v>
      </c>
      <c r="E558">
        <v>97</v>
      </c>
      <c r="F558">
        <v>2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3">
      <c r="A559" t="s">
        <v>194</v>
      </c>
      <c r="B559" t="s">
        <v>218</v>
      </c>
      <c r="C559" t="s">
        <v>34</v>
      </c>
      <c r="D559">
        <v>329</v>
      </c>
      <c r="E559">
        <v>322</v>
      </c>
      <c r="F559">
        <v>4</v>
      </c>
      <c r="G559">
        <v>1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 x14ac:dyDescent="0.3">
      <c r="A560" t="s">
        <v>194</v>
      </c>
      <c r="B560" t="s">
        <v>218</v>
      </c>
      <c r="C560" t="s">
        <v>37</v>
      </c>
      <c r="D560">
        <v>274</v>
      </c>
      <c r="E560">
        <v>267</v>
      </c>
      <c r="F560">
        <v>4</v>
      </c>
      <c r="G560">
        <v>1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 x14ac:dyDescent="0.3">
      <c r="A561" t="s">
        <v>194</v>
      </c>
      <c r="B561" t="s">
        <v>218</v>
      </c>
      <c r="C561" t="s">
        <v>38</v>
      </c>
      <c r="D561">
        <v>55</v>
      </c>
      <c r="E561">
        <v>55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 x14ac:dyDescent="0.3">
      <c r="A562" t="s">
        <v>194</v>
      </c>
      <c r="B562" t="s">
        <v>219</v>
      </c>
      <c r="C562" t="s">
        <v>34</v>
      </c>
      <c r="D562">
        <v>328</v>
      </c>
      <c r="E562">
        <v>293</v>
      </c>
      <c r="F562">
        <v>15</v>
      </c>
      <c r="G562">
        <v>5</v>
      </c>
      <c r="H562">
        <v>0</v>
      </c>
      <c r="I562">
        <v>7</v>
      </c>
      <c r="J562">
        <v>0</v>
      </c>
      <c r="K562">
        <v>0</v>
      </c>
      <c r="L562">
        <v>3</v>
      </c>
      <c r="M562">
        <v>2</v>
      </c>
      <c r="N562">
        <v>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 x14ac:dyDescent="0.3">
      <c r="A563" t="s">
        <v>194</v>
      </c>
      <c r="B563" t="s">
        <v>219</v>
      </c>
      <c r="C563" t="s">
        <v>37</v>
      </c>
      <c r="D563">
        <v>222</v>
      </c>
      <c r="E563">
        <v>196</v>
      </c>
      <c r="F563">
        <v>10</v>
      </c>
      <c r="G563">
        <v>2</v>
      </c>
      <c r="H563">
        <v>0</v>
      </c>
      <c r="I563">
        <v>6</v>
      </c>
      <c r="J563">
        <v>0</v>
      </c>
      <c r="K563">
        <v>0</v>
      </c>
      <c r="L563">
        <v>3</v>
      </c>
      <c r="M563">
        <v>2</v>
      </c>
      <c r="N563">
        <v>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 x14ac:dyDescent="0.3">
      <c r="A564" t="s">
        <v>194</v>
      </c>
      <c r="B564" t="s">
        <v>219</v>
      </c>
      <c r="C564" t="s">
        <v>38</v>
      </c>
      <c r="D564">
        <v>106</v>
      </c>
      <c r="E564">
        <v>97</v>
      </c>
      <c r="F564">
        <v>5</v>
      </c>
      <c r="G564">
        <v>3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 x14ac:dyDescent="0.3">
      <c r="A565" t="s">
        <v>194</v>
      </c>
      <c r="B565" t="s">
        <v>220</v>
      </c>
      <c r="C565" t="s">
        <v>34</v>
      </c>
      <c r="D565">
        <v>294</v>
      </c>
      <c r="E565">
        <v>214</v>
      </c>
      <c r="F565">
        <v>7</v>
      </c>
      <c r="G565">
        <v>3</v>
      </c>
      <c r="H565">
        <v>2</v>
      </c>
      <c r="I565">
        <v>36</v>
      </c>
      <c r="J565">
        <v>0</v>
      </c>
      <c r="K565">
        <v>0</v>
      </c>
      <c r="L565">
        <v>18</v>
      </c>
      <c r="M565">
        <v>6</v>
      </c>
      <c r="N565">
        <v>8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3">
      <c r="A566" t="s">
        <v>194</v>
      </c>
      <c r="B566" t="s">
        <v>220</v>
      </c>
      <c r="C566" t="s">
        <v>37</v>
      </c>
      <c r="D566">
        <v>184</v>
      </c>
      <c r="E566">
        <v>111</v>
      </c>
      <c r="F566">
        <v>3</v>
      </c>
      <c r="G566">
        <v>2</v>
      </c>
      <c r="H566">
        <v>2</v>
      </c>
      <c r="I566">
        <v>35</v>
      </c>
      <c r="J566">
        <v>0</v>
      </c>
      <c r="K566">
        <v>0</v>
      </c>
      <c r="L566">
        <v>18</v>
      </c>
      <c r="M566">
        <v>5</v>
      </c>
      <c r="N566">
        <v>8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3">
      <c r="A567" t="s">
        <v>194</v>
      </c>
      <c r="B567" t="s">
        <v>220</v>
      </c>
      <c r="C567" t="s">
        <v>38</v>
      </c>
      <c r="D567">
        <v>110</v>
      </c>
      <c r="E567">
        <v>103</v>
      </c>
      <c r="F567">
        <v>4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 x14ac:dyDescent="0.3">
      <c r="A568" t="s">
        <v>194</v>
      </c>
      <c r="B568" t="s">
        <v>221</v>
      </c>
      <c r="C568" t="s">
        <v>34</v>
      </c>
      <c r="D568">
        <v>227</v>
      </c>
      <c r="E568">
        <v>205</v>
      </c>
      <c r="F568">
        <v>7</v>
      </c>
      <c r="G568">
        <v>4</v>
      </c>
      <c r="H568">
        <v>2</v>
      </c>
      <c r="I568">
        <v>7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 x14ac:dyDescent="0.3">
      <c r="A569" t="s">
        <v>194</v>
      </c>
      <c r="B569" t="s">
        <v>221</v>
      </c>
      <c r="C569" t="s">
        <v>37</v>
      </c>
      <c r="D569">
        <v>142</v>
      </c>
      <c r="E569">
        <v>122</v>
      </c>
      <c r="F569">
        <v>7</v>
      </c>
      <c r="G569">
        <v>3</v>
      </c>
      <c r="H569">
        <v>1</v>
      </c>
      <c r="I569">
        <v>7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 x14ac:dyDescent="0.3">
      <c r="A570" t="s">
        <v>194</v>
      </c>
      <c r="B570" t="s">
        <v>221</v>
      </c>
      <c r="C570" t="s">
        <v>38</v>
      </c>
      <c r="D570">
        <v>85</v>
      </c>
      <c r="E570">
        <v>83</v>
      </c>
      <c r="F570">
        <v>0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 x14ac:dyDescent="0.3">
      <c r="A571" t="s">
        <v>194</v>
      </c>
      <c r="B571" t="s">
        <v>222</v>
      </c>
      <c r="C571" t="s">
        <v>34</v>
      </c>
      <c r="D571">
        <v>189</v>
      </c>
      <c r="E571">
        <v>146</v>
      </c>
      <c r="F571">
        <v>1</v>
      </c>
      <c r="G571">
        <v>9</v>
      </c>
      <c r="H571">
        <v>8</v>
      </c>
      <c r="I571">
        <v>17</v>
      </c>
      <c r="J571">
        <v>0</v>
      </c>
      <c r="K571">
        <v>1</v>
      </c>
      <c r="L571">
        <v>1</v>
      </c>
      <c r="M571">
        <v>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 x14ac:dyDescent="0.3">
      <c r="A572" t="s">
        <v>194</v>
      </c>
      <c r="B572" t="s">
        <v>222</v>
      </c>
      <c r="C572" t="s">
        <v>37</v>
      </c>
      <c r="D572">
        <v>108</v>
      </c>
      <c r="E572">
        <v>78</v>
      </c>
      <c r="F572">
        <v>0</v>
      </c>
      <c r="G572">
        <v>3</v>
      </c>
      <c r="H572">
        <v>3</v>
      </c>
      <c r="I572">
        <v>17</v>
      </c>
      <c r="J572">
        <v>0</v>
      </c>
      <c r="K572">
        <v>0</v>
      </c>
      <c r="L572">
        <v>1</v>
      </c>
      <c r="M572">
        <v>3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 x14ac:dyDescent="0.3">
      <c r="A573" t="s">
        <v>194</v>
      </c>
      <c r="B573" t="s">
        <v>222</v>
      </c>
      <c r="C573" t="s">
        <v>38</v>
      </c>
      <c r="D573">
        <v>81</v>
      </c>
      <c r="E573">
        <v>68</v>
      </c>
      <c r="F573">
        <v>1</v>
      </c>
      <c r="G573">
        <v>6</v>
      </c>
      <c r="H573">
        <v>5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 x14ac:dyDescent="0.3">
      <c r="A574" t="s">
        <v>194</v>
      </c>
      <c r="B574" t="s">
        <v>223</v>
      </c>
      <c r="C574" t="s">
        <v>34</v>
      </c>
      <c r="D574">
        <v>183</v>
      </c>
      <c r="E574">
        <v>98</v>
      </c>
      <c r="F574">
        <v>6</v>
      </c>
      <c r="G574">
        <v>2</v>
      </c>
      <c r="H574">
        <v>4</v>
      </c>
      <c r="I574">
        <v>46</v>
      </c>
      <c r="J574">
        <v>1</v>
      </c>
      <c r="K574">
        <v>0</v>
      </c>
      <c r="L574">
        <v>0</v>
      </c>
      <c r="M574">
        <v>5</v>
      </c>
      <c r="N574">
        <v>17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3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 x14ac:dyDescent="0.3">
      <c r="A575" t="s">
        <v>194</v>
      </c>
      <c r="B575" t="s">
        <v>223</v>
      </c>
      <c r="C575" t="s">
        <v>37</v>
      </c>
      <c r="D575">
        <v>139</v>
      </c>
      <c r="E575">
        <v>60</v>
      </c>
      <c r="F575">
        <v>3</v>
      </c>
      <c r="G575">
        <v>1</v>
      </c>
      <c r="H575">
        <v>4</v>
      </c>
      <c r="I575">
        <v>45</v>
      </c>
      <c r="J575">
        <v>0</v>
      </c>
      <c r="K575">
        <v>0</v>
      </c>
      <c r="L575">
        <v>0</v>
      </c>
      <c r="M575">
        <v>5</v>
      </c>
      <c r="N575">
        <v>17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3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 x14ac:dyDescent="0.3">
      <c r="A576" t="s">
        <v>194</v>
      </c>
      <c r="B576" t="s">
        <v>223</v>
      </c>
      <c r="C576" t="s">
        <v>38</v>
      </c>
      <c r="D576">
        <v>44</v>
      </c>
      <c r="E576">
        <v>38</v>
      </c>
      <c r="F576">
        <v>3</v>
      </c>
      <c r="G576">
        <v>1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 x14ac:dyDescent="0.3">
      <c r="A577" t="s">
        <v>194</v>
      </c>
      <c r="B577" t="s">
        <v>224</v>
      </c>
      <c r="C577" t="s">
        <v>34</v>
      </c>
      <c r="D577">
        <v>177</v>
      </c>
      <c r="E577">
        <v>168</v>
      </c>
      <c r="F577">
        <v>6</v>
      </c>
      <c r="G577">
        <v>1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 x14ac:dyDescent="0.3">
      <c r="A578" t="s">
        <v>194</v>
      </c>
      <c r="B578" t="s">
        <v>224</v>
      </c>
      <c r="C578" t="s">
        <v>37</v>
      </c>
      <c r="D578">
        <v>96</v>
      </c>
      <c r="E578">
        <v>89</v>
      </c>
      <c r="F578">
        <v>5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3">
      <c r="A579" t="s">
        <v>194</v>
      </c>
      <c r="B579" t="s">
        <v>224</v>
      </c>
      <c r="C579" t="s">
        <v>38</v>
      </c>
      <c r="D579">
        <v>81</v>
      </c>
      <c r="E579">
        <v>79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3">
      <c r="A580" t="s">
        <v>194</v>
      </c>
      <c r="B580" t="s">
        <v>225</v>
      </c>
      <c r="C580" t="s">
        <v>34</v>
      </c>
      <c r="D580">
        <v>175</v>
      </c>
      <c r="E580">
        <v>155</v>
      </c>
      <c r="F580">
        <v>1</v>
      </c>
      <c r="G580">
        <v>2</v>
      </c>
      <c r="H580">
        <v>0</v>
      </c>
      <c r="I580">
        <v>5</v>
      </c>
      <c r="J580">
        <v>0</v>
      </c>
      <c r="K580">
        <v>0</v>
      </c>
      <c r="L580">
        <v>10</v>
      </c>
      <c r="M580">
        <v>0</v>
      </c>
      <c r="N580">
        <v>0</v>
      </c>
      <c r="O580">
        <v>0</v>
      </c>
      <c r="P580">
        <v>0</v>
      </c>
      <c r="Q580">
        <v>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3">
      <c r="A581" t="s">
        <v>194</v>
      </c>
      <c r="B581" t="s">
        <v>225</v>
      </c>
      <c r="C581" t="s">
        <v>37</v>
      </c>
      <c r="D581">
        <v>149</v>
      </c>
      <c r="E581">
        <v>129</v>
      </c>
      <c r="F581">
        <v>1</v>
      </c>
      <c r="G581">
        <v>2</v>
      </c>
      <c r="H581">
        <v>0</v>
      </c>
      <c r="I581">
        <v>5</v>
      </c>
      <c r="J581">
        <v>0</v>
      </c>
      <c r="K581">
        <v>0</v>
      </c>
      <c r="L581">
        <v>10</v>
      </c>
      <c r="M581">
        <v>0</v>
      </c>
      <c r="N581">
        <v>0</v>
      </c>
      <c r="O581">
        <v>0</v>
      </c>
      <c r="P581">
        <v>0</v>
      </c>
      <c r="Q581">
        <v>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x14ac:dyDescent="0.3">
      <c r="A582" t="s">
        <v>194</v>
      </c>
      <c r="B582" t="s">
        <v>225</v>
      </c>
      <c r="C582" t="s">
        <v>38</v>
      </c>
      <c r="D582">
        <v>26</v>
      </c>
      <c r="E582">
        <v>26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 x14ac:dyDescent="0.3">
      <c r="A583" t="s">
        <v>194</v>
      </c>
      <c r="B583" t="s">
        <v>226</v>
      </c>
      <c r="C583" t="s">
        <v>34</v>
      </c>
      <c r="D583">
        <v>166</v>
      </c>
      <c r="E583">
        <v>160</v>
      </c>
      <c r="F583">
        <v>1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3">
      <c r="A584" t="s">
        <v>194</v>
      </c>
      <c r="B584" t="s">
        <v>226</v>
      </c>
      <c r="C584" t="s">
        <v>37</v>
      </c>
      <c r="D584">
        <v>131</v>
      </c>
      <c r="E584">
        <v>127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 x14ac:dyDescent="0.3">
      <c r="A585" t="s">
        <v>194</v>
      </c>
      <c r="B585" t="s">
        <v>226</v>
      </c>
      <c r="C585" t="s">
        <v>38</v>
      </c>
      <c r="D585">
        <v>35</v>
      </c>
      <c r="E585">
        <v>33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 x14ac:dyDescent="0.3">
      <c r="A586" t="s">
        <v>194</v>
      </c>
      <c r="B586" t="s">
        <v>227</v>
      </c>
      <c r="C586" t="s">
        <v>34</v>
      </c>
      <c r="D586">
        <v>165</v>
      </c>
      <c r="E586">
        <v>155</v>
      </c>
      <c r="F586">
        <v>1</v>
      </c>
      <c r="G586">
        <v>1</v>
      </c>
      <c r="H586">
        <v>2</v>
      </c>
      <c r="I586">
        <v>0</v>
      </c>
      <c r="J586">
        <v>0</v>
      </c>
      <c r="K586">
        <v>1</v>
      </c>
      <c r="L586">
        <v>1</v>
      </c>
      <c r="M586">
        <v>0</v>
      </c>
      <c r="N586">
        <v>4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</row>
    <row r="587" spans="1:34" x14ac:dyDescent="0.3">
      <c r="A587" t="s">
        <v>194</v>
      </c>
      <c r="B587" t="s">
        <v>227</v>
      </c>
      <c r="C587" t="s">
        <v>37</v>
      </c>
      <c r="D587">
        <v>105</v>
      </c>
      <c r="E587">
        <v>98</v>
      </c>
      <c r="F587">
        <v>0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 x14ac:dyDescent="0.3">
      <c r="A588" t="s">
        <v>194</v>
      </c>
      <c r="B588" t="s">
        <v>227</v>
      </c>
      <c r="C588" t="s">
        <v>38</v>
      </c>
      <c r="D588">
        <v>60</v>
      </c>
      <c r="E588">
        <v>57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 x14ac:dyDescent="0.3">
      <c r="A589" t="s">
        <v>194</v>
      </c>
      <c r="B589" t="s">
        <v>228</v>
      </c>
      <c r="C589" t="s">
        <v>34</v>
      </c>
      <c r="D589">
        <v>162</v>
      </c>
      <c r="E589">
        <v>156</v>
      </c>
      <c r="F589">
        <v>1</v>
      </c>
      <c r="G589">
        <v>1</v>
      </c>
      <c r="H589">
        <v>2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 x14ac:dyDescent="0.3">
      <c r="A590" t="s">
        <v>194</v>
      </c>
      <c r="B590" t="s">
        <v>228</v>
      </c>
      <c r="C590" t="s">
        <v>37</v>
      </c>
      <c r="D590">
        <v>142</v>
      </c>
      <c r="E590">
        <v>137</v>
      </c>
      <c r="F590">
        <v>0</v>
      </c>
      <c r="G590">
        <v>1</v>
      </c>
      <c r="H590">
        <v>2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1" spans="1:34" x14ac:dyDescent="0.3">
      <c r="A591" t="s">
        <v>194</v>
      </c>
      <c r="B591" t="s">
        <v>228</v>
      </c>
      <c r="C591" t="s">
        <v>38</v>
      </c>
      <c r="D591">
        <v>20</v>
      </c>
      <c r="E591">
        <v>19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 x14ac:dyDescent="0.3">
      <c r="A592" t="s">
        <v>194</v>
      </c>
      <c r="B592" t="s">
        <v>229</v>
      </c>
      <c r="C592" t="s">
        <v>34</v>
      </c>
      <c r="D592">
        <v>135</v>
      </c>
      <c r="E592">
        <v>124</v>
      </c>
      <c r="F592">
        <v>4</v>
      </c>
      <c r="G592">
        <v>3</v>
      </c>
      <c r="H592">
        <v>0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</row>
    <row r="593" spans="1:34" x14ac:dyDescent="0.3">
      <c r="A593" t="s">
        <v>194</v>
      </c>
      <c r="B593" t="s">
        <v>229</v>
      </c>
      <c r="C593" t="s">
        <v>37</v>
      </c>
      <c r="D593">
        <v>91</v>
      </c>
      <c r="E593">
        <v>80</v>
      </c>
      <c r="F593">
        <v>4</v>
      </c>
      <c r="G593">
        <v>3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 x14ac:dyDescent="0.3">
      <c r="A594" t="s">
        <v>194</v>
      </c>
      <c r="B594" t="s">
        <v>229</v>
      </c>
      <c r="C594" t="s">
        <v>38</v>
      </c>
      <c r="D594">
        <v>44</v>
      </c>
      <c r="E594">
        <v>44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</row>
    <row r="595" spans="1:34" x14ac:dyDescent="0.3">
      <c r="A595" t="s">
        <v>194</v>
      </c>
      <c r="B595" t="s">
        <v>230</v>
      </c>
      <c r="C595" t="s">
        <v>34</v>
      </c>
      <c r="D595">
        <v>135</v>
      </c>
      <c r="E595">
        <v>123</v>
      </c>
      <c r="F595">
        <v>6</v>
      </c>
      <c r="G595">
        <v>1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 x14ac:dyDescent="0.3">
      <c r="A596" t="s">
        <v>194</v>
      </c>
      <c r="B596" t="s">
        <v>230</v>
      </c>
      <c r="C596" t="s">
        <v>37</v>
      </c>
      <c r="D596">
        <v>70</v>
      </c>
      <c r="E596">
        <v>62</v>
      </c>
      <c r="F596">
        <v>3</v>
      </c>
      <c r="G596">
        <v>1</v>
      </c>
      <c r="H596">
        <v>0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 x14ac:dyDescent="0.3">
      <c r="A597" t="s">
        <v>194</v>
      </c>
      <c r="B597" t="s">
        <v>230</v>
      </c>
      <c r="C597" t="s">
        <v>38</v>
      </c>
      <c r="D597">
        <v>65</v>
      </c>
      <c r="E597">
        <v>61</v>
      </c>
      <c r="F597">
        <v>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 x14ac:dyDescent="0.3">
      <c r="A598" t="s">
        <v>194</v>
      </c>
      <c r="B598" t="s">
        <v>231</v>
      </c>
      <c r="C598" t="s">
        <v>34</v>
      </c>
      <c r="D598">
        <v>132</v>
      </c>
      <c r="E598">
        <v>130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 x14ac:dyDescent="0.3">
      <c r="A599" t="s">
        <v>194</v>
      </c>
      <c r="B599" t="s">
        <v>231</v>
      </c>
      <c r="C599" t="s">
        <v>37</v>
      </c>
      <c r="D599">
        <v>92</v>
      </c>
      <c r="E599">
        <v>90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 x14ac:dyDescent="0.3">
      <c r="A600" t="s">
        <v>194</v>
      </c>
      <c r="B600" t="s">
        <v>231</v>
      </c>
      <c r="C600" t="s">
        <v>38</v>
      </c>
      <c r="D600">
        <v>40</v>
      </c>
      <c r="E600">
        <v>40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</row>
    <row r="601" spans="1:34" x14ac:dyDescent="0.3">
      <c r="A601" t="s">
        <v>194</v>
      </c>
      <c r="B601" t="s">
        <v>232</v>
      </c>
      <c r="C601" t="s">
        <v>34</v>
      </c>
      <c r="D601">
        <v>125</v>
      </c>
      <c r="E601">
        <v>121</v>
      </c>
      <c r="F601">
        <v>0</v>
      </c>
      <c r="G601">
        <v>1</v>
      </c>
      <c r="H601">
        <v>1</v>
      </c>
      <c r="I601">
        <v>0</v>
      </c>
      <c r="J601">
        <v>0</v>
      </c>
      <c r="K601">
        <v>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</row>
    <row r="602" spans="1:34" x14ac:dyDescent="0.3">
      <c r="A602" t="s">
        <v>194</v>
      </c>
      <c r="B602" t="s">
        <v>232</v>
      </c>
      <c r="C602" t="s">
        <v>37</v>
      </c>
      <c r="D602">
        <v>90</v>
      </c>
      <c r="E602">
        <v>87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3">
      <c r="A603" t="s">
        <v>194</v>
      </c>
      <c r="B603" t="s">
        <v>232</v>
      </c>
      <c r="C603" t="s">
        <v>38</v>
      </c>
      <c r="D603">
        <v>35</v>
      </c>
      <c r="E603">
        <v>34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3">
      <c r="A604" t="s">
        <v>194</v>
      </c>
      <c r="B604" t="s">
        <v>233</v>
      </c>
      <c r="C604" t="s">
        <v>34</v>
      </c>
      <c r="D604">
        <v>103</v>
      </c>
      <c r="E604">
        <v>47</v>
      </c>
      <c r="F604">
        <v>3</v>
      </c>
      <c r="G604">
        <v>3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49</v>
      </c>
      <c r="AH604">
        <v>0</v>
      </c>
    </row>
    <row r="605" spans="1:34" x14ac:dyDescent="0.3">
      <c r="A605" t="s">
        <v>194</v>
      </c>
      <c r="B605" t="s">
        <v>233</v>
      </c>
      <c r="C605" t="s">
        <v>37</v>
      </c>
      <c r="D605">
        <v>87</v>
      </c>
      <c r="E605">
        <v>38</v>
      </c>
      <c r="F605">
        <v>2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45</v>
      </c>
      <c r="AH605">
        <v>0</v>
      </c>
    </row>
    <row r="606" spans="1:34" x14ac:dyDescent="0.3">
      <c r="A606" t="s">
        <v>194</v>
      </c>
      <c r="B606" t="s">
        <v>233</v>
      </c>
      <c r="C606" t="s">
        <v>38</v>
      </c>
      <c r="D606">
        <v>16</v>
      </c>
      <c r="E606">
        <v>9</v>
      </c>
      <c r="F606">
        <v>1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4</v>
      </c>
      <c r="AH606">
        <v>0</v>
      </c>
    </row>
    <row r="607" spans="1:34" x14ac:dyDescent="0.3">
      <c r="A607" t="s">
        <v>194</v>
      </c>
      <c r="B607" t="s">
        <v>234</v>
      </c>
      <c r="C607" t="s">
        <v>34</v>
      </c>
      <c r="D607">
        <v>102</v>
      </c>
      <c r="E607">
        <v>90</v>
      </c>
      <c r="F607">
        <v>6</v>
      </c>
      <c r="G607">
        <v>1</v>
      </c>
      <c r="H607">
        <v>0</v>
      </c>
      <c r="I607">
        <v>2</v>
      </c>
      <c r="J607">
        <v>0</v>
      </c>
      <c r="K607">
        <v>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 x14ac:dyDescent="0.3">
      <c r="A608" t="s">
        <v>194</v>
      </c>
      <c r="B608" t="s">
        <v>234</v>
      </c>
      <c r="C608" t="s">
        <v>37</v>
      </c>
      <c r="D608">
        <v>62</v>
      </c>
      <c r="E608">
        <v>54</v>
      </c>
      <c r="F608">
        <v>4</v>
      </c>
      <c r="G608">
        <v>1</v>
      </c>
      <c r="H608">
        <v>0</v>
      </c>
      <c r="I608">
        <v>1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 x14ac:dyDescent="0.3">
      <c r="A609" t="s">
        <v>194</v>
      </c>
      <c r="B609" t="s">
        <v>234</v>
      </c>
      <c r="C609" t="s">
        <v>38</v>
      </c>
      <c r="D609">
        <v>40</v>
      </c>
      <c r="E609">
        <v>36</v>
      </c>
      <c r="F609">
        <v>2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 x14ac:dyDescent="0.3">
      <c r="A610" t="s">
        <v>194</v>
      </c>
      <c r="B610" t="s">
        <v>235</v>
      </c>
      <c r="C610" t="s">
        <v>34</v>
      </c>
      <c r="D610">
        <v>94</v>
      </c>
      <c r="E610">
        <v>29</v>
      </c>
      <c r="F610">
        <v>1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62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 x14ac:dyDescent="0.3">
      <c r="A611" t="s">
        <v>194</v>
      </c>
      <c r="B611" t="s">
        <v>235</v>
      </c>
      <c r="C611" t="s">
        <v>37</v>
      </c>
      <c r="D611">
        <v>84</v>
      </c>
      <c r="E611">
        <v>21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62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 x14ac:dyDescent="0.3">
      <c r="A612" t="s">
        <v>194</v>
      </c>
      <c r="B612" t="s">
        <v>235</v>
      </c>
      <c r="C612" t="s">
        <v>38</v>
      </c>
      <c r="D612">
        <v>10</v>
      </c>
      <c r="E612">
        <v>8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 x14ac:dyDescent="0.3">
      <c r="A613" t="s">
        <v>194</v>
      </c>
      <c r="B613" t="s">
        <v>236</v>
      </c>
      <c r="C613" t="s">
        <v>34</v>
      </c>
      <c r="D613">
        <v>74</v>
      </c>
      <c r="E613">
        <v>61</v>
      </c>
      <c r="F613">
        <v>1</v>
      </c>
      <c r="G613">
        <v>3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7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3">
      <c r="A614" t="s">
        <v>194</v>
      </c>
      <c r="B614" t="s">
        <v>236</v>
      </c>
      <c r="C614" t="s">
        <v>37</v>
      </c>
      <c r="D614">
        <v>56</v>
      </c>
      <c r="E614">
        <v>47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7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 x14ac:dyDescent="0.3">
      <c r="A615" t="s">
        <v>194</v>
      </c>
      <c r="B615" t="s">
        <v>236</v>
      </c>
      <c r="C615" t="s">
        <v>38</v>
      </c>
      <c r="D615">
        <v>18</v>
      </c>
      <c r="E615">
        <v>14</v>
      </c>
      <c r="F615">
        <v>0</v>
      </c>
      <c r="G615">
        <v>3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 x14ac:dyDescent="0.3">
      <c r="A616" t="s">
        <v>194</v>
      </c>
      <c r="B616" t="s">
        <v>237</v>
      </c>
      <c r="C616" t="s">
        <v>34</v>
      </c>
      <c r="D616">
        <v>67</v>
      </c>
      <c r="E616">
        <v>58</v>
      </c>
      <c r="F616">
        <v>2</v>
      </c>
      <c r="G616">
        <v>2</v>
      </c>
      <c r="H616">
        <v>0</v>
      </c>
      <c r="I616">
        <v>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 spans="1:34" x14ac:dyDescent="0.3">
      <c r="A617" t="s">
        <v>194</v>
      </c>
      <c r="B617" t="s">
        <v>237</v>
      </c>
      <c r="C617" t="s">
        <v>37</v>
      </c>
      <c r="D617">
        <v>45</v>
      </c>
      <c r="E617">
        <v>38</v>
      </c>
      <c r="F617">
        <v>1</v>
      </c>
      <c r="G617">
        <v>1</v>
      </c>
      <c r="H617">
        <v>0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 x14ac:dyDescent="0.3">
      <c r="A618" t="s">
        <v>194</v>
      </c>
      <c r="B618" t="s">
        <v>237</v>
      </c>
      <c r="C618" t="s">
        <v>38</v>
      </c>
      <c r="D618">
        <v>22</v>
      </c>
      <c r="E618">
        <v>20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 x14ac:dyDescent="0.3">
      <c r="A619" t="s">
        <v>194</v>
      </c>
      <c r="B619" t="s">
        <v>238</v>
      </c>
      <c r="C619" t="s">
        <v>34</v>
      </c>
      <c r="D619">
        <v>64</v>
      </c>
      <c r="E619">
        <v>56</v>
      </c>
      <c r="F619">
        <v>4</v>
      </c>
      <c r="G619">
        <v>1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 x14ac:dyDescent="0.3">
      <c r="A620" t="s">
        <v>194</v>
      </c>
      <c r="B620" t="s">
        <v>238</v>
      </c>
      <c r="C620" t="s">
        <v>37</v>
      </c>
      <c r="D620">
        <v>40</v>
      </c>
      <c r="E620">
        <v>36</v>
      </c>
      <c r="F620">
        <v>0</v>
      </c>
      <c r="G620">
        <v>1</v>
      </c>
      <c r="H620">
        <v>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 x14ac:dyDescent="0.3">
      <c r="A621" t="s">
        <v>194</v>
      </c>
      <c r="B621" t="s">
        <v>238</v>
      </c>
      <c r="C621" t="s">
        <v>38</v>
      </c>
      <c r="D621">
        <v>24</v>
      </c>
      <c r="E621">
        <v>20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 x14ac:dyDescent="0.3">
      <c r="A622" t="s">
        <v>194</v>
      </c>
      <c r="B622" t="s">
        <v>239</v>
      </c>
      <c r="C622" t="s">
        <v>34</v>
      </c>
      <c r="D622">
        <v>50</v>
      </c>
      <c r="E622">
        <v>47</v>
      </c>
      <c r="F622">
        <v>2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 spans="1:34" x14ac:dyDescent="0.3">
      <c r="A623" t="s">
        <v>194</v>
      </c>
      <c r="B623" t="s">
        <v>239</v>
      </c>
      <c r="C623" t="s">
        <v>37</v>
      </c>
      <c r="D623">
        <v>38</v>
      </c>
      <c r="E623">
        <v>35</v>
      </c>
      <c r="F623">
        <v>2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 x14ac:dyDescent="0.3">
      <c r="A624" t="s">
        <v>194</v>
      </c>
      <c r="B624" t="s">
        <v>239</v>
      </c>
      <c r="C624" t="s">
        <v>38</v>
      </c>
      <c r="D624">
        <v>12</v>
      </c>
      <c r="E624">
        <v>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 x14ac:dyDescent="0.3">
      <c r="A625" t="s">
        <v>194</v>
      </c>
      <c r="B625" t="s">
        <v>240</v>
      </c>
      <c r="C625" t="s">
        <v>34</v>
      </c>
      <c r="D625">
        <v>48</v>
      </c>
      <c r="E625">
        <v>43</v>
      </c>
      <c r="F625">
        <v>2</v>
      </c>
      <c r="G625">
        <v>0</v>
      </c>
      <c r="H625">
        <v>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 x14ac:dyDescent="0.3">
      <c r="A626" t="s">
        <v>194</v>
      </c>
      <c r="B626" t="s">
        <v>240</v>
      </c>
      <c r="C626" t="s">
        <v>37</v>
      </c>
      <c r="D626">
        <v>31</v>
      </c>
      <c r="E626">
        <v>28</v>
      </c>
      <c r="F626">
        <v>2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 x14ac:dyDescent="0.3">
      <c r="A627" t="s">
        <v>194</v>
      </c>
      <c r="B627" t="s">
        <v>240</v>
      </c>
      <c r="C627" t="s">
        <v>38</v>
      </c>
      <c r="D627">
        <v>17</v>
      </c>
      <c r="E627">
        <v>15</v>
      </c>
      <c r="F627">
        <v>0</v>
      </c>
      <c r="G627">
        <v>0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</row>
    <row r="628" spans="1:34" x14ac:dyDescent="0.3">
      <c r="A628" t="s">
        <v>194</v>
      </c>
      <c r="B628" t="s">
        <v>241</v>
      </c>
      <c r="C628" t="s">
        <v>34</v>
      </c>
      <c r="D628">
        <v>40</v>
      </c>
      <c r="E628">
        <v>39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 x14ac:dyDescent="0.3">
      <c r="A629" t="s">
        <v>194</v>
      </c>
      <c r="B629" t="s">
        <v>241</v>
      </c>
      <c r="C629" t="s">
        <v>37</v>
      </c>
      <c r="D629">
        <v>33</v>
      </c>
      <c r="E629">
        <v>33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 x14ac:dyDescent="0.3">
      <c r="A630" t="s">
        <v>194</v>
      </c>
      <c r="B630" t="s">
        <v>241</v>
      </c>
      <c r="C630" t="s">
        <v>38</v>
      </c>
      <c r="D630">
        <v>7</v>
      </c>
      <c r="E630">
        <v>6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 x14ac:dyDescent="0.3">
      <c r="A631" t="s">
        <v>194</v>
      </c>
      <c r="B631" t="s">
        <v>242</v>
      </c>
      <c r="C631" t="s">
        <v>34</v>
      </c>
      <c r="D631">
        <v>38</v>
      </c>
      <c r="E631">
        <v>36</v>
      </c>
      <c r="F631">
        <v>0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 x14ac:dyDescent="0.3">
      <c r="A632" t="s">
        <v>194</v>
      </c>
      <c r="B632" t="s">
        <v>242</v>
      </c>
      <c r="C632" t="s">
        <v>37</v>
      </c>
      <c r="D632">
        <v>27</v>
      </c>
      <c r="E632">
        <v>25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 x14ac:dyDescent="0.3">
      <c r="A633" t="s">
        <v>194</v>
      </c>
      <c r="B633" t="s">
        <v>242</v>
      </c>
      <c r="C633" t="s">
        <v>38</v>
      </c>
      <c r="D633">
        <v>11</v>
      </c>
      <c r="E633">
        <v>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 x14ac:dyDescent="0.3">
      <c r="A634" t="s">
        <v>194</v>
      </c>
      <c r="B634" t="s">
        <v>243</v>
      </c>
      <c r="C634" t="s">
        <v>34</v>
      </c>
      <c r="D634">
        <v>35</v>
      </c>
      <c r="E634">
        <v>34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 x14ac:dyDescent="0.3">
      <c r="A635" t="s">
        <v>194</v>
      </c>
      <c r="B635" t="s">
        <v>243</v>
      </c>
      <c r="C635" t="s">
        <v>37</v>
      </c>
      <c r="D635">
        <v>19</v>
      </c>
      <c r="E635">
        <v>19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 x14ac:dyDescent="0.3">
      <c r="A636" t="s">
        <v>194</v>
      </c>
      <c r="B636" t="s">
        <v>243</v>
      </c>
      <c r="C636" t="s">
        <v>38</v>
      </c>
      <c r="D636">
        <v>16</v>
      </c>
      <c r="E636">
        <v>15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 x14ac:dyDescent="0.3">
      <c r="A637" t="s">
        <v>194</v>
      </c>
      <c r="B637" t="s">
        <v>244</v>
      </c>
      <c r="C637" t="s">
        <v>34</v>
      </c>
      <c r="D637">
        <v>32</v>
      </c>
      <c r="E637">
        <v>30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 x14ac:dyDescent="0.3">
      <c r="A638" t="s">
        <v>194</v>
      </c>
      <c r="B638" t="s">
        <v>244</v>
      </c>
      <c r="C638" t="s">
        <v>37</v>
      </c>
      <c r="D638">
        <v>21</v>
      </c>
      <c r="E638">
        <v>19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 x14ac:dyDescent="0.3">
      <c r="A639" t="s">
        <v>194</v>
      </c>
      <c r="B639" t="s">
        <v>244</v>
      </c>
      <c r="C639" t="s">
        <v>38</v>
      </c>
      <c r="D639">
        <v>11</v>
      </c>
      <c r="E639">
        <v>11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3">
      <c r="A640" t="s">
        <v>194</v>
      </c>
      <c r="B640" t="s">
        <v>245</v>
      </c>
      <c r="C640" t="s">
        <v>34</v>
      </c>
      <c r="D640">
        <v>24</v>
      </c>
      <c r="E640">
        <v>24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 x14ac:dyDescent="0.3">
      <c r="A641" t="s">
        <v>194</v>
      </c>
      <c r="B641" t="s">
        <v>245</v>
      </c>
      <c r="C641" t="s">
        <v>37</v>
      </c>
      <c r="D641">
        <v>14</v>
      </c>
      <c r="E641">
        <v>14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 x14ac:dyDescent="0.3">
      <c r="A642" t="s">
        <v>194</v>
      </c>
      <c r="B642" t="s">
        <v>245</v>
      </c>
      <c r="C642" t="s">
        <v>38</v>
      </c>
      <c r="D642">
        <v>10</v>
      </c>
      <c r="E642">
        <v>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 spans="1:34" x14ac:dyDescent="0.3">
      <c r="A643" t="s">
        <v>194</v>
      </c>
      <c r="B643" t="s">
        <v>246</v>
      </c>
      <c r="C643" t="s">
        <v>34</v>
      </c>
      <c r="D643">
        <v>16</v>
      </c>
      <c r="E643">
        <v>13</v>
      </c>
      <c r="F643">
        <v>2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 x14ac:dyDescent="0.3">
      <c r="A644" t="s">
        <v>194</v>
      </c>
      <c r="B644" t="s">
        <v>246</v>
      </c>
      <c r="C644" t="s">
        <v>37</v>
      </c>
      <c r="D644">
        <v>8</v>
      </c>
      <c r="E644">
        <v>6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 x14ac:dyDescent="0.3">
      <c r="A645" t="s">
        <v>194</v>
      </c>
      <c r="B645" t="s">
        <v>246</v>
      </c>
      <c r="C645" t="s">
        <v>38</v>
      </c>
      <c r="D645">
        <v>8</v>
      </c>
      <c r="E645">
        <v>7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 x14ac:dyDescent="0.3">
      <c r="A646" t="s">
        <v>194</v>
      </c>
      <c r="B646" t="s">
        <v>247</v>
      </c>
      <c r="C646" t="s">
        <v>34</v>
      </c>
      <c r="D646">
        <v>15</v>
      </c>
      <c r="E646">
        <v>13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 x14ac:dyDescent="0.3">
      <c r="A647" t="s">
        <v>194</v>
      </c>
      <c r="B647" t="s">
        <v>247</v>
      </c>
      <c r="C647" t="s">
        <v>37</v>
      </c>
      <c r="D647">
        <v>8</v>
      </c>
      <c r="E647">
        <v>6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 x14ac:dyDescent="0.3">
      <c r="A648" t="s">
        <v>194</v>
      </c>
      <c r="B648" t="s">
        <v>247</v>
      </c>
      <c r="C648" t="s">
        <v>38</v>
      </c>
      <c r="D648">
        <v>7</v>
      </c>
      <c r="E648">
        <v>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 x14ac:dyDescent="0.3">
      <c r="A649" t="s">
        <v>194</v>
      </c>
      <c r="B649" t="s">
        <v>248</v>
      </c>
      <c r="C649" t="s">
        <v>34</v>
      </c>
      <c r="D649">
        <v>11</v>
      </c>
      <c r="E649">
        <v>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 x14ac:dyDescent="0.3">
      <c r="A650" t="s">
        <v>194</v>
      </c>
      <c r="B650" t="s">
        <v>248</v>
      </c>
      <c r="C650" t="s">
        <v>37</v>
      </c>
      <c r="D650">
        <v>6</v>
      </c>
      <c r="E650">
        <v>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 x14ac:dyDescent="0.3">
      <c r="A651" t="s">
        <v>194</v>
      </c>
      <c r="B651" t="s">
        <v>248</v>
      </c>
      <c r="C651" t="s">
        <v>38</v>
      </c>
      <c r="D651">
        <v>5</v>
      </c>
      <c r="E651">
        <v>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3">
      <c r="A652" s="2" t="s">
        <v>249</v>
      </c>
      <c r="B652" s="2"/>
      <c r="C652" t="s">
        <v>34</v>
      </c>
      <c r="D652" s="1">
        <v>1446</v>
      </c>
      <c r="E652" s="1">
        <v>1221</v>
      </c>
      <c r="F652" s="1">
        <v>70</v>
      </c>
      <c r="G652" s="1">
        <v>33</v>
      </c>
      <c r="H652" s="1">
        <v>10</v>
      </c>
      <c r="I652" s="1">
        <v>13</v>
      </c>
      <c r="J652" s="1">
        <v>0</v>
      </c>
      <c r="K652" s="1">
        <v>0</v>
      </c>
      <c r="L652" s="1">
        <v>0</v>
      </c>
      <c r="M652" s="1">
        <v>2</v>
      </c>
      <c r="N652" s="1">
        <v>0</v>
      </c>
      <c r="O652" s="1">
        <v>2</v>
      </c>
      <c r="P652" s="1">
        <v>50</v>
      </c>
      <c r="Q652" s="1">
        <v>1</v>
      </c>
      <c r="R652" s="1">
        <v>0</v>
      </c>
      <c r="S652" s="1">
        <v>31</v>
      </c>
      <c r="T652" s="1">
        <v>0</v>
      </c>
      <c r="U652" s="1">
        <v>4</v>
      </c>
      <c r="V652" s="1">
        <v>0</v>
      </c>
      <c r="W652" s="1">
        <v>0</v>
      </c>
      <c r="X652" s="1">
        <v>2</v>
      </c>
      <c r="Y652" s="1">
        <v>6</v>
      </c>
      <c r="Z652" s="1">
        <v>0</v>
      </c>
      <c r="AA652" s="1">
        <v>1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</row>
    <row r="653" spans="1:34" x14ac:dyDescent="0.3">
      <c r="A653" s="2"/>
      <c r="B653" s="2"/>
      <c r="C653" t="s">
        <v>37</v>
      </c>
      <c r="D653">
        <v>870</v>
      </c>
      <c r="E653">
        <v>695</v>
      </c>
      <c r="F653">
        <v>40</v>
      </c>
      <c r="G653">
        <v>20</v>
      </c>
      <c r="H653">
        <v>5</v>
      </c>
      <c r="I653">
        <v>12</v>
      </c>
      <c r="J653">
        <v>0</v>
      </c>
      <c r="K653">
        <v>0</v>
      </c>
      <c r="L653">
        <v>0</v>
      </c>
      <c r="M653">
        <v>2</v>
      </c>
      <c r="N653">
        <v>0</v>
      </c>
      <c r="O653">
        <v>2</v>
      </c>
      <c r="P653">
        <v>50</v>
      </c>
      <c r="Q653">
        <v>1</v>
      </c>
      <c r="R653">
        <v>0</v>
      </c>
      <c r="S653">
        <v>31</v>
      </c>
      <c r="T653">
        <v>0</v>
      </c>
      <c r="U653">
        <v>4</v>
      </c>
      <c r="V653">
        <v>0</v>
      </c>
      <c r="W653">
        <v>0</v>
      </c>
      <c r="X653">
        <v>2</v>
      </c>
      <c r="Y653">
        <v>5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 x14ac:dyDescent="0.3">
      <c r="A654" s="2"/>
      <c r="B654" s="2"/>
      <c r="C654" t="s">
        <v>38</v>
      </c>
      <c r="D654">
        <v>576</v>
      </c>
      <c r="E654">
        <v>526</v>
      </c>
      <c r="F654">
        <v>30</v>
      </c>
      <c r="G654">
        <v>13</v>
      </c>
      <c r="H654">
        <v>5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</sheetData>
  <mergeCells count="4">
    <mergeCell ref="A2:B5"/>
    <mergeCell ref="A6:B8"/>
    <mergeCell ref="A9:B12"/>
    <mergeCell ref="A652:B654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2026-03-03T12:49:17Z</dcterms:created>
  <dcterms:modified xsi:type="dcterms:W3CDTF">2026-03-03T12:49:17Z</dcterms:modified>
</cp:coreProperties>
</file>