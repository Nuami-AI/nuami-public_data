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2025년 통계연보 엑셀파일\"/>
    </mc:Choice>
  </mc:AlternateContent>
  <xr:revisionPtr revIDLastSave="0" documentId="8_{127DB66A-7EF7-428F-8440-DD0F6F8CF76B}" xr6:coauthVersionLast="47" xr6:coauthVersionMax="47" xr10:uidLastSave="{00000000-0000-0000-0000-000000000000}"/>
  <bookViews>
    <workbookView xWindow="4245" yWindow="45" windowWidth="24270" windowHeight="15150"/>
  </bookViews>
  <sheets>
    <sheet name="2025" sheetId="1" r:id="rId1"/>
  </sheets>
  <definedNames>
    <definedName name="_xlnm._FilterDatabase" localSheetId="0" hidden="1">'2025'!$A$1:$U$636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D5" i="1"/>
  <c r="D4" i="1"/>
  <c r="D3" i="1"/>
  <c r="E470" i="1"/>
  <c r="F470" i="1"/>
  <c r="G470" i="1"/>
  <c r="H470" i="1"/>
  <c r="I470" i="1"/>
  <c r="J470" i="1"/>
  <c r="K470" i="1"/>
  <c r="L470" i="1"/>
  <c r="M470" i="1"/>
  <c r="N470" i="1"/>
  <c r="O470" i="1"/>
  <c r="P470" i="1"/>
  <c r="Q470" i="1"/>
  <c r="R470" i="1"/>
  <c r="S470" i="1"/>
  <c r="T470" i="1"/>
  <c r="U470" i="1"/>
  <c r="E471" i="1"/>
  <c r="F471" i="1"/>
  <c r="G471" i="1"/>
  <c r="H471" i="1"/>
  <c r="I471" i="1"/>
  <c r="J471" i="1"/>
  <c r="K471" i="1"/>
  <c r="L471" i="1"/>
  <c r="M471" i="1"/>
  <c r="N471" i="1"/>
  <c r="O471" i="1"/>
  <c r="P471" i="1"/>
  <c r="Q471" i="1"/>
  <c r="R471" i="1"/>
  <c r="S471" i="1"/>
  <c r="T471" i="1"/>
  <c r="U471" i="1"/>
  <c r="D470" i="1"/>
  <c r="D471" i="1"/>
  <c r="E422" i="1"/>
  <c r="F422" i="1"/>
  <c r="G422" i="1"/>
  <c r="H422" i="1"/>
  <c r="I422" i="1"/>
  <c r="J422" i="1"/>
  <c r="K422" i="1"/>
  <c r="L422" i="1"/>
  <c r="M422" i="1"/>
  <c r="N422" i="1"/>
  <c r="O422" i="1"/>
  <c r="P422" i="1"/>
  <c r="Q422" i="1"/>
  <c r="R422" i="1"/>
  <c r="S422" i="1"/>
  <c r="T422" i="1"/>
  <c r="U422" i="1"/>
  <c r="E423" i="1"/>
  <c r="F423" i="1"/>
  <c r="G423" i="1"/>
  <c r="H423" i="1"/>
  <c r="I423" i="1"/>
  <c r="J423" i="1"/>
  <c r="K423" i="1"/>
  <c r="L423" i="1"/>
  <c r="M423" i="1"/>
  <c r="N423" i="1"/>
  <c r="O423" i="1"/>
  <c r="P423" i="1"/>
  <c r="Q423" i="1"/>
  <c r="R423" i="1"/>
  <c r="S423" i="1"/>
  <c r="T423" i="1"/>
  <c r="U423" i="1"/>
  <c r="E424" i="1"/>
  <c r="F424" i="1"/>
  <c r="G424" i="1"/>
  <c r="H424" i="1"/>
  <c r="I424" i="1"/>
  <c r="J424" i="1"/>
  <c r="K424" i="1"/>
  <c r="L424" i="1"/>
  <c r="M424" i="1"/>
  <c r="N424" i="1"/>
  <c r="O424" i="1"/>
  <c r="P424" i="1"/>
  <c r="Q424" i="1"/>
  <c r="R424" i="1"/>
  <c r="S424" i="1"/>
  <c r="T424" i="1"/>
  <c r="U424" i="1"/>
  <c r="D424" i="1"/>
  <c r="D423" i="1"/>
  <c r="D422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D272" i="1"/>
  <c r="D271" i="1"/>
  <c r="D270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D167" i="1"/>
  <c r="D166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D156" i="1"/>
  <c r="D155" i="1"/>
  <c r="D154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D8" i="1"/>
  <c r="D7" i="1"/>
</calcChain>
</file>

<file path=xl/sharedStrings.xml><?xml version="1.0" encoding="utf-8"?>
<sst xmlns="http://schemas.openxmlformats.org/spreadsheetml/2006/main" count="1914" uniqueCount="236">
  <si>
    <t>대륙</t>
  </si>
  <si>
    <t>국적</t>
  </si>
  <si>
    <t>성별</t>
  </si>
  <si>
    <t>총합계</t>
  </si>
  <si>
    <t>1일</t>
  </si>
  <si>
    <t>2일</t>
  </si>
  <si>
    <t>3일</t>
  </si>
  <si>
    <t>4일</t>
  </si>
  <si>
    <t>5일</t>
  </si>
  <si>
    <t>6~10일</t>
  </si>
  <si>
    <t>11~20일</t>
  </si>
  <si>
    <t>1개월 이하</t>
  </si>
  <si>
    <t>2개월 이하</t>
  </si>
  <si>
    <t>3개월 이하</t>
  </si>
  <si>
    <t>6개월 이하</t>
  </si>
  <si>
    <t>1년 이하</t>
  </si>
  <si>
    <t>2년 이하</t>
  </si>
  <si>
    <t>3년 이하</t>
  </si>
  <si>
    <t>5년 이하</t>
  </si>
  <si>
    <t>10년 이하</t>
  </si>
  <si>
    <t>10년 초과</t>
  </si>
  <si>
    <t>총계</t>
  </si>
  <si>
    <t>아시아주</t>
  </si>
  <si>
    <t>중국</t>
  </si>
  <si>
    <t>남성</t>
  </si>
  <si>
    <t>여성</t>
  </si>
  <si>
    <t>일본</t>
  </si>
  <si>
    <t>타이완</t>
  </si>
  <si>
    <t>홍콩</t>
  </si>
  <si>
    <t>베트남</t>
  </si>
  <si>
    <t>필리핀</t>
  </si>
  <si>
    <t>싱가포르</t>
  </si>
  <si>
    <t>타이</t>
  </si>
  <si>
    <t>말레이시아</t>
  </si>
  <si>
    <t>인도네시아</t>
  </si>
  <si>
    <t>몽골</t>
  </si>
  <si>
    <t>인도</t>
  </si>
  <si>
    <t>우즈베키스탄</t>
  </si>
  <si>
    <t>카자흐스탄</t>
  </si>
  <si>
    <t>캄보디아</t>
  </si>
  <si>
    <t>튀르키예</t>
  </si>
  <si>
    <t>마카오</t>
  </si>
  <si>
    <t>미얀마</t>
  </si>
  <si>
    <t>네팔</t>
  </si>
  <si>
    <t>이스라엘</t>
  </si>
  <si>
    <t>라오스</t>
  </si>
  <si>
    <t>방글라데시</t>
  </si>
  <si>
    <t>스리랑카</t>
  </si>
  <si>
    <t>사우디아라비아</t>
  </si>
  <si>
    <t>한국계중국인</t>
  </si>
  <si>
    <t>파키스탄</t>
  </si>
  <si>
    <t>키르기즈</t>
  </si>
  <si>
    <t>아랍에미리트연합</t>
  </si>
  <si>
    <t>타지키스탄</t>
  </si>
  <si>
    <t>브루나이</t>
  </si>
  <si>
    <t>쿠웨이트</t>
  </si>
  <si>
    <t>이란</t>
  </si>
  <si>
    <t>이라크</t>
  </si>
  <si>
    <t>시리아</t>
  </si>
  <si>
    <t>요르단</t>
  </si>
  <si>
    <t>카타르</t>
  </si>
  <si>
    <t>오만</t>
  </si>
  <si>
    <t>티모르민주공화국</t>
  </si>
  <si>
    <t>키프로스</t>
  </si>
  <si>
    <t>투르크메니스탄</t>
  </si>
  <si>
    <t>예멘공화국</t>
  </si>
  <si>
    <t>바레인</t>
  </si>
  <si>
    <t>레바논</t>
  </si>
  <si>
    <t>부탄</t>
  </si>
  <si>
    <t>아프가니스탄</t>
  </si>
  <si>
    <t>팔레스타인</t>
  </si>
  <si>
    <t>몰디브</t>
  </si>
  <si>
    <t>홍콩거주난민</t>
  </si>
  <si>
    <t>북아메리카주</t>
  </si>
  <si>
    <t>미국</t>
  </si>
  <si>
    <t>제3의성</t>
  </si>
  <si>
    <t>캐나다</t>
  </si>
  <si>
    <t>남아메리카주</t>
  </si>
  <si>
    <t>멕시코</t>
  </si>
  <si>
    <t>브라질</t>
  </si>
  <si>
    <t>콜롬비아</t>
  </si>
  <si>
    <t>아르헨티나</t>
  </si>
  <si>
    <t>칠레</t>
  </si>
  <si>
    <t>페루</t>
  </si>
  <si>
    <t>에콰도르</t>
  </si>
  <si>
    <t>코스타리카</t>
  </si>
  <si>
    <t>베네수엘라</t>
  </si>
  <si>
    <t>과테말라</t>
  </si>
  <si>
    <t>파나마</t>
  </si>
  <si>
    <t>도미니카공화국</t>
  </si>
  <si>
    <t>우루과이</t>
  </si>
  <si>
    <t>엘살바도르</t>
  </si>
  <si>
    <t>온두라스</t>
  </si>
  <si>
    <t>파라과이</t>
  </si>
  <si>
    <t>세인트크리스토퍼네비스</t>
  </si>
  <si>
    <t>도미니카연방</t>
  </si>
  <si>
    <t>자메이카</t>
  </si>
  <si>
    <t>볼리비아</t>
  </si>
  <si>
    <t>트리니다드토바고</t>
  </si>
  <si>
    <t>바하마</t>
  </si>
  <si>
    <t>니카라과</t>
  </si>
  <si>
    <t>그레나다</t>
  </si>
  <si>
    <t>세인트루시아</t>
  </si>
  <si>
    <t>쿠바</t>
  </si>
  <si>
    <t>아이티</t>
  </si>
  <si>
    <t>앤티카바부다</t>
  </si>
  <si>
    <t>수리남</t>
  </si>
  <si>
    <t>바베이도스</t>
  </si>
  <si>
    <t>가이아나</t>
  </si>
  <si>
    <t>벨리즈</t>
  </si>
  <si>
    <t>세인트빈센트그레나딘</t>
  </si>
  <si>
    <t>미국인근섬</t>
  </si>
  <si>
    <t>유럽주</t>
  </si>
  <si>
    <t>러시아 (연방)</t>
  </si>
  <si>
    <t>프랑스</t>
  </si>
  <si>
    <t>영국</t>
  </si>
  <si>
    <t>독일</t>
  </si>
  <si>
    <t>이탈리아</t>
  </si>
  <si>
    <t>스페인</t>
  </si>
  <si>
    <t>네덜란드</t>
  </si>
  <si>
    <t>폴란드</t>
  </si>
  <si>
    <t>스위스</t>
  </si>
  <si>
    <t>스웨덴</t>
  </si>
  <si>
    <t>벨기에</t>
  </si>
  <si>
    <t>덴마크</t>
  </si>
  <si>
    <t>오스트리아</t>
  </si>
  <si>
    <t>포르투갈</t>
  </si>
  <si>
    <t>아일랜드</t>
  </si>
  <si>
    <t>노르웨이</t>
  </si>
  <si>
    <t>루마니아</t>
  </si>
  <si>
    <t>핀란드</t>
  </si>
  <si>
    <t>체코</t>
  </si>
  <si>
    <t>우크라이나</t>
  </si>
  <si>
    <t>그리스</t>
  </si>
  <si>
    <t>헝가리</t>
  </si>
  <si>
    <t>영국보호민</t>
  </si>
  <si>
    <t>불가리아</t>
  </si>
  <si>
    <t>리투아니아</t>
  </si>
  <si>
    <t>슬로바크</t>
  </si>
  <si>
    <t>크로아티아</t>
  </si>
  <si>
    <t>라트비아</t>
  </si>
  <si>
    <t>세르비아</t>
  </si>
  <si>
    <t>슬로베니아</t>
  </si>
  <si>
    <t>에스토니아</t>
  </si>
  <si>
    <t>벨라루스</t>
  </si>
  <si>
    <t>룩셈부르크</t>
  </si>
  <si>
    <t>아제르바이잔</t>
  </si>
  <si>
    <t>조지아</t>
  </si>
  <si>
    <t>몰타</t>
  </si>
  <si>
    <t>알바니아</t>
  </si>
  <si>
    <t>아이슬란드</t>
  </si>
  <si>
    <t>몬테네그로</t>
  </si>
  <si>
    <t>유고슬라비아</t>
  </si>
  <si>
    <t>아르메니아</t>
  </si>
  <si>
    <t>몰도바</t>
  </si>
  <si>
    <t>코소보</t>
  </si>
  <si>
    <t>안도라</t>
  </si>
  <si>
    <t>리히텐슈타인</t>
  </si>
  <si>
    <t>모나코</t>
  </si>
  <si>
    <t>산마리노</t>
  </si>
  <si>
    <t>교황청</t>
  </si>
  <si>
    <t>오세아니아주</t>
  </si>
  <si>
    <t>오스트레일리아</t>
  </si>
  <si>
    <t>뉴질랜드</t>
  </si>
  <si>
    <t>피지</t>
  </si>
  <si>
    <t>파푸아뉴기니</t>
  </si>
  <si>
    <t>미이크로네시아</t>
  </si>
  <si>
    <t>바누아투</t>
  </si>
  <si>
    <t>마샬군도</t>
  </si>
  <si>
    <t>솔로몬군도</t>
  </si>
  <si>
    <t>팔라우</t>
  </si>
  <si>
    <t>통가</t>
  </si>
  <si>
    <t>사모아</t>
  </si>
  <si>
    <t>투발루</t>
  </si>
  <si>
    <t>키리바시</t>
  </si>
  <si>
    <t>나우루</t>
  </si>
  <si>
    <t>아프리카주</t>
  </si>
  <si>
    <t>남아프리카공화국</t>
  </si>
  <si>
    <t>이집트</t>
  </si>
  <si>
    <t>모로코</t>
  </si>
  <si>
    <t>리비아</t>
  </si>
  <si>
    <t>케냐</t>
  </si>
  <si>
    <t>튀니지</t>
  </si>
  <si>
    <t>나이지리아</t>
  </si>
  <si>
    <t>가나</t>
  </si>
  <si>
    <t>에티오피아</t>
  </si>
  <si>
    <t>탄자니아</t>
  </si>
  <si>
    <t>알제리</t>
  </si>
  <si>
    <t>모리셔스</t>
  </si>
  <si>
    <t>우간다</t>
  </si>
  <si>
    <t>르완다</t>
  </si>
  <si>
    <t>코트디부아르</t>
  </si>
  <si>
    <t>짐바브웨</t>
  </si>
  <si>
    <t>콩고민주공화국</t>
  </si>
  <si>
    <t>카메룬</t>
  </si>
  <si>
    <t>세네갈</t>
  </si>
  <si>
    <t>수단</t>
  </si>
  <si>
    <t>부룬디</t>
  </si>
  <si>
    <t>마다가스카르</t>
  </si>
  <si>
    <t>모잠비크</t>
  </si>
  <si>
    <t>잠비아</t>
  </si>
  <si>
    <t>앙골라</t>
  </si>
  <si>
    <t>보츠와나</t>
  </si>
  <si>
    <t>가봉</t>
  </si>
  <si>
    <t>말라위</t>
  </si>
  <si>
    <t>라이베리아</t>
  </si>
  <si>
    <t>베냉</t>
  </si>
  <si>
    <t>말리</t>
  </si>
  <si>
    <t>기니</t>
  </si>
  <si>
    <t>토고</t>
  </si>
  <si>
    <t>에스와티니</t>
  </si>
  <si>
    <t>시에라리온</t>
  </si>
  <si>
    <t>부르키나파소</t>
  </si>
  <si>
    <t>감비아</t>
  </si>
  <si>
    <t>나미비아</t>
  </si>
  <si>
    <t>적도기니</t>
  </si>
  <si>
    <t>세이셸</t>
  </si>
  <si>
    <t>레소토</t>
  </si>
  <si>
    <t>콩고</t>
  </si>
  <si>
    <t>중앙아프리카공화국</t>
  </si>
  <si>
    <t>남수단공화국</t>
  </si>
  <si>
    <t>차드</t>
  </si>
  <si>
    <t>니제르</t>
  </si>
  <si>
    <t>소말리아</t>
  </si>
  <si>
    <t>카보베르데</t>
  </si>
  <si>
    <t>모리타니</t>
  </si>
  <si>
    <t>에리트레아</t>
  </si>
  <si>
    <t>코모로</t>
  </si>
  <si>
    <t>지부티</t>
  </si>
  <si>
    <t>기니비사우</t>
  </si>
  <si>
    <t>상투메프린시페</t>
  </si>
  <si>
    <t>남성</t>
    <phoneticPr fontId="18" type="noConversion"/>
  </si>
  <si>
    <t>여성</t>
    <phoneticPr fontId="18" type="noConversion"/>
  </si>
  <si>
    <t>제3의성</t>
    <phoneticPr fontId="18" type="noConversion"/>
  </si>
  <si>
    <t>총합계</t>
    <phoneticPr fontId="18" type="noConversion"/>
  </si>
  <si>
    <t>기타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</si>
</sst>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36"/>
  <sheetViews>
    <sheetView tabSelected="1" workbookViewId="0"/>
  </sheetViews>
  <sheetFormatPr defaultRowHeight="16.5" x14ac:dyDescent="0.3"/>
  <cols>
    <col min="3" max="3" width="9" style="4"/>
    <col min="4" max="21" width="11.625" customWidth="1"/>
  </cols>
  <sheetData>
    <row r="1" spans="1:21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3">
      <c r="A2" s="2" t="s">
        <v>3</v>
      </c>
      <c r="B2" s="2"/>
      <c r="C2" s="4" t="s">
        <v>21</v>
      </c>
      <c r="D2" s="1">
        <v>18244153</v>
      </c>
      <c r="E2" s="1">
        <v>2558756</v>
      </c>
      <c r="F2" s="1">
        <v>2741447</v>
      </c>
      <c r="G2" s="1">
        <v>2889384</v>
      </c>
      <c r="H2" s="1">
        <v>2876102</v>
      </c>
      <c r="I2" s="1">
        <v>1328474</v>
      </c>
      <c r="J2" s="1">
        <v>2385222</v>
      </c>
      <c r="K2" s="1">
        <v>988634</v>
      </c>
      <c r="L2" s="1">
        <v>349891</v>
      </c>
      <c r="M2" s="1">
        <v>422855</v>
      </c>
      <c r="N2" s="1">
        <v>337366</v>
      </c>
      <c r="O2" s="1">
        <v>439475</v>
      </c>
      <c r="P2" s="1">
        <v>491482</v>
      </c>
      <c r="Q2" s="1">
        <v>234670</v>
      </c>
      <c r="R2" s="1">
        <v>82809</v>
      </c>
      <c r="S2" s="1">
        <v>27603</v>
      </c>
      <c r="T2" s="1">
        <v>81006</v>
      </c>
      <c r="U2" s="1">
        <v>8977</v>
      </c>
    </row>
    <row r="3" spans="1:21" x14ac:dyDescent="0.3">
      <c r="A3" s="2"/>
      <c r="B3" s="2"/>
      <c r="C3" s="4" t="s">
        <v>231</v>
      </c>
      <c r="D3" s="1">
        <f>D7+D154+D166+D270+D422+D470+D635</f>
        <v>7064711</v>
      </c>
      <c r="E3" s="1">
        <f t="shared" ref="E3:U3" si="0">E7+E154+E166+E270+E422+E470+E635</f>
        <v>1181502</v>
      </c>
      <c r="F3" s="1">
        <f t="shared" si="0"/>
        <v>899229</v>
      </c>
      <c r="G3" s="1">
        <f t="shared" si="0"/>
        <v>915227</v>
      </c>
      <c r="H3" s="1">
        <f t="shared" si="0"/>
        <v>970986</v>
      </c>
      <c r="I3" s="1">
        <f t="shared" si="0"/>
        <v>477660</v>
      </c>
      <c r="J3" s="1">
        <f t="shared" si="0"/>
        <v>956822</v>
      </c>
      <c r="K3" s="1">
        <f t="shared" si="0"/>
        <v>440121</v>
      </c>
      <c r="L3" s="1">
        <f t="shared" si="0"/>
        <v>156905</v>
      </c>
      <c r="M3" s="1">
        <f t="shared" si="0"/>
        <v>187474</v>
      </c>
      <c r="N3" s="1">
        <f t="shared" si="0"/>
        <v>148490</v>
      </c>
      <c r="O3" s="1">
        <f t="shared" si="0"/>
        <v>207304</v>
      </c>
      <c r="P3" s="1">
        <f t="shared" si="0"/>
        <v>267114</v>
      </c>
      <c r="Q3" s="1">
        <f t="shared" si="0"/>
        <v>135921</v>
      </c>
      <c r="R3" s="1">
        <f t="shared" si="0"/>
        <v>50802</v>
      </c>
      <c r="S3" s="1">
        <f t="shared" si="0"/>
        <v>16955</v>
      </c>
      <c r="T3" s="1">
        <f t="shared" si="0"/>
        <v>46495</v>
      </c>
      <c r="U3" s="1">
        <f t="shared" si="0"/>
        <v>5704</v>
      </c>
    </row>
    <row r="4" spans="1:21" x14ac:dyDescent="0.3">
      <c r="A4" s="2"/>
      <c r="B4" s="2"/>
      <c r="C4" s="4" t="s">
        <v>232</v>
      </c>
      <c r="D4" s="1">
        <f>D8+D155+D167+D271+D423+D471++D636</f>
        <v>11179161</v>
      </c>
      <c r="E4" s="1">
        <f t="shared" ref="E4:U4" si="1">E8+E155+E167+E271+E423+E471++E636</f>
        <v>1377217</v>
      </c>
      <c r="F4" s="1">
        <f t="shared" si="1"/>
        <v>1842207</v>
      </c>
      <c r="G4" s="1">
        <f t="shared" si="1"/>
        <v>1974142</v>
      </c>
      <c r="H4" s="1">
        <f t="shared" si="1"/>
        <v>1905094</v>
      </c>
      <c r="I4" s="1">
        <f t="shared" si="1"/>
        <v>850795</v>
      </c>
      <c r="J4" s="1">
        <f t="shared" si="1"/>
        <v>1428336</v>
      </c>
      <c r="K4" s="1">
        <f t="shared" si="1"/>
        <v>548465</v>
      </c>
      <c r="L4" s="1">
        <f t="shared" si="1"/>
        <v>192971</v>
      </c>
      <c r="M4" s="1">
        <f t="shared" si="1"/>
        <v>235372</v>
      </c>
      <c r="N4" s="1">
        <f t="shared" si="1"/>
        <v>188867</v>
      </c>
      <c r="O4" s="1">
        <f t="shared" si="1"/>
        <v>232164</v>
      </c>
      <c r="P4" s="1">
        <f t="shared" si="1"/>
        <v>224344</v>
      </c>
      <c r="Q4" s="1">
        <f t="shared" si="1"/>
        <v>98749</v>
      </c>
      <c r="R4" s="1">
        <f t="shared" si="1"/>
        <v>32007</v>
      </c>
      <c r="S4" s="1">
        <f t="shared" si="1"/>
        <v>10648</v>
      </c>
      <c r="T4" s="1">
        <f t="shared" si="1"/>
        <v>34510</v>
      </c>
      <c r="U4" s="1">
        <f t="shared" si="1"/>
        <v>3273</v>
      </c>
    </row>
    <row r="5" spans="1:21" x14ac:dyDescent="0.3">
      <c r="A5" s="2"/>
      <c r="B5" s="2"/>
      <c r="C5" s="4" t="s">
        <v>233</v>
      </c>
      <c r="D5" s="1">
        <f>D156+D272+D424</f>
        <v>281</v>
      </c>
      <c r="E5" s="1">
        <f t="shared" ref="E5:U5" si="2">E156+E272+E424</f>
        <v>37</v>
      </c>
      <c r="F5" s="1">
        <f t="shared" si="2"/>
        <v>11</v>
      </c>
      <c r="G5" s="1">
        <f t="shared" si="2"/>
        <v>15</v>
      </c>
      <c r="H5" s="1">
        <f t="shared" si="2"/>
        <v>22</v>
      </c>
      <c r="I5" s="1">
        <f t="shared" si="2"/>
        <v>19</v>
      </c>
      <c r="J5" s="1">
        <f t="shared" si="2"/>
        <v>64</v>
      </c>
      <c r="K5" s="1">
        <f t="shared" si="2"/>
        <v>48</v>
      </c>
      <c r="L5" s="1">
        <f t="shared" si="2"/>
        <v>15</v>
      </c>
      <c r="M5" s="1">
        <f t="shared" si="2"/>
        <v>9</v>
      </c>
      <c r="N5" s="1">
        <f t="shared" si="2"/>
        <v>9</v>
      </c>
      <c r="O5" s="1">
        <f t="shared" si="2"/>
        <v>7</v>
      </c>
      <c r="P5" s="1">
        <f t="shared" si="2"/>
        <v>24</v>
      </c>
      <c r="Q5" s="1">
        <f t="shared" si="2"/>
        <v>0</v>
      </c>
      <c r="R5" s="1">
        <f t="shared" si="2"/>
        <v>0</v>
      </c>
      <c r="S5" s="1">
        <f t="shared" si="2"/>
        <v>0</v>
      </c>
      <c r="T5" s="1">
        <f t="shared" si="2"/>
        <v>1</v>
      </c>
      <c r="U5" s="1">
        <f t="shared" si="2"/>
        <v>0</v>
      </c>
    </row>
    <row r="6" spans="1:21" x14ac:dyDescent="0.3">
      <c r="A6" t="s">
        <v>22</v>
      </c>
      <c r="B6" t="s">
        <v>234</v>
      </c>
      <c r="C6" s="4" t="s">
        <v>21</v>
      </c>
      <c r="D6" s="1">
        <v>14768729</v>
      </c>
      <c r="E6" s="1">
        <v>1995785</v>
      </c>
      <c r="F6" s="1">
        <v>2549800</v>
      </c>
      <c r="G6" s="1">
        <v>2610859</v>
      </c>
      <c r="H6" s="1">
        <v>2595062</v>
      </c>
      <c r="I6" s="1">
        <v>1095157</v>
      </c>
      <c r="J6" s="1">
        <v>1618049</v>
      </c>
      <c r="K6" s="1">
        <v>434203</v>
      </c>
      <c r="L6" s="1">
        <v>201225</v>
      </c>
      <c r="M6" s="1">
        <v>277430</v>
      </c>
      <c r="N6" s="1">
        <v>253631</v>
      </c>
      <c r="O6" s="1">
        <v>349854</v>
      </c>
      <c r="P6" s="1">
        <v>392104</v>
      </c>
      <c r="Q6" s="1">
        <v>209412</v>
      </c>
      <c r="R6" s="1">
        <v>76121</v>
      </c>
      <c r="S6" s="1">
        <v>24916</v>
      </c>
      <c r="T6" s="1">
        <v>76468</v>
      </c>
      <c r="U6" s="1">
        <v>8653</v>
      </c>
    </row>
    <row r="7" spans="1:21" x14ac:dyDescent="0.3">
      <c r="A7" t="s">
        <v>22</v>
      </c>
      <c r="B7" t="s">
        <v>234</v>
      </c>
      <c r="C7" s="4" t="s">
        <v>24</v>
      </c>
      <c r="D7" s="1">
        <f>D10+D13+D16+D19+D22+D25+D28+D31+D34+D37+D40+D43+D46+D49+D52+D55+D58+D61+D64+D67+D70+D73+D76+D79+D82+D85+D88+D91+D94+D97+D100+D103+D106+D109+D112+D115+D118+D121+D124+D127+D130+D133+D136+D139+D142+D145+D148+D151</f>
        <v>5300245</v>
      </c>
      <c r="E7" s="1">
        <f t="shared" ref="E7:U7" si="3">E10+E13+E16+E19+E22+E25+E28+E31+E34+E37+E40+E43+E46+E49+E52+E55+E58+E61+E64+E67+E70+E73+E76+E79+E82+E85+E88+E91+E94+E97+E100+E103+E106+E109+E112+E115+E118+E121+E124+E127+E130+E133+E136+E139+E142+E145+E148+E151</f>
        <v>876987</v>
      </c>
      <c r="F7" s="1">
        <f t="shared" si="3"/>
        <v>787412</v>
      </c>
      <c r="G7" s="1">
        <f t="shared" si="3"/>
        <v>763054</v>
      </c>
      <c r="H7" s="1">
        <f t="shared" si="3"/>
        <v>823003</v>
      </c>
      <c r="I7" s="1">
        <f t="shared" si="3"/>
        <v>358178</v>
      </c>
      <c r="J7" s="1">
        <f t="shared" si="3"/>
        <v>587446</v>
      </c>
      <c r="K7" s="1">
        <f t="shared" si="3"/>
        <v>183714</v>
      </c>
      <c r="L7" s="1">
        <f t="shared" si="3"/>
        <v>86298</v>
      </c>
      <c r="M7" s="1">
        <f t="shared" si="3"/>
        <v>114780</v>
      </c>
      <c r="N7" s="1">
        <f t="shared" si="3"/>
        <v>107504</v>
      </c>
      <c r="O7" s="1">
        <f t="shared" si="3"/>
        <v>162986</v>
      </c>
      <c r="P7" s="1">
        <f t="shared" si="3"/>
        <v>214734</v>
      </c>
      <c r="Q7" s="1">
        <f t="shared" si="3"/>
        <v>122129</v>
      </c>
      <c r="R7" s="1">
        <f t="shared" si="3"/>
        <v>47109</v>
      </c>
      <c r="S7" s="1">
        <f t="shared" si="3"/>
        <v>15546</v>
      </c>
      <c r="T7" s="1">
        <f t="shared" si="3"/>
        <v>43867</v>
      </c>
      <c r="U7" s="1">
        <f t="shared" si="3"/>
        <v>5498</v>
      </c>
    </row>
    <row r="8" spans="1:21" x14ac:dyDescent="0.3">
      <c r="A8" t="s">
        <v>22</v>
      </c>
      <c r="B8" t="s">
        <v>234</v>
      </c>
      <c r="C8" s="4" t="s">
        <v>25</v>
      </c>
      <c r="D8" s="1">
        <f>D11+D14+D17+D20+D23+D26+D29+D32+D35+D38+D41+D44+D47+D50+D53+D56+D59+D62+D65+D68+D71+D74+D77+D80+D83+D86+D89+D92+D95+D98+D101+D104+D107+D110+D113+D116+D119+D122+D125+D128+D131+D134+D137+D140+D143+D146+D149+D152</f>
        <v>9468484</v>
      </c>
      <c r="E8" s="1">
        <f t="shared" ref="E8:U8" si="4">E11+E14+E17+E20+E23+E26+E29+E32+E35+E38+E41+E44+E47+E50+E53+E56+E59+E62+E65+E68+E71+E74+E77+E80+E83+E86+E89+E92+E95+E98+E101+E104+E107+E110+E113+E116+E119+E122+E125+E128+E131+E134+E137+E140+E143+E146+E149+E152</f>
        <v>1118798</v>
      </c>
      <c r="F8" s="1">
        <f t="shared" si="4"/>
        <v>1762388</v>
      </c>
      <c r="G8" s="1">
        <f t="shared" si="4"/>
        <v>1847805</v>
      </c>
      <c r="H8" s="1">
        <f t="shared" si="4"/>
        <v>1772059</v>
      </c>
      <c r="I8" s="1">
        <f t="shared" si="4"/>
        <v>736979</v>
      </c>
      <c r="J8" s="1">
        <f t="shared" si="4"/>
        <v>1030603</v>
      </c>
      <c r="K8" s="1">
        <f t="shared" si="4"/>
        <v>250489</v>
      </c>
      <c r="L8" s="1">
        <f t="shared" si="4"/>
        <v>114927</v>
      </c>
      <c r="M8" s="1">
        <f t="shared" si="4"/>
        <v>162650</v>
      </c>
      <c r="N8" s="1">
        <f t="shared" si="4"/>
        <v>146127</v>
      </c>
      <c r="O8" s="1">
        <f t="shared" si="4"/>
        <v>186868</v>
      </c>
      <c r="P8" s="1">
        <f t="shared" si="4"/>
        <v>177370</v>
      </c>
      <c r="Q8" s="1">
        <f t="shared" si="4"/>
        <v>87283</v>
      </c>
      <c r="R8" s="1">
        <f t="shared" si="4"/>
        <v>29012</v>
      </c>
      <c r="S8" s="1">
        <f t="shared" si="4"/>
        <v>9370</v>
      </c>
      <c r="T8" s="1">
        <f t="shared" si="4"/>
        <v>32601</v>
      </c>
      <c r="U8" s="1">
        <f t="shared" si="4"/>
        <v>3155</v>
      </c>
    </row>
    <row r="9" spans="1:21" x14ac:dyDescent="0.3">
      <c r="A9" t="s">
        <v>22</v>
      </c>
      <c r="B9" t="s">
        <v>23</v>
      </c>
      <c r="C9" s="4" t="s">
        <v>21</v>
      </c>
      <c r="D9" s="1">
        <v>5567953</v>
      </c>
      <c r="E9" s="1">
        <v>1106943</v>
      </c>
      <c r="F9" s="1">
        <v>639966</v>
      </c>
      <c r="G9" s="1">
        <v>955495</v>
      </c>
      <c r="H9" s="1">
        <v>911439</v>
      </c>
      <c r="I9" s="1">
        <v>391286</v>
      </c>
      <c r="J9" s="1">
        <v>472795</v>
      </c>
      <c r="K9" s="1">
        <v>189549</v>
      </c>
      <c r="L9" s="1">
        <v>115351</v>
      </c>
      <c r="M9" s="1">
        <v>172972</v>
      </c>
      <c r="N9" s="1">
        <v>125824</v>
      </c>
      <c r="O9" s="1">
        <v>192531</v>
      </c>
      <c r="P9" s="1">
        <v>150072</v>
      </c>
      <c r="Q9" s="1">
        <v>79296</v>
      </c>
      <c r="R9" s="1">
        <v>18489</v>
      </c>
      <c r="S9" s="1">
        <v>8224</v>
      </c>
      <c r="T9" s="1">
        <v>34355</v>
      </c>
      <c r="U9" s="1">
        <v>3366</v>
      </c>
    </row>
    <row r="10" spans="1:21" x14ac:dyDescent="0.3">
      <c r="A10" t="s">
        <v>22</v>
      </c>
      <c r="B10" t="s">
        <v>23</v>
      </c>
      <c r="C10" s="4" t="s">
        <v>24</v>
      </c>
      <c r="D10" s="1">
        <v>1901544</v>
      </c>
      <c r="E10" s="1">
        <v>456765</v>
      </c>
      <c r="F10" s="1">
        <v>200369</v>
      </c>
      <c r="G10" s="1">
        <v>247427</v>
      </c>
      <c r="H10" s="1">
        <v>237818</v>
      </c>
      <c r="I10" s="1">
        <v>107540</v>
      </c>
      <c r="J10" s="1">
        <v>157641</v>
      </c>
      <c r="K10" s="1">
        <v>82454</v>
      </c>
      <c r="L10" s="1">
        <v>50028</v>
      </c>
      <c r="M10" s="1">
        <v>71917</v>
      </c>
      <c r="N10" s="1">
        <v>55530</v>
      </c>
      <c r="O10" s="1">
        <v>89368</v>
      </c>
      <c r="P10" s="1">
        <v>72463</v>
      </c>
      <c r="Q10" s="1">
        <v>37970</v>
      </c>
      <c r="R10" s="1">
        <v>9250</v>
      </c>
      <c r="S10" s="1">
        <v>4527</v>
      </c>
      <c r="T10" s="1">
        <v>18507</v>
      </c>
      <c r="U10" s="1">
        <v>1970</v>
      </c>
    </row>
    <row r="11" spans="1:21" x14ac:dyDescent="0.3">
      <c r="A11" t="s">
        <v>22</v>
      </c>
      <c r="B11" t="s">
        <v>23</v>
      </c>
      <c r="C11" s="4" t="s">
        <v>25</v>
      </c>
      <c r="D11" s="1">
        <v>3666409</v>
      </c>
      <c r="E11" s="1">
        <v>650178</v>
      </c>
      <c r="F11" s="1">
        <v>439597</v>
      </c>
      <c r="G11" s="1">
        <v>708068</v>
      </c>
      <c r="H11" s="1">
        <v>673621</v>
      </c>
      <c r="I11" s="1">
        <v>283746</v>
      </c>
      <c r="J11" s="1">
        <v>315154</v>
      </c>
      <c r="K11" s="1">
        <v>107095</v>
      </c>
      <c r="L11" s="1">
        <v>65323</v>
      </c>
      <c r="M11" s="1">
        <v>101055</v>
      </c>
      <c r="N11" s="1">
        <v>70294</v>
      </c>
      <c r="O11" s="1">
        <v>103163</v>
      </c>
      <c r="P11" s="1">
        <v>77609</v>
      </c>
      <c r="Q11" s="1">
        <v>41326</v>
      </c>
      <c r="R11" s="1">
        <v>9239</v>
      </c>
      <c r="S11" s="1">
        <v>3697</v>
      </c>
      <c r="T11" s="1">
        <v>15848</v>
      </c>
      <c r="U11" s="1">
        <v>1396</v>
      </c>
    </row>
    <row r="12" spans="1:21" x14ac:dyDescent="0.3">
      <c r="A12" t="s">
        <v>22</v>
      </c>
      <c r="B12" t="s">
        <v>26</v>
      </c>
      <c r="C12" s="4" t="s">
        <v>21</v>
      </c>
      <c r="D12" s="1">
        <v>3660240</v>
      </c>
      <c r="E12" s="1">
        <v>574973</v>
      </c>
      <c r="F12" s="1">
        <v>1619069</v>
      </c>
      <c r="G12" s="1">
        <v>922692</v>
      </c>
      <c r="H12" s="1">
        <v>236915</v>
      </c>
      <c r="I12" s="1">
        <v>82757</v>
      </c>
      <c r="J12" s="1">
        <v>102644</v>
      </c>
      <c r="K12" s="1">
        <v>35204</v>
      </c>
      <c r="L12" s="1">
        <v>15362</v>
      </c>
      <c r="M12" s="1">
        <v>23279</v>
      </c>
      <c r="N12" s="1">
        <v>16864</v>
      </c>
      <c r="O12" s="1">
        <v>18319</v>
      </c>
      <c r="P12" s="1">
        <v>9423</v>
      </c>
      <c r="Q12" s="1">
        <v>2044</v>
      </c>
      <c r="R12">
        <v>318</v>
      </c>
      <c r="S12">
        <v>46</v>
      </c>
      <c r="T12">
        <v>296</v>
      </c>
      <c r="U12">
        <v>35</v>
      </c>
    </row>
    <row r="13" spans="1:21" x14ac:dyDescent="0.3">
      <c r="A13" t="s">
        <v>22</v>
      </c>
      <c r="B13" t="s">
        <v>26</v>
      </c>
      <c r="C13" s="4" t="s">
        <v>24</v>
      </c>
      <c r="D13" s="1">
        <v>1179022</v>
      </c>
      <c r="E13" s="1">
        <v>240891</v>
      </c>
      <c r="F13" s="1">
        <v>484148</v>
      </c>
      <c r="G13" s="1">
        <v>266630</v>
      </c>
      <c r="H13" s="1">
        <v>79924</v>
      </c>
      <c r="I13" s="1">
        <v>30289</v>
      </c>
      <c r="J13" s="1">
        <v>38402</v>
      </c>
      <c r="K13" s="1">
        <v>15420</v>
      </c>
      <c r="L13" s="1">
        <v>6339</v>
      </c>
      <c r="M13" s="1">
        <v>7974</v>
      </c>
      <c r="N13" s="1">
        <v>4333</v>
      </c>
      <c r="O13" s="1">
        <v>2934</v>
      </c>
      <c r="P13" s="1">
        <v>1455</v>
      </c>
      <c r="Q13">
        <v>222</v>
      </c>
      <c r="R13">
        <v>30</v>
      </c>
      <c r="S13">
        <v>9</v>
      </c>
      <c r="T13">
        <v>20</v>
      </c>
      <c r="U13">
        <v>2</v>
      </c>
    </row>
    <row r="14" spans="1:21" x14ac:dyDescent="0.3">
      <c r="A14" t="s">
        <v>22</v>
      </c>
      <c r="B14" t="s">
        <v>26</v>
      </c>
      <c r="C14" s="4" t="s">
        <v>25</v>
      </c>
      <c r="D14" s="1">
        <v>2481218</v>
      </c>
      <c r="E14" s="1">
        <v>334082</v>
      </c>
      <c r="F14" s="1">
        <v>1134921</v>
      </c>
      <c r="G14" s="1">
        <v>656062</v>
      </c>
      <c r="H14" s="1">
        <v>156991</v>
      </c>
      <c r="I14" s="1">
        <v>52468</v>
      </c>
      <c r="J14" s="1">
        <v>64242</v>
      </c>
      <c r="K14" s="1">
        <v>19784</v>
      </c>
      <c r="L14" s="1">
        <v>9023</v>
      </c>
      <c r="M14" s="1">
        <v>15305</v>
      </c>
      <c r="N14" s="1">
        <v>12531</v>
      </c>
      <c r="O14" s="1">
        <v>15385</v>
      </c>
      <c r="P14" s="1">
        <v>7968</v>
      </c>
      <c r="Q14" s="1">
        <v>1822</v>
      </c>
      <c r="R14">
        <v>288</v>
      </c>
      <c r="S14">
        <v>37</v>
      </c>
      <c r="T14">
        <v>276</v>
      </c>
      <c r="U14">
        <v>33</v>
      </c>
    </row>
    <row r="15" spans="1:21" x14ac:dyDescent="0.3">
      <c r="A15" t="s">
        <v>22</v>
      </c>
      <c r="B15" t="s">
        <v>27</v>
      </c>
      <c r="C15" s="4" t="s">
        <v>21</v>
      </c>
      <c r="D15" s="1">
        <v>1903964</v>
      </c>
      <c r="E15" s="1">
        <v>88881</v>
      </c>
      <c r="F15" s="1">
        <v>123446</v>
      </c>
      <c r="G15" s="1">
        <v>298133</v>
      </c>
      <c r="H15" s="1">
        <v>866412</v>
      </c>
      <c r="I15" s="1">
        <v>260534</v>
      </c>
      <c r="J15" s="1">
        <v>214467</v>
      </c>
      <c r="K15" s="1">
        <v>19818</v>
      </c>
      <c r="L15" s="1">
        <v>6311</v>
      </c>
      <c r="M15" s="1">
        <v>8534</v>
      </c>
      <c r="N15" s="1">
        <v>6130</v>
      </c>
      <c r="O15" s="1">
        <v>5992</v>
      </c>
      <c r="P15" s="1">
        <v>3888</v>
      </c>
      <c r="Q15">
        <v>968</v>
      </c>
      <c r="R15">
        <v>128</v>
      </c>
      <c r="S15">
        <v>17</v>
      </c>
      <c r="T15">
        <v>249</v>
      </c>
      <c r="U15">
        <v>56</v>
      </c>
    </row>
    <row r="16" spans="1:21" x14ac:dyDescent="0.3">
      <c r="A16" t="s">
        <v>22</v>
      </c>
      <c r="B16" t="s">
        <v>27</v>
      </c>
      <c r="C16" s="4" t="s">
        <v>24</v>
      </c>
      <c r="D16" s="1">
        <v>638461</v>
      </c>
      <c r="E16" s="1">
        <v>34465</v>
      </c>
      <c r="F16" s="1">
        <v>38038</v>
      </c>
      <c r="G16" s="1">
        <v>90792</v>
      </c>
      <c r="H16" s="1">
        <v>296685</v>
      </c>
      <c r="I16" s="1">
        <v>86918</v>
      </c>
      <c r="J16" s="1">
        <v>73983</v>
      </c>
      <c r="K16" s="1">
        <v>7355</v>
      </c>
      <c r="L16" s="1">
        <v>2223</v>
      </c>
      <c r="M16" s="1">
        <v>2667</v>
      </c>
      <c r="N16" s="1">
        <v>1656</v>
      </c>
      <c r="O16" s="1">
        <v>1591</v>
      </c>
      <c r="P16" s="1">
        <v>1395</v>
      </c>
      <c r="Q16">
        <v>447</v>
      </c>
      <c r="R16">
        <v>65</v>
      </c>
      <c r="S16">
        <v>5</v>
      </c>
      <c r="T16">
        <v>150</v>
      </c>
      <c r="U16">
        <v>26</v>
      </c>
    </row>
    <row r="17" spans="1:21" x14ac:dyDescent="0.3">
      <c r="A17" t="s">
        <v>22</v>
      </c>
      <c r="B17" t="s">
        <v>27</v>
      </c>
      <c r="C17" s="4" t="s">
        <v>25</v>
      </c>
      <c r="D17" s="1">
        <v>1265503</v>
      </c>
      <c r="E17" s="1">
        <v>54416</v>
      </c>
      <c r="F17" s="1">
        <v>85408</v>
      </c>
      <c r="G17" s="1">
        <v>207341</v>
      </c>
      <c r="H17" s="1">
        <v>569727</v>
      </c>
      <c r="I17" s="1">
        <v>173616</v>
      </c>
      <c r="J17" s="1">
        <v>140484</v>
      </c>
      <c r="K17" s="1">
        <v>12463</v>
      </c>
      <c r="L17" s="1">
        <v>4088</v>
      </c>
      <c r="M17" s="1">
        <v>5867</v>
      </c>
      <c r="N17" s="1">
        <v>4474</v>
      </c>
      <c r="O17" s="1">
        <v>4401</v>
      </c>
      <c r="P17" s="1">
        <v>2493</v>
      </c>
      <c r="Q17">
        <v>521</v>
      </c>
      <c r="R17">
        <v>63</v>
      </c>
      <c r="S17">
        <v>12</v>
      </c>
      <c r="T17">
        <v>99</v>
      </c>
      <c r="U17">
        <v>30</v>
      </c>
    </row>
    <row r="18" spans="1:21" x14ac:dyDescent="0.3">
      <c r="A18" t="s">
        <v>22</v>
      </c>
      <c r="B18" t="s">
        <v>28</v>
      </c>
      <c r="C18" s="4" t="s">
        <v>21</v>
      </c>
      <c r="D18" s="1">
        <v>616551</v>
      </c>
      <c r="E18" s="1">
        <v>28636</v>
      </c>
      <c r="F18" s="1">
        <v>52739</v>
      </c>
      <c r="G18" s="1">
        <v>117797</v>
      </c>
      <c r="H18" s="1">
        <v>193375</v>
      </c>
      <c r="I18" s="1">
        <v>99014</v>
      </c>
      <c r="J18" s="1">
        <v>108442</v>
      </c>
      <c r="K18" s="1">
        <v>7589</v>
      </c>
      <c r="L18" s="1">
        <v>2154</v>
      </c>
      <c r="M18" s="1">
        <v>2630</v>
      </c>
      <c r="N18" s="1">
        <v>1714</v>
      </c>
      <c r="O18" s="1">
        <v>1532</v>
      </c>
      <c r="P18">
        <v>769</v>
      </c>
      <c r="Q18">
        <v>136</v>
      </c>
      <c r="R18">
        <v>7</v>
      </c>
      <c r="S18">
        <v>8</v>
      </c>
      <c r="T18">
        <v>8</v>
      </c>
      <c r="U18">
        <v>1</v>
      </c>
    </row>
    <row r="19" spans="1:21" x14ac:dyDescent="0.3">
      <c r="A19" t="s">
        <v>22</v>
      </c>
      <c r="B19" t="s">
        <v>28</v>
      </c>
      <c r="C19" s="4" t="s">
        <v>24</v>
      </c>
      <c r="D19" s="1">
        <v>190355</v>
      </c>
      <c r="E19" s="1">
        <v>9230</v>
      </c>
      <c r="F19" s="1">
        <v>14391</v>
      </c>
      <c r="G19" s="1">
        <v>32324</v>
      </c>
      <c r="H19" s="1">
        <v>59278</v>
      </c>
      <c r="I19" s="1">
        <v>32511</v>
      </c>
      <c r="J19" s="1">
        <v>37769</v>
      </c>
      <c r="K19" s="1">
        <v>2806</v>
      </c>
      <c r="L19">
        <v>658</v>
      </c>
      <c r="M19">
        <v>627</v>
      </c>
      <c r="N19">
        <v>330</v>
      </c>
      <c r="O19">
        <v>251</v>
      </c>
      <c r="P19">
        <v>152</v>
      </c>
      <c r="Q19">
        <v>21</v>
      </c>
      <c r="S19">
        <v>2</v>
      </c>
      <c r="T19">
        <v>5</v>
      </c>
    </row>
    <row r="20" spans="1:21" x14ac:dyDescent="0.3">
      <c r="A20" t="s">
        <v>22</v>
      </c>
      <c r="B20" t="s">
        <v>28</v>
      </c>
      <c r="C20" s="4" t="s">
        <v>25</v>
      </c>
      <c r="D20" s="1">
        <v>426196</v>
      </c>
      <c r="E20" s="1">
        <v>19406</v>
      </c>
      <c r="F20" s="1">
        <v>38348</v>
      </c>
      <c r="G20" s="1">
        <v>85473</v>
      </c>
      <c r="H20" s="1">
        <v>134097</v>
      </c>
      <c r="I20" s="1">
        <v>66503</v>
      </c>
      <c r="J20" s="1">
        <v>70673</v>
      </c>
      <c r="K20" s="1">
        <v>4783</v>
      </c>
      <c r="L20" s="1">
        <v>1496</v>
      </c>
      <c r="M20" s="1">
        <v>2003</v>
      </c>
      <c r="N20" s="1">
        <v>1384</v>
      </c>
      <c r="O20" s="1">
        <v>1281</v>
      </c>
      <c r="P20">
        <v>617</v>
      </c>
      <c r="Q20">
        <v>115</v>
      </c>
      <c r="R20">
        <v>7</v>
      </c>
      <c r="S20">
        <v>6</v>
      </c>
      <c r="T20">
        <v>3</v>
      </c>
      <c r="U20">
        <v>1</v>
      </c>
    </row>
    <row r="21" spans="1:21" x14ac:dyDescent="0.3">
      <c r="A21" t="s">
        <v>22</v>
      </c>
      <c r="B21" t="s">
        <v>29</v>
      </c>
      <c r="C21" s="4" t="s">
        <v>21</v>
      </c>
      <c r="D21" s="1">
        <v>527971</v>
      </c>
      <c r="E21" s="1">
        <v>24349</v>
      </c>
      <c r="F21" s="1">
        <v>10903</v>
      </c>
      <c r="G21" s="1">
        <v>66101</v>
      </c>
      <c r="H21" s="1">
        <v>55805</v>
      </c>
      <c r="I21" s="1">
        <v>21075</v>
      </c>
      <c r="J21" s="1">
        <v>38245</v>
      </c>
      <c r="K21" s="1">
        <v>18624</v>
      </c>
      <c r="L21" s="1">
        <v>15028</v>
      </c>
      <c r="M21" s="1">
        <v>19149</v>
      </c>
      <c r="N21" s="1">
        <v>48984</v>
      </c>
      <c r="O21" s="1">
        <v>52577</v>
      </c>
      <c r="P21" s="1">
        <v>91955</v>
      </c>
      <c r="Q21" s="1">
        <v>38697</v>
      </c>
      <c r="R21" s="1">
        <v>13667</v>
      </c>
      <c r="S21" s="1">
        <v>2902</v>
      </c>
      <c r="T21" s="1">
        <v>8646</v>
      </c>
      <c r="U21" s="1">
        <v>1264</v>
      </c>
    </row>
    <row r="22" spans="1:21" x14ac:dyDescent="0.3">
      <c r="A22" t="s">
        <v>22</v>
      </c>
      <c r="B22" t="s">
        <v>29</v>
      </c>
      <c r="C22" s="4" t="s">
        <v>24</v>
      </c>
      <c r="D22" s="1">
        <v>230582</v>
      </c>
      <c r="E22" s="1">
        <v>12272</v>
      </c>
      <c r="F22" s="1">
        <v>4918</v>
      </c>
      <c r="G22" s="1">
        <v>26075</v>
      </c>
      <c r="H22" s="1">
        <v>20974</v>
      </c>
      <c r="I22" s="1">
        <v>7355</v>
      </c>
      <c r="J22" s="1">
        <v>12550</v>
      </c>
      <c r="K22" s="1">
        <v>6202</v>
      </c>
      <c r="L22" s="1">
        <v>5087</v>
      </c>
      <c r="M22" s="1">
        <v>7671</v>
      </c>
      <c r="N22" s="1">
        <v>20939</v>
      </c>
      <c r="O22" s="1">
        <v>24966</v>
      </c>
      <c r="P22" s="1">
        <v>47555</v>
      </c>
      <c r="Q22" s="1">
        <v>19449</v>
      </c>
      <c r="R22" s="1">
        <v>6617</v>
      </c>
      <c r="S22" s="1">
        <v>1480</v>
      </c>
      <c r="T22" s="1">
        <v>5554</v>
      </c>
      <c r="U22">
        <v>918</v>
      </c>
    </row>
    <row r="23" spans="1:21" x14ac:dyDescent="0.3">
      <c r="A23" t="s">
        <v>22</v>
      </c>
      <c r="B23" t="s">
        <v>29</v>
      </c>
      <c r="C23" s="4" t="s">
        <v>25</v>
      </c>
      <c r="D23" s="1">
        <v>297389</v>
      </c>
      <c r="E23" s="1">
        <v>12077</v>
      </c>
      <c r="F23" s="1">
        <v>5985</v>
      </c>
      <c r="G23" s="1">
        <v>40026</v>
      </c>
      <c r="H23" s="1">
        <v>34831</v>
      </c>
      <c r="I23" s="1">
        <v>13720</v>
      </c>
      <c r="J23" s="1">
        <v>25695</v>
      </c>
      <c r="K23" s="1">
        <v>12422</v>
      </c>
      <c r="L23" s="1">
        <v>9941</v>
      </c>
      <c r="M23" s="1">
        <v>11478</v>
      </c>
      <c r="N23" s="1">
        <v>28045</v>
      </c>
      <c r="O23" s="1">
        <v>27611</v>
      </c>
      <c r="P23" s="1">
        <v>44400</v>
      </c>
      <c r="Q23" s="1">
        <v>19248</v>
      </c>
      <c r="R23" s="1">
        <v>7050</v>
      </c>
      <c r="S23" s="1">
        <v>1422</v>
      </c>
      <c r="T23" s="1">
        <v>3092</v>
      </c>
      <c r="U23">
        <v>346</v>
      </c>
    </row>
    <row r="24" spans="1:21" x14ac:dyDescent="0.3">
      <c r="A24" t="s">
        <v>22</v>
      </c>
      <c r="B24" t="s">
        <v>30</v>
      </c>
      <c r="C24" s="4" t="s">
        <v>21</v>
      </c>
      <c r="D24" s="1">
        <v>393944</v>
      </c>
      <c r="E24" s="1">
        <v>54454</v>
      </c>
      <c r="F24" s="1">
        <v>11805</v>
      </c>
      <c r="G24" s="1">
        <v>52082</v>
      </c>
      <c r="H24" s="1">
        <v>76128</v>
      </c>
      <c r="I24" s="1">
        <v>43058</v>
      </c>
      <c r="J24" s="1">
        <v>82559</v>
      </c>
      <c r="K24" s="1">
        <v>14395</v>
      </c>
      <c r="L24" s="1">
        <v>5193</v>
      </c>
      <c r="M24" s="1">
        <v>5650</v>
      </c>
      <c r="N24" s="1">
        <v>4981</v>
      </c>
      <c r="O24" s="1">
        <v>11391</v>
      </c>
      <c r="P24" s="1">
        <v>18076</v>
      </c>
      <c r="Q24" s="1">
        <v>8805</v>
      </c>
      <c r="R24" s="1">
        <v>2788</v>
      </c>
      <c r="S24">
        <v>630</v>
      </c>
      <c r="T24" s="1">
        <v>1512</v>
      </c>
      <c r="U24">
        <v>437</v>
      </c>
    </row>
    <row r="25" spans="1:21" x14ac:dyDescent="0.3">
      <c r="A25" t="s">
        <v>22</v>
      </c>
      <c r="B25" t="s">
        <v>30</v>
      </c>
      <c r="C25" s="4" t="s">
        <v>24</v>
      </c>
      <c r="D25" s="1">
        <v>183850</v>
      </c>
      <c r="E25" s="1">
        <v>44391</v>
      </c>
      <c r="F25" s="1">
        <v>5128</v>
      </c>
      <c r="G25" s="1">
        <v>19063</v>
      </c>
      <c r="H25" s="1">
        <v>27657</v>
      </c>
      <c r="I25" s="1">
        <v>15767</v>
      </c>
      <c r="J25" s="1">
        <v>30454</v>
      </c>
      <c r="K25" s="1">
        <v>5624</v>
      </c>
      <c r="L25" s="1">
        <v>1675</v>
      </c>
      <c r="M25" s="1">
        <v>2659</v>
      </c>
      <c r="N25" s="1">
        <v>2842</v>
      </c>
      <c r="O25" s="1">
        <v>7116</v>
      </c>
      <c r="P25" s="1">
        <v>12351</v>
      </c>
      <c r="Q25" s="1">
        <v>5851</v>
      </c>
      <c r="R25" s="1">
        <v>1849</v>
      </c>
      <c r="S25">
        <v>454</v>
      </c>
      <c r="T25">
        <v>750</v>
      </c>
      <c r="U25">
        <v>219</v>
      </c>
    </row>
    <row r="26" spans="1:21" x14ac:dyDescent="0.3">
      <c r="A26" t="s">
        <v>22</v>
      </c>
      <c r="B26" t="s">
        <v>30</v>
      </c>
      <c r="C26" s="4" t="s">
        <v>25</v>
      </c>
      <c r="D26" s="1">
        <v>210094</v>
      </c>
      <c r="E26" s="1">
        <v>10063</v>
      </c>
      <c r="F26" s="1">
        <v>6677</v>
      </c>
      <c r="G26" s="1">
        <v>33019</v>
      </c>
      <c r="H26" s="1">
        <v>48471</v>
      </c>
      <c r="I26" s="1">
        <v>27291</v>
      </c>
      <c r="J26" s="1">
        <v>52105</v>
      </c>
      <c r="K26" s="1">
        <v>8771</v>
      </c>
      <c r="L26" s="1">
        <v>3518</v>
      </c>
      <c r="M26" s="1">
        <v>2991</v>
      </c>
      <c r="N26" s="1">
        <v>2139</v>
      </c>
      <c r="O26" s="1">
        <v>4275</v>
      </c>
      <c r="P26" s="1">
        <v>5725</v>
      </c>
      <c r="Q26" s="1">
        <v>2954</v>
      </c>
      <c r="R26">
        <v>939</v>
      </c>
      <c r="S26">
        <v>176</v>
      </c>
      <c r="T26">
        <v>762</v>
      </c>
      <c r="U26">
        <v>218</v>
      </c>
    </row>
    <row r="27" spans="1:21" x14ac:dyDescent="0.3">
      <c r="A27" t="s">
        <v>22</v>
      </c>
      <c r="B27" t="s">
        <v>31</v>
      </c>
      <c r="C27" s="4" t="s">
        <v>21</v>
      </c>
      <c r="D27" s="1">
        <v>384950</v>
      </c>
      <c r="E27" s="1">
        <v>11427</v>
      </c>
      <c r="F27" s="1">
        <v>11625</v>
      </c>
      <c r="G27" s="1">
        <v>26057</v>
      </c>
      <c r="H27" s="1">
        <v>46816</v>
      </c>
      <c r="I27" s="1">
        <v>50786</v>
      </c>
      <c r="J27" s="1">
        <v>198542</v>
      </c>
      <c r="K27" s="1">
        <v>33255</v>
      </c>
      <c r="L27" s="1">
        <v>2567</v>
      </c>
      <c r="M27" s="1">
        <v>1932</v>
      </c>
      <c r="N27">
        <v>829</v>
      </c>
      <c r="O27">
        <v>706</v>
      </c>
      <c r="P27">
        <v>364</v>
      </c>
      <c r="Q27">
        <v>34</v>
      </c>
      <c r="R27">
        <v>8</v>
      </c>
      <c r="S27">
        <v>1</v>
      </c>
      <c r="T27">
        <v>1</v>
      </c>
    </row>
    <row r="28" spans="1:21" x14ac:dyDescent="0.3">
      <c r="A28" t="s">
        <v>22</v>
      </c>
      <c r="B28" t="s">
        <v>31</v>
      </c>
      <c r="C28" s="4" t="s">
        <v>24</v>
      </c>
      <c r="D28" s="1">
        <v>155798</v>
      </c>
      <c r="E28" s="1">
        <v>5690</v>
      </c>
      <c r="F28" s="1">
        <v>5846</v>
      </c>
      <c r="G28" s="1">
        <v>11555</v>
      </c>
      <c r="H28" s="1">
        <v>18230</v>
      </c>
      <c r="I28" s="1">
        <v>19269</v>
      </c>
      <c r="J28" s="1">
        <v>78321</v>
      </c>
      <c r="K28" s="1">
        <v>14165</v>
      </c>
      <c r="L28" s="1">
        <v>1181</v>
      </c>
      <c r="M28">
        <v>836</v>
      </c>
      <c r="N28">
        <v>348</v>
      </c>
      <c r="O28">
        <v>226</v>
      </c>
      <c r="P28">
        <v>122</v>
      </c>
      <c r="Q28">
        <v>6</v>
      </c>
      <c r="R28">
        <v>3</v>
      </c>
    </row>
    <row r="29" spans="1:21" x14ac:dyDescent="0.3">
      <c r="A29" t="s">
        <v>22</v>
      </c>
      <c r="B29" t="s">
        <v>31</v>
      </c>
      <c r="C29" s="4" t="s">
        <v>25</v>
      </c>
      <c r="D29" s="1">
        <v>229152</v>
      </c>
      <c r="E29" s="1">
        <v>5737</v>
      </c>
      <c r="F29" s="1">
        <v>5779</v>
      </c>
      <c r="G29" s="1">
        <v>14502</v>
      </c>
      <c r="H29" s="1">
        <v>28586</v>
      </c>
      <c r="I29" s="1">
        <v>31517</v>
      </c>
      <c r="J29" s="1">
        <v>120221</v>
      </c>
      <c r="K29" s="1">
        <v>19090</v>
      </c>
      <c r="L29" s="1">
        <v>1386</v>
      </c>
      <c r="M29" s="1">
        <v>1096</v>
      </c>
      <c r="N29">
        <v>481</v>
      </c>
      <c r="O29">
        <v>480</v>
      </c>
      <c r="P29">
        <v>242</v>
      </c>
      <c r="Q29">
        <v>28</v>
      </c>
      <c r="R29">
        <v>5</v>
      </c>
      <c r="S29">
        <v>1</v>
      </c>
      <c r="T29">
        <v>1</v>
      </c>
    </row>
    <row r="30" spans="1:21" x14ac:dyDescent="0.3">
      <c r="A30" t="s">
        <v>22</v>
      </c>
      <c r="B30" t="s">
        <v>32</v>
      </c>
      <c r="C30" s="4" t="s">
        <v>21</v>
      </c>
      <c r="D30" s="1">
        <v>334932</v>
      </c>
      <c r="E30" s="1">
        <v>14617</v>
      </c>
      <c r="F30" s="1">
        <v>36852</v>
      </c>
      <c r="G30" s="1">
        <v>70934</v>
      </c>
      <c r="H30" s="1">
        <v>46604</v>
      </c>
      <c r="I30" s="1">
        <v>30034</v>
      </c>
      <c r="J30" s="1">
        <v>45686</v>
      </c>
      <c r="K30" s="1">
        <v>10781</v>
      </c>
      <c r="L30" s="1">
        <v>3805</v>
      </c>
      <c r="M30" s="1">
        <v>6742</v>
      </c>
      <c r="N30" s="1">
        <v>13601</v>
      </c>
      <c r="O30" s="1">
        <v>6380</v>
      </c>
      <c r="P30" s="1">
        <v>12988</v>
      </c>
      <c r="Q30" s="1">
        <v>8719</v>
      </c>
      <c r="R30" s="1">
        <v>7028</v>
      </c>
      <c r="S30" s="1">
        <v>1887</v>
      </c>
      <c r="T30" s="1">
        <v>16168</v>
      </c>
      <c r="U30" s="1">
        <v>2106</v>
      </c>
    </row>
    <row r="31" spans="1:21" x14ac:dyDescent="0.3">
      <c r="A31" t="s">
        <v>22</v>
      </c>
      <c r="B31" t="s">
        <v>32</v>
      </c>
      <c r="C31" s="4" t="s">
        <v>24</v>
      </c>
      <c r="D31" s="1">
        <v>112693</v>
      </c>
      <c r="E31" s="1">
        <v>5924</v>
      </c>
      <c r="F31" s="1">
        <v>11575</v>
      </c>
      <c r="G31" s="1">
        <v>22978</v>
      </c>
      <c r="H31" s="1">
        <v>14954</v>
      </c>
      <c r="I31" s="1">
        <v>9799</v>
      </c>
      <c r="J31" s="1">
        <v>14506</v>
      </c>
      <c r="K31" s="1">
        <v>2895</v>
      </c>
      <c r="L31">
        <v>901</v>
      </c>
      <c r="M31" s="1">
        <v>1420</v>
      </c>
      <c r="N31" s="1">
        <v>1864</v>
      </c>
      <c r="O31" s="1">
        <v>2043</v>
      </c>
      <c r="P31" s="1">
        <v>6203</v>
      </c>
      <c r="Q31" s="1">
        <v>4615</v>
      </c>
      <c r="R31" s="1">
        <v>3238</v>
      </c>
      <c r="S31">
        <v>869</v>
      </c>
      <c r="T31" s="1">
        <v>7644</v>
      </c>
      <c r="U31" s="1">
        <v>1265</v>
      </c>
    </row>
    <row r="32" spans="1:21" x14ac:dyDescent="0.3">
      <c r="A32" t="s">
        <v>22</v>
      </c>
      <c r="B32" t="s">
        <v>32</v>
      </c>
      <c r="C32" s="4" t="s">
        <v>25</v>
      </c>
      <c r="D32" s="1">
        <v>222239</v>
      </c>
      <c r="E32" s="1">
        <v>8693</v>
      </c>
      <c r="F32" s="1">
        <v>25277</v>
      </c>
      <c r="G32" s="1">
        <v>47956</v>
      </c>
      <c r="H32" s="1">
        <v>31650</v>
      </c>
      <c r="I32" s="1">
        <v>20235</v>
      </c>
      <c r="J32" s="1">
        <v>31180</v>
      </c>
      <c r="K32" s="1">
        <v>7886</v>
      </c>
      <c r="L32" s="1">
        <v>2904</v>
      </c>
      <c r="M32" s="1">
        <v>5322</v>
      </c>
      <c r="N32" s="1">
        <v>11737</v>
      </c>
      <c r="O32" s="1">
        <v>4337</v>
      </c>
      <c r="P32" s="1">
        <v>6785</v>
      </c>
      <c r="Q32" s="1">
        <v>4104</v>
      </c>
      <c r="R32" s="1">
        <v>3790</v>
      </c>
      <c r="S32" s="1">
        <v>1018</v>
      </c>
      <c r="T32" s="1">
        <v>8524</v>
      </c>
      <c r="U32">
        <v>841</v>
      </c>
    </row>
    <row r="33" spans="1:21" x14ac:dyDescent="0.3">
      <c r="A33" t="s">
        <v>22</v>
      </c>
      <c r="B33" t="s">
        <v>33</v>
      </c>
      <c r="C33" s="4" t="s">
        <v>21</v>
      </c>
      <c r="D33" s="1">
        <v>301016</v>
      </c>
      <c r="E33" s="1">
        <v>8030</v>
      </c>
      <c r="F33" s="1">
        <v>8537</v>
      </c>
      <c r="G33" s="1">
        <v>23152</v>
      </c>
      <c r="H33" s="1">
        <v>71898</v>
      </c>
      <c r="I33" s="1">
        <v>44950</v>
      </c>
      <c r="J33" s="1">
        <v>120672</v>
      </c>
      <c r="K33" s="1">
        <v>11732</v>
      </c>
      <c r="L33" s="1">
        <v>1927</v>
      </c>
      <c r="M33" s="1">
        <v>2304</v>
      </c>
      <c r="N33" s="1">
        <v>1782</v>
      </c>
      <c r="O33" s="1">
        <v>2577</v>
      </c>
      <c r="P33" s="1">
        <v>1927</v>
      </c>
      <c r="Q33">
        <v>978</v>
      </c>
      <c r="R33">
        <v>278</v>
      </c>
      <c r="S33">
        <v>52</v>
      </c>
      <c r="T33">
        <v>220</v>
      </c>
    </row>
    <row r="34" spans="1:21" x14ac:dyDescent="0.3">
      <c r="A34" t="s">
        <v>22</v>
      </c>
      <c r="B34" t="s">
        <v>33</v>
      </c>
      <c r="C34" s="4" t="s">
        <v>24</v>
      </c>
      <c r="D34" s="1">
        <v>115829</v>
      </c>
      <c r="E34" s="1">
        <v>3994</v>
      </c>
      <c r="F34" s="1">
        <v>3899</v>
      </c>
      <c r="G34" s="1">
        <v>9367</v>
      </c>
      <c r="H34" s="1">
        <v>26720</v>
      </c>
      <c r="I34" s="1">
        <v>16424</v>
      </c>
      <c r="J34" s="1">
        <v>44707</v>
      </c>
      <c r="K34" s="1">
        <v>4997</v>
      </c>
      <c r="L34">
        <v>976</v>
      </c>
      <c r="M34" s="1">
        <v>1140</v>
      </c>
      <c r="N34">
        <v>768</v>
      </c>
      <c r="O34">
        <v>990</v>
      </c>
      <c r="P34">
        <v>886</v>
      </c>
      <c r="Q34">
        <v>573</v>
      </c>
      <c r="R34">
        <v>189</v>
      </c>
      <c r="S34">
        <v>33</v>
      </c>
      <c r="T34">
        <v>166</v>
      </c>
    </row>
    <row r="35" spans="1:21" x14ac:dyDescent="0.3">
      <c r="A35" t="s">
        <v>22</v>
      </c>
      <c r="B35" t="s">
        <v>33</v>
      </c>
      <c r="C35" s="4" t="s">
        <v>25</v>
      </c>
      <c r="D35" s="1">
        <v>185187</v>
      </c>
      <c r="E35" s="1">
        <v>4036</v>
      </c>
      <c r="F35" s="1">
        <v>4638</v>
      </c>
      <c r="G35" s="1">
        <v>13785</v>
      </c>
      <c r="H35" s="1">
        <v>45178</v>
      </c>
      <c r="I35" s="1">
        <v>28526</v>
      </c>
      <c r="J35" s="1">
        <v>75965</v>
      </c>
      <c r="K35" s="1">
        <v>6735</v>
      </c>
      <c r="L35">
        <v>951</v>
      </c>
      <c r="M35" s="1">
        <v>1164</v>
      </c>
      <c r="N35" s="1">
        <v>1014</v>
      </c>
      <c r="O35" s="1">
        <v>1587</v>
      </c>
      <c r="P35" s="1">
        <v>1041</v>
      </c>
      <c r="Q35">
        <v>405</v>
      </c>
      <c r="R35">
        <v>89</v>
      </c>
      <c r="S35">
        <v>19</v>
      </c>
      <c r="T35">
        <v>54</v>
      </c>
    </row>
    <row r="36" spans="1:21" x14ac:dyDescent="0.3">
      <c r="A36" t="s">
        <v>22</v>
      </c>
      <c r="B36" t="s">
        <v>34</v>
      </c>
      <c r="C36" s="4" t="s">
        <v>21</v>
      </c>
      <c r="D36" s="1">
        <v>237791</v>
      </c>
      <c r="E36" s="1">
        <v>20155</v>
      </c>
      <c r="F36" s="1">
        <v>5355</v>
      </c>
      <c r="G36" s="1">
        <v>21235</v>
      </c>
      <c r="H36" s="1">
        <v>28919</v>
      </c>
      <c r="I36" s="1">
        <v>23015</v>
      </c>
      <c r="J36" s="1">
        <v>80120</v>
      </c>
      <c r="K36" s="1">
        <v>20606</v>
      </c>
      <c r="L36" s="1">
        <v>4162</v>
      </c>
      <c r="M36" s="1">
        <v>2152</v>
      </c>
      <c r="N36" s="1">
        <v>2122</v>
      </c>
      <c r="O36" s="1">
        <v>4736</v>
      </c>
      <c r="P36" s="1">
        <v>12166</v>
      </c>
      <c r="Q36" s="1">
        <v>6817</v>
      </c>
      <c r="R36" s="1">
        <v>3645</v>
      </c>
      <c r="S36">
        <v>934</v>
      </c>
      <c r="T36" s="1">
        <v>1423</v>
      </c>
      <c r="U36">
        <v>229</v>
      </c>
    </row>
    <row r="37" spans="1:21" x14ac:dyDescent="0.3">
      <c r="A37" t="s">
        <v>22</v>
      </c>
      <c r="B37" t="s">
        <v>34</v>
      </c>
      <c r="C37" s="4" t="s">
        <v>24</v>
      </c>
      <c r="D37" s="1">
        <v>113117</v>
      </c>
      <c r="E37" s="1">
        <v>17736</v>
      </c>
      <c r="F37" s="1">
        <v>2909</v>
      </c>
      <c r="G37" s="1">
        <v>8764</v>
      </c>
      <c r="H37" s="1">
        <v>11209</v>
      </c>
      <c r="I37" s="1">
        <v>8297</v>
      </c>
      <c r="J37" s="1">
        <v>27817</v>
      </c>
      <c r="K37" s="1">
        <v>7356</v>
      </c>
      <c r="L37" s="1">
        <v>1595</v>
      </c>
      <c r="M37" s="1">
        <v>1123</v>
      </c>
      <c r="N37" s="1">
        <v>1189</v>
      </c>
      <c r="O37" s="1">
        <v>2796</v>
      </c>
      <c r="P37" s="1">
        <v>10372</v>
      </c>
      <c r="Q37" s="1">
        <v>6110</v>
      </c>
      <c r="R37" s="1">
        <v>3428</v>
      </c>
      <c r="S37">
        <v>885</v>
      </c>
      <c r="T37" s="1">
        <v>1325</v>
      </c>
      <c r="U37">
        <v>206</v>
      </c>
    </row>
    <row r="38" spans="1:21" x14ac:dyDescent="0.3">
      <c r="A38" t="s">
        <v>22</v>
      </c>
      <c r="B38" t="s">
        <v>34</v>
      </c>
      <c r="C38" s="4" t="s">
        <v>25</v>
      </c>
      <c r="D38" s="1">
        <v>124674</v>
      </c>
      <c r="E38" s="1">
        <v>2419</v>
      </c>
      <c r="F38" s="1">
        <v>2446</v>
      </c>
      <c r="G38" s="1">
        <v>12471</v>
      </c>
      <c r="H38" s="1">
        <v>17710</v>
      </c>
      <c r="I38" s="1">
        <v>14718</v>
      </c>
      <c r="J38" s="1">
        <v>52303</v>
      </c>
      <c r="K38" s="1">
        <v>13250</v>
      </c>
      <c r="L38" s="1">
        <v>2567</v>
      </c>
      <c r="M38" s="1">
        <v>1029</v>
      </c>
      <c r="N38">
        <v>933</v>
      </c>
      <c r="O38" s="1">
        <v>1940</v>
      </c>
      <c r="P38" s="1">
        <v>1794</v>
      </c>
      <c r="Q38">
        <v>707</v>
      </c>
      <c r="R38">
        <v>217</v>
      </c>
      <c r="S38">
        <v>49</v>
      </c>
      <c r="T38">
        <v>98</v>
      </c>
      <c r="U38">
        <v>23</v>
      </c>
    </row>
    <row r="39" spans="1:21" x14ac:dyDescent="0.3">
      <c r="A39" t="s">
        <v>22</v>
      </c>
      <c r="B39" t="s">
        <v>35</v>
      </c>
      <c r="C39" s="4" t="s">
        <v>21</v>
      </c>
      <c r="D39" s="1">
        <v>173897</v>
      </c>
      <c r="E39" s="1">
        <v>10665</v>
      </c>
      <c r="F39" s="1">
        <v>5058</v>
      </c>
      <c r="G39" s="1">
        <v>8440</v>
      </c>
      <c r="H39" s="1">
        <v>11562</v>
      </c>
      <c r="I39" s="1">
        <v>12235</v>
      </c>
      <c r="J39" s="1">
        <v>43126</v>
      </c>
      <c r="K39" s="1">
        <v>22008</v>
      </c>
      <c r="L39" s="1">
        <v>10762</v>
      </c>
      <c r="M39" s="1">
        <v>12045</v>
      </c>
      <c r="N39" s="1">
        <v>7758</v>
      </c>
      <c r="O39" s="1">
        <v>10342</v>
      </c>
      <c r="P39" s="1">
        <v>10183</v>
      </c>
      <c r="Q39" s="1">
        <v>5456</v>
      </c>
      <c r="R39" s="1">
        <v>2218</v>
      </c>
      <c r="S39">
        <v>538</v>
      </c>
      <c r="T39" s="1">
        <v>1281</v>
      </c>
      <c r="U39">
        <v>220</v>
      </c>
    </row>
    <row r="40" spans="1:21" x14ac:dyDescent="0.3">
      <c r="A40" t="s">
        <v>22</v>
      </c>
      <c r="B40" t="s">
        <v>35</v>
      </c>
      <c r="C40" s="4" t="s">
        <v>24</v>
      </c>
      <c r="D40" s="1">
        <v>71322</v>
      </c>
      <c r="E40" s="1">
        <v>4973</v>
      </c>
      <c r="F40" s="1">
        <v>2354</v>
      </c>
      <c r="G40" s="1">
        <v>3861</v>
      </c>
      <c r="H40" s="1">
        <v>4864</v>
      </c>
      <c r="I40" s="1">
        <v>5018</v>
      </c>
      <c r="J40" s="1">
        <v>17250</v>
      </c>
      <c r="K40" s="1">
        <v>8929</v>
      </c>
      <c r="L40" s="1">
        <v>4441</v>
      </c>
      <c r="M40" s="1">
        <v>4440</v>
      </c>
      <c r="N40" s="1">
        <v>2778</v>
      </c>
      <c r="O40" s="1">
        <v>3786</v>
      </c>
      <c r="P40" s="1">
        <v>4068</v>
      </c>
      <c r="Q40" s="1">
        <v>2344</v>
      </c>
      <c r="R40" s="1">
        <v>1113</v>
      </c>
      <c r="S40">
        <v>281</v>
      </c>
      <c r="T40">
        <v>691</v>
      </c>
      <c r="U40">
        <v>131</v>
      </c>
    </row>
    <row r="41" spans="1:21" x14ac:dyDescent="0.3">
      <c r="A41" t="s">
        <v>22</v>
      </c>
      <c r="B41" t="s">
        <v>35</v>
      </c>
      <c r="C41" s="4" t="s">
        <v>25</v>
      </c>
      <c r="D41" s="1">
        <v>102575</v>
      </c>
      <c r="E41" s="1">
        <v>5692</v>
      </c>
      <c r="F41" s="1">
        <v>2704</v>
      </c>
      <c r="G41" s="1">
        <v>4579</v>
      </c>
      <c r="H41" s="1">
        <v>6698</v>
      </c>
      <c r="I41" s="1">
        <v>7217</v>
      </c>
      <c r="J41" s="1">
        <v>25876</v>
      </c>
      <c r="K41" s="1">
        <v>13079</v>
      </c>
      <c r="L41" s="1">
        <v>6321</v>
      </c>
      <c r="M41" s="1">
        <v>7605</v>
      </c>
      <c r="N41" s="1">
        <v>4980</v>
      </c>
      <c r="O41" s="1">
        <v>6556</v>
      </c>
      <c r="P41" s="1">
        <v>6115</v>
      </c>
      <c r="Q41" s="1">
        <v>3112</v>
      </c>
      <c r="R41" s="1">
        <v>1105</v>
      </c>
      <c r="S41">
        <v>257</v>
      </c>
      <c r="T41">
        <v>590</v>
      </c>
      <c r="U41">
        <v>89</v>
      </c>
    </row>
    <row r="42" spans="1:21" x14ac:dyDescent="0.3">
      <c r="A42" t="s">
        <v>22</v>
      </c>
      <c r="B42" t="s">
        <v>36</v>
      </c>
      <c r="C42" s="4" t="s">
        <v>21</v>
      </c>
      <c r="D42" s="1">
        <v>107323</v>
      </c>
      <c r="E42" s="1">
        <v>18784</v>
      </c>
      <c r="F42" s="1">
        <v>4324</v>
      </c>
      <c r="G42" s="1">
        <v>8160</v>
      </c>
      <c r="H42" s="1">
        <v>9082</v>
      </c>
      <c r="I42" s="1">
        <v>8039</v>
      </c>
      <c r="J42" s="1">
        <v>27081</v>
      </c>
      <c r="K42" s="1">
        <v>10198</v>
      </c>
      <c r="L42" s="1">
        <v>3285</v>
      </c>
      <c r="M42" s="1">
        <v>3817</v>
      </c>
      <c r="N42" s="1">
        <v>3608</v>
      </c>
      <c r="O42" s="1">
        <v>3735</v>
      </c>
      <c r="P42" s="1">
        <v>4169</v>
      </c>
      <c r="Q42" s="1">
        <v>2077</v>
      </c>
      <c r="R42">
        <v>592</v>
      </c>
      <c r="S42">
        <v>156</v>
      </c>
      <c r="T42">
        <v>201</v>
      </c>
      <c r="U42">
        <v>15</v>
      </c>
    </row>
    <row r="43" spans="1:21" x14ac:dyDescent="0.3">
      <c r="A43" t="s">
        <v>22</v>
      </c>
      <c r="B43" t="s">
        <v>36</v>
      </c>
      <c r="C43" s="4" t="s">
        <v>24</v>
      </c>
      <c r="D43" s="1">
        <v>77332</v>
      </c>
      <c r="E43" s="1">
        <v>17759</v>
      </c>
      <c r="F43" s="1">
        <v>3742</v>
      </c>
      <c r="G43" s="1">
        <v>6188</v>
      </c>
      <c r="H43" s="1">
        <v>6531</v>
      </c>
      <c r="I43" s="1">
        <v>5371</v>
      </c>
      <c r="J43" s="1">
        <v>15547</v>
      </c>
      <c r="K43" s="1">
        <v>6596</v>
      </c>
      <c r="L43" s="1">
        <v>2447</v>
      </c>
      <c r="M43" s="1">
        <v>2814</v>
      </c>
      <c r="N43" s="1">
        <v>2707</v>
      </c>
      <c r="O43" s="1">
        <v>2493</v>
      </c>
      <c r="P43" s="1">
        <v>2834</v>
      </c>
      <c r="Q43" s="1">
        <v>1521</v>
      </c>
      <c r="R43">
        <v>465</v>
      </c>
      <c r="S43">
        <v>123</v>
      </c>
      <c r="T43">
        <v>180</v>
      </c>
      <c r="U43">
        <v>14</v>
      </c>
    </row>
    <row r="44" spans="1:21" x14ac:dyDescent="0.3">
      <c r="A44" t="s">
        <v>22</v>
      </c>
      <c r="B44" t="s">
        <v>36</v>
      </c>
      <c r="C44" s="4" t="s">
        <v>25</v>
      </c>
      <c r="D44" s="1">
        <v>29991</v>
      </c>
      <c r="E44" s="1">
        <v>1025</v>
      </c>
      <c r="F44">
        <v>582</v>
      </c>
      <c r="G44" s="1">
        <v>1972</v>
      </c>
      <c r="H44" s="1">
        <v>2551</v>
      </c>
      <c r="I44" s="1">
        <v>2668</v>
      </c>
      <c r="J44" s="1">
        <v>11534</v>
      </c>
      <c r="K44" s="1">
        <v>3602</v>
      </c>
      <c r="L44">
        <v>838</v>
      </c>
      <c r="M44" s="1">
        <v>1003</v>
      </c>
      <c r="N44">
        <v>901</v>
      </c>
      <c r="O44" s="1">
        <v>1242</v>
      </c>
      <c r="P44" s="1">
        <v>1335</v>
      </c>
      <c r="Q44">
        <v>556</v>
      </c>
      <c r="R44">
        <v>127</v>
      </c>
      <c r="S44">
        <v>33</v>
      </c>
      <c r="T44">
        <v>21</v>
      </c>
      <c r="U44">
        <v>1</v>
      </c>
    </row>
    <row r="45" spans="1:21" x14ac:dyDescent="0.3">
      <c r="A45" t="s">
        <v>22</v>
      </c>
      <c r="B45" t="s">
        <v>37</v>
      </c>
      <c r="C45" s="4" t="s">
        <v>21</v>
      </c>
      <c r="D45" s="1">
        <v>66865</v>
      </c>
      <c r="E45" s="1">
        <v>1352</v>
      </c>
      <c r="F45">
        <v>980</v>
      </c>
      <c r="G45">
        <v>933</v>
      </c>
      <c r="H45" s="1">
        <v>1084</v>
      </c>
      <c r="I45">
        <v>823</v>
      </c>
      <c r="J45" s="1">
        <v>4386</v>
      </c>
      <c r="K45" s="1">
        <v>3364</v>
      </c>
      <c r="L45" s="1">
        <v>2986</v>
      </c>
      <c r="M45" s="1">
        <v>3032</v>
      </c>
      <c r="N45" s="1">
        <v>3504</v>
      </c>
      <c r="O45" s="1">
        <v>8356</v>
      </c>
      <c r="P45" s="1">
        <v>14056</v>
      </c>
      <c r="Q45" s="1">
        <v>12351</v>
      </c>
      <c r="R45" s="1">
        <v>4679</v>
      </c>
      <c r="S45" s="1">
        <v>2031</v>
      </c>
      <c r="T45" s="1">
        <v>2722</v>
      </c>
      <c r="U45">
        <v>226</v>
      </c>
    </row>
    <row r="46" spans="1:21" x14ac:dyDescent="0.3">
      <c r="A46" t="s">
        <v>22</v>
      </c>
      <c r="B46" t="s">
        <v>37</v>
      </c>
      <c r="C46" s="4" t="s">
        <v>24</v>
      </c>
      <c r="D46" s="1">
        <v>44317</v>
      </c>
      <c r="E46">
        <v>974</v>
      </c>
      <c r="F46">
        <v>637</v>
      </c>
      <c r="G46">
        <v>637</v>
      </c>
      <c r="H46">
        <v>721</v>
      </c>
      <c r="I46">
        <v>556</v>
      </c>
      <c r="J46" s="1">
        <v>2720</v>
      </c>
      <c r="K46" s="1">
        <v>1875</v>
      </c>
      <c r="L46" s="1">
        <v>1850</v>
      </c>
      <c r="M46" s="1">
        <v>1607</v>
      </c>
      <c r="N46" s="1">
        <v>2008</v>
      </c>
      <c r="O46" s="1">
        <v>5306</v>
      </c>
      <c r="P46" s="1">
        <v>9750</v>
      </c>
      <c r="Q46" s="1">
        <v>9127</v>
      </c>
      <c r="R46" s="1">
        <v>3213</v>
      </c>
      <c r="S46" s="1">
        <v>1305</v>
      </c>
      <c r="T46" s="1">
        <v>1847</v>
      </c>
      <c r="U46">
        <v>184</v>
      </c>
    </row>
    <row r="47" spans="1:21" x14ac:dyDescent="0.3">
      <c r="A47" t="s">
        <v>22</v>
      </c>
      <c r="B47" t="s">
        <v>37</v>
      </c>
      <c r="C47" s="4" t="s">
        <v>25</v>
      </c>
      <c r="D47" s="1">
        <v>22548</v>
      </c>
      <c r="E47">
        <v>378</v>
      </c>
      <c r="F47">
        <v>343</v>
      </c>
      <c r="G47">
        <v>296</v>
      </c>
      <c r="H47">
        <v>363</v>
      </c>
      <c r="I47">
        <v>267</v>
      </c>
      <c r="J47" s="1">
        <v>1666</v>
      </c>
      <c r="K47" s="1">
        <v>1489</v>
      </c>
      <c r="L47" s="1">
        <v>1136</v>
      </c>
      <c r="M47" s="1">
        <v>1425</v>
      </c>
      <c r="N47" s="1">
        <v>1496</v>
      </c>
      <c r="O47" s="1">
        <v>3050</v>
      </c>
      <c r="P47" s="1">
        <v>4306</v>
      </c>
      <c r="Q47" s="1">
        <v>3224</v>
      </c>
      <c r="R47" s="1">
        <v>1466</v>
      </c>
      <c r="S47">
        <v>726</v>
      </c>
      <c r="T47">
        <v>875</v>
      </c>
      <c r="U47">
        <v>42</v>
      </c>
    </row>
    <row r="48" spans="1:21" x14ac:dyDescent="0.3">
      <c r="A48" t="s">
        <v>22</v>
      </c>
      <c r="B48" t="s">
        <v>38</v>
      </c>
      <c r="C48" s="4" t="s">
        <v>21</v>
      </c>
      <c r="D48" s="1">
        <v>66453</v>
      </c>
      <c r="E48" s="1">
        <v>5864</v>
      </c>
      <c r="F48" s="1">
        <v>2862</v>
      </c>
      <c r="G48" s="1">
        <v>3760</v>
      </c>
      <c r="H48" s="1">
        <v>3829</v>
      </c>
      <c r="I48" s="1">
        <v>3077</v>
      </c>
      <c r="J48" s="1">
        <v>15084</v>
      </c>
      <c r="K48" s="1">
        <v>6763</v>
      </c>
      <c r="L48" s="1">
        <v>2878</v>
      </c>
      <c r="M48" s="1">
        <v>1771</v>
      </c>
      <c r="N48" s="1">
        <v>1589</v>
      </c>
      <c r="O48" s="1">
        <v>4441</v>
      </c>
      <c r="P48" s="1">
        <v>5039</v>
      </c>
      <c r="Q48" s="1">
        <v>3825</v>
      </c>
      <c r="R48" s="1">
        <v>2467</v>
      </c>
      <c r="S48" s="1">
        <v>1341</v>
      </c>
      <c r="T48" s="1">
        <v>1844</v>
      </c>
      <c r="U48">
        <v>19</v>
      </c>
    </row>
    <row r="49" spans="1:21" x14ac:dyDescent="0.3">
      <c r="A49" t="s">
        <v>22</v>
      </c>
      <c r="B49" t="s">
        <v>38</v>
      </c>
      <c r="C49" s="4" t="s">
        <v>24</v>
      </c>
      <c r="D49" s="1">
        <v>26174</v>
      </c>
      <c r="E49" s="1">
        <v>2248</v>
      </c>
      <c r="F49" s="1">
        <v>1167</v>
      </c>
      <c r="G49" s="1">
        <v>1476</v>
      </c>
      <c r="H49" s="1">
        <v>1526</v>
      </c>
      <c r="I49" s="1">
        <v>1081</v>
      </c>
      <c r="J49" s="1">
        <v>5128</v>
      </c>
      <c r="K49" s="1">
        <v>2271</v>
      </c>
      <c r="L49" s="1">
        <v>1007</v>
      </c>
      <c r="M49">
        <v>624</v>
      </c>
      <c r="N49">
        <v>570</v>
      </c>
      <c r="O49" s="1">
        <v>1564</v>
      </c>
      <c r="P49" s="1">
        <v>2258</v>
      </c>
      <c r="Q49" s="1">
        <v>1828</v>
      </c>
      <c r="R49" s="1">
        <v>1394</v>
      </c>
      <c r="S49">
        <v>852</v>
      </c>
      <c r="T49" s="1">
        <v>1166</v>
      </c>
      <c r="U49">
        <v>14</v>
      </c>
    </row>
    <row r="50" spans="1:21" x14ac:dyDescent="0.3">
      <c r="A50" t="s">
        <v>22</v>
      </c>
      <c r="B50" t="s">
        <v>38</v>
      </c>
      <c r="C50" s="4" t="s">
        <v>25</v>
      </c>
      <c r="D50" s="1">
        <v>40279</v>
      </c>
      <c r="E50" s="1">
        <v>3616</v>
      </c>
      <c r="F50" s="1">
        <v>1695</v>
      </c>
      <c r="G50" s="1">
        <v>2284</v>
      </c>
      <c r="H50" s="1">
        <v>2303</v>
      </c>
      <c r="I50" s="1">
        <v>1996</v>
      </c>
      <c r="J50" s="1">
        <v>9956</v>
      </c>
      <c r="K50" s="1">
        <v>4492</v>
      </c>
      <c r="L50" s="1">
        <v>1871</v>
      </c>
      <c r="M50" s="1">
        <v>1147</v>
      </c>
      <c r="N50" s="1">
        <v>1019</v>
      </c>
      <c r="O50" s="1">
        <v>2877</v>
      </c>
      <c r="P50" s="1">
        <v>2781</v>
      </c>
      <c r="Q50" s="1">
        <v>1997</v>
      </c>
      <c r="R50" s="1">
        <v>1073</v>
      </c>
      <c r="S50">
        <v>489</v>
      </c>
      <c r="T50">
        <v>678</v>
      </c>
      <c r="U50">
        <v>5</v>
      </c>
    </row>
    <row r="51" spans="1:21" x14ac:dyDescent="0.3">
      <c r="A51" t="s">
        <v>22</v>
      </c>
      <c r="B51" t="s">
        <v>39</v>
      </c>
      <c r="C51" s="4" t="s">
        <v>21</v>
      </c>
      <c r="D51" s="1">
        <v>52310</v>
      </c>
      <c r="E51">
        <v>577</v>
      </c>
      <c r="F51">
        <v>525</v>
      </c>
      <c r="G51" s="1">
        <v>6479</v>
      </c>
      <c r="H51" s="1">
        <v>3532</v>
      </c>
      <c r="I51" s="1">
        <v>1498</v>
      </c>
      <c r="J51" s="1">
        <v>2807</v>
      </c>
      <c r="K51" s="1">
        <v>1079</v>
      </c>
      <c r="L51">
        <v>369</v>
      </c>
      <c r="M51">
        <v>750</v>
      </c>
      <c r="N51">
        <v>964</v>
      </c>
      <c r="O51" s="1">
        <v>4064</v>
      </c>
      <c r="P51" s="1">
        <v>11999</v>
      </c>
      <c r="Q51" s="1">
        <v>8882</v>
      </c>
      <c r="R51" s="1">
        <v>4936</v>
      </c>
      <c r="S51" s="1">
        <v>1713</v>
      </c>
      <c r="T51" s="1">
        <v>1942</v>
      </c>
      <c r="U51">
        <v>194</v>
      </c>
    </row>
    <row r="52" spans="1:21" x14ac:dyDescent="0.3">
      <c r="A52" t="s">
        <v>22</v>
      </c>
      <c r="B52" t="s">
        <v>39</v>
      </c>
      <c r="C52" s="4" t="s">
        <v>24</v>
      </c>
      <c r="D52" s="1">
        <v>32984</v>
      </c>
      <c r="E52">
        <v>279</v>
      </c>
      <c r="F52">
        <v>289</v>
      </c>
      <c r="G52" s="1">
        <v>2983</v>
      </c>
      <c r="H52" s="1">
        <v>1644</v>
      </c>
      <c r="I52">
        <v>758</v>
      </c>
      <c r="J52" s="1">
        <v>1326</v>
      </c>
      <c r="K52">
        <v>571</v>
      </c>
      <c r="L52">
        <v>200</v>
      </c>
      <c r="M52">
        <v>436</v>
      </c>
      <c r="N52">
        <v>491</v>
      </c>
      <c r="O52" s="1">
        <v>2738</v>
      </c>
      <c r="P52" s="1">
        <v>8448</v>
      </c>
      <c r="Q52" s="1">
        <v>6801</v>
      </c>
      <c r="R52" s="1">
        <v>3484</v>
      </c>
      <c r="S52" s="1">
        <v>1123</v>
      </c>
      <c r="T52" s="1">
        <v>1292</v>
      </c>
      <c r="U52">
        <v>121</v>
      </c>
    </row>
    <row r="53" spans="1:21" x14ac:dyDescent="0.3">
      <c r="A53" t="s">
        <v>22</v>
      </c>
      <c r="B53" t="s">
        <v>39</v>
      </c>
      <c r="C53" s="4" t="s">
        <v>25</v>
      </c>
      <c r="D53" s="1">
        <v>19326</v>
      </c>
      <c r="E53">
        <v>298</v>
      </c>
      <c r="F53">
        <v>236</v>
      </c>
      <c r="G53" s="1">
        <v>3496</v>
      </c>
      <c r="H53" s="1">
        <v>1888</v>
      </c>
      <c r="I53">
        <v>740</v>
      </c>
      <c r="J53" s="1">
        <v>1481</v>
      </c>
      <c r="K53">
        <v>508</v>
      </c>
      <c r="L53">
        <v>169</v>
      </c>
      <c r="M53">
        <v>314</v>
      </c>
      <c r="N53">
        <v>473</v>
      </c>
      <c r="O53" s="1">
        <v>1326</v>
      </c>
      <c r="P53" s="1">
        <v>3551</v>
      </c>
      <c r="Q53" s="1">
        <v>2081</v>
      </c>
      <c r="R53" s="1">
        <v>1452</v>
      </c>
      <c r="S53">
        <v>590</v>
      </c>
      <c r="T53">
        <v>650</v>
      </c>
      <c r="U53">
        <v>73</v>
      </c>
    </row>
    <row r="54" spans="1:21" x14ac:dyDescent="0.3">
      <c r="A54" t="s">
        <v>22</v>
      </c>
      <c r="B54" t="s">
        <v>40</v>
      </c>
      <c r="C54" s="4" t="s">
        <v>21</v>
      </c>
      <c r="D54" s="1">
        <v>50324</v>
      </c>
      <c r="E54" s="1">
        <v>5804</v>
      </c>
      <c r="F54" s="1">
        <v>5760</v>
      </c>
      <c r="G54" s="1">
        <v>9262</v>
      </c>
      <c r="H54" s="1">
        <v>5745</v>
      </c>
      <c r="I54" s="1">
        <v>4361</v>
      </c>
      <c r="J54" s="1">
        <v>10199</v>
      </c>
      <c r="K54" s="1">
        <v>3251</v>
      </c>
      <c r="L54">
        <v>776</v>
      </c>
      <c r="M54" s="1">
        <v>1034</v>
      </c>
      <c r="N54" s="1">
        <v>1033</v>
      </c>
      <c r="O54" s="1">
        <v>1005</v>
      </c>
      <c r="P54" s="1">
        <v>1210</v>
      </c>
      <c r="Q54">
        <v>548</v>
      </c>
      <c r="R54">
        <v>166</v>
      </c>
      <c r="S54">
        <v>87</v>
      </c>
      <c r="T54">
        <v>82</v>
      </c>
      <c r="U54">
        <v>1</v>
      </c>
    </row>
    <row r="55" spans="1:21" x14ac:dyDescent="0.3">
      <c r="A55" t="s">
        <v>22</v>
      </c>
      <c r="B55" t="s">
        <v>40</v>
      </c>
      <c r="C55" s="4" t="s">
        <v>24</v>
      </c>
      <c r="D55" s="1">
        <v>23963</v>
      </c>
      <c r="E55" s="1">
        <v>3061</v>
      </c>
      <c r="F55" s="1">
        <v>2729</v>
      </c>
      <c r="G55" s="1">
        <v>4168</v>
      </c>
      <c r="H55" s="1">
        <v>2950</v>
      </c>
      <c r="I55" s="1">
        <v>2064</v>
      </c>
      <c r="J55" s="1">
        <v>4595</v>
      </c>
      <c r="K55" s="1">
        <v>1434</v>
      </c>
      <c r="L55">
        <v>351</v>
      </c>
      <c r="M55">
        <v>481</v>
      </c>
      <c r="N55">
        <v>453</v>
      </c>
      <c r="O55">
        <v>430</v>
      </c>
      <c r="P55">
        <v>577</v>
      </c>
      <c r="Q55">
        <v>380</v>
      </c>
      <c r="R55">
        <v>135</v>
      </c>
      <c r="S55">
        <v>77</v>
      </c>
      <c r="T55">
        <v>77</v>
      </c>
      <c r="U55">
        <v>1</v>
      </c>
    </row>
    <row r="56" spans="1:21" x14ac:dyDescent="0.3">
      <c r="A56" t="s">
        <v>22</v>
      </c>
      <c r="B56" t="s">
        <v>40</v>
      </c>
      <c r="C56" s="4" t="s">
        <v>25</v>
      </c>
      <c r="D56" s="1">
        <v>26361</v>
      </c>
      <c r="E56" s="1">
        <v>2743</v>
      </c>
      <c r="F56" s="1">
        <v>3031</v>
      </c>
      <c r="G56" s="1">
        <v>5094</v>
      </c>
      <c r="H56" s="1">
        <v>2795</v>
      </c>
      <c r="I56" s="1">
        <v>2297</v>
      </c>
      <c r="J56" s="1">
        <v>5604</v>
      </c>
      <c r="K56" s="1">
        <v>1817</v>
      </c>
      <c r="L56">
        <v>425</v>
      </c>
      <c r="M56">
        <v>553</v>
      </c>
      <c r="N56">
        <v>580</v>
      </c>
      <c r="O56">
        <v>575</v>
      </c>
      <c r="P56">
        <v>633</v>
      </c>
      <c r="Q56">
        <v>168</v>
      </c>
      <c r="R56">
        <v>31</v>
      </c>
      <c r="S56">
        <v>10</v>
      </c>
      <c r="T56">
        <v>5</v>
      </c>
    </row>
    <row r="57" spans="1:21" x14ac:dyDescent="0.3">
      <c r="A57" t="s">
        <v>22</v>
      </c>
      <c r="B57" t="s">
        <v>41</v>
      </c>
      <c r="C57" s="4" t="s">
        <v>21</v>
      </c>
      <c r="D57" s="1">
        <v>44680</v>
      </c>
      <c r="E57" s="1">
        <v>1996</v>
      </c>
      <c r="F57" s="1">
        <v>3719</v>
      </c>
      <c r="G57" s="1">
        <v>9932</v>
      </c>
      <c r="H57" s="1">
        <v>13564</v>
      </c>
      <c r="I57" s="1">
        <v>7398</v>
      </c>
      <c r="J57" s="1">
        <v>6776</v>
      </c>
      <c r="K57">
        <v>572</v>
      </c>
      <c r="L57">
        <v>189</v>
      </c>
      <c r="M57">
        <v>269</v>
      </c>
      <c r="N57">
        <v>148</v>
      </c>
      <c r="O57">
        <v>74</v>
      </c>
      <c r="P57">
        <v>36</v>
      </c>
      <c r="Q57">
        <v>6</v>
      </c>
      <c r="R57">
        <v>1</v>
      </c>
    </row>
    <row r="58" spans="1:21" x14ac:dyDescent="0.3">
      <c r="A58" t="s">
        <v>22</v>
      </c>
      <c r="B58" t="s">
        <v>41</v>
      </c>
      <c r="C58" s="4" t="s">
        <v>24</v>
      </c>
      <c r="D58" s="1">
        <v>13200</v>
      </c>
      <c r="E58">
        <v>760</v>
      </c>
      <c r="F58">
        <v>852</v>
      </c>
      <c r="G58" s="1">
        <v>2333</v>
      </c>
      <c r="H58" s="1">
        <v>3825</v>
      </c>
      <c r="I58" s="1">
        <v>2453</v>
      </c>
      <c r="J58" s="1">
        <v>2460</v>
      </c>
      <c r="K58">
        <v>256</v>
      </c>
      <c r="L58">
        <v>90</v>
      </c>
      <c r="M58">
        <v>98</v>
      </c>
      <c r="N58">
        <v>43</v>
      </c>
      <c r="O58">
        <v>17</v>
      </c>
      <c r="P58">
        <v>12</v>
      </c>
      <c r="Q58">
        <v>1</v>
      </c>
    </row>
    <row r="59" spans="1:21" x14ac:dyDescent="0.3">
      <c r="A59" t="s">
        <v>22</v>
      </c>
      <c r="B59" t="s">
        <v>41</v>
      </c>
      <c r="C59" s="4" t="s">
        <v>25</v>
      </c>
      <c r="D59" s="1">
        <v>31480</v>
      </c>
      <c r="E59" s="1">
        <v>1236</v>
      </c>
      <c r="F59" s="1">
        <v>2867</v>
      </c>
      <c r="G59" s="1">
        <v>7599</v>
      </c>
      <c r="H59" s="1">
        <v>9739</v>
      </c>
      <c r="I59" s="1">
        <v>4945</v>
      </c>
      <c r="J59" s="1">
        <v>4316</v>
      </c>
      <c r="K59">
        <v>316</v>
      </c>
      <c r="L59">
        <v>99</v>
      </c>
      <c r="M59">
        <v>171</v>
      </c>
      <c r="N59">
        <v>105</v>
      </c>
      <c r="O59">
        <v>57</v>
      </c>
      <c r="P59">
        <v>24</v>
      </c>
      <c r="Q59">
        <v>5</v>
      </c>
      <c r="R59">
        <v>1</v>
      </c>
    </row>
    <row r="60" spans="1:21" x14ac:dyDescent="0.3">
      <c r="A60" t="s">
        <v>22</v>
      </c>
      <c r="B60" t="s">
        <v>42</v>
      </c>
      <c r="C60" s="4" t="s">
        <v>21</v>
      </c>
      <c r="D60" s="1">
        <v>32857</v>
      </c>
      <c r="E60" s="1">
        <v>9967</v>
      </c>
      <c r="F60" s="1">
        <v>1191</v>
      </c>
      <c r="G60">
        <v>849</v>
      </c>
      <c r="H60">
        <v>928</v>
      </c>
      <c r="I60">
        <v>877</v>
      </c>
      <c r="J60" s="1">
        <v>3310</v>
      </c>
      <c r="K60" s="1">
        <v>1711</v>
      </c>
      <c r="L60">
        <v>519</v>
      </c>
      <c r="M60">
        <v>558</v>
      </c>
      <c r="N60">
        <v>503</v>
      </c>
      <c r="O60" s="1">
        <v>1354</v>
      </c>
      <c r="P60" s="1">
        <v>4114</v>
      </c>
      <c r="Q60" s="1">
        <v>3611</v>
      </c>
      <c r="R60" s="1">
        <v>1880</v>
      </c>
      <c r="S60">
        <v>555</v>
      </c>
      <c r="T60">
        <v>904</v>
      </c>
      <c r="U60">
        <v>26</v>
      </c>
    </row>
    <row r="61" spans="1:21" x14ac:dyDescent="0.3">
      <c r="A61" t="s">
        <v>22</v>
      </c>
      <c r="B61" t="s">
        <v>42</v>
      </c>
      <c r="C61" s="4" t="s">
        <v>24</v>
      </c>
      <c r="D61" s="1">
        <v>24781</v>
      </c>
      <c r="E61" s="1">
        <v>9879</v>
      </c>
      <c r="F61" s="1">
        <v>1070</v>
      </c>
      <c r="G61">
        <v>540</v>
      </c>
      <c r="H61">
        <v>431</v>
      </c>
      <c r="I61">
        <v>379</v>
      </c>
      <c r="J61" s="1">
        <v>1223</v>
      </c>
      <c r="K61">
        <v>715</v>
      </c>
      <c r="L61">
        <v>240</v>
      </c>
      <c r="M61">
        <v>261</v>
      </c>
      <c r="N61">
        <v>259</v>
      </c>
      <c r="O61">
        <v>800</v>
      </c>
      <c r="P61" s="1">
        <v>3257</v>
      </c>
      <c r="Q61" s="1">
        <v>2965</v>
      </c>
      <c r="R61" s="1">
        <v>1502</v>
      </c>
      <c r="S61">
        <v>393</v>
      </c>
      <c r="T61">
        <v>842</v>
      </c>
      <c r="U61">
        <v>25</v>
      </c>
    </row>
    <row r="62" spans="1:21" x14ac:dyDescent="0.3">
      <c r="A62" t="s">
        <v>22</v>
      </c>
      <c r="B62" t="s">
        <v>42</v>
      </c>
      <c r="C62" s="4" t="s">
        <v>25</v>
      </c>
      <c r="D62" s="1">
        <v>8076</v>
      </c>
      <c r="E62">
        <v>88</v>
      </c>
      <c r="F62">
        <v>121</v>
      </c>
      <c r="G62">
        <v>309</v>
      </c>
      <c r="H62">
        <v>497</v>
      </c>
      <c r="I62">
        <v>498</v>
      </c>
      <c r="J62" s="1">
        <v>2087</v>
      </c>
      <c r="K62">
        <v>996</v>
      </c>
      <c r="L62">
        <v>279</v>
      </c>
      <c r="M62">
        <v>297</v>
      </c>
      <c r="N62">
        <v>244</v>
      </c>
      <c r="O62">
        <v>554</v>
      </c>
      <c r="P62">
        <v>857</v>
      </c>
      <c r="Q62">
        <v>646</v>
      </c>
      <c r="R62">
        <v>378</v>
      </c>
      <c r="S62">
        <v>162</v>
      </c>
      <c r="T62">
        <v>62</v>
      </c>
      <c r="U62">
        <v>1</v>
      </c>
    </row>
    <row r="63" spans="1:21" x14ac:dyDescent="0.3">
      <c r="A63" t="s">
        <v>22</v>
      </c>
      <c r="B63" t="s">
        <v>43</v>
      </c>
      <c r="C63" s="4" t="s">
        <v>21</v>
      </c>
      <c r="D63" s="1">
        <v>31452</v>
      </c>
      <c r="E63">
        <v>162</v>
      </c>
      <c r="F63">
        <v>167</v>
      </c>
      <c r="G63">
        <v>276</v>
      </c>
      <c r="H63">
        <v>318</v>
      </c>
      <c r="I63">
        <v>273</v>
      </c>
      <c r="J63" s="1">
        <v>1052</v>
      </c>
      <c r="K63">
        <v>730</v>
      </c>
      <c r="L63">
        <v>405</v>
      </c>
      <c r="M63">
        <v>598</v>
      </c>
      <c r="N63">
        <v>748</v>
      </c>
      <c r="O63" s="1">
        <v>1406</v>
      </c>
      <c r="P63" s="1">
        <v>8004</v>
      </c>
      <c r="Q63" s="1">
        <v>8116</v>
      </c>
      <c r="R63" s="1">
        <v>5998</v>
      </c>
      <c r="S63" s="1">
        <v>1709</v>
      </c>
      <c r="T63" s="1">
        <v>1387</v>
      </c>
      <c r="U63">
        <v>103</v>
      </c>
    </row>
    <row r="64" spans="1:21" x14ac:dyDescent="0.3">
      <c r="A64" t="s">
        <v>22</v>
      </c>
      <c r="B64" t="s">
        <v>43</v>
      </c>
      <c r="C64" s="4" t="s">
        <v>24</v>
      </c>
      <c r="D64" s="1">
        <v>26532</v>
      </c>
      <c r="E64">
        <v>125</v>
      </c>
      <c r="F64">
        <v>122</v>
      </c>
      <c r="G64">
        <v>199</v>
      </c>
      <c r="H64">
        <v>201</v>
      </c>
      <c r="I64">
        <v>175</v>
      </c>
      <c r="J64">
        <v>632</v>
      </c>
      <c r="K64">
        <v>444</v>
      </c>
      <c r="L64">
        <v>248</v>
      </c>
      <c r="M64">
        <v>395</v>
      </c>
      <c r="N64">
        <v>434</v>
      </c>
      <c r="O64" s="1">
        <v>1165</v>
      </c>
      <c r="P64" s="1">
        <v>7170</v>
      </c>
      <c r="Q64" s="1">
        <v>7209</v>
      </c>
      <c r="R64" s="1">
        <v>5352</v>
      </c>
      <c r="S64" s="1">
        <v>1452</v>
      </c>
      <c r="T64" s="1">
        <v>1130</v>
      </c>
      <c r="U64">
        <v>79</v>
      </c>
    </row>
    <row r="65" spans="1:21" x14ac:dyDescent="0.3">
      <c r="A65" t="s">
        <v>22</v>
      </c>
      <c r="B65" t="s">
        <v>43</v>
      </c>
      <c r="C65" s="4" t="s">
        <v>25</v>
      </c>
      <c r="D65" s="1">
        <v>4920</v>
      </c>
      <c r="E65">
        <v>37</v>
      </c>
      <c r="F65">
        <v>45</v>
      </c>
      <c r="G65">
        <v>77</v>
      </c>
      <c r="H65">
        <v>117</v>
      </c>
      <c r="I65">
        <v>98</v>
      </c>
      <c r="J65">
        <v>420</v>
      </c>
      <c r="K65">
        <v>286</v>
      </c>
      <c r="L65">
        <v>157</v>
      </c>
      <c r="M65">
        <v>203</v>
      </c>
      <c r="N65">
        <v>314</v>
      </c>
      <c r="O65">
        <v>241</v>
      </c>
      <c r="P65">
        <v>834</v>
      </c>
      <c r="Q65">
        <v>907</v>
      </c>
      <c r="R65">
        <v>646</v>
      </c>
      <c r="S65">
        <v>257</v>
      </c>
      <c r="T65">
        <v>257</v>
      </c>
      <c r="U65">
        <v>24</v>
      </c>
    </row>
    <row r="66" spans="1:21" x14ac:dyDescent="0.3">
      <c r="A66" t="s">
        <v>22</v>
      </c>
      <c r="B66" t="s">
        <v>44</v>
      </c>
      <c r="C66" s="4" t="s">
        <v>21</v>
      </c>
      <c r="D66" s="1">
        <v>25071</v>
      </c>
      <c r="E66" s="1">
        <v>3014</v>
      </c>
      <c r="F66" s="1">
        <v>1084</v>
      </c>
      <c r="G66" s="1">
        <v>1939</v>
      </c>
      <c r="H66" s="1">
        <v>1881</v>
      </c>
      <c r="I66" s="1">
        <v>1643</v>
      </c>
      <c r="J66" s="1">
        <v>6895</v>
      </c>
      <c r="K66" s="1">
        <v>6489</v>
      </c>
      <c r="L66">
        <v>888</v>
      </c>
      <c r="M66">
        <v>427</v>
      </c>
      <c r="N66">
        <v>257</v>
      </c>
      <c r="O66">
        <v>135</v>
      </c>
      <c r="P66">
        <v>405</v>
      </c>
      <c r="Q66">
        <v>10</v>
      </c>
      <c r="R66">
        <v>3</v>
      </c>
      <c r="S66">
        <v>1</v>
      </c>
    </row>
    <row r="67" spans="1:21" x14ac:dyDescent="0.3">
      <c r="A67" t="s">
        <v>22</v>
      </c>
      <c r="B67" t="s">
        <v>44</v>
      </c>
      <c r="C67" s="4" t="s">
        <v>24</v>
      </c>
      <c r="D67" s="1">
        <v>13043</v>
      </c>
      <c r="E67" s="1">
        <v>1654</v>
      </c>
      <c r="F67">
        <v>758</v>
      </c>
      <c r="G67" s="1">
        <v>1236</v>
      </c>
      <c r="H67" s="1">
        <v>1218</v>
      </c>
      <c r="I67">
        <v>994</v>
      </c>
      <c r="J67" s="1">
        <v>3450</v>
      </c>
      <c r="K67" s="1">
        <v>2837</v>
      </c>
      <c r="L67">
        <v>367</v>
      </c>
      <c r="M67">
        <v>186</v>
      </c>
      <c r="N67">
        <v>103</v>
      </c>
      <c r="O67">
        <v>56</v>
      </c>
      <c r="P67">
        <v>182</v>
      </c>
      <c r="Q67">
        <v>2</v>
      </c>
    </row>
    <row r="68" spans="1:21" x14ac:dyDescent="0.3">
      <c r="A68" t="s">
        <v>22</v>
      </c>
      <c r="B68" t="s">
        <v>44</v>
      </c>
      <c r="C68" s="4" t="s">
        <v>25</v>
      </c>
      <c r="D68" s="1">
        <v>12028</v>
      </c>
      <c r="E68" s="1">
        <v>1360</v>
      </c>
      <c r="F68">
        <v>326</v>
      </c>
      <c r="G68">
        <v>703</v>
      </c>
      <c r="H68">
        <v>663</v>
      </c>
      <c r="I68">
        <v>649</v>
      </c>
      <c r="J68" s="1">
        <v>3445</v>
      </c>
      <c r="K68" s="1">
        <v>3652</v>
      </c>
      <c r="L68">
        <v>521</v>
      </c>
      <c r="M68">
        <v>241</v>
      </c>
      <c r="N68">
        <v>154</v>
      </c>
      <c r="O68">
        <v>79</v>
      </c>
      <c r="P68">
        <v>223</v>
      </c>
      <c r="Q68">
        <v>8</v>
      </c>
      <c r="R68">
        <v>3</v>
      </c>
      <c r="S68">
        <v>1</v>
      </c>
    </row>
    <row r="69" spans="1:21" x14ac:dyDescent="0.3">
      <c r="A69" t="s">
        <v>22</v>
      </c>
      <c r="B69" t="s">
        <v>45</v>
      </c>
      <c r="C69" s="4" t="s">
        <v>21</v>
      </c>
      <c r="D69" s="1">
        <v>23647</v>
      </c>
      <c r="E69">
        <v>360</v>
      </c>
      <c r="F69">
        <v>844</v>
      </c>
      <c r="G69" s="1">
        <v>1175</v>
      </c>
      <c r="H69">
        <v>678</v>
      </c>
      <c r="I69">
        <v>654</v>
      </c>
      <c r="J69" s="1">
        <v>1286</v>
      </c>
      <c r="K69">
        <v>503</v>
      </c>
      <c r="L69">
        <v>226</v>
      </c>
      <c r="M69">
        <v>330</v>
      </c>
      <c r="N69">
        <v>797</v>
      </c>
      <c r="O69" s="1">
        <v>5663</v>
      </c>
      <c r="P69" s="1">
        <v>9488</v>
      </c>
      <c r="Q69" s="1">
        <v>1125</v>
      </c>
      <c r="R69">
        <v>325</v>
      </c>
      <c r="S69">
        <v>98</v>
      </c>
      <c r="T69">
        <v>76</v>
      </c>
      <c r="U69">
        <v>19</v>
      </c>
    </row>
    <row r="70" spans="1:21" x14ac:dyDescent="0.3">
      <c r="A70" t="s">
        <v>22</v>
      </c>
      <c r="B70" t="s">
        <v>45</v>
      </c>
      <c r="C70" s="4" t="s">
        <v>24</v>
      </c>
      <c r="D70" s="1">
        <v>12967</v>
      </c>
      <c r="E70">
        <v>215</v>
      </c>
      <c r="F70">
        <v>329</v>
      </c>
      <c r="G70">
        <v>488</v>
      </c>
      <c r="H70">
        <v>309</v>
      </c>
      <c r="I70">
        <v>293</v>
      </c>
      <c r="J70">
        <v>527</v>
      </c>
      <c r="K70">
        <v>187</v>
      </c>
      <c r="L70">
        <v>65</v>
      </c>
      <c r="M70">
        <v>136</v>
      </c>
      <c r="N70">
        <v>306</v>
      </c>
      <c r="O70" s="1">
        <v>3388</v>
      </c>
      <c r="P70" s="1">
        <v>5555</v>
      </c>
      <c r="Q70">
        <v>853</v>
      </c>
      <c r="R70">
        <v>220</v>
      </c>
      <c r="S70">
        <v>71</v>
      </c>
      <c r="T70">
        <v>17</v>
      </c>
      <c r="U70">
        <v>8</v>
      </c>
    </row>
    <row r="71" spans="1:21" x14ac:dyDescent="0.3">
      <c r="A71" t="s">
        <v>22</v>
      </c>
      <c r="B71" t="s">
        <v>45</v>
      </c>
      <c r="C71" s="4" t="s">
        <v>25</v>
      </c>
      <c r="D71" s="1">
        <v>10680</v>
      </c>
      <c r="E71">
        <v>145</v>
      </c>
      <c r="F71">
        <v>515</v>
      </c>
      <c r="G71">
        <v>687</v>
      </c>
      <c r="H71">
        <v>369</v>
      </c>
      <c r="I71">
        <v>361</v>
      </c>
      <c r="J71">
        <v>759</v>
      </c>
      <c r="K71">
        <v>316</v>
      </c>
      <c r="L71">
        <v>161</v>
      </c>
      <c r="M71">
        <v>194</v>
      </c>
      <c r="N71">
        <v>491</v>
      </c>
      <c r="O71" s="1">
        <v>2275</v>
      </c>
      <c r="P71" s="1">
        <v>3933</v>
      </c>
      <c r="Q71">
        <v>272</v>
      </c>
      <c r="R71">
        <v>105</v>
      </c>
      <c r="S71">
        <v>27</v>
      </c>
      <c r="T71">
        <v>59</v>
      </c>
      <c r="U71">
        <v>11</v>
      </c>
    </row>
    <row r="72" spans="1:21" x14ac:dyDescent="0.3">
      <c r="A72" t="s">
        <v>22</v>
      </c>
      <c r="B72" t="s">
        <v>46</v>
      </c>
      <c r="C72" s="4" t="s">
        <v>21</v>
      </c>
      <c r="D72" s="1">
        <v>22829</v>
      </c>
      <c r="E72">
        <v>624</v>
      </c>
      <c r="F72">
        <v>220</v>
      </c>
      <c r="G72">
        <v>638</v>
      </c>
      <c r="H72">
        <v>747</v>
      </c>
      <c r="I72">
        <v>791</v>
      </c>
      <c r="J72" s="1">
        <v>1871</v>
      </c>
      <c r="K72">
        <v>893</v>
      </c>
      <c r="L72">
        <v>347</v>
      </c>
      <c r="M72">
        <v>742</v>
      </c>
      <c r="N72">
        <v>907</v>
      </c>
      <c r="O72" s="1">
        <v>2496</v>
      </c>
      <c r="P72" s="1">
        <v>6156</v>
      </c>
      <c r="Q72" s="1">
        <v>4415</v>
      </c>
      <c r="R72" s="1">
        <v>1343</v>
      </c>
      <c r="S72">
        <v>306</v>
      </c>
      <c r="T72">
        <v>271</v>
      </c>
      <c r="U72">
        <v>62</v>
      </c>
    </row>
    <row r="73" spans="1:21" x14ac:dyDescent="0.3">
      <c r="A73" t="s">
        <v>22</v>
      </c>
      <c r="B73" t="s">
        <v>46</v>
      </c>
      <c r="C73" s="4" t="s">
        <v>24</v>
      </c>
      <c r="D73" s="1">
        <v>19875</v>
      </c>
      <c r="E73">
        <v>610</v>
      </c>
      <c r="F73">
        <v>199</v>
      </c>
      <c r="G73">
        <v>554</v>
      </c>
      <c r="H73">
        <v>620</v>
      </c>
      <c r="I73">
        <v>633</v>
      </c>
      <c r="J73" s="1">
        <v>1382</v>
      </c>
      <c r="K73">
        <v>628</v>
      </c>
      <c r="L73">
        <v>269</v>
      </c>
      <c r="M73">
        <v>621</v>
      </c>
      <c r="N73">
        <v>654</v>
      </c>
      <c r="O73" s="1">
        <v>2218</v>
      </c>
      <c r="P73" s="1">
        <v>5743</v>
      </c>
      <c r="Q73" s="1">
        <v>3934</v>
      </c>
      <c r="R73" s="1">
        <v>1216</v>
      </c>
      <c r="S73">
        <v>272</v>
      </c>
      <c r="T73">
        <v>260</v>
      </c>
      <c r="U73">
        <v>62</v>
      </c>
    </row>
    <row r="74" spans="1:21" x14ac:dyDescent="0.3">
      <c r="A74" t="s">
        <v>22</v>
      </c>
      <c r="B74" t="s">
        <v>46</v>
      </c>
      <c r="C74" s="4" t="s">
        <v>25</v>
      </c>
      <c r="D74" s="1">
        <v>2954</v>
      </c>
      <c r="E74">
        <v>14</v>
      </c>
      <c r="F74">
        <v>21</v>
      </c>
      <c r="G74">
        <v>84</v>
      </c>
      <c r="H74">
        <v>127</v>
      </c>
      <c r="I74">
        <v>158</v>
      </c>
      <c r="J74">
        <v>489</v>
      </c>
      <c r="K74">
        <v>265</v>
      </c>
      <c r="L74">
        <v>78</v>
      </c>
      <c r="M74">
        <v>121</v>
      </c>
      <c r="N74">
        <v>253</v>
      </c>
      <c r="O74">
        <v>278</v>
      </c>
      <c r="P74">
        <v>413</v>
      </c>
      <c r="Q74">
        <v>481</v>
      </c>
      <c r="R74">
        <v>127</v>
      </c>
      <c r="S74">
        <v>34</v>
      </c>
      <c r="T74">
        <v>11</v>
      </c>
    </row>
    <row r="75" spans="1:21" x14ac:dyDescent="0.3">
      <c r="A75" t="s">
        <v>22</v>
      </c>
      <c r="B75" t="s">
        <v>47</v>
      </c>
      <c r="C75" s="4" t="s">
        <v>21</v>
      </c>
      <c r="D75" s="1">
        <v>21840</v>
      </c>
      <c r="E75" s="1">
        <v>1135</v>
      </c>
      <c r="F75">
        <v>291</v>
      </c>
      <c r="G75">
        <v>270</v>
      </c>
      <c r="H75">
        <v>360</v>
      </c>
      <c r="I75">
        <v>586</v>
      </c>
      <c r="J75" s="1">
        <v>1365</v>
      </c>
      <c r="K75">
        <v>747</v>
      </c>
      <c r="L75">
        <v>395</v>
      </c>
      <c r="M75">
        <v>493</v>
      </c>
      <c r="N75">
        <v>858</v>
      </c>
      <c r="O75" s="1">
        <v>1336</v>
      </c>
      <c r="P75" s="1">
        <v>4270</v>
      </c>
      <c r="Q75" s="1">
        <v>4943</v>
      </c>
      <c r="R75" s="1">
        <v>2800</v>
      </c>
      <c r="S75">
        <v>748</v>
      </c>
      <c r="T75" s="1">
        <v>1091</v>
      </c>
      <c r="U75">
        <v>152</v>
      </c>
    </row>
    <row r="76" spans="1:21" x14ac:dyDescent="0.3">
      <c r="A76" t="s">
        <v>22</v>
      </c>
      <c r="B76" t="s">
        <v>47</v>
      </c>
      <c r="C76" s="4" t="s">
        <v>24</v>
      </c>
      <c r="D76" s="1">
        <v>18843</v>
      </c>
      <c r="E76" s="1">
        <v>1107</v>
      </c>
      <c r="F76">
        <v>238</v>
      </c>
      <c r="G76">
        <v>189</v>
      </c>
      <c r="H76">
        <v>239</v>
      </c>
      <c r="I76">
        <v>346</v>
      </c>
      <c r="J76">
        <v>840</v>
      </c>
      <c r="K76">
        <v>479</v>
      </c>
      <c r="L76">
        <v>268</v>
      </c>
      <c r="M76">
        <v>347</v>
      </c>
      <c r="N76">
        <v>503</v>
      </c>
      <c r="O76" s="1">
        <v>1130</v>
      </c>
      <c r="P76" s="1">
        <v>3941</v>
      </c>
      <c r="Q76" s="1">
        <v>4632</v>
      </c>
      <c r="R76" s="1">
        <v>2669</v>
      </c>
      <c r="S76">
        <v>710</v>
      </c>
      <c r="T76" s="1">
        <v>1055</v>
      </c>
      <c r="U76">
        <v>150</v>
      </c>
    </row>
    <row r="77" spans="1:21" x14ac:dyDescent="0.3">
      <c r="A77" t="s">
        <v>22</v>
      </c>
      <c r="B77" t="s">
        <v>47</v>
      </c>
      <c r="C77" s="4" t="s">
        <v>25</v>
      </c>
      <c r="D77" s="1">
        <v>2997</v>
      </c>
      <c r="E77">
        <v>28</v>
      </c>
      <c r="F77">
        <v>53</v>
      </c>
      <c r="G77">
        <v>81</v>
      </c>
      <c r="H77">
        <v>121</v>
      </c>
      <c r="I77">
        <v>240</v>
      </c>
      <c r="J77">
        <v>525</v>
      </c>
      <c r="K77">
        <v>268</v>
      </c>
      <c r="L77">
        <v>127</v>
      </c>
      <c r="M77">
        <v>146</v>
      </c>
      <c r="N77">
        <v>355</v>
      </c>
      <c r="O77">
        <v>206</v>
      </c>
      <c r="P77">
        <v>329</v>
      </c>
      <c r="Q77">
        <v>311</v>
      </c>
      <c r="R77">
        <v>131</v>
      </c>
      <c r="S77">
        <v>38</v>
      </c>
      <c r="T77">
        <v>36</v>
      </c>
      <c r="U77">
        <v>2</v>
      </c>
    </row>
    <row r="78" spans="1:21" x14ac:dyDescent="0.3">
      <c r="A78" t="s">
        <v>22</v>
      </c>
      <c r="B78" t="s">
        <v>48</v>
      </c>
      <c r="C78" s="4" t="s">
        <v>21</v>
      </c>
      <c r="D78" s="1">
        <v>21332</v>
      </c>
      <c r="E78">
        <v>544</v>
      </c>
      <c r="F78">
        <v>650</v>
      </c>
      <c r="G78" s="1">
        <v>1165</v>
      </c>
      <c r="H78" s="1">
        <v>1603</v>
      </c>
      <c r="I78" s="1">
        <v>1801</v>
      </c>
      <c r="J78" s="1">
        <v>8704</v>
      </c>
      <c r="K78" s="1">
        <v>4836</v>
      </c>
      <c r="L78">
        <v>615</v>
      </c>
      <c r="M78">
        <v>413</v>
      </c>
      <c r="N78">
        <v>281</v>
      </c>
      <c r="O78">
        <v>404</v>
      </c>
      <c r="P78">
        <v>255</v>
      </c>
      <c r="Q78">
        <v>52</v>
      </c>
      <c r="R78">
        <v>3</v>
      </c>
      <c r="S78">
        <v>5</v>
      </c>
      <c r="T78">
        <v>1</v>
      </c>
    </row>
    <row r="79" spans="1:21" x14ac:dyDescent="0.3">
      <c r="A79" t="s">
        <v>22</v>
      </c>
      <c r="B79" t="s">
        <v>48</v>
      </c>
      <c r="C79" s="4" t="s">
        <v>24</v>
      </c>
      <c r="D79" s="1">
        <v>11300</v>
      </c>
      <c r="E79">
        <v>341</v>
      </c>
      <c r="F79">
        <v>501</v>
      </c>
      <c r="G79">
        <v>809</v>
      </c>
      <c r="H79" s="1">
        <v>1047</v>
      </c>
      <c r="I79" s="1">
        <v>1056</v>
      </c>
      <c r="J79" s="1">
        <v>4064</v>
      </c>
      <c r="K79" s="1">
        <v>2153</v>
      </c>
      <c r="L79">
        <v>372</v>
      </c>
      <c r="M79">
        <v>312</v>
      </c>
      <c r="N79">
        <v>204</v>
      </c>
      <c r="O79">
        <v>247</v>
      </c>
      <c r="P79">
        <v>159</v>
      </c>
      <c r="Q79">
        <v>30</v>
      </c>
      <c r="R79">
        <v>3</v>
      </c>
      <c r="S79">
        <v>2</v>
      </c>
    </row>
    <row r="80" spans="1:21" x14ac:dyDescent="0.3">
      <c r="A80" t="s">
        <v>22</v>
      </c>
      <c r="B80" t="s">
        <v>48</v>
      </c>
      <c r="C80" s="4" t="s">
        <v>25</v>
      </c>
      <c r="D80" s="1">
        <v>10032</v>
      </c>
      <c r="E80">
        <v>203</v>
      </c>
      <c r="F80">
        <v>149</v>
      </c>
      <c r="G80">
        <v>356</v>
      </c>
      <c r="H80">
        <v>556</v>
      </c>
      <c r="I80">
        <v>745</v>
      </c>
      <c r="J80" s="1">
        <v>4640</v>
      </c>
      <c r="K80" s="1">
        <v>2683</v>
      </c>
      <c r="L80">
        <v>243</v>
      </c>
      <c r="M80">
        <v>101</v>
      </c>
      <c r="N80">
        <v>77</v>
      </c>
      <c r="O80">
        <v>157</v>
      </c>
      <c r="P80">
        <v>96</v>
      </c>
      <c r="Q80">
        <v>22</v>
      </c>
      <c r="S80">
        <v>3</v>
      </c>
      <c r="T80">
        <v>1</v>
      </c>
    </row>
    <row r="81" spans="1:21" x14ac:dyDescent="0.3">
      <c r="A81" t="s">
        <v>22</v>
      </c>
      <c r="B81" t="s">
        <v>49</v>
      </c>
      <c r="C81" s="4" t="s">
        <v>21</v>
      </c>
      <c r="D81" s="1">
        <v>17978</v>
      </c>
      <c r="E81">
        <v>301</v>
      </c>
      <c r="F81">
        <v>393</v>
      </c>
      <c r="G81">
        <v>488</v>
      </c>
      <c r="H81">
        <v>428</v>
      </c>
      <c r="I81">
        <v>347</v>
      </c>
      <c r="J81" s="1">
        <v>1265</v>
      </c>
      <c r="K81" s="1">
        <v>1238</v>
      </c>
      <c r="L81">
        <v>859</v>
      </c>
      <c r="M81" s="1">
        <v>1710</v>
      </c>
      <c r="N81" s="1">
        <v>1339</v>
      </c>
      <c r="O81" s="1">
        <v>2738</v>
      </c>
      <c r="P81" s="1">
        <v>3074</v>
      </c>
      <c r="Q81" s="1">
        <v>2203</v>
      </c>
      <c r="R81">
        <v>458</v>
      </c>
      <c r="S81">
        <v>189</v>
      </c>
      <c r="T81">
        <v>942</v>
      </c>
      <c r="U81">
        <v>6</v>
      </c>
    </row>
    <row r="82" spans="1:21" x14ac:dyDescent="0.3">
      <c r="A82" t="s">
        <v>22</v>
      </c>
      <c r="B82" t="s">
        <v>49</v>
      </c>
      <c r="C82" s="4" t="s">
        <v>24</v>
      </c>
      <c r="D82" s="1">
        <v>9898</v>
      </c>
      <c r="E82">
        <v>171</v>
      </c>
      <c r="F82">
        <v>198</v>
      </c>
      <c r="G82">
        <v>259</v>
      </c>
      <c r="H82">
        <v>227</v>
      </c>
      <c r="I82">
        <v>187</v>
      </c>
      <c r="J82">
        <v>696</v>
      </c>
      <c r="K82">
        <v>683</v>
      </c>
      <c r="L82">
        <v>489</v>
      </c>
      <c r="M82">
        <v>936</v>
      </c>
      <c r="N82">
        <v>743</v>
      </c>
      <c r="O82" s="1">
        <v>1522</v>
      </c>
      <c r="P82" s="1">
        <v>1718</v>
      </c>
      <c r="Q82" s="1">
        <v>1205</v>
      </c>
      <c r="R82">
        <v>233</v>
      </c>
      <c r="S82">
        <v>111</v>
      </c>
      <c r="T82">
        <v>515</v>
      </c>
      <c r="U82">
        <v>5</v>
      </c>
    </row>
    <row r="83" spans="1:21" x14ac:dyDescent="0.3">
      <c r="A83" t="s">
        <v>22</v>
      </c>
      <c r="B83" t="s">
        <v>49</v>
      </c>
      <c r="C83" s="4" t="s">
        <v>25</v>
      </c>
      <c r="D83" s="1">
        <v>8080</v>
      </c>
      <c r="E83">
        <v>130</v>
      </c>
      <c r="F83">
        <v>195</v>
      </c>
      <c r="G83">
        <v>229</v>
      </c>
      <c r="H83">
        <v>201</v>
      </c>
      <c r="I83">
        <v>160</v>
      </c>
      <c r="J83">
        <v>569</v>
      </c>
      <c r="K83">
        <v>555</v>
      </c>
      <c r="L83">
        <v>370</v>
      </c>
      <c r="M83">
        <v>774</v>
      </c>
      <c r="N83">
        <v>596</v>
      </c>
      <c r="O83" s="1">
        <v>1216</v>
      </c>
      <c r="P83" s="1">
        <v>1356</v>
      </c>
      <c r="Q83">
        <v>998</v>
      </c>
      <c r="R83">
        <v>225</v>
      </c>
      <c r="S83">
        <v>78</v>
      </c>
      <c r="T83">
        <v>427</v>
      </c>
      <c r="U83">
        <v>1</v>
      </c>
    </row>
    <row r="84" spans="1:21" x14ac:dyDescent="0.3">
      <c r="A84" t="s">
        <v>22</v>
      </c>
      <c r="B84" t="s">
        <v>50</v>
      </c>
      <c r="C84" s="4" t="s">
        <v>21</v>
      </c>
      <c r="D84" s="1">
        <v>15822</v>
      </c>
      <c r="E84">
        <v>388</v>
      </c>
      <c r="F84">
        <v>297</v>
      </c>
      <c r="G84">
        <v>520</v>
      </c>
      <c r="H84">
        <v>648</v>
      </c>
      <c r="I84">
        <v>471</v>
      </c>
      <c r="J84" s="1">
        <v>1584</v>
      </c>
      <c r="K84">
        <v>913</v>
      </c>
      <c r="L84">
        <v>499</v>
      </c>
      <c r="M84">
        <v>855</v>
      </c>
      <c r="N84">
        <v>902</v>
      </c>
      <c r="O84" s="1">
        <v>1735</v>
      </c>
      <c r="P84" s="1">
        <v>3318</v>
      </c>
      <c r="Q84" s="1">
        <v>2462</v>
      </c>
      <c r="R84">
        <v>701</v>
      </c>
      <c r="S84">
        <v>173</v>
      </c>
      <c r="T84">
        <v>317</v>
      </c>
      <c r="U84">
        <v>39</v>
      </c>
    </row>
    <row r="85" spans="1:21" x14ac:dyDescent="0.3">
      <c r="A85" t="s">
        <v>22</v>
      </c>
      <c r="B85" t="s">
        <v>50</v>
      </c>
      <c r="C85" s="4" t="s">
        <v>24</v>
      </c>
      <c r="D85" s="1">
        <v>13237</v>
      </c>
      <c r="E85">
        <v>378</v>
      </c>
      <c r="F85">
        <v>275</v>
      </c>
      <c r="G85">
        <v>451</v>
      </c>
      <c r="H85">
        <v>510</v>
      </c>
      <c r="I85">
        <v>383</v>
      </c>
      <c r="J85" s="1">
        <v>1195</v>
      </c>
      <c r="K85">
        <v>725</v>
      </c>
      <c r="L85">
        <v>444</v>
      </c>
      <c r="M85">
        <v>712</v>
      </c>
      <c r="N85">
        <v>673</v>
      </c>
      <c r="O85" s="1">
        <v>1447</v>
      </c>
      <c r="P85" s="1">
        <v>2885</v>
      </c>
      <c r="Q85" s="1">
        <v>2092</v>
      </c>
      <c r="R85">
        <v>608</v>
      </c>
      <c r="S85">
        <v>128</v>
      </c>
      <c r="T85">
        <v>292</v>
      </c>
      <c r="U85">
        <v>39</v>
      </c>
    </row>
    <row r="86" spans="1:21" x14ac:dyDescent="0.3">
      <c r="A86" t="s">
        <v>22</v>
      </c>
      <c r="B86" t="s">
        <v>50</v>
      </c>
      <c r="C86" s="4" t="s">
        <v>25</v>
      </c>
      <c r="D86" s="1">
        <v>2585</v>
      </c>
      <c r="E86">
        <v>10</v>
      </c>
      <c r="F86">
        <v>22</v>
      </c>
      <c r="G86">
        <v>69</v>
      </c>
      <c r="H86">
        <v>138</v>
      </c>
      <c r="I86">
        <v>88</v>
      </c>
      <c r="J86">
        <v>389</v>
      </c>
      <c r="K86">
        <v>188</v>
      </c>
      <c r="L86">
        <v>55</v>
      </c>
      <c r="M86">
        <v>143</v>
      </c>
      <c r="N86">
        <v>229</v>
      </c>
      <c r="O86">
        <v>288</v>
      </c>
      <c r="P86">
        <v>433</v>
      </c>
      <c r="Q86">
        <v>370</v>
      </c>
      <c r="R86">
        <v>93</v>
      </c>
      <c r="S86">
        <v>45</v>
      </c>
      <c r="T86">
        <v>25</v>
      </c>
    </row>
    <row r="87" spans="1:21" x14ac:dyDescent="0.3">
      <c r="A87" t="s">
        <v>22</v>
      </c>
      <c r="B87" t="s">
        <v>51</v>
      </c>
      <c r="C87" s="4" t="s">
        <v>21</v>
      </c>
      <c r="D87" s="1">
        <v>12877</v>
      </c>
      <c r="E87">
        <v>354</v>
      </c>
      <c r="F87">
        <v>96</v>
      </c>
      <c r="G87">
        <v>346</v>
      </c>
      <c r="H87">
        <v>360</v>
      </c>
      <c r="I87">
        <v>304</v>
      </c>
      <c r="J87" s="1">
        <v>1620</v>
      </c>
      <c r="K87" s="1">
        <v>1121</v>
      </c>
      <c r="L87">
        <v>608</v>
      </c>
      <c r="M87">
        <v>765</v>
      </c>
      <c r="N87" s="1">
        <v>1171</v>
      </c>
      <c r="O87" s="1">
        <v>1663</v>
      </c>
      <c r="P87" s="1">
        <v>2044</v>
      </c>
      <c r="Q87" s="1">
        <v>1445</v>
      </c>
      <c r="R87">
        <v>545</v>
      </c>
      <c r="S87">
        <v>249</v>
      </c>
      <c r="T87">
        <v>172</v>
      </c>
      <c r="U87">
        <v>14</v>
      </c>
    </row>
    <row r="88" spans="1:21" x14ac:dyDescent="0.3">
      <c r="A88" t="s">
        <v>22</v>
      </c>
      <c r="B88" t="s">
        <v>51</v>
      </c>
      <c r="C88" s="4" t="s">
        <v>24</v>
      </c>
      <c r="D88" s="1">
        <v>7114</v>
      </c>
      <c r="E88">
        <v>127</v>
      </c>
      <c r="F88">
        <v>46</v>
      </c>
      <c r="G88">
        <v>167</v>
      </c>
      <c r="H88">
        <v>144</v>
      </c>
      <c r="I88">
        <v>159</v>
      </c>
      <c r="J88">
        <v>668</v>
      </c>
      <c r="K88">
        <v>527</v>
      </c>
      <c r="L88">
        <v>302</v>
      </c>
      <c r="M88">
        <v>429</v>
      </c>
      <c r="N88">
        <v>829</v>
      </c>
      <c r="O88">
        <v>888</v>
      </c>
      <c r="P88" s="1">
        <v>1301</v>
      </c>
      <c r="Q88">
        <v>941</v>
      </c>
      <c r="R88">
        <v>334</v>
      </c>
      <c r="S88">
        <v>141</v>
      </c>
      <c r="T88">
        <v>102</v>
      </c>
      <c r="U88">
        <v>9</v>
      </c>
    </row>
    <row r="89" spans="1:21" x14ac:dyDescent="0.3">
      <c r="A89" t="s">
        <v>22</v>
      </c>
      <c r="B89" t="s">
        <v>51</v>
      </c>
      <c r="C89" s="4" t="s">
        <v>25</v>
      </c>
      <c r="D89" s="1">
        <v>5763</v>
      </c>
      <c r="E89">
        <v>227</v>
      </c>
      <c r="F89">
        <v>50</v>
      </c>
      <c r="G89">
        <v>179</v>
      </c>
      <c r="H89">
        <v>216</v>
      </c>
      <c r="I89">
        <v>145</v>
      </c>
      <c r="J89">
        <v>952</v>
      </c>
      <c r="K89">
        <v>594</v>
      </c>
      <c r="L89">
        <v>306</v>
      </c>
      <c r="M89">
        <v>336</v>
      </c>
      <c r="N89">
        <v>342</v>
      </c>
      <c r="O89">
        <v>775</v>
      </c>
      <c r="P89">
        <v>743</v>
      </c>
      <c r="Q89">
        <v>504</v>
      </c>
      <c r="R89">
        <v>211</v>
      </c>
      <c r="S89">
        <v>108</v>
      </c>
      <c r="T89">
        <v>70</v>
      </c>
      <c r="U89">
        <v>5</v>
      </c>
    </row>
    <row r="90" spans="1:21" x14ac:dyDescent="0.3">
      <c r="A90" t="s">
        <v>22</v>
      </c>
      <c r="B90" t="s">
        <v>52</v>
      </c>
      <c r="C90" s="4" t="s">
        <v>21</v>
      </c>
      <c r="D90" s="1">
        <v>8909</v>
      </c>
      <c r="E90">
        <v>328</v>
      </c>
      <c r="F90">
        <v>297</v>
      </c>
      <c r="G90">
        <v>543</v>
      </c>
      <c r="H90">
        <v>691</v>
      </c>
      <c r="I90">
        <v>738</v>
      </c>
      <c r="J90" s="1">
        <v>3400</v>
      </c>
      <c r="K90" s="1">
        <v>1719</v>
      </c>
      <c r="L90">
        <v>304</v>
      </c>
      <c r="M90">
        <v>338</v>
      </c>
      <c r="N90">
        <v>205</v>
      </c>
      <c r="O90">
        <v>247</v>
      </c>
      <c r="P90">
        <v>83</v>
      </c>
      <c r="Q90">
        <v>9</v>
      </c>
      <c r="R90">
        <v>4</v>
      </c>
      <c r="S90">
        <v>3</v>
      </c>
    </row>
    <row r="91" spans="1:21" x14ac:dyDescent="0.3">
      <c r="A91" t="s">
        <v>22</v>
      </c>
      <c r="B91" t="s">
        <v>52</v>
      </c>
      <c r="C91" s="4" t="s">
        <v>24</v>
      </c>
      <c r="D91" s="1">
        <v>4376</v>
      </c>
      <c r="E91">
        <v>221</v>
      </c>
      <c r="F91">
        <v>205</v>
      </c>
      <c r="G91">
        <v>352</v>
      </c>
      <c r="H91">
        <v>401</v>
      </c>
      <c r="I91">
        <v>418</v>
      </c>
      <c r="J91" s="1">
        <v>1497</v>
      </c>
      <c r="K91">
        <v>635</v>
      </c>
      <c r="L91">
        <v>144</v>
      </c>
      <c r="M91">
        <v>182</v>
      </c>
      <c r="N91">
        <v>101</v>
      </c>
      <c r="O91">
        <v>169</v>
      </c>
      <c r="P91">
        <v>43</v>
      </c>
      <c r="Q91">
        <v>5</v>
      </c>
      <c r="R91">
        <v>2</v>
      </c>
      <c r="S91">
        <v>1</v>
      </c>
    </row>
    <row r="92" spans="1:21" x14ac:dyDescent="0.3">
      <c r="A92" t="s">
        <v>22</v>
      </c>
      <c r="B92" t="s">
        <v>52</v>
      </c>
      <c r="C92" s="4" t="s">
        <v>25</v>
      </c>
      <c r="D92" s="1">
        <v>4533</v>
      </c>
      <c r="E92">
        <v>107</v>
      </c>
      <c r="F92">
        <v>92</v>
      </c>
      <c r="G92">
        <v>191</v>
      </c>
      <c r="H92">
        <v>290</v>
      </c>
      <c r="I92">
        <v>320</v>
      </c>
      <c r="J92" s="1">
        <v>1903</v>
      </c>
      <c r="K92" s="1">
        <v>1084</v>
      </c>
      <c r="L92">
        <v>160</v>
      </c>
      <c r="M92">
        <v>156</v>
      </c>
      <c r="N92">
        <v>104</v>
      </c>
      <c r="O92">
        <v>78</v>
      </c>
      <c r="P92">
        <v>40</v>
      </c>
      <c r="Q92">
        <v>4</v>
      </c>
      <c r="R92">
        <v>2</v>
      </c>
      <c r="S92">
        <v>2</v>
      </c>
    </row>
    <row r="93" spans="1:21" x14ac:dyDescent="0.3">
      <c r="A93" t="s">
        <v>22</v>
      </c>
      <c r="B93" t="s">
        <v>53</v>
      </c>
      <c r="C93" s="4" t="s">
        <v>21</v>
      </c>
      <c r="D93" s="1">
        <v>7077</v>
      </c>
      <c r="E93">
        <v>24</v>
      </c>
      <c r="F93">
        <v>12</v>
      </c>
      <c r="G93">
        <v>38</v>
      </c>
      <c r="H93">
        <v>90</v>
      </c>
      <c r="I93">
        <v>90</v>
      </c>
      <c r="J93">
        <v>360</v>
      </c>
      <c r="K93">
        <v>307</v>
      </c>
      <c r="L93" s="1">
        <v>1129</v>
      </c>
      <c r="M93">
        <v>527</v>
      </c>
      <c r="N93" s="1">
        <v>3022</v>
      </c>
      <c r="O93">
        <v>442</v>
      </c>
      <c r="P93">
        <v>569</v>
      </c>
      <c r="Q93">
        <v>329</v>
      </c>
      <c r="R93">
        <v>72</v>
      </c>
      <c r="S93">
        <v>42</v>
      </c>
      <c r="T93">
        <v>23</v>
      </c>
      <c r="U93">
        <v>1</v>
      </c>
    </row>
    <row r="94" spans="1:21" x14ac:dyDescent="0.3">
      <c r="A94" t="s">
        <v>22</v>
      </c>
      <c r="B94" t="s">
        <v>53</v>
      </c>
      <c r="C94" s="4" t="s">
        <v>24</v>
      </c>
      <c r="D94" s="1">
        <v>6328</v>
      </c>
      <c r="E94">
        <v>19</v>
      </c>
      <c r="F94">
        <v>8</v>
      </c>
      <c r="G94">
        <v>34</v>
      </c>
      <c r="H94">
        <v>75</v>
      </c>
      <c r="I94">
        <v>76</v>
      </c>
      <c r="J94">
        <v>268</v>
      </c>
      <c r="K94">
        <v>254</v>
      </c>
      <c r="L94" s="1">
        <v>1077</v>
      </c>
      <c r="M94">
        <v>460</v>
      </c>
      <c r="N94" s="1">
        <v>2902</v>
      </c>
      <c r="O94">
        <v>356</v>
      </c>
      <c r="P94">
        <v>463</v>
      </c>
      <c r="Q94">
        <v>243</v>
      </c>
      <c r="R94">
        <v>53</v>
      </c>
      <c r="S94">
        <v>29</v>
      </c>
      <c r="T94">
        <v>10</v>
      </c>
      <c r="U94">
        <v>1</v>
      </c>
    </row>
    <row r="95" spans="1:21" x14ac:dyDescent="0.3">
      <c r="A95" t="s">
        <v>22</v>
      </c>
      <c r="B95" t="s">
        <v>53</v>
      </c>
      <c r="C95" s="4" t="s">
        <v>25</v>
      </c>
      <c r="D95">
        <v>749</v>
      </c>
      <c r="E95">
        <v>5</v>
      </c>
      <c r="F95">
        <v>4</v>
      </c>
      <c r="G95">
        <v>4</v>
      </c>
      <c r="H95">
        <v>15</v>
      </c>
      <c r="I95">
        <v>14</v>
      </c>
      <c r="J95">
        <v>92</v>
      </c>
      <c r="K95">
        <v>53</v>
      </c>
      <c r="L95">
        <v>52</v>
      </c>
      <c r="M95">
        <v>67</v>
      </c>
      <c r="N95">
        <v>120</v>
      </c>
      <c r="O95">
        <v>86</v>
      </c>
      <c r="P95">
        <v>106</v>
      </c>
      <c r="Q95">
        <v>86</v>
      </c>
      <c r="R95">
        <v>19</v>
      </c>
      <c r="S95">
        <v>13</v>
      </c>
      <c r="T95">
        <v>13</v>
      </c>
    </row>
    <row r="96" spans="1:21" x14ac:dyDescent="0.3">
      <c r="A96" t="s">
        <v>22</v>
      </c>
      <c r="B96" t="s">
        <v>54</v>
      </c>
      <c r="C96" s="4" t="s">
        <v>21</v>
      </c>
      <c r="D96" s="1">
        <v>6942</v>
      </c>
      <c r="E96">
        <v>232</v>
      </c>
      <c r="F96">
        <v>114</v>
      </c>
      <c r="G96">
        <v>509</v>
      </c>
      <c r="H96" s="1">
        <v>1225</v>
      </c>
      <c r="I96">
        <v>353</v>
      </c>
      <c r="J96" s="1">
        <v>3701</v>
      </c>
      <c r="K96">
        <v>564</v>
      </c>
      <c r="L96">
        <v>46</v>
      </c>
      <c r="M96">
        <v>30</v>
      </c>
      <c r="N96">
        <v>20</v>
      </c>
      <c r="O96">
        <v>125</v>
      </c>
      <c r="P96">
        <v>21</v>
      </c>
      <c r="Q96">
        <v>2</v>
      </c>
    </row>
    <row r="97" spans="1:21" x14ac:dyDescent="0.3">
      <c r="A97" t="s">
        <v>22</v>
      </c>
      <c r="B97" t="s">
        <v>54</v>
      </c>
      <c r="C97" s="4" t="s">
        <v>24</v>
      </c>
      <c r="D97" s="1">
        <v>2868</v>
      </c>
      <c r="E97">
        <v>117</v>
      </c>
      <c r="F97">
        <v>56</v>
      </c>
      <c r="G97">
        <v>193</v>
      </c>
      <c r="H97">
        <v>519</v>
      </c>
      <c r="I97">
        <v>162</v>
      </c>
      <c r="J97" s="1">
        <v>1532</v>
      </c>
      <c r="K97">
        <v>235</v>
      </c>
      <c r="L97">
        <v>15</v>
      </c>
      <c r="M97">
        <v>9</v>
      </c>
      <c r="N97">
        <v>4</v>
      </c>
      <c r="O97">
        <v>22</v>
      </c>
      <c r="P97">
        <v>3</v>
      </c>
      <c r="Q97">
        <v>1</v>
      </c>
    </row>
    <row r="98" spans="1:21" x14ac:dyDescent="0.3">
      <c r="A98" t="s">
        <v>22</v>
      </c>
      <c r="B98" t="s">
        <v>54</v>
      </c>
      <c r="C98" s="4" t="s">
        <v>25</v>
      </c>
      <c r="D98" s="1">
        <v>4074</v>
      </c>
      <c r="E98">
        <v>115</v>
      </c>
      <c r="F98">
        <v>58</v>
      </c>
      <c r="G98">
        <v>316</v>
      </c>
      <c r="H98">
        <v>706</v>
      </c>
      <c r="I98">
        <v>191</v>
      </c>
      <c r="J98" s="1">
        <v>2169</v>
      </c>
      <c r="K98">
        <v>329</v>
      </c>
      <c r="L98">
        <v>31</v>
      </c>
      <c r="M98">
        <v>21</v>
      </c>
      <c r="N98">
        <v>16</v>
      </c>
      <c r="O98">
        <v>103</v>
      </c>
      <c r="P98">
        <v>18</v>
      </c>
      <c r="Q98">
        <v>1</v>
      </c>
    </row>
    <row r="99" spans="1:21" x14ac:dyDescent="0.3">
      <c r="A99" t="s">
        <v>22</v>
      </c>
      <c r="B99" t="s">
        <v>55</v>
      </c>
      <c r="C99" s="4" t="s">
        <v>21</v>
      </c>
      <c r="D99" s="1">
        <v>4401</v>
      </c>
      <c r="E99">
        <v>141</v>
      </c>
      <c r="F99">
        <v>124</v>
      </c>
      <c r="G99">
        <v>240</v>
      </c>
      <c r="H99">
        <v>388</v>
      </c>
      <c r="I99">
        <v>439</v>
      </c>
      <c r="J99" s="1">
        <v>2091</v>
      </c>
      <c r="K99">
        <v>809</v>
      </c>
      <c r="L99">
        <v>73</v>
      </c>
      <c r="M99">
        <v>35</v>
      </c>
      <c r="N99">
        <v>17</v>
      </c>
      <c r="O99">
        <v>17</v>
      </c>
      <c r="P99">
        <v>27</v>
      </c>
    </row>
    <row r="100" spans="1:21" x14ac:dyDescent="0.3">
      <c r="A100" t="s">
        <v>22</v>
      </c>
      <c r="B100" t="s">
        <v>55</v>
      </c>
      <c r="C100" s="4" t="s">
        <v>24</v>
      </c>
      <c r="D100" s="1">
        <v>2014</v>
      </c>
      <c r="E100">
        <v>79</v>
      </c>
      <c r="F100">
        <v>62</v>
      </c>
      <c r="G100">
        <v>131</v>
      </c>
      <c r="H100">
        <v>232</v>
      </c>
      <c r="I100">
        <v>227</v>
      </c>
      <c r="J100">
        <v>889</v>
      </c>
      <c r="K100">
        <v>326</v>
      </c>
      <c r="L100">
        <v>30</v>
      </c>
      <c r="M100">
        <v>14</v>
      </c>
      <c r="N100">
        <v>10</v>
      </c>
      <c r="O100">
        <v>7</v>
      </c>
      <c r="P100">
        <v>7</v>
      </c>
    </row>
    <row r="101" spans="1:21" x14ac:dyDescent="0.3">
      <c r="A101" t="s">
        <v>22</v>
      </c>
      <c r="B101" t="s">
        <v>55</v>
      </c>
      <c r="C101" s="4" t="s">
        <v>25</v>
      </c>
      <c r="D101" s="1">
        <v>2387</v>
      </c>
      <c r="E101">
        <v>62</v>
      </c>
      <c r="F101">
        <v>62</v>
      </c>
      <c r="G101">
        <v>109</v>
      </c>
      <c r="H101">
        <v>156</v>
      </c>
      <c r="I101">
        <v>212</v>
      </c>
      <c r="J101" s="1">
        <v>1202</v>
      </c>
      <c r="K101">
        <v>483</v>
      </c>
      <c r="L101">
        <v>43</v>
      </c>
      <c r="M101">
        <v>21</v>
      </c>
      <c r="N101">
        <v>7</v>
      </c>
      <c r="O101">
        <v>10</v>
      </c>
      <c r="P101">
        <v>20</v>
      </c>
    </row>
    <row r="102" spans="1:21" x14ac:dyDescent="0.3">
      <c r="A102" t="s">
        <v>22</v>
      </c>
      <c r="B102" t="s">
        <v>56</v>
      </c>
      <c r="C102" s="4" t="s">
        <v>21</v>
      </c>
      <c r="D102" s="1">
        <v>4157</v>
      </c>
      <c r="E102">
        <v>38</v>
      </c>
      <c r="F102">
        <v>42</v>
      </c>
      <c r="G102">
        <v>189</v>
      </c>
      <c r="H102">
        <v>545</v>
      </c>
      <c r="I102">
        <v>466</v>
      </c>
      <c r="J102" s="1">
        <v>1240</v>
      </c>
      <c r="K102">
        <v>425</v>
      </c>
      <c r="L102">
        <v>162</v>
      </c>
      <c r="M102">
        <v>157</v>
      </c>
      <c r="N102">
        <v>130</v>
      </c>
      <c r="O102">
        <v>227</v>
      </c>
      <c r="P102">
        <v>311</v>
      </c>
      <c r="Q102">
        <v>136</v>
      </c>
      <c r="R102">
        <v>26</v>
      </c>
      <c r="S102">
        <v>24</v>
      </c>
      <c r="T102">
        <v>30</v>
      </c>
      <c r="U102">
        <v>9</v>
      </c>
    </row>
    <row r="103" spans="1:21" x14ac:dyDescent="0.3">
      <c r="A103" t="s">
        <v>22</v>
      </c>
      <c r="B103" t="s">
        <v>56</v>
      </c>
      <c r="C103" s="4" t="s">
        <v>24</v>
      </c>
      <c r="D103" s="1">
        <v>2252</v>
      </c>
      <c r="E103">
        <v>32</v>
      </c>
      <c r="F103">
        <v>30</v>
      </c>
      <c r="G103">
        <v>120</v>
      </c>
      <c r="H103">
        <v>300</v>
      </c>
      <c r="I103">
        <v>281</v>
      </c>
      <c r="J103">
        <v>700</v>
      </c>
      <c r="K103">
        <v>249</v>
      </c>
      <c r="L103">
        <v>82</v>
      </c>
      <c r="M103">
        <v>75</v>
      </c>
      <c r="N103">
        <v>58</v>
      </c>
      <c r="O103">
        <v>91</v>
      </c>
      <c r="P103">
        <v>134</v>
      </c>
      <c r="Q103">
        <v>47</v>
      </c>
      <c r="R103">
        <v>12</v>
      </c>
      <c r="S103">
        <v>10</v>
      </c>
      <c r="T103">
        <v>24</v>
      </c>
      <c r="U103">
        <v>7</v>
      </c>
    </row>
    <row r="104" spans="1:21" x14ac:dyDescent="0.3">
      <c r="A104" t="s">
        <v>22</v>
      </c>
      <c r="B104" t="s">
        <v>56</v>
      </c>
      <c r="C104" s="4" t="s">
        <v>25</v>
      </c>
      <c r="D104" s="1">
        <v>1905</v>
      </c>
      <c r="E104">
        <v>6</v>
      </c>
      <c r="F104">
        <v>12</v>
      </c>
      <c r="G104">
        <v>69</v>
      </c>
      <c r="H104">
        <v>245</v>
      </c>
      <c r="I104">
        <v>185</v>
      </c>
      <c r="J104">
        <v>540</v>
      </c>
      <c r="K104">
        <v>176</v>
      </c>
      <c r="L104">
        <v>80</v>
      </c>
      <c r="M104">
        <v>82</v>
      </c>
      <c r="N104">
        <v>72</v>
      </c>
      <c r="O104">
        <v>136</v>
      </c>
      <c r="P104">
        <v>177</v>
      </c>
      <c r="Q104">
        <v>89</v>
      </c>
      <c r="R104">
        <v>14</v>
      </c>
      <c r="S104">
        <v>14</v>
      </c>
      <c r="T104">
        <v>6</v>
      </c>
      <c r="U104">
        <v>2</v>
      </c>
    </row>
    <row r="105" spans="1:21" x14ac:dyDescent="0.3">
      <c r="A105" t="s">
        <v>22</v>
      </c>
      <c r="B105" t="s">
        <v>57</v>
      </c>
      <c r="C105" s="4" t="s">
        <v>21</v>
      </c>
      <c r="D105" s="1">
        <v>2742</v>
      </c>
      <c r="E105">
        <v>6</v>
      </c>
      <c r="F105">
        <v>12</v>
      </c>
      <c r="G105">
        <v>65</v>
      </c>
      <c r="H105">
        <v>147</v>
      </c>
      <c r="I105">
        <v>223</v>
      </c>
      <c r="J105">
        <v>492</v>
      </c>
      <c r="K105">
        <v>395</v>
      </c>
      <c r="L105">
        <v>339</v>
      </c>
      <c r="M105">
        <v>437</v>
      </c>
      <c r="N105">
        <v>241</v>
      </c>
      <c r="O105">
        <v>120</v>
      </c>
      <c r="P105">
        <v>140</v>
      </c>
      <c r="Q105">
        <v>77</v>
      </c>
      <c r="R105">
        <v>31</v>
      </c>
      <c r="S105">
        <v>11</v>
      </c>
      <c r="T105">
        <v>6</v>
      </c>
    </row>
    <row r="106" spans="1:21" x14ac:dyDescent="0.3">
      <c r="A106" t="s">
        <v>22</v>
      </c>
      <c r="B106" t="s">
        <v>57</v>
      </c>
      <c r="C106" s="4" t="s">
        <v>24</v>
      </c>
      <c r="D106" s="1">
        <v>2333</v>
      </c>
      <c r="E106">
        <v>5</v>
      </c>
      <c r="F106">
        <v>10</v>
      </c>
      <c r="G106">
        <v>49</v>
      </c>
      <c r="H106">
        <v>115</v>
      </c>
      <c r="I106">
        <v>174</v>
      </c>
      <c r="J106">
        <v>389</v>
      </c>
      <c r="K106">
        <v>331</v>
      </c>
      <c r="L106">
        <v>323</v>
      </c>
      <c r="M106">
        <v>422</v>
      </c>
      <c r="N106">
        <v>225</v>
      </c>
      <c r="O106">
        <v>101</v>
      </c>
      <c r="P106">
        <v>102</v>
      </c>
      <c r="Q106">
        <v>51</v>
      </c>
      <c r="R106">
        <v>20</v>
      </c>
      <c r="S106">
        <v>11</v>
      </c>
      <c r="T106">
        <v>5</v>
      </c>
    </row>
    <row r="107" spans="1:21" x14ac:dyDescent="0.3">
      <c r="A107" t="s">
        <v>22</v>
      </c>
      <c r="B107" t="s">
        <v>57</v>
      </c>
      <c r="C107" s="4" t="s">
        <v>25</v>
      </c>
      <c r="D107">
        <v>409</v>
      </c>
      <c r="E107">
        <v>1</v>
      </c>
      <c r="F107">
        <v>2</v>
      </c>
      <c r="G107">
        <v>16</v>
      </c>
      <c r="H107">
        <v>32</v>
      </c>
      <c r="I107">
        <v>49</v>
      </c>
      <c r="J107">
        <v>103</v>
      </c>
      <c r="K107">
        <v>64</v>
      </c>
      <c r="L107">
        <v>16</v>
      </c>
      <c r="M107">
        <v>15</v>
      </c>
      <c r="N107">
        <v>16</v>
      </c>
      <c r="O107">
        <v>19</v>
      </c>
      <c r="P107">
        <v>38</v>
      </c>
      <c r="Q107">
        <v>26</v>
      </c>
      <c r="R107">
        <v>11</v>
      </c>
      <c r="T107">
        <v>1</v>
      </c>
    </row>
    <row r="108" spans="1:21" x14ac:dyDescent="0.3">
      <c r="A108" t="s">
        <v>22</v>
      </c>
      <c r="B108" t="s">
        <v>58</v>
      </c>
      <c r="C108" s="4" t="s">
        <v>21</v>
      </c>
      <c r="D108" s="1">
        <v>2437</v>
      </c>
      <c r="E108">
        <v>57</v>
      </c>
      <c r="F108">
        <v>19</v>
      </c>
      <c r="G108">
        <v>40</v>
      </c>
      <c r="H108">
        <v>93</v>
      </c>
      <c r="I108">
        <v>54</v>
      </c>
      <c r="J108">
        <v>188</v>
      </c>
      <c r="K108">
        <v>184</v>
      </c>
      <c r="L108">
        <v>102</v>
      </c>
      <c r="M108">
        <v>203</v>
      </c>
      <c r="N108">
        <v>216</v>
      </c>
      <c r="O108">
        <v>398</v>
      </c>
      <c r="P108">
        <v>413</v>
      </c>
      <c r="Q108">
        <v>194</v>
      </c>
      <c r="R108">
        <v>108</v>
      </c>
      <c r="S108">
        <v>39</v>
      </c>
      <c r="T108">
        <v>101</v>
      </c>
      <c r="U108">
        <v>28</v>
      </c>
    </row>
    <row r="109" spans="1:21" x14ac:dyDescent="0.3">
      <c r="A109" t="s">
        <v>22</v>
      </c>
      <c r="B109" t="s">
        <v>58</v>
      </c>
      <c r="C109" s="4" t="s">
        <v>24</v>
      </c>
      <c r="D109" s="1">
        <v>1950</v>
      </c>
      <c r="E109">
        <v>54</v>
      </c>
      <c r="F109">
        <v>16</v>
      </c>
      <c r="G109">
        <v>33</v>
      </c>
      <c r="H109">
        <v>73</v>
      </c>
      <c r="I109">
        <v>40</v>
      </c>
      <c r="J109">
        <v>155</v>
      </c>
      <c r="K109">
        <v>144</v>
      </c>
      <c r="L109">
        <v>91</v>
      </c>
      <c r="M109">
        <v>185</v>
      </c>
      <c r="N109">
        <v>192</v>
      </c>
      <c r="O109">
        <v>353</v>
      </c>
      <c r="P109">
        <v>321</v>
      </c>
      <c r="Q109">
        <v>136</v>
      </c>
      <c r="R109">
        <v>57</v>
      </c>
      <c r="S109">
        <v>19</v>
      </c>
      <c r="T109">
        <v>61</v>
      </c>
      <c r="U109">
        <v>20</v>
      </c>
    </row>
    <row r="110" spans="1:21" x14ac:dyDescent="0.3">
      <c r="A110" t="s">
        <v>22</v>
      </c>
      <c r="B110" t="s">
        <v>58</v>
      </c>
      <c r="C110" s="4" t="s">
        <v>25</v>
      </c>
      <c r="D110">
        <v>487</v>
      </c>
      <c r="E110">
        <v>3</v>
      </c>
      <c r="F110">
        <v>3</v>
      </c>
      <c r="G110">
        <v>7</v>
      </c>
      <c r="H110">
        <v>20</v>
      </c>
      <c r="I110">
        <v>14</v>
      </c>
      <c r="J110">
        <v>33</v>
      </c>
      <c r="K110">
        <v>40</v>
      </c>
      <c r="L110">
        <v>11</v>
      </c>
      <c r="M110">
        <v>18</v>
      </c>
      <c r="N110">
        <v>24</v>
      </c>
      <c r="O110">
        <v>45</v>
      </c>
      <c r="P110">
        <v>92</v>
      </c>
      <c r="Q110">
        <v>58</v>
      </c>
      <c r="R110">
        <v>51</v>
      </c>
      <c r="S110">
        <v>20</v>
      </c>
      <c r="T110">
        <v>40</v>
      </c>
      <c r="U110">
        <v>8</v>
      </c>
    </row>
    <row r="111" spans="1:21" x14ac:dyDescent="0.3">
      <c r="A111" t="s">
        <v>22</v>
      </c>
      <c r="B111" t="s">
        <v>59</v>
      </c>
      <c r="C111" s="4" t="s">
        <v>21</v>
      </c>
      <c r="D111" s="1">
        <v>2415</v>
      </c>
      <c r="E111">
        <v>49</v>
      </c>
      <c r="F111">
        <v>56</v>
      </c>
      <c r="G111">
        <v>121</v>
      </c>
      <c r="H111">
        <v>243</v>
      </c>
      <c r="I111">
        <v>167</v>
      </c>
      <c r="J111">
        <v>371</v>
      </c>
      <c r="K111">
        <v>255</v>
      </c>
      <c r="L111">
        <v>229</v>
      </c>
      <c r="M111">
        <v>282</v>
      </c>
      <c r="N111">
        <v>269</v>
      </c>
      <c r="O111">
        <v>132</v>
      </c>
      <c r="P111">
        <v>149</v>
      </c>
      <c r="Q111">
        <v>61</v>
      </c>
      <c r="R111">
        <v>19</v>
      </c>
      <c r="S111">
        <v>3</v>
      </c>
      <c r="T111">
        <v>7</v>
      </c>
      <c r="U111">
        <v>2</v>
      </c>
    </row>
    <row r="112" spans="1:21" x14ac:dyDescent="0.3">
      <c r="A112" t="s">
        <v>22</v>
      </c>
      <c r="B112" t="s">
        <v>59</v>
      </c>
      <c r="C112" s="4" t="s">
        <v>24</v>
      </c>
      <c r="D112" s="1">
        <v>1930</v>
      </c>
      <c r="E112">
        <v>41</v>
      </c>
      <c r="F112">
        <v>48</v>
      </c>
      <c r="G112">
        <v>94</v>
      </c>
      <c r="H112">
        <v>216</v>
      </c>
      <c r="I112">
        <v>126</v>
      </c>
      <c r="J112">
        <v>237</v>
      </c>
      <c r="K112">
        <v>180</v>
      </c>
      <c r="L112">
        <v>210</v>
      </c>
      <c r="M112">
        <v>247</v>
      </c>
      <c r="N112">
        <v>255</v>
      </c>
      <c r="O112">
        <v>103</v>
      </c>
      <c r="P112">
        <v>113</v>
      </c>
      <c r="Q112">
        <v>40</v>
      </c>
      <c r="R112">
        <v>12</v>
      </c>
      <c r="T112">
        <v>6</v>
      </c>
      <c r="U112">
        <v>2</v>
      </c>
    </row>
    <row r="113" spans="1:21" x14ac:dyDescent="0.3">
      <c r="A113" t="s">
        <v>22</v>
      </c>
      <c r="B113" t="s">
        <v>59</v>
      </c>
      <c r="C113" s="4" t="s">
        <v>25</v>
      </c>
      <c r="D113">
        <v>485</v>
      </c>
      <c r="E113">
        <v>8</v>
      </c>
      <c r="F113">
        <v>8</v>
      </c>
      <c r="G113">
        <v>27</v>
      </c>
      <c r="H113">
        <v>27</v>
      </c>
      <c r="I113">
        <v>41</v>
      </c>
      <c r="J113">
        <v>134</v>
      </c>
      <c r="K113">
        <v>75</v>
      </c>
      <c r="L113">
        <v>19</v>
      </c>
      <c r="M113">
        <v>35</v>
      </c>
      <c r="N113">
        <v>14</v>
      </c>
      <c r="O113">
        <v>29</v>
      </c>
      <c r="P113">
        <v>36</v>
      </c>
      <c r="Q113">
        <v>21</v>
      </c>
      <c r="R113">
        <v>7</v>
      </c>
      <c r="S113">
        <v>3</v>
      </c>
      <c r="T113">
        <v>1</v>
      </c>
    </row>
    <row r="114" spans="1:21" x14ac:dyDescent="0.3">
      <c r="A114" t="s">
        <v>22</v>
      </c>
      <c r="B114" t="s">
        <v>60</v>
      </c>
      <c r="C114" s="4" t="s">
        <v>21</v>
      </c>
      <c r="D114" s="1">
        <v>2194</v>
      </c>
      <c r="E114">
        <v>61</v>
      </c>
      <c r="F114">
        <v>85</v>
      </c>
      <c r="G114">
        <v>143</v>
      </c>
      <c r="H114">
        <v>179</v>
      </c>
      <c r="I114">
        <v>248</v>
      </c>
      <c r="J114">
        <v>767</v>
      </c>
      <c r="K114">
        <v>391</v>
      </c>
      <c r="L114">
        <v>78</v>
      </c>
      <c r="M114">
        <v>124</v>
      </c>
      <c r="N114">
        <v>62</v>
      </c>
      <c r="O114">
        <v>41</v>
      </c>
      <c r="P114">
        <v>11</v>
      </c>
      <c r="Q114">
        <v>4</v>
      </c>
    </row>
    <row r="115" spans="1:21" x14ac:dyDescent="0.3">
      <c r="A115" t="s">
        <v>22</v>
      </c>
      <c r="B115" t="s">
        <v>60</v>
      </c>
      <c r="C115" s="4" t="s">
        <v>24</v>
      </c>
      <c r="D115" s="1">
        <v>1186</v>
      </c>
      <c r="E115">
        <v>54</v>
      </c>
      <c r="F115">
        <v>60</v>
      </c>
      <c r="G115">
        <v>104</v>
      </c>
      <c r="H115">
        <v>111</v>
      </c>
      <c r="I115">
        <v>147</v>
      </c>
      <c r="J115">
        <v>360</v>
      </c>
      <c r="K115">
        <v>170</v>
      </c>
      <c r="L115">
        <v>45</v>
      </c>
      <c r="M115">
        <v>73</v>
      </c>
      <c r="N115">
        <v>31</v>
      </c>
      <c r="O115">
        <v>26</v>
      </c>
      <c r="P115">
        <v>4</v>
      </c>
      <c r="Q115">
        <v>1</v>
      </c>
    </row>
    <row r="116" spans="1:21" x14ac:dyDescent="0.3">
      <c r="A116" t="s">
        <v>22</v>
      </c>
      <c r="B116" t="s">
        <v>60</v>
      </c>
      <c r="C116" s="4" t="s">
        <v>25</v>
      </c>
      <c r="D116" s="1">
        <v>1008</v>
      </c>
      <c r="E116">
        <v>7</v>
      </c>
      <c r="F116">
        <v>25</v>
      </c>
      <c r="G116">
        <v>39</v>
      </c>
      <c r="H116">
        <v>68</v>
      </c>
      <c r="I116">
        <v>101</v>
      </c>
      <c r="J116">
        <v>407</v>
      </c>
      <c r="K116">
        <v>221</v>
      </c>
      <c r="L116">
        <v>33</v>
      </c>
      <c r="M116">
        <v>51</v>
      </c>
      <c r="N116">
        <v>31</v>
      </c>
      <c r="O116">
        <v>15</v>
      </c>
      <c r="P116">
        <v>7</v>
      </c>
      <c r="Q116">
        <v>3</v>
      </c>
    </row>
    <row r="117" spans="1:21" x14ac:dyDescent="0.3">
      <c r="A117" t="s">
        <v>22</v>
      </c>
      <c r="B117" t="s">
        <v>61</v>
      </c>
      <c r="C117" s="4" t="s">
        <v>21</v>
      </c>
      <c r="D117" s="1">
        <v>2033</v>
      </c>
      <c r="E117">
        <v>77</v>
      </c>
      <c r="F117">
        <v>71</v>
      </c>
      <c r="G117">
        <v>130</v>
      </c>
      <c r="H117">
        <v>234</v>
      </c>
      <c r="I117">
        <v>189</v>
      </c>
      <c r="J117">
        <v>892</v>
      </c>
      <c r="K117">
        <v>266</v>
      </c>
      <c r="L117">
        <v>58</v>
      </c>
      <c r="M117">
        <v>41</v>
      </c>
      <c r="N117">
        <v>12</v>
      </c>
      <c r="O117">
        <v>32</v>
      </c>
      <c r="P117">
        <v>30</v>
      </c>
      <c r="Q117">
        <v>1</v>
      </c>
    </row>
    <row r="118" spans="1:21" x14ac:dyDescent="0.3">
      <c r="A118" t="s">
        <v>22</v>
      </c>
      <c r="B118" t="s">
        <v>61</v>
      </c>
      <c r="C118" s="4" t="s">
        <v>24</v>
      </c>
      <c r="D118" s="1">
        <v>1281</v>
      </c>
      <c r="E118">
        <v>59</v>
      </c>
      <c r="F118">
        <v>49</v>
      </c>
      <c r="G118">
        <v>101</v>
      </c>
      <c r="H118">
        <v>171</v>
      </c>
      <c r="I118">
        <v>132</v>
      </c>
      <c r="J118">
        <v>554</v>
      </c>
      <c r="K118">
        <v>132</v>
      </c>
      <c r="L118">
        <v>32</v>
      </c>
      <c r="M118">
        <v>19</v>
      </c>
      <c r="N118">
        <v>6</v>
      </c>
      <c r="O118">
        <v>8</v>
      </c>
      <c r="P118">
        <v>17</v>
      </c>
      <c r="Q118">
        <v>1</v>
      </c>
    </row>
    <row r="119" spans="1:21" x14ac:dyDescent="0.3">
      <c r="A119" t="s">
        <v>22</v>
      </c>
      <c r="B119" t="s">
        <v>61</v>
      </c>
      <c r="C119" s="4" t="s">
        <v>25</v>
      </c>
      <c r="D119">
        <v>752</v>
      </c>
      <c r="E119">
        <v>18</v>
      </c>
      <c r="F119">
        <v>22</v>
      </c>
      <c r="G119">
        <v>29</v>
      </c>
      <c r="H119">
        <v>63</v>
      </c>
      <c r="I119">
        <v>57</v>
      </c>
      <c r="J119">
        <v>338</v>
      </c>
      <c r="K119">
        <v>134</v>
      </c>
      <c r="L119">
        <v>26</v>
      </c>
      <c r="M119">
        <v>22</v>
      </c>
      <c r="N119">
        <v>6</v>
      </c>
      <c r="O119">
        <v>24</v>
      </c>
      <c r="P119">
        <v>13</v>
      </c>
    </row>
    <row r="120" spans="1:21" x14ac:dyDescent="0.3">
      <c r="A120" t="s">
        <v>22</v>
      </c>
      <c r="B120" t="s">
        <v>62</v>
      </c>
      <c r="C120" s="4" t="s">
        <v>21</v>
      </c>
      <c r="D120" s="1">
        <v>1653</v>
      </c>
      <c r="E120">
        <v>19</v>
      </c>
      <c r="F120">
        <v>9</v>
      </c>
      <c r="G120">
        <v>35</v>
      </c>
      <c r="H120">
        <v>35</v>
      </c>
      <c r="I120">
        <v>51</v>
      </c>
      <c r="J120">
        <v>121</v>
      </c>
      <c r="K120">
        <v>88</v>
      </c>
      <c r="L120">
        <v>22</v>
      </c>
      <c r="M120">
        <v>14</v>
      </c>
      <c r="N120">
        <v>12</v>
      </c>
      <c r="O120">
        <v>37</v>
      </c>
      <c r="P120">
        <v>358</v>
      </c>
      <c r="Q120">
        <v>286</v>
      </c>
      <c r="R120">
        <v>259</v>
      </c>
      <c r="S120">
        <v>147</v>
      </c>
      <c r="T120">
        <v>139</v>
      </c>
      <c r="U120">
        <v>21</v>
      </c>
    </row>
    <row r="121" spans="1:21" x14ac:dyDescent="0.3">
      <c r="A121" t="s">
        <v>22</v>
      </c>
      <c r="B121" t="s">
        <v>62</v>
      </c>
      <c r="C121" s="4" t="s">
        <v>24</v>
      </c>
      <c r="D121" s="1">
        <v>1423</v>
      </c>
      <c r="E121">
        <v>14</v>
      </c>
      <c r="F121">
        <v>8</v>
      </c>
      <c r="G121">
        <v>24</v>
      </c>
      <c r="H121">
        <v>23</v>
      </c>
      <c r="I121">
        <v>31</v>
      </c>
      <c r="J121">
        <v>67</v>
      </c>
      <c r="K121">
        <v>51</v>
      </c>
      <c r="L121">
        <v>6</v>
      </c>
      <c r="M121">
        <v>6</v>
      </c>
      <c r="N121">
        <v>7</v>
      </c>
      <c r="O121">
        <v>29</v>
      </c>
      <c r="P121">
        <v>342</v>
      </c>
      <c r="Q121">
        <v>271</v>
      </c>
      <c r="R121">
        <v>246</v>
      </c>
      <c r="S121">
        <v>144</v>
      </c>
      <c r="T121">
        <v>135</v>
      </c>
      <c r="U121">
        <v>19</v>
      </c>
    </row>
    <row r="122" spans="1:21" x14ac:dyDescent="0.3">
      <c r="A122" t="s">
        <v>22</v>
      </c>
      <c r="B122" t="s">
        <v>62</v>
      </c>
      <c r="C122" s="4" t="s">
        <v>25</v>
      </c>
      <c r="D122">
        <v>230</v>
      </c>
      <c r="E122">
        <v>5</v>
      </c>
      <c r="F122">
        <v>1</v>
      </c>
      <c r="G122">
        <v>11</v>
      </c>
      <c r="H122">
        <v>12</v>
      </c>
      <c r="I122">
        <v>20</v>
      </c>
      <c r="J122">
        <v>54</v>
      </c>
      <c r="K122">
        <v>37</v>
      </c>
      <c r="L122">
        <v>16</v>
      </c>
      <c r="M122">
        <v>8</v>
      </c>
      <c r="N122">
        <v>5</v>
      </c>
      <c r="O122">
        <v>8</v>
      </c>
      <c r="P122">
        <v>16</v>
      </c>
      <c r="Q122">
        <v>15</v>
      </c>
      <c r="R122">
        <v>13</v>
      </c>
      <c r="S122">
        <v>3</v>
      </c>
      <c r="T122">
        <v>4</v>
      </c>
      <c r="U122">
        <v>2</v>
      </c>
    </row>
    <row r="123" spans="1:21" x14ac:dyDescent="0.3">
      <c r="A123" t="s">
        <v>22</v>
      </c>
      <c r="B123" t="s">
        <v>63</v>
      </c>
      <c r="C123" s="4" t="s">
        <v>21</v>
      </c>
      <c r="D123" s="1">
        <v>1394</v>
      </c>
      <c r="E123">
        <v>151</v>
      </c>
      <c r="F123">
        <v>85</v>
      </c>
      <c r="G123">
        <v>206</v>
      </c>
      <c r="H123">
        <v>173</v>
      </c>
      <c r="I123">
        <v>123</v>
      </c>
      <c r="J123">
        <v>380</v>
      </c>
      <c r="K123">
        <v>195</v>
      </c>
      <c r="L123">
        <v>33</v>
      </c>
      <c r="M123">
        <v>16</v>
      </c>
      <c r="N123">
        <v>11</v>
      </c>
      <c r="O123">
        <v>2</v>
      </c>
      <c r="P123">
        <v>17</v>
      </c>
      <c r="Q123">
        <v>2</v>
      </c>
    </row>
    <row r="124" spans="1:21" x14ac:dyDescent="0.3">
      <c r="A124" t="s">
        <v>22</v>
      </c>
      <c r="B124" t="s">
        <v>63</v>
      </c>
      <c r="C124" s="4" t="s">
        <v>24</v>
      </c>
      <c r="D124">
        <v>699</v>
      </c>
      <c r="E124">
        <v>97</v>
      </c>
      <c r="F124">
        <v>42</v>
      </c>
      <c r="G124">
        <v>103</v>
      </c>
      <c r="H124">
        <v>86</v>
      </c>
      <c r="I124">
        <v>77</v>
      </c>
      <c r="J124">
        <v>182</v>
      </c>
      <c r="K124">
        <v>79</v>
      </c>
      <c r="L124">
        <v>14</v>
      </c>
      <c r="M124">
        <v>8</v>
      </c>
      <c r="N124">
        <v>5</v>
      </c>
      <c r="P124">
        <v>6</v>
      </c>
    </row>
    <row r="125" spans="1:21" x14ac:dyDescent="0.3">
      <c r="A125" t="s">
        <v>22</v>
      </c>
      <c r="B125" t="s">
        <v>63</v>
      </c>
      <c r="C125" s="4" t="s">
        <v>25</v>
      </c>
      <c r="D125">
        <v>695</v>
      </c>
      <c r="E125">
        <v>54</v>
      </c>
      <c r="F125">
        <v>43</v>
      </c>
      <c r="G125">
        <v>103</v>
      </c>
      <c r="H125">
        <v>87</v>
      </c>
      <c r="I125">
        <v>46</v>
      </c>
      <c r="J125">
        <v>198</v>
      </c>
      <c r="K125">
        <v>116</v>
      </c>
      <c r="L125">
        <v>19</v>
      </c>
      <c r="M125">
        <v>8</v>
      </c>
      <c r="N125">
        <v>6</v>
      </c>
      <c r="O125">
        <v>2</v>
      </c>
      <c r="P125">
        <v>11</v>
      </c>
      <c r="Q125">
        <v>2</v>
      </c>
    </row>
    <row r="126" spans="1:21" x14ac:dyDescent="0.3">
      <c r="A126" t="s">
        <v>22</v>
      </c>
      <c r="B126" t="s">
        <v>64</v>
      </c>
      <c r="C126" s="4" t="s">
        <v>21</v>
      </c>
      <c r="D126" s="1">
        <v>1334</v>
      </c>
      <c r="E126">
        <v>130</v>
      </c>
      <c r="F126">
        <v>13</v>
      </c>
      <c r="G126">
        <v>53</v>
      </c>
      <c r="H126">
        <v>36</v>
      </c>
      <c r="I126">
        <v>22</v>
      </c>
      <c r="J126">
        <v>270</v>
      </c>
      <c r="K126">
        <v>109</v>
      </c>
      <c r="L126">
        <v>48</v>
      </c>
      <c r="M126">
        <v>61</v>
      </c>
      <c r="N126">
        <v>70</v>
      </c>
      <c r="O126">
        <v>105</v>
      </c>
      <c r="P126">
        <v>195</v>
      </c>
      <c r="Q126">
        <v>139</v>
      </c>
      <c r="R126">
        <v>65</v>
      </c>
      <c r="S126">
        <v>8</v>
      </c>
      <c r="T126">
        <v>10</v>
      </c>
    </row>
    <row r="127" spans="1:21" x14ac:dyDescent="0.3">
      <c r="A127" t="s">
        <v>22</v>
      </c>
      <c r="B127" t="s">
        <v>64</v>
      </c>
      <c r="C127" s="4" t="s">
        <v>24</v>
      </c>
      <c r="D127">
        <v>756</v>
      </c>
      <c r="E127">
        <v>92</v>
      </c>
      <c r="F127">
        <v>12</v>
      </c>
      <c r="G127">
        <v>41</v>
      </c>
      <c r="H127">
        <v>20</v>
      </c>
      <c r="I127">
        <v>15</v>
      </c>
      <c r="J127">
        <v>148</v>
      </c>
      <c r="K127">
        <v>58</v>
      </c>
      <c r="L127">
        <v>22</v>
      </c>
      <c r="M127">
        <v>36</v>
      </c>
      <c r="N127">
        <v>36</v>
      </c>
      <c r="O127">
        <v>50</v>
      </c>
      <c r="P127">
        <v>95</v>
      </c>
      <c r="Q127">
        <v>81</v>
      </c>
      <c r="R127">
        <v>42</v>
      </c>
      <c r="S127">
        <v>3</v>
      </c>
      <c r="T127">
        <v>5</v>
      </c>
    </row>
    <row r="128" spans="1:21" x14ac:dyDescent="0.3">
      <c r="A128" t="s">
        <v>22</v>
      </c>
      <c r="B128" t="s">
        <v>64</v>
      </c>
      <c r="C128" s="4" t="s">
        <v>25</v>
      </c>
      <c r="D128">
        <v>578</v>
      </c>
      <c r="E128">
        <v>38</v>
      </c>
      <c r="F128">
        <v>1</v>
      </c>
      <c r="G128">
        <v>12</v>
      </c>
      <c r="H128">
        <v>16</v>
      </c>
      <c r="I128">
        <v>7</v>
      </c>
      <c r="J128">
        <v>122</v>
      </c>
      <c r="K128">
        <v>51</v>
      </c>
      <c r="L128">
        <v>26</v>
      </c>
      <c r="M128">
        <v>25</v>
      </c>
      <c r="N128">
        <v>34</v>
      </c>
      <c r="O128">
        <v>55</v>
      </c>
      <c r="P128">
        <v>100</v>
      </c>
      <c r="Q128">
        <v>58</v>
      </c>
      <c r="R128">
        <v>23</v>
      </c>
      <c r="S128">
        <v>5</v>
      </c>
      <c r="T128">
        <v>5</v>
      </c>
    </row>
    <row r="129" spans="1:21" x14ac:dyDescent="0.3">
      <c r="A129" t="s">
        <v>22</v>
      </c>
      <c r="B129" t="s">
        <v>65</v>
      </c>
      <c r="C129" s="4" t="s">
        <v>21</v>
      </c>
      <c r="D129" s="1">
        <v>1107</v>
      </c>
      <c r="E129">
        <v>14</v>
      </c>
      <c r="F129">
        <v>20</v>
      </c>
      <c r="G129">
        <v>15</v>
      </c>
      <c r="H129">
        <v>29</v>
      </c>
      <c r="I129">
        <v>34</v>
      </c>
      <c r="J129">
        <v>138</v>
      </c>
      <c r="K129">
        <v>82</v>
      </c>
      <c r="L129">
        <v>37</v>
      </c>
      <c r="M129">
        <v>99</v>
      </c>
      <c r="N129">
        <v>71</v>
      </c>
      <c r="O129">
        <v>124</v>
      </c>
      <c r="P129">
        <v>230</v>
      </c>
      <c r="Q129">
        <v>108</v>
      </c>
      <c r="R129">
        <v>53</v>
      </c>
      <c r="S129">
        <v>16</v>
      </c>
      <c r="T129">
        <v>35</v>
      </c>
      <c r="U129">
        <v>2</v>
      </c>
    </row>
    <row r="130" spans="1:21" x14ac:dyDescent="0.3">
      <c r="A130" t="s">
        <v>22</v>
      </c>
      <c r="B130" t="s">
        <v>65</v>
      </c>
      <c r="C130" s="4" t="s">
        <v>24</v>
      </c>
      <c r="D130">
        <v>918</v>
      </c>
      <c r="E130">
        <v>9</v>
      </c>
      <c r="F130">
        <v>15</v>
      </c>
      <c r="G130">
        <v>12</v>
      </c>
      <c r="H130">
        <v>24</v>
      </c>
      <c r="I130">
        <v>28</v>
      </c>
      <c r="J130">
        <v>81</v>
      </c>
      <c r="K130">
        <v>65</v>
      </c>
      <c r="L130">
        <v>37</v>
      </c>
      <c r="M130">
        <v>90</v>
      </c>
      <c r="N130">
        <v>63</v>
      </c>
      <c r="O130">
        <v>115</v>
      </c>
      <c r="P130">
        <v>203</v>
      </c>
      <c r="Q130">
        <v>91</v>
      </c>
      <c r="R130">
        <v>45</v>
      </c>
      <c r="S130">
        <v>11</v>
      </c>
      <c r="T130">
        <v>28</v>
      </c>
      <c r="U130">
        <v>1</v>
      </c>
    </row>
    <row r="131" spans="1:21" x14ac:dyDescent="0.3">
      <c r="A131" t="s">
        <v>22</v>
      </c>
      <c r="B131" t="s">
        <v>65</v>
      </c>
      <c r="C131" s="4" t="s">
        <v>25</v>
      </c>
      <c r="D131">
        <v>189</v>
      </c>
      <c r="E131">
        <v>5</v>
      </c>
      <c r="F131">
        <v>5</v>
      </c>
      <c r="G131">
        <v>3</v>
      </c>
      <c r="H131">
        <v>5</v>
      </c>
      <c r="I131">
        <v>6</v>
      </c>
      <c r="J131">
        <v>57</v>
      </c>
      <c r="K131">
        <v>17</v>
      </c>
      <c r="M131">
        <v>9</v>
      </c>
      <c r="N131">
        <v>8</v>
      </c>
      <c r="O131">
        <v>9</v>
      </c>
      <c r="P131">
        <v>27</v>
      </c>
      <c r="Q131">
        <v>17</v>
      </c>
      <c r="R131">
        <v>8</v>
      </c>
      <c r="S131">
        <v>5</v>
      </c>
      <c r="T131">
        <v>7</v>
      </c>
      <c r="U131">
        <v>1</v>
      </c>
    </row>
    <row r="132" spans="1:21" x14ac:dyDescent="0.3">
      <c r="A132" t="s">
        <v>22</v>
      </c>
      <c r="B132" t="s">
        <v>66</v>
      </c>
      <c r="C132" s="4" t="s">
        <v>21</v>
      </c>
      <c r="D132" s="1">
        <v>1009</v>
      </c>
      <c r="E132">
        <v>33</v>
      </c>
      <c r="F132">
        <v>31</v>
      </c>
      <c r="G132">
        <v>100</v>
      </c>
      <c r="H132">
        <v>98</v>
      </c>
      <c r="I132">
        <v>120</v>
      </c>
      <c r="J132">
        <v>414</v>
      </c>
      <c r="K132">
        <v>146</v>
      </c>
      <c r="L132">
        <v>18</v>
      </c>
      <c r="M132">
        <v>10</v>
      </c>
      <c r="N132">
        <v>8</v>
      </c>
      <c r="O132">
        <v>14</v>
      </c>
      <c r="P132">
        <v>13</v>
      </c>
      <c r="Q132">
        <v>4</v>
      </c>
    </row>
    <row r="133" spans="1:21" x14ac:dyDescent="0.3">
      <c r="A133" t="s">
        <v>22</v>
      </c>
      <c r="B133" t="s">
        <v>66</v>
      </c>
      <c r="C133" s="4" t="s">
        <v>24</v>
      </c>
      <c r="D133">
        <v>495</v>
      </c>
      <c r="E133">
        <v>20</v>
      </c>
      <c r="F133">
        <v>20</v>
      </c>
      <c r="G133">
        <v>60</v>
      </c>
      <c r="H133">
        <v>52</v>
      </c>
      <c r="I133">
        <v>69</v>
      </c>
      <c r="J133">
        <v>197</v>
      </c>
      <c r="K133">
        <v>54</v>
      </c>
      <c r="L133">
        <v>4</v>
      </c>
      <c r="M133">
        <v>6</v>
      </c>
      <c r="N133">
        <v>2</v>
      </c>
      <c r="O133">
        <v>6</v>
      </c>
      <c r="P133">
        <v>5</v>
      </c>
    </row>
    <row r="134" spans="1:21" x14ac:dyDescent="0.3">
      <c r="A134" t="s">
        <v>22</v>
      </c>
      <c r="B134" t="s">
        <v>66</v>
      </c>
      <c r="C134" s="4" t="s">
        <v>25</v>
      </c>
      <c r="D134">
        <v>514</v>
      </c>
      <c r="E134">
        <v>13</v>
      </c>
      <c r="F134">
        <v>11</v>
      </c>
      <c r="G134">
        <v>40</v>
      </c>
      <c r="H134">
        <v>46</v>
      </c>
      <c r="I134">
        <v>51</v>
      </c>
      <c r="J134">
        <v>217</v>
      </c>
      <c r="K134">
        <v>92</v>
      </c>
      <c r="L134">
        <v>14</v>
      </c>
      <c r="M134">
        <v>4</v>
      </c>
      <c r="N134">
        <v>6</v>
      </c>
      <c r="O134">
        <v>8</v>
      </c>
      <c r="P134">
        <v>8</v>
      </c>
      <c r="Q134">
        <v>4</v>
      </c>
    </row>
    <row r="135" spans="1:21" x14ac:dyDescent="0.3">
      <c r="A135" t="s">
        <v>22</v>
      </c>
      <c r="B135" t="s">
        <v>67</v>
      </c>
      <c r="C135" s="4" t="s">
        <v>21</v>
      </c>
      <c r="D135">
        <v>808</v>
      </c>
      <c r="E135">
        <v>53</v>
      </c>
      <c r="F135">
        <v>30</v>
      </c>
      <c r="G135">
        <v>72</v>
      </c>
      <c r="H135">
        <v>100</v>
      </c>
      <c r="I135">
        <v>62</v>
      </c>
      <c r="J135">
        <v>260</v>
      </c>
      <c r="K135">
        <v>120</v>
      </c>
      <c r="L135">
        <v>29</v>
      </c>
      <c r="M135">
        <v>29</v>
      </c>
      <c r="N135">
        <v>18</v>
      </c>
      <c r="O135">
        <v>18</v>
      </c>
      <c r="P135">
        <v>9</v>
      </c>
      <c r="Q135">
        <v>6</v>
      </c>
      <c r="S135">
        <v>2</v>
      </c>
    </row>
    <row r="136" spans="1:21" x14ac:dyDescent="0.3">
      <c r="A136" t="s">
        <v>22</v>
      </c>
      <c r="B136" t="s">
        <v>67</v>
      </c>
      <c r="C136" s="4" t="s">
        <v>24</v>
      </c>
      <c r="D136">
        <v>523</v>
      </c>
      <c r="E136">
        <v>45</v>
      </c>
      <c r="F136">
        <v>28</v>
      </c>
      <c r="G136">
        <v>56</v>
      </c>
      <c r="H136">
        <v>69</v>
      </c>
      <c r="I136">
        <v>43</v>
      </c>
      <c r="J136">
        <v>138</v>
      </c>
      <c r="K136">
        <v>70</v>
      </c>
      <c r="L136">
        <v>22</v>
      </c>
      <c r="M136">
        <v>21</v>
      </c>
      <c r="N136">
        <v>10</v>
      </c>
      <c r="O136">
        <v>9</v>
      </c>
      <c r="P136">
        <v>6</v>
      </c>
      <c r="Q136">
        <v>5</v>
      </c>
      <c r="S136">
        <v>1</v>
      </c>
    </row>
    <row r="137" spans="1:21" x14ac:dyDescent="0.3">
      <c r="A137" t="s">
        <v>22</v>
      </c>
      <c r="B137" t="s">
        <v>67</v>
      </c>
      <c r="C137" s="4" t="s">
        <v>25</v>
      </c>
      <c r="D137">
        <v>285</v>
      </c>
      <c r="E137">
        <v>8</v>
      </c>
      <c r="F137">
        <v>2</v>
      </c>
      <c r="G137">
        <v>16</v>
      </c>
      <c r="H137">
        <v>31</v>
      </c>
      <c r="I137">
        <v>19</v>
      </c>
      <c r="J137">
        <v>122</v>
      </c>
      <c r="K137">
        <v>50</v>
      </c>
      <c r="L137">
        <v>7</v>
      </c>
      <c r="M137">
        <v>8</v>
      </c>
      <c r="N137">
        <v>8</v>
      </c>
      <c r="O137">
        <v>9</v>
      </c>
      <c r="P137">
        <v>3</v>
      </c>
      <c r="Q137">
        <v>1</v>
      </c>
      <c r="S137">
        <v>1</v>
      </c>
    </row>
    <row r="138" spans="1:21" x14ac:dyDescent="0.3">
      <c r="A138" t="s">
        <v>22</v>
      </c>
      <c r="B138" t="s">
        <v>68</v>
      </c>
      <c r="C138" s="4" t="s">
        <v>21</v>
      </c>
      <c r="D138">
        <v>484</v>
      </c>
      <c r="E138">
        <v>4</v>
      </c>
      <c r="F138">
        <v>6</v>
      </c>
      <c r="G138">
        <v>22</v>
      </c>
      <c r="H138">
        <v>51</v>
      </c>
      <c r="I138">
        <v>36</v>
      </c>
      <c r="J138">
        <v>202</v>
      </c>
      <c r="K138">
        <v>83</v>
      </c>
      <c r="L138">
        <v>20</v>
      </c>
      <c r="M138">
        <v>22</v>
      </c>
      <c r="N138">
        <v>10</v>
      </c>
      <c r="O138">
        <v>15</v>
      </c>
      <c r="P138">
        <v>10</v>
      </c>
      <c r="Q138">
        <v>2</v>
      </c>
      <c r="R138">
        <v>1</v>
      </c>
    </row>
    <row r="139" spans="1:21" x14ac:dyDescent="0.3">
      <c r="A139" t="s">
        <v>22</v>
      </c>
      <c r="B139" t="s">
        <v>68</v>
      </c>
      <c r="C139" s="4" t="s">
        <v>24</v>
      </c>
      <c r="D139">
        <v>259</v>
      </c>
      <c r="E139">
        <v>1</v>
      </c>
      <c r="F139">
        <v>4</v>
      </c>
      <c r="G139">
        <v>14</v>
      </c>
      <c r="H139">
        <v>31</v>
      </c>
      <c r="I139">
        <v>23</v>
      </c>
      <c r="J139">
        <v>108</v>
      </c>
      <c r="K139">
        <v>36</v>
      </c>
      <c r="L139">
        <v>10</v>
      </c>
      <c r="M139">
        <v>15</v>
      </c>
      <c r="N139">
        <v>5</v>
      </c>
      <c r="O139">
        <v>6</v>
      </c>
      <c r="P139">
        <v>4</v>
      </c>
      <c r="Q139">
        <v>1</v>
      </c>
      <c r="R139">
        <v>1</v>
      </c>
    </row>
    <row r="140" spans="1:21" x14ac:dyDescent="0.3">
      <c r="A140" t="s">
        <v>22</v>
      </c>
      <c r="B140" t="s">
        <v>68</v>
      </c>
      <c r="C140" s="4" t="s">
        <v>25</v>
      </c>
      <c r="D140">
        <v>225</v>
      </c>
      <c r="E140">
        <v>3</v>
      </c>
      <c r="F140">
        <v>2</v>
      </c>
      <c r="G140">
        <v>8</v>
      </c>
      <c r="H140">
        <v>20</v>
      </c>
      <c r="I140">
        <v>13</v>
      </c>
      <c r="J140">
        <v>94</v>
      </c>
      <c r="K140">
        <v>47</v>
      </c>
      <c r="L140">
        <v>10</v>
      </c>
      <c r="M140">
        <v>7</v>
      </c>
      <c r="N140">
        <v>5</v>
      </c>
      <c r="O140">
        <v>9</v>
      </c>
      <c r="P140">
        <v>6</v>
      </c>
      <c r="Q140">
        <v>1</v>
      </c>
    </row>
    <row r="141" spans="1:21" x14ac:dyDescent="0.3">
      <c r="A141" t="s">
        <v>22</v>
      </c>
      <c r="B141" t="s">
        <v>69</v>
      </c>
      <c r="C141" s="4" t="s">
        <v>21</v>
      </c>
      <c r="D141">
        <v>280</v>
      </c>
      <c r="E141">
        <v>1</v>
      </c>
      <c r="F141">
        <v>4</v>
      </c>
      <c r="G141">
        <v>6</v>
      </c>
      <c r="H141">
        <v>3</v>
      </c>
      <c r="I141">
        <v>3</v>
      </c>
      <c r="J141">
        <v>25</v>
      </c>
      <c r="K141">
        <v>25</v>
      </c>
      <c r="L141">
        <v>14</v>
      </c>
      <c r="M141">
        <v>19</v>
      </c>
      <c r="N141">
        <v>27</v>
      </c>
      <c r="O141">
        <v>41</v>
      </c>
      <c r="P141">
        <v>48</v>
      </c>
      <c r="Q141">
        <v>28</v>
      </c>
      <c r="R141">
        <v>11</v>
      </c>
      <c r="S141">
        <v>19</v>
      </c>
      <c r="T141">
        <v>6</v>
      </c>
    </row>
    <row r="142" spans="1:21" x14ac:dyDescent="0.3">
      <c r="A142" t="s">
        <v>22</v>
      </c>
      <c r="B142" t="s">
        <v>69</v>
      </c>
      <c r="C142" s="4" t="s">
        <v>24</v>
      </c>
      <c r="D142">
        <v>228</v>
      </c>
      <c r="E142">
        <v>1</v>
      </c>
      <c r="F142">
        <v>4</v>
      </c>
      <c r="G142">
        <v>4</v>
      </c>
      <c r="H142">
        <v>3</v>
      </c>
      <c r="I142">
        <v>2</v>
      </c>
      <c r="J142">
        <v>21</v>
      </c>
      <c r="K142">
        <v>19</v>
      </c>
      <c r="L142">
        <v>9</v>
      </c>
      <c r="M142">
        <v>16</v>
      </c>
      <c r="N142">
        <v>27</v>
      </c>
      <c r="O142">
        <v>37</v>
      </c>
      <c r="P142">
        <v>36</v>
      </c>
      <c r="Q142">
        <v>24</v>
      </c>
      <c r="R142">
        <v>8</v>
      </c>
      <c r="S142">
        <v>11</v>
      </c>
      <c r="T142">
        <v>6</v>
      </c>
    </row>
    <row r="143" spans="1:21" x14ac:dyDescent="0.3">
      <c r="A143" t="s">
        <v>22</v>
      </c>
      <c r="B143" t="s">
        <v>69</v>
      </c>
      <c r="C143" s="4" t="s">
        <v>25</v>
      </c>
      <c r="D143">
        <v>52</v>
      </c>
      <c r="G143">
        <v>2</v>
      </c>
      <c r="I143">
        <v>1</v>
      </c>
      <c r="J143">
        <v>4</v>
      </c>
      <c r="K143">
        <v>6</v>
      </c>
      <c r="L143">
        <v>5</v>
      </c>
      <c r="M143">
        <v>3</v>
      </c>
      <c r="O143">
        <v>4</v>
      </c>
      <c r="P143">
        <v>12</v>
      </c>
      <c r="Q143">
        <v>4</v>
      </c>
      <c r="R143">
        <v>3</v>
      </c>
      <c r="S143">
        <v>8</v>
      </c>
    </row>
    <row r="144" spans="1:21" x14ac:dyDescent="0.3">
      <c r="A144" t="s">
        <v>22</v>
      </c>
      <c r="B144" t="s">
        <v>70</v>
      </c>
      <c r="C144" s="4" t="s">
        <v>21</v>
      </c>
      <c r="D144">
        <v>253</v>
      </c>
      <c r="E144">
        <v>2</v>
      </c>
      <c r="F144">
        <v>6</v>
      </c>
      <c r="G144">
        <v>7</v>
      </c>
      <c r="H144">
        <v>11</v>
      </c>
      <c r="I144">
        <v>21</v>
      </c>
      <c r="J144">
        <v>46</v>
      </c>
      <c r="K144">
        <v>51</v>
      </c>
      <c r="L144">
        <v>15</v>
      </c>
      <c r="M144">
        <v>30</v>
      </c>
      <c r="N144">
        <v>8</v>
      </c>
      <c r="O144">
        <v>28</v>
      </c>
      <c r="P144">
        <v>22</v>
      </c>
      <c r="Q144">
        <v>3</v>
      </c>
      <c r="R144">
        <v>1</v>
      </c>
      <c r="S144">
        <v>2</v>
      </c>
    </row>
    <row r="145" spans="1:21" x14ac:dyDescent="0.3">
      <c r="A145" t="s">
        <v>22</v>
      </c>
      <c r="B145" t="s">
        <v>70</v>
      </c>
      <c r="C145" s="4" t="s">
        <v>24</v>
      </c>
      <c r="D145">
        <v>178</v>
      </c>
      <c r="E145">
        <v>1</v>
      </c>
      <c r="F145">
        <v>3</v>
      </c>
      <c r="G145">
        <v>6</v>
      </c>
      <c r="H145">
        <v>8</v>
      </c>
      <c r="I145">
        <v>17</v>
      </c>
      <c r="J145">
        <v>27</v>
      </c>
      <c r="K145">
        <v>34</v>
      </c>
      <c r="L145">
        <v>11</v>
      </c>
      <c r="M145">
        <v>24</v>
      </c>
      <c r="N145">
        <v>4</v>
      </c>
      <c r="O145">
        <v>21</v>
      </c>
      <c r="P145">
        <v>18</v>
      </c>
      <c r="Q145">
        <v>2</v>
      </c>
      <c r="R145">
        <v>1</v>
      </c>
      <c r="S145">
        <v>1</v>
      </c>
    </row>
    <row r="146" spans="1:21" x14ac:dyDescent="0.3">
      <c r="A146" t="s">
        <v>22</v>
      </c>
      <c r="B146" t="s">
        <v>70</v>
      </c>
      <c r="C146" s="4" t="s">
        <v>25</v>
      </c>
      <c r="D146">
        <v>75</v>
      </c>
      <c r="E146">
        <v>1</v>
      </c>
      <c r="F146">
        <v>3</v>
      </c>
      <c r="G146">
        <v>1</v>
      </c>
      <c r="H146">
        <v>3</v>
      </c>
      <c r="I146">
        <v>4</v>
      </c>
      <c r="J146">
        <v>19</v>
      </c>
      <c r="K146">
        <v>17</v>
      </c>
      <c r="L146">
        <v>4</v>
      </c>
      <c r="M146">
        <v>6</v>
      </c>
      <c r="N146">
        <v>4</v>
      </c>
      <c r="O146">
        <v>7</v>
      </c>
      <c r="P146">
        <v>4</v>
      </c>
      <c r="Q146">
        <v>1</v>
      </c>
      <c r="S146">
        <v>1</v>
      </c>
    </row>
    <row r="147" spans="1:21" x14ac:dyDescent="0.3">
      <c r="A147" t="s">
        <v>22</v>
      </c>
      <c r="B147" t="s">
        <v>71</v>
      </c>
      <c r="C147" s="4" t="s">
        <v>21</v>
      </c>
      <c r="D147">
        <v>227</v>
      </c>
      <c r="E147">
        <v>8</v>
      </c>
      <c r="F147">
        <v>6</v>
      </c>
      <c r="G147">
        <v>15</v>
      </c>
      <c r="H147">
        <v>30</v>
      </c>
      <c r="I147">
        <v>30</v>
      </c>
      <c r="J147">
        <v>107</v>
      </c>
      <c r="K147">
        <v>20</v>
      </c>
      <c r="L147">
        <v>3</v>
      </c>
      <c r="M147">
        <v>3</v>
      </c>
      <c r="N147">
        <v>4</v>
      </c>
      <c r="O147">
        <v>1</v>
      </c>
    </row>
    <row r="148" spans="1:21" x14ac:dyDescent="0.3">
      <c r="A148" t="s">
        <v>22</v>
      </c>
      <c r="B148" t="s">
        <v>71</v>
      </c>
      <c r="C148" s="4" t="s">
        <v>24</v>
      </c>
      <c r="D148">
        <v>114</v>
      </c>
      <c r="E148">
        <v>7</v>
      </c>
      <c r="F148">
        <v>5</v>
      </c>
      <c r="G148">
        <v>10</v>
      </c>
      <c r="H148">
        <v>18</v>
      </c>
      <c r="I148">
        <v>15</v>
      </c>
      <c r="J148">
        <v>42</v>
      </c>
      <c r="K148">
        <v>8</v>
      </c>
      <c r="L148">
        <v>1</v>
      </c>
      <c r="M148">
        <v>3</v>
      </c>
      <c r="N148">
        <v>4</v>
      </c>
      <c r="O148">
        <v>1</v>
      </c>
    </row>
    <row r="149" spans="1:21" x14ac:dyDescent="0.3">
      <c r="A149" t="s">
        <v>22</v>
      </c>
      <c r="B149" t="s">
        <v>71</v>
      </c>
      <c r="C149" s="4" t="s">
        <v>25</v>
      </c>
      <c r="D149">
        <v>113</v>
      </c>
      <c r="E149">
        <v>1</v>
      </c>
      <c r="F149">
        <v>1</v>
      </c>
      <c r="G149">
        <v>5</v>
      </c>
      <c r="H149">
        <v>12</v>
      </c>
      <c r="I149">
        <v>15</v>
      </c>
      <c r="J149">
        <v>65</v>
      </c>
      <c r="K149">
        <v>12</v>
      </c>
      <c r="L149">
        <v>2</v>
      </c>
    </row>
    <row r="150" spans="1:21" x14ac:dyDescent="0.3">
      <c r="A150" t="s">
        <v>22</v>
      </c>
      <c r="B150" t="s">
        <v>72</v>
      </c>
      <c r="C150" s="4" t="s">
        <v>21</v>
      </c>
      <c r="D150">
        <v>4</v>
      </c>
      <c r="E150">
        <v>1</v>
      </c>
      <c r="H150">
        <v>1</v>
      </c>
      <c r="I150">
        <v>1</v>
      </c>
      <c r="J150">
        <v>1</v>
      </c>
    </row>
    <row r="151" spans="1:21" x14ac:dyDescent="0.3">
      <c r="A151" t="s">
        <v>22</v>
      </c>
      <c r="B151" t="s">
        <v>72</v>
      </c>
      <c r="C151" s="4" t="s">
        <v>24</v>
      </c>
      <c r="D151">
        <v>1</v>
      </c>
      <c r="J151">
        <v>1</v>
      </c>
    </row>
    <row r="152" spans="1:21" x14ac:dyDescent="0.3">
      <c r="A152" t="s">
        <v>22</v>
      </c>
      <c r="B152" t="s">
        <v>72</v>
      </c>
      <c r="C152" s="4" t="s">
        <v>25</v>
      </c>
      <c r="D152">
        <v>3</v>
      </c>
      <c r="E152">
        <v>1</v>
      </c>
      <c r="H152">
        <v>1</v>
      </c>
      <c r="I152">
        <v>1</v>
      </c>
    </row>
    <row r="153" spans="1:21" x14ac:dyDescent="0.3">
      <c r="A153" t="s">
        <v>73</v>
      </c>
      <c r="B153" t="s">
        <v>234</v>
      </c>
      <c r="C153" s="4" t="s">
        <v>21</v>
      </c>
      <c r="D153" s="1">
        <v>1738552</v>
      </c>
      <c r="E153" s="1">
        <v>320232</v>
      </c>
      <c r="F153" s="1">
        <v>90194</v>
      </c>
      <c r="G153" s="1">
        <v>132794</v>
      </c>
      <c r="H153" s="1">
        <v>132874</v>
      </c>
      <c r="I153" s="1">
        <v>110295</v>
      </c>
      <c r="J153" s="1">
        <v>343605</v>
      </c>
      <c r="K153" s="1">
        <v>250980</v>
      </c>
      <c r="L153" s="1">
        <v>84771</v>
      </c>
      <c r="M153" s="1">
        <v>88894</v>
      </c>
      <c r="N153" s="1">
        <v>49729</v>
      </c>
      <c r="O153" s="1">
        <v>54406</v>
      </c>
      <c r="P153" s="1">
        <v>61957</v>
      </c>
      <c r="Q153" s="1">
        <v>13440</v>
      </c>
      <c r="R153" s="1">
        <v>2329</v>
      </c>
      <c r="S153">
        <v>831</v>
      </c>
      <c r="T153" s="1">
        <v>1081</v>
      </c>
      <c r="U153">
        <v>140</v>
      </c>
    </row>
    <row r="154" spans="1:21" x14ac:dyDescent="0.3">
      <c r="A154" t="s">
        <v>73</v>
      </c>
      <c r="B154" t="s">
        <v>234</v>
      </c>
      <c r="C154" s="4" t="s">
        <v>24</v>
      </c>
      <c r="D154" s="1">
        <f>D158+D162</f>
        <v>884047</v>
      </c>
      <c r="E154" s="1">
        <f t="shared" ref="E154:U154" si="5">E158+E162</f>
        <v>168038</v>
      </c>
      <c r="F154" s="1">
        <f t="shared" si="5"/>
        <v>50439</v>
      </c>
      <c r="G154" s="1">
        <f t="shared" si="5"/>
        <v>69570</v>
      </c>
      <c r="H154" s="1">
        <f t="shared" si="5"/>
        <v>67103</v>
      </c>
      <c r="I154" s="1">
        <f t="shared" si="5"/>
        <v>54901</v>
      </c>
      <c r="J154" s="1">
        <f t="shared" si="5"/>
        <v>167780</v>
      </c>
      <c r="K154" s="1">
        <f t="shared" si="5"/>
        <v>121574</v>
      </c>
      <c r="L154" s="1">
        <f t="shared" si="5"/>
        <v>39983</v>
      </c>
      <c r="M154" s="1">
        <f t="shared" si="5"/>
        <v>44272</v>
      </c>
      <c r="N154" s="1">
        <f t="shared" si="5"/>
        <v>25498</v>
      </c>
      <c r="O154" s="1">
        <f t="shared" si="5"/>
        <v>29429</v>
      </c>
      <c r="P154" s="1">
        <f t="shared" si="5"/>
        <v>35312</v>
      </c>
      <c r="Q154" s="1">
        <f t="shared" si="5"/>
        <v>7806</v>
      </c>
      <c r="R154" s="1">
        <f t="shared" si="5"/>
        <v>1254</v>
      </c>
      <c r="S154" s="1">
        <f t="shared" si="5"/>
        <v>452</v>
      </c>
      <c r="T154" s="1">
        <f t="shared" si="5"/>
        <v>556</v>
      </c>
      <c r="U154" s="1">
        <f t="shared" si="5"/>
        <v>80</v>
      </c>
    </row>
    <row r="155" spans="1:21" x14ac:dyDescent="0.3">
      <c r="A155" t="s">
        <v>73</v>
      </c>
      <c r="B155" t="s">
        <v>234</v>
      </c>
      <c r="C155" s="4" t="s">
        <v>25</v>
      </c>
      <c r="D155" s="1">
        <f>D159+D163</f>
        <v>854265</v>
      </c>
      <c r="E155" s="1">
        <f t="shared" ref="E155:U155" si="6">E159+E163</f>
        <v>152162</v>
      </c>
      <c r="F155" s="1">
        <f t="shared" si="6"/>
        <v>39747</v>
      </c>
      <c r="G155" s="1">
        <f t="shared" si="6"/>
        <v>63210</v>
      </c>
      <c r="H155" s="1">
        <f t="shared" si="6"/>
        <v>65750</v>
      </c>
      <c r="I155" s="1">
        <f t="shared" si="6"/>
        <v>55377</v>
      </c>
      <c r="J155" s="1">
        <f t="shared" si="6"/>
        <v>175767</v>
      </c>
      <c r="K155" s="1">
        <f t="shared" si="6"/>
        <v>129371</v>
      </c>
      <c r="L155" s="1">
        <f t="shared" si="6"/>
        <v>44778</v>
      </c>
      <c r="M155" s="1">
        <f t="shared" si="6"/>
        <v>44615</v>
      </c>
      <c r="N155" s="1">
        <f t="shared" si="6"/>
        <v>24223</v>
      </c>
      <c r="O155" s="1">
        <f t="shared" si="6"/>
        <v>24970</v>
      </c>
      <c r="P155" s="1">
        <f t="shared" si="6"/>
        <v>26623</v>
      </c>
      <c r="Q155" s="1">
        <f t="shared" si="6"/>
        <v>5634</v>
      </c>
      <c r="R155" s="1">
        <f t="shared" si="6"/>
        <v>1075</v>
      </c>
      <c r="S155" s="1">
        <f t="shared" si="6"/>
        <v>379</v>
      </c>
      <c r="T155" s="1">
        <f t="shared" si="6"/>
        <v>524</v>
      </c>
      <c r="U155" s="1">
        <f t="shared" si="6"/>
        <v>60</v>
      </c>
    </row>
    <row r="156" spans="1:21" x14ac:dyDescent="0.3">
      <c r="A156" t="s">
        <v>73</v>
      </c>
      <c r="B156" t="s">
        <v>234</v>
      </c>
      <c r="C156" s="4" t="s">
        <v>75</v>
      </c>
      <c r="D156" s="1">
        <f>D160+D164</f>
        <v>240</v>
      </c>
      <c r="E156" s="1">
        <f t="shared" ref="E156:U156" si="7">E160+E164</f>
        <v>32</v>
      </c>
      <c r="F156" s="1">
        <f t="shared" si="7"/>
        <v>8</v>
      </c>
      <c r="G156" s="1">
        <f t="shared" si="7"/>
        <v>14</v>
      </c>
      <c r="H156" s="1">
        <f t="shared" si="7"/>
        <v>21</v>
      </c>
      <c r="I156" s="1">
        <f t="shared" si="7"/>
        <v>17</v>
      </c>
      <c r="J156" s="1">
        <f t="shared" si="7"/>
        <v>58</v>
      </c>
      <c r="K156" s="1">
        <f t="shared" si="7"/>
        <v>35</v>
      </c>
      <c r="L156" s="1">
        <f t="shared" si="7"/>
        <v>10</v>
      </c>
      <c r="M156" s="1">
        <f t="shared" si="7"/>
        <v>7</v>
      </c>
      <c r="N156" s="1">
        <f t="shared" si="7"/>
        <v>8</v>
      </c>
      <c r="O156" s="1">
        <f t="shared" si="7"/>
        <v>7</v>
      </c>
      <c r="P156" s="1">
        <f t="shared" si="7"/>
        <v>22</v>
      </c>
      <c r="Q156" s="1">
        <f t="shared" si="7"/>
        <v>0</v>
      </c>
      <c r="R156" s="1">
        <f t="shared" si="7"/>
        <v>0</v>
      </c>
      <c r="S156" s="1">
        <f t="shared" si="7"/>
        <v>0</v>
      </c>
      <c r="T156" s="1">
        <f t="shared" si="7"/>
        <v>1</v>
      </c>
      <c r="U156" s="1">
        <f t="shared" si="7"/>
        <v>0</v>
      </c>
    </row>
    <row r="157" spans="1:21" x14ac:dyDescent="0.3">
      <c r="A157" t="s">
        <v>73</v>
      </c>
      <c r="B157" t="s">
        <v>74</v>
      </c>
      <c r="C157" s="4" t="s">
        <v>21</v>
      </c>
      <c r="D157" s="1">
        <v>1467731</v>
      </c>
      <c r="E157" s="1">
        <v>260371</v>
      </c>
      <c r="F157" s="1">
        <v>75876</v>
      </c>
      <c r="G157" s="1">
        <v>111409</v>
      </c>
      <c r="H157" s="1">
        <v>110041</v>
      </c>
      <c r="I157" s="1">
        <v>93192</v>
      </c>
      <c r="J157" s="1">
        <v>294915</v>
      </c>
      <c r="K157" s="1">
        <v>214270</v>
      </c>
      <c r="L157" s="1">
        <v>71986</v>
      </c>
      <c r="M157" s="1">
        <v>76565</v>
      </c>
      <c r="N157" s="1">
        <v>43954</v>
      </c>
      <c r="O157" s="1">
        <v>46580</v>
      </c>
      <c r="P157" s="1">
        <v>52928</v>
      </c>
      <c r="Q157" s="1">
        <v>11970</v>
      </c>
      <c r="R157" s="1">
        <v>2019</v>
      </c>
      <c r="S157">
        <v>730</v>
      </c>
      <c r="T157">
        <v>815</v>
      </c>
      <c r="U157">
        <v>110</v>
      </c>
    </row>
    <row r="158" spans="1:21" x14ac:dyDescent="0.3">
      <c r="A158" t="s">
        <v>73</v>
      </c>
      <c r="B158" t="s">
        <v>74</v>
      </c>
      <c r="C158" s="4" t="s">
        <v>24</v>
      </c>
      <c r="D158" s="1">
        <v>752528</v>
      </c>
      <c r="E158" s="1">
        <v>137849</v>
      </c>
      <c r="F158" s="1">
        <v>43093</v>
      </c>
      <c r="G158" s="1">
        <v>59213</v>
      </c>
      <c r="H158" s="1">
        <v>56393</v>
      </c>
      <c r="I158" s="1">
        <v>46681</v>
      </c>
      <c r="J158" s="1">
        <v>144235</v>
      </c>
      <c r="K158" s="1">
        <v>103599</v>
      </c>
      <c r="L158" s="1">
        <v>33835</v>
      </c>
      <c r="M158" s="1">
        <v>38450</v>
      </c>
      <c r="N158" s="1">
        <v>22846</v>
      </c>
      <c r="O158" s="1">
        <v>25873</v>
      </c>
      <c r="P158" s="1">
        <v>31297</v>
      </c>
      <c r="Q158" s="1">
        <v>7154</v>
      </c>
      <c r="R158" s="1">
        <v>1109</v>
      </c>
      <c r="S158">
        <v>401</v>
      </c>
      <c r="T158">
        <v>436</v>
      </c>
      <c r="U158">
        <v>64</v>
      </c>
    </row>
    <row r="159" spans="1:21" x14ac:dyDescent="0.3">
      <c r="A159" t="s">
        <v>73</v>
      </c>
      <c r="B159" t="s">
        <v>74</v>
      </c>
      <c r="C159" s="4" t="s">
        <v>25</v>
      </c>
      <c r="D159" s="1">
        <v>714973</v>
      </c>
      <c r="E159" s="1">
        <v>122491</v>
      </c>
      <c r="F159" s="1">
        <v>32775</v>
      </c>
      <c r="G159" s="1">
        <v>52182</v>
      </c>
      <c r="H159" s="1">
        <v>53629</v>
      </c>
      <c r="I159" s="1">
        <v>46495</v>
      </c>
      <c r="J159" s="1">
        <v>150625</v>
      </c>
      <c r="K159" s="1">
        <v>110638</v>
      </c>
      <c r="L159" s="1">
        <v>38141</v>
      </c>
      <c r="M159" s="1">
        <v>38108</v>
      </c>
      <c r="N159" s="1">
        <v>21100</v>
      </c>
      <c r="O159" s="1">
        <v>20700</v>
      </c>
      <c r="P159" s="1">
        <v>21610</v>
      </c>
      <c r="Q159" s="1">
        <v>4816</v>
      </c>
      <c r="R159">
        <v>910</v>
      </c>
      <c r="S159">
        <v>329</v>
      </c>
      <c r="T159">
        <v>378</v>
      </c>
      <c r="U159">
        <v>46</v>
      </c>
    </row>
    <row r="160" spans="1:21" x14ac:dyDescent="0.3">
      <c r="A160" t="s">
        <v>73</v>
      </c>
      <c r="B160" t="s">
        <v>74</v>
      </c>
      <c r="C160" s="4" t="s">
        <v>75</v>
      </c>
      <c r="D160">
        <v>230</v>
      </c>
      <c r="E160">
        <v>31</v>
      </c>
      <c r="F160">
        <v>8</v>
      </c>
      <c r="G160">
        <v>14</v>
      </c>
      <c r="H160">
        <v>19</v>
      </c>
      <c r="I160">
        <v>16</v>
      </c>
      <c r="J160">
        <v>55</v>
      </c>
      <c r="K160">
        <v>33</v>
      </c>
      <c r="L160">
        <v>10</v>
      </c>
      <c r="M160">
        <v>7</v>
      </c>
      <c r="N160">
        <v>8</v>
      </c>
      <c r="O160">
        <v>7</v>
      </c>
      <c r="P160">
        <v>21</v>
      </c>
      <c r="T160">
        <v>1</v>
      </c>
    </row>
    <row r="161" spans="1:21" x14ac:dyDescent="0.3">
      <c r="A161" t="s">
        <v>73</v>
      </c>
      <c r="B161" t="s">
        <v>76</v>
      </c>
      <c r="C161" s="4" t="s">
        <v>21</v>
      </c>
      <c r="D161" s="1">
        <v>270821</v>
      </c>
      <c r="E161" s="1">
        <v>59861</v>
      </c>
      <c r="F161" s="1">
        <v>14318</v>
      </c>
      <c r="G161" s="1">
        <v>21385</v>
      </c>
      <c r="H161" s="1">
        <v>22833</v>
      </c>
      <c r="I161" s="1">
        <v>17103</v>
      </c>
      <c r="J161" s="1">
        <v>48690</v>
      </c>
      <c r="K161" s="1">
        <v>36710</v>
      </c>
      <c r="L161" s="1">
        <v>12785</v>
      </c>
      <c r="M161" s="1">
        <v>12329</v>
      </c>
      <c r="N161" s="1">
        <v>5775</v>
      </c>
      <c r="O161" s="1">
        <v>7826</v>
      </c>
      <c r="P161" s="1">
        <v>9029</v>
      </c>
      <c r="Q161" s="1">
        <v>1470</v>
      </c>
      <c r="R161">
        <v>310</v>
      </c>
      <c r="S161">
        <v>101</v>
      </c>
      <c r="T161">
        <v>266</v>
      </c>
      <c r="U161">
        <v>30</v>
      </c>
    </row>
    <row r="162" spans="1:21" x14ac:dyDescent="0.3">
      <c r="A162" t="s">
        <v>73</v>
      </c>
      <c r="B162" t="s">
        <v>76</v>
      </c>
      <c r="C162" s="4" t="s">
        <v>24</v>
      </c>
      <c r="D162" s="1">
        <v>131519</v>
      </c>
      <c r="E162" s="1">
        <v>30189</v>
      </c>
      <c r="F162" s="1">
        <v>7346</v>
      </c>
      <c r="G162" s="1">
        <v>10357</v>
      </c>
      <c r="H162" s="1">
        <v>10710</v>
      </c>
      <c r="I162" s="1">
        <v>8220</v>
      </c>
      <c r="J162" s="1">
        <v>23545</v>
      </c>
      <c r="K162" s="1">
        <v>17975</v>
      </c>
      <c r="L162" s="1">
        <v>6148</v>
      </c>
      <c r="M162" s="1">
        <v>5822</v>
      </c>
      <c r="N162" s="1">
        <v>2652</v>
      </c>
      <c r="O162" s="1">
        <v>3556</v>
      </c>
      <c r="P162" s="1">
        <v>4015</v>
      </c>
      <c r="Q162">
        <v>652</v>
      </c>
      <c r="R162">
        <v>145</v>
      </c>
      <c r="S162">
        <v>51</v>
      </c>
      <c r="T162">
        <v>120</v>
      </c>
      <c r="U162">
        <v>16</v>
      </c>
    </row>
    <row r="163" spans="1:21" x14ac:dyDescent="0.3">
      <c r="A163" t="s">
        <v>73</v>
      </c>
      <c r="B163" t="s">
        <v>76</v>
      </c>
      <c r="C163" s="4" t="s">
        <v>25</v>
      </c>
      <c r="D163" s="1">
        <v>139292</v>
      </c>
      <c r="E163" s="1">
        <v>29671</v>
      </c>
      <c r="F163" s="1">
        <v>6972</v>
      </c>
      <c r="G163" s="1">
        <v>11028</v>
      </c>
      <c r="H163" s="1">
        <v>12121</v>
      </c>
      <c r="I163" s="1">
        <v>8882</v>
      </c>
      <c r="J163" s="1">
        <v>25142</v>
      </c>
      <c r="K163" s="1">
        <v>18733</v>
      </c>
      <c r="L163" s="1">
        <v>6637</v>
      </c>
      <c r="M163" s="1">
        <v>6507</v>
      </c>
      <c r="N163" s="1">
        <v>3123</v>
      </c>
      <c r="O163" s="1">
        <v>4270</v>
      </c>
      <c r="P163" s="1">
        <v>5013</v>
      </c>
      <c r="Q163">
        <v>818</v>
      </c>
      <c r="R163">
        <v>165</v>
      </c>
      <c r="S163">
        <v>50</v>
      </c>
      <c r="T163">
        <v>146</v>
      </c>
      <c r="U163">
        <v>14</v>
      </c>
    </row>
    <row r="164" spans="1:21" x14ac:dyDescent="0.3">
      <c r="A164" t="s">
        <v>73</v>
      </c>
      <c r="B164" t="s">
        <v>76</v>
      </c>
      <c r="C164" s="4" t="s">
        <v>75</v>
      </c>
      <c r="D164">
        <v>10</v>
      </c>
      <c r="E164">
        <v>1</v>
      </c>
      <c r="H164">
        <v>2</v>
      </c>
      <c r="I164">
        <v>1</v>
      </c>
      <c r="J164">
        <v>3</v>
      </c>
      <c r="K164">
        <v>2</v>
      </c>
      <c r="P164">
        <v>1</v>
      </c>
    </row>
    <row r="165" spans="1:21" x14ac:dyDescent="0.3">
      <c r="A165" t="s">
        <v>77</v>
      </c>
      <c r="B165" t="s">
        <v>21</v>
      </c>
      <c r="C165" s="4" t="s">
        <v>21</v>
      </c>
      <c r="D165" s="1">
        <v>176152</v>
      </c>
      <c r="E165" s="1">
        <v>34119</v>
      </c>
      <c r="F165" s="1">
        <v>14635</v>
      </c>
      <c r="G165" s="1">
        <v>19924</v>
      </c>
      <c r="H165" s="1">
        <v>18488</v>
      </c>
      <c r="I165" s="1">
        <v>15727</v>
      </c>
      <c r="J165" s="1">
        <v>35733</v>
      </c>
      <c r="K165" s="1">
        <v>18669</v>
      </c>
      <c r="L165" s="1">
        <v>4350</v>
      </c>
      <c r="M165" s="1">
        <v>4108</v>
      </c>
      <c r="N165" s="1">
        <v>3889</v>
      </c>
      <c r="O165" s="1">
        <v>2556</v>
      </c>
      <c r="P165" s="1">
        <v>2996</v>
      </c>
      <c r="Q165">
        <v>649</v>
      </c>
      <c r="R165">
        <v>150</v>
      </c>
      <c r="S165">
        <v>86</v>
      </c>
      <c r="T165">
        <v>61</v>
      </c>
      <c r="U165">
        <v>12</v>
      </c>
    </row>
    <row r="166" spans="1:21" x14ac:dyDescent="0.3">
      <c r="A166" t="s">
        <v>77</v>
      </c>
      <c r="B166" t="s">
        <v>21</v>
      </c>
      <c r="C166" s="4" t="s">
        <v>24</v>
      </c>
      <c r="D166" s="1">
        <f>D169+D172+D175+D178+D181+D184+D187+D190+D193+D196+D199+D202+D205+D208+D211+D214+D217+D220+D223+D226+D229+D232+D235+D238+D241+D244+D247+D250+D253+D256+D259+D262+D265+D268</f>
        <v>79860</v>
      </c>
      <c r="E166" s="1">
        <f t="shared" ref="E166:U166" si="8">E169+E172+E175+E178+E181+E184+E187+E190+E193+E196+E199+E202+E205+E208+E211+E214+E217+E220+E223+E226+E229+E232+E235+E238+E241+E244+E247+E250+E253+E256+E259+E262+E265+E268</f>
        <v>17226</v>
      </c>
      <c r="F166" s="1">
        <f t="shared" si="8"/>
        <v>7327</v>
      </c>
      <c r="G166" s="1">
        <f t="shared" si="8"/>
        <v>9785</v>
      </c>
      <c r="H166" s="1">
        <f t="shared" si="8"/>
        <v>8785</v>
      </c>
      <c r="I166" s="1">
        <f t="shared" si="8"/>
        <v>7142</v>
      </c>
      <c r="J166" s="1">
        <f t="shared" si="8"/>
        <v>15257</v>
      </c>
      <c r="K166" s="1">
        <f t="shared" si="8"/>
        <v>6699</v>
      </c>
      <c r="L166" s="1">
        <f t="shared" si="8"/>
        <v>1666</v>
      </c>
      <c r="M166" s="1">
        <f t="shared" si="8"/>
        <v>1871</v>
      </c>
      <c r="N166" s="1">
        <f t="shared" si="8"/>
        <v>1455</v>
      </c>
      <c r="O166" s="1">
        <f t="shared" si="8"/>
        <v>1062</v>
      </c>
      <c r="P166" s="1">
        <f t="shared" si="8"/>
        <v>1178</v>
      </c>
      <c r="Q166" s="1">
        <f t="shared" si="8"/>
        <v>275</v>
      </c>
      <c r="R166" s="1">
        <f t="shared" si="8"/>
        <v>61</v>
      </c>
      <c r="S166" s="1">
        <f t="shared" si="8"/>
        <v>31</v>
      </c>
      <c r="T166" s="1">
        <f t="shared" si="8"/>
        <v>32</v>
      </c>
      <c r="U166" s="1">
        <f t="shared" si="8"/>
        <v>8</v>
      </c>
    </row>
    <row r="167" spans="1:21" x14ac:dyDescent="0.3">
      <c r="A167" t="s">
        <v>77</v>
      </c>
      <c r="B167" t="s">
        <v>21</v>
      </c>
      <c r="C167" s="4" t="s">
        <v>25</v>
      </c>
      <c r="D167" s="1">
        <f>D170+D173+D176+D179+D182+D185+D188+D191+D194+D197+D200+D203+D206+D209+D212+D215+D218+D221+D224+D227+D230+D233+D236+D239+D242+D245+D248+D251+D254+D257+D260+D263+D266</f>
        <v>96292</v>
      </c>
      <c r="E167" s="1">
        <f t="shared" ref="E167:U167" si="9">E170+E173+E176+E179+E182+E185+E188+E191+E194+E197+E200+E203+E206+E209+E212+E215+E218+E221+E224+E227+E230+E233+E236+E239+E242+E245+E248+E251+E254+E257+E260+E263+E266</f>
        <v>16893</v>
      </c>
      <c r="F167" s="1">
        <f t="shared" si="9"/>
        <v>7308</v>
      </c>
      <c r="G167" s="1">
        <f t="shared" si="9"/>
        <v>10139</v>
      </c>
      <c r="H167" s="1">
        <f t="shared" si="9"/>
        <v>9703</v>
      </c>
      <c r="I167" s="1">
        <f t="shared" si="9"/>
        <v>8585</v>
      </c>
      <c r="J167" s="1">
        <f t="shared" si="9"/>
        <v>20476</v>
      </c>
      <c r="K167" s="1">
        <f t="shared" si="9"/>
        <v>11970</v>
      </c>
      <c r="L167" s="1">
        <f t="shared" si="9"/>
        <v>2684</v>
      </c>
      <c r="M167" s="1">
        <f t="shared" si="9"/>
        <v>2237</v>
      </c>
      <c r="N167" s="1">
        <f t="shared" si="9"/>
        <v>2434</v>
      </c>
      <c r="O167" s="1">
        <f t="shared" si="9"/>
        <v>1494</v>
      </c>
      <c r="P167" s="1">
        <f t="shared" si="9"/>
        <v>1818</v>
      </c>
      <c r="Q167" s="1">
        <f t="shared" si="9"/>
        <v>374</v>
      </c>
      <c r="R167" s="1">
        <f t="shared" si="9"/>
        <v>89</v>
      </c>
      <c r="S167" s="1">
        <f t="shared" si="9"/>
        <v>55</v>
      </c>
      <c r="T167" s="1">
        <f t="shared" si="9"/>
        <v>29</v>
      </c>
      <c r="U167" s="1">
        <f t="shared" si="9"/>
        <v>4</v>
      </c>
    </row>
    <row r="168" spans="1:21" x14ac:dyDescent="0.3">
      <c r="A168" t="s">
        <v>77</v>
      </c>
      <c r="B168" t="s">
        <v>78</v>
      </c>
      <c r="C168" s="4" t="s">
        <v>21</v>
      </c>
      <c r="D168" s="1">
        <v>78528</v>
      </c>
      <c r="E168" s="1">
        <v>22872</v>
      </c>
      <c r="F168" s="1">
        <v>7796</v>
      </c>
      <c r="G168" s="1">
        <v>9220</v>
      </c>
      <c r="H168" s="1">
        <v>7364</v>
      </c>
      <c r="I168" s="1">
        <v>6486</v>
      </c>
      <c r="J168" s="1">
        <v>13564</v>
      </c>
      <c r="K168" s="1">
        <v>6517</v>
      </c>
      <c r="L168">
        <v>994</v>
      </c>
      <c r="M168">
        <v>950</v>
      </c>
      <c r="N168">
        <v>756</v>
      </c>
      <c r="O168">
        <v>771</v>
      </c>
      <c r="P168" s="1">
        <v>1111</v>
      </c>
      <c r="Q168">
        <v>98</v>
      </c>
      <c r="R168">
        <v>19</v>
      </c>
      <c r="S168">
        <v>6</v>
      </c>
      <c r="T168">
        <v>4</v>
      </c>
    </row>
    <row r="169" spans="1:21" x14ac:dyDescent="0.3">
      <c r="A169" t="s">
        <v>77</v>
      </c>
      <c r="B169" t="s">
        <v>78</v>
      </c>
      <c r="C169" s="4" t="s">
        <v>24</v>
      </c>
      <c r="D169" s="1">
        <v>34671</v>
      </c>
      <c r="E169" s="1">
        <v>11295</v>
      </c>
      <c r="F169" s="1">
        <v>3749</v>
      </c>
      <c r="G169" s="1">
        <v>4399</v>
      </c>
      <c r="H169" s="1">
        <v>3303</v>
      </c>
      <c r="I169" s="1">
        <v>2724</v>
      </c>
      <c r="J169" s="1">
        <v>5369</v>
      </c>
      <c r="K169" s="1">
        <v>2144</v>
      </c>
      <c r="L169">
        <v>329</v>
      </c>
      <c r="M169">
        <v>370</v>
      </c>
      <c r="N169">
        <v>244</v>
      </c>
      <c r="O169">
        <v>263</v>
      </c>
      <c r="P169">
        <v>441</v>
      </c>
      <c r="Q169">
        <v>32</v>
      </c>
      <c r="R169">
        <v>7</v>
      </c>
      <c r="S169">
        <v>1</v>
      </c>
      <c r="T169">
        <v>1</v>
      </c>
    </row>
    <row r="170" spans="1:21" x14ac:dyDescent="0.3">
      <c r="A170" t="s">
        <v>77</v>
      </c>
      <c r="B170" t="s">
        <v>78</v>
      </c>
      <c r="C170" s="4" t="s">
        <v>25</v>
      </c>
      <c r="D170" s="1">
        <v>43857</v>
      </c>
      <c r="E170" s="1">
        <v>11577</v>
      </c>
      <c r="F170" s="1">
        <v>4047</v>
      </c>
      <c r="G170" s="1">
        <v>4821</v>
      </c>
      <c r="H170" s="1">
        <v>4061</v>
      </c>
      <c r="I170" s="1">
        <v>3762</v>
      </c>
      <c r="J170" s="1">
        <v>8195</v>
      </c>
      <c r="K170" s="1">
        <v>4373</v>
      </c>
      <c r="L170">
        <v>665</v>
      </c>
      <c r="M170">
        <v>580</v>
      </c>
      <c r="N170">
        <v>512</v>
      </c>
      <c r="O170">
        <v>508</v>
      </c>
      <c r="P170">
        <v>670</v>
      </c>
      <c r="Q170">
        <v>66</v>
      </c>
      <c r="R170">
        <v>12</v>
      </c>
      <c r="S170">
        <v>5</v>
      </c>
      <c r="T170">
        <v>3</v>
      </c>
    </row>
    <row r="171" spans="1:21" x14ac:dyDescent="0.3">
      <c r="A171" t="s">
        <v>77</v>
      </c>
      <c r="B171" t="s">
        <v>79</v>
      </c>
      <c r="C171" s="4" t="s">
        <v>21</v>
      </c>
      <c r="D171" s="1">
        <v>38318</v>
      </c>
      <c r="E171" s="1">
        <v>3680</v>
      </c>
      <c r="F171" s="1">
        <v>2867</v>
      </c>
      <c r="G171" s="1">
        <v>4500</v>
      </c>
      <c r="H171" s="1">
        <v>4463</v>
      </c>
      <c r="I171" s="1">
        <v>3531</v>
      </c>
      <c r="J171" s="1">
        <v>8454</v>
      </c>
      <c r="K171" s="1">
        <v>4907</v>
      </c>
      <c r="L171" s="1">
        <v>1448</v>
      </c>
      <c r="M171" s="1">
        <v>1557</v>
      </c>
      <c r="N171" s="1">
        <v>1405</v>
      </c>
      <c r="O171">
        <v>632</v>
      </c>
      <c r="P171">
        <v>686</v>
      </c>
      <c r="Q171">
        <v>123</v>
      </c>
      <c r="R171">
        <v>37</v>
      </c>
      <c r="S171">
        <v>18</v>
      </c>
      <c r="T171">
        <v>9</v>
      </c>
      <c r="U171">
        <v>1</v>
      </c>
    </row>
    <row r="172" spans="1:21" x14ac:dyDescent="0.3">
      <c r="A172" t="s">
        <v>77</v>
      </c>
      <c r="B172" t="s">
        <v>79</v>
      </c>
      <c r="C172" s="4" t="s">
        <v>24</v>
      </c>
      <c r="D172" s="1">
        <v>17983</v>
      </c>
      <c r="E172" s="1">
        <v>1916</v>
      </c>
      <c r="F172" s="1">
        <v>1466</v>
      </c>
      <c r="G172" s="1">
        <v>2205</v>
      </c>
      <c r="H172" s="1">
        <v>2238</v>
      </c>
      <c r="I172" s="1">
        <v>1733</v>
      </c>
      <c r="J172" s="1">
        <v>3827</v>
      </c>
      <c r="K172" s="1">
        <v>1843</v>
      </c>
      <c r="L172">
        <v>626</v>
      </c>
      <c r="M172">
        <v>839</v>
      </c>
      <c r="N172">
        <v>596</v>
      </c>
      <c r="O172">
        <v>331</v>
      </c>
      <c r="P172">
        <v>287</v>
      </c>
      <c r="Q172">
        <v>50</v>
      </c>
      <c r="R172">
        <v>13</v>
      </c>
      <c r="S172">
        <v>7</v>
      </c>
      <c r="T172">
        <v>6</v>
      </c>
    </row>
    <row r="173" spans="1:21" x14ac:dyDescent="0.3">
      <c r="A173" t="s">
        <v>77</v>
      </c>
      <c r="B173" t="s">
        <v>79</v>
      </c>
      <c r="C173" s="4" t="s">
        <v>25</v>
      </c>
      <c r="D173" s="1">
        <v>20335</v>
      </c>
      <c r="E173" s="1">
        <v>1764</v>
      </c>
      <c r="F173" s="1">
        <v>1401</v>
      </c>
      <c r="G173" s="1">
        <v>2295</v>
      </c>
      <c r="H173" s="1">
        <v>2225</v>
      </c>
      <c r="I173" s="1">
        <v>1798</v>
      </c>
      <c r="J173" s="1">
        <v>4627</v>
      </c>
      <c r="K173" s="1">
        <v>3064</v>
      </c>
      <c r="L173">
        <v>822</v>
      </c>
      <c r="M173">
        <v>718</v>
      </c>
      <c r="N173">
        <v>809</v>
      </c>
      <c r="O173">
        <v>301</v>
      </c>
      <c r="P173">
        <v>399</v>
      </c>
      <c r="Q173">
        <v>73</v>
      </c>
      <c r="R173">
        <v>24</v>
      </c>
      <c r="S173">
        <v>11</v>
      </c>
      <c r="T173">
        <v>3</v>
      </c>
      <c r="U173">
        <v>1</v>
      </c>
    </row>
    <row r="174" spans="1:21" x14ac:dyDescent="0.3">
      <c r="A174" t="s">
        <v>77</v>
      </c>
      <c r="B174" t="s">
        <v>80</v>
      </c>
      <c r="C174" s="4" t="s">
        <v>21</v>
      </c>
      <c r="D174" s="1">
        <v>13608</v>
      </c>
      <c r="E174" s="1">
        <v>1877</v>
      </c>
      <c r="F174">
        <v>843</v>
      </c>
      <c r="G174" s="1">
        <v>1304</v>
      </c>
      <c r="H174" s="1">
        <v>1461</v>
      </c>
      <c r="I174" s="1">
        <v>1362</v>
      </c>
      <c r="J174" s="1">
        <v>3363</v>
      </c>
      <c r="K174" s="1">
        <v>1677</v>
      </c>
      <c r="L174">
        <v>359</v>
      </c>
      <c r="M174">
        <v>350</v>
      </c>
      <c r="N174">
        <v>416</v>
      </c>
      <c r="O174">
        <v>244</v>
      </c>
      <c r="P174">
        <v>248</v>
      </c>
      <c r="Q174">
        <v>79</v>
      </c>
      <c r="R174">
        <v>14</v>
      </c>
      <c r="S174">
        <v>5</v>
      </c>
      <c r="T174">
        <v>5</v>
      </c>
      <c r="U174">
        <v>1</v>
      </c>
    </row>
    <row r="175" spans="1:21" x14ac:dyDescent="0.3">
      <c r="A175" t="s">
        <v>77</v>
      </c>
      <c r="B175" t="s">
        <v>80</v>
      </c>
      <c r="C175" s="4" t="s">
        <v>24</v>
      </c>
      <c r="D175" s="1">
        <v>6085</v>
      </c>
      <c r="E175">
        <v>966</v>
      </c>
      <c r="F175">
        <v>428</v>
      </c>
      <c r="G175">
        <v>659</v>
      </c>
      <c r="H175">
        <v>683</v>
      </c>
      <c r="I175">
        <v>659</v>
      </c>
      <c r="J175" s="1">
        <v>1469</v>
      </c>
      <c r="K175">
        <v>619</v>
      </c>
      <c r="L175">
        <v>128</v>
      </c>
      <c r="M175">
        <v>127</v>
      </c>
      <c r="N175">
        <v>129</v>
      </c>
      <c r="O175">
        <v>106</v>
      </c>
      <c r="P175">
        <v>80</v>
      </c>
      <c r="Q175">
        <v>24</v>
      </c>
      <c r="R175">
        <v>4</v>
      </c>
      <c r="S175">
        <v>1</v>
      </c>
      <c r="T175">
        <v>2</v>
      </c>
      <c r="U175">
        <v>1</v>
      </c>
    </row>
    <row r="176" spans="1:21" x14ac:dyDescent="0.3">
      <c r="A176" t="s">
        <v>77</v>
      </c>
      <c r="B176" t="s">
        <v>80</v>
      </c>
      <c r="C176" s="4" t="s">
        <v>25</v>
      </c>
      <c r="D176" s="1">
        <v>7523</v>
      </c>
      <c r="E176">
        <v>911</v>
      </c>
      <c r="F176">
        <v>415</v>
      </c>
      <c r="G176">
        <v>645</v>
      </c>
      <c r="H176">
        <v>778</v>
      </c>
      <c r="I176">
        <v>703</v>
      </c>
      <c r="J176" s="1">
        <v>1894</v>
      </c>
      <c r="K176" s="1">
        <v>1058</v>
      </c>
      <c r="L176">
        <v>231</v>
      </c>
      <c r="M176">
        <v>223</v>
      </c>
      <c r="N176">
        <v>287</v>
      </c>
      <c r="O176">
        <v>138</v>
      </c>
      <c r="P176">
        <v>168</v>
      </c>
      <c r="Q176">
        <v>55</v>
      </c>
      <c r="R176">
        <v>10</v>
      </c>
      <c r="S176">
        <v>4</v>
      </c>
      <c r="T176">
        <v>3</v>
      </c>
    </row>
    <row r="177" spans="1:21" x14ac:dyDescent="0.3">
      <c r="A177" t="s">
        <v>77</v>
      </c>
      <c r="B177" t="s">
        <v>81</v>
      </c>
      <c r="C177" s="4" t="s">
        <v>21</v>
      </c>
      <c r="D177" s="1">
        <v>8540</v>
      </c>
      <c r="E177">
        <v>926</v>
      </c>
      <c r="F177">
        <v>522</v>
      </c>
      <c r="G177" s="1">
        <v>1071</v>
      </c>
      <c r="H177" s="1">
        <v>1099</v>
      </c>
      <c r="I177">
        <v>957</v>
      </c>
      <c r="J177" s="1">
        <v>2061</v>
      </c>
      <c r="K177">
        <v>983</v>
      </c>
      <c r="L177">
        <v>251</v>
      </c>
      <c r="M177">
        <v>205</v>
      </c>
      <c r="N177">
        <v>219</v>
      </c>
      <c r="O177">
        <v>90</v>
      </c>
      <c r="P177">
        <v>116</v>
      </c>
      <c r="Q177">
        <v>24</v>
      </c>
      <c r="R177">
        <v>9</v>
      </c>
      <c r="S177">
        <v>5</v>
      </c>
      <c r="T177">
        <v>2</v>
      </c>
    </row>
    <row r="178" spans="1:21" x14ac:dyDescent="0.3">
      <c r="A178" t="s">
        <v>77</v>
      </c>
      <c r="B178" t="s">
        <v>81</v>
      </c>
      <c r="C178" s="4" t="s">
        <v>24</v>
      </c>
      <c r="D178" s="1">
        <v>4033</v>
      </c>
      <c r="E178">
        <v>490</v>
      </c>
      <c r="F178">
        <v>284</v>
      </c>
      <c r="G178">
        <v>568</v>
      </c>
      <c r="H178">
        <v>569</v>
      </c>
      <c r="I178">
        <v>410</v>
      </c>
      <c r="J178">
        <v>925</v>
      </c>
      <c r="K178">
        <v>385</v>
      </c>
      <c r="L178">
        <v>118</v>
      </c>
      <c r="M178">
        <v>89</v>
      </c>
      <c r="N178">
        <v>84</v>
      </c>
      <c r="O178">
        <v>43</v>
      </c>
      <c r="P178">
        <v>53</v>
      </c>
      <c r="Q178">
        <v>8</v>
      </c>
      <c r="R178">
        <v>6</v>
      </c>
      <c r="S178">
        <v>1</v>
      </c>
    </row>
    <row r="179" spans="1:21" x14ac:dyDescent="0.3">
      <c r="A179" t="s">
        <v>77</v>
      </c>
      <c r="B179" t="s">
        <v>81</v>
      </c>
      <c r="C179" s="4" t="s">
        <v>25</v>
      </c>
      <c r="D179" s="1">
        <v>4507</v>
      </c>
      <c r="E179">
        <v>436</v>
      </c>
      <c r="F179">
        <v>238</v>
      </c>
      <c r="G179">
        <v>503</v>
      </c>
      <c r="H179">
        <v>530</v>
      </c>
      <c r="I179">
        <v>547</v>
      </c>
      <c r="J179" s="1">
        <v>1136</v>
      </c>
      <c r="K179">
        <v>598</v>
      </c>
      <c r="L179">
        <v>133</v>
      </c>
      <c r="M179">
        <v>116</v>
      </c>
      <c r="N179">
        <v>135</v>
      </c>
      <c r="O179">
        <v>47</v>
      </c>
      <c r="P179">
        <v>63</v>
      </c>
      <c r="Q179">
        <v>16</v>
      </c>
      <c r="R179">
        <v>3</v>
      </c>
      <c r="S179">
        <v>4</v>
      </c>
      <c r="T179">
        <v>2</v>
      </c>
    </row>
    <row r="180" spans="1:21" x14ac:dyDescent="0.3">
      <c r="A180" t="s">
        <v>77</v>
      </c>
      <c r="B180" t="s">
        <v>82</v>
      </c>
      <c r="C180" s="4" t="s">
        <v>21</v>
      </c>
      <c r="D180" s="1">
        <v>8369</v>
      </c>
      <c r="E180" s="1">
        <v>1012</v>
      </c>
      <c r="F180">
        <v>670</v>
      </c>
      <c r="G180">
        <v>879</v>
      </c>
      <c r="H180">
        <v>863</v>
      </c>
      <c r="I180">
        <v>683</v>
      </c>
      <c r="J180" s="1">
        <v>1851</v>
      </c>
      <c r="K180" s="1">
        <v>1183</v>
      </c>
      <c r="L180">
        <v>326</v>
      </c>
      <c r="M180">
        <v>268</v>
      </c>
      <c r="N180">
        <v>262</v>
      </c>
      <c r="O180">
        <v>150</v>
      </c>
      <c r="P180">
        <v>161</v>
      </c>
      <c r="Q180">
        <v>52</v>
      </c>
      <c r="R180">
        <v>3</v>
      </c>
      <c r="S180">
        <v>3</v>
      </c>
      <c r="T180">
        <v>2</v>
      </c>
      <c r="U180">
        <v>1</v>
      </c>
    </row>
    <row r="181" spans="1:21" x14ac:dyDescent="0.3">
      <c r="A181" t="s">
        <v>77</v>
      </c>
      <c r="B181" t="s">
        <v>82</v>
      </c>
      <c r="C181" s="4" t="s">
        <v>24</v>
      </c>
      <c r="D181" s="1">
        <v>3796</v>
      </c>
      <c r="E181">
        <v>579</v>
      </c>
      <c r="F181">
        <v>401</v>
      </c>
      <c r="G181">
        <v>511</v>
      </c>
      <c r="H181">
        <v>441</v>
      </c>
      <c r="I181">
        <v>336</v>
      </c>
      <c r="J181">
        <v>790</v>
      </c>
      <c r="K181">
        <v>367</v>
      </c>
      <c r="L181">
        <v>91</v>
      </c>
      <c r="M181">
        <v>97</v>
      </c>
      <c r="N181">
        <v>79</v>
      </c>
      <c r="O181">
        <v>48</v>
      </c>
      <c r="P181">
        <v>43</v>
      </c>
      <c r="Q181">
        <v>11</v>
      </c>
      <c r="S181">
        <v>1</v>
      </c>
      <c r="T181">
        <v>1</v>
      </c>
    </row>
    <row r="182" spans="1:21" x14ac:dyDescent="0.3">
      <c r="A182" t="s">
        <v>77</v>
      </c>
      <c r="B182" t="s">
        <v>82</v>
      </c>
      <c r="C182" s="4" t="s">
        <v>25</v>
      </c>
      <c r="D182" s="1">
        <v>4573</v>
      </c>
      <c r="E182">
        <v>433</v>
      </c>
      <c r="F182">
        <v>269</v>
      </c>
      <c r="G182">
        <v>368</v>
      </c>
      <c r="H182">
        <v>422</v>
      </c>
      <c r="I182">
        <v>347</v>
      </c>
      <c r="J182" s="1">
        <v>1061</v>
      </c>
      <c r="K182">
        <v>816</v>
      </c>
      <c r="L182">
        <v>235</v>
      </c>
      <c r="M182">
        <v>171</v>
      </c>
      <c r="N182">
        <v>183</v>
      </c>
      <c r="O182">
        <v>102</v>
      </c>
      <c r="P182">
        <v>118</v>
      </c>
      <c r="Q182">
        <v>41</v>
      </c>
      <c r="R182">
        <v>3</v>
      </c>
      <c r="S182">
        <v>2</v>
      </c>
      <c r="T182">
        <v>1</v>
      </c>
      <c r="U182">
        <v>1</v>
      </c>
    </row>
    <row r="183" spans="1:21" x14ac:dyDescent="0.3">
      <c r="A183" t="s">
        <v>77</v>
      </c>
      <c r="B183" t="s">
        <v>83</v>
      </c>
      <c r="C183" s="4" t="s">
        <v>21</v>
      </c>
      <c r="D183" s="1">
        <v>6814</v>
      </c>
      <c r="E183">
        <v>877</v>
      </c>
      <c r="F183">
        <v>557</v>
      </c>
      <c r="G183">
        <v>770</v>
      </c>
      <c r="H183">
        <v>578</v>
      </c>
      <c r="I183">
        <v>661</v>
      </c>
      <c r="J183" s="1">
        <v>1473</v>
      </c>
      <c r="K183">
        <v>808</v>
      </c>
      <c r="L183">
        <v>233</v>
      </c>
      <c r="M183">
        <v>207</v>
      </c>
      <c r="N183">
        <v>243</v>
      </c>
      <c r="O183">
        <v>144</v>
      </c>
      <c r="P183">
        <v>146</v>
      </c>
      <c r="Q183">
        <v>60</v>
      </c>
      <c r="R183">
        <v>27</v>
      </c>
      <c r="S183">
        <v>10</v>
      </c>
      <c r="T183">
        <v>14</v>
      </c>
      <c r="U183">
        <v>6</v>
      </c>
    </row>
    <row r="184" spans="1:21" x14ac:dyDescent="0.3">
      <c r="A184" t="s">
        <v>77</v>
      </c>
      <c r="B184" t="s">
        <v>83</v>
      </c>
      <c r="C184" s="4" t="s">
        <v>24</v>
      </c>
      <c r="D184" s="1">
        <v>2775</v>
      </c>
      <c r="E184">
        <v>415</v>
      </c>
      <c r="F184">
        <v>230</v>
      </c>
      <c r="G184">
        <v>341</v>
      </c>
      <c r="H184">
        <v>271</v>
      </c>
      <c r="I184">
        <v>272</v>
      </c>
      <c r="J184">
        <v>603</v>
      </c>
      <c r="K184">
        <v>267</v>
      </c>
      <c r="L184">
        <v>74</v>
      </c>
      <c r="M184">
        <v>72</v>
      </c>
      <c r="N184">
        <v>71</v>
      </c>
      <c r="O184">
        <v>45</v>
      </c>
      <c r="P184">
        <v>50</v>
      </c>
      <c r="Q184">
        <v>29</v>
      </c>
      <c r="R184">
        <v>16</v>
      </c>
      <c r="S184">
        <v>2</v>
      </c>
      <c r="T184">
        <v>11</v>
      </c>
      <c r="U184">
        <v>6</v>
      </c>
    </row>
    <row r="185" spans="1:21" x14ac:dyDescent="0.3">
      <c r="A185" t="s">
        <v>77</v>
      </c>
      <c r="B185" t="s">
        <v>83</v>
      </c>
      <c r="C185" s="4" t="s">
        <v>25</v>
      </c>
      <c r="D185" s="1">
        <v>4039</v>
      </c>
      <c r="E185">
        <v>462</v>
      </c>
      <c r="F185">
        <v>327</v>
      </c>
      <c r="G185">
        <v>429</v>
      </c>
      <c r="H185">
        <v>307</v>
      </c>
      <c r="I185">
        <v>389</v>
      </c>
      <c r="J185">
        <v>870</v>
      </c>
      <c r="K185">
        <v>541</v>
      </c>
      <c r="L185">
        <v>159</v>
      </c>
      <c r="M185">
        <v>135</v>
      </c>
      <c r="N185">
        <v>172</v>
      </c>
      <c r="O185">
        <v>99</v>
      </c>
      <c r="P185">
        <v>96</v>
      </c>
      <c r="Q185">
        <v>31</v>
      </c>
      <c r="R185">
        <v>11</v>
      </c>
      <c r="S185">
        <v>8</v>
      </c>
      <c r="T185">
        <v>3</v>
      </c>
    </row>
    <row r="186" spans="1:21" x14ac:dyDescent="0.3">
      <c r="A186" t="s">
        <v>77</v>
      </c>
      <c r="B186" t="s">
        <v>84</v>
      </c>
      <c r="C186" s="4" t="s">
        <v>21</v>
      </c>
      <c r="D186" s="1">
        <v>3081</v>
      </c>
      <c r="E186">
        <v>345</v>
      </c>
      <c r="F186">
        <v>208</v>
      </c>
      <c r="G186">
        <v>299</v>
      </c>
      <c r="H186">
        <v>272</v>
      </c>
      <c r="I186">
        <v>278</v>
      </c>
      <c r="J186">
        <v>688</v>
      </c>
      <c r="K186">
        <v>396</v>
      </c>
      <c r="L186">
        <v>77</v>
      </c>
      <c r="M186">
        <v>99</v>
      </c>
      <c r="N186">
        <v>98</v>
      </c>
      <c r="O186">
        <v>109</v>
      </c>
      <c r="P186">
        <v>116</v>
      </c>
      <c r="Q186">
        <v>81</v>
      </c>
      <c r="R186">
        <v>6</v>
      </c>
      <c r="S186">
        <v>5</v>
      </c>
      <c r="T186">
        <v>4</v>
      </c>
    </row>
    <row r="187" spans="1:21" x14ac:dyDescent="0.3">
      <c r="A187" t="s">
        <v>77</v>
      </c>
      <c r="B187" t="s">
        <v>84</v>
      </c>
      <c r="C187" s="4" t="s">
        <v>24</v>
      </c>
      <c r="D187" s="1">
        <v>1416</v>
      </c>
      <c r="E187">
        <v>182</v>
      </c>
      <c r="F187">
        <v>108</v>
      </c>
      <c r="G187">
        <v>145</v>
      </c>
      <c r="H187">
        <v>130</v>
      </c>
      <c r="I187">
        <v>126</v>
      </c>
      <c r="J187">
        <v>297</v>
      </c>
      <c r="K187">
        <v>132</v>
      </c>
      <c r="L187">
        <v>27</v>
      </c>
      <c r="M187">
        <v>45</v>
      </c>
      <c r="N187">
        <v>41</v>
      </c>
      <c r="O187">
        <v>46</v>
      </c>
      <c r="P187">
        <v>66</v>
      </c>
      <c r="Q187">
        <v>65</v>
      </c>
      <c r="R187">
        <v>1</v>
      </c>
      <c r="S187">
        <v>4</v>
      </c>
      <c r="T187">
        <v>1</v>
      </c>
    </row>
    <row r="188" spans="1:21" x14ac:dyDescent="0.3">
      <c r="A188" t="s">
        <v>77</v>
      </c>
      <c r="B188" t="s">
        <v>84</v>
      </c>
      <c r="C188" s="4" t="s">
        <v>25</v>
      </c>
      <c r="D188" s="1">
        <v>1665</v>
      </c>
      <c r="E188">
        <v>163</v>
      </c>
      <c r="F188">
        <v>100</v>
      </c>
      <c r="G188">
        <v>154</v>
      </c>
      <c r="H188">
        <v>142</v>
      </c>
      <c r="I188">
        <v>152</v>
      </c>
      <c r="J188">
        <v>391</v>
      </c>
      <c r="K188">
        <v>264</v>
      </c>
      <c r="L188">
        <v>50</v>
      </c>
      <c r="M188">
        <v>54</v>
      </c>
      <c r="N188">
        <v>57</v>
      </c>
      <c r="O188">
        <v>63</v>
      </c>
      <c r="P188">
        <v>50</v>
      </c>
      <c r="Q188">
        <v>16</v>
      </c>
      <c r="R188">
        <v>5</v>
      </c>
      <c r="S188">
        <v>1</v>
      </c>
      <c r="T188">
        <v>3</v>
      </c>
    </row>
    <row r="189" spans="1:21" x14ac:dyDescent="0.3">
      <c r="A189" t="s">
        <v>77</v>
      </c>
      <c r="B189" t="s">
        <v>85</v>
      </c>
      <c r="C189" s="4" t="s">
        <v>21</v>
      </c>
      <c r="D189" s="1">
        <v>2818</v>
      </c>
      <c r="E189">
        <v>414</v>
      </c>
      <c r="F189">
        <v>196</v>
      </c>
      <c r="G189">
        <v>310</v>
      </c>
      <c r="H189">
        <v>438</v>
      </c>
      <c r="I189">
        <v>280</v>
      </c>
      <c r="J189">
        <v>616</v>
      </c>
      <c r="K189">
        <v>272</v>
      </c>
      <c r="L189">
        <v>79</v>
      </c>
      <c r="M189">
        <v>55</v>
      </c>
      <c r="N189">
        <v>57</v>
      </c>
      <c r="O189">
        <v>37</v>
      </c>
      <c r="P189">
        <v>49</v>
      </c>
      <c r="Q189">
        <v>10</v>
      </c>
      <c r="R189">
        <v>1</v>
      </c>
      <c r="S189">
        <v>4</v>
      </c>
    </row>
    <row r="190" spans="1:21" x14ac:dyDescent="0.3">
      <c r="A190" t="s">
        <v>77</v>
      </c>
      <c r="B190" t="s">
        <v>85</v>
      </c>
      <c r="C190" s="4" t="s">
        <v>24</v>
      </c>
      <c r="D190" s="1">
        <v>1300</v>
      </c>
      <c r="E190">
        <v>216</v>
      </c>
      <c r="F190">
        <v>104</v>
      </c>
      <c r="G190">
        <v>138</v>
      </c>
      <c r="H190">
        <v>207</v>
      </c>
      <c r="I190">
        <v>142</v>
      </c>
      <c r="J190">
        <v>284</v>
      </c>
      <c r="K190">
        <v>103</v>
      </c>
      <c r="L190">
        <v>22</v>
      </c>
      <c r="M190">
        <v>26</v>
      </c>
      <c r="N190">
        <v>21</v>
      </c>
      <c r="O190">
        <v>14</v>
      </c>
      <c r="P190">
        <v>22</v>
      </c>
      <c r="Q190">
        <v>1</v>
      </c>
    </row>
    <row r="191" spans="1:21" x14ac:dyDescent="0.3">
      <c r="A191" t="s">
        <v>77</v>
      </c>
      <c r="B191" t="s">
        <v>85</v>
      </c>
      <c r="C191" s="4" t="s">
        <v>25</v>
      </c>
      <c r="D191" s="1">
        <v>1518</v>
      </c>
      <c r="E191">
        <v>198</v>
      </c>
      <c r="F191">
        <v>92</v>
      </c>
      <c r="G191">
        <v>172</v>
      </c>
      <c r="H191">
        <v>231</v>
      </c>
      <c r="I191">
        <v>138</v>
      </c>
      <c r="J191">
        <v>332</v>
      </c>
      <c r="K191">
        <v>169</v>
      </c>
      <c r="L191">
        <v>57</v>
      </c>
      <c r="M191">
        <v>29</v>
      </c>
      <c r="N191">
        <v>36</v>
      </c>
      <c r="O191">
        <v>23</v>
      </c>
      <c r="P191">
        <v>27</v>
      </c>
      <c r="Q191">
        <v>9</v>
      </c>
      <c r="R191">
        <v>1</v>
      </c>
      <c r="S191">
        <v>4</v>
      </c>
    </row>
    <row r="192" spans="1:21" x14ac:dyDescent="0.3">
      <c r="A192" t="s">
        <v>77</v>
      </c>
      <c r="B192" t="s">
        <v>86</v>
      </c>
      <c r="C192" s="4" t="s">
        <v>21</v>
      </c>
      <c r="D192" s="1">
        <v>1901</v>
      </c>
      <c r="E192">
        <v>198</v>
      </c>
      <c r="F192">
        <v>82</v>
      </c>
      <c r="G192">
        <v>181</v>
      </c>
      <c r="H192">
        <v>215</v>
      </c>
      <c r="I192">
        <v>166</v>
      </c>
      <c r="J192">
        <v>438</v>
      </c>
      <c r="K192">
        <v>237</v>
      </c>
      <c r="L192">
        <v>73</v>
      </c>
      <c r="M192">
        <v>85</v>
      </c>
      <c r="N192">
        <v>106</v>
      </c>
      <c r="O192">
        <v>48</v>
      </c>
      <c r="P192">
        <v>57</v>
      </c>
      <c r="Q192">
        <v>6</v>
      </c>
      <c r="R192">
        <v>4</v>
      </c>
      <c r="S192">
        <v>1</v>
      </c>
      <c r="T192">
        <v>4</v>
      </c>
    </row>
    <row r="193" spans="1:21" x14ac:dyDescent="0.3">
      <c r="A193" t="s">
        <v>77</v>
      </c>
      <c r="B193" t="s">
        <v>86</v>
      </c>
      <c r="C193" s="4" t="s">
        <v>24</v>
      </c>
      <c r="D193">
        <v>802</v>
      </c>
      <c r="E193">
        <v>100</v>
      </c>
      <c r="F193">
        <v>42</v>
      </c>
      <c r="G193">
        <v>86</v>
      </c>
      <c r="H193">
        <v>84</v>
      </c>
      <c r="I193">
        <v>67</v>
      </c>
      <c r="J193">
        <v>201</v>
      </c>
      <c r="K193">
        <v>85</v>
      </c>
      <c r="L193">
        <v>31</v>
      </c>
      <c r="M193">
        <v>37</v>
      </c>
      <c r="N193">
        <v>26</v>
      </c>
      <c r="O193">
        <v>19</v>
      </c>
      <c r="P193">
        <v>18</v>
      </c>
      <c r="Q193">
        <v>4</v>
      </c>
      <c r="R193">
        <v>1</v>
      </c>
      <c r="T193">
        <v>1</v>
      </c>
    </row>
    <row r="194" spans="1:21" x14ac:dyDescent="0.3">
      <c r="A194" t="s">
        <v>77</v>
      </c>
      <c r="B194" t="s">
        <v>86</v>
      </c>
      <c r="C194" s="4" t="s">
        <v>25</v>
      </c>
      <c r="D194" s="1">
        <v>1099</v>
      </c>
      <c r="E194">
        <v>98</v>
      </c>
      <c r="F194">
        <v>40</v>
      </c>
      <c r="G194">
        <v>95</v>
      </c>
      <c r="H194">
        <v>131</v>
      </c>
      <c r="I194">
        <v>99</v>
      </c>
      <c r="J194">
        <v>237</v>
      </c>
      <c r="K194">
        <v>152</v>
      </c>
      <c r="L194">
        <v>42</v>
      </c>
      <c r="M194">
        <v>48</v>
      </c>
      <c r="N194">
        <v>80</v>
      </c>
      <c r="O194">
        <v>29</v>
      </c>
      <c r="P194">
        <v>39</v>
      </c>
      <c r="Q194">
        <v>2</v>
      </c>
      <c r="R194">
        <v>3</v>
      </c>
      <c r="S194">
        <v>1</v>
      </c>
      <c r="T194">
        <v>3</v>
      </c>
    </row>
    <row r="195" spans="1:21" x14ac:dyDescent="0.3">
      <c r="A195" t="s">
        <v>77</v>
      </c>
      <c r="B195" t="s">
        <v>87</v>
      </c>
      <c r="C195" s="4" t="s">
        <v>21</v>
      </c>
      <c r="D195" s="1">
        <v>1772</v>
      </c>
      <c r="E195">
        <v>233</v>
      </c>
      <c r="F195">
        <v>134</v>
      </c>
      <c r="G195">
        <v>226</v>
      </c>
      <c r="H195">
        <v>193</v>
      </c>
      <c r="I195">
        <v>187</v>
      </c>
      <c r="J195">
        <v>436</v>
      </c>
      <c r="K195">
        <v>182</v>
      </c>
      <c r="L195">
        <v>56</v>
      </c>
      <c r="M195">
        <v>24</v>
      </c>
      <c r="N195">
        <v>32</v>
      </c>
      <c r="O195">
        <v>35</v>
      </c>
      <c r="P195">
        <v>24</v>
      </c>
      <c r="Q195">
        <v>7</v>
      </c>
      <c r="R195">
        <v>2</v>
      </c>
      <c r="S195">
        <v>1</v>
      </c>
    </row>
    <row r="196" spans="1:21" x14ac:dyDescent="0.3">
      <c r="A196" t="s">
        <v>77</v>
      </c>
      <c r="B196" t="s">
        <v>87</v>
      </c>
      <c r="C196" s="4" t="s">
        <v>24</v>
      </c>
      <c r="D196">
        <v>920</v>
      </c>
      <c r="E196">
        <v>133</v>
      </c>
      <c r="F196">
        <v>70</v>
      </c>
      <c r="G196">
        <v>129</v>
      </c>
      <c r="H196">
        <v>103</v>
      </c>
      <c r="I196">
        <v>97</v>
      </c>
      <c r="J196">
        <v>225</v>
      </c>
      <c r="K196">
        <v>83</v>
      </c>
      <c r="L196">
        <v>19</v>
      </c>
      <c r="M196">
        <v>10</v>
      </c>
      <c r="N196">
        <v>15</v>
      </c>
      <c r="O196">
        <v>24</v>
      </c>
      <c r="P196">
        <v>8</v>
      </c>
      <c r="Q196">
        <v>2</v>
      </c>
      <c r="R196">
        <v>1</v>
      </c>
      <c r="S196">
        <v>1</v>
      </c>
    </row>
    <row r="197" spans="1:21" x14ac:dyDescent="0.3">
      <c r="A197" t="s">
        <v>77</v>
      </c>
      <c r="B197" t="s">
        <v>87</v>
      </c>
      <c r="C197" s="4" t="s">
        <v>25</v>
      </c>
      <c r="D197">
        <v>852</v>
      </c>
      <c r="E197">
        <v>100</v>
      </c>
      <c r="F197">
        <v>64</v>
      </c>
      <c r="G197">
        <v>97</v>
      </c>
      <c r="H197">
        <v>90</v>
      </c>
      <c r="I197">
        <v>90</v>
      </c>
      <c r="J197">
        <v>211</v>
      </c>
      <c r="K197">
        <v>99</v>
      </c>
      <c r="L197">
        <v>37</v>
      </c>
      <c r="M197">
        <v>14</v>
      </c>
      <c r="N197">
        <v>17</v>
      </c>
      <c r="O197">
        <v>11</v>
      </c>
      <c r="P197">
        <v>16</v>
      </c>
      <c r="Q197">
        <v>5</v>
      </c>
      <c r="R197">
        <v>1</v>
      </c>
    </row>
    <row r="198" spans="1:21" x14ac:dyDescent="0.3">
      <c r="A198" t="s">
        <v>77</v>
      </c>
      <c r="B198" t="s">
        <v>88</v>
      </c>
      <c r="C198" s="4" t="s">
        <v>21</v>
      </c>
      <c r="D198" s="1">
        <v>1719</v>
      </c>
      <c r="E198">
        <v>401</v>
      </c>
      <c r="F198">
        <v>75</v>
      </c>
      <c r="G198">
        <v>179</v>
      </c>
      <c r="H198">
        <v>208</v>
      </c>
      <c r="I198">
        <v>158</v>
      </c>
      <c r="J198">
        <v>348</v>
      </c>
      <c r="K198">
        <v>162</v>
      </c>
      <c r="L198">
        <v>45</v>
      </c>
      <c r="M198">
        <v>40</v>
      </c>
      <c r="N198">
        <v>21</v>
      </c>
      <c r="O198">
        <v>34</v>
      </c>
      <c r="P198">
        <v>29</v>
      </c>
      <c r="Q198">
        <v>12</v>
      </c>
      <c r="R198">
        <v>2</v>
      </c>
      <c r="S198">
        <v>3</v>
      </c>
      <c r="T198">
        <v>2</v>
      </c>
    </row>
    <row r="199" spans="1:21" x14ac:dyDescent="0.3">
      <c r="A199" t="s">
        <v>77</v>
      </c>
      <c r="B199" t="s">
        <v>88</v>
      </c>
      <c r="C199" s="4" t="s">
        <v>24</v>
      </c>
      <c r="D199">
        <v>769</v>
      </c>
      <c r="E199">
        <v>200</v>
      </c>
      <c r="F199">
        <v>40</v>
      </c>
      <c r="G199">
        <v>74</v>
      </c>
      <c r="H199">
        <v>97</v>
      </c>
      <c r="I199">
        <v>78</v>
      </c>
      <c r="J199">
        <v>130</v>
      </c>
      <c r="K199">
        <v>62</v>
      </c>
      <c r="L199">
        <v>21</v>
      </c>
      <c r="M199">
        <v>27</v>
      </c>
      <c r="N199">
        <v>9</v>
      </c>
      <c r="O199">
        <v>11</v>
      </c>
      <c r="P199">
        <v>11</v>
      </c>
      <c r="Q199">
        <v>5</v>
      </c>
      <c r="R199">
        <v>2</v>
      </c>
      <c r="S199">
        <v>1</v>
      </c>
      <c r="T199">
        <v>1</v>
      </c>
    </row>
    <row r="200" spans="1:21" x14ac:dyDescent="0.3">
      <c r="A200" t="s">
        <v>77</v>
      </c>
      <c r="B200" t="s">
        <v>88</v>
      </c>
      <c r="C200" s="4" t="s">
        <v>25</v>
      </c>
      <c r="D200">
        <v>950</v>
      </c>
      <c r="E200">
        <v>201</v>
      </c>
      <c r="F200">
        <v>35</v>
      </c>
      <c r="G200">
        <v>105</v>
      </c>
      <c r="H200">
        <v>111</v>
      </c>
      <c r="I200">
        <v>80</v>
      </c>
      <c r="J200">
        <v>218</v>
      </c>
      <c r="K200">
        <v>100</v>
      </c>
      <c r="L200">
        <v>24</v>
      </c>
      <c r="M200">
        <v>13</v>
      </c>
      <c r="N200">
        <v>12</v>
      </c>
      <c r="O200">
        <v>23</v>
      </c>
      <c r="P200">
        <v>18</v>
      </c>
      <c r="Q200">
        <v>7</v>
      </c>
      <c r="S200">
        <v>2</v>
      </c>
      <c r="T200">
        <v>1</v>
      </c>
    </row>
    <row r="201" spans="1:21" x14ac:dyDescent="0.3">
      <c r="A201" t="s">
        <v>77</v>
      </c>
      <c r="B201" t="s">
        <v>89</v>
      </c>
      <c r="C201" s="4" t="s">
        <v>21</v>
      </c>
      <c r="D201" s="1">
        <v>1709</v>
      </c>
      <c r="E201">
        <v>242</v>
      </c>
      <c r="F201">
        <v>166</v>
      </c>
      <c r="G201">
        <v>158</v>
      </c>
      <c r="H201">
        <v>192</v>
      </c>
      <c r="I201">
        <v>189</v>
      </c>
      <c r="J201">
        <v>289</v>
      </c>
      <c r="K201">
        <v>169</v>
      </c>
      <c r="L201">
        <v>39</v>
      </c>
      <c r="M201">
        <v>41</v>
      </c>
      <c r="N201">
        <v>63</v>
      </c>
      <c r="O201">
        <v>57</v>
      </c>
      <c r="P201">
        <v>84</v>
      </c>
      <c r="Q201">
        <v>15</v>
      </c>
      <c r="R201">
        <v>1</v>
      </c>
      <c r="S201">
        <v>4</v>
      </c>
    </row>
    <row r="202" spans="1:21" x14ac:dyDescent="0.3">
      <c r="A202" t="s">
        <v>77</v>
      </c>
      <c r="B202" t="s">
        <v>89</v>
      </c>
      <c r="C202" s="4" t="s">
        <v>24</v>
      </c>
      <c r="D202">
        <v>862</v>
      </c>
      <c r="E202">
        <v>151</v>
      </c>
      <c r="F202">
        <v>100</v>
      </c>
      <c r="G202">
        <v>79</v>
      </c>
      <c r="H202">
        <v>79</v>
      </c>
      <c r="I202">
        <v>81</v>
      </c>
      <c r="J202">
        <v>131</v>
      </c>
      <c r="K202">
        <v>76</v>
      </c>
      <c r="L202">
        <v>18</v>
      </c>
      <c r="M202">
        <v>28</v>
      </c>
      <c r="N202">
        <v>48</v>
      </c>
      <c r="O202">
        <v>27</v>
      </c>
      <c r="P202">
        <v>37</v>
      </c>
      <c r="Q202">
        <v>5</v>
      </c>
      <c r="S202">
        <v>2</v>
      </c>
    </row>
    <row r="203" spans="1:21" x14ac:dyDescent="0.3">
      <c r="A203" t="s">
        <v>77</v>
      </c>
      <c r="B203" t="s">
        <v>89</v>
      </c>
      <c r="C203" s="4" t="s">
        <v>25</v>
      </c>
      <c r="D203">
        <v>847</v>
      </c>
      <c r="E203">
        <v>91</v>
      </c>
      <c r="F203">
        <v>66</v>
      </c>
      <c r="G203">
        <v>79</v>
      </c>
      <c r="H203">
        <v>113</v>
      </c>
      <c r="I203">
        <v>108</v>
      </c>
      <c r="J203">
        <v>158</v>
      </c>
      <c r="K203">
        <v>93</v>
      </c>
      <c r="L203">
        <v>21</v>
      </c>
      <c r="M203">
        <v>13</v>
      </c>
      <c r="N203">
        <v>15</v>
      </c>
      <c r="O203">
        <v>30</v>
      </c>
      <c r="P203">
        <v>47</v>
      </c>
      <c r="Q203">
        <v>10</v>
      </c>
      <c r="R203">
        <v>1</v>
      </c>
      <c r="S203">
        <v>2</v>
      </c>
    </row>
    <row r="204" spans="1:21" x14ac:dyDescent="0.3">
      <c r="A204" t="s">
        <v>77</v>
      </c>
      <c r="B204" t="s">
        <v>90</v>
      </c>
      <c r="C204" s="4" t="s">
        <v>21</v>
      </c>
      <c r="D204">
        <v>977</v>
      </c>
      <c r="E204">
        <v>65</v>
      </c>
      <c r="F204">
        <v>33</v>
      </c>
      <c r="G204">
        <v>75</v>
      </c>
      <c r="H204">
        <v>309</v>
      </c>
      <c r="I204">
        <v>78</v>
      </c>
      <c r="J204">
        <v>220</v>
      </c>
      <c r="K204">
        <v>79</v>
      </c>
      <c r="L204">
        <v>20</v>
      </c>
      <c r="M204">
        <v>28</v>
      </c>
      <c r="N204">
        <v>29</v>
      </c>
      <c r="O204">
        <v>23</v>
      </c>
      <c r="P204">
        <v>10</v>
      </c>
      <c r="Q204">
        <v>8</v>
      </c>
    </row>
    <row r="205" spans="1:21" x14ac:dyDescent="0.3">
      <c r="A205" t="s">
        <v>77</v>
      </c>
      <c r="B205" t="s">
        <v>90</v>
      </c>
      <c r="C205" s="4" t="s">
        <v>24</v>
      </c>
      <c r="D205">
        <v>404</v>
      </c>
      <c r="E205">
        <v>31</v>
      </c>
      <c r="F205">
        <v>18</v>
      </c>
      <c r="G205">
        <v>45</v>
      </c>
      <c r="H205">
        <v>126</v>
      </c>
      <c r="I205">
        <v>39</v>
      </c>
      <c r="J205">
        <v>96</v>
      </c>
      <c r="K205">
        <v>17</v>
      </c>
      <c r="L205">
        <v>6</v>
      </c>
      <c r="M205">
        <v>7</v>
      </c>
      <c r="N205">
        <v>9</v>
      </c>
      <c r="O205">
        <v>6</v>
      </c>
      <c r="P205">
        <v>2</v>
      </c>
      <c r="Q205">
        <v>2</v>
      </c>
    </row>
    <row r="206" spans="1:21" x14ac:dyDescent="0.3">
      <c r="A206" t="s">
        <v>77</v>
      </c>
      <c r="B206" t="s">
        <v>90</v>
      </c>
      <c r="C206" s="4" t="s">
        <v>25</v>
      </c>
      <c r="D206">
        <v>573</v>
      </c>
      <c r="E206">
        <v>34</v>
      </c>
      <c r="F206">
        <v>15</v>
      </c>
      <c r="G206">
        <v>30</v>
      </c>
      <c r="H206">
        <v>183</v>
      </c>
      <c r="I206">
        <v>39</v>
      </c>
      <c r="J206">
        <v>124</v>
      </c>
      <c r="K206">
        <v>62</v>
      </c>
      <c r="L206">
        <v>14</v>
      </c>
      <c r="M206">
        <v>21</v>
      </c>
      <c r="N206">
        <v>20</v>
      </c>
      <c r="O206">
        <v>17</v>
      </c>
      <c r="P206">
        <v>8</v>
      </c>
      <c r="Q206">
        <v>6</v>
      </c>
    </row>
    <row r="207" spans="1:21" x14ac:dyDescent="0.3">
      <c r="A207" t="s">
        <v>77</v>
      </c>
      <c r="B207" t="s">
        <v>91</v>
      </c>
      <c r="C207" s="4" t="s">
        <v>21</v>
      </c>
      <c r="D207">
        <v>972</v>
      </c>
      <c r="E207">
        <v>92</v>
      </c>
      <c r="F207">
        <v>67</v>
      </c>
      <c r="G207">
        <v>103</v>
      </c>
      <c r="H207">
        <v>88</v>
      </c>
      <c r="I207">
        <v>71</v>
      </c>
      <c r="J207">
        <v>264</v>
      </c>
      <c r="K207">
        <v>170</v>
      </c>
      <c r="L207">
        <v>18</v>
      </c>
      <c r="M207">
        <v>22</v>
      </c>
      <c r="N207">
        <v>18</v>
      </c>
      <c r="O207">
        <v>26</v>
      </c>
      <c r="P207">
        <v>14</v>
      </c>
      <c r="Q207">
        <v>16</v>
      </c>
      <c r="R207">
        <v>1</v>
      </c>
      <c r="T207">
        <v>1</v>
      </c>
      <c r="U207">
        <v>1</v>
      </c>
    </row>
    <row r="208" spans="1:21" x14ac:dyDescent="0.3">
      <c r="A208" t="s">
        <v>77</v>
      </c>
      <c r="B208" t="s">
        <v>91</v>
      </c>
      <c r="C208" s="4" t="s">
        <v>24</v>
      </c>
      <c r="D208">
        <v>453</v>
      </c>
      <c r="E208">
        <v>46</v>
      </c>
      <c r="F208">
        <v>34</v>
      </c>
      <c r="G208">
        <v>58</v>
      </c>
      <c r="H208">
        <v>45</v>
      </c>
      <c r="I208">
        <v>35</v>
      </c>
      <c r="J208">
        <v>130</v>
      </c>
      <c r="K208">
        <v>64</v>
      </c>
      <c r="L208">
        <v>5</v>
      </c>
      <c r="M208">
        <v>12</v>
      </c>
      <c r="N208">
        <v>5</v>
      </c>
      <c r="O208">
        <v>6</v>
      </c>
      <c r="P208">
        <v>4</v>
      </c>
      <c r="Q208">
        <v>9</v>
      </c>
    </row>
    <row r="209" spans="1:21" x14ac:dyDescent="0.3">
      <c r="A209" t="s">
        <v>77</v>
      </c>
      <c r="B209" t="s">
        <v>91</v>
      </c>
      <c r="C209" s="4" t="s">
        <v>25</v>
      </c>
      <c r="D209">
        <v>519</v>
      </c>
      <c r="E209">
        <v>46</v>
      </c>
      <c r="F209">
        <v>33</v>
      </c>
      <c r="G209">
        <v>45</v>
      </c>
      <c r="H209">
        <v>43</v>
      </c>
      <c r="I209">
        <v>36</v>
      </c>
      <c r="J209">
        <v>134</v>
      </c>
      <c r="K209">
        <v>106</v>
      </c>
      <c r="L209">
        <v>13</v>
      </c>
      <c r="M209">
        <v>10</v>
      </c>
      <c r="N209">
        <v>13</v>
      </c>
      <c r="O209">
        <v>20</v>
      </c>
      <c r="P209">
        <v>10</v>
      </c>
      <c r="Q209">
        <v>7</v>
      </c>
      <c r="R209">
        <v>1</v>
      </c>
      <c r="T209">
        <v>1</v>
      </c>
      <c r="U209">
        <v>1</v>
      </c>
    </row>
    <row r="210" spans="1:21" x14ac:dyDescent="0.3">
      <c r="A210" t="s">
        <v>77</v>
      </c>
      <c r="B210" t="s">
        <v>92</v>
      </c>
      <c r="C210" s="4" t="s">
        <v>21</v>
      </c>
      <c r="D210">
        <v>943</v>
      </c>
      <c r="E210">
        <v>102</v>
      </c>
      <c r="F210">
        <v>65</v>
      </c>
      <c r="G210">
        <v>90</v>
      </c>
      <c r="H210">
        <v>103</v>
      </c>
      <c r="I210">
        <v>96</v>
      </c>
      <c r="J210">
        <v>211</v>
      </c>
      <c r="K210">
        <v>119</v>
      </c>
      <c r="L210">
        <v>71</v>
      </c>
      <c r="M210">
        <v>14</v>
      </c>
      <c r="N210">
        <v>14</v>
      </c>
      <c r="O210">
        <v>26</v>
      </c>
      <c r="P210">
        <v>19</v>
      </c>
      <c r="Q210">
        <v>8</v>
      </c>
      <c r="R210">
        <v>1</v>
      </c>
      <c r="S210">
        <v>2</v>
      </c>
      <c r="T210">
        <v>2</v>
      </c>
    </row>
    <row r="211" spans="1:21" x14ac:dyDescent="0.3">
      <c r="A211" t="s">
        <v>77</v>
      </c>
      <c r="B211" t="s">
        <v>92</v>
      </c>
      <c r="C211" s="4" t="s">
        <v>24</v>
      </c>
      <c r="D211">
        <v>437</v>
      </c>
      <c r="E211">
        <v>62</v>
      </c>
      <c r="F211">
        <v>30</v>
      </c>
      <c r="G211">
        <v>41</v>
      </c>
      <c r="H211">
        <v>50</v>
      </c>
      <c r="I211">
        <v>42</v>
      </c>
      <c r="J211">
        <v>90</v>
      </c>
      <c r="K211">
        <v>54</v>
      </c>
      <c r="L211">
        <v>28</v>
      </c>
      <c r="M211">
        <v>4</v>
      </c>
      <c r="N211">
        <v>9</v>
      </c>
      <c r="O211">
        <v>14</v>
      </c>
      <c r="P211">
        <v>8</v>
      </c>
      <c r="Q211">
        <v>4</v>
      </c>
      <c r="T211">
        <v>1</v>
      </c>
    </row>
    <row r="212" spans="1:21" x14ac:dyDescent="0.3">
      <c r="A212" t="s">
        <v>77</v>
      </c>
      <c r="B212" t="s">
        <v>92</v>
      </c>
      <c r="C212" s="4" t="s">
        <v>25</v>
      </c>
      <c r="D212">
        <v>506</v>
      </c>
      <c r="E212">
        <v>40</v>
      </c>
      <c r="F212">
        <v>35</v>
      </c>
      <c r="G212">
        <v>49</v>
      </c>
      <c r="H212">
        <v>53</v>
      </c>
      <c r="I212">
        <v>54</v>
      </c>
      <c r="J212">
        <v>121</v>
      </c>
      <c r="K212">
        <v>65</v>
      </c>
      <c r="L212">
        <v>43</v>
      </c>
      <c r="M212">
        <v>10</v>
      </c>
      <c r="N212">
        <v>5</v>
      </c>
      <c r="O212">
        <v>12</v>
      </c>
      <c r="P212">
        <v>11</v>
      </c>
      <c r="Q212">
        <v>4</v>
      </c>
      <c r="R212">
        <v>1</v>
      </c>
      <c r="S212">
        <v>2</v>
      </c>
      <c r="T212">
        <v>1</v>
      </c>
    </row>
    <row r="213" spans="1:21" x14ac:dyDescent="0.3">
      <c r="A213" t="s">
        <v>77</v>
      </c>
      <c r="B213" t="s">
        <v>93</v>
      </c>
      <c r="C213" s="4" t="s">
        <v>21</v>
      </c>
      <c r="D213">
        <v>858</v>
      </c>
      <c r="E213">
        <v>35</v>
      </c>
      <c r="F213">
        <v>24</v>
      </c>
      <c r="G213">
        <v>45</v>
      </c>
      <c r="H213">
        <v>135</v>
      </c>
      <c r="I213">
        <v>79</v>
      </c>
      <c r="J213">
        <v>170</v>
      </c>
      <c r="K213">
        <v>196</v>
      </c>
      <c r="L213">
        <v>54</v>
      </c>
      <c r="M213">
        <v>29</v>
      </c>
      <c r="N213">
        <v>16</v>
      </c>
      <c r="O213">
        <v>35</v>
      </c>
      <c r="P213">
        <v>18</v>
      </c>
      <c r="Q213">
        <v>11</v>
      </c>
      <c r="R213">
        <v>6</v>
      </c>
      <c r="S213">
        <v>3</v>
      </c>
      <c r="T213">
        <v>2</v>
      </c>
    </row>
    <row r="214" spans="1:21" x14ac:dyDescent="0.3">
      <c r="A214" t="s">
        <v>77</v>
      </c>
      <c r="B214" t="s">
        <v>93</v>
      </c>
      <c r="C214" s="4" t="s">
        <v>24</v>
      </c>
      <c r="D214">
        <v>410</v>
      </c>
      <c r="E214">
        <v>21</v>
      </c>
      <c r="F214">
        <v>14</v>
      </c>
      <c r="G214">
        <v>18</v>
      </c>
      <c r="H214">
        <v>101</v>
      </c>
      <c r="I214">
        <v>34</v>
      </c>
      <c r="J214">
        <v>64</v>
      </c>
      <c r="K214">
        <v>88</v>
      </c>
      <c r="L214">
        <v>19</v>
      </c>
      <c r="M214">
        <v>13</v>
      </c>
      <c r="N214">
        <v>6</v>
      </c>
      <c r="O214">
        <v>15</v>
      </c>
      <c r="P214">
        <v>7</v>
      </c>
      <c r="Q214">
        <v>6</v>
      </c>
      <c r="R214">
        <v>3</v>
      </c>
      <c r="T214">
        <v>1</v>
      </c>
    </row>
    <row r="215" spans="1:21" x14ac:dyDescent="0.3">
      <c r="A215" t="s">
        <v>77</v>
      </c>
      <c r="B215" t="s">
        <v>93</v>
      </c>
      <c r="C215" s="4" t="s">
        <v>25</v>
      </c>
      <c r="D215">
        <v>448</v>
      </c>
      <c r="E215">
        <v>14</v>
      </c>
      <c r="F215">
        <v>10</v>
      </c>
      <c r="G215">
        <v>27</v>
      </c>
      <c r="H215">
        <v>34</v>
      </c>
      <c r="I215">
        <v>45</v>
      </c>
      <c r="J215">
        <v>106</v>
      </c>
      <c r="K215">
        <v>108</v>
      </c>
      <c r="L215">
        <v>35</v>
      </c>
      <c r="M215">
        <v>16</v>
      </c>
      <c r="N215">
        <v>10</v>
      </c>
      <c r="O215">
        <v>20</v>
      </c>
      <c r="P215">
        <v>11</v>
      </c>
      <c r="Q215">
        <v>5</v>
      </c>
      <c r="R215">
        <v>3</v>
      </c>
      <c r="S215">
        <v>3</v>
      </c>
      <c r="T215">
        <v>1</v>
      </c>
    </row>
    <row r="216" spans="1:21" x14ac:dyDescent="0.3">
      <c r="A216" t="s">
        <v>77</v>
      </c>
      <c r="B216" t="s">
        <v>94</v>
      </c>
      <c r="C216" s="4" t="s">
        <v>21</v>
      </c>
      <c r="D216">
        <v>788</v>
      </c>
      <c r="E216">
        <v>68</v>
      </c>
      <c r="F216">
        <v>61</v>
      </c>
      <c r="G216">
        <v>117</v>
      </c>
      <c r="H216">
        <v>111</v>
      </c>
      <c r="I216">
        <v>79</v>
      </c>
      <c r="J216">
        <v>196</v>
      </c>
      <c r="K216">
        <v>73</v>
      </c>
      <c r="L216">
        <v>27</v>
      </c>
      <c r="M216">
        <v>26</v>
      </c>
      <c r="N216">
        <v>12</v>
      </c>
      <c r="O216">
        <v>10</v>
      </c>
      <c r="P216">
        <v>8</v>
      </c>
    </row>
    <row r="217" spans="1:21" x14ac:dyDescent="0.3">
      <c r="A217" t="s">
        <v>77</v>
      </c>
      <c r="B217" t="s">
        <v>94</v>
      </c>
      <c r="C217" s="4" t="s">
        <v>24</v>
      </c>
      <c r="D217">
        <v>502</v>
      </c>
      <c r="E217">
        <v>47</v>
      </c>
      <c r="F217">
        <v>42</v>
      </c>
      <c r="G217">
        <v>71</v>
      </c>
      <c r="H217">
        <v>72</v>
      </c>
      <c r="I217">
        <v>49</v>
      </c>
      <c r="J217">
        <v>120</v>
      </c>
      <c r="K217">
        <v>48</v>
      </c>
      <c r="L217">
        <v>19</v>
      </c>
      <c r="M217">
        <v>18</v>
      </c>
      <c r="N217">
        <v>7</v>
      </c>
      <c r="O217">
        <v>5</v>
      </c>
      <c r="P217">
        <v>4</v>
      </c>
    </row>
    <row r="218" spans="1:21" x14ac:dyDescent="0.3">
      <c r="A218" t="s">
        <v>77</v>
      </c>
      <c r="B218" t="s">
        <v>94</v>
      </c>
      <c r="C218" s="4" t="s">
        <v>25</v>
      </c>
      <c r="D218">
        <v>286</v>
      </c>
      <c r="E218">
        <v>21</v>
      </c>
      <c r="F218">
        <v>19</v>
      </c>
      <c r="G218">
        <v>46</v>
      </c>
      <c r="H218">
        <v>39</v>
      </c>
      <c r="I218">
        <v>30</v>
      </c>
      <c r="J218">
        <v>76</v>
      </c>
      <c r="K218">
        <v>25</v>
      </c>
      <c r="L218">
        <v>8</v>
      </c>
      <c r="M218">
        <v>8</v>
      </c>
      <c r="N218">
        <v>5</v>
      </c>
      <c r="O218">
        <v>5</v>
      </c>
      <c r="P218">
        <v>4</v>
      </c>
    </row>
    <row r="219" spans="1:21" x14ac:dyDescent="0.3">
      <c r="A219" t="s">
        <v>77</v>
      </c>
      <c r="B219" t="s">
        <v>95</v>
      </c>
      <c r="C219" s="4" t="s">
        <v>21</v>
      </c>
      <c r="D219">
        <v>635</v>
      </c>
      <c r="E219">
        <v>47</v>
      </c>
      <c r="F219">
        <v>65</v>
      </c>
      <c r="G219">
        <v>67</v>
      </c>
      <c r="H219">
        <v>63</v>
      </c>
      <c r="I219">
        <v>75</v>
      </c>
      <c r="J219">
        <v>190</v>
      </c>
      <c r="K219">
        <v>66</v>
      </c>
      <c r="L219">
        <v>17</v>
      </c>
      <c r="M219">
        <v>16</v>
      </c>
      <c r="N219">
        <v>19</v>
      </c>
      <c r="O219">
        <v>5</v>
      </c>
      <c r="P219">
        <v>3</v>
      </c>
      <c r="R219">
        <v>2</v>
      </c>
    </row>
    <row r="220" spans="1:21" x14ac:dyDescent="0.3">
      <c r="A220" t="s">
        <v>77</v>
      </c>
      <c r="B220" t="s">
        <v>95</v>
      </c>
      <c r="C220" s="4" t="s">
        <v>24</v>
      </c>
      <c r="D220">
        <v>426</v>
      </c>
      <c r="E220">
        <v>44</v>
      </c>
      <c r="F220">
        <v>52</v>
      </c>
      <c r="G220">
        <v>51</v>
      </c>
      <c r="H220">
        <v>45</v>
      </c>
      <c r="I220">
        <v>52</v>
      </c>
      <c r="J220">
        <v>105</v>
      </c>
      <c r="K220">
        <v>44</v>
      </c>
      <c r="L220">
        <v>10</v>
      </c>
      <c r="M220">
        <v>8</v>
      </c>
      <c r="N220">
        <v>12</v>
      </c>
      <c r="O220">
        <v>2</v>
      </c>
      <c r="P220">
        <v>1</v>
      </c>
    </row>
    <row r="221" spans="1:21" x14ac:dyDescent="0.3">
      <c r="A221" t="s">
        <v>77</v>
      </c>
      <c r="B221" t="s">
        <v>95</v>
      </c>
      <c r="C221" s="4" t="s">
        <v>25</v>
      </c>
      <c r="D221">
        <v>209</v>
      </c>
      <c r="E221">
        <v>3</v>
      </c>
      <c r="F221">
        <v>13</v>
      </c>
      <c r="G221">
        <v>16</v>
      </c>
      <c r="H221">
        <v>18</v>
      </c>
      <c r="I221">
        <v>23</v>
      </c>
      <c r="J221">
        <v>85</v>
      </c>
      <c r="K221">
        <v>22</v>
      </c>
      <c r="L221">
        <v>7</v>
      </c>
      <c r="M221">
        <v>8</v>
      </c>
      <c r="N221">
        <v>7</v>
      </c>
      <c r="O221">
        <v>3</v>
      </c>
      <c r="P221">
        <v>2</v>
      </c>
      <c r="R221">
        <v>2</v>
      </c>
    </row>
    <row r="222" spans="1:21" x14ac:dyDescent="0.3">
      <c r="A222" t="s">
        <v>77</v>
      </c>
      <c r="B222" t="s">
        <v>96</v>
      </c>
      <c r="C222" s="4" t="s">
        <v>21</v>
      </c>
      <c r="D222">
        <v>606</v>
      </c>
      <c r="E222">
        <v>139</v>
      </c>
      <c r="F222">
        <v>34</v>
      </c>
      <c r="G222">
        <v>74</v>
      </c>
      <c r="H222">
        <v>51</v>
      </c>
      <c r="I222">
        <v>47</v>
      </c>
      <c r="J222">
        <v>137</v>
      </c>
      <c r="K222">
        <v>60</v>
      </c>
      <c r="L222">
        <v>5</v>
      </c>
      <c r="M222">
        <v>5</v>
      </c>
      <c r="N222">
        <v>18</v>
      </c>
      <c r="O222">
        <v>15</v>
      </c>
      <c r="P222">
        <v>13</v>
      </c>
      <c r="Q222">
        <v>8</v>
      </c>
    </row>
    <row r="223" spans="1:21" x14ac:dyDescent="0.3">
      <c r="A223" t="s">
        <v>77</v>
      </c>
      <c r="B223" t="s">
        <v>96</v>
      </c>
      <c r="C223" s="4" t="s">
        <v>24</v>
      </c>
      <c r="D223">
        <v>248</v>
      </c>
      <c r="E223">
        <v>68</v>
      </c>
      <c r="F223">
        <v>18</v>
      </c>
      <c r="G223">
        <v>26</v>
      </c>
      <c r="H223">
        <v>18</v>
      </c>
      <c r="I223">
        <v>14</v>
      </c>
      <c r="J223">
        <v>57</v>
      </c>
      <c r="K223">
        <v>24</v>
      </c>
      <c r="L223">
        <v>3</v>
      </c>
      <c r="M223">
        <v>4</v>
      </c>
      <c r="N223">
        <v>5</v>
      </c>
      <c r="O223">
        <v>5</v>
      </c>
      <c r="P223">
        <v>3</v>
      </c>
      <c r="Q223">
        <v>3</v>
      </c>
    </row>
    <row r="224" spans="1:21" x14ac:dyDescent="0.3">
      <c r="A224" t="s">
        <v>77</v>
      </c>
      <c r="B224" t="s">
        <v>96</v>
      </c>
      <c r="C224" s="4" t="s">
        <v>25</v>
      </c>
      <c r="D224">
        <v>358</v>
      </c>
      <c r="E224">
        <v>71</v>
      </c>
      <c r="F224">
        <v>16</v>
      </c>
      <c r="G224">
        <v>48</v>
      </c>
      <c r="H224">
        <v>33</v>
      </c>
      <c r="I224">
        <v>33</v>
      </c>
      <c r="J224">
        <v>80</v>
      </c>
      <c r="K224">
        <v>36</v>
      </c>
      <c r="L224">
        <v>2</v>
      </c>
      <c r="M224">
        <v>1</v>
      </c>
      <c r="N224">
        <v>13</v>
      </c>
      <c r="O224">
        <v>10</v>
      </c>
      <c r="P224">
        <v>10</v>
      </c>
      <c r="Q224">
        <v>5</v>
      </c>
    </row>
    <row r="225" spans="1:21" x14ac:dyDescent="0.3">
      <c r="A225" t="s">
        <v>77</v>
      </c>
      <c r="B225" t="s">
        <v>97</v>
      </c>
      <c r="C225" s="4" t="s">
        <v>21</v>
      </c>
      <c r="D225">
        <v>583</v>
      </c>
      <c r="E225">
        <v>16</v>
      </c>
      <c r="F225">
        <v>20</v>
      </c>
      <c r="G225">
        <v>27</v>
      </c>
      <c r="H225">
        <v>30</v>
      </c>
      <c r="I225">
        <v>59</v>
      </c>
      <c r="J225">
        <v>99</v>
      </c>
      <c r="K225">
        <v>159</v>
      </c>
      <c r="L225">
        <v>76</v>
      </c>
      <c r="M225">
        <v>34</v>
      </c>
      <c r="N225">
        <v>22</v>
      </c>
      <c r="O225">
        <v>7</v>
      </c>
      <c r="P225">
        <v>20</v>
      </c>
      <c r="Q225">
        <v>9</v>
      </c>
      <c r="R225">
        <v>1</v>
      </c>
      <c r="S225">
        <v>2</v>
      </c>
      <c r="T225">
        <v>2</v>
      </c>
    </row>
    <row r="226" spans="1:21" x14ac:dyDescent="0.3">
      <c r="A226" t="s">
        <v>77</v>
      </c>
      <c r="B226" t="s">
        <v>97</v>
      </c>
      <c r="C226" s="4" t="s">
        <v>24</v>
      </c>
      <c r="D226">
        <v>294</v>
      </c>
      <c r="E226">
        <v>11</v>
      </c>
      <c r="F226">
        <v>14</v>
      </c>
      <c r="G226">
        <v>10</v>
      </c>
      <c r="H226">
        <v>12</v>
      </c>
      <c r="I226">
        <v>46</v>
      </c>
      <c r="J226">
        <v>50</v>
      </c>
      <c r="K226">
        <v>84</v>
      </c>
      <c r="L226">
        <v>30</v>
      </c>
      <c r="M226">
        <v>12</v>
      </c>
      <c r="N226">
        <v>7</v>
      </c>
      <c r="O226">
        <v>4</v>
      </c>
      <c r="P226">
        <v>9</v>
      </c>
      <c r="Q226">
        <v>3</v>
      </c>
      <c r="S226">
        <v>1</v>
      </c>
      <c r="T226">
        <v>1</v>
      </c>
    </row>
    <row r="227" spans="1:21" x14ac:dyDescent="0.3">
      <c r="A227" t="s">
        <v>77</v>
      </c>
      <c r="B227" t="s">
        <v>97</v>
      </c>
      <c r="C227" s="4" t="s">
        <v>25</v>
      </c>
      <c r="D227">
        <v>289</v>
      </c>
      <c r="E227">
        <v>5</v>
      </c>
      <c r="F227">
        <v>6</v>
      </c>
      <c r="G227">
        <v>17</v>
      </c>
      <c r="H227">
        <v>18</v>
      </c>
      <c r="I227">
        <v>13</v>
      </c>
      <c r="J227">
        <v>49</v>
      </c>
      <c r="K227">
        <v>75</v>
      </c>
      <c r="L227">
        <v>46</v>
      </c>
      <c r="M227">
        <v>22</v>
      </c>
      <c r="N227">
        <v>15</v>
      </c>
      <c r="O227">
        <v>3</v>
      </c>
      <c r="P227">
        <v>11</v>
      </c>
      <c r="Q227">
        <v>6</v>
      </c>
      <c r="R227">
        <v>1</v>
      </c>
      <c r="S227">
        <v>1</v>
      </c>
      <c r="T227">
        <v>1</v>
      </c>
    </row>
    <row r="228" spans="1:21" x14ac:dyDescent="0.3">
      <c r="A228" t="s">
        <v>77</v>
      </c>
      <c r="B228" t="s">
        <v>98</v>
      </c>
      <c r="C228" s="4" t="s">
        <v>21</v>
      </c>
      <c r="D228">
        <v>441</v>
      </c>
      <c r="E228">
        <v>61</v>
      </c>
      <c r="F228">
        <v>25</v>
      </c>
      <c r="G228">
        <v>44</v>
      </c>
      <c r="H228">
        <v>36</v>
      </c>
      <c r="I228">
        <v>36</v>
      </c>
      <c r="J228">
        <v>134</v>
      </c>
      <c r="K228">
        <v>52</v>
      </c>
      <c r="L228">
        <v>10</v>
      </c>
      <c r="M228">
        <v>5</v>
      </c>
      <c r="N228">
        <v>9</v>
      </c>
      <c r="O228">
        <v>9</v>
      </c>
      <c r="P228">
        <v>18</v>
      </c>
      <c r="Q228">
        <v>1</v>
      </c>
      <c r="R228">
        <v>1</v>
      </c>
    </row>
    <row r="229" spans="1:21" x14ac:dyDescent="0.3">
      <c r="A229" t="s">
        <v>77</v>
      </c>
      <c r="B229" t="s">
        <v>98</v>
      </c>
      <c r="C229" s="4" t="s">
        <v>24</v>
      </c>
      <c r="D229">
        <v>190</v>
      </c>
      <c r="E229">
        <v>29</v>
      </c>
      <c r="F229">
        <v>9</v>
      </c>
      <c r="G229">
        <v>27</v>
      </c>
      <c r="H229">
        <v>11</v>
      </c>
      <c r="I229">
        <v>11</v>
      </c>
      <c r="J229">
        <v>52</v>
      </c>
      <c r="K229">
        <v>26</v>
      </c>
      <c r="L229">
        <v>6</v>
      </c>
      <c r="M229">
        <v>3</v>
      </c>
      <c r="N229">
        <v>6</v>
      </c>
      <c r="O229">
        <v>3</v>
      </c>
      <c r="P229">
        <v>7</v>
      </c>
    </row>
    <row r="230" spans="1:21" x14ac:dyDescent="0.3">
      <c r="A230" t="s">
        <v>77</v>
      </c>
      <c r="B230" t="s">
        <v>98</v>
      </c>
      <c r="C230" s="4" t="s">
        <v>25</v>
      </c>
      <c r="D230">
        <v>251</v>
      </c>
      <c r="E230">
        <v>32</v>
      </c>
      <c r="F230">
        <v>16</v>
      </c>
      <c r="G230">
        <v>17</v>
      </c>
      <c r="H230">
        <v>25</v>
      </c>
      <c r="I230">
        <v>25</v>
      </c>
      <c r="J230">
        <v>82</v>
      </c>
      <c r="K230">
        <v>26</v>
      </c>
      <c r="L230">
        <v>4</v>
      </c>
      <c r="M230">
        <v>2</v>
      </c>
      <c r="N230">
        <v>3</v>
      </c>
      <c r="O230">
        <v>6</v>
      </c>
      <c r="P230">
        <v>11</v>
      </c>
      <c r="Q230">
        <v>1</v>
      </c>
      <c r="R230">
        <v>1</v>
      </c>
    </row>
    <row r="231" spans="1:21" x14ac:dyDescent="0.3">
      <c r="A231" t="s">
        <v>77</v>
      </c>
      <c r="B231" t="s">
        <v>99</v>
      </c>
      <c r="C231" s="4" t="s">
        <v>21</v>
      </c>
      <c r="D231">
        <v>423</v>
      </c>
      <c r="E231">
        <v>221</v>
      </c>
      <c r="F231">
        <v>23</v>
      </c>
      <c r="G231">
        <v>32</v>
      </c>
      <c r="H231">
        <v>26</v>
      </c>
      <c r="I231">
        <v>28</v>
      </c>
      <c r="J231">
        <v>53</v>
      </c>
      <c r="K231">
        <v>17</v>
      </c>
      <c r="L231">
        <v>3</v>
      </c>
      <c r="M231">
        <v>1</v>
      </c>
      <c r="N231">
        <v>6</v>
      </c>
      <c r="O231">
        <v>5</v>
      </c>
      <c r="P231">
        <v>7</v>
      </c>
      <c r="Q231">
        <v>1</v>
      </c>
    </row>
    <row r="232" spans="1:21" x14ac:dyDescent="0.3">
      <c r="A232" t="s">
        <v>77</v>
      </c>
      <c r="B232" t="s">
        <v>99</v>
      </c>
      <c r="C232" s="4" t="s">
        <v>24</v>
      </c>
      <c r="D232">
        <v>194</v>
      </c>
      <c r="E232">
        <v>107</v>
      </c>
      <c r="F232">
        <v>9</v>
      </c>
      <c r="G232">
        <v>15</v>
      </c>
      <c r="H232">
        <v>11</v>
      </c>
      <c r="I232">
        <v>15</v>
      </c>
      <c r="J232">
        <v>20</v>
      </c>
      <c r="K232">
        <v>8</v>
      </c>
      <c r="L232">
        <v>2</v>
      </c>
      <c r="N232">
        <v>4</v>
      </c>
      <c r="O232">
        <v>1</v>
      </c>
      <c r="P232">
        <v>2</v>
      </c>
    </row>
    <row r="233" spans="1:21" x14ac:dyDescent="0.3">
      <c r="A233" t="s">
        <v>77</v>
      </c>
      <c r="B233" t="s">
        <v>99</v>
      </c>
      <c r="C233" s="4" t="s">
        <v>25</v>
      </c>
      <c r="D233">
        <v>229</v>
      </c>
      <c r="E233">
        <v>114</v>
      </c>
      <c r="F233">
        <v>14</v>
      </c>
      <c r="G233">
        <v>17</v>
      </c>
      <c r="H233">
        <v>15</v>
      </c>
      <c r="I233">
        <v>13</v>
      </c>
      <c r="J233">
        <v>33</v>
      </c>
      <c r="K233">
        <v>9</v>
      </c>
      <c r="L233">
        <v>1</v>
      </c>
      <c r="M233">
        <v>1</v>
      </c>
      <c r="N233">
        <v>2</v>
      </c>
      <c r="O233">
        <v>4</v>
      </c>
      <c r="P233">
        <v>5</v>
      </c>
      <c r="Q233">
        <v>1</v>
      </c>
    </row>
    <row r="234" spans="1:21" x14ac:dyDescent="0.3">
      <c r="A234" t="s">
        <v>77</v>
      </c>
      <c r="B234" t="s">
        <v>100</v>
      </c>
      <c r="C234" s="4" t="s">
        <v>21</v>
      </c>
      <c r="D234">
        <v>297</v>
      </c>
      <c r="E234">
        <v>26</v>
      </c>
      <c r="F234">
        <v>17</v>
      </c>
      <c r="G234">
        <v>23</v>
      </c>
      <c r="H234">
        <v>28</v>
      </c>
      <c r="I234">
        <v>19</v>
      </c>
      <c r="J234">
        <v>72</v>
      </c>
      <c r="K234">
        <v>37</v>
      </c>
      <c r="L234">
        <v>29</v>
      </c>
      <c r="M234">
        <v>7</v>
      </c>
      <c r="N234">
        <v>12</v>
      </c>
      <c r="O234">
        <v>11</v>
      </c>
      <c r="P234">
        <v>4</v>
      </c>
      <c r="Q234">
        <v>5</v>
      </c>
      <c r="R234">
        <v>4</v>
      </c>
      <c r="S234">
        <v>2</v>
      </c>
      <c r="U234">
        <v>1</v>
      </c>
    </row>
    <row r="235" spans="1:21" x14ac:dyDescent="0.3">
      <c r="A235" t="s">
        <v>77</v>
      </c>
      <c r="B235" t="s">
        <v>100</v>
      </c>
      <c r="C235" s="4" t="s">
        <v>24</v>
      </c>
      <c r="D235">
        <v>142</v>
      </c>
      <c r="E235">
        <v>16</v>
      </c>
      <c r="F235">
        <v>11</v>
      </c>
      <c r="G235">
        <v>9</v>
      </c>
      <c r="H235">
        <v>13</v>
      </c>
      <c r="I235">
        <v>11</v>
      </c>
      <c r="J235">
        <v>38</v>
      </c>
      <c r="K235">
        <v>10</v>
      </c>
      <c r="L235">
        <v>14</v>
      </c>
      <c r="M235">
        <v>4</v>
      </c>
      <c r="N235">
        <v>6</v>
      </c>
      <c r="O235">
        <v>6</v>
      </c>
      <c r="P235">
        <v>2</v>
      </c>
      <c r="Q235">
        <v>1</v>
      </c>
      <c r="R235">
        <v>1</v>
      </c>
    </row>
    <row r="236" spans="1:21" x14ac:dyDescent="0.3">
      <c r="A236" t="s">
        <v>77</v>
      </c>
      <c r="B236" t="s">
        <v>100</v>
      </c>
      <c r="C236" s="4" t="s">
        <v>25</v>
      </c>
      <c r="D236">
        <v>155</v>
      </c>
      <c r="E236">
        <v>10</v>
      </c>
      <c r="F236">
        <v>6</v>
      </c>
      <c r="G236">
        <v>14</v>
      </c>
      <c r="H236">
        <v>15</v>
      </c>
      <c r="I236">
        <v>8</v>
      </c>
      <c r="J236">
        <v>34</v>
      </c>
      <c r="K236">
        <v>27</v>
      </c>
      <c r="L236">
        <v>15</v>
      </c>
      <c r="M236">
        <v>3</v>
      </c>
      <c r="N236">
        <v>6</v>
      </c>
      <c r="O236">
        <v>5</v>
      </c>
      <c r="P236">
        <v>2</v>
      </c>
      <c r="Q236">
        <v>4</v>
      </c>
      <c r="R236">
        <v>3</v>
      </c>
      <c r="S236">
        <v>2</v>
      </c>
      <c r="U236">
        <v>1</v>
      </c>
    </row>
    <row r="237" spans="1:21" x14ac:dyDescent="0.3">
      <c r="A237" t="s">
        <v>77</v>
      </c>
      <c r="B237" t="s">
        <v>101</v>
      </c>
      <c r="C237" s="4" t="s">
        <v>21</v>
      </c>
      <c r="D237">
        <v>268</v>
      </c>
      <c r="E237">
        <v>40</v>
      </c>
      <c r="F237">
        <v>31</v>
      </c>
      <c r="G237">
        <v>27</v>
      </c>
      <c r="H237">
        <v>46</v>
      </c>
      <c r="I237">
        <v>18</v>
      </c>
      <c r="J237">
        <v>64</v>
      </c>
      <c r="K237">
        <v>22</v>
      </c>
      <c r="L237">
        <v>7</v>
      </c>
      <c r="M237">
        <v>10</v>
      </c>
      <c r="N237">
        <v>3</v>
      </c>
    </row>
    <row r="238" spans="1:21" x14ac:dyDescent="0.3">
      <c r="A238" t="s">
        <v>77</v>
      </c>
      <c r="B238" t="s">
        <v>101</v>
      </c>
      <c r="C238" s="4" t="s">
        <v>24</v>
      </c>
      <c r="D238">
        <v>149</v>
      </c>
      <c r="E238">
        <v>21</v>
      </c>
      <c r="F238">
        <v>22</v>
      </c>
      <c r="G238">
        <v>15</v>
      </c>
      <c r="H238">
        <v>26</v>
      </c>
      <c r="I238">
        <v>12</v>
      </c>
      <c r="J238">
        <v>35</v>
      </c>
      <c r="K238">
        <v>10</v>
      </c>
      <c r="L238">
        <v>3</v>
      </c>
      <c r="M238">
        <v>2</v>
      </c>
      <c r="N238">
        <v>3</v>
      </c>
    </row>
    <row r="239" spans="1:21" x14ac:dyDescent="0.3">
      <c r="A239" t="s">
        <v>77</v>
      </c>
      <c r="B239" t="s">
        <v>101</v>
      </c>
      <c r="C239" s="4" t="s">
        <v>25</v>
      </c>
      <c r="D239">
        <v>119</v>
      </c>
      <c r="E239">
        <v>19</v>
      </c>
      <c r="F239">
        <v>9</v>
      </c>
      <c r="G239">
        <v>12</v>
      </c>
      <c r="H239">
        <v>20</v>
      </c>
      <c r="I239">
        <v>6</v>
      </c>
      <c r="J239">
        <v>29</v>
      </c>
      <c r="K239">
        <v>12</v>
      </c>
      <c r="L239">
        <v>4</v>
      </c>
      <c r="M239">
        <v>8</v>
      </c>
    </row>
    <row r="240" spans="1:21" x14ac:dyDescent="0.3">
      <c r="A240" t="s">
        <v>77</v>
      </c>
      <c r="B240" t="s">
        <v>102</v>
      </c>
      <c r="C240" s="4" t="s">
        <v>21</v>
      </c>
      <c r="D240">
        <v>215</v>
      </c>
      <c r="E240">
        <v>35</v>
      </c>
      <c r="F240">
        <v>17</v>
      </c>
      <c r="G240">
        <v>27</v>
      </c>
      <c r="H240">
        <v>31</v>
      </c>
      <c r="I240">
        <v>28</v>
      </c>
      <c r="J240">
        <v>50</v>
      </c>
      <c r="K240">
        <v>19</v>
      </c>
      <c r="L240">
        <v>4</v>
      </c>
      <c r="M240">
        <v>1</v>
      </c>
      <c r="N240">
        <v>1</v>
      </c>
      <c r="O240">
        <v>1</v>
      </c>
      <c r="P240">
        <v>1</v>
      </c>
    </row>
    <row r="241" spans="1:21" x14ac:dyDescent="0.3">
      <c r="A241" t="s">
        <v>77</v>
      </c>
      <c r="B241" t="s">
        <v>102</v>
      </c>
      <c r="C241" s="4" t="s">
        <v>24</v>
      </c>
      <c r="D241">
        <v>127</v>
      </c>
      <c r="E241">
        <v>28</v>
      </c>
      <c r="F241">
        <v>11</v>
      </c>
      <c r="G241">
        <v>20</v>
      </c>
      <c r="H241">
        <v>17</v>
      </c>
      <c r="I241">
        <v>19</v>
      </c>
      <c r="J241">
        <v>19</v>
      </c>
      <c r="K241">
        <v>9</v>
      </c>
      <c r="L241">
        <v>4</v>
      </c>
    </row>
    <row r="242" spans="1:21" x14ac:dyDescent="0.3">
      <c r="A242" t="s">
        <v>77</v>
      </c>
      <c r="B242" t="s">
        <v>102</v>
      </c>
      <c r="C242" s="4" t="s">
        <v>25</v>
      </c>
      <c r="D242">
        <v>88</v>
      </c>
      <c r="E242">
        <v>7</v>
      </c>
      <c r="F242">
        <v>6</v>
      </c>
      <c r="G242">
        <v>7</v>
      </c>
      <c r="H242">
        <v>14</v>
      </c>
      <c r="I242">
        <v>9</v>
      </c>
      <c r="J242">
        <v>31</v>
      </c>
      <c r="K242">
        <v>10</v>
      </c>
      <c r="M242">
        <v>1</v>
      </c>
      <c r="N242">
        <v>1</v>
      </c>
      <c r="O242">
        <v>1</v>
      </c>
      <c r="P242">
        <v>1</v>
      </c>
    </row>
    <row r="243" spans="1:21" x14ac:dyDescent="0.3">
      <c r="A243" t="s">
        <v>77</v>
      </c>
      <c r="B243" t="s">
        <v>103</v>
      </c>
      <c r="C243" s="4" t="s">
        <v>21</v>
      </c>
      <c r="D243">
        <v>191</v>
      </c>
      <c r="E243">
        <v>3</v>
      </c>
      <c r="F243">
        <v>5</v>
      </c>
      <c r="G243">
        <v>10</v>
      </c>
      <c r="H243">
        <v>6</v>
      </c>
      <c r="I243">
        <v>11</v>
      </c>
      <c r="J243">
        <v>72</v>
      </c>
      <c r="K243">
        <v>28</v>
      </c>
      <c r="L243">
        <v>5</v>
      </c>
      <c r="M243">
        <v>7</v>
      </c>
      <c r="N243">
        <v>10</v>
      </c>
      <c r="O243">
        <v>8</v>
      </c>
      <c r="P243">
        <v>16</v>
      </c>
      <c r="Q243">
        <v>4</v>
      </c>
      <c r="R243">
        <v>3</v>
      </c>
      <c r="S243">
        <v>1</v>
      </c>
      <c r="T243">
        <v>2</v>
      </c>
    </row>
    <row r="244" spans="1:21" x14ac:dyDescent="0.3">
      <c r="A244" t="s">
        <v>77</v>
      </c>
      <c r="B244" t="s">
        <v>103</v>
      </c>
      <c r="C244" s="4" t="s">
        <v>24</v>
      </c>
      <c r="D244">
        <v>91</v>
      </c>
      <c r="E244">
        <v>1</v>
      </c>
      <c r="F244">
        <v>4</v>
      </c>
      <c r="G244">
        <v>7</v>
      </c>
      <c r="H244">
        <v>4</v>
      </c>
      <c r="I244">
        <v>5</v>
      </c>
      <c r="J244">
        <v>32</v>
      </c>
      <c r="K244">
        <v>13</v>
      </c>
      <c r="L244">
        <v>2</v>
      </c>
      <c r="M244">
        <v>4</v>
      </c>
      <c r="N244">
        <v>3</v>
      </c>
      <c r="O244">
        <v>4</v>
      </c>
      <c r="P244">
        <v>6</v>
      </c>
      <c r="Q244">
        <v>3</v>
      </c>
      <c r="R244">
        <v>1</v>
      </c>
      <c r="S244">
        <v>1</v>
      </c>
      <c r="T244">
        <v>1</v>
      </c>
    </row>
    <row r="245" spans="1:21" x14ac:dyDescent="0.3">
      <c r="A245" t="s">
        <v>77</v>
      </c>
      <c r="B245" t="s">
        <v>103</v>
      </c>
      <c r="C245" s="4" t="s">
        <v>25</v>
      </c>
      <c r="D245">
        <v>100</v>
      </c>
      <c r="E245">
        <v>2</v>
      </c>
      <c r="F245">
        <v>1</v>
      </c>
      <c r="G245">
        <v>3</v>
      </c>
      <c r="H245">
        <v>2</v>
      </c>
      <c r="I245">
        <v>6</v>
      </c>
      <c r="J245">
        <v>40</v>
      </c>
      <c r="K245">
        <v>15</v>
      </c>
      <c r="L245">
        <v>3</v>
      </c>
      <c r="M245">
        <v>3</v>
      </c>
      <c r="N245">
        <v>7</v>
      </c>
      <c r="O245">
        <v>4</v>
      </c>
      <c r="P245">
        <v>10</v>
      </c>
      <c r="Q245">
        <v>1</v>
      </c>
      <c r="R245">
        <v>2</v>
      </c>
      <c r="T245">
        <v>1</v>
      </c>
    </row>
    <row r="246" spans="1:21" x14ac:dyDescent="0.3">
      <c r="A246" t="s">
        <v>77</v>
      </c>
      <c r="B246" t="s">
        <v>104</v>
      </c>
      <c r="C246" s="4" t="s">
        <v>21</v>
      </c>
      <c r="D246">
        <v>155</v>
      </c>
      <c r="E246">
        <v>15</v>
      </c>
      <c r="F246">
        <v>3</v>
      </c>
      <c r="G246">
        <v>14</v>
      </c>
      <c r="H246">
        <v>10</v>
      </c>
      <c r="I246">
        <v>4</v>
      </c>
      <c r="J246">
        <v>21</v>
      </c>
      <c r="K246">
        <v>15</v>
      </c>
      <c r="L246">
        <v>12</v>
      </c>
      <c r="M246">
        <v>4</v>
      </c>
      <c r="N246">
        <v>7</v>
      </c>
      <c r="O246">
        <v>13</v>
      </c>
      <c r="P246">
        <v>7</v>
      </c>
      <c r="Q246">
        <v>7</v>
      </c>
      <c r="R246">
        <v>6</v>
      </c>
      <c r="S246">
        <v>10</v>
      </c>
      <c r="T246">
        <v>6</v>
      </c>
      <c r="U246">
        <v>1</v>
      </c>
    </row>
    <row r="247" spans="1:21" x14ac:dyDescent="0.3">
      <c r="A247" t="s">
        <v>77</v>
      </c>
      <c r="B247" t="s">
        <v>104</v>
      </c>
      <c r="C247" s="4" t="s">
        <v>24</v>
      </c>
      <c r="D247">
        <v>103</v>
      </c>
      <c r="E247">
        <v>10</v>
      </c>
      <c r="F247">
        <v>1</v>
      </c>
      <c r="G247">
        <v>10</v>
      </c>
      <c r="H247">
        <v>5</v>
      </c>
      <c r="I247">
        <v>2</v>
      </c>
      <c r="J247">
        <v>15</v>
      </c>
      <c r="K247">
        <v>7</v>
      </c>
      <c r="L247">
        <v>7</v>
      </c>
      <c r="M247">
        <v>3</v>
      </c>
      <c r="N247">
        <v>4</v>
      </c>
      <c r="O247">
        <v>9</v>
      </c>
      <c r="P247">
        <v>6</v>
      </c>
      <c r="Q247">
        <v>7</v>
      </c>
      <c r="R247">
        <v>5</v>
      </c>
      <c r="S247">
        <v>7</v>
      </c>
      <c r="T247">
        <v>4</v>
      </c>
      <c r="U247">
        <v>1</v>
      </c>
    </row>
    <row r="248" spans="1:21" x14ac:dyDescent="0.3">
      <c r="A248" t="s">
        <v>77</v>
      </c>
      <c r="B248" t="s">
        <v>104</v>
      </c>
      <c r="C248" s="4" t="s">
        <v>25</v>
      </c>
      <c r="D248">
        <v>52</v>
      </c>
      <c r="E248">
        <v>5</v>
      </c>
      <c r="F248">
        <v>2</v>
      </c>
      <c r="G248">
        <v>4</v>
      </c>
      <c r="H248">
        <v>5</v>
      </c>
      <c r="I248">
        <v>2</v>
      </c>
      <c r="J248">
        <v>6</v>
      </c>
      <c r="K248">
        <v>8</v>
      </c>
      <c r="L248">
        <v>5</v>
      </c>
      <c r="M248">
        <v>1</v>
      </c>
      <c r="N248">
        <v>3</v>
      </c>
      <c r="O248">
        <v>4</v>
      </c>
      <c r="P248">
        <v>1</v>
      </c>
      <c r="R248">
        <v>1</v>
      </c>
      <c r="S248">
        <v>3</v>
      </c>
      <c r="T248">
        <v>2</v>
      </c>
    </row>
    <row r="249" spans="1:21" x14ac:dyDescent="0.3">
      <c r="A249" t="s">
        <v>77</v>
      </c>
      <c r="B249" t="s">
        <v>105</v>
      </c>
      <c r="C249" s="4" t="s">
        <v>21</v>
      </c>
      <c r="D249">
        <v>145</v>
      </c>
      <c r="E249">
        <v>20</v>
      </c>
      <c r="F249">
        <v>12</v>
      </c>
      <c r="G249">
        <v>16</v>
      </c>
      <c r="H249">
        <v>16</v>
      </c>
      <c r="I249">
        <v>13</v>
      </c>
      <c r="J249">
        <v>45</v>
      </c>
      <c r="K249">
        <v>12</v>
      </c>
      <c r="M249">
        <v>7</v>
      </c>
      <c r="N249">
        <v>3</v>
      </c>
      <c r="Q249">
        <v>1</v>
      </c>
    </row>
    <row r="250" spans="1:21" x14ac:dyDescent="0.3">
      <c r="A250" t="s">
        <v>77</v>
      </c>
      <c r="B250" t="s">
        <v>105</v>
      </c>
      <c r="C250" s="4" t="s">
        <v>24</v>
      </c>
      <c r="D250">
        <v>86</v>
      </c>
      <c r="E250">
        <v>13</v>
      </c>
      <c r="F250">
        <v>7</v>
      </c>
      <c r="G250">
        <v>12</v>
      </c>
      <c r="H250">
        <v>9</v>
      </c>
      <c r="I250">
        <v>9</v>
      </c>
      <c r="J250">
        <v>21</v>
      </c>
      <c r="K250">
        <v>9</v>
      </c>
      <c r="M250">
        <v>4</v>
      </c>
      <c r="N250">
        <v>1</v>
      </c>
      <c r="Q250">
        <v>1</v>
      </c>
    </row>
    <row r="251" spans="1:21" x14ac:dyDescent="0.3">
      <c r="A251" t="s">
        <v>77</v>
      </c>
      <c r="B251" t="s">
        <v>105</v>
      </c>
      <c r="C251" s="4" t="s">
        <v>25</v>
      </c>
      <c r="D251">
        <v>59</v>
      </c>
      <c r="E251">
        <v>7</v>
      </c>
      <c r="F251">
        <v>5</v>
      </c>
      <c r="G251">
        <v>4</v>
      </c>
      <c r="H251">
        <v>7</v>
      </c>
      <c r="I251">
        <v>4</v>
      </c>
      <c r="J251">
        <v>24</v>
      </c>
      <c r="K251">
        <v>3</v>
      </c>
      <c r="M251">
        <v>3</v>
      </c>
      <c r="N251">
        <v>2</v>
      </c>
    </row>
    <row r="252" spans="1:21" x14ac:dyDescent="0.3">
      <c r="A252" t="s">
        <v>77</v>
      </c>
      <c r="B252" t="s">
        <v>106</v>
      </c>
      <c r="C252" s="4" t="s">
        <v>21</v>
      </c>
      <c r="D252">
        <v>121</v>
      </c>
      <c r="E252">
        <v>7</v>
      </c>
      <c r="F252">
        <v>8</v>
      </c>
      <c r="G252">
        <v>12</v>
      </c>
      <c r="H252">
        <v>14</v>
      </c>
      <c r="I252">
        <v>11</v>
      </c>
      <c r="J252">
        <v>47</v>
      </c>
      <c r="K252">
        <v>16</v>
      </c>
      <c r="L252">
        <v>3</v>
      </c>
      <c r="M252">
        <v>1</v>
      </c>
      <c r="N252">
        <v>1</v>
      </c>
      <c r="P252">
        <v>1</v>
      </c>
    </row>
    <row r="253" spans="1:21" x14ac:dyDescent="0.3">
      <c r="A253" t="s">
        <v>77</v>
      </c>
      <c r="B253" t="s">
        <v>106</v>
      </c>
      <c r="C253" s="4" t="s">
        <v>24</v>
      </c>
      <c r="D253">
        <v>37</v>
      </c>
      <c r="F253">
        <v>4</v>
      </c>
      <c r="G253">
        <v>4</v>
      </c>
      <c r="H253">
        <v>2</v>
      </c>
      <c r="I253">
        <v>5</v>
      </c>
      <c r="J253">
        <v>14</v>
      </c>
      <c r="K253">
        <v>5</v>
      </c>
      <c r="L253">
        <v>1</v>
      </c>
      <c r="M253">
        <v>1</v>
      </c>
      <c r="N253">
        <v>1</v>
      </c>
    </row>
    <row r="254" spans="1:21" x14ac:dyDescent="0.3">
      <c r="A254" t="s">
        <v>77</v>
      </c>
      <c r="B254" t="s">
        <v>106</v>
      </c>
      <c r="C254" s="4" t="s">
        <v>25</v>
      </c>
      <c r="D254">
        <v>84</v>
      </c>
      <c r="E254">
        <v>7</v>
      </c>
      <c r="F254">
        <v>4</v>
      </c>
      <c r="G254">
        <v>8</v>
      </c>
      <c r="H254">
        <v>12</v>
      </c>
      <c r="I254">
        <v>6</v>
      </c>
      <c r="J254">
        <v>33</v>
      </c>
      <c r="K254">
        <v>11</v>
      </c>
      <c r="L254">
        <v>2</v>
      </c>
      <c r="P254">
        <v>1</v>
      </c>
    </row>
    <row r="255" spans="1:21" x14ac:dyDescent="0.3">
      <c r="A255" t="s">
        <v>77</v>
      </c>
      <c r="B255" t="s">
        <v>107</v>
      </c>
      <c r="C255" s="4" t="s">
        <v>21</v>
      </c>
      <c r="D255">
        <v>119</v>
      </c>
      <c r="E255">
        <v>25</v>
      </c>
      <c r="F255">
        <v>5</v>
      </c>
      <c r="G255">
        <v>11</v>
      </c>
      <c r="H255">
        <v>16</v>
      </c>
      <c r="I255">
        <v>11</v>
      </c>
      <c r="J255">
        <v>27</v>
      </c>
      <c r="K255">
        <v>11</v>
      </c>
      <c r="L255">
        <v>1</v>
      </c>
      <c r="M255">
        <v>1</v>
      </c>
      <c r="N255">
        <v>3</v>
      </c>
      <c r="O255">
        <v>4</v>
      </c>
      <c r="P255">
        <v>3</v>
      </c>
      <c r="Q255">
        <v>1</v>
      </c>
    </row>
    <row r="256" spans="1:21" x14ac:dyDescent="0.3">
      <c r="A256" t="s">
        <v>77</v>
      </c>
      <c r="B256" t="s">
        <v>107</v>
      </c>
      <c r="C256" s="4" t="s">
        <v>24</v>
      </c>
      <c r="D256">
        <v>44</v>
      </c>
      <c r="E256">
        <v>10</v>
      </c>
      <c r="F256">
        <v>3</v>
      </c>
      <c r="G256">
        <v>6</v>
      </c>
      <c r="H256">
        <v>3</v>
      </c>
      <c r="I256">
        <v>5</v>
      </c>
      <c r="J256">
        <v>12</v>
      </c>
      <c r="K256">
        <v>1</v>
      </c>
      <c r="M256">
        <v>1</v>
      </c>
      <c r="N256">
        <v>1</v>
      </c>
      <c r="O256">
        <v>2</v>
      </c>
    </row>
    <row r="257" spans="1:21" x14ac:dyDescent="0.3">
      <c r="A257" t="s">
        <v>77</v>
      </c>
      <c r="B257" t="s">
        <v>107</v>
      </c>
      <c r="C257" s="4" t="s">
        <v>25</v>
      </c>
      <c r="D257">
        <v>75</v>
      </c>
      <c r="E257">
        <v>15</v>
      </c>
      <c r="F257">
        <v>2</v>
      </c>
      <c r="G257">
        <v>5</v>
      </c>
      <c r="H257">
        <v>13</v>
      </c>
      <c r="I257">
        <v>6</v>
      </c>
      <c r="J257">
        <v>15</v>
      </c>
      <c r="K257">
        <v>10</v>
      </c>
      <c r="L257">
        <v>1</v>
      </c>
      <c r="N257">
        <v>2</v>
      </c>
      <c r="O257">
        <v>2</v>
      </c>
      <c r="P257">
        <v>3</v>
      </c>
      <c r="Q257">
        <v>1</v>
      </c>
    </row>
    <row r="258" spans="1:21" x14ac:dyDescent="0.3">
      <c r="A258" t="s">
        <v>77</v>
      </c>
      <c r="B258" t="s">
        <v>108</v>
      </c>
      <c r="C258" s="4" t="s">
        <v>21</v>
      </c>
      <c r="D258">
        <v>105</v>
      </c>
      <c r="E258">
        <v>17</v>
      </c>
      <c r="F258">
        <v>1</v>
      </c>
      <c r="G258">
        <v>7</v>
      </c>
      <c r="H258">
        <v>6</v>
      </c>
      <c r="I258">
        <v>7</v>
      </c>
      <c r="J258">
        <v>32</v>
      </c>
      <c r="K258">
        <v>12</v>
      </c>
      <c r="L258">
        <v>8</v>
      </c>
      <c r="M258">
        <v>3</v>
      </c>
      <c r="N258">
        <v>3</v>
      </c>
      <c r="O258">
        <v>1</v>
      </c>
      <c r="P258">
        <v>6</v>
      </c>
      <c r="Q258">
        <v>2</v>
      </c>
    </row>
    <row r="259" spans="1:21" x14ac:dyDescent="0.3">
      <c r="A259" t="s">
        <v>77</v>
      </c>
      <c r="B259" t="s">
        <v>108</v>
      </c>
      <c r="C259" s="4" t="s">
        <v>24</v>
      </c>
      <c r="D259">
        <v>64</v>
      </c>
      <c r="E259">
        <v>15</v>
      </c>
      <c r="F259">
        <v>1</v>
      </c>
      <c r="G259">
        <v>4</v>
      </c>
      <c r="H259">
        <v>4</v>
      </c>
      <c r="I259">
        <v>3</v>
      </c>
      <c r="J259">
        <v>19</v>
      </c>
      <c r="K259">
        <v>7</v>
      </c>
      <c r="L259">
        <v>3</v>
      </c>
      <c r="M259">
        <v>3</v>
      </c>
      <c r="N259">
        <v>3</v>
      </c>
      <c r="O259">
        <v>1</v>
      </c>
      <c r="P259">
        <v>1</v>
      </c>
    </row>
    <row r="260" spans="1:21" x14ac:dyDescent="0.3">
      <c r="A260" t="s">
        <v>77</v>
      </c>
      <c r="B260" t="s">
        <v>108</v>
      </c>
      <c r="C260" s="4" t="s">
        <v>25</v>
      </c>
      <c r="D260">
        <v>41</v>
      </c>
      <c r="E260">
        <v>2</v>
      </c>
      <c r="G260">
        <v>3</v>
      </c>
      <c r="H260">
        <v>2</v>
      </c>
      <c r="I260">
        <v>4</v>
      </c>
      <c r="J260">
        <v>13</v>
      </c>
      <c r="K260">
        <v>5</v>
      </c>
      <c r="L260">
        <v>5</v>
      </c>
      <c r="P260">
        <v>5</v>
      </c>
      <c r="Q260">
        <v>2</v>
      </c>
    </row>
    <row r="261" spans="1:21" x14ac:dyDescent="0.3">
      <c r="A261" t="s">
        <v>77</v>
      </c>
      <c r="B261" t="s">
        <v>109</v>
      </c>
      <c r="C261" s="4" t="s">
        <v>21</v>
      </c>
      <c r="D261">
        <v>92</v>
      </c>
      <c r="E261">
        <v>4</v>
      </c>
      <c r="F261">
        <v>2</v>
      </c>
      <c r="G261">
        <v>3</v>
      </c>
      <c r="H261">
        <v>10</v>
      </c>
      <c r="I261">
        <v>13</v>
      </c>
      <c r="J261">
        <v>37</v>
      </c>
      <c r="K261">
        <v>10</v>
      </c>
      <c r="M261">
        <v>4</v>
      </c>
      <c r="N261">
        <v>5</v>
      </c>
      <c r="O261">
        <v>4</v>
      </c>
    </row>
    <row r="262" spans="1:21" x14ac:dyDescent="0.3">
      <c r="A262" t="s">
        <v>77</v>
      </c>
      <c r="B262" t="s">
        <v>109</v>
      </c>
      <c r="C262" s="4" t="s">
        <v>24</v>
      </c>
      <c r="D262">
        <v>29</v>
      </c>
      <c r="E262">
        <v>1</v>
      </c>
      <c r="H262">
        <v>4</v>
      </c>
      <c r="I262">
        <v>6</v>
      </c>
      <c r="J262">
        <v>13</v>
      </c>
      <c r="K262">
        <v>3</v>
      </c>
      <c r="O262">
        <v>2</v>
      </c>
    </row>
    <row r="263" spans="1:21" x14ac:dyDescent="0.3">
      <c r="A263" t="s">
        <v>77</v>
      </c>
      <c r="B263" t="s">
        <v>109</v>
      </c>
      <c r="C263" s="4" t="s">
        <v>25</v>
      </c>
      <c r="D263">
        <v>63</v>
      </c>
      <c r="E263">
        <v>3</v>
      </c>
      <c r="F263">
        <v>2</v>
      </c>
      <c r="G263">
        <v>3</v>
      </c>
      <c r="H263">
        <v>6</v>
      </c>
      <c r="I263">
        <v>7</v>
      </c>
      <c r="J263">
        <v>24</v>
      </c>
      <c r="K263">
        <v>7</v>
      </c>
      <c r="M263">
        <v>4</v>
      </c>
      <c r="N263">
        <v>5</v>
      </c>
      <c r="O263">
        <v>2</v>
      </c>
    </row>
    <row r="264" spans="1:21" x14ac:dyDescent="0.3">
      <c r="A264" t="s">
        <v>77</v>
      </c>
      <c r="B264" t="s">
        <v>110</v>
      </c>
      <c r="C264" s="4" t="s">
        <v>21</v>
      </c>
      <c r="D264">
        <v>40</v>
      </c>
      <c r="E264">
        <v>4</v>
      </c>
      <c r="F264">
        <v>1</v>
      </c>
      <c r="G264">
        <v>3</v>
      </c>
      <c r="H264">
        <v>7</v>
      </c>
      <c r="I264">
        <v>6</v>
      </c>
      <c r="J264">
        <v>11</v>
      </c>
      <c r="K264">
        <v>2</v>
      </c>
      <c r="M264">
        <v>2</v>
      </c>
      <c r="O264">
        <v>2</v>
      </c>
      <c r="P264">
        <v>1</v>
      </c>
      <c r="S264">
        <v>1</v>
      </c>
    </row>
    <row r="265" spans="1:21" x14ac:dyDescent="0.3">
      <c r="A265" t="s">
        <v>77</v>
      </c>
      <c r="B265" t="s">
        <v>110</v>
      </c>
      <c r="C265" s="4" t="s">
        <v>24</v>
      </c>
      <c r="D265">
        <v>17</v>
      </c>
      <c r="E265">
        <v>2</v>
      </c>
      <c r="F265">
        <v>1</v>
      </c>
      <c r="G265">
        <v>2</v>
      </c>
      <c r="H265">
        <v>2</v>
      </c>
      <c r="I265">
        <v>3</v>
      </c>
      <c r="J265">
        <v>4</v>
      </c>
      <c r="K265">
        <v>1</v>
      </c>
      <c r="M265">
        <v>1</v>
      </c>
      <c r="S265">
        <v>1</v>
      </c>
    </row>
    <row r="266" spans="1:21" x14ac:dyDescent="0.3">
      <c r="A266" t="s">
        <v>77</v>
      </c>
      <c r="B266" t="s">
        <v>110</v>
      </c>
      <c r="C266" s="4" t="s">
        <v>25</v>
      </c>
      <c r="D266">
        <v>23</v>
      </c>
      <c r="E266">
        <v>2</v>
      </c>
      <c r="G266">
        <v>1</v>
      </c>
      <c r="H266">
        <v>5</v>
      </c>
      <c r="I266">
        <v>3</v>
      </c>
      <c r="J266">
        <v>7</v>
      </c>
      <c r="K266">
        <v>1</v>
      </c>
      <c r="M266">
        <v>1</v>
      </c>
      <c r="O266">
        <v>2</v>
      </c>
      <c r="P266">
        <v>1</v>
      </c>
    </row>
    <row r="267" spans="1:21" x14ac:dyDescent="0.3">
      <c r="A267" t="s">
        <v>77</v>
      </c>
      <c r="B267" t="s">
        <v>111</v>
      </c>
      <c r="C267" s="4" t="s">
        <v>21</v>
      </c>
      <c r="D267">
        <v>1</v>
      </c>
      <c r="K267">
        <v>1</v>
      </c>
    </row>
    <row r="268" spans="1:21" x14ac:dyDescent="0.3">
      <c r="A268" t="s">
        <v>77</v>
      </c>
      <c r="B268" t="s">
        <v>111</v>
      </c>
      <c r="C268" s="4" t="s">
        <v>24</v>
      </c>
      <c r="D268">
        <v>1</v>
      </c>
      <c r="K268">
        <v>1</v>
      </c>
    </row>
    <row r="269" spans="1:21" x14ac:dyDescent="0.3">
      <c r="A269" t="s">
        <v>112</v>
      </c>
      <c r="B269" t="s">
        <v>21</v>
      </c>
      <c r="C269" s="4" t="s">
        <v>21</v>
      </c>
      <c r="D269" s="1">
        <v>1201662</v>
      </c>
      <c r="E269" s="1">
        <v>158035</v>
      </c>
      <c r="F269" s="1">
        <v>71397</v>
      </c>
      <c r="G269" s="1">
        <v>100351</v>
      </c>
      <c r="H269" s="1">
        <v>99884</v>
      </c>
      <c r="I269" s="1">
        <v>81022</v>
      </c>
      <c r="J269" s="1">
        <v>294302</v>
      </c>
      <c r="K269" s="1">
        <v>224880</v>
      </c>
      <c r="L269" s="1">
        <v>42729</v>
      </c>
      <c r="M269" s="1">
        <v>40209</v>
      </c>
      <c r="N269" s="1">
        <v>23411</v>
      </c>
      <c r="O269" s="1">
        <v>26092</v>
      </c>
      <c r="P269" s="1">
        <v>24264</v>
      </c>
      <c r="Q269" s="1">
        <v>7838</v>
      </c>
      <c r="R269" s="1">
        <v>3075</v>
      </c>
      <c r="S269" s="1">
        <v>1387</v>
      </c>
      <c r="T269" s="1">
        <v>2726</v>
      </c>
      <c r="U269">
        <v>60</v>
      </c>
    </row>
    <row r="270" spans="1:21" x14ac:dyDescent="0.3">
      <c r="A270" t="s">
        <v>112</v>
      </c>
      <c r="B270" t="s">
        <v>21</v>
      </c>
      <c r="C270" s="4" t="s">
        <v>24</v>
      </c>
      <c r="D270" s="1">
        <f>D274+D277+D281+D284+D288+D291+D294+D298+D301+D304+D307+D310+D313+D316+D319+D322+D325+D328+D331+D334+D337+D340+D343+D346+D349+D352+D355+D358+D361+D364+D367+D370+D373+D376+D379+D382+D386+D389+D393+D396+D399++D402+D405+D408+D411+D414+D417+D420</f>
        <v>620296</v>
      </c>
      <c r="E270" s="1">
        <f t="shared" ref="E270:U270" si="10">E274+E277+E281+E284+E288+E291+E294+E298+E301+E304+E307+E310+E313+E316+E319+E322+E325+E328+E331+E334+E337+E340+E343+E346+E349+E352+E355+E358+E361+E364+E367+E370+E373+E376+E379+E382+E386+E389+E393+E396+E399++E402+E405+E408+E411+E414+E417+E420</f>
        <v>93550</v>
      </c>
      <c r="F270" s="1">
        <f t="shared" si="10"/>
        <v>45097</v>
      </c>
      <c r="G270" s="1">
        <f t="shared" si="10"/>
        <v>59141</v>
      </c>
      <c r="H270" s="1">
        <f t="shared" si="10"/>
        <v>56758</v>
      </c>
      <c r="I270" s="1">
        <f t="shared" si="10"/>
        <v>44168</v>
      </c>
      <c r="J270" s="1">
        <f t="shared" si="10"/>
        <v>141492</v>
      </c>
      <c r="K270" s="1">
        <f t="shared" si="10"/>
        <v>99485</v>
      </c>
      <c r="L270" s="1">
        <f t="shared" si="10"/>
        <v>20432</v>
      </c>
      <c r="M270" s="1">
        <f t="shared" si="10"/>
        <v>20059</v>
      </c>
      <c r="N270" s="1">
        <f t="shared" si="10"/>
        <v>10275</v>
      </c>
      <c r="O270" s="1">
        <f t="shared" si="10"/>
        <v>10805</v>
      </c>
      <c r="P270" s="1">
        <f t="shared" si="10"/>
        <v>11116</v>
      </c>
      <c r="Q270" s="1">
        <f t="shared" si="10"/>
        <v>3967</v>
      </c>
      <c r="R270" s="1">
        <f t="shared" si="10"/>
        <v>1683</v>
      </c>
      <c r="S270" s="1">
        <f t="shared" si="10"/>
        <v>685</v>
      </c>
      <c r="T270" s="1">
        <f t="shared" si="10"/>
        <v>1556</v>
      </c>
      <c r="U270" s="1">
        <f t="shared" si="10"/>
        <v>27</v>
      </c>
    </row>
    <row r="271" spans="1:21" x14ac:dyDescent="0.3">
      <c r="A271" t="s">
        <v>112</v>
      </c>
      <c r="B271" t="s">
        <v>21</v>
      </c>
      <c r="C271" s="4" t="s">
        <v>25</v>
      </c>
      <c r="D271" s="1">
        <f>D275+D278+D282+D285+D289+D292+D295+D299+D302+D305+D308+D311+D314+D317+D320+D323+D326+D329+D332+D335+D338+D341+D344+D347+D350+D353+D356+D359+D362+D365+D368+D371+D374+D377+D380+D383+D387+D390+D394+D397+D400++D403+D406+D409+D412+D415+D418</f>
        <v>581343</v>
      </c>
      <c r="E271" s="1">
        <f t="shared" ref="E271:U271" si="11">E275+E278+E282+E285+E289+E292+E295+E299+E302+E305+E308+E311+E314+E317+E320+E323+E326+E329+E332+E335+E338+E341+E344+E347+E350+E353+E356+E359+E362+E365+E368+E371+E374+E377+E380+E383+E387+E390+E394+E397+E400++E403+E406+E409+E412+E415+E418</f>
        <v>64485</v>
      </c>
      <c r="F271" s="1">
        <f t="shared" si="11"/>
        <v>26299</v>
      </c>
      <c r="G271" s="1">
        <f t="shared" si="11"/>
        <v>41210</v>
      </c>
      <c r="H271" s="1">
        <f t="shared" si="11"/>
        <v>43125</v>
      </c>
      <c r="I271" s="1">
        <f t="shared" si="11"/>
        <v>36853</v>
      </c>
      <c r="J271" s="1">
        <f t="shared" si="11"/>
        <v>152808</v>
      </c>
      <c r="K271" s="1">
        <f t="shared" si="11"/>
        <v>125384</v>
      </c>
      <c r="L271" s="1">
        <f t="shared" si="11"/>
        <v>22294</v>
      </c>
      <c r="M271" s="1">
        <f t="shared" si="11"/>
        <v>20149</v>
      </c>
      <c r="N271" s="1">
        <f t="shared" si="11"/>
        <v>13135</v>
      </c>
      <c r="O271" s="1">
        <f t="shared" si="11"/>
        <v>15287</v>
      </c>
      <c r="P271" s="1">
        <f t="shared" si="11"/>
        <v>13146</v>
      </c>
      <c r="Q271" s="1">
        <f t="shared" si="11"/>
        <v>3871</v>
      </c>
      <c r="R271" s="1">
        <f t="shared" si="11"/>
        <v>1392</v>
      </c>
      <c r="S271" s="1">
        <f t="shared" si="11"/>
        <v>702</v>
      </c>
      <c r="T271" s="1">
        <f t="shared" si="11"/>
        <v>1170</v>
      </c>
      <c r="U271" s="1">
        <f t="shared" si="11"/>
        <v>33</v>
      </c>
    </row>
    <row r="272" spans="1:21" x14ac:dyDescent="0.3">
      <c r="A272" t="s">
        <v>112</v>
      </c>
      <c r="B272" t="s">
        <v>21</v>
      </c>
      <c r="C272" s="4" t="s">
        <v>75</v>
      </c>
      <c r="D272" s="1">
        <f>D279+D286+D296+D384+D391</f>
        <v>23</v>
      </c>
      <c r="E272" s="1">
        <f t="shared" ref="E272:U272" si="12">E279+E286+E296+E384+E391</f>
        <v>0</v>
      </c>
      <c r="F272" s="1">
        <f t="shared" si="12"/>
        <v>1</v>
      </c>
      <c r="G272" s="1">
        <f t="shared" si="12"/>
        <v>0</v>
      </c>
      <c r="H272" s="1">
        <f t="shared" si="12"/>
        <v>1</v>
      </c>
      <c r="I272" s="1">
        <f t="shared" si="12"/>
        <v>1</v>
      </c>
      <c r="J272" s="1">
        <f t="shared" si="12"/>
        <v>2</v>
      </c>
      <c r="K272" s="1">
        <f t="shared" si="12"/>
        <v>11</v>
      </c>
      <c r="L272" s="1">
        <f t="shared" si="12"/>
        <v>3</v>
      </c>
      <c r="M272" s="1">
        <f t="shared" si="12"/>
        <v>1</v>
      </c>
      <c r="N272" s="1">
        <f t="shared" si="12"/>
        <v>1</v>
      </c>
      <c r="O272" s="1">
        <f t="shared" si="12"/>
        <v>0</v>
      </c>
      <c r="P272" s="1">
        <f t="shared" si="12"/>
        <v>2</v>
      </c>
      <c r="Q272" s="1">
        <f t="shared" si="12"/>
        <v>0</v>
      </c>
      <c r="R272" s="1">
        <f t="shared" si="12"/>
        <v>0</v>
      </c>
      <c r="S272" s="1">
        <f t="shared" si="12"/>
        <v>0</v>
      </c>
      <c r="T272" s="1">
        <f t="shared" si="12"/>
        <v>0</v>
      </c>
      <c r="U272" s="1">
        <f t="shared" si="12"/>
        <v>0</v>
      </c>
    </row>
    <row r="273" spans="1:21" x14ac:dyDescent="0.3">
      <c r="A273" t="s">
        <v>112</v>
      </c>
      <c r="B273" t="s">
        <v>113</v>
      </c>
      <c r="C273" s="4" t="s">
        <v>21</v>
      </c>
      <c r="D273" s="1">
        <v>191387</v>
      </c>
      <c r="E273" s="1">
        <v>20261</v>
      </c>
      <c r="F273" s="1">
        <v>6472</v>
      </c>
      <c r="G273" s="1">
        <v>9377</v>
      </c>
      <c r="H273" s="1">
        <v>10316</v>
      </c>
      <c r="I273" s="1">
        <v>10514</v>
      </c>
      <c r="J273" s="1">
        <v>50708</v>
      </c>
      <c r="K273" s="1">
        <v>30062</v>
      </c>
      <c r="L273" s="1">
        <v>6825</v>
      </c>
      <c r="M273" s="1">
        <v>11910</v>
      </c>
      <c r="N273" s="1">
        <v>4138</v>
      </c>
      <c r="O273" s="1">
        <v>8277</v>
      </c>
      <c r="P273" s="1">
        <v>10318</v>
      </c>
      <c r="Q273" s="1">
        <v>5932</v>
      </c>
      <c r="R273" s="1">
        <v>2616</v>
      </c>
      <c r="S273" s="1">
        <v>1127</v>
      </c>
      <c r="T273" s="1">
        <v>2488</v>
      </c>
      <c r="U273">
        <v>46</v>
      </c>
    </row>
    <row r="274" spans="1:21" x14ac:dyDescent="0.3">
      <c r="A274" t="s">
        <v>112</v>
      </c>
      <c r="B274" t="s">
        <v>113</v>
      </c>
      <c r="C274" s="4" t="s">
        <v>24</v>
      </c>
      <c r="D274" s="1">
        <v>83493</v>
      </c>
      <c r="E274" s="1">
        <v>11813</v>
      </c>
      <c r="F274" s="1">
        <v>3747</v>
      </c>
      <c r="G274" s="1">
        <v>4670</v>
      </c>
      <c r="H274" s="1">
        <v>4729</v>
      </c>
      <c r="I274" s="1">
        <v>4556</v>
      </c>
      <c r="J274" s="1">
        <v>18715</v>
      </c>
      <c r="K274" s="1">
        <v>10742</v>
      </c>
      <c r="L274" s="1">
        <v>2818</v>
      </c>
      <c r="M274" s="1">
        <v>5489</v>
      </c>
      <c r="N274" s="1">
        <v>1557</v>
      </c>
      <c r="O274" s="1">
        <v>3157</v>
      </c>
      <c r="P274" s="1">
        <v>4824</v>
      </c>
      <c r="Q274" s="1">
        <v>3167</v>
      </c>
      <c r="R274" s="1">
        <v>1489</v>
      </c>
      <c r="S274">
        <v>579</v>
      </c>
      <c r="T274" s="1">
        <v>1424</v>
      </c>
      <c r="U274">
        <v>17</v>
      </c>
    </row>
    <row r="275" spans="1:21" x14ac:dyDescent="0.3">
      <c r="A275" t="s">
        <v>112</v>
      </c>
      <c r="B275" t="s">
        <v>113</v>
      </c>
      <c r="C275" s="4" t="s">
        <v>25</v>
      </c>
      <c r="D275" s="1">
        <v>107894</v>
      </c>
      <c r="E275" s="1">
        <v>8448</v>
      </c>
      <c r="F275" s="1">
        <v>2725</v>
      </c>
      <c r="G275" s="1">
        <v>4707</v>
      </c>
      <c r="H275" s="1">
        <v>5587</v>
      </c>
      <c r="I275" s="1">
        <v>5958</v>
      </c>
      <c r="J275" s="1">
        <v>31993</v>
      </c>
      <c r="K275" s="1">
        <v>19320</v>
      </c>
      <c r="L275" s="1">
        <v>4007</v>
      </c>
      <c r="M275" s="1">
        <v>6421</v>
      </c>
      <c r="N275" s="1">
        <v>2581</v>
      </c>
      <c r="O275" s="1">
        <v>5120</v>
      </c>
      <c r="P275" s="1">
        <v>5494</v>
      </c>
      <c r="Q275" s="1">
        <v>2765</v>
      </c>
      <c r="R275" s="1">
        <v>1127</v>
      </c>
      <c r="S275">
        <v>548</v>
      </c>
      <c r="T275" s="1">
        <v>1064</v>
      </c>
      <c r="U275">
        <v>29</v>
      </c>
    </row>
    <row r="276" spans="1:21" x14ac:dyDescent="0.3">
      <c r="A276" t="s">
        <v>112</v>
      </c>
      <c r="B276" t="s">
        <v>114</v>
      </c>
      <c r="C276" s="4" t="s">
        <v>21</v>
      </c>
      <c r="D276" s="1">
        <v>172184</v>
      </c>
      <c r="E276" s="1">
        <v>17447</v>
      </c>
      <c r="F276" s="1">
        <v>9427</v>
      </c>
      <c r="G276" s="1">
        <v>12330</v>
      </c>
      <c r="H276" s="1">
        <v>12331</v>
      </c>
      <c r="I276" s="1">
        <v>10146</v>
      </c>
      <c r="J276" s="1">
        <v>41865</v>
      </c>
      <c r="K276" s="1">
        <v>42666</v>
      </c>
      <c r="L276" s="1">
        <v>8173</v>
      </c>
      <c r="M276" s="1">
        <v>6354</v>
      </c>
      <c r="N276" s="1">
        <v>4758</v>
      </c>
      <c r="O276" s="1">
        <v>4506</v>
      </c>
      <c r="P276" s="1">
        <v>1828</v>
      </c>
      <c r="Q276">
        <v>278</v>
      </c>
      <c r="R276">
        <v>46</v>
      </c>
      <c r="S276">
        <v>15</v>
      </c>
      <c r="T276">
        <v>14</v>
      </c>
    </row>
    <row r="277" spans="1:21" x14ac:dyDescent="0.3">
      <c r="A277" t="s">
        <v>112</v>
      </c>
      <c r="B277" t="s">
        <v>114</v>
      </c>
      <c r="C277" s="4" t="s">
        <v>24</v>
      </c>
      <c r="D277" s="1">
        <v>86503</v>
      </c>
      <c r="E277" s="1">
        <v>10218</v>
      </c>
      <c r="F277" s="1">
        <v>5965</v>
      </c>
      <c r="G277" s="1">
        <v>7387</v>
      </c>
      <c r="H277" s="1">
        <v>7021</v>
      </c>
      <c r="I277" s="1">
        <v>5484</v>
      </c>
      <c r="J277" s="1">
        <v>19922</v>
      </c>
      <c r="K277" s="1">
        <v>18424</v>
      </c>
      <c r="L277" s="1">
        <v>3858</v>
      </c>
      <c r="M277" s="1">
        <v>3042</v>
      </c>
      <c r="N277" s="1">
        <v>2202</v>
      </c>
      <c r="O277" s="1">
        <v>2012</v>
      </c>
      <c r="P277">
        <v>802</v>
      </c>
      <c r="Q277">
        <v>131</v>
      </c>
      <c r="R277">
        <v>17</v>
      </c>
      <c r="S277">
        <v>8</v>
      </c>
      <c r="T277">
        <v>10</v>
      </c>
    </row>
    <row r="278" spans="1:21" x14ac:dyDescent="0.3">
      <c r="A278" t="s">
        <v>112</v>
      </c>
      <c r="B278" t="s">
        <v>114</v>
      </c>
      <c r="C278" s="4" t="s">
        <v>25</v>
      </c>
      <c r="D278" s="1">
        <v>85680</v>
      </c>
      <c r="E278" s="1">
        <v>7229</v>
      </c>
      <c r="F278" s="1">
        <v>3462</v>
      </c>
      <c r="G278" s="1">
        <v>4943</v>
      </c>
      <c r="H278" s="1">
        <v>5310</v>
      </c>
      <c r="I278" s="1">
        <v>4662</v>
      </c>
      <c r="J278" s="1">
        <v>21943</v>
      </c>
      <c r="K278" s="1">
        <v>24242</v>
      </c>
      <c r="L278" s="1">
        <v>4315</v>
      </c>
      <c r="M278" s="1">
        <v>3312</v>
      </c>
      <c r="N278" s="1">
        <v>2556</v>
      </c>
      <c r="O278" s="1">
        <v>2494</v>
      </c>
      <c r="P278" s="1">
        <v>1025</v>
      </c>
      <c r="Q278">
        <v>147</v>
      </c>
      <c r="R278">
        <v>29</v>
      </c>
      <c r="S278">
        <v>7</v>
      </c>
      <c r="T278">
        <v>4</v>
      </c>
    </row>
    <row r="279" spans="1:21" x14ac:dyDescent="0.3">
      <c r="A279" t="s">
        <v>112</v>
      </c>
      <c r="B279" t="s">
        <v>114</v>
      </c>
      <c r="C279" s="4" t="s">
        <v>75</v>
      </c>
      <c r="D279">
        <v>1</v>
      </c>
      <c r="P279">
        <v>1</v>
      </c>
    </row>
    <row r="280" spans="1:21" x14ac:dyDescent="0.3">
      <c r="A280" t="s">
        <v>112</v>
      </c>
      <c r="B280" t="s">
        <v>115</v>
      </c>
      <c r="C280" s="4" t="s">
        <v>21</v>
      </c>
      <c r="D280" s="1">
        <v>170353</v>
      </c>
      <c r="E280" s="1">
        <v>27512</v>
      </c>
      <c r="F280" s="1">
        <v>13246</v>
      </c>
      <c r="G280" s="1">
        <v>18335</v>
      </c>
      <c r="H280" s="1">
        <v>18118</v>
      </c>
      <c r="I280" s="1">
        <v>13116</v>
      </c>
      <c r="J280" s="1">
        <v>37132</v>
      </c>
      <c r="K280" s="1">
        <v>22591</v>
      </c>
      <c r="L280" s="1">
        <v>4749</v>
      </c>
      <c r="M280" s="1">
        <v>4401</v>
      </c>
      <c r="N280" s="1">
        <v>2761</v>
      </c>
      <c r="O280" s="1">
        <v>3014</v>
      </c>
      <c r="P280" s="1">
        <v>4647</v>
      </c>
      <c r="Q280">
        <v>541</v>
      </c>
      <c r="R280">
        <v>106</v>
      </c>
      <c r="S280">
        <v>36</v>
      </c>
      <c r="T280">
        <v>45</v>
      </c>
      <c r="U280">
        <v>3</v>
      </c>
    </row>
    <row r="281" spans="1:21" x14ac:dyDescent="0.3">
      <c r="A281" t="s">
        <v>112</v>
      </c>
      <c r="B281" t="s">
        <v>115</v>
      </c>
      <c r="C281" s="4" t="s">
        <v>24</v>
      </c>
      <c r="D281" s="1">
        <v>93518</v>
      </c>
      <c r="E281" s="1">
        <v>15141</v>
      </c>
      <c r="F281" s="1">
        <v>8204</v>
      </c>
      <c r="G281" s="1">
        <v>10716</v>
      </c>
      <c r="H281" s="1">
        <v>10186</v>
      </c>
      <c r="I281" s="1">
        <v>7294</v>
      </c>
      <c r="J281" s="1">
        <v>19791</v>
      </c>
      <c r="K281" s="1">
        <v>11434</v>
      </c>
      <c r="L281" s="1">
        <v>2569</v>
      </c>
      <c r="M281" s="1">
        <v>2417</v>
      </c>
      <c r="N281" s="1">
        <v>1513</v>
      </c>
      <c r="O281" s="1">
        <v>1578</v>
      </c>
      <c r="P281" s="1">
        <v>2281</v>
      </c>
      <c r="Q281">
        <v>283</v>
      </c>
      <c r="R281">
        <v>60</v>
      </c>
      <c r="S281">
        <v>21</v>
      </c>
      <c r="T281">
        <v>27</v>
      </c>
      <c r="U281">
        <v>3</v>
      </c>
    </row>
    <row r="282" spans="1:21" x14ac:dyDescent="0.3">
      <c r="A282" t="s">
        <v>112</v>
      </c>
      <c r="B282" t="s">
        <v>115</v>
      </c>
      <c r="C282" s="4" t="s">
        <v>25</v>
      </c>
      <c r="D282" s="1">
        <v>76835</v>
      </c>
      <c r="E282" s="1">
        <v>12371</v>
      </c>
      <c r="F282" s="1">
        <v>5042</v>
      </c>
      <c r="G282" s="1">
        <v>7619</v>
      </c>
      <c r="H282" s="1">
        <v>7932</v>
      </c>
      <c r="I282" s="1">
        <v>5822</v>
      </c>
      <c r="J282" s="1">
        <v>17341</v>
      </c>
      <c r="K282" s="1">
        <v>11157</v>
      </c>
      <c r="L282" s="1">
        <v>2180</v>
      </c>
      <c r="M282" s="1">
        <v>1984</v>
      </c>
      <c r="N282" s="1">
        <v>1248</v>
      </c>
      <c r="O282" s="1">
        <v>1436</v>
      </c>
      <c r="P282" s="1">
        <v>2366</v>
      </c>
      <c r="Q282">
        <v>258</v>
      </c>
      <c r="R282">
        <v>46</v>
      </c>
      <c r="S282">
        <v>15</v>
      </c>
      <c r="T282">
        <v>18</v>
      </c>
    </row>
    <row r="283" spans="1:21" x14ac:dyDescent="0.3">
      <c r="A283" t="s">
        <v>112</v>
      </c>
      <c r="B283" t="s">
        <v>116</v>
      </c>
      <c r="C283" s="4" t="s">
        <v>21</v>
      </c>
      <c r="D283" s="1">
        <v>166458</v>
      </c>
      <c r="E283" s="1">
        <v>26017</v>
      </c>
      <c r="F283" s="1">
        <v>10067</v>
      </c>
      <c r="G283" s="1">
        <v>14112</v>
      </c>
      <c r="H283" s="1">
        <v>14513</v>
      </c>
      <c r="I283" s="1">
        <v>10853</v>
      </c>
      <c r="J283" s="1">
        <v>36454</v>
      </c>
      <c r="K283" s="1">
        <v>35098</v>
      </c>
      <c r="L283" s="1">
        <v>7038</v>
      </c>
      <c r="M283" s="1">
        <v>4858</v>
      </c>
      <c r="N283" s="1">
        <v>2785</v>
      </c>
      <c r="O283" s="1">
        <v>2588</v>
      </c>
      <c r="P283" s="1">
        <v>1856</v>
      </c>
      <c r="Q283">
        <v>161</v>
      </c>
      <c r="R283">
        <v>27</v>
      </c>
      <c r="S283">
        <v>5</v>
      </c>
      <c r="T283">
        <v>22</v>
      </c>
      <c r="U283">
        <v>4</v>
      </c>
    </row>
    <row r="284" spans="1:21" x14ac:dyDescent="0.3">
      <c r="A284" t="s">
        <v>112</v>
      </c>
      <c r="B284" t="s">
        <v>116</v>
      </c>
      <c r="C284" s="4" t="s">
        <v>24</v>
      </c>
      <c r="D284" s="1">
        <v>92116</v>
      </c>
      <c r="E284" s="1">
        <v>14893</v>
      </c>
      <c r="F284" s="1">
        <v>6902</v>
      </c>
      <c r="G284" s="1">
        <v>9272</v>
      </c>
      <c r="H284" s="1">
        <v>9291</v>
      </c>
      <c r="I284" s="1">
        <v>6671</v>
      </c>
      <c r="J284" s="1">
        <v>19783</v>
      </c>
      <c r="K284" s="1">
        <v>16212</v>
      </c>
      <c r="L284" s="1">
        <v>3375</v>
      </c>
      <c r="M284" s="1">
        <v>2494</v>
      </c>
      <c r="N284" s="1">
        <v>1230</v>
      </c>
      <c r="O284" s="1">
        <v>1078</v>
      </c>
      <c r="P284">
        <v>814</v>
      </c>
      <c r="Q284">
        <v>75</v>
      </c>
      <c r="R284">
        <v>10</v>
      </c>
      <c r="S284">
        <v>1</v>
      </c>
      <c r="T284">
        <v>13</v>
      </c>
      <c r="U284">
        <v>2</v>
      </c>
    </row>
    <row r="285" spans="1:21" x14ac:dyDescent="0.3">
      <c r="A285" t="s">
        <v>112</v>
      </c>
      <c r="B285" t="s">
        <v>116</v>
      </c>
      <c r="C285" s="4" t="s">
        <v>25</v>
      </c>
      <c r="D285" s="1">
        <v>74324</v>
      </c>
      <c r="E285" s="1">
        <v>11124</v>
      </c>
      <c r="F285" s="1">
        <v>3164</v>
      </c>
      <c r="G285" s="1">
        <v>4840</v>
      </c>
      <c r="H285" s="1">
        <v>5221</v>
      </c>
      <c r="I285" s="1">
        <v>4181</v>
      </c>
      <c r="J285" s="1">
        <v>16669</v>
      </c>
      <c r="K285" s="1">
        <v>18878</v>
      </c>
      <c r="L285" s="1">
        <v>3660</v>
      </c>
      <c r="M285" s="1">
        <v>2363</v>
      </c>
      <c r="N285" s="1">
        <v>1555</v>
      </c>
      <c r="O285" s="1">
        <v>1510</v>
      </c>
      <c r="P285" s="1">
        <v>1041</v>
      </c>
      <c r="Q285">
        <v>86</v>
      </c>
      <c r="R285">
        <v>17</v>
      </c>
      <c r="S285">
        <v>4</v>
      </c>
      <c r="T285">
        <v>9</v>
      </c>
      <c r="U285">
        <v>2</v>
      </c>
    </row>
    <row r="286" spans="1:21" x14ac:dyDescent="0.3">
      <c r="A286" t="s">
        <v>112</v>
      </c>
      <c r="B286" t="s">
        <v>116</v>
      </c>
      <c r="C286" s="4" t="s">
        <v>75</v>
      </c>
      <c r="D286">
        <v>18</v>
      </c>
      <c r="F286">
        <v>1</v>
      </c>
      <c r="H286">
        <v>1</v>
      </c>
      <c r="I286">
        <v>1</v>
      </c>
      <c r="J286">
        <v>2</v>
      </c>
      <c r="K286">
        <v>8</v>
      </c>
      <c r="L286">
        <v>3</v>
      </c>
      <c r="M286">
        <v>1</v>
      </c>
      <c r="P286">
        <v>1</v>
      </c>
    </row>
    <row r="287" spans="1:21" x14ac:dyDescent="0.3">
      <c r="A287" t="s">
        <v>112</v>
      </c>
      <c r="B287" t="s">
        <v>117</v>
      </c>
      <c r="C287" s="4" t="s">
        <v>21</v>
      </c>
      <c r="D287" s="1">
        <v>73974</v>
      </c>
      <c r="E287" s="1">
        <v>9402</v>
      </c>
      <c r="F287" s="1">
        <v>4839</v>
      </c>
      <c r="G287" s="1">
        <v>6587</v>
      </c>
      <c r="H287" s="1">
        <v>6188</v>
      </c>
      <c r="I287" s="1">
        <v>4933</v>
      </c>
      <c r="J287" s="1">
        <v>20882</v>
      </c>
      <c r="K287" s="1">
        <v>14780</v>
      </c>
      <c r="L287" s="1">
        <v>1807</v>
      </c>
      <c r="M287" s="1">
        <v>1695</v>
      </c>
      <c r="N287" s="1">
        <v>1217</v>
      </c>
      <c r="O287">
        <v>927</v>
      </c>
      <c r="P287">
        <v>601</v>
      </c>
      <c r="Q287">
        <v>91</v>
      </c>
      <c r="R287">
        <v>12</v>
      </c>
      <c r="S287">
        <v>3</v>
      </c>
      <c r="T287">
        <v>10</v>
      </c>
    </row>
    <row r="288" spans="1:21" x14ac:dyDescent="0.3">
      <c r="A288" t="s">
        <v>112</v>
      </c>
      <c r="B288" t="s">
        <v>117</v>
      </c>
      <c r="C288" s="4" t="s">
        <v>24</v>
      </c>
      <c r="D288" s="1">
        <v>40066</v>
      </c>
      <c r="E288" s="1">
        <v>5606</v>
      </c>
      <c r="F288" s="1">
        <v>3387</v>
      </c>
      <c r="G288" s="1">
        <v>4388</v>
      </c>
      <c r="H288" s="1">
        <v>3927</v>
      </c>
      <c r="I288" s="1">
        <v>2944</v>
      </c>
      <c r="J288" s="1">
        <v>10303</v>
      </c>
      <c r="K288" s="1">
        <v>6651</v>
      </c>
      <c r="L288">
        <v>938</v>
      </c>
      <c r="M288">
        <v>888</v>
      </c>
      <c r="N288">
        <v>478</v>
      </c>
      <c r="O288">
        <v>273</v>
      </c>
      <c r="P288">
        <v>234</v>
      </c>
      <c r="Q288">
        <v>34</v>
      </c>
      <c r="R288">
        <v>7</v>
      </c>
      <c r="S288">
        <v>1</v>
      </c>
      <c r="T288">
        <v>7</v>
      </c>
    </row>
    <row r="289" spans="1:21" x14ac:dyDescent="0.3">
      <c r="A289" t="s">
        <v>112</v>
      </c>
      <c r="B289" t="s">
        <v>117</v>
      </c>
      <c r="C289" s="4" t="s">
        <v>25</v>
      </c>
      <c r="D289" s="1">
        <v>33908</v>
      </c>
      <c r="E289" s="1">
        <v>3796</v>
      </c>
      <c r="F289" s="1">
        <v>1452</v>
      </c>
      <c r="G289" s="1">
        <v>2199</v>
      </c>
      <c r="H289" s="1">
        <v>2261</v>
      </c>
      <c r="I289" s="1">
        <v>1989</v>
      </c>
      <c r="J289" s="1">
        <v>10579</v>
      </c>
      <c r="K289" s="1">
        <v>8129</v>
      </c>
      <c r="L289">
        <v>869</v>
      </c>
      <c r="M289">
        <v>807</v>
      </c>
      <c r="N289">
        <v>739</v>
      </c>
      <c r="O289">
        <v>654</v>
      </c>
      <c r="P289">
        <v>367</v>
      </c>
      <c r="Q289">
        <v>57</v>
      </c>
      <c r="R289">
        <v>5</v>
      </c>
      <c r="S289">
        <v>2</v>
      </c>
      <c r="T289">
        <v>3</v>
      </c>
    </row>
    <row r="290" spans="1:21" x14ac:dyDescent="0.3">
      <c r="A290" t="s">
        <v>112</v>
      </c>
      <c r="B290" t="s">
        <v>118</v>
      </c>
      <c r="C290" s="4" t="s">
        <v>21</v>
      </c>
      <c r="D290" s="1">
        <v>58056</v>
      </c>
      <c r="E290" s="1">
        <v>7670</v>
      </c>
      <c r="F290" s="1">
        <v>3277</v>
      </c>
      <c r="G290" s="1">
        <v>4898</v>
      </c>
      <c r="H290" s="1">
        <v>4615</v>
      </c>
      <c r="I290" s="1">
        <v>3813</v>
      </c>
      <c r="J290" s="1">
        <v>14922</v>
      </c>
      <c r="K290" s="1">
        <v>12739</v>
      </c>
      <c r="L290" s="1">
        <v>1810</v>
      </c>
      <c r="M290" s="1">
        <v>1732</v>
      </c>
      <c r="N290">
        <v>972</v>
      </c>
      <c r="O290">
        <v>838</v>
      </c>
      <c r="P290">
        <v>685</v>
      </c>
      <c r="Q290">
        <v>62</v>
      </c>
      <c r="R290">
        <v>16</v>
      </c>
      <c r="S290">
        <v>3</v>
      </c>
      <c r="T290">
        <v>4</v>
      </c>
    </row>
    <row r="291" spans="1:21" x14ac:dyDescent="0.3">
      <c r="A291" t="s">
        <v>112</v>
      </c>
      <c r="B291" t="s">
        <v>118</v>
      </c>
      <c r="C291" s="4" t="s">
        <v>24</v>
      </c>
      <c r="D291" s="1">
        <v>29698</v>
      </c>
      <c r="E291" s="1">
        <v>4235</v>
      </c>
      <c r="F291" s="1">
        <v>1959</v>
      </c>
      <c r="G291" s="1">
        <v>2823</v>
      </c>
      <c r="H291" s="1">
        <v>2618</v>
      </c>
      <c r="I291" s="1">
        <v>2095</v>
      </c>
      <c r="J291" s="1">
        <v>7368</v>
      </c>
      <c r="K291" s="1">
        <v>5727</v>
      </c>
      <c r="L291">
        <v>874</v>
      </c>
      <c r="M291">
        <v>897</v>
      </c>
      <c r="N291">
        <v>448</v>
      </c>
      <c r="O291">
        <v>307</v>
      </c>
      <c r="P291">
        <v>311</v>
      </c>
      <c r="Q291">
        <v>26</v>
      </c>
      <c r="R291">
        <v>5</v>
      </c>
      <c r="S291">
        <v>2</v>
      </c>
      <c r="T291">
        <v>3</v>
      </c>
    </row>
    <row r="292" spans="1:21" x14ac:dyDescent="0.3">
      <c r="A292" t="s">
        <v>112</v>
      </c>
      <c r="B292" t="s">
        <v>118</v>
      </c>
      <c r="C292" s="4" t="s">
        <v>25</v>
      </c>
      <c r="D292" s="1">
        <v>28358</v>
      </c>
      <c r="E292" s="1">
        <v>3435</v>
      </c>
      <c r="F292" s="1">
        <v>1318</v>
      </c>
      <c r="G292" s="1">
        <v>2075</v>
      </c>
      <c r="H292" s="1">
        <v>1997</v>
      </c>
      <c r="I292" s="1">
        <v>1718</v>
      </c>
      <c r="J292" s="1">
        <v>7554</v>
      </c>
      <c r="K292" s="1">
        <v>7012</v>
      </c>
      <c r="L292">
        <v>936</v>
      </c>
      <c r="M292">
        <v>835</v>
      </c>
      <c r="N292">
        <v>524</v>
      </c>
      <c r="O292">
        <v>531</v>
      </c>
      <c r="P292">
        <v>374</v>
      </c>
      <c r="Q292">
        <v>36</v>
      </c>
      <c r="R292">
        <v>11</v>
      </c>
      <c r="S292">
        <v>1</v>
      </c>
      <c r="T292">
        <v>1</v>
      </c>
    </row>
    <row r="293" spans="1:21" x14ac:dyDescent="0.3">
      <c r="A293" t="s">
        <v>112</v>
      </c>
      <c r="B293" t="s">
        <v>119</v>
      </c>
      <c r="C293" s="4" t="s">
        <v>21</v>
      </c>
      <c r="D293" s="1">
        <v>50097</v>
      </c>
      <c r="E293" s="1">
        <v>5346</v>
      </c>
      <c r="F293" s="1">
        <v>2994</v>
      </c>
      <c r="G293" s="1">
        <v>4443</v>
      </c>
      <c r="H293" s="1">
        <v>4535</v>
      </c>
      <c r="I293" s="1">
        <v>3544</v>
      </c>
      <c r="J293" s="1">
        <v>12162</v>
      </c>
      <c r="K293" s="1">
        <v>11380</v>
      </c>
      <c r="L293" s="1">
        <v>2442</v>
      </c>
      <c r="M293" s="1">
        <v>1330</v>
      </c>
      <c r="N293">
        <v>794</v>
      </c>
      <c r="O293">
        <v>697</v>
      </c>
      <c r="P293">
        <v>394</v>
      </c>
      <c r="Q293">
        <v>22</v>
      </c>
      <c r="R293">
        <v>9</v>
      </c>
      <c r="S293">
        <v>4</v>
      </c>
      <c r="T293">
        <v>1</v>
      </c>
    </row>
    <row r="294" spans="1:21" x14ac:dyDescent="0.3">
      <c r="A294" t="s">
        <v>112</v>
      </c>
      <c r="B294" t="s">
        <v>119</v>
      </c>
      <c r="C294" s="4" t="s">
        <v>24</v>
      </c>
      <c r="D294" s="1">
        <v>28208</v>
      </c>
      <c r="E294" s="1">
        <v>3267</v>
      </c>
      <c r="F294" s="1">
        <v>2047</v>
      </c>
      <c r="G294" s="1">
        <v>2791</v>
      </c>
      <c r="H294" s="1">
        <v>2815</v>
      </c>
      <c r="I294" s="1">
        <v>2149</v>
      </c>
      <c r="J294" s="1">
        <v>6498</v>
      </c>
      <c r="K294" s="1">
        <v>5697</v>
      </c>
      <c r="L294" s="1">
        <v>1261</v>
      </c>
      <c r="M294">
        <v>777</v>
      </c>
      <c r="N294">
        <v>365</v>
      </c>
      <c r="O294">
        <v>331</v>
      </c>
      <c r="P294">
        <v>191</v>
      </c>
      <c r="Q294">
        <v>12</v>
      </c>
      <c r="R294">
        <v>5</v>
      </c>
      <c r="S294">
        <v>2</v>
      </c>
    </row>
    <row r="295" spans="1:21" x14ac:dyDescent="0.3">
      <c r="A295" t="s">
        <v>112</v>
      </c>
      <c r="B295" t="s">
        <v>119</v>
      </c>
      <c r="C295" s="4" t="s">
        <v>25</v>
      </c>
      <c r="D295" s="1">
        <v>21887</v>
      </c>
      <c r="E295" s="1">
        <v>2079</v>
      </c>
      <c r="F295">
        <v>947</v>
      </c>
      <c r="G295" s="1">
        <v>1652</v>
      </c>
      <c r="H295" s="1">
        <v>1720</v>
      </c>
      <c r="I295" s="1">
        <v>1395</v>
      </c>
      <c r="J295" s="1">
        <v>5664</v>
      </c>
      <c r="K295" s="1">
        <v>5681</v>
      </c>
      <c r="L295" s="1">
        <v>1181</v>
      </c>
      <c r="M295">
        <v>553</v>
      </c>
      <c r="N295">
        <v>429</v>
      </c>
      <c r="O295">
        <v>366</v>
      </c>
      <c r="P295">
        <v>203</v>
      </c>
      <c r="Q295">
        <v>10</v>
      </c>
      <c r="R295">
        <v>4</v>
      </c>
      <c r="S295">
        <v>2</v>
      </c>
      <c r="T295">
        <v>1</v>
      </c>
    </row>
    <row r="296" spans="1:21" x14ac:dyDescent="0.3">
      <c r="A296" t="s">
        <v>112</v>
      </c>
      <c r="B296" t="s">
        <v>119</v>
      </c>
      <c r="C296" s="4" t="s">
        <v>75</v>
      </c>
      <c r="D296">
        <v>2</v>
      </c>
      <c r="K296">
        <v>2</v>
      </c>
    </row>
    <row r="297" spans="1:21" x14ac:dyDescent="0.3">
      <c r="A297" t="s">
        <v>112</v>
      </c>
      <c r="B297" t="s">
        <v>120</v>
      </c>
      <c r="C297" s="4" t="s">
        <v>21</v>
      </c>
      <c r="D297" s="1">
        <v>46619</v>
      </c>
      <c r="E297" s="1">
        <v>7641</v>
      </c>
      <c r="F297" s="1">
        <v>3696</v>
      </c>
      <c r="G297" s="1">
        <v>4405</v>
      </c>
      <c r="H297" s="1">
        <v>3599</v>
      </c>
      <c r="I297" s="1">
        <v>3200</v>
      </c>
      <c r="J297" s="1">
        <v>12434</v>
      </c>
      <c r="K297" s="1">
        <v>8270</v>
      </c>
      <c r="L297" s="1">
        <v>1054</v>
      </c>
      <c r="M297">
        <v>806</v>
      </c>
      <c r="N297">
        <v>624</v>
      </c>
      <c r="O297">
        <v>486</v>
      </c>
      <c r="P297">
        <v>330</v>
      </c>
      <c r="Q297">
        <v>59</v>
      </c>
      <c r="R297">
        <v>9</v>
      </c>
      <c r="S297">
        <v>2</v>
      </c>
      <c r="T297">
        <v>4</v>
      </c>
    </row>
    <row r="298" spans="1:21" x14ac:dyDescent="0.3">
      <c r="A298" t="s">
        <v>112</v>
      </c>
      <c r="B298" t="s">
        <v>120</v>
      </c>
      <c r="C298" s="4" t="s">
        <v>24</v>
      </c>
      <c r="D298" s="1">
        <v>21928</v>
      </c>
      <c r="E298" s="1">
        <v>4184</v>
      </c>
      <c r="F298" s="1">
        <v>1955</v>
      </c>
      <c r="G298" s="1">
        <v>2264</v>
      </c>
      <c r="H298" s="1">
        <v>1786</v>
      </c>
      <c r="I298" s="1">
        <v>1627</v>
      </c>
      <c r="J298" s="1">
        <v>5576</v>
      </c>
      <c r="K298" s="1">
        <v>3213</v>
      </c>
      <c r="L298">
        <v>406</v>
      </c>
      <c r="M298">
        <v>375</v>
      </c>
      <c r="N298">
        <v>224</v>
      </c>
      <c r="O298">
        <v>185</v>
      </c>
      <c r="P298">
        <v>118</v>
      </c>
      <c r="Q298">
        <v>11</v>
      </c>
      <c r="R298">
        <v>3</v>
      </c>
      <c r="T298">
        <v>1</v>
      </c>
    </row>
    <row r="299" spans="1:21" x14ac:dyDescent="0.3">
      <c r="A299" t="s">
        <v>112</v>
      </c>
      <c r="B299" t="s">
        <v>120</v>
      </c>
      <c r="C299" s="4" t="s">
        <v>25</v>
      </c>
      <c r="D299" s="1">
        <v>24691</v>
      </c>
      <c r="E299" s="1">
        <v>3457</v>
      </c>
      <c r="F299" s="1">
        <v>1741</v>
      </c>
      <c r="G299" s="1">
        <v>2141</v>
      </c>
      <c r="H299" s="1">
        <v>1813</v>
      </c>
      <c r="I299" s="1">
        <v>1573</v>
      </c>
      <c r="J299" s="1">
        <v>6858</v>
      </c>
      <c r="K299" s="1">
        <v>5057</v>
      </c>
      <c r="L299">
        <v>648</v>
      </c>
      <c r="M299">
        <v>431</v>
      </c>
      <c r="N299">
        <v>400</v>
      </c>
      <c r="O299">
        <v>301</v>
      </c>
      <c r="P299">
        <v>212</v>
      </c>
      <c r="Q299">
        <v>48</v>
      </c>
      <c r="R299">
        <v>6</v>
      </c>
      <c r="S299">
        <v>2</v>
      </c>
      <c r="T299">
        <v>3</v>
      </c>
    </row>
    <row r="300" spans="1:21" x14ac:dyDescent="0.3">
      <c r="A300" t="s">
        <v>112</v>
      </c>
      <c r="B300" t="s">
        <v>121</v>
      </c>
      <c r="C300" s="4" t="s">
        <v>21</v>
      </c>
      <c r="D300" s="1">
        <v>28273</v>
      </c>
      <c r="E300" s="1">
        <v>2793</v>
      </c>
      <c r="F300" s="1">
        <v>1649</v>
      </c>
      <c r="G300" s="1">
        <v>2316</v>
      </c>
      <c r="H300" s="1">
        <v>2433</v>
      </c>
      <c r="I300" s="1">
        <v>1890</v>
      </c>
      <c r="J300" s="1">
        <v>7035</v>
      </c>
      <c r="K300" s="1">
        <v>7255</v>
      </c>
      <c r="L300" s="1">
        <v>1175</v>
      </c>
      <c r="M300">
        <v>719</v>
      </c>
      <c r="N300">
        <v>481</v>
      </c>
      <c r="O300">
        <v>281</v>
      </c>
      <c r="P300">
        <v>211</v>
      </c>
      <c r="Q300">
        <v>26</v>
      </c>
      <c r="R300">
        <v>4</v>
      </c>
      <c r="S300">
        <v>1</v>
      </c>
      <c r="T300">
        <v>3</v>
      </c>
      <c r="U300">
        <v>1</v>
      </c>
    </row>
    <row r="301" spans="1:21" x14ac:dyDescent="0.3">
      <c r="A301" t="s">
        <v>112</v>
      </c>
      <c r="B301" t="s">
        <v>121</v>
      </c>
      <c r="C301" s="4" t="s">
        <v>24</v>
      </c>
      <c r="D301" s="1">
        <v>14689</v>
      </c>
      <c r="E301" s="1">
        <v>1637</v>
      </c>
      <c r="F301" s="1">
        <v>1061</v>
      </c>
      <c r="G301" s="1">
        <v>1462</v>
      </c>
      <c r="H301" s="1">
        <v>1443</v>
      </c>
      <c r="I301" s="1">
        <v>1069</v>
      </c>
      <c r="J301" s="1">
        <v>3547</v>
      </c>
      <c r="K301" s="1">
        <v>3223</v>
      </c>
      <c r="L301">
        <v>522</v>
      </c>
      <c r="M301">
        <v>305</v>
      </c>
      <c r="N301">
        <v>178</v>
      </c>
      <c r="O301">
        <v>128</v>
      </c>
      <c r="P301">
        <v>99</v>
      </c>
      <c r="Q301">
        <v>11</v>
      </c>
      <c r="R301">
        <v>1</v>
      </c>
      <c r="T301">
        <v>2</v>
      </c>
      <c r="U301">
        <v>1</v>
      </c>
    </row>
    <row r="302" spans="1:21" x14ac:dyDescent="0.3">
      <c r="A302" t="s">
        <v>112</v>
      </c>
      <c r="B302" t="s">
        <v>121</v>
      </c>
      <c r="C302" s="4" t="s">
        <v>25</v>
      </c>
      <c r="D302" s="1">
        <v>13584</v>
      </c>
      <c r="E302" s="1">
        <v>1156</v>
      </c>
      <c r="F302">
        <v>588</v>
      </c>
      <c r="G302">
        <v>854</v>
      </c>
      <c r="H302">
        <v>990</v>
      </c>
      <c r="I302">
        <v>821</v>
      </c>
      <c r="J302" s="1">
        <v>3488</v>
      </c>
      <c r="K302" s="1">
        <v>4032</v>
      </c>
      <c r="L302">
        <v>653</v>
      </c>
      <c r="M302">
        <v>414</v>
      </c>
      <c r="N302">
        <v>303</v>
      </c>
      <c r="O302">
        <v>153</v>
      </c>
      <c r="P302">
        <v>112</v>
      </c>
      <c r="Q302">
        <v>15</v>
      </c>
      <c r="R302">
        <v>3</v>
      </c>
      <c r="S302">
        <v>1</v>
      </c>
      <c r="T302">
        <v>1</v>
      </c>
    </row>
    <row r="303" spans="1:21" x14ac:dyDescent="0.3">
      <c r="A303" t="s">
        <v>112</v>
      </c>
      <c r="B303" t="s">
        <v>122</v>
      </c>
      <c r="C303" s="4" t="s">
        <v>21</v>
      </c>
      <c r="D303" s="1">
        <v>24105</v>
      </c>
      <c r="E303" s="1">
        <v>2126</v>
      </c>
      <c r="F303" s="1">
        <v>1577</v>
      </c>
      <c r="G303" s="1">
        <v>2501</v>
      </c>
      <c r="H303" s="1">
        <v>2501</v>
      </c>
      <c r="I303" s="1">
        <v>2107</v>
      </c>
      <c r="J303" s="1">
        <v>6412</v>
      </c>
      <c r="K303" s="1">
        <v>4052</v>
      </c>
      <c r="L303">
        <v>966</v>
      </c>
      <c r="M303">
        <v>619</v>
      </c>
      <c r="N303">
        <v>533</v>
      </c>
      <c r="O303">
        <v>432</v>
      </c>
      <c r="P303">
        <v>234</v>
      </c>
      <c r="Q303">
        <v>35</v>
      </c>
      <c r="R303">
        <v>4</v>
      </c>
      <c r="S303">
        <v>6</v>
      </c>
    </row>
    <row r="304" spans="1:21" x14ac:dyDescent="0.3">
      <c r="A304" t="s">
        <v>112</v>
      </c>
      <c r="B304" t="s">
        <v>122</v>
      </c>
      <c r="C304" s="4" t="s">
        <v>24</v>
      </c>
      <c r="D304" s="1">
        <v>13464</v>
      </c>
      <c r="E304" s="1">
        <v>1354</v>
      </c>
      <c r="F304" s="1">
        <v>1024</v>
      </c>
      <c r="G304" s="1">
        <v>1559</v>
      </c>
      <c r="H304" s="1">
        <v>1515</v>
      </c>
      <c r="I304" s="1">
        <v>1238</v>
      </c>
      <c r="J304" s="1">
        <v>3378</v>
      </c>
      <c r="K304" s="1">
        <v>2044</v>
      </c>
      <c r="L304">
        <v>468</v>
      </c>
      <c r="M304">
        <v>332</v>
      </c>
      <c r="N304">
        <v>254</v>
      </c>
      <c r="O304">
        <v>181</v>
      </c>
      <c r="P304">
        <v>103</v>
      </c>
      <c r="Q304">
        <v>10</v>
      </c>
      <c r="R304">
        <v>3</v>
      </c>
      <c r="S304">
        <v>1</v>
      </c>
    </row>
    <row r="305" spans="1:20" x14ac:dyDescent="0.3">
      <c r="A305" t="s">
        <v>112</v>
      </c>
      <c r="B305" t="s">
        <v>122</v>
      </c>
      <c r="C305" s="4" t="s">
        <v>25</v>
      </c>
      <c r="D305" s="1">
        <v>10641</v>
      </c>
      <c r="E305">
        <v>772</v>
      </c>
      <c r="F305">
        <v>553</v>
      </c>
      <c r="G305">
        <v>942</v>
      </c>
      <c r="H305">
        <v>986</v>
      </c>
      <c r="I305">
        <v>869</v>
      </c>
      <c r="J305" s="1">
        <v>3034</v>
      </c>
      <c r="K305" s="1">
        <v>2008</v>
      </c>
      <c r="L305">
        <v>498</v>
      </c>
      <c r="M305">
        <v>287</v>
      </c>
      <c r="N305">
        <v>279</v>
      </c>
      <c r="O305">
        <v>251</v>
      </c>
      <c r="P305">
        <v>131</v>
      </c>
      <c r="Q305">
        <v>25</v>
      </c>
      <c r="R305">
        <v>1</v>
      </c>
      <c r="S305">
        <v>5</v>
      </c>
    </row>
    <row r="306" spans="1:20" x14ac:dyDescent="0.3">
      <c r="A306" t="s">
        <v>112</v>
      </c>
      <c r="B306" t="s">
        <v>123</v>
      </c>
      <c r="C306" s="4" t="s">
        <v>21</v>
      </c>
      <c r="D306" s="1">
        <v>20299</v>
      </c>
      <c r="E306" s="1">
        <v>1825</v>
      </c>
      <c r="F306" s="1">
        <v>1165</v>
      </c>
      <c r="G306" s="1">
        <v>1650</v>
      </c>
      <c r="H306" s="1">
        <v>1591</v>
      </c>
      <c r="I306" s="1">
        <v>1301</v>
      </c>
      <c r="J306" s="1">
        <v>4996</v>
      </c>
      <c r="K306" s="1">
        <v>5228</v>
      </c>
      <c r="L306">
        <v>944</v>
      </c>
      <c r="M306">
        <v>640</v>
      </c>
      <c r="N306">
        <v>392</v>
      </c>
      <c r="O306">
        <v>357</v>
      </c>
      <c r="P306">
        <v>186</v>
      </c>
      <c r="Q306">
        <v>18</v>
      </c>
      <c r="R306">
        <v>5</v>
      </c>
      <c r="T306">
        <v>1</v>
      </c>
    </row>
    <row r="307" spans="1:20" x14ac:dyDescent="0.3">
      <c r="A307" t="s">
        <v>112</v>
      </c>
      <c r="B307" t="s">
        <v>123</v>
      </c>
      <c r="C307" s="4" t="s">
        <v>24</v>
      </c>
      <c r="D307" s="1">
        <v>10549</v>
      </c>
      <c r="E307" s="1">
        <v>1093</v>
      </c>
      <c r="F307">
        <v>779</v>
      </c>
      <c r="G307" s="1">
        <v>1064</v>
      </c>
      <c r="H307">
        <v>980</v>
      </c>
      <c r="I307">
        <v>756</v>
      </c>
      <c r="J307" s="1">
        <v>2494</v>
      </c>
      <c r="K307" s="1">
        <v>2254</v>
      </c>
      <c r="L307">
        <v>427</v>
      </c>
      <c r="M307">
        <v>296</v>
      </c>
      <c r="N307">
        <v>165</v>
      </c>
      <c r="O307">
        <v>157</v>
      </c>
      <c r="P307">
        <v>72</v>
      </c>
      <c r="Q307">
        <v>8</v>
      </c>
      <c r="R307">
        <v>3</v>
      </c>
      <c r="T307">
        <v>1</v>
      </c>
    </row>
    <row r="308" spans="1:20" x14ac:dyDescent="0.3">
      <c r="A308" t="s">
        <v>112</v>
      </c>
      <c r="B308" t="s">
        <v>123</v>
      </c>
      <c r="C308" s="4" t="s">
        <v>25</v>
      </c>
      <c r="D308" s="1">
        <v>9750</v>
      </c>
      <c r="E308">
        <v>732</v>
      </c>
      <c r="F308">
        <v>386</v>
      </c>
      <c r="G308">
        <v>586</v>
      </c>
      <c r="H308">
        <v>611</v>
      </c>
      <c r="I308">
        <v>545</v>
      </c>
      <c r="J308" s="1">
        <v>2502</v>
      </c>
      <c r="K308" s="1">
        <v>2974</v>
      </c>
      <c r="L308">
        <v>517</v>
      </c>
      <c r="M308">
        <v>344</v>
      </c>
      <c r="N308">
        <v>227</v>
      </c>
      <c r="O308">
        <v>200</v>
      </c>
      <c r="P308">
        <v>114</v>
      </c>
      <c r="Q308">
        <v>10</v>
      </c>
      <c r="R308">
        <v>2</v>
      </c>
    </row>
    <row r="309" spans="1:20" x14ac:dyDescent="0.3">
      <c r="A309" t="s">
        <v>112</v>
      </c>
      <c r="B309" t="s">
        <v>124</v>
      </c>
      <c r="C309" s="4" t="s">
        <v>21</v>
      </c>
      <c r="D309" s="1">
        <v>17384</v>
      </c>
      <c r="E309" s="1">
        <v>1339</v>
      </c>
      <c r="F309">
        <v>993</v>
      </c>
      <c r="G309" s="1">
        <v>1414</v>
      </c>
      <c r="H309" s="1">
        <v>1437</v>
      </c>
      <c r="I309" s="1">
        <v>1295</v>
      </c>
      <c r="J309" s="1">
        <v>4804</v>
      </c>
      <c r="K309" s="1">
        <v>4156</v>
      </c>
      <c r="L309">
        <v>671</v>
      </c>
      <c r="M309">
        <v>530</v>
      </c>
      <c r="N309">
        <v>338</v>
      </c>
      <c r="O309">
        <v>287</v>
      </c>
      <c r="P309">
        <v>111</v>
      </c>
      <c r="Q309">
        <v>7</v>
      </c>
      <c r="R309">
        <v>1</v>
      </c>
      <c r="T309">
        <v>1</v>
      </c>
    </row>
    <row r="310" spans="1:20" x14ac:dyDescent="0.3">
      <c r="A310" t="s">
        <v>112</v>
      </c>
      <c r="B310" t="s">
        <v>124</v>
      </c>
      <c r="C310" s="4" t="s">
        <v>24</v>
      </c>
      <c r="D310" s="1">
        <v>9749</v>
      </c>
      <c r="E310">
        <v>844</v>
      </c>
      <c r="F310">
        <v>681</v>
      </c>
      <c r="G310">
        <v>929</v>
      </c>
      <c r="H310">
        <v>898</v>
      </c>
      <c r="I310">
        <v>788</v>
      </c>
      <c r="J310" s="1">
        <v>2481</v>
      </c>
      <c r="K310" s="1">
        <v>2043</v>
      </c>
      <c r="L310">
        <v>372</v>
      </c>
      <c r="M310">
        <v>315</v>
      </c>
      <c r="N310">
        <v>189</v>
      </c>
      <c r="O310">
        <v>141</v>
      </c>
      <c r="P310">
        <v>63</v>
      </c>
      <c r="Q310">
        <v>3</v>
      </c>
      <c r="R310">
        <v>1</v>
      </c>
      <c r="T310">
        <v>1</v>
      </c>
    </row>
    <row r="311" spans="1:20" x14ac:dyDescent="0.3">
      <c r="A311" t="s">
        <v>112</v>
      </c>
      <c r="B311" t="s">
        <v>124</v>
      </c>
      <c r="C311" s="4" t="s">
        <v>25</v>
      </c>
      <c r="D311" s="1">
        <v>7635</v>
      </c>
      <c r="E311">
        <v>495</v>
      </c>
      <c r="F311">
        <v>312</v>
      </c>
      <c r="G311">
        <v>485</v>
      </c>
      <c r="H311">
        <v>539</v>
      </c>
      <c r="I311">
        <v>507</v>
      </c>
      <c r="J311" s="1">
        <v>2323</v>
      </c>
      <c r="K311" s="1">
        <v>2113</v>
      </c>
      <c r="L311">
        <v>299</v>
      </c>
      <c r="M311">
        <v>215</v>
      </c>
      <c r="N311">
        <v>149</v>
      </c>
      <c r="O311">
        <v>146</v>
      </c>
      <c r="P311">
        <v>48</v>
      </c>
      <c r="Q311">
        <v>4</v>
      </c>
    </row>
    <row r="312" spans="1:20" x14ac:dyDescent="0.3">
      <c r="A312" t="s">
        <v>112</v>
      </c>
      <c r="B312" t="s">
        <v>125</v>
      </c>
      <c r="C312" s="4" t="s">
        <v>21</v>
      </c>
      <c r="D312" s="1">
        <v>16344</v>
      </c>
      <c r="E312" s="1">
        <v>1843</v>
      </c>
      <c r="F312" s="1">
        <v>1128</v>
      </c>
      <c r="G312" s="1">
        <v>1536</v>
      </c>
      <c r="H312" s="1">
        <v>1537</v>
      </c>
      <c r="I312" s="1">
        <v>1140</v>
      </c>
      <c r="J312" s="1">
        <v>4181</v>
      </c>
      <c r="K312" s="1">
        <v>3261</v>
      </c>
      <c r="L312">
        <v>609</v>
      </c>
      <c r="M312">
        <v>488</v>
      </c>
      <c r="N312">
        <v>276</v>
      </c>
      <c r="O312">
        <v>167</v>
      </c>
      <c r="P312">
        <v>161</v>
      </c>
      <c r="Q312">
        <v>11</v>
      </c>
      <c r="R312">
        <v>5</v>
      </c>
      <c r="T312">
        <v>1</v>
      </c>
    </row>
    <row r="313" spans="1:20" x14ac:dyDescent="0.3">
      <c r="A313" t="s">
        <v>112</v>
      </c>
      <c r="B313" t="s">
        <v>125</v>
      </c>
      <c r="C313" s="4" t="s">
        <v>24</v>
      </c>
      <c r="D313" s="1">
        <v>9071</v>
      </c>
      <c r="E313" s="1">
        <v>1081</v>
      </c>
      <c r="F313">
        <v>781</v>
      </c>
      <c r="G313" s="1">
        <v>1009</v>
      </c>
      <c r="H313">
        <v>966</v>
      </c>
      <c r="I313">
        <v>691</v>
      </c>
      <c r="J313" s="1">
        <v>2216</v>
      </c>
      <c r="K313" s="1">
        <v>1484</v>
      </c>
      <c r="L313">
        <v>306</v>
      </c>
      <c r="M313">
        <v>267</v>
      </c>
      <c r="N313">
        <v>124</v>
      </c>
      <c r="O313">
        <v>62</v>
      </c>
      <c r="P313">
        <v>74</v>
      </c>
      <c r="Q313">
        <v>8</v>
      </c>
      <c r="R313">
        <v>1</v>
      </c>
      <c r="T313">
        <v>1</v>
      </c>
    </row>
    <row r="314" spans="1:20" x14ac:dyDescent="0.3">
      <c r="A314" t="s">
        <v>112</v>
      </c>
      <c r="B314" t="s">
        <v>125</v>
      </c>
      <c r="C314" s="4" t="s">
        <v>25</v>
      </c>
      <c r="D314" s="1">
        <v>7273</v>
      </c>
      <c r="E314">
        <v>762</v>
      </c>
      <c r="F314">
        <v>347</v>
      </c>
      <c r="G314">
        <v>527</v>
      </c>
      <c r="H314">
        <v>571</v>
      </c>
      <c r="I314">
        <v>449</v>
      </c>
      <c r="J314" s="1">
        <v>1965</v>
      </c>
      <c r="K314" s="1">
        <v>1777</v>
      </c>
      <c r="L314">
        <v>303</v>
      </c>
      <c r="M314">
        <v>221</v>
      </c>
      <c r="N314">
        <v>152</v>
      </c>
      <c r="O314">
        <v>105</v>
      </c>
      <c r="P314">
        <v>87</v>
      </c>
      <c r="Q314">
        <v>3</v>
      </c>
      <c r="R314">
        <v>4</v>
      </c>
    </row>
    <row r="315" spans="1:20" x14ac:dyDescent="0.3">
      <c r="A315" t="s">
        <v>112</v>
      </c>
      <c r="B315" t="s">
        <v>126</v>
      </c>
      <c r="C315" s="4" t="s">
        <v>21</v>
      </c>
      <c r="D315" s="1">
        <v>16305</v>
      </c>
      <c r="E315" s="1">
        <v>2126</v>
      </c>
      <c r="F315" s="1">
        <v>1216</v>
      </c>
      <c r="G315" s="1">
        <v>1999</v>
      </c>
      <c r="H315" s="1">
        <v>2181</v>
      </c>
      <c r="I315" s="1">
        <v>1490</v>
      </c>
      <c r="J315" s="1">
        <v>3910</v>
      </c>
      <c r="K315" s="1">
        <v>2269</v>
      </c>
      <c r="L315">
        <v>323</v>
      </c>
      <c r="M315">
        <v>251</v>
      </c>
      <c r="N315">
        <v>187</v>
      </c>
      <c r="O315">
        <v>125</v>
      </c>
      <c r="P315">
        <v>214</v>
      </c>
      <c r="Q315">
        <v>12</v>
      </c>
      <c r="R315">
        <v>2</v>
      </c>
    </row>
    <row r="316" spans="1:20" x14ac:dyDescent="0.3">
      <c r="A316" t="s">
        <v>112</v>
      </c>
      <c r="B316" t="s">
        <v>126</v>
      </c>
      <c r="C316" s="4" t="s">
        <v>24</v>
      </c>
      <c r="D316" s="1">
        <v>7881</v>
      </c>
      <c r="E316" s="1">
        <v>1136</v>
      </c>
      <c r="F316">
        <v>639</v>
      </c>
      <c r="G316">
        <v>972</v>
      </c>
      <c r="H316" s="1">
        <v>1056</v>
      </c>
      <c r="I316">
        <v>703</v>
      </c>
      <c r="J316" s="1">
        <v>1847</v>
      </c>
      <c r="K316">
        <v>988</v>
      </c>
      <c r="L316">
        <v>160</v>
      </c>
      <c r="M316">
        <v>142</v>
      </c>
      <c r="N316">
        <v>93</v>
      </c>
      <c r="O316">
        <v>50</v>
      </c>
      <c r="P316">
        <v>91</v>
      </c>
      <c r="Q316">
        <v>4</v>
      </c>
    </row>
    <row r="317" spans="1:20" x14ac:dyDescent="0.3">
      <c r="A317" t="s">
        <v>112</v>
      </c>
      <c r="B317" t="s">
        <v>126</v>
      </c>
      <c r="C317" s="4" t="s">
        <v>25</v>
      </c>
      <c r="D317" s="1">
        <v>8424</v>
      </c>
      <c r="E317">
        <v>990</v>
      </c>
      <c r="F317">
        <v>577</v>
      </c>
      <c r="G317" s="1">
        <v>1027</v>
      </c>
      <c r="H317" s="1">
        <v>1125</v>
      </c>
      <c r="I317">
        <v>787</v>
      </c>
      <c r="J317" s="1">
        <v>2063</v>
      </c>
      <c r="K317" s="1">
        <v>1281</v>
      </c>
      <c r="L317">
        <v>163</v>
      </c>
      <c r="M317">
        <v>109</v>
      </c>
      <c r="N317">
        <v>94</v>
      </c>
      <c r="O317">
        <v>75</v>
      </c>
      <c r="P317">
        <v>123</v>
      </c>
      <c r="Q317">
        <v>8</v>
      </c>
      <c r="R317">
        <v>2</v>
      </c>
    </row>
    <row r="318" spans="1:20" x14ac:dyDescent="0.3">
      <c r="A318" t="s">
        <v>112</v>
      </c>
      <c r="B318" t="s">
        <v>127</v>
      </c>
      <c r="C318" s="4" t="s">
        <v>21</v>
      </c>
      <c r="D318" s="1">
        <v>14847</v>
      </c>
      <c r="E318" s="1">
        <v>1866</v>
      </c>
      <c r="F318" s="1">
        <v>1127</v>
      </c>
      <c r="G318" s="1">
        <v>1780</v>
      </c>
      <c r="H318" s="1">
        <v>1683</v>
      </c>
      <c r="I318" s="1">
        <v>1150</v>
      </c>
      <c r="J318" s="1">
        <v>3433</v>
      </c>
      <c r="K318" s="1">
        <v>2001</v>
      </c>
      <c r="L318">
        <v>393</v>
      </c>
      <c r="M318">
        <v>357</v>
      </c>
      <c r="N318">
        <v>253</v>
      </c>
      <c r="O318">
        <v>328</v>
      </c>
      <c r="P318">
        <v>408</v>
      </c>
      <c r="Q318">
        <v>44</v>
      </c>
      <c r="R318">
        <v>19</v>
      </c>
      <c r="S318">
        <v>2</v>
      </c>
      <c r="T318">
        <v>3</v>
      </c>
    </row>
    <row r="319" spans="1:20" x14ac:dyDescent="0.3">
      <c r="A319" t="s">
        <v>112</v>
      </c>
      <c r="B319" t="s">
        <v>127</v>
      </c>
      <c r="C319" s="4" t="s">
        <v>24</v>
      </c>
      <c r="D319" s="1">
        <v>8342</v>
      </c>
      <c r="E319" s="1">
        <v>1118</v>
      </c>
      <c r="F319">
        <v>700</v>
      </c>
      <c r="G319" s="1">
        <v>1022</v>
      </c>
      <c r="H319">
        <v>978</v>
      </c>
      <c r="I319">
        <v>620</v>
      </c>
      <c r="J319" s="1">
        <v>1779</v>
      </c>
      <c r="K319" s="1">
        <v>1056</v>
      </c>
      <c r="L319">
        <v>232</v>
      </c>
      <c r="M319">
        <v>220</v>
      </c>
      <c r="N319">
        <v>161</v>
      </c>
      <c r="O319">
        <v>189</v>
      </c>
      <c r="P319">
        <v>221</v>
      </c>
      <c r="Q319">
        <v>27</v>
      </c>
      <c r="R319">
        <v>15</v>
      </c>
      <c r="S319">
        <v>1</v>
      </c>
      <c r="T319">
        <v>3</v>
      </c>
    </row>
    <row r="320" spans="1:20" x14ac:dyDescent="0.3">
      <c r="A320" t="s">
        <v>112</v>
      </c>
      <c r="B320" t="s">
        <v>127</v>
      </c>
      <c r="C320" s="4" t="s">
        <v>25</v>
      </c>
      <c r="D320" s="1">
        <v>6505</v>
      </c>
      <c r="E320">
        <v>748</v>
      </c>
      <c r="F320">
        <v>427</v>
      </c>
      <c r="G320">
        <v>758</v>
      </c>
      <c r="H320">
        <v>705</v>
      </c>
      <c r="I320">
        <v>530</v>
      </c>
      <c r="J320" s="1">
        <v>1654</v>
      </c>
      <c r="K320">
        <v>945</v>
      </c>
      <c r="L320">
        <v>161</v>
      </c>
      <c r="M320">
        <v>137</v>
      </c>
      <c r="N320">
        <v>92</v>
      </c>
      <c r="O320">
        <v>139</v>
      </c>
      <c r="P320">
        <v>187</v>
      </c>
      <c r="Q320">
        <v>17</v>
      </c>
      <c r="R320">
        <v>4</v>
      </c>
      <c r="S320">
        <v>1</v>
      </c>
    </row>
    <row r="321" spans="1:21" x14ac:dyDescent="0.3">
      <c r="A321" t="s">
        <v>112</v>
      </c>
      <c r="B321" t="s">
        <v>128</v>
      </c>
      <c r="C321" s="4" t="s">
        <v>21</v>
      </c>
      <c r="D321" s="1">
        <v>14719</v>
      </c>
      <c r="E321" s="1">
        <v>1417</v>
      </c>
      <c r="F321">
        <v>952</v>
      </c>
      <c r="G321" s="1">
        <v>1517</v>
      </c>
      <c r="H321" s="1">
        <v>1453</v>
      </c>
      <c r="I321" s="1">
        <v>1219</v>
      </c>
      <c r="J321" s="1">
        <v>4061</v>
      </c>
      <c r="K321" s="1">
        <v>2447</v>
      </c>
      <c r="L321">
        <v>496</v>
      </c>
      <c r="M321">
        <v>491</v>
      </c>
      <c r="N321">
        <v>271</v>
      </c>
      <c r="O321">
        <v>267</v>
      </c>
      <c r="P321">
        <v>111</v>
      </c>
      <c r="Q321">
        <v>12</v>
      </c>
      <c r="R321">
        <v>3</v>
      </c>
      <c r="S321">
        <v>1</v>
      </c>
      <c r="T321">
        <v>1</v>
      </c>
    </row>
    <row r="322" spans="1:21" x14ac:dyDescent="0.3">
      <c r="A322" t="s">
        <v>112</v>
      </c>
      <c r="B322" t="s">
        <v>128</v>
      </c>
      <c r="C322" s="4" t="s">
        <v>24</v>
      </c>
      <c r="D322" s="1">
        <v>8199</v>
      </c>
      <c r="E322">
        <v>875</v>
      </c>
      <c r="F322">
        <v>629</v>
      </c>
      <c r="G322">
        <v>926</v>
      </c>
      <c r="H322">
        <v>869</v>
      </c>
      <c r="I322">
        <v>721</v>
      </c>
      <c r="J322" s="1">
        <v>2139</v>
      </c>
      <c r="K322" s="1">
        <v>1204</v>
      </c>
      <c r="L322">
        <v>284</v>
      </c>
      <c r="M322">
        <v>274</v>
      </c>
      <c r="N322">
        <v>120</v>
      </c>
      <c r="O322">
        <v>105</v>
      </c>
      <c r="P322">
        <v>48</v>
      </c>
      <c r="Q322">
        <v>3</v>
      </c>
      <c r="R322">
        <v>2</v>
      </c>
    </row>
    <row r="323" spans="1:21" x14ac:dyDescent="0.3">
      <c r="A323" t="s">
        <v>112</v>
      </c>
      <c r="B323" t="s">
        <v>128</v>
      </c>
      <c r="C323" s="4" t="s">
        <v>25</v>
      </c>
      <c r="D323" s="1">
        <v>6520</v>
      </c>
      <c r="E323">
        <v>542</v>
      </c>
      <c r="F323">
        <v>323</v>
      </c>
      <c r="G323">
        <v>591</v>
      </c>
      <c r="H323">
        <v>584</v>
      </c>
      <c r="I323">
        <v>498</v>
      </c>
      <c r="J323" s="1">
        <v>1922</v>
      </c>
      <c r="K323" s="1">
        <v>1243</v>
      </c>
      <c r="L323">
        <v>212</v>
      </c>
      <c r="M323">
        <v>217</v>
      </c>
      <c r="N323">
        <v>151</v>
      </c>
      <c r="O323">
        <v>162</v>
      </c>
      <c r="P323">
        <v>63</v>
      </c>
      <c r="Q323">
        <v>9</v>
      </c>
      <c r="R323">
        <v>1</v>
      </c>
      <c r="S323">
        <v>1</v>
      </c>
      <c r="T323">
        <v>1</v>
      </c>
    </row>
    <row r="324" spans="1:21" x14ac:dyDescent="0.3">
      <c r="A324" t="s">
        <v>112</v>
      </c>
      <c r="B324" t="s">
        <v>129</v>
      </c>
      <c r="C324" s="4" t="s">
        <v>21</v>
      </c>
      <c r="D324" s="1">
        <v>14155</v>
      </c>
      <c r="E324" s="1">
        <v>2426</v>
      </c>
      <c r="F324">
        <v>810</v>
      </c>
      <c r="G324" s="1">
        <v>1364</v>
      </c>
      <c r="H324" s="1">
        <v>1264</v>
      </c>
      <c r="I324" s="1">
        <v>1410</v>
      </c>
      <c r="J324" s="1">
        <v>3532</v>
      </c>
      <c r="K324" s="1">
        <v>2104</v>
      </c>
      <c r="L324">
        <v>337</v>
      </c>
      <c r="M324">
        <v>349</v>
      </c>
      <c r="N324">
        <v>277</v>
      </c>
      <c r="O324">
        <v>146</v>
      </c>
      <c r="P324">
        <v>95</v>
      </c>
      <c r="Q324">
        <v>32</v>
      </c>
      <c r="R324">
        <v>6</v>
      </c>
      <c r="S324">
        <v>1</v>
      </c>
      <c r="T324">
        <v>1</v>
      </c>
      <c r="U324">
        <v>1</v>
      </c>
    </row>
    <row r="325" spans="1:21" x14ac:dyDescent="0.3">
      <c r="A325" t="s">
        <v>112</v>
      </c>
      <c r="B325" t="s">
        <v>129</v>
      </c>
      <c r="C325" s="4" t="s">
        <v>24</v>
      </c>
      <c r="D325" s="1">
        <v>6829</v>
      </c>
      <c r="E325" s="1">
        <v>1702</v>
      </c>
      <c r="F325">
        <v>458</v>
      </c>
      <c r="G325">
        <v>646</v>
      </c>
      <c r="H325">
        <v>582</v>
      </c>
      <c r="I325">
        <v>637</v>
      </c>
      <c r="J325" s="1">
        <v>1461</v>
      </c>
      <c r="K325">
        <v>777</v>
      </c>
      <c r="L325">
        <v>143</v>
      </c>
      <c r="M325">
        <v>181</v>
      </c>
      <c r="N325">
        <v>128</v>
      </c>
      <c r="O325">
        <v>56</v>
      </c>
      <c r="P325">
        <v>44</v>
      </c>
      <c r="Q325">
        <v>10</v>
      </c>
      <c r="R325">
        <v>2</v>
      </c>
      <c r="S325">
        <v>1</v>
      </c>
      <c r="U325">
        <v>1</v>
      </c>
    </row>
    <row r="326" spans="1:21" x14ac:dyDescent="0.3">
      <c r="A326" t="s">
        <v>112</v>
      </c>
      <c r="B326" t="s">
        <v>129</v>
      </c>
      <c r="C326" s="4" t="s">
        <v>25</v>
      </c>
      <c r="D326" s="1">
        <v>7326</v>
      </c>
      <c r="E326">
        <v>724</v>
      </c>
      <c r="F326">
        <v>352</v>
      </c>
      <c r="G326">
        <v>718</v>
      </c>
      <c r="H326">
        <v>682</v>
      </c>
      <c r="I326">
        <v>773</v>
      </c>
      <c r="J326" s="1">
        <v>2071</v>
      </c>
      <c r="K326" s="1">
        <v>1327</v>
      </c>
      <c r="L326">
        <v>194</v>
      </c>
      <c r="M326">
        <v>168</v>
      </c>
      <c r="N326">
        <v>149</v>
      </c>
      <c r="O326">
        <v>90</v>
      </c>
      <c r="P326">
        <v>51</v>
      </c>
      <c r="Q326">
        <v>22</v>
      </c>
      <c r="R326">
        <v>4</v>
      </c>
      <c r="T326">
        <v>1</v>
      </c>
    </row>
    <row r="327" spans="1:21" x14ac:dyDescent="0.3">
      <c r="A327" t="s">
        <v>112</v>
      </c>
      <c r="B327" t="s">
        <v>130</v>
      </c>
      <c r="C327" s="4" t="s">
        <v>21</v>
      </c>
      <c r="D327" s="1">
        <v>12710</v>
      </c>
      <c r="E327" s="1">
        <v>1907</v>
      </c>
      <c r="F327">
        <v>946</v>
      </c>
      <c r="G327" s="1">
        <v>1264</v>
      </c>
      <c r="H327" s="1">
        <v>1166</v>
      </c>
      <c r="I327" s="1">
        <v>1063</v>
      </c>
      <c r="J327" s="1">
        <v>3378</v>
      </c>
      <c r="K327" s="1">
        <v>1756</v>
      </c>
      <c r="L327">
        <v>357</v>
      </c>
      <c r="M327">
        <v>293</v>
      </c>
      <c r="N327">
        <v>237</v>
      </c>
      <c r="O327">
        <v>231</v>
      </c>
      <c r="P327">
        <v>94</v>
      </c>
      <c r="Q327">
        <v>15</v>
      </c>
      <c r="R327">
        <v>3</v>
      </c>
    </row>
    <row r="328" spans="1:21" x14ac:dyDescent="0.3">
      <c r="A328" t="s">
        <v>112</v>
      </c>
      <c r="B328" t="s">
        <v>130</v>
      </c>
      <c r="C328" s="4" t="s">
        <v>24</v>
      </c>
      <c r="D328" s="1">
        <v>6659</v>
      </c>
      <c r="E328" s="1">
        <v>1164</v>
      </c>
      <c r="F328">
        <v>611</v>
      </c>
      <c r="G328">
        <v>750</v>
      </c>
      <c r="H328">
        <v>676</v>
      </c>
      <c r="I328">
        <v>566</v>
      </c>
      <c r="J328" s="1">
        <v>1598</v>
      </c>
      <c r="K328">
        <v>762</v>
      </c>
      <c r="L328">
        <v>162</v>
      </c>
      <c r="M328">
        <v>153</v>
      </c>
      <c r="N328">
        <v>93</v>
      </c>
      <c r="O328">
        <v>84</v>
      </c>
      <c r="P328">
        <v>37</v>
      </c>
      <c r="Q328">
        <v>3</v>
      </c>
    </row>
    <row r="329" spans="1:21" x14ac:dyDescent="0.3">
      <c r="A329" t="s">
        <v>112</v>
      </c>
      <c r="B329" t="s">
        <v>130</v>
      </c>
      <c r="C329" s="4" t="s">
        <v>25</v>
      </c>
      <c r="D329" s="1">
        <v>6051</v>
      </c>
      <c r="E329">
        <v>743</v>
      </c>
      <c r="F329">
        <v>335</v>
      </c>
      <c r="G329">
        <v>514</v>
      </c>
      <c r="H329">
        <v>490</v>
      </c>
      <c r="I329">
        <v>497</v>
      </c>
      <c r="J329" s="1">
        <v>1780</v>
      </c>
      <c r="K329">
        <v>994</v>
      </c>
      <c r="L329">
        <v>195</v>
      </c>
      <c r="M329">
        <v>140</v>
      </c>
      <c r="N329">
        <v>144</v>
      </c>
      <c r="O329">
        <v>147</v>
      </c>
      <c r="P329">
        <v>57</v>
      </c>
      <c r="Q329">
        <v>12</v>
      </c>
      <c r="R329">
        <v>3</v>
      </c>
    </row>
    <row r="330" spans="1:21" x14ac:dyDescent="0.3">
      <c r="A330" t="s">
        <v>112</v>
      </c>
      <c r="B330" t="s">
        <v>131</v>
      </c>
      <c r="C330" s="4" t="s">
        <v>21</v>
      </c>
      <c r="D330" s="1">
        <v>12684</v>
      </c>
      <c r="E330" s="1">
        <v>2569</v>
      </c>
      <c r="F330">
        <v>844</v>
      </c>
      <c r="G330" s="1">
        <v>1127</v>
      </c>
      <c r="H330" s="1">
        <v>1064</v>
      </c>
      <c r="I330">
        <v>764</v>
      </c>
      <c r="J330" s="1">
        <v>3114</v>
      </c>
      <c r="K330" s="1">
        <v>2082</v>
      </c>
      <c r="L330">
        <v>348</v>
      </c>
      <c r="M330">
        <v>297</v>
      </c>
      <c r="N330">
        <v>224</v>
      </c>
      <c r="O330">
        <v>178</v>
      </c>
      <c r="P330">
        <v>61</v>
      </c>
      <c r="Q330">
        <v>9</v>
      </c>
      <c r="R330">
        <v>1</v>
      </c>
      <c r="S330">
        <v>2</v>
      </c>
    </row>
    <row r="331" spans="1:21" x14ac:dyDescent="0.3">
      <c r="A331" t="s">
        <v>112</v>
      </c>
      <c r="B331" t="s">
        <v>131</v>
      </c>
      <c r="C331" s="4" t="s">
        <v>24</v>
      </c>
      <c r="D331" s="1">
        <v>6740</v>
      </c>
      <c r="E331" s="1">
        <v>1398</v>
      </c>
      <c r="F331">
        <v>546</v>
      </c>
      <c r="G331">
        <v>676</v>
      </c>
      <c r="H331">
        <v>656</v>
      </c>
      <c r="I331">
        <v>436</v>
      </c>
      <c r="J331" s="1">
        <v>1595</v>
      </c>
      <c r="K331">
        <v>965</v>
      </c>
      <c r="L331">
        <v>153</v>
      </c>
      <c r="M331">
        <v>137</v>
      </c>
      <c r="N331">
        <v>86</v>
      </c>
      <c r="O331">
        <v>65</v>
      </c>
      <c r="P331">
        <v>23</v>
      </c>
      <c r="Q331">
        <v>3</v>
      </c>
      <c r="R331">
        <v>1</v>
      </c>
    </row>
    <row r="332" spans="1:21" x14ac:dyDescent="0.3">
      <c r="A332" t="s">
        <v>112</v>
      </c>
      <c r="B332" t="s">
        <v>131</v>
      </c>
      <c r="C332" s="4" t="s">
        <v>25</v>
      </c>
      <c r="D332" s="1">
        <v>5944</v>
      </c>
      <c r="E332" s="1">
        <v>1171</v>
      </c>
      <c r="F332">
        <v>298</v>
      </c>
      <c r="G332">
        <v>451</v>
      </c>
      <c r="H332">
        <v>408</v>
      </c>
      <c r="I332">
        <v>328</v>
      </c>
      <c r="J332" s="1">
        <v>1519</v>
      </c>
      <c r="K332" s="1">
        <v>1117</v>
      </c>
      <c r="L332">
        <v>195</v>
      </c>
      <c r="M332">
        <v>160</v>
      </c>
      <c r="N332">
        <v>138</v>
      </c>
      <c r="O332">
        <v>113</v>
      </c>
      <c r="P332">
        <v>38</v>
      </c>
      <c r="Q332">
        <v>6</v>
      </c>
      <c r="S332">
        <v>2</v>
      </c>
    </row>
    <row r="333" spans="1:21" x14ac:dyDescent="0.3">
      <c r="A333" t="s">
        <v>112</v>
      </c>
      <c r="B333" t="s">
        <v>132</v>
      </c>
      <c r="C333" s="4" t="s">
        <v>21</v>
      </c>
      <c r="D333" s="1">
        <v>10561</v>
      </c>
      <c r="E333" s="1">
        <v>3698</v>
      </c>
      <c r="F333">
        <v>484</v>
      </c>
      <c r="G333">
        <v>315</v>
      </c>
      <c r="H333">
        <v>346</v>
      </c>
      <c r="I333">
        <v>388</v>
      </c>
      <c r="J333" s="1">
        <v>1503</v>
      </c>
      <c r="K333" s="1">
        <v>1051</v>
      </c>
      <c r="L333">
        <v>339</v>
      </c>
      <c r="M333">
        <v>345</v>
      </c>
      <c r="N333">
        <v>400</v>
      </c>
      <c r="O333">
        <v>417</v>
      </c>
      <c r="P333">
        <v>604</v>
      </c>
      <c r="Q333">
        <v>268</v>
      </c>
      <c r="R333">
        <v>132</v>
      </c>
      <c r="S333">
        <v>158</v>
      </c>
      <c r="T333">
        <v>109</v>
      </c>
      <c r="U333">
        <v>4</v>
      </c>
    </row>
    <row r="334" spans="1:21" x14ac:dyDescent="0.3">
      <c r="A334" t="s">
        <v>112</v>
      </c>
      <c r="B334" t="s">
        <v>132</v>
      </c>
      <c r="C334" s="4" t="s">
        <v>24</v>
      </c>
      <c r="D334" s="1">
        <v>6354</v>
      </c>
      <c r="E334" s="1">
        <v>3432</v>
      </c>
      <c r="F334">
        <v>420</v>
      </c>
      <c r="G334">
        <v>192</v>
      </c>
      <c r="H334">
        <v>162</v>
      </c>
      <c r="I334">
        <v>165</v>
      </c>
      <c r="J334">
        <v>659</v>
      </c>
      <c r="K334">
        <v>404</v>
      </c>
      <c r="L334">
        <v>149</v>
      </c>
      <c r="M334">
        <v>145</v>
      </c>
      <c r="N334">
        <v>85</v>
      </c>
      <c r="O334">
        <v>105</v>
      </c>
      <c r="P334">
        <v>197</v>
      </c>
      <c r="Q334">
        <v>81</v>
      </c>
      <c r="R334">
        <v>44</v>
      </c>
      <c r="S334">
        <v>60</v>
      </c>
      <c r="T334">
        <v>52</v>
      </c>
      <c r="U334">
        <v>2</v>
      </c>
    </row>
    <row r="335" spans="1:21" x14ac:dyDescent="0.3">
      <c r="A335" t="s">
        <v>112</v>
      </c>
      <c r="B335" t="s">
        <v>132</v>
      </c>
      <c r="C335" s="4" t="s">
        <v>25</v>
      </c>
      <c r="D335" s="1">
        <v>4207</v>
      </c>
      <c r="E335">
        <v>266</v>
      </c>
      <c r="F335">
        <v>64</v>
      </c>
      <c r="G335">
        <v>123</v>
      </c>
      <c r="H335">
        <v>184</v>
      </c>
      <c r="I335">
        <v>223</v>
      </c>
      <c r="J335">
        <v>844</v>
      </c>
      <c r="K335">
        <v>647</v>
      </c>
      <c r="L335">
        <v>190</v>
      </c>
      <c r="M335">
        <v>200</v>
      </c>
      <c r="N335">
        <v>315</v>
      </c>
      <c r="O335">
        <v>312</v>
      </c>
      <c r="P335">
        <v>407</v>
      </c>
      <c r="Q335">
        <v>187</v>
      </c>
      <c r="R335">
        <v>88</v>
      </c>
      <c r="S335">
        <v>98</v>
      </c>
      <c r="T335">
        <v>57</v>
      </c>
      <c r="U335">
        <v>2</v>
      </c>
    </row>
    <row r="336" spans="1:21" x14ac:dyDescent="0.3">
      <c r="A336" t="s">
        <v>112</v>
      </c>
      <c r="B336" t="s">
        <v>133</v>
      </c>
      <c r="C336" s="4" t="s">
        <v>21</v>
      </c>
      <c r="D336" s="1">
        <v>9619</v>
      </c>
      <c r="E336" s="1">
        <v>1831</v>
      </c>
      <c r="F336">
        <v>598</v>
      </c>
      <c r="G336">
        <v>991</v>
      </c>
      <c r="H336">
        <v>805</v>
      </c>
      <c r="I336">
        <v>752</v>
      </c>
      <c r="J336" s="1">
        <v>2583</v>
      </c>
      <c r="K336" s="1">
        <v>1185</v>
      </c>
      <c r="L336">
        <v>209</v>
      </c>
      <c r="M336">
        <v>235</v>
      </c>
      <c r="N336">
        <v>162</v>
      </c>
      <c r="O336">
        <v>155</v>
      </c>
      <c r="P336">
        <v>99</v>
      </c>
      <c r="Q336">
        <v>9</v>
      </c>
      <c r="R336">
        <v>1</v>
      </c>
      <c r="S336">
        <v>3</v>
      </c>
      <c r="T336">
        <v>1</v>
      </c>
    </row>
    <row r="337" spans="1:20" x14ac:dyDescent="0.3">
      <c r="A337" t="s">
        <v>112</v>
      </c>
      <c r="B337" t="s">
        <v>133</v>
      </c>
      <c r="C337" s="4" t="s">
        <v>24</v>
      </c>
      <c r="D337" s="1">
        <v>6108</v>
      </c>
      <c r="E337" s="1">
        <v>1604</v>
      </c>
      <c r="F337">
        <v>448</v>
      </c>
      <c r="G337">
        <v>629</v>
      </c>
      <c r="H337">
        <v>525</v>
      </c>
      <c r="I337">
        <v>450</v>
      </c>
      <c r="J337" s="1">
        <v>1309</v>
      </c>
      <c r="K337">
        <v>601</v>
      </c>
      <c r="L337">
        <v>123</v>
      </c>
      <c r="M337">
        <v>163</v>
      </c>
      <c r="N337">
        <v>94</v>
      </c>
      <c r="O337">
        <v>97</v>
      </c>
      <c r="P337">
        <v>58</v>
      </c>
      <c r="Q337">
        <v>5</v>
      </c>
      <c r="S337">
        <v>1</v>
      </c>
      <c r="T337">
        <v>1</v>
      </c>
    </row>
    <row r="338" spans="1:20" x14ac:dyDescent="0.3">
      <c r="A338" t="s">
        <v>112</v>
      </c>
      <c r="B338" t="s">
        <v>133</v>
      </c>
      <c r="C338" s="4" t="s">
        <v>25</v>
      </c>
      <c r="D338" s="1">
        <v>3511</v>
      </c>
      <c r="E338">
        <v>227</v>
      </c>
      <c r="F338">
        <v>150</v>
      </c>
      <c r="G338">
        <v>362</v>
      </c>
      <c r="H338">
        <v>280</v>
      </c>
      <c r="I338">
        <v>302</v>
      </c>
      <c r="J338" s="1">
        <v>1274</v>
      </c>
      <c r="K338">
        <v>584</v>
      </c>
      <c r="L338">
        <v>86</v>
      </c>
      <c r="M338">
        <v>72</v>
      </c>
      <c r="N338">
        <v>68</v>
      </c>
      <c r="O338">
        <v>58</v>
      </c>
      <c r="P338">
        <v>41</v>
      </c>
      <c r="Q338">
        <v>4</v>
      </c>
      <c r="R338">
        <v>1</v>
      </c>
      <c r="S338">
        <v>2</v>
      </c>
    </row>
    <row r="339" spans="1:20" x14ac:dyDescent="0.3">
      <c r="A339" t="s">
        <v>112</v>
      </c>
      <c r="B339" t="s">
        <v>134</v>
      </c>
      <c r="C339" s="4" t="s">
        <v>21</v>
      </c>
      <c r="D339" s="1">
        <v>8533</v>
      </c>
      <c r="E339">
        <v>951</v>
      </c>
      <c r="F339">
        <v>425</v>
      </c>
      <c r="G339">
        <v>587</v>
      </c>
      <c r="H339">
        <v>787</v>
      </c>
      <c r="I339">
        <v>582</v>
      </c>
      <c r="J339" s="1">
        <v>2563</v>
      </c>
      <c r="K339" s="1">
        <v>1726</v>
      </c>
      <c r="L339">
        <v>202</v>
      </c>
      <c r="M339">
        <v>191</v>
      </c>
      <c r="N339">
        <v>187</v>
      </c>
      <c r="O339">
        <v>193</v>
      </c>
      <c r="P339">
        <v>126</v>
      </c>
      <c r="Q339">
        <v>9</v>
      </c>
      <c r="R339">
        <v>3</v>
      </c>
      <c r="T339">
        <v>1</v>
      </c>
    </row>
    <row r="340" spans="1:20" x14ac:dyDescent="0.3">
      <c r="A340" t="s">
        <v>112</v>
      </c>
      <c r="B340" t="s">
        <v>134</v>
      </c>
      <c r="C340" s="4" t="s">
        <v>24</v>
      </c>
      <c r="D340" s="1">
        <v>4031</v>
      </c>
      <c r="E340">
        <v>514</v>
      </c>
      <c r="F340">
        <v>251</v>
      </c>
      <c r="G340">
        <v>322</v>
      </c>
      <c r="H340">
        <v>444</v>
      </c>
      <c r="I340">
        <v>327</v>
      </c>
      <c r="J340" s="1">
        <v>1189</v>
      </c>
      <c r="K340">
        <v>685</v>
      </c>
      <c r="L340">
        <v>74</v>
      </c>
      <c r="M340">
        <v>76</v>
      </c>
      <c r="N340">
        <v>63</v>
      </c>
      <c r="O340">
        <v>50</v>
      </c>
      <c r="P340">
        <v>34</v>
      </c>
      <c r="Q340">
        <v>2</v>
      </c>
    </row>
    <row r="341" spans="1:20" x14ac:dyDescent="0.3">
      <c r="A341" t="s">
        <v>112</v>
      </c>
      <c r="B341" t="s">
        <v>134</v>
      </c>
      <c r="C341" s="4" t="s">
        <v>25</v>
      </c>
      <c r="D341" s="1">
        <v>4502</v>
      </c>
      <c r="E341">
        <v>437</v>
      </c>
      <c r="F341">
        <v>174</v>
      </c>
      <c r="G341">
        <v>265</v>
      </c>
      <c r="H341">
        <v>343</v>
      </c>
      <c r="I341">
        <v>255</v>
      </c>
      <c r="J341" s="1">
        <v>1374</v>
      </c>
      <c r="K341" s="1">
        <v>1041</v>
      </c>
      <c r="L341">
        <v>128</v>
      </c>
      <c r="M341">
        <v>115</v>
      </c>
      <c r="N341">
        <v>124</v>
      </c>
      <c r="O341">
        <v>143</v>
      </c>
      <c r="P341">
        <v>92</v>
      </c>
      <c r="Q341">
        <v>7</v>
      </c>
      <c r="R341">
        <v>3</v>
      </c>
      <c r="T341">
        <v>1</v>
      </c>
    </row>
    <row r="342" spans="1:20" x14ac:dyDescent="0.3">
      <c r="A342" t="s">
        <v>112</v>
      </c>
      <c r="B342" t="s">
        <v>135</v>
      </c>
      <c r="C342" s="4" t="s">
        <v>21</v>
      </c>
      <c r="D342" s="1">
        <v>6542</v>
      </c>
      <c r="E342">
        <v>586</v>
      </c>
      <c r="F342">
        <v>750</v>
      </c>
      <c r="G342" s="1">
        <v>1295</v>
      </c>
      <c r="H342" s="1">
        <v>1468</v>
      </c>
      <c r="I342">
        <v>843</v>
      </c>
      <c r="J342" s="1">
        <v>1164</v>
      </c>
      <c r="K342">
        <v>205</v>
      </c>
      <c r="L342">
        <v>49</v>
      </c>
      <c r="M342">
        <v>54</v>
      </c>
      <c r="N342">
        <v>40</v>
      </c>
      <c r="O342">
        <v>38</v>
      </c>
      <c r="P342">
        <v>43</v>
      </c>
      <c r="Q342">
        <v>5</v>
      </c>
      <c r="S342">
        <v>2</v>
      </c>
    </row>
    <row r="343" spans="1:20" x14ac:dyDescent="0.3">
      <c r="A343" t="s">
        <v>112</v>
      </c>
      <c r="B343" t="s">
        <v>135</v>
      </c>
      <c r="C343" s="4" t="s">
        <v>24</v>
      </c>
      <c r="D343" s="1">
        <v>2762</v>
      </c>
      <c r="E343">
        <v>301</v>
      </c>
      <c r="F343">
        <v>338</v>
      </c>
      <c r="G343">
        <v>477</v>
      </c>
      <c r="H343">
        <v>597</v>
      </c>
      <c r="I343">
        <v>379</v>
      </c>
      <c r="J343">
        <v>507</v>
      </c>
      <c r="K343">
        <v>86</v>
      </c>
      <c r="L343">
        <v>27</v>
      </c>
      <c r="M343">
        <v>15</v>
      </c>
      <c r="N343">
        <v>10</v>
      </c>
      <c r="O343">
        <v>8</v>
      </c>
      <c r="P343">
        <v>15</v>
      </c>
      <c r="Q343">
        <v>1</v>
      </c>
      <c r="S343">
        <v>1</v>
      </c>
    </row>
    <row r="344" spans="1:20" x14ac:dyDescent="0.3">
      <c r="A344" t="s">
        <v>112</v>
      </c>
      <c r="B344" t="s">
        <v>135</v>
      </c>
      <c r="C344" s="4" t="s">
        <v>25</v>
      </c>
      <c r="D344" s="1">
        <v>3780</v>
      </c>
      <c r="E344">
        <v>285</v>
      </c>
      <c r="F344">
        <v>412</v>
      </c>
      <c r="G344">
        <v>818</v>
      </c>
      <c r="H344">
        <v>871</v>
      </c>
      <c r="I344">
        <v>464</v>
      </c>
      <c r="J344">
        <v>657</v>
      </c>
      <c r="K344">
        <v>119</v>
      </c>
      <c r="L344">
        <v>22</v>
      </c>
      <c r="M344">
        <v>39</v>
      </c>
      <c r="N344">
        <v>30</v>
      </c>
      <c r="O344">
        <v>30</v>
      </c>
      <c r="P344">
        <v>28</v>
      </c>
      <c r="Q344">
        <v>4</v>
      </c>
      <c r="S344">
        <v>1</v>
      </c>
    </row>
    <row r="345" spans="1:20" x14ac:dyDescent="0.3">
      <c r="A345" t="s">
        <v>112</v>
      </c>
      <c r="B345" t="s">
        <v>136</v>
      </c>
      <c r="C345" s="4" t="s">
        <v>21</v>
      </c>
      <c r="D345" s="1">
        <v>6143</v>
      </c>
      <c r="E345" s="1">
        <v>1124</v>
      </c>
      <c r="F345">
        <v>499</v>
      </c>
      <c r="G345">
        <v>803</v>
      </c>
      <c r="H345">
        <v>882</v>
      </c>
      <c r="I345">
        <v>556</v>
      </c>
      <c r="J345" s="1">
        <v>1174</v>
      </c>
      <c r="K345">
        <v>545</v>
      </c>
      <c r="L345">
        <v>109</v>
      </c>
      <c r="M345">
        <v>108</v>
      </c>
      <c r="N345">
        <v>104</v>
      </c>
      <c r="O345">
        <v>98</v>
      </c>
      <c r="P345">
        <v>111</v>
      </c>
      <c r="Q345">
        <v>22</v>
      </c>
      <c r="R345">
        <v>4</v>
      </c>
      <c r="S345">
        <v>1</v>
      </c>
      <c r="T345">
        <v>3</v>
      </c>
    </row>
    <row r="346" spans="1:20" x14ac:dyDescent="0.3">
      <c r="A346" t="s">
        <v>112</v>
      </c>
      <c r="B346" t="s">
        <v>136</v>
      </c>
      <c r="C346" s="4" t="s">
        <v>24</v>
      </c>
      <c r="D346" s="1">
        <v>3065</v>
      </c>
      <c r="E346">
        <v>763</v>
      </c>
      <c r="F346">
        <v>266</v>
      </c>
      <c r="G346">
        <v>356</v>
      </c>
      <c r="H346">
        <v>389</v>
      </c>
      <c r="I346">
        <v>263</v>
      </c>
      <c r="J346">
        <v>531</v>
      </c>
      <c r="K346">
        <v>252</v>
      </c>
      <c r="L346">
        <v>56</v>
      </c>
      <c r="M346">
        <v>60</v>
      </c>
      <c r="N346">
        <v>43</v>
      </c>
      <c r="O346">
        <v>34</v>
      </c>
      <c r="P346">
        <v>45</v>
      </c>
      <c r="Q346">
        <v>4</v>
      </c>
      <c r="R346">
        <v>1</v>
      </c>
      <c r="T346">
        <v>2</v>
      </c>
    </row>
    <row r="347" spans="1:20" x14ac:dyDescent="0.3">
      <c r="A347" t="s">
        <v>112</v>
      </c>
      <c r="B347" t="s">
        <v>136</v>
      </c>
      <c r="C347" s="4" t="s">
        <v>25</v>
      </c>
      <c r="D347" s="1">
        <v>3078</v>
      </c>
      <c r="E347">
        <v>361</v>
      </c>
      <c r="F347">
        <v>233</v>
      </c>
      <c r="G347">
        <v>447</v>
      </c>
      <c r="H347">
        <v>493</v>
      </c>
      <c r="I347">
        <v>293</v>
      </c>
      <c r="J347">
        <v>643</v>
      </c>
      <c r="K347">
        <v>293</v>
      </c>
      <c r="L347">
        <v>53</v>
      </c>
      <c r="M347">
        <v>48</v>
      </c>
      <c r="N347">
        <v>61</v>
      </c>
      <c r="O347">
        <v>64</v>
      </c>
      <c r="P347">
        <v>66</v>
      </c>
      <c r="Q347">
        <v>18</v>
      </c>
      <c r="R347">
        <v>3</v>
      </c>
      <c r="S347">
        <v>1</v>
      </c>
      <c r="T347">
        <v>1</v>
      </c>
    </row>
    <row r="348" spans="1:20" x14ac:dyDescent="0.3">
      <c r="A348" t="s">
        <v>112</v>
      </c>
      <c r="B348" t="s">
        <v>137</v>
      </c>
      <c r="C348" s="4" t="s">
        <v>21</v>
      </c>
      <c r="D348" s="1">
        <v>5693</v>
      </c>
      <c r="E348">
        <v>824</v>
      </c>
      <c r="F348">
        <v>420</v>
      </c>
      <c r="G348">
        <v>511</v>
      </c>
      <c r="H348">
        <v>524</v>
      </c>
      <c r="I348">
        <v>406</v>
      </c>
      <c r="J348" s="1">
        <v>1436</v>
      </c>
      <c r="K348">
        <v>931</v>
      </c>
      <c r="L348">
        <v>149</v>
      </c>
      <c r="M348">
        <v>136</v>
      </c>
      <c r="N348">
        <v>118</v>
      </c>
      <c r="O348">
        <v>166</v>
      </c>
      <c r="P348">
        <v>60</v>
      </c>
      <c r="Q348">
        <v>9</v>
      </c>
      <c r="R348">
        <v>3</v>
      </c>
    </row>
    <row r="349" spans="1:20" x14ac:dyDescent="0.3">
      <c r="A349" t="s">
        <v>112</v>
      </c>
      <c r="B349" t="s">
        <v>137</v>
      </c>
      <c r="C349" s="4" t="s">
        <v>24</v>
      </c>
      <c r="D349" s="1">
        <v>2628</v>
      </c>
      <c r="E349">
        <v>463</v>
      </c>
      <c r="F349">
        <v>204</v>
      </c>
      <c r="G349">
        <v>243</v>
      </c>
      <c r="H349">
        <v>254</v>
      </c>
      <c r="I349">
        <v>201</v>
      </c>
      <c r="J349">
        <v>626</v>
      </c>
      <c r="K349">
        <v>387</v>
      </c>
      <c r="L349">
        <v>59</v>
      </c>
      <c r="M349">
        <v>57</v>
      </c>
      <c r="N349">
        <v>39</v>
      </c>
      <c r="O349">
        <v>70</v>
      </c>
      <c r="P349">
        <v>24</v>
      </c>
      <c r="Q349">
        <v>1</v>
      </c>
    </row>
    <row r="350" spans="1:20" x14ac:dyDescent="0.3">
      <c r="A350" t="s">
        <v>112</v>
      </c>
      <c r="B350" t="s">
        <v>137</v>
      </c>
      <c r="C350" s="4" t="s">
        <v>25</v>
      </c>
      <c r="D350" s="1">
        <v>3065</v>
      </c>
      <c r="E350">
        <v>361</v>
      </c>
      <c r="F350">
        <v>216</v>
      </c>
      <c r="G350">
        <v>268</v>
      </c>
      <c r="H350">
        <v>270</v>
      </c>
      <c r="I350">
        <v>205</v>
      </c>
      <c r="J350">
        <v>810</v>
      </c>
      <c r="K350">
        <v>544</v>
      </c>
      <c r="L350">
        <v>90</v>
      </c>
      <c r="M350">
        <v>79</v>
      </c>
      <c r="N350">
        <v>79</v>
      </c>
      <c r="O350">
        <v>96</v>
      </c>
      <c r="P350">
        <v>36</v>
      </c>
      <c r="Q350">
        <v>8</v>
      </c>
      <c r="R350">
        <v>3</v>
      </c>
    </row>
    <row r="351" spans="1:20" x14ac:dyDescent="0.3">
      <c r="A351" t="s">
        <v>112</v>
      </c>
      <c r="B351" t="s">
        <v>138</v>
      </c>
      <c r="C351" s="4" t="s">
        <v>21</v>
      </c>
      <c r="D351" s="1">
        <v>4918</v>
      </c>
      <c r="E351">
        <v>643</v>
      </c>
      <c r="F351">
        <v>236</v>
      </c>
      <c r="G351">
        <v>428</v>
      </c>
      <c r="H351">
        <v>393</v>
      </c>
      <c r="I351">
        <v>310</v>
      </c>
      <c r="J351" s="1">
        <v>1666</v>
      </c>
      <c r="K351">
        <v>760</v>
      </c>
      <c r="L351">
        <v>132</v>
      </c>
      <c r="M351">
        <v>122</v>
      </c>
      <c r="N351">
        <v>119</v>
      </c>
      <c r="O351">
        <v>83</v>
      </c>
      <c r="P351">
        <v>23</v>
      </c>
      <c r="Q351">
        <v>2</v>
      </c>
      <c r="R351">
        <v>1</v>
      </c>
    </row>
    <row r="352" spans="1:20" x14ac:dyDescent="0.3">
      <c r="A352" t="s">
        <v>112</v>
      </c>
      <c r="B352" t="s">
        <v>138</v>
      </c>
      <c r="C352" s="4" t="s">
        <v>24</v>
      </c>
      <c r="D352" s="1">
        <v>2586</v>
      </c>
      <c r="E352">
        <v>339</v>
      </c>
      <c r="F352">
        <v>136</v>
      </c>
      <c r="G352">
        <v>237</v>
      </c>
      <c r="H352">
        <v>226</v>
      </c>
      <c r="I352">
        <v>163</v>
      </c>
      <c r="J352">
        <v>974</v>
      </c>
      <c r="K352">
        <v>301</v>
      </c>
      <c r="L352">
        <v>63</v>
      </c>
      <c r="M352">
        <v>64</v>
      </c>
      <c r="N352">
        <v>45</v>
      </c>
      <c r="O352">
        <v>30</v>
      </c>
      <c r="P352">
        <v>7</v>
      </c>
      <c r="Q352">
        <v>1</v>
      </c>
    </row>
    <row r="353" spans="1:20" x14ac:dyDescent="0.3">
      <c r="A353" t="s">
        <v>112</v>
      </c>
      <c r="B353" t="s">
        <v>138</v>
      </c>
      <c r="C353" s="4" t="s">
        <v>25</v>
      </c>
      <c r="D353" s="1">
        <v>2332</v>
      </c>
      <c r="E353">
        <v>304</v>
      </c>
      <c r="F353">
        <v>100</v>
      </c>
      <c r="G353">
        <v>191</v>
      </c>
      <c r="H353">
        <v>167</v>
      </c>
      <c r="I353">
        <v>147</v>
      </c>
      <c r="J353">
        <v>692</v>
      </c>
      <c r="K353">
        <v>459</v>
      </c>
      <c r="L353">
        <v>69</v>
      </c>
      <c r="M353">
        <v>58</v>
      </c>
      <c r="N353">
        <v>74</v>
      </c>
      <c r="O353">
        <v>53</v>
      </c>
      <c r="P353">
        <v>16</v>
      </c>
      <c r="Q353">
        <v>1</v>
      </c>
      <c r="R353">
        <v>1</v>
      </c>
    </row>
    <row r="354" spans="1:20" x14ac:dyDescent="0.3">
      <c r="A354" t="s">
        <v>112</v>
      </c>
      <c r="B354" t="s">
        <v>139</v>
      </c>
      <c r="C354" s="4" t="s">
        <v>21</v>
      </c>
      <c r="D354" s="1">
        <v>4651</v>
      </c>
      <c r="E354" s="1">
        <v>1346</v>
      </c>
      <c r="F354">
        <v>271</v>
      </c>
      <c r="G354">
        <v>398</v>
      </c>
      <c r="H354">
        <v>313</v>
      </c>
      <c r="I354">
        <v>257</v>
      </c>
      <c r="J354">
        <v>964</v>
      </c>
      <c r="K354">
        <v>571</v>
      </c>
      <c r="L354">
        <v>155</v>
      </c>
      <c r="M354">
        <v>181</v>
      </c>
      <c r="N354">
        <v>93</v>
      </c>
      <c r="O354">
        <v>70</v>
      </c>
      <c r="P354">
        <v>26</v>
      </c>
      <c r="Q354">
        <v>4</v>
      </c>
      <c r="R354">
        <v>1</v>
      </c>
      <c r="T354">
        <v>1</v>
      </c>
    </row>
    <row r="355" spans="1:20" x14ac:dyDescent="0.3">
      <c r="A355" t="s">
        <v>112</v>
      </c>
      <c r="B355" t="s">
        <v>139</v>
      </c>
      <c r="C355" s="4" t="s">
        <v>24</v>
      </c>
      <c r="D355" s="1">
        <v>2908</v>
      </c>
      <c r="E355" s="1">
        <v>1091</v>
      </c>
      <c r="F355">
        <v>183</v>
      </c>
      <c r="G355">
        <v>220</v>
      </c>
      <c r="H355">
        <v>169</v>
      </c>
      <c r="I355">
        <v>133</v>
      </c>
      <c r="J355">
        <v>482</v>
      </c>
      <c r="K355">
        <v>280</v>
      </c>
      <c r="L355">
        <v>90</v>
      </c>
      <c r="M355">
        <v>144</v>
      </c>
      <c r="N355">
        <v>56</v>
      </c>
      <c r="O355">
        <v>43</v>
      </c>
      <c r="P355">
        <v>15</v>
      </c>
      <c r="Q355">
        <v>1</v>
      </c>
      <c r="T355">
        <v>1</v>
      </c>
    </row>
    <row r="356" spans="1:20" x14ac:dyDescent="0.3">
      <c r="A356" t="s">
        <v>112</v>
      </c>
      <c r="B356" t="s">
        <v>139</v>
      </c>
      <c r="C356" s="4" t="s">
        <v>25</v>
      </c>
      <c r="D356" s="1">
        <v>1743</v>
      </c>
      <c r="E356">
        <v>255</v>
      </c>
      <c r="F356">
        <v>88</v>
      </c>
      <c r="G356">
        <v>178</v>
      </c>
      <c r="H356">
        <v>144</v>
      </c>
      <c r="I356">
        <v>124</v>
      </c>
      <c r="J356">
        <v>482</v>
      </c>
      <c r="K356">
        <v>291</v>
      </c>
      <c r="L356">
        <v>65</v>
      </c>
      <c r="M356">
        <v>37</v>
      </c>
      <c r="N356">
        <v>37</v>
      </c>
      <c r="O356">
        <v>27</v>
      </c>
      <c r="P356">
        <v>11</v>
      </c>
      <c r="Q356">
        <v>3</v>
      </c>
      <c r="R356">
        <v>1</v>
      </c>
    </row>
    <row r="357" spans="1:20" x14ac:dyDescent="0.3">
      <c r="A357" t="s">
        <v>112</v>
      </c>
      <c r="B357" t="s">
        <v>140</v>
      </c>
      <c r="C357" s="4" t="s">
        <v>21</v>
      </c>
      <c r="D357" s="1">
        <v>3105</v>
      </c>
      <c r="E357">
        <v>762</v>
      </c>
      <c r="F357">
        <v>171</v>
      </c>
      <c r="G357">
        <v>250</v>
      </c>
      <c r="H357">
        <v>220</v>
      </c>
      <c r="I357">
        <v>256</v>
      </c>
      <c r="J357">
        <v>622</v>
      </c>
      <c r="K357">
        <v>439</v>
      </c>
      <c r="L357">
        <v>112</v>
      </c>
      <c r="M357">
        <v>84</v>
      </c>
      <c r="N357">
        <v>69</v>
      </c>
      <c r="O357">
        <v>78</v>
      </c>
      <c r="P357">
        <v>38</v>
      </c>
      <c r="Q357">
        <v>3</v>
      </c>
      <c r="R357">
        <v>1</v>
      </c>
    </row>
    <row r="358" spans="1:20" x14ac:dyDescent="0.3">
      <c r="A358" t="s">
        <v>112</v>
      </c>
      <c r="B358" t="s">
        <v>140</v>
      </c>
      <c r="C358" s="4" t="s">
        <v>24</v>
      </c>
      <c r="D358" s="1">
        <v>1607</v>
      </c>
      <c r="E358">
        <v>495</v>
      </c>
      <c r="F358">
        <v>119</v>
      </c>
      <c r="G358">
        <v>136</v>
      </c>
      <c r="H358">
        <v>104</v>
      </c>
      <c r="I358">
        <v>109</v>
      </c>
      <c r="J358">
        <v>280</v>
      </c>
      <c r="K358">
        <v>183</v>
      </c>
      <c r="L358">
        <v>69</v>
      </c>
      <c r="M358">
        <v>51</v>
      </c>
      <c r="N358">
        <v>26</v>
      </c>
      <c r="O358">
        <v>22</v>
      </c>
      <c r="P358">
        <v>12</v>
      </c>
      <c r="Q358">
        <v>1</v>
      </c>
    </row>
    <row r="359" spans="1:20" x14ac:dyDescent="0.3">
      <c r="A359" t="s">
        <v>112</v>
      </c>
      <c r="B359" t="s">
        <v>140</v>
      </c>
      <c r="C359" s="4" t="s">
        <v>25</v>
      </c>
      <c r="D359" s="1">
        <v>1498</v>
      </c>
      <c r="E359">
        <v>267</v>
      </c>
      <c r="F359">
        <v>52</v>
      </c>
      <c r="G359">
        <v>114</v>
      </c>
      <c r="H359">
        <v>116</v>
      </c>
      <c r="I359">
        <v>147</v>
      </c>
      <c r="J359">
        <v>342</v>
      </c>
      <c r="K359">
        <v>256</v>
      </c>
      <c r="L359">
        <v>43</v>
      </c>
      <c r="M359">
        <v>33</v>
      </c>
      <c r="N359">
        <v>43</v>
      </c>
      <c r="O359">
        <v>56</v>
      </c>
      <c r="P359">
        <v>26</v>
      </c>
      <c r="Q359">
        <v>2</v>
      </c>
      <c r="R359">
        <v>1</v>
      </c>
    </row>
    <row r="360" spans="1:20" x14ac:dyDescent="0.3">
      <c r="A360" t="s">
        <v>112</v>
      </c>
      <c r="B360" t="s">
        <v>141</v>
      </c>
      <c r="C360" s="4" t="s">
        <v>21</v>
      </c>
      <c r="D360" s="1">
        <v>2805</v>
      </c>
      <c r="E360">
        <v>300</v>
      </c>
      <c r="F360">
        <v>213</v>
      </c>
      <c r="G360">
        <v>465</v>
      </c>
      <c r="H360">
        <v>288</v>
      </c>
      <c r="I360">
        <v>254</v>
      </c>
      <c r="J360">
        <v>699</v>
      </c>
      <c r="K360">
        <v>365</v>
      </c>
      <c r="L360">
        <v>45</v>
      </c>
      <c r="M360">
        <v>57</v>
      </c>
      <c r="N360">
        <v>32</v>
      </c>
      <c r="O360">
        <v>56</v>
      </c>
      <c r="P360">
        <v>18</v>
      </c>
      <c r="Q360">
        <v>9</v>
      </c>
      <c r="R360">
        <v>3</v>
      </c>
      <c r="S360">
        <v>1</v>
      </c>
    </row>
    <row r="361" spans="1:20" x14ac:dyDescent="0.3">
      <c r="A361" t="s">
        <v>112</v>
      </c>
      <c r="B361" t="s">
        <v>141</v>
      </c>
      <c r="C361" s="4" t="s">
        <v>24</v>
      </c>
      <c r="D361" s="1">
        <v>1448</v>
      </c>
      <c r="E361">
        <v>193</v>
      </c>
      <c r="F361">
        <v>115</v>
      </c>
      <c r="G361">
        <v>241</v>
      </c>
      <c r="H361">
        <v>152</v>
      </c>
      <c r="I361">
        <v>148</v>
      </c>
      <c r="J361">
        <v>341</v>
      </c>
      <c r="K361">
        <v>171</v>
      </c>
      <c r="L361">
        <v>26</v>
      </c>
      <c r="M361">
        <v>20</v>
      </c>
      <c r="N361">
        <v>10</v>
      </c>
      <c r="O361">
        <v>22</v>
      </c>
      <c r="P361">
        <v>6</v>
      </c>
      <c r="R361">
        <v>2</v>
      </c>
      <c r="S361">
        <v>1</v>
      </c>
    </row>
    <row r="362" spans="1:20" x14ac:dyDescent="0.3">
      <c r="A362" t="s">
        <v>112</v>
      </c>
      <c r="B362" t="s">
        <v>141</v>
      </c>
      <c r="C362" s="4" t="s">
        <v>25</v>
      </c>
      <c r="D362" s="1">
        <v>1357</v>
      </c>
      <c r="E362">
        <v>107</v>
      </c>
      <c r="F362">
        <v>98</v>
      </c>
      <c r="G362">
        <v>224</v>
      </c>
      <c r="H362">
        <v>136</v>
      </c>
      <c r="I362">
        <v>106</v>
      </c>
      <c r="J362">
        <v>358</v>
      </c>
      <c r="K362">
        <v>194</v>
      </c>
      <c r="L362">
        <v>19</v>
      </c>
      <c r="M362">
        <v>37</v>
      </c>
      <c r="N362">
        <v>22</v>
      </c>
      <c r="O362">
        <v>34</v>
      </c>
      <c r="P362">
        <v>12</v>
      </c>
      <c r="Q362">
        <v>9</v>
      </c>
      <c r="R362">
        <v>1</v>
      </c>
    </row>
    <row r="363" spans="1:20" x14ac:dyDescent="0.3">
      <c r="A363" t="s">
        <v>112</v>
      </c>
      <c r="B363" t="s">
        <v>142</v>
      </c>
      <c r="C363" s="4" t="s">
        <v>21</v>
      </c>
      <c r="D363" s="1">
        <v>2648</v>
      </c>
      <c r="E363">
        <v>303</v>
      </c>
      <c r="F363">
        <v>210</v>
      </c>
      <c r="G363">
        <v>165</v>
      </c>
      <c r="H363">
        <v>205</v>
      </c>
      <c r="I363">
        <v>293</v>
      </c>
      <c r="J363">
        <v>644</v>
      </c>
      <c r="K363">
        <v>562</v>
      </c>
      <c r="L363">
        <v>82</v>
      </c>
      <c r="M363">
        <v>69</v>
      </c>
      <c r="N363">
        <v>35</v>
      </c>
      <c r="O363">
        <v>40</v>
      </c>
      <c r="P363">
        <v>38</v>
      </c>
      <c r="Q363">
        <v>1</v>
      </c>
      <c r="S363">
        <v>1</v>
      </c>
    </row>
    <row r="364" spans="1:20" x14ac:dyDescent="0.3">
      <c r="A364" t="s">
        <v>112</v>
      </c>
      <c r="B364" t="s">
        <v>142</v>
      </c>
      <c r="C364" s="4" t="s">
        <v>24</v>
      </c>
      <c r="D364" s="1">
        <v>1404</v>
      </c>
      <c r="E364">
        <v>159</v>
      </c>
      <c r="F364">
        <v>132</v>
      </c>
      <c r="G364">
        <v>107</v>
      </c>
      <c r="H364">
        <v>127</v>
      </c>
      <c r="I364">
        <v>174</v>
      </c>
      <c r="J364">
        <v>310</v>
      </c>
      <c r="K364">
        <v>267</v>
      </c>
      <c r="L364">
        <v>44</v>
      </c>
      <c r="M364">
        <v>30</v>
      </c>
      <c r="N364">
        <v>14</v>
      </c>
      <c r="O364">
        <v>22</v>
      </c>
      <c r="P364">
        <v>17</v>
      </c>
      <c r="S364">
        <v>1</v>
      </c>
    </row>
    <row r="365" spans="1:20" x14ac:dyDescent="0.3">
      <c r="A365" t="s">
        <v>112</v>
      </c>
      <c r="B365" t="s">
        <v>142</v>
      </c>
      <c r="C365" s="4" t="s">
        <v>25</v>
      </c>
      <c r="D365" s="1">
        <v>1244</v>
      </c>
      <c r="E365">
        <v>144</v>
      </c>
      <c r="F365">
        <v>78</v>
      </c>
      <c r="G365">
        <v>58</v>
      </c>
      <c r="H365">
        <v>78</v>
      </c>
      <c r="I365">
        <v>119</v>
      </c>
      <c r="J365">
        <v>334</v>
      </c>
      <c r="K365">
        <v>295</v>
      </c>
      <c r="L365">
        <v>38</v>
      </c>
      <c r="M365">
        <v>39</v>
      </c>
      <c r="N365">
        <v>21</v>
      </c>
      <c r="O365">
        <v>18</v>
      </c>
      <c r="P365">
        <v>21</v>
      </c>
      <c r="Q365">
        <v>1</v>
      </c>
    </row>
    <row r="366" spans="1:20" x14ac:dyDescent="0.3">
      <c r="A366" t="s">
        <v>112</v>
      </c>
      <c r="B366" t="s">
        <v>143</v>
      </c>
      <c r="C366" s="4" t="s">
        <v>21</v>
      </c>
      <c r="D366" s="1">
        <v>2605</v>
      </c>
      <c r="E366">
        <v>332</v>
      </c>
      <c r="F366">
        <v>140</v>
      </c>
      <c r="G366">
        <v>200</v>
      </c>
      <c r="H366">
        <v>223</v>
      </c>
      <c r="I366">
        <v>207</v>
      </c>
      <c r="J366">
        <v>793</v>
      </c>
      <c r="K366">
        <v>410</v>
      </c>
      <c r="L366">
        <v>77</v>
      </c>
      <c r="M366">
        <v>82</v>
      </c>
      <c r="N366">
        <v>63</v>
      </c>
      <c r="O366">
        <v>46</v>
      </c>
      <c r="P366">
        <v>20</v>
      </c>
      <c r="Q366">
        <v>7</v>
      </c>
      <c r="R366">
        <v>2</v>
      </c>
      <c r="S366">
        <v>2</v>
      </c>
      <c r="T366">
        <v>1</v>
      </c>
    </row>
    <row r="367" spans="1:20" x14ac:dyDescent="0.3">
      <c r="A367" t="s">
        <v>112</v>
      </c>
      <c r="B367" t="s">
        <v>143</v>
      </c>
      <c r="C367" s="4" t="s">
        <v>24</v>
      </c>
      <c r="D367" s="1">
        <v>1204</v>
      </c>
      <c r="E367">
        <v>177</v>
      </c>
      <c r="F367">
        <v>68</v>
      </c>
      <c r="G367">
        <v>108</v>
      </c>
      <c r="H367">
        <v>122</v>
      </c>
      <c r="I367">
        <v>110</v>
      </c>
      <c r="J367">
        <v>360</v>
      </c>
      <c r="K367">
        <v>149</v>
      </c>
      <c r="L367">
        <v>38</v>
      </c>
      <c r="M367">
        <v>41</v>
      </c>
      <c r="N367">
        <v>16</v>
      </c>
      <c r="O367">
        <v>8</v>
      </c>
      <c r="P367">
        <v>5</v>
      </c>
      <c r="Q367">
        <v>1</v>
      </c>
      <c r="S367">
        <v>1</v>
      </c>
    </row>
    <row r="368" spans="1:20" x14ac:dyDescent="0.3">
      <c r="A368" t="s">
        <v>112</v>
      </c>
      <c r="B368" t="s">
        <v>143</v>
      </c>
      <c r="C368" s="4" t="s">
        <v>25</v>
      </c>
      <c r="D368" s="1">
        <v>1401</v>
      </c>
      <c r="E368">
        <v>155</v>
      </c>
      <c r="F368">
        <v>72</v>
      </c>
      <c r="G368">
        <v>92</v>
      </c>
      <c r="H368">
        <v>101</v>
      </c>
      <c r="I368">
        <v>97</v>
      </c>
      <c r="J368">
        <v>433</v>
      </c>
      <c r="K368">
        <v>261</v>
      </c>
      <c r="L368">
        <v>39</v>
      </c>
      <c r="M368">
        <v>41</v>
      </c>
      <c r="N368">
        <v>47</v>
      </c>
      <c r="O368">
        <v>38</v>
      </c>
      <c r="P368">
        <v>15</v>
      </c>
      <c r="Q368">
        <v>6</v>
      </c>
      <c r="R368">
        <v>2</v>
      </c>
      <c r="S368">
        <v>1</v>
      </c>
      <c r="T368">
        <v>1</v>
      </c>
    </row>
    <row r="369" spans="1:20" x14ac:dyDescent="0.3">
      <c r="A369" t="s">
        <v>112</v>
      </c>
      <c r="B369" t="s">
        <v>144</v>
      </c>
      <c r="C369" s="4" t="s">
        <v>21</v>
      </c>
      <c r="D369" s="1">
        <v>2373</v>
      </c>
      <c r="E369">
        <v>172</v>
      </c>
      <c r="F369">
        <v>57</v>
      </c>
      <c r="G369">
        <v>109</v>
      </c>
      <c r="H369">
        <v>112</v>
      </c>
      <c r="I369">
        <v>179</v>
      </c>
      <c r="J369">
        <v>674</v>
      </c>
      <c r="K369">
        <v>392</v>
      </c>
      <c r="L369">
        <v>94</v>
      </c>
      <c r="M369">
        <v>109</v>
      </c>
      <c r="N369">
        <v>167</v>
      </c>
      <c r="O369">
        <v>127</v>
      </c>
      <c r="P369">
        <v>128</v>
      </c>
      <c r="Q369">
        <v>35</v>
      </c>
      <c r="R369">
        <v>7</v>
      </c>
      <c r="S369">
        <v>5</v>
      </c>
      <c r="T369">
        <v>6</v>
      </c>
    </row>
    <row r="370" spans="1:20" x14ac:dyDescent="0.3">
      <c r="A370" t="s">
        <v>112</v>
      </c>
      <c r="B370" t="s">
        <v>144</v>
      </c>
      <c r="C370" s="4" t="s">
        <v>24</v>
      </c>
      <c r="D370">
        <v>854</v>
      </c>
      <c r="E370">
        <v>81</v>
      </c>
      <c r="F370">
        <v>25</v>
      </c>
      <c r="G370">
        <v>50</v>
      </c>
      <c r="H370">
        <v>51</v>
      </c>
      <c r="I370">
        <v>72</v>
      </c>
      <c r="J370">
        <v>297</v>
      </c>
      <c r="K370">
        <v>115</v>
      </c>
      <c r="L370">
        <v>28</v>
      </c>
      <c r="M370">
        <v>26</v>
      </c>
      <c r="N370">
        <v>30</v>
      </c>
      <c r="O370">
        <v>16</v>
      </c>
      <c r="P370">
        <v>46</v>
      </c>
      <c r="Q370">
        <v>11</v>
      </c>
      <c r="R370">
        <v>3</v>
      </c>
      <c r="T370">
        <v>3</v>
      </c>
    </row>
    <row r="371" spans="1:20" x14ac:dyDescent="0.3">
      <c r="A371" t="s">
        <v>112</v>
      </c>
      <c r="B371" t="s">
        <v>144</v>
      </c>
      <c r="C371" s="4" t="s">
        <v>25</v>
      </c>
      <c r="D371" s="1">
        <v>1519</v>
      </c>
      <c r="E371">
        <v>91</v>
      </c>
      <c r="F371">
        <v>32</v>
      </c>
      <c r="G371">
        <v>59</v>
      </c>
      <c r="H371">
        <v>61</v>
      </c>
      <c r="I371">
        <v>107</v>
      </c>
      <c r="J371">
        <v>377</v>
      </c>
      <c r="K371">
        <v>277</v>
      </c>
      <c r="L371">
        <v>66</v>
      </c>
      <c r="M371">
        <v>83</v>
      </c>
      <c r="N371">
        <v>137</v>
      </c>
      <c r="O371">
        <v>111</v>
      </c>
      <c r="P371">
        <v>82</v>
      </c>
      <c r="Q371">
        <v>24</v>
      </c>
      <c r="R371">
        <v>4</v>
      </c>
      <c r="S371">
        <v>5</v>
      </c>
      <c r="T371">
        <v>3</v>
      </c>
    </row>
    <row r="372" spans="1:20" x14ac:dyDescent="0.3">
      <c r="A372" t="s">
        <v>112</v>
      </c>
      <c r="B372" t="s">
        <v>145</v>
      </c>
      <c r="C372" s="4" t="s">
        <v>21</v>
      </c>
      <c r="D372" s="1">
        <v>1918</v>
      </c>
      <c r="E372">
        <v>235</v>
      </c>
      <c r="F372">
        <v>102</v>
      </c>
      <c r="G372">
        <v>154</v>
      </c>
      <c r="H372">
        <v>140</v>
      </c>
      <c r="I372">
        <v>107</v>
      </c>
      <c r="J372">
        <v>471</v>
      </c>
      <c r="K372">
        <v>497</v>
      </c>
      <c r="L372">
        <v>60</v>
      </c>
      <c r="M372">
        <v>56</v>
      </c>
      <c r="N372">
        <v>49</v>
      </c>
      <c r="O372">
        <v>26</v>
      </c>
      <c r="P372">
        <v>18</v>
      </c>
      <c r="Q372">
        <v>2</v>
      </c>
      <c r="R372">
        <v>1</v>
      </c>
    </row>
    <row r="373" spans="1:20" x14ac:dyDescent="0.3">
      <c r="A373" t="s">
        <v>112</v>
      </c>
      <c r="B373" t="s">
        <v>145</v>
      </c>
      <c r="C373" s="4" t="s">
        <v>24</v>
      </c>
      <c r="D373">
        <v>988</v>
      </c>
      <c r="E373">
        <v>126</v>
      </c>
      <c r="F373">
        <v>54</v>
      </c>
      <c r="G373">
        <v>91</v>
      </c>
      <c r="H373">
        <v>86</v>
      </c>
      <c r="I373">
        <v>59</v>
      </c>
      <c r="J373">
        <v>219</v>
      </c>
      <c r="K373">
        <v>228</v>
      </c>
      <c r="L373">
        <v>34</v>
      </c>
      <c r="M373">
        <v>34</v>
      </c>
      <c r="N373">
        <v>31</v>
      </c>
      <c r="O373">
        <v>16</v>
      </c>
      <c r="P373">
        <v>10</v>
      </c>
    </row>
    <row r="374" spans="1:20" x14ac:dyDescent="0.3">
      <c r="A374" t="s">
        <v>112</v>
      </c>
      <c r="B374" t="s">
        <v>145</v>
      </c>
      <c r="C374" s="4" t="s">
        <v>25</v>
      </c>
      <c r="D374">
        <v>930</v>
      </c>
      <c r="E374">
        <v>109</v>
      </c>
      <c r="F374">
        <v>48</v>
      </c>
      <c r="G374">
        <v>63</v>
      </c>
      <c r="H374">
        <v>54</v>
      </c>
      <c r="I374">
        <v>48</v>
      </c>
      <c r="J374">
        <v>252</v>
      </c>
      <c r="K374">
        <v>269</v>
      </c>
      <c r="L374">
        <v>26</v>
      </c>
      <c r="M374">
        <v>22</v>
      </c>
      <c r="N374">
        <v>18</v>
      </c>
      <c r="O374">
        <v>10</v>
      </c>
      <c r="P374">
        <v>8</v>
      </c>
      <c r="Q374">
        <v>2</v>
      </c>
      <c r="R374">
        <v>1</v>
      </c>
    </row>
    <row r="375" spans="1:20" x14ac:dyDescent="0.3">
      <c r="A375" t="s">
        <v>112</v>
      </c>
      <c r="B375" t="s">
        <v>146</v>
      </c>
      <c r="C375" s="4" t="s">
        <v>21</v>
      </c>
      <c r="D375" s="1">
        <v>1852</v>
      </c>
      <c r="E375">
        <v>98</v>
      </c>
      <c r="F375">
        <v>68</v>
      </c>
      <c r="G375">
        <v>144</v>
      </c>
      <c r="H375">
        <v>153</v>
      </c>
      <c r="I375">
        <v>169</v>
      </c>
      <c r="J375">
        <v>307</v>
      </c>
      <c r="K375">
        <v>192</v>
      </c>
      <c r="L375">
        <v>82</v>
      </c>
      <c r="M375">
        <v>102</v>
      </c>
      <c r="N375">
        <v>101</v>
      </c>
      <c r="O375">
        <v>163</v>
      </c>
      <c r="P375">
        <v>202</v>
      </c>
      <c r="Q375">
        <v>51</v>
      </c>
      <c r="R375">
        <v>13</v>
      </c>
      <c r="S375">
        <v>3</v>
      </c>
      <c r="T375">
        <v>4</v>
      </c>
    </row>
    <row r="376" spans="1:20" x14ac:dyDescent="0.3">
      <c r="A376" t="s">
        <v>112</v>
      </c>
      <c r="B376" t="s">
        <v>146</v>
      </c>
      <c r="C376" s="4" t="s">
        <v>24</v>
      </c>
      <c r="D376">
        <v>976</v>
      </c>
      <c r="E376">
        <v>69</v>
      </c>
      <c r="F376">
        <v>39</v>
      </c>
      <c r="G376">
        <v>70</v>
      </c>
      <c r="H376">
        <v>92</v>
      </c>
      <c r="I376">
        <v>97</v>
      </c>
      <c r="J376">
        <v>145</v>
      </c>
      <c r="K376">
        <v>93</v>
      </c>
      <c r="L376">
        <v>43</v>
      </c>
      <c r="M376">
        <v>57</v>
      </c>
      <c r="N376">
        <v>57</v>
      </c>
      <c r="O376">
        <v>71</v>
      </c>
      <c r="P376">
        <v>114</v>
      </c>
      <c r="Q376">
        <v>20</v>
      </c>
      <c r="R376">
        <v>4</v>
      </c>
      <c r="S376">
        <v>2</v>
      </c>
      <c r="T376">
        <v>3</v>
      </c>
    </row>
    <row r="377" spans="1:20" x14ac:dyDescent="0.3">
      <c r="A377" t="s">
        <v>112</v>
      </c>
      <c r="B377" t="s">
        <v>146</v>
      </c>
      <c r="C377" s="4" t="s">
        <v>25</v>
      </c>
      <c r="D377">
        <v>876</v>
      </c>
      <c r="E377">
        <v>29</v>
      </c>
      <c r="F377">
        <v>29</v>
      </c>
      <c r="G377">
        <v>74</v>
      </c>
      <c r="H377">
        <v>61</v>
      </c>
      <c r="I377">
        <v>72</v>
      </c>
      <c r="J377">
        <v>162</v>
      </c>
      <c r="K377">
        <v>99</v>
      </c>
      <c r="L377">
        <v>39</v>
      </c>
      <c r="M377">
        <v>45</v>
      </c>
      <c r="N377">
        <v>44</v>
      </c>
      <c r="O377">
        <v>92</v>
      </c>
      <c r="P377">
        <v>88</v>
      </c>
      <c r="Q377">
        <v>31</v>
      </c>
      <c r="R377">
        <v>9</v>
      </c>
      <c r="S377">
        <v>1</v>
      </c>
      <c r="T377">
        <v>1</v>
      </c>
    </row>
    <row r="378" spans="1:20" x14ac:dyDescent="0.3">
      <c r="A378" t="s">
        <v>112</v>
      </c>
      <c r="B378" t="s">
        <v>147</v>
      </c>
      <c r="C378" s="4" t="s">
        <v>21</v>
      </c>
      <c r="D378" s="1">
        <v>1265</v>
      </c>
      <c r="E378">
        <v>294</v>
      </c>
      <c r="F378">
        <v>54</v>
      </c>
      <c r="G378">
        <v>58</v>
      </c>
      <c r="H378">
        <v>70</v>
      </c>
      <c r="I378">
        <v>118</v>
      </c>
      <c r="J378">
        <v>284</v>
      </c>
      <c r="K378">
        <v>121</v>
      </c>
      <c r="L378">
        <v>32</v>
      </c>
      <c r="M378">
        <v>37</v>
      </c>
      <c r="N378">
        <v>52</v>
      </c>
      <c r="O378">
        <v>85</v>
      </c>
      <c r="P378">
        <v>36</v>
      </c>
      <c r="Q378">
        <v>17</v>
      </c>
      <c r="R378">
        <v>5</v>
      </c>
      <c r="S378">
        <v>1</v>
      </c>
      <c r="T378">
        <v>1</v>
      </c>
    </row>
    <row r="379" spans="1:20" x14ac:dyDescent="0.3">
      <c r="A379" t="s">
        <v>112</v>
      </c>
      <c r="B379" t="s">
        <v>147</v>
      </c>
      <c r="C379" s="4" t="s">
        <v>24</v>
      </c>
      <c r="D379">
        <v>686</v>
      </c>
      <c r="E379">
        <v>281</v>
      </c>
      <c r="F379">
        <v>42</v>
      </c>
      <c r="G379">
        <v>31</v>
      </c>
      <c r="H379">
        <v>31</v>
      </c>
      <c r="I379">
        <v>62</v>
      </c>
      <c r="J379">
        <v>123</v>
      </c>
      <c r="K379">
        <v>47</v>
      </c>
      <c r="L379">
        <v>13</v>
      </c>
      <c r="M379">
        <v>11</v>
      </c>
      <c r="N379">
        <v>10</v>
      </c>
      <c r="O379">
        <v>17</v>
      </c>
      <c r="P379">
        <v>9</v>
      </c>
      <c r="Q379">
        <v>5</v>
      </c>
      <c r="R379">
        <v>2</v>
      </c>
      <c r="S379">
        <v>1</v>
      </c>
      <c r="T379">
        <v>1</v>
      </c>
    </row>
    <row r="380" spans="1:20" x14ac:dyDescent="0.3">
      <c r="A380" t="s">
        <v>112</v>
      </c>
      <c r="B380" t="s">
        <v>147</v>
      </c>
      <c r="C380" s="4" t="s">
        <v>25</v>
      </c>
      <c r="D380">
        <v>579</v>
      </c>
      <c r="E380">
        <v>13</v>
      </c>
      <c r="F380">
        <v>12</v>
      </c>
      <c r="G380">
        <v>27</v>
      </c>
      <c r="H380">
        <v>39</v>
      </c>
      <c r="I380">
        <v>56</v>
      </c>
      <c r="J380">
        <v>161</v>
      </c>
      <c r="K380">
        <v>74</v>
      </c>
      <c r="L380">
        <v>19</v>
      </c>
      <c r="M380">
        <v>26</v>
      </c>
      <c r="N380">
        <v>42</v>
      </c>
      <c r="O380">
        <v>68</v>
      </c>
      <c r="P380">
        <v>27</v>
      </c>
      <c r="Q380">
        <v>12</v>
      </c>
      <c r="R380">
        <v>3</v>
      </c>
    </row>
    <row r="381" spans="1:20" x14ac:dyDescent="0.3">
      <c r="A381" t="s">
        <v>112</v>
      </c>
      <c r="B381" t="s">
        <v>148</v>
      </c>
      <c r="C381" s="4" t="s">
        <v>21</v>
      </c>
      <c r="D381" s="1">
        <v>1057</v>
      </c>
      <c r="E381">
        <v>289</v>
      </c>
      <c r="F381">
        <v>47</v>
      </c>
      <c r="G381">
        <v>85</v>
      </c>
      <c r="H381">
        <v>76</v>
      </c>
      <c r="I381">
        <v>70</v>
      </c>
      <c r="J381">
        <v>227</v>
      </c>
      <c r="K381">
        <v>144</v>
      </c>
      <c r="L381">
        <v>31</v>
      </c>
      <c r="M381">
        <v>25</v>
      </c>
      <c r="N381">
        <v>13</v>
      </c>
      <c r="O381">
        <v>14</v>
      </c>
      <c r="P381">
        <v>36</v>
      </c>
    </row>
    <row r="382" spans="1:20" x14ac:dyDescent="0.3">
      <c r="A382" t="s">
        <v>112</v>
      </c>
      <c r="B382" t="s">
        <v>148</v>
      </c>
      <c r="C382" s="4" t="s">
        <v>24</v>
      </c>
      <c r="D382">
        <v>514</v>
      </c>
      <c r="E382">
        <v>142</v>
      </c>
      <c r="F382">
        <v>32</v>
      </c>
      <c r="G382">
        <v>54</v>
      </c>
      <c r="H382">
        <v>47</v>
      </c>
      <c r="I382">
        <v>29</v>
      </c>
      <c r="J382">
        <v>109</v>
      </c>
      <c r="K382">
        <v>57</v>
      </c>
      <c r="L382">
        <v>9</v>
      </c>
      <c r="M382">
        <v>9</v>
      </c>
      <c r="N382">
        <v>3</v>
      </c>
      <c r="O382">
        <v>6</v>
      </c>
      <c r="P382">
        <v>17</v>
      </c>
    </row>
    <row r="383" spans="1:20" x14ac:dyDescent="0.3">
      <c r="A383" t="s">
        <v>112</v>
      </c>
      <c r="B383" t="s">
        <v>148</v>
      </c>
      <c r="C383" s="4" t="s">
        <v>25</v>
      </c>
      <c r="D383">
        <v>542</v>
      </c>
      <c r="E383">
        <v>147</v>
      </c>
      <c r="F383">
        <v>15</v>
      </c>
      <c r="G383">
        <v>31</v>
      </c>
      <c r="H383">
        <v>29</v>
      </c>
      <c r="I383">
        <v>41</v>
      </c>
      <c r="J383">
        <v>118</v>
      </c>
      <c r="K383">
        <v>86</v>
      </c>
      <c r="L383">
        <v>22</v>
      </c>
      <c r="M383">
        <v>16</v>
      </c>
      <c r="N383">
        <v>10</v>
      </c>
      <c r="O383">
        <v>8</v>
      </c>
      <c r="P383">
        <v>19</v>
      </c>
    </row>
    <row r="384" spans="1:20" x14ac:dyDescent="0.3">
      <c r="A384" t="s">
        <v>112</v>
      </c>
      <c r="B384" t="s">
        <v>148</v>
      </c>
      <c r="C384" s="4" t="s">
        <v>75</v>
      </c>
      <c r="D384">
        <v>1</v>
      </c>
      <c r="K384">
        <v>1</v>
      </c>
    </row>
    <row r="385" spans="1:19" x14ac:dyDescent="0.3">
      <c r="A385" t="s">
        <v>112</v>
      </c>
      <c r="B385" t="s">
        <v>149</v>
      </c>
      <c r="C385" s="4" t="s">
        <v>21</v>
      </c>
      <c r="D385">
        <v>933</v>
      </c>
      <c r="E385">
        <v>46</v>
      </c>
      <c r="F385">
        <v>49</v>
      </c>
      <c r="G385">
        <v>126</v>
      </c>
      <c r="H385">
        <v>96</v>
      </c>
      <c r="I385">
        <v>72</v>
      </c>
      <c r="J385">
        <v>263</v>
      </c>
      <c r="K385">
        <v>125</v>
      </c>
      <c r="L385">
        <v>107</v>
      </c>
      <c r="M385">
        <v>10</v>
      </c>
      <c r="N385">
        <v>14</v>
      </c>
      <c r="O385">
        <v>14</v>
      </c>
      <c r="P385">
        <v>8</v>
      </c>
      <c r="Q385">
        <v>2</v>
      </c>
      <c r="R385">
        <v>1</v>
      </c>
    </row>
    <row r="386" spans="1:19" x14ac:dyDescent="0.3">
      <c r="A386" t="s">
        <v>112</v>
      </c>
      <c r="B386" t="s">
        <v>149</v>
      </c>
      <c r="C386" s="4" t="s">
        <v>24</v>
      </c>
      <c r="D386">
        <v>526</v>
      </c>
      <c r="E386">
        <v>25</v>
      </c>
      <c r="F386">
        <v>27</v>
      </c>
      <c r="G386">
        <v>65</v>
      </c>
      <c r="H386">
        <v>55</v>
      </c>
      <c r="I386">
        <v>38</v>
      </c>
      <c r="J386">
        <v>136</v>
      </c>
      <c r="K386">
        <v>75</v>
      </c>
      <c r="L386">
        <v>82</v>
      </c>
      <c r="M386">
        <v>5</v>
      </c>
      <c r="N386">
        <v>6</v>
      </c>
      <c r="O386">
        <v>4</v>
      </c>
      <c r="P386">
        <v>5</v>
      </c>
      <c r="Q386">
        <v>2</v>
      </c>
      <c r="R386">
        <v>1</v>
      </c>
    </row>
    <row r="387" spans="1:19" x14ac:dyDescent="0.3">
      <c r="A387" t="s">
        <v>112</v>
      </c>
      <c r="B387" t="s">
        <v>149</v>
      </c>
      <c r="C387" s="4" t="s">
        <v>25</v>
      </c>
      <c r="D387">
        <v>407</v>
      </c>
      <c r="E387">
        <v>21</v>
      </c>
      <c r="F387">
        <v>22</v>
      </c>
      <c r="G387">
        <v>61</v>
      </c>
      <c r="H387">
        <v>41</v>
      </c>
      <c r="I387">
        <v>34</v>
      </c>
      <c r="J387">
        <v>127</v>
      </c>
      <c r="K387">
        <v>50</v>
      </c>
      <c r="L387">
        <v>25</v>
      </c>
      <c r="M387">
        <v>5</v>
      </c>
      <c r="N387">
        <v>8</v>
      </c>
      <c r="O387">
        <v>10</v>
      </c>
      <c r="P387">
        <v>3</v>
      </c>
    </row>
    <row r="388" spans="1:19" x14ac:dyDescent="0.3">
      <c r="A388" t="s">
        <v>112</v>
      </c>
      <c r="B388" t="s">
        <v>150</v>
      </c>
      <c r="C388" s="4" t="s">
        <v>21</v>
      </c>
      <c r="D388">
        <v>847</v>
      </c>
      <c r="E388">
        <v>96</v>
      </c>
      <c r="F388">
        <v>46</v>
      </c>
      <c r="G388">
        <v>100</v>
      </c>
      <c r="H388">
        <v>82</v>
      </c>
      <c r="I388">
        <v>86</v>
      </c>
      <c r="J388">
        <v>204</v>
      </c>
      <c r="K388">
        <v>109</v>
      </c>
      <c r="L388">
        <v>60</v>
      </c>
      <c r="M388">
        <v>14</v>
      </c>
      <c r="N388">
        <v>20</v>
      </c>
      <c r="O388">
        <v>16</v>
      </c>
      <c r="P388">
        <v>11</v>
      </c>
      <c r="Q388">
        <v>2</v>
      </c>
      <c r="R388">
        <v>1</v>
      </c>
    </row>
    <row r="389" spans="1:19" x14ac:dyDescent="0.3">
      <c r="A389" t="s">
        <v>112</v>
      </c>
      <c r="B389" t="s">
        <v>150</v>
      </c>
      <c r="C389" s="4" t="s">
        <v>24</v>
      </c>
      <c r="D389">
        <v>431</v>
      </c>
      <c r="E389">
        <v>50</v>
      </c>
      <c r="F389">
        <v>32</v>
      </c>
      <c r="G389">
        <v>62</v>
      </c>
      <c r="H389">
        <v>39</v>
      </c>
      <c r="I389">
        <v>49</v>
      </c>
      <c r="J389">
        <v>99</v>
      </c>
      <c r="K389">
        <v>49</v>
      </c>
      <c r="L389">
        <v>27</v>
      </c>
      <c r="M389">
        <v>6</v>
      </c>
      <c r="N389">
        <v>7</v>
      </c>
      <c r="O389">
        <v>5</v>
      </c>
      <c r="P389">
        <v>5</v>
      </c>
      <c r="R389">
        <v>1</v>
      </c>
    </row>
    <row r="390" spans="1:19" x14ac:dyDescent="0.3">
      <c r="A390" t="s">
        <v>112</v>
      </c>
      <c r="B390" t="s">
        <v>150</v>
      </c>
      <c r="C390" s="4" t="s">
        <v>25</v>
      </c>
      <c r="D390">
        <v>415</v>
      </c>
      <c r="E390">
        <v>46</v>
      </c>
      <c r="F390">
        <v>14</v>
      </c>
      <c r="G390">
        <v>38</v>
      </c>
      <c r="H390">
        <v>43</v>
      </c>
      <c r="I390">
        <v>37</v>
      </c>
      <c r="J390">
        <v>105</v>
      </c>
      <c r="K390">
        <v>60</v>
      </c>
      <c r="L390">
        <v>33</v>
      </c>
      <c r="M390">
        <v>8</v>
      </c>
      <c r="N390">
        <v>12</v>
      </c>
      <c r="O390">
        <v>11</v>
      </c>
      <c r="P390">
        <v>6</v>
      </c>
      <c r="Q390">
        <v>2</v>
      </c>
    </row>
    <row r="391" spans="1:19" x14ac:dyDescent="0.3">
      <c r="A391" t="s">
        <v>112</v>
      </c>
      <c r="B391" t="s">
        <v>150</v>
      </c>
      <c r="C391" s="4" t="s">
        <v>75</v>
      </c>
      <c r="D391">
        <v>1</v>
      </c>
      <c r="N391">
        <v>1</v>
      </c>
    </row>
    <row r="392" spans="1:19" x14ac:dyDescent="0.3">
      <c r="A392" t="s">
        <v>112</v>
      </c>
      <c r="B392" t="s">
        <v>151</v>
      </c>
      <c r="C392" s="4" t="s">
        <v>21</v>
      </c>
      <c r="D392">
        <v>777</v>
      </c>
      <c r="E392">
        <v>417</v>
      </c>
      <c r="F392">
        <v>53</v>
      </c>
      <c r="G392">
        <v>54</v>
      </c>
      <c r="H392">
        <v>34</v>
      </c>
      <c r="I392">
        <v>18</v>
      </c>
      <c r="J392">
        <v>77</v>
      </c>
      <c r="K392">
        <v>56</v>
      </c>
      <c r="L392">
        <v>27</v>
      </c>
      <c r="M392">
        <v>24</v>
      </c>
      <c r="N392">
        <v>8</v>
      </c>
      <c r="O392">
        <v>2</v>
      </c>
      <c r="P392">
        <v>7</v>
      </c>
    </row>
    <row r="393" spans="1:19" x14ac:dyDescent="0.3">
      <c r="A393" t="s">
        <v>112</v>
      </c>
      <c r="B393" t="s">
        <v>151</v>
      </c>
      <c r="C393" s="4" t="s">
        <v>24</v>
      </c>
      <c r="D393">
        <v>627</v>
      </c>
      <c r="E393">
        <v>398</v>
      </c>
      <c r="F393">
        <v>45</v>
      </c>
      <c r="G393">
        <v>35</v>
      </c>
      <c r="H393">
        <v>20</v>
      </c>
      <c r="I393">
        <v>9</v>
      </c>
      <c r="J393">
        <v>38</v>
      </c>
      <c r="K393">
        <v>29</v>
      </c>
      <c r="L393">
        <v>22</v>
      </c>
      <c r="M393">
        <v>23</v>
      </c>
      <c r="N393">
        <v>6</v>
      </c>
      <c r="O393">
        <v>1</v>
      </c>
      <c r="P393">
        <v>1</v>
      </c>
    </row>
    <row r="394" spans="1:19" x14ac:dyDescent="0.3">
      <c r="A394" t="s">
        <v>112</v>
      </c>
      <c r="B394" t="s">
        <v>151</v>
      </c>
      <c r="C394" s="4" t="s">
        <v>25</v>
      </c>
      <c r="D394">
        <v>150</v>
      </c>
      <c r="E394">
        <v>19</v>
      </c>
      <c r="F394">
        <v>8</v>
      </c>
      <c r="G394">
        <v>19</v>
      </c>
      <c r="H394">
        <v>14</v>
      </c>
      <c r="I394">
        <v>9</v>
      </c>
      <c r="J394">
        <v>39</v>
      </c>
      <c r="K394">
        <v>27</v>
      </c>
      <c r="L394">
        <v>5</v>
      </c>
      <c r="M394">
        <v>1</v>
      </c>
      <c r="N394">
        <v>2</v>
      </c>
      <c r="O394">
        <v>1</v>
      </c>
      <c r="P394">
        <v>6</v>
      </c>
    </row>
    <row r="395" spans="1:19" x14ac:dyDescent="0.3">
      <c r="A395" t="s">
        <v>112</v>
      </c>
      <c r="B395" t="s">
        <v>152</v>
      </c>
      <c r="C395" s="4" t="s">
        <v>21</v>
      </c>
      <c r="D395">
        <v>686</v>
      </c>
      <c r="E395">
        <v>66</v>
      </c>
      <c r="F395">
        <v>35</v>
      </c>
      <c r="G395">
        <v>92</v>
      </c>
      <c r="H395">
        <v>59</v>
      </c>
      <c r="I395">
        <v>67</v>
      </c>
      <c r="J395">
        <v>204</v>
      </c>
      <c r="K395">
        <v>107</v>
      </c>
      <c r="L395">
        <v>26</v>
      </c>
      <c r="M395">
        <v>7</v>
      </c>
      <c r="N395">
        <v>7</v>
      </c>
      <c r="O395">
        <v>8</v>
      </c>
      <c r="P395">
        <v>7</v>
      </c>
      <c r="Q395">
        <v>1</v>
      </c>
    </row>
    <row r="396" spans="1:19" x14ac:dyDescent="0.3">
      <c r="A396" t="s">
        <v>112</v>
      </c>
      <c r="B396" t="s">
        <v>152</v>
      </c>
      <c r="C396" s="4" t="s">
        <v>24</v>
      </c>
      <c r="D396">
        <v>373</v>
      </c>
      <c r="E396">
        <v>41</v>
      </c>
      <c r="F396">
        <v>23</v>
      </c>
      <c r="G396">
        <v>50</v>
      </c>
      <c r="H396">
        <v>31</v>
      </c>
      <c r="I396">
        <v>42</v>
      </c>
      <c r="J396">
        <v>100</v>
      </c>
      <c r="K396">
        <v>50</v>
      </c>
      <c r="L396">
        <v>16</v>
      </c>
      <c r="M396">
        <v>5</v>
      </c>
      <c r="N396">
        <v>3</v>
      </c>
      <c r="O396">
        <v>5</v>
      </c>
      <c r="P396">
        <v>6</v>
      </c>
      <c r="Q396">
        <v>1</v>
      </c>
    </row>
    <row r="397" spans="1:19" x14ac:dyDescent="0.3">
      <c r="A397" t="s">
        <v>112</v>
      </c>
      <c r="B397" t="s">
        <v>152</v>
      </c>
      <c r="C397" s="4" t="s">
        <v>25</v>
      </c>
      <c r="D397">
        <v>313</v>
      </c>
      <c r="E397">
        <v>25</v>
      </c>
      <c r="F397">
        <v>12</v>
      </c>
      <c r="G397">
        <v>42</v>
      </c>
      <c r="H397">
        <v>28</v>
      </c>
      <c r="I397">
        <v>25</v>
      </c>
      <c r="J397">
        <v>104</v>
      </c>
      <c r="K397">
        <v>57</v>
      </c>
      <c r="L397">
        <v>10</v>
      </c>
      <c r="M397">
        <v>2</v>
      </c>
      <c r="N397">
        <v>4</v>
      </c>
      <c r="O397">
        <v>3</v>
      </c>
      <c r="P397">
        <v>1</v>
      </c>
    </row>
    <row r="398" spans="1:19" x14ac:dyDescent="0.3">
      <c r="A398" t="s">
        <v>112</v>
      </c>
      <c r="B398" t="s">
        <v>153</v>
      </c>
      <c r="C398" s="4" t="s">
        <v>21</v>
      </c>
      <c r="D398">
        <v>434</v>
      </c>
      <c r="E398">
        <v>29</v>
      </c>
      <c r="F398">
        <v>11</v>
      </c>
      <c r="G398">
        <v>27</v>
      </c>
      <c r="H398">
        <v>28</v>
      </c>
      <c r="I398">
        <v>33</v>
      </c>
      <c r="J398">
        <v>133</v>
      </c>
      <c r="K398">
        <v>54</v>
      </c>
      <c r="L398">
        <v>13</v>
      </c>
      <c r="M398">
        <v>19</v>
      </c>
      <c r="N398">
        <v>18</v>
      </c>
      <c r="O398">
        <v>33</v>
      </c>
      <c r="P398">
        <v>29</v>
      </c>
      <c r="Q398">
        <v>4</v>
      </c>
      <c r="R398">
        <v>1</v>
      </c>
      <c r="S398">
        <v>2</v>
      </c>
    </row>
    <row r="399" spans="1:19" x14ac:dyDescent="0.3">
      <c r="A399" t="s">
        <v>112</v>
      </c>
      <c r="B399" t="s">
        <v>153</v>
      </c>
      <c r="C399" s="4" t="s">
        <v>24</v>
      </c>
      <c r="D399">
        <v>152</v>
      </c>
      <c r="E399">
        <v>11</v>
      </c>
      <c r="F399">
        <v>2</v>
      </c>
      <c r="G399">
        <v>15</v>
      </c>
      <c r="H399">
        <v>13</v>
      </c>
      <c r="I399">
        <v>19</v>
      </c>
      <c r="J399">
        <v>54</v>
      </c>
      <c r="K399">
        <v>12</v>
      </c>
      <c r="L399">
        <v>4</v>
      </c>
      <c r="M399">
        <v>8</v>
      </c>
      <c r="N399">
        <v>6</v>
      </c>
      <c r="O399">
        <v>4</v>
      </c>
      <c r="P399">
        <v>3</v>
      </c>
      <c r="Q399">
        <v>1</v>
      </c>
    </row>
    <row r="400" spans="1:19" x14ac:dyDescent="0.3">
      <c r="A400" t="s">
        <v>112</v>
      </c>
      <c r="B400" t="s">
        <v>153</v>
      </c>
      <c r="C400" s="4" t="s">
        <v>25</v>
      </c>
      <c r="D400">
        <v>282</v>
      </c>
      <c r="E400">
        <v>18</v>
      </c>
      <c r="F400">
        <v>9</v>
      </c>
      <c r="G400">
        <v>12</v>
      </c>
      <c r="H400">
        <v>15</v>
      </c>
      <c r="I400">
        <v>14</v>
      </c>
      <c r="J400">
        <v>79</v>
      </c>
      <c r="K400">
        <v>42</v>
      </c>
      <c r="L400">
        <v>9</v>
      </c>
      <c r="M400">
        <v>11</v>
      </c>
      <c r="N400">
        <v>12</v>
      </c>
      <c r="O400">
        <v>29</v>
      </c>
      <c r="P400">
        <v>26</v>
      </c>
      <c r="Q400">
        <v>3</v>
      </c>
      <c r="R400">
        <v>1</v>
      </c>
      <c r="S400">
        <v>2</v>
      </c>
    </row>
    <row r="401" spans="1:21" x14ac:dyDescent="0.3">
      <c r="A401" t="s">
        <v>112</v>
      </c>
      <c r="B401" t="s">
        <v>154</v>
      </c>
      <c r="C401" s="4" t="s">
        <v>21</v>
      </c>
      <c r="D401">
        <v>261</v>
      </c>
      <c r="E401">
        <v>22</v>
      </c>
      <c r="F401">
        <v>2</v>
      </c>
      <c r="G401">
        <v>11</v>
      </c>
      <c r="H401">
        <v>16</v>
      </c>
      <c r="I401">
        <v>13</v>
      </c>
      <c r="J401">
        <v>61</v>
      </c>
      <c r="K401">
        <v>34</v>
      </c>
      <c r="L401">
        <v>10</v>
      </c>
      <c r="M401">
        <v>16</v>
      </c>
      <c r="N401">
        <v>15</v>
      </c>
      <c r="O401">
        <v>25</v>
      </c>
      <c r="P401">
        <v>25</v>
      </c>
      <c r="Q401">
        <v>9</v>
      </c>
      <c r="R401">
        <v>1</v>
      </c>
      <c r="U401">
        <v>1</v>
      </c>
    </row>
    <row r="402" spans="1:21" x14ac:dyDescent="0.3">
      <c r="A402" t="s">
        <v>112</v>
      </c>
      <c r="B402" t="s">
        <v>154</v>
      </c>
      <c r="C402" s="4" t="s">
        <v>24</v>
      </c>
      <c r="D402">
        <v>93</v>
      </c>
      <c r="E402">
        <v>12</v>
      </c>
      <c r="F402">
        <v>1</v>
      </c>
      <c r="G402">
        <v>3</v>
      </c>
      <c r="H402">
        <v>10</v>
      </c>
      <c r="I402">
        <v>5</v>
      </c>
      <c r="J402">
        <v>20</v>
      </c>
      <c r="K402">
        <v>11</v>
      </c>
      <c r="L402">
        <v>4</v>
      </c>
      <c r="M402">
        <v>6</v>
      </c>
      <c r="N402">
        <v>4</v>
      </c>
      <c r="O402">
        <v>6</v>
      </c>
      <c r="P402">
        <v>10</v>
      </c>
      <c r="U402">
        <v>1</v>
      </c>
    </row>
    <row r="403" spans="1:21" x14ac:dyDescent="0.3">
      <c r="A403" t="s">
        <v>112</v>
      </c>
      <c r="B403" t="s">
        <v>154</v>
      </c>
      <c r="C403" s="4" t="s">
        <v>25</v>
      </c>
      <c r="D403">
        <v>168</v>
      </c>
      <c r="E403">
        <v>10</v>
      </c>
      <c r="F403">
        <v>1</v>
      </c>
      <c r="G403">
        <v>8</v>
      </c>
      <c r="H403">
        <v>6</v>
      </c>
      <c r="I403">
        <v>8</v>
      </c>
      <c r="J403">
        <v>41</v>
      </c>
      <c r="K403">
        <v>23</v>
      </c>
      <c r="L403">
        <v>6</v>
      </c>
      <c r="M403">
        <v>10</v>
      </c>
      <c r="N403">
        <v>11</v>
      </c>
      <c r="O403">
        <v>19</v>
      </c>
      <c r="P403">
        <v>15</v>
      </c>
      <c r="Q403">
        <v>9</v>
      </c>
      <c r="R403">
        <v>1</v>
      </c>
    </row>
    <row r="404" spans="1:21" x14ac:dyDescent="0.3">
      <c r="A404" t="s">
        <v>112</v>
      </c>
      <c r="B404" t="s">
        <v>155</v>
      </c>
      <c r="C404" s="4" t="s">
        <v>21</v>
      </c>
      <c r="D404">
        <v>149</v>
      </c>
      <c r="E404">
        <v>1</v>
      </c>
      <c r="F404">
        <v>6</v>
      </c>
      <c r="G404">
        <v>4</v>
      </c>
      <c r="H404">
        <v>11</v>
      </c>
      <c r="I404">
        <v>8</v>
      </c>
      <c r="J404">
        <v>72</v>
      </c>
      <c r="K404">
        <v>35</v>
      </c>
      <c r="M404">
        <v>3</v>
      </c>
      <c r="N404">
        <v>2</v>
      </c>
      <c r="O404">
        <v>4</v>
      </c>
      <c r="P404">
        <v>3</v>
      </c>
    </row>
    <row r="405" spans="1:21" x14ac:dyDescent="0.3">
      <c r="A405" t="s">
        <v>112</v>
      </c>
      <c r="B405" t="s">
        <v>155</v>
      </c>
      <c r="C405" s="4" t="s">
        <v>24</v>
      </c>
      <c r="D405">
        <v>81</v>
      </c>
      <c r="F405">
        <v>4</v>
      </c>
      <c r="G405">
        <v>4</v>
      </c>
      <c r="H405">
        <v>5</v>
      </c>
      <c r="I405">
        <v>5</v>
      </c>
      <c r="J405">
        <v>40</v>
      </c>
      <c r="K405">
        <v>17</v>
      </c>
      <c r="M405">
        <v>1</v>
      </c>
      <c r="N405">
        <v>1</v>
      </c>
      <c r="O405">
        <v>1</v>
      </c>
      <c r="P405">
        <v>3</v>
      </c>
    </row>
    <row r="406" spans="1:21" x14ac:dyDescent="0.3">
      <c r="A406" t="s">
        <v>112</v>
      </c>
      <c r="B406" t="s">
        <v>155</v>
      </c>
      <c r="C406" s="4" t="s">
        <v>25</v>
      </c>
      <c r="D406">
        <v>68</v>
      </c>
      <c r="E406">
        <v>1</v>
      </c>
      <c r="F406">
        <v>2</v>
      </c>
      <c r="H406">
        <v>6</v>
      </c>
      <c r="I406">
        <v>3</v>
      </c>
      <c r="J406">
        <v>32</v>
      </c>
      <c r="K406">
        <v>18</v>
      </c>
      <c r="M406">
        <v>2</v>
      </c>
      <c r="N406">
        <v>1</v>
      </c>
      <c r="O406">
        <v>3</v>
      </c>
    </row>
    <row r="407" spans="1:21" x14ac:dyDescent="0.3">
      <c r="A407" t="s">
        <v>112</v>
      </c>
      <c r="B407" t="s">
        <v>156</v>
      </c>
      <c r="C407" s="4" t="s">
        <v>21</v>
      </c>
      <c r="D407">
        <v>118</v>
      </c>
      <c r="E407">
        <v>14</v>
      </c>
      <c r="F407">
        <v>4</v>
      </c>
      <c r="G407">
        <v>7</v>
      </c>
      <c r="H407">
        <v>14</v>
      </c>
      <c r="I407">
        <v>13</v>
      </c>
      <c r="J407">
        <v>41</v>
      </c>
      <c r="K407">
        <v>18</v>
      </c>
      <c r="L407">
        <v>4</v>
      </c>
      <c r="O407">
        <v>1</v>
      </c>
      <c r="P407">
        <v>2</v>
      </c>
    </row>
    <row r="408" spans="1:21" x14ac:dyDescent="0.3">
      <c r="A408" t="s">
        <v>112</v>
      </c>
      <c r="B408" t="s">
        <v>156</v>
      </c>
      <c r="C408" s="4" t="s">
        <v>24</v>
      </c>
      <c r="D408">
        <v>63</v>
      </c>
      <c r="E408">
        <v>9</v>
      </c>
      <c r="F408">
        <v>1</v>
      </c>
      <c r="G408">
        <v>5</v>
      </c>
      <c r="H408">
        <v>6</v>
      </c>
      <c r="I408">
        <v>6</v>
      </c>
      <c r="J408">
        <v>22</v>
      </c>
      <c r="K408">
        <v>10</v>
      </c>
      <c r="L408">
        <v>2</v>
      </c>
      <c r="O408">
        <v>1</v>
      </c>
      <c r="P408">
        <v>1</v>
      </c>
    </row>
    <row r="409" spans="1:21" x14ac:dyDescent="0.3">
      <c r="A409" t="s">
        <v>112</v>
      </c>
      <c r="B409" t="s">
        <v>156</v>
      </c>
      <c r="C409" s="4" t="s">
        <v>25</v>
      </c>
      <c r="D409">
        <v>55</v>
      </c>
      <c r="E409">
        <v>5</v>
      </c>
      <c r="F409">
        <v>3</v>
      </c>
      <c r="G409">
        <v>2</v>
      </c>
      <c r="H409">
        <v>8</v>
      </c>
      <c r="I409">
        <v>7</v>
      </c>
      <c r="J409">
        <v>19</v>
      </c>
      <c r="K409">
        <v>8</v>
      </c>
      <c r="L409">
        <v>2</v>
      </c>
      <c r="P409">
        <v>1</v>
      </c>
    </row>
    <row r="410" spans="1:21" x14ac:dyDescent="0.3">
      <c r="A410" t="s">
        <v>112</v>
      </c>
      <c r="B410" t="s">
        <v>157</v>
      </c>
      <c r="C410" s="4" t="s">
        <v>21</v>
      </c>
      <c r="D410">
        <v>104</v>
      </c>
      <c r="E410">
        <v>8</v>
      </c>
      <c r="F410">
        <v>12</v>
      </c>
      <c r="G410">
        <v>7</v>
      </c>
      <c r="H410">
        <v>5</v>
      </c>
      <c r="I410">
        <v>7</v>
      </c>
      <c r="J410">
        <v>31</v>
      </c>
      <c r="K410">
        <v>25</v>
      </c>
      <c r="L410">
        <v>4</v>
      </c>
      <c r="M410">
        <v>1</v>
      </c>
      <c r="N410">
        <v>4</v>
      </c>
    </row>
    <row r="411" spans="1:21" x14ac:dyDescent="0.3">
      <c r="A411" t="s">
        <v>112</v>
      </c>
      <c r="B411" t="s">
        <v>157</v>
      </c>
      <c r="C411" s="4" t="s">
        <v>24</v>
      </c>
      <c r="D411">
        <v>63</v>
      </c>
      <c r="E411">
        <v>7</v>
      </c>
      <c r="F411">
        <v>10</v>
      </c>
      <c r="G411">
        <v>6</v>
      </c>
      <c r="H411">
        <v>4</v>
      </c>
      <c r="I411">
        <v>3</v>
      </c>
      <c r="J411">
        <v>16</v>
      </c>
      <c r="K411">
        <v>15</v>
      </c>
      <c r="L411">
        <v>1</v>
      </c>
      <c r="N411">
        <v>1</v>
      </c>
    </row>
    <row r="412" spans="1:21" x14ac:dyDescent="0.3">
      <c r="A412" t="s">
        <v>112</v>
      </c>
      <c r="B412" t="s">
        <v>157</v>
      </c>
      <c r="C412" s="4" t="s">
        <v>25</v>
      </c>
      <c r="D412">
        <v>41</v>
      </c>
      <c r="E412">
        <v>1</v>
      </c>
      <c r="F412">
        <v>2</v>
      </c>
      <c r="G412">
        <v>1</v>
      </c>
      <c r="H412">
        <v>1</v>
      </c>
      <c r="I412">
        <v>4</v>
      </c>
      <c r="J412">
        <v>15</v>
      </c>
      <c r="K412">
        <v>10</v>
      </c>
      <c r="L412">
        <v>3</v>
      </c>
      <c r="M412">
        <v>1</v>
      </c>
      <c r="N412">
        <v>3</v>
      </c>
    </row>
    <row r="413" spans="1:21" x14ac:dyDescent="0.3">
      <c r="A413" t="s">
        <v>112</v>
      </c>
      <c r="B413" t="s">
        <v>158</v>
      </c>
      <c r="C413" s="4" t="s">
        <v>21</v>
      </c>
      <c r="D413">
        <v>63</v>
      </c>
      <c r="E413">
        <v>15</v>
      </c>
      <c r="F413">
        <v>5</v>
      </c>
      <c r="G413">
        <v>6</v>
      </c>
      <c r="H413">
        <v>6</v>
      </c>
      <c r="I413">
        <v>3</v>
      </c>
      <c r="J413">
        <v>12</v>
      </c>
      <c r="K413">
        <v>15</v>
      </c>
      <c r="L413">
        <v>1</v>
      </c>
    </row>
    <row r="414" spans="1:21" x14ac:dyDescent="0.3">
      <c r="A414" t="s">
        <v>112</v>
      </c>
      <c r="B414" t="s">
        <v>158</v>
      </c>
      <c r="C414" s="4" t="s">
        <v>24</v>
      </c>
      <c r="D414">
        <v>31</v>
      </c>
      <c r="E414">
        <v>8</v>
      </c>
      <c r="F414">
        <v>2</v>
      </c>
      <c r="G414">
        <v>5</v>
      </c>
      <c r="H414">
        <v>2</v>
      </c>
      <c r="I414">
        <v>2</v>
      </c>
      <c r="J414">
        <v>5</v>
      </c>
      <c r="K414">
        <v>7</v>
      </c>
    </row>
    <row r="415" spans="1:21" x14ac:dyDescent="0.3">
      <c r="A415" t="s">
        <v>112</v>
      </c>
      <c r="B415" t="s">
        <v>158</v>
      </c>
      <c r="C415" s="4" t="s">
        <v>25</v>
      </c>
      <c r="D415">
        <v>32</v>
      </c>
      <c r="E415">
        <v>7</v>
      </c>
      <c r="F415">
        <v>3</v>
      </c>
      <c r="G415">
        <v>1</v>
      </c>
      <c r="H415">
        <v>4</v>
      </c>
      <c r="I415">
        <v>1</v>
      </c>
      <c r="J415">
        <v>7</v>
      </c>
      <c r="K415">
        <v>8</v>
      </c>
      <c r="L415">
        <v>1</v>
      </c>
    </row>
    <row r="416" spans="1:21" x14ac:dyDescent="0.3">
      <c r="A416" t="s">
        <v>112</v>
      </c>
      <c r="B416" t="s">
        <v>159</v>
      </c>
      <c r="C416" s="4" t="s">
        <v>21</v>
      </c>
      <c r="D416">
        <v>42</v>
      </c>
      <c r="F416">
        <v>4</v>
      </c>
      <c r="G416">
        <v>4</v>
      </c>
      <c r="H416">
        <v>3</v>
      </c>
      <c r="I416">
        <v>7</v>
      </c>
      <c r="J416">
        <v>14</v>
      </c>
      <c r="K416">
        <v>9</v>
      </c>
      <c r="M416">
        <v>1</v>
      </c>
    </row>
    <row r="417" spans="1:21" x14ac:dyDescent="0.3">
      <c r="A417" t="s">
        <v>112</v>
      </c>
      <c r="B417" t="s">
        <v>159</v>
      </c>
      <c r="C417" s="4" t="s">
        <v>24</v>
      </c>
      <c r="D417">
        <v>24</v>
      </c>
      <c r="F417">
        <v>3</v>
      </c>
      <c r="G417">
        <v>1</v>
      </c>
      <c r="H417">
        <v>3</v>
      </c>
      <c r="I417">
        <v>4</v>
      </c>
      <c r="J417">
        <v>9</v>
      </c>
      <c r="K417">
        <v>4</v>
      </c>
    </row>
    <row r="418" spans="1:21" x14ac:dyDescent="0.3">
      <c r="A418" t="s">
        <v>112</v>
      </c>
      <c r="B418" t="s">
        <v>159</v>
      </c>
      <c r="C418" s="4" t="s">
        <v>25</v>
      </c>
      <c r="D418">
        <v>18</v>
      </c>
      <c r="F418">
        <v>1</v>
      </c>
      <c r="G418">
        <v>3</v>
      </c>
      <c r="I418">
        <v>3</v>
      </c>
      <c r="J418">
        <v>5</v>
      </c>
      <c r="K418">
        <v>5</v>
      </c>
      <c r="M418">
        <v>1</v>
      </c>
    </row>
    <row r="419" spans="1:21" x14ac:dyDescent="0.3">
      <c r="A419" t="s">
        <v>112</v>
      </c>
      <c r="B419" t="s">
        <v>160</v>
      </c>
      <c r="C419" s="4" t="s">
        <v>21</v>
      </c>
      <c r="D419">
        <v>7</v>
      </c>
      <c r="J419">
        <v>1</v>
      </c>
      <c r="L419">
        <v>1</v>
      </c>
      <c r="M419">
        <v>1</v>
      </c>
      <c r="N419">
        <v>1</v>
      </c>
      <c r="O419">
        <v>2</v>
      </c>
      <c r="P419">
        <v>1</v>
      </c>
    </row>
    <row r="420" spans="1:21" x14ac:dyDescent="0.3">
      <c r="A420" t="s">
        <v>112</v>
      </c>
      <c r="B420" t="s">
        <v>160</v>
      </c>
      <c r="C420" s="4" t="s">
        <v>24</v>
      </c>
      <c r="D420">
        <v>7</v>
      </c>
      <c r="J420">
        <v>1</v>
      </c>
      <c r="L420">
        <v>1</v>
      </c>
      <c r="M420">
        <v>1</v>
      </c>
      <c r="N420">
        <v>1</v>
      </c>
      <c r="O420">
        <v>2</v>
      </c>
      <c r="P420">
        <v>1</v>
      </c>
    </row>
    <row r="421" spans="1:21" x14ac:dyDescent="0.3">
      <c r="A421" t="s">
        <v>161</v>
      </c>
      <c r="B421" t="s">
        <v>21</v>
      </c>
      <c r="C421" s="4" t="s">
        <v>21</v>
      </c>
      <c r="D421" s="1">
        <v>308208</v>
      </c>
      <c r="E421" s="1">
        <v>47736</v>
      </c>
      <c r="F421" s="1">
        <v>13885</v>
      </c>
      <c r="G421" s="1">
        <v>22668</v>
      </c>
      <c r="H421" s="1">
        <v>26567</v>
      </c>
      <c r="I421" s="1">
        <v>22824</v>
      </c>
      <c r="J421" s="1">
        <v>83122</v>
      </c>
      <c r="K421" s="1">
        <v>53528</v>
      </c>
      <c r="L421" s="1">
        <v>14046</v>
      </c>
      <c r="M421" s="1">
        <v>9467</v>
      </c>
      <c r="N421" s="1">
        <v>3923</v>
      </c>
      <c r="O421" s="1">
        <v>3274</v>
      </c>
      <c r="P421" s="1">
        <v>6044</v>
      </c>
      <c r="Q421">
        <v>763</v>
      </c>
      <c r="R421">
        <v>160</v>
      </c>
      <c r="S421">
        <v>52</v>
      </c>
      <c r="T421">
        <v>130</v>
      </c>
      <c r="U421">
        <v>19</v>
      </c>
    </row>
    <row r="422" spans="1:21" x14ac:dyDescent="0.3">
      <c r="A422" t="s">
        <v>161</v>
      </c>
      <c r="B422" t="s">
        <v>21</v>
      </c>
      <c r="C422" s="4" t="s">
        <v>24</v>
      </c>
      <c r="D422" s="1">
        <f>D426+D430+D434+D437+D440+D443+D446+D449+D452+D455+D458+D461+D464+D467</f>
        <v>150967</v>
      </c>
      <c r="E422" s="1">
        <f t="shared" ref="E422:U422" si="13">E426+E430+E434+E437+E440+E443+E446+E449+E452+E455+E458+E461+E464+E467</f>
        <v>23813</v>
      </c>
      <c r="F422" s="1">
        <f t="shared" si="13"/>
        <v>7967</v>
      </c>
      <c r="G422" s="1">
        <f t="shared" si="13"/>
        <v>11968</v>
      </c>
      <c r="H422" s="1">
        <f t="shared" si="13"/>
        <v>13369</v>
      </c>
      <c r="I422" s="1">
        <f t="shared" si="13"/>
        <v>11213</v>
      </c>
      <c r="J422" s="1">
        <f t="shared" si="13"/>
        <v>39127</v>
      </c>
      <c r="K422" s="1">
        <f t="shared" si="13"/>
        <v>25309</v>
      </c>
      <c r="L422" s="1">
        <f t="shared" si="13"/>
        <v>6779</v>
      </c>
      <c r="M422" s="1">
        <f t="shared" si="13"/>
        <v>4556</v>
      </c>
      <c r="N422" s="1">
        <f t="shared" si="13"/>
        <v>1953</v>
      </c>
      <c r="O422" s="1">
        <f t="shared" si="13"/>
        <v>1604</v>
      </c>
      <c r="P422" s="1">
        <f t="shared" si="13"/>
        <v>2772</v>
      </c>
      <c r="Q422" s="1">
        <f t="shared" si="13"/>
        <v>355</v>
      </c>
      <c r="R422" s="1">
        <f t="shared" si="13"/>
        <v>77</v>
      </c>
      <c r="S422" s="1">
        <f t="shared" si="13"/>
        <v>29</v>
      </c>
      <c r="T422" s="1">
        <f t="shared" si="13"/>
        <v>65</v>
      </c>
      <c r="U422" s="1">
        <f t="shared" si="13"/>
        <v>11</v>
      </c>
    </row>
    <row r="423" spans="1:21" x14ac:dyDescent="0.3">
      <c r="A423" t="s">
        <v>161</v>
      </c>
      <c r="B423" t="s">
        <v>21</v>
      </c>
      <c r="C423" s="4" t="s">
        <v>25</v>
      </c>
      <c r="D423" s="1">
        <f>D427+D431+D435+D438+D441+D444+D447+D450+D453+D456+D459+D462+D465+D468</f>
        <v>157223</v>
      </c>
      <c r="E423" s="1">
        <f t="shared" ref="E423:U423" si="14">E427+E431+E435+E438+E441+E444+E447+E450+E453+E456+E459+E462+E465+E468</f>
        <v>23918</v>
      </c>
      <c r="F423" s="1">
        <f t="shared" si="14"/>
        <v>5916</v>
      </c>
      <c r="G423" s="1">
        <f t="shared" si="14"/>
        <v>10699</v>
      </c>
      <c r="H423" s="1">
        <f t="shared" si="14"/>
        <v>13198</v>
      </c>
      <c r="I423" s="1">
        <f t="shared" si="14"/>
        <v>11610</v>
      </c>
      <c r="J423" s="1">
        <f t="shared" si="14"/>
        <v>43991</v>
      </c>
      <c r="K423" s="1">
        <f t="shared" si="14"/>
        <v>28217</v>
      </c>
      <c r="L423" s="1">
        <f t="shared" si="14"/>
        <v>7265</v>
      </c>
      <c r="M423" s="1">
        <f t="shared" si="14"/>
        <v>4910</v>
      </c>
      <c r="N423" s="1">
        <f t="shared" si="14"/>
        <v>1970</v>
      </c>
      <c r="O423" s="1">
        <f t="shared" si="14"/>
        <v>1670</v>
      </c>
      <c r="P423" s="1">
        <f t="shared" si="14"/>
        <v>3272</v>
      </c>
      <c r="Q423" s="1">
        <f t="shared" si="14"/>
        <v>408</v>
      </c>
      <c r="R423" s="1">
        <f t="shared" si="14"/>
        <v>83</v>
      </c>
      <c r="S423" s="1">
        <f t="shared" si="14"/>
        <v>23</v>
      </c>
      <c r="T423" s="1">
        <f t="shared" si="14"/>
        <v>65</v>
      </c>
      <c r="U423" s="1">
        <f t="shared" si="14"/>
        <v>8</v>
      </c>
    </row>
    <row r="424" spans="1:21" x14ac:dyDescent="0.3">
      <c r="A424" t="s">
        <v>161</v>
      </c>
      <c r="B424" t="s">
        <v>21</v>
      </c>
      <c r="C424" s="4" t="s">
        <v>75</v>
      </c>
      <c r="D424" s="1">
        <f>D428+D432</f>
        <v>18</v>
      </c>
      <c r="E424" s="1">
        <f t="shared" ref="E424:U424" si="15">E428+E432</f>
        <v>5</v>
      </c>
      <c r="F424" s="1">
        <f t="shared" si="15"/>
        <v>2</v>
      </c>
      <c r="G424" s="1">
        <f t="shared" si="15"/>
        <v>1</v>
      </c>
      <c r="H424" s="1">
        <f t="shared" si="15"/>
        <v>0</v>
      </c>
      <c r="I424" s="1">
        <f t="shared" si="15"/>
        <v>1</v>
      </c>
      <c r="J424" s="1">
        <f t="shared" si="15"/>
        <v>4</v>
      </c>
      <c r="K424" s="1">
        <f t="shared" si="15"/>
        <v>2</v>
      </c>
      <c r="L424" s="1">
        <f t="shared" si="15"/>
        <v>2</v>
      </c>
      <c r="M424" s="1">
        <f t="shared" si="15"/>
        <v>1</v>
      </c>
      <c r="N424" s="1">
        <f t="shared" si="15"/>
        <v>0</v>
      </c>
      <c r="O424" s="1">
        <f t="shared" si="15"/>
        <v>0</v>
      </c>
      <c r="P424" s="1">
        <f t="shared" si="15"/>
        <v>0</v>
      </c>
      <c r="Q424" s="1">
        <f t="shared" si="15"/>
        <v>0</v>
      </c>
      <c r="R424" s="1">
        <f t="shared" si="15"/>
        <v>0</v>
      </c>
      <c r="S424" s="1">
        <f t="shared" si="15"/>
        <v>0</v>
      </c>
      <c r="T424" s="1">
        <f t="shared" si="15"/>
        <v>0</v>
      </c>
      <c r="U424" s="1">
        <f t="shared" si="15"/>
        <v>0</v>
      </c>
    </row>
    <row r="425" spans="1:21" x14ac:dyDescent="0.3">
      <c r="A425" t="s">
        <v>161</v>
      </c>
      <c r="B425" t="s">
        <v>162</v>
      </c>
      <c r="C425" s="4" t="s">
        <v>21</v>
      </c>
      <c r="D425" s="1">
        <v>261557</v>
      </c>
      <c r="E425" s="1">
        <v>40876</v>
      </c>
      <c r="F425" s="1">
        <v>11701</v>
      </c>
      <c r="G425" s="1">
        <v>19222</v>
      </c>
      <c r="H425" s="1">
        <v>22773</v>
      </c>
      <c r="I425" s="1">
        <v>19791</v>
      </c>
      <c r="J425" s="1">
        <v>72923</v>
      </c>
      <c r="K425" s="1">
        <v>45570</v>
      </c>
      <c r="L425" s="1">
        <v>11252</v>
      </c>
      <c r="M425" s="1">
        <v>6997</v>
      </c>
      <c r="N425" s="1">
        <v>2725</v>
      </c>
      <c r="O425" s="1">
        <v>2208</v>
      </c>
      <c r="P425" s="1">
        <v>4822</v>
      </c>
      <c r="Q425">
        <v>482</v>
      </c>
      <c r="R425">
        <v>100</v>
      </c>
      <c r="S425">
        <v>28</v>
      </c>
      <c r="T425">
        <v>71</v>
      </c>
      <c r="U425">
        <v>16</v>
      </c>
    </row>
    <row r="426" spans="1:21" x14ac:dyDescent="0.3">
      <c r="A426" t="s">
        <v>161</v>
      </c>
      <c r="B426" t="s">
        <v>162</v>
      </c>
      <c r="C426" s="4" t="s">
        <v>24</v>
      </c>
      <c r="D426" s="1">
        <v>126754</v>
      </c>
      <c r="E426" s="1">
        <v>20288</v>
      </c>
      <c r="F426" s="1">
        <v>6653</v>
      </c>
      <c r="G426" s="1">
        <v>10081</v>
      </c>
      <c r="H426" s="1">
        <v>11374</v>
      </c>
      <c r="I426" s="1">
        <v>9666</v>
      </c>
      <c r="J426" s="1">
        <v>34020</v>
      </c>
      <c r="K426" s="1">
        <v>21293</v>
      </c>
      <c r="L426" s="1">
        <v>5349</v>
      </c>
      <c r="M426" s="1">
        <v>3271</v>
      </c>
      <c r="N426" s="1">
        <v>1304</v>
      </c>
      <c r="O426" s="1">
        <v>1032</v>
      </c>
      <c r="P426" s="1">
        <v>2111</v>
      </c>
      <c r="Q426">
        <v>207</v>
      </c>
      <c r="R426">
        <v>48</v>
      </c>
      <c r="S426">
        <v>16</v>
      </c>
      <c r="T426">
        <v>33</v>
      </c>
      <c r="U426">
        <v>8</v>
      </c>
    </row>
    <row r="427" spans="1:21" x14ac:dyDescent="0.3">
      <c r="A427" t="s">
        <v>161</v>
      </c>
      <c r="B427" t="s">
        <v>162</v>
      </c>
      <c r="C427" s="4" t="s">
        <v>25</v>
      </c>
      <c r="D427" s="1">
        <v>134789</v>
      </c>
      <c r="E427" s="1">
        <v>20583</v>
      </c>
      <c r="F427" s="1">
        <v>5046</v>
      </c>
      <c r="G427" s="1">
        <v>9141</v>
      </c>
      <c r="H427" s="1">
        <v>11399</v>
      </c>
      <c r="I427" s="1">
        <v>10124</v>
      </c>
      <c r="J427" s="1">
        <v>38899</v>
      </c>
      <c r="K427" s="1">
        <v>24275</v>
      </c>
      <c r="L427" s="1">
        <v>5903</v>
      </c>
      <c r="M427" s="1">
        <v>3726</v>
      </c>
      <c r="N427" s="1">
        <v>1421</v>
      </c>
      <c r="O427" s="1">
        <v>1176</v>
      </c>
      <c r="P427" s="1">
        <v>2711</v>
      </c>
      <c r="Q427">
        <v>275</v>
      </c>
      <c r="R427">
        <v>52</v>
      </c>
      <c r="S427">
        <v>12</v>
      </c>
      <c r="T427">
        <v>38</v>
      </c>
      <c r="U427">
        <v>8</v>
      </c>
    </row>
    <row r="428" spans="1:21" x14ac:dyDescent="0.3">
      <c r="A428" t="s">
        <v>161</v>
      </c>
      <c r="B428" t="s">
        <v>162</v>
      </c>
      <c r="C428" s="4" t="s">
        <v>75</v>
      </c>
      <c r="D428">
        <v>14</v>
      </c>
      <c r="E428">
        <v>5</v>
      </c>
      <c r="F428">
        <v>2</v>
      </c>
      <c r="I428">
        <v>1</v>
      </c>
      <c r="J428">
        <v>4</v>
      </c>
      <c r="K428">
        <v>2</v>
      </c>
    </row>
    <row r="429" spans="1:21" x14ac:dyDescent="0.3">
      <c r="A429" t="s">
        <v>161</v>
      </c>
      <c r="B429" t="s">
        <v>163</v>
      </c>
      <c r="C429" s="4" t="s">
        <v>21</v>
      </c>
      <c r="D429" s="1">
        <v>43746</v>
      </c>
      <c r="E429" s="1">
        <v>6396</v>
      </c>
      <c r="F429" s="1">
        <v>2022</v>
      </c>
      <c r="G429" s="1">
        <v>3207</v>
      </c>
      <c r="H429" s="1">
        <v>3466</v>
      </c>
      <c r="I429" s="1">
        <v>2793</v>
      </c>
      <c r="J429" s="1">
        <v>9554</v>
      </c>
      <c r="K429" s="1">
        <v>7551</v>
      </c>
      <c r="L429" s="1">
        <v>2620</v>
      </c>
      <c r="M429" s="1">
        <v>2406</v>
      </c>
      <c r="N429" s="1">
        <v>1161</v>
      </c>
      <c r="O429" s="1">
        <v>1010</v>
      </c>
      <c r="P429" s="1">
        <v>1172</v>
      </c>
      <c r="Q429">
        <v>248</v>
      </c>
      <c r="R429">
        <v>58</v>
      </c>
      <c r="S429">
        <v>24</v>
      </c>
      <c r="T429">
        <v>56</v>
      </c>
      <c r="U429">
        <v>2</v>
      </c>
    </row>
    <row r="430" spans="1:21" x14ac:dyDescent="0.3">
      <c r="A430" t="s">
        <v>161</v>
      </c>
      <c r="B430" t="s">
        <v>163</v>
      </c>
      <c r="C430" s="4" t="s">
        <v>24</v>
      </c>
      <c r="D430" s="1">
        <v>22573</v>
      </c>
      <c r="E430" s="1">
        <v>3238</v>
      </c>
      <c r="F430" s="1">
        <v>1202</v>
      </c>
      <c r="G430" s="1">
        <v>1753</v>
      </c>
      <c r="H430" s="1">
        <v>1803</v>
      </c>
      <c r="I430" s="1">
        <v>1419</v>
      </c>
      <c r="J430" s="1">
        <v>4741</v>
      </c>
      <c r="K430" s="1">
        <v>3805</v>
      </c>
      <c r="L430" s="1">
        <v>1337</v>
      </c>
      <c r="M430" s="1">
        <v>1244</v>
      </c>
      <c r="N430">
        <v>632</v>
      </c>
      <c r="O430">
        <v>553</v>
      </c>
      <c r="P430">
        <v>640</v>
      </c>
      <c r="Q430">
        <v>133</v>
      </c>
      <c r="R430">
        <v>28</v>
      </c>
      <c r="S430">
        <v>13</v>
      </c>
      <c r="T430">
        <v>30</v>
      </c>
      <c r="U430">
        <v>2</v>
      </c>
    </row>
    <row r="431" spans="1:21" x14ac:dyDescent="0.3">
      <c r="A431" t="s">
        <v>161</v>
      </c>
      <c r="B431" t="s">
        <v>163</v>
      </c>
      <c r="C431" s="4" t="s">
        <v>25</v>
      </c>
      <c r="D431" s="1">
        <v>21169</v>
      </c>
      <c r="E431" s="1">
        <v>3158</v>
      </c>
      <c r="F431">
        <v>820</v>
      </c>
      <c r="G431" s="1">
        <v>1453</v>
      </c>
      <c r="H431" s="1">
        <v>1663</v>
      </c>
      <c r="I431" s="1">
        <v>1374</v>
      </c>
      <c r="J431" s="1">
        <v>4813</v>
      </c>
      <c r="K431" s="1">
        <v>3746</v>
      </c>
      <c r="L431" s="1">
        <v>1281</v>
      </c>
      <c r="M431" s="1">
        <v>1161</v>
      </c>
      <c r="N431">
        <v>529</v>
      </c>
      <c r="O431">
        <v>457</v>
      </c>
      <c r="P431">
        <v>532</v>
      </c>
      <c r="Q431">
        <v>115</v>
      </c>
      <c r="R431">
        <v>30</v>
      </c>
      <c r="S431">
        <v>11</v>
      </c>
      <c r="T431">
        <v>26</v>
      </c>
    </row>
    <row r="432" spans="1:21" x14ac:dyDescent="0.3">
      <c r="A432" t="s">
        <v>161</v>
      </c>
      <c r="B432" t="s">
        <v>163</v>
      </c>
      <c r="C432" s="4" t="s">
        <v>75</v>
      </c>
      <c r="D432">
        <v>4</v>
      </c>
      <c r="G432">
        <v>1</v>
      </c>
      <c r="L432">
        <v>2</v>
      </c>
      <c r="M432">
        <v>1</v>
      </c>
    </row>
    <row r="433" spans="1:20" x14ac:dyDescent="0.3">
      <c r="A433" t="s">
        <v>161</v>
      </c>
      <c r="B433" t="s">
        <v>164</v>
      </c>
      <c r="C433" s="4" t="s">
        <v>21</v>
      </c>
      <c r="D433">
        <v>807</v>
      </c>
      <c r="E433">
        <v>62</v>
      </c>
      <c r="F433">
        <v>28</v>
      </c>
      <c r="G433">
        <v>76</v>
      </c>
      <c r="H433">
        <v>82</v>
      </c>
      <c r="I433">
        <v>66</v>
      </c>
      <c r="J433">
        <v>213</v>
      </c>
      <c r="K433">
        <v>181</v>
      </c>
      <c r="L433">
        <v>29</v>
      </c>
      <c r="M433">
        <v>23</v>
      </c>
      <c r="N433">
        <v>8</v>
      </c>
      <c r="O433">
        <v>15</v>
      </c>
      <c r="P433">
        <v>9</v>
      </c>
      <c r="Q433">
        <v>13</v>
      </c>
      <c r="T433">
        <v>2</v>
      </c>
    </row>
    <row r="434" spans="1:20" x14ac:dyDescent="0.3">
      <c r="A434" t="s">
        <v>161</v>
      </c>
      <c r="B434" t="s">
        <v>164</v>
      </c>
      <c r="C434" s="4" t="s">
        <v>24</v>
      </c>
      <c r="D434">
        <v>443</v>
      </c>
      <c r="E434">
        <v>42</v>
      </c>
      <c r="F434">
        <v>22</v>
      </c>
      <c r="G434">
        <v>44</v>
      </c>
      <c r="H434">
        <v>52</v>
      </c>
      <c r="I434">
        <v>30</v>
      </c>
      <c r="J434">
        <v>114</v>
      </c>
      <c r="K434">
        <v>89</v>
      </c>
      <c r="L434">
        <v>13</v>
      </c>
      <c r="M434">
        <v>16</v>
      </c>
      <c r="N434">
        <v>5</v>
      </c>
      <c r="O434">
        <v>5</v>
      </c>
      <c r="P434">
        <v>4</v>
      </c>
      <c r="Q434">
        <v>6</v>
      </c>
      <c r="T434">
        <v>1</v>
      </c>
    </row>
    <row r="435" spans="1:20" x14ac:dyDescent="0.3">
      <c r="A435" t="s">
        <v>161</v>
      </c>
      <c r="B435" t="s">
        <v>164</v>
      </c>
      <c r="C435" s="4" t="s">
        <v>25</v>
      </c>
      <c r="D435">
        <v>364</v>
      </c>
      <c r="E435">
        <v>20</v>
      </c>
      <c r="F435">
        <v>6</v>
      </c>
      <c r="G435">
        <v>32</v>
      </c>
      <c r="H435">
        <v>30</v>
      </c>
      <c r="I435">
        <v>36</v>
      </c>
      <c r="J435">
        <v>99</v>
      </c>
      <c r="K435">
        <v>92</v>
      </c>
      <c r="L435">
        <v>16</v>
      </c>
      <c r="M435">
        <v>7</v>
      </c>
      <c r="N435">
        <v>3</v>
      </c>
      <c r="O435">
        <v>10</v>
      </c>
      <c r="P435">
        <v>5</v>
      </c>
      <c r="Q435">
        <v>7</v>
      </c>
      <c r="T435">
        <v>1</v>
      </c>
    </row>
    <row r="436" spans="1:20" x14ac:dyDescent="0.3">
      <c r="A436" t="s">
        <v>161</v>
      </c>
      <c r="B436" t="s">
        <v>165</v>
      </c>
      <c r="C436" s="4" t="s">
        <v>21</v>
      </c>
      <c r="D436">
        <v>423</v>
      </c>
      <c r="E436">
        <v>31</v>
      </c>
      <c r="F436">
        <v>20</v>
      </c>
      <c r="G436">
        <v>24</v>
      </c>
      <c r="H436">
        <v>73</v>
      </c>
      <c r="I436">
        <v>48</v>
      </c>
      <c r="J436">
        <v>152</v>
      </c>
      <c r="K436">
        <v>32</v>
      </c>
      <c r="L436">
        <v>10</v>
      </c>
      <c r="M436">
        <v>11</v>
      </c>
      <c r="N436">
        <v>7</v>
      </c>
      <c r="O436">
        <v>4</v>
      </c>
      <c r="P436">
        <v>10</v>
      </c>
      <c r="Q436">
        <v>1</v>
      </c>
    </row>
    <row r="437" spans="1:20" x14ac:dyDescent="0.3">
      <c r="A437" t="s">
        <v>161</v>
      </c>
      <c r="B437" t="s">
        <v>165</v>
      </c>
      <c r="C437" s="4" t="s">
        <v>24</v>
      </c>
      <c r="D437">
        <v>264</v>
      </c>
      <c r="E437">
        <v>26</v>
      </c>
      <c r="F437">
        <v>14</v>
      </c>
      <c r="G437">
        <v>17</v>
      </c>
      <c r="H437">
        <v>50</v>
      </c>
      <c r="I437">
        <v>31</v>
      </c>
      <c r="J437">
        <v>95</v>
      </c>
      <c r="K437">
        <v>16</v>
      </c>
      <c r="L437">
        <v>4</v>
      </c>
      <c r="M437">
        <v>6</v>
      </c>
      <c r="P437">
        <v>5</v>
      </c>
    </row>
    <row r="438" spans="1:20" x14ac:dyDescent="0.3">
      <c r="A438" t="s">
        <v>161</v>
      </c>
      <c r="B438" t="s">
        <v>165</v>
      </c>
      <c r="C438" s="4" t="s">
        <v>25</v>
      </c>
      <c r="D438">
        <v>159</v>
      </c>
      <c r="E438">
        <v>5</v>
      </c>
      <c r="F438">
        <v>6</v>
      </c>
      <c r="G438">
        <v>7</v>
      </c>
      <c r="H438">
        <v>23</v>
      </c>
      <c r="I438">
        <v>17</v>
      </c>
      <c r="J438">
        <v>57</v>
      </c>
      <c r="K438">
        <v>16</v>
      </c>
      <c r="L438">
        <v>6</v>
      </c>
      <c r="M438">
        <v>5</v>
      </c>
      <c r="N438">
        <v>7</v>
      </c>
      <c r="O438">
        <v>4</v>
      </c>
      <c r="P438">
        <v>5</v>
      </c>
      <c r="Q438">
        <v>1</v>
      </c>
    </row>
    <row r="439" spans="1:20" x14ac:dyDescent="0.3">
      <c r="A439" t="s">
        <v>161</v>
      </c>
      <c r="B439" t="s">
        <v>166</v>
      </c>
      <c r="C439" s="4" t="s">
        <v>21</v>
      </c>
      <c r="D439">
        <v>393</v>
      </c>
      <c r="E439">
        <v>201</v>
      </c>
      <c r="F439">
        <v>21</v>
      </c>
      <c r="G439">
        <v>20</v>
      </c>
      <c r="H439">
        <v>42</v>
      </c>
      <c r="I439">
        <v>16</v>
      </c>
      <c r="J439">
        <v>49</v>
      </c>
      <c r="K439">
        <v>21</v>
      </c>
      <c r="L439">
        <v>7</v>
      </c>
      <c r="N439">
        <v>2</v>
      </c>
      <c r="O439">
        <v>4</v>
      </c>
      <c r="P439">
        <v>4</v>
      </c>
      <c r="Q439">
        <v>6</v>
      </c>
    </row>
    <row r="440" spans="1:20" x14ac:dyDescent="0.3">
      <c r="A440" t="s">
        <v>161</v>
      </c>
      <c r="B440" t="s">
        <v>166</v>
      </c>
      <c r="C440" s="4" t="s">
        <v>24</v>
      </c>
      <c r="D440">
        <v>179</v>
      </c>
      <c r="E440">
        <v>104</v>
      </c>
      <c r="F440">
        <v>6</v>
      </c>
      <c r="G440">
        <v>7</v>
      </c>
      <c r="H440">
        <v>19</v>
      </c>
      <c r="I440">
        <v>4</v>
      </c>
      <c r="J440">
        <v>19</v>
      </c>
      <c r="K440">
        <v>12</v>
      </c>
      <c r="L440">
        <v>2</v>
      </c>
      <c r="N440">
        <v>1</v>
      </c>
      <c r="O440">
        <v>2</v>
      </c>
      <c r="P440">
        <v>1</v>
      </c>
      <c r="Q440">
        <v>2</v>
      </c>
    </row>
    <row r="441" spans="1:20" x14ac:dyDescent="0.3">
      <c r="A441" t="s">
        <v>161</v>
      </c>
      <c r="B441" t="s">
        <v>166</v>
      </c>
      <c r="C441" s="4" t="s">
        <v>25</v>
      </c>
      <c r="D441">
        <v>214</v>
      </c>
      <c r="E441">
        <v>97</v>
      </c>
      <c r="F441">
        <v>15</v>
      </c>
      <c r="G441">
        <v>13</v>
      </c>
      <c r="H441">
        <v>23</v>
      </c>
      <c r="I441">
        <v>12</v>
      </c>
      <c r="J441">
        <v>30</v>
      </c>
      <c r="K441">
        <v>9</v>
      </c>
      <c r="L441">
        <v>5</v>
      </c>
      <c r="N441">
        <v>1</v>
      </c>
      <c r="O441">
        <v>2</v>
      </c>
      <c r="P441">
        <v>3</v>
      </c>
      <c r="Q441">
        <v>4</v>
      </c>
    </row>
    <row r="442" spans="1:20" x14ac:dyDescent="0.3">
      <c r="A442" t="s">
        <v>161</v>
      </c>
      <c r="B442" t="s">
        <v>167</v>
      </c>
      <c r="C442" s="4" t="s">
        <v>21</v>
      </c>
      <c r="D442">
        <v>283</v>
      </c>
      <c r="E442">
        <v>20</v>
      </c>
      <c r="F442">
        <v>21</v>
      </c>
      <c r="G442">
        <v>19</v>
      </c>
      <c r="H442">
        <v>19</v>
      </c>
      <c r="I442">
        <v>18</v>
      </c>
      <c r="J442">
        <v>66</v>
      </c>
      <c r="K442">
        <v>62</v>
      </c>
      <c r="L442">
        <v>23</v>
      </c>
      <c r="M442">
        <v>14</v>
      </c>
      <c r="N442">
        <v>6</v>
      </c>
      <c r="O442">
        <v>7</v>
      </c>
      <c r="P442">
        <v>6</v>
      </c>
      <c r="Q442">
        <v>1</v>
      </c>
      <c r="R442">
        <v>1</v>
      </c>
    </row>
    <row r="443" spans="1:20" x14ac:dyDescent="0.3">
      <c r="A443" t="s">
        <v>161</v>
      </c>
      <c r="B443" t="s">
        <v>167</v>
      </c>
      <c r="C443" s="4" t="s">
        <v>24</v>
      </c>
      <c r="D443">
        <v>215</v>
      </c>
      <c r="E443">
        <v>18</v>
      </c>
      <c r="F443">
        <v>20</v>
      </c>
      <c r="G443">
        <v>16</v>
      </c>
      <c r="H443">
        <v>10</v>
      </c>
      <c r="I443">
        <v>15</v>
      </c>
      <c r="J443">
        <v>52</v>
      </c>
      <c r="K443">
        <v>37</v>
      </c>
      <c r="L443">
        <v>22</v>
      </c>
      <c r="M443">
        <v>11</v>
      </c>
      <c r="N443">
        <v>5</v>
      </c>
      <c r="O443">
        <v>4</v>
      </c>
      <c r="P443">
        <v>3</v>
      </c>
      <c r="Q443">
        <v>1</v>
      </c>
      <c r="R443">
        <v>1</v>
      </c>
    </row>
    <row r="444" spans="1:20" x14ac:dyDescent="0.3">
      <c r="A444" t="s">
        <v>161</v>
      </c>
      <c r="B444" t="s">
        <v>167</v>
      </c>
      <c r="C444" s="4" t="s">
        <v>25</v>
      </c>
      <c r="D444">
        <v>68</v>
      </c>
      <c r="E444">
        <v>2</v>
      </c>
      <c r="F444">
        <v>1</v>
      </c>
      <c r="G444">
        <v>3</v>
      </c>
      <c r="H444">
        <v>9</v>
      </c>
      <c r="I444">
        <v>3</v>
      </c>
      <c r="J444">
        <v>14</v>
      </c>
      <c r="K444">
        <v>25</v>
      </c>
      <c r="L444">
        <v>1</v>
      </c>
      <c r="M444">
        <v>3</v>
      </c>
      <c r="N444">
        <v>1</v>
      </c>
      <c r="O444">
        <v>3</v>
      </c>
      <c r="P444">
        <v>3</v>
      </c>
    </row>
    <row r="445" spans="1:20" x14ac:dyDescent="0.3">
      <c r="A445" t="s">
        <v>161</v>
      </c>
      <c r="B445" t="s">
        <v>168</v>
      </c>
      <c r="C445" s="4" t="s">
        <v>21</v>
      </c>
      <c r="D445">
        <v>243</v>
      </c>
      <c r="E445">
        <v>60</v>
      </c>
      <c r="F445">
        <v>10</v>
      </c>
      <c r="G445">
        <v>25</v>
      </c>
      <c r="H445">
        <v>15</v>
      </c>
      <c r="I445">
        <v>14</v>
      </c>
      <c r="J445">
        <v>28</v>
      </c>
      <c r="K445">
        <v>23</v>
      </c>
      <c r="L445">
        <v>35</v>
      </c>
      <c r="M445">
        <v>6</v>
      </c>
      <c r="N445">
        <v>5</v>
      </c>
      <c r="O445">
        <v>12</v>
      </c>
      <c r="P445">
        <v>7</v>
      </c>
      <c r="Q445">
        <v>3</v>
      </c>
    </row>
    <row r="446" spans="1:20" x14ac:dyDescent="0.3">
      <c r="A446" t="s">
        <v>161</v>
      </c>
      <c r="B446" t="s">
        <v>168</v>
      </c>
      <c r="C446" s="4" t="s">
        <v>24</v>
      </c>
      <c r="D446">
        <v>130</v>
      </c>
      <c r="E446">
        <v>37</v>
      </c>
      <c r="F446">
        <v>6</v>
      </c>
      <c r="G446">
        <v>12</v>
      </c>
      <c r="H446">
        <v>7</v>
      </c>
      <c r="I446">
        <v>5</v>
      </c>
      <c r="J446">
        <v>16</v>
      </c>
      <c r="K446">
        <v>11</v>
      </c>
      <c r="L446">
        <v>20</v>
      </c>
      <c r="M446">
        <v>2</v>
      </c>
      <c r="N446">
        <v>3</v>
      </c>
      <c r="O446">
        <v>6</v>
      </c>
      <c r="P446">
        <v>2</v>
      </c>
      <c r="Q446">
        <v>3</v>
      </c>
    </row>
    <row r="447" spans="1:20" x14ac:dyDescent="0.3">
      <c r="A447" t="s">
        <v>161</v>
      </c>
      <c r="B447" t="s">
        <v>168</v>
      </c>
      <c r="C447" s="4" t="s">
        <v>25</v>
      </c>
      <c r="D447">
        <v>113</v>
      </c>
      <c r="E447">
        <v>23</v>
      </c>
      <c r="F447">
        <v>4</v>
      </c>
      <c r="G447">
        <v>13</v>
      </c>
      <c r="H447">
        <v>8</v>
      </c>
      <c r="I447">
        <v>9</v>
      </c>
      <c r="J447">
        <v>12</v>
      </c>
      <c r="K447">
        <v>12</v>
      </c>
      <c r="L447">
        <v>15</v>
      </c>
      <c r="M447">
        <v>4</v>
      </c>
      <c r="N447">
        <v>2</v>
      </c>
      <c r="O447">
        <v>6</v>
      </c>
      <c r="P447">
        <v>5</v>
      </c>
    </row>
    <row r="448" spans="1:20" x14ac:dyDescent="0.3">
      <c r="A448" t="s">
        <v>161</v>
      </c>
      <c r="B448" t="s">
        <v>169</v>
      </c>
      <c r="C448" s="4" t="s">
        <v>21</v>
      </c>
      <c r="D448">
        <v>183</v>
      </c>
      <c r="E448">
        <v>9</v>
      </c>
      <c r="F448">
        <v>15</v>
      </c>
      <c r="G448">
        <v>10</v>
      </c>
      <c r="H448">
        <v>15</v>
      </c>
      <c r="I448">
        <v>26</v>
      </c>
      <c r="J448">
        <v>29</v>
      </c>
      <c r="K448">
        <v>27</v>
      </c>
      <c r="L448">
        <v>30</v>
      </c>
      <c r="M448">
        <v>2</v>
      </c>
      <c r="N448">
        <v>3</v>
      </c>
      <c r="O448">
        <v>10</v>
      </c>
      <c r="P448">
        <v>4</v>
      </c>
      <c r="Q448">
        <v>3</v>
      </c>
    </row>
    <row r="449" spans="1:20" x14ac:dyDescent="0.3">
      <c r="A449" t="s">
        <v>161</v>
      </c>
      <c r="B449" t="s">
        <v>169</v>
      </c>
      <c r="C449" s="4" t="s">
        <v>24</v>
      </c>
      <c r="D449">
        <v>105</v>
      </c>
      <c r="E449">
        <v>9</v>
      </c>
      <c r="F449">
        <v>10</v>
      </c>
      <c r="G449">
        <v>7</v>
      </c>
      <c r="H449">
        <v>6</v>
      </c>
      <c r="I449">
        <v>20</v>
      </c>
      <c r="J449">
        <v>21</v>
      </c>
      <c r="K449">
        <v>14</v>
      </c>
      <c r="L449">
        <v>13</v>
      </c>
      <c r="M449">
        <v>1</v>
      </c>
      <c r="N449">
        <v>1</v>
      </c>
      <c r="P449">
        <v>1</v>
      </c>
      <c r="Q449">
        <v>2</v>
      </c>
    </row>
    <row r="450" spans="1:20" x14ac:dyDescent="0.3">
      <c r="A450" t="s">
        <v>161</v>
      </c>
      <c r="B450" t="s">
        <v>169</v>
      </c>
      <c r="C450" s="4" t="s">
        <v>25</v>
      </c>
      <c r="D450">
        <v>78</v>
      </c>
      <c r="F450">
        <v>5</v>
      </c>
      <c r="G450">
        <v>3</v>
      </c>
      <c r="H450">
        <v>9</v>
      </c>
      <c r="I450">
        <v>6</v>
      </c>
      <c r="J450">
        <v>8</v>
      </c>
      <c r="K450">
        <v>13</v>
      </c>
      <c r="L450">
        <v>17</v>
      </c>
      <c r="M450">
        <v>1</v>
      </c>
      <c r="N450">
        <v>2</v>
      </c>
      <c r="O450">
        <v>10</v>
      </c>
      <c r="P450">
        <v>3</v>
      </c>
      <c r="Q450">
        <v>1</v>
      </c>
    </row>
    <row r="451" spans="1:20" x14ac:dyDescent="0.3">
      <c r="A451" t="s">
        <v>161</v>
      </c>
      <c r="B451" t="s">
        <v>170</v>
      </c>
      <c r="C451" s="4" t="s">
        <v>21</v>
      </c>
      <c r="D451">
        <v>166</v>
      </c>
      <c r="E451">
        <v>31</v>
      </c>
      <c r="F451">
        <v>14</v>
      </c>
      <c r="G451">
        <v>19</v>
      </c>
      <c r="H451">
        <v>27</v>
      </c>
      <c r="I451">
        <v>18</v>
      </c>
      <c r="J451">
        <v>26</v>
      </c>
      <c r="K451">
        <v>11</v>
      </c>
      <c r="L451">
        <v>7</v>
      </c>
      <c r="M451">
        <v>1</v>
      </c>
      <c r="N451">
        <v>3</v>
      </c>
      <c r="O451">
        <v>2</v>
      </c>
      <c r="P451">
        <v>2</v>
      </c>
      <c r="Q451">
        <v>4</v>
      </c>
      <c r="T451">
        <v>1</v>
      </c>
    </row>
    <row r="452" spans="1:20" x14ac:dyDescent="0.3">
      <c r="A452" t="s">
        <v>161</v>
      </c>
      <c r="B452" t="s">
        <v>170</v>
      </c>
      <c r="C452" s="4" t="s">
        <v>24</v>
      </c>
      <c r="D452">
        <v>51</v>
      </c>
      <c r="E452">
        <v>11</v>
      </c>
      <c r="F452">
        <v>5</v>
      </c>
      <c r="G452">
        <v>5</v>
      </c>
      <c r="H452">
        <v>10</v>
      </c>
      <c r="I452">
        <v>5</v>
      </c>
      <c r="J452">
        <v>8</v>
      </c>
      <c r="K452">
        <v>1</v>
      </c>
      <c r="L452">
        <v>2</v>
      </c>
      <c r="O452">
        <v>1</v>
      </c>
      <c r="P452">
        <v>1</v>
      </c>
      <c r="Q452">
        <v>1</v>
      </c>
      <c r="T452">
        <v>1</v>
      </c>
    </row>
    <row r="453" spans="1:20" x14ac:dyDescent="0.3">
      <c r="A453" t="s">
        <v>161</v>
      </c>
      <c r="B453" t="s">
        <v>170</v>
      </c>
      <c r="C453" s="4" t="s">
        <v>25</v>
      </c>
      <c r="D453">
        <v>115</v>
      </c>
      <c r="E453">
        <v>20</v>
      </c>
      <c r="F453">
        <v>9</v>
      </c>
      <c r="G453">
        <v>14</v>
      </c>
      <c r="H453">
        <v>17</v>
      </c>
      <c r="I453">
        <v>13</v>
      </c>
      <c r="J453">
        <v>18</v>
      </c>
      <c r="K453">
        <v>10</v>
      </c>
      <c r="L453">
        <v>5</v>
      </c>
      <c r="M453">
        <v>1</v>
      </c>
      <c r="N453">
        <v>3</v>
      </c>
      <c r="O453">
        <v>1</v>
      </c>
      <c r="P453">
        <v>1</v>
      </c>
      <c r="Q453">
        <v>3</v>
      </c>
    </row>
    <row r="454" spans="1:20" x14ac:dyDescent="0.3">
      <c r="A454" t="s">
        <v>161</v>
      </c>
      <c r="B454" t="s">
        <v>171</v>
      </c>
      <c r="C454" s="4" t="s">
        <v>21</v>
      </c>
      <c r="D454">
        <v>124</v>
      </c>
      <c r="E454">
        <v>9</v>
      </c>
      <c r="F454">
        <v>9</v>
      </c>
      <c r="G454">
        <v>11</v>
      </c>
      <c r="H454">
        <v>16</v>
      </c>
      <c r="I454">
        <v>12</v>
      </c>
      <c r="J454">
        <v>33</v>
      </c>
      <c r="K454">
        <v>21</v>
      </c>
      <c r="L454">
        <v>5</v>
      </c>
      <c r="M454">
        <v>2</v>
      </c>
      <c r="N454">
        <v>2</v>
      </c>
      <c r="P454">
        <v>2</v>
      </c>
      <c r="Q454">
        <v>2</v>
      </c>
    </row>
    <row r="455" spans="1:20" x14ac:dyDescent="0.3">
      <c r="A455" t="s">
        <v>161</v>
      </c>
      <c r="B455" t="s">
        <v>171</v>
      </c>
      <c r="C455" s="4" t="s">
        <v>24</v>
      </c>
      <c r="D455">
        <v>63</v>
      </c>
      <c r="E455">
        <v>4</v>
      </c>
      <c r="F455">
        <v>7</v>
      </c>
      <c r="G455">
        <v>6</v>
      </c>
      <c r="H455">
        <v>8</v>
      </c>
      <c r="I455">
        <v>6</v>
      </c>
      <c r="J455">
        <v>14</v>
      </c>
      <c r="K455">
        <v>10</v>
      </c>
      <c r="L455">
        <v>4</v>
      </c>
      <c r="M455">
        <v>2</v>
      </c>
      <c r="N455">
        <v>1</v>
      </c>
      <c r="P455">
        <v>1</v>
      </c>
    </row>
    <row r="456" spans="1:20" x14ac:dyDescent="0.3">
      <c r="A456" t="s">
        <v>161</v>
      </c>
      <c r="B456" t="s">
        <v>171</v>
      </c>
      <c r="C456" s="4" t="s">
        <v>25</v>
      </c>
      <c r="D456">
        <v>61</v>
      </c>
      <c r="E456">
        <v>5</v>
      </c>
      <c r="F456">
        <v>2</v>
      </c>
      <c r="G456">
        <v>5</v>
      </c>
      <c r="H456">
        <v>8</v>
      </c>
      <c r="I456">
        <v>6</v>
      </c>
      <c r="J456">
        <v>19</v>
      </c>
      <c r="K456">
        <v>11</v>
      </c>
      <c r="L456">
        <v>1</v>
      </c>
      <c r="N456">
        <v>1</v>
      </c>
      <c r="P456">
        <v>1</v>
      </c>
      <c r="Q456">
        <v>2</v>
      </c>
    </row>
    <row r="457" spans="1:20" x14ac:dyDescent="0.3">
      <c r="A457" t="s">
        <v>161</v>
      </c>
      <c r="B457" t="s">
        <v>172</v>
      </c>
      <c r="C457" s="4" t="s">
        <v>21</v>
      </c>
      <c r="D457">
        <v>97</v>
      </c>
      <c r="E457">
        <v>15</v>
      </c>
      <c r="F457">
        <v>3</v>
      </c>
      <c r="G457">
        <v>13</v>
      </c>
      <c r="H457">
        <v>3</v>
      </c>
      <c r="I457">
        <v>6</v>
      </c>
      <c r="J457">
        <v>18</v>
      </c>
      <c r="K457">
        <v>15</v>
      </c>
      <c r="L457">
        <v>20</v>
      </c>
      <c r="M457">
        <v>1</v>
      </c>
      <c r="O457">
        <v>1</v>
      </c>
      <c r="P457">
        <v>1</v>
      </c>
      <c r="R457">
        <v>1</v>
      </c>
    </row>
    <row r="458" spans="1:20" x14ac:dyDescent="0.3">
      <c r="A458" t="s">
        <v>161</v>
      </c>
      <c r="B458" t="s">
        <v>172</v>
      </c>
      <c r="C458" s="4" t="s">
        <v>24</v>
      </c>
      <c r="D458">
        <v>59</v>
      </c>
      <c r="E458">
        <v>13</v>
      </c>
      <c r="F458">
        <v>3</v>
      </c>
      <c r="G458">
        <v>6</v>
      </c>
      <c r="H458">
        <v>3</v>
      </c>
      <c r="I458">
        <v>1</v>
      </c>
      <c r="J458">
        <v>9</v>
      </c>
      <c r="K458">
        <v>11</v>
      </c>
      <c r="L458">
        <v>11</v>
      </c>
      <c r="O458">
        <v>1</v>
      </c>
      <c r="P458">
        <v>1</v>
      </c>
    </row>
    <row r="459" spans="1:20" x14ac:dyDescent="0.3">
      <c r="A459" t="s">
        <v>161</v>
      </c>
      <c r="B459" t="s">
        <v>172</v>
      </c>
      <c r="C459" s="4" t="s">
        <v>25</v>
      </c>
      <c r="D459">
        <v>38</v>
      </c>
      <c r="E459">
        <v>2</v>
      </c>
      <c r="G459">
        <v>7</v>
      </c>
      <c r="I459">
        <v>5</v>
      </c>
      <c r="J459">
        <v>9</v>
      </c>
      <c r="K459">
        <v>4</v>
      </c>
      <c r="L459">
        <v>9</v>
      </c>
      <c r="M459">
        <v>1</v>
      </c>
      <c r="R459">
        <v>1</v>
      </c>
    </row>
    <row r="460" spans="1:20" x14ac:dyDescent="0.3">
      <c r="A460" t="s">
        <v>161</v>
      </c>
      <c r="B460" t="s">
        <v>173</v>
      </c>
      <c r="C460" s="4" t="s">
        <v>21</v>
      </c>
      <c r="D460">
        <v>76</v>
      </c>
      <c r="E460">
        <v>11</v>
      </c>
      <c r="F460">
        <v>17</v>
      </c>
      <c r="G460">
        <v>10</v>
      </c>
      <c r="H460">
        <v>16</v>
      </c>
      <c r="I460">
        <v>5</v>
      </c>
      <c r="J460">
        <v>8</v>
      </c>
      <c r="K460">
        <v>8</v>
      </c>
      <c r="L460">
        <v>1</v>
      </c>
    </row>
    <row r="461" spans="1:20" x14ac:dyDescent="0.3">
      <c r="A461" t="s">
        <v>161</v>
      </c>
      <c r="B461" t="s">
        <v>173</v>
      </c>
      <c r="C461" s="4" t="s">
        <v>24</v>
      </c>
      <c r="D461">
        <v>65</v>
      </c>
      <c r="E461">
        <v>11</v>
      </c>
      <c r="F461">
        <v>15</v>
      </c>
      <c r="G461">
        <v>9</v>
      </c>
      <c r="H461">
        <v>12</v>
      </c>
      <c r="I461">
        <v>5</v>
      </c>
      <c r="J461">
        <v>5</v>
      </c>
      <c r="K461">
        <v>7</v>
      </c>
      <c r="L461">
        <v>1</v>
      </c>
    </row>
    <row r="462" spans="1:20" x14ac:dyDescent="0.3">
      <c r="A462" t="s">
        <v>161</v>
      </c>
      <c r="B462" t="s">
        <v>173</v>
      </c>
      <c r="C462" s="4" t="s">
        <v>25</v>
      </c>
      <c r="D462">
        <v>11</v>
      </c>
      <c r="F462">
        <v>2</v>
      </c>
      <c r="G462">
        <v>1</v>
      </c>
      <c r="H462">
        <v>4</v>
      </c>
      <c r="J462">
        <v>3</v>
      </c>
      <c r="K462">
        <v>1</v>
      </c>
    </row>
    <row r="463" spans="1:20" x14ac:dyDescent="0.3">
      <c r="A463" t="s">
        <v>161</v>
      </c>
      <c r="B463" t="s">
        <v>174</v>
      </c>
      <c r="C463" s="4" t="s">
        <v>21</v>
      </c>
      <c r="D463">
        <v>76</v>
      </c>
      <c r="E463">
        <v>12</v>
      </c>
      <c r="G463">
        <v>6</v>
      </c>
      <c r="H463">
        <v>16</v>
      </c>
      <c r="I463">
        <v>10</v>
      </c>
      <c r="J463">
        <v>14</v>
      </c>
      <c r="K463">
        <v>6</v>
      </c>
      <c r="L463">
        <v>7</v>
      </c>
      <c r="M463">
        <v>3</v>
      </c>
      <c r="O463">
        <v>1</v>
      </c>
      <c r="P463">
        <v>1</v>
      </c>
    </row>
    <row r="464" spans="1:20" x14ac:dyDescent="0.3">
      <c r="A464" t="s">
        <v>161</v>
      </c>
      <c r="B464" t="s">
        <v>174</v>
      </c>
      <c r="C464" s="4" t="s">
        <v>24</v>
      </c>
      <c r="D464">
        <v>45</v>
      </c>
      <c r="E464">
        <v>9</v>
      </c>
      <c r="G464">
        <v>3</v>
      </c>
      <c r="H464">
        <v>13</v>
      </c>
      <c r="I464">
        <v>5</v>
      </c>
      <c r="J464">
        <v>9</v>
      </c>
      <c r="K464">
        <v>3</v>
      </c>
      <c r="L464">
        <v>1</v>
      </c>
      <c r="M464">
        <v>2</v>
      </c>
    </row>
    <row r="465" spans="1:21" x14ac:dyDescent="0.3">
      <c r="A465" t="s">
        <v>161</v>
      </c>
      <c r="B465" t="s">
        <v>174</v>
      </c>
      <c r="C465" s="4" t="s">
        <v>25</v>
      </c>
      <c r="D465">
        <v>31</v>
      </c>
      <c r="E465">
        <v>3</v>
      </c>
      <c r="G465">
        <v>3</v>
      </c>
      <c r="H465">
        <v>3</v>
      </c>
      <c r="I465">
        <v>5</v>
      </c>
      <c r="J465">
        <v>5</v>
      </c>
      <c r="K465">
        <v>3</v>
      </c>
      <c r="L465">
        <v>6</v>
      </c>
      <c r="M465">
        <v>1</v>
      </c>
      <c r="O465">
        <v>1</v>
      </c>
      <c r="P465">
        <v>1</v>
      </c>
    </row>
    <row r="466" spans="1:21" x14ac:dyDescent="0.3">
      <c r="A466" t="s">
        <v>161</v>
      </c>
      <c r="B466" t="s">
        <v>175</v>
      </c>
      <c r="C466" s="4" t="s">
        <v>21</v>
      </c>
      <c r="D466">
        <v>34</v>
      </c>
      <c r="E466">
        <v>3</v>
      </c>
      <c r="F466">
        <v>4</v>
      </c>
      <c r="G466">
        <v>6</v>
      </c>
      <c r="H466">
        <v>4</v>
      </c>
      <c r="I466">
        <v>1</v>
      </c>
      <c r="J466">
        <v>9</v>
      </c>
      <c r="M466">
        <v>1</v>
      </c>
      <c r="N466">
        <v>1</v>
      </c>
      <c r="P466">
        <v>4</v>
      </c>
      <c r="U466">
        <v>1</v>
      </c>
    </row>
    <row r="467" spans="1:21" x14ac:dyDescent="0.3">
      <c r="A467" t="s">
        <v>161</v>
      </c>
      <c r="B467" t="s">
        <v>175</v>
      </c>
      <c r="C467" s="4" t="s">
        <v>24</v>
      </c>
      <c r="D467">
        <v>21</v>
      </c>
      <c r="E467">
        <v>3</v>
      </c>
      <c r="F467">
        <v>4</v>
      </c>
      <c r="G467">
        <v>2</v>
      </c>
      <c r="H467">
        <v>2</v>
      </c>
      <c r="I467">
        <v>1</v>
      </c>
      <c r="J467">
        <v>4</v>
      </c>
      <c r="M467">
        <v>1</v>
      </c>
      <c r="N467">
        <v>1</v>
      </c>
      <c r="P467">
        <v>2</v>
      </c>
      <c r="U467">
        <v>1</v>
      </c>
    </row>
    <row r="468" spans="1:21" x14ac:dyDescent="0.3">
      <c r="A468" t="s">
        <v>161</v>
      </c>
      <c r="B468" t="s">
        <v>175</v>
      </c>
      <c r="C468" s="4" t="s">
        <v>25</v>
      </c>
      <c r="D468">
        <v>13</v>
      </c>
      <c r="G468">
        <v>4</v>
      </c>
      <c r="H468">
        <v>2</v>
      </c>
      <c r="J468">
        <v>5</v>
      </c>
      <c r="P468">
        <v>2</v>
      </c>
    </row>
    <row r="469" spans="1:21" x14ac:dyDescent="0.3">
      <c r="A469" t="s">
        <v>176</v>
      </c>
      <c r="B469" t="s">
        <v>21</v>
      </c>
      <c r="C469" s="4" t="s">
        <v>21</v>
      </c>
      <c r="D469" s="1">
        <v>49473</v>
      </c>
      <c r="E469" s="1">
        <v>2721</v>
      </c>
      <c r="F469" s="1">
        <v>1432</v>
      </c>
      <c r="G469" s="1">
        <v>2645</v>
      </c>
      <c r="H469" s="1">
        <v>3066</v>
      </c>
      <c r="I469" s="1">
        <v>3345</v>
      </c>
      <c r="J469" s="1">
        <v>10049</v>
      </c>
      <c r="K469" s="1">
        <v>6187</v>
      </c>
      <c r="L469" s="1">
        <v>2721</v>
      </c>
      <c r="M469" s="1">
        <v>2685</v>
      </c>
      <c r="N469" s="1">
        <v>2761</v>
      </c>
      <c r="O469" s="1">
        <v>3278</v>
      </c>
      <c r="P469" s="1">
        <v>4092</v>
      </c>
      <c r="Q469" s="1">
        <v>2562</v>
      </c>
      <c r="R469">
        <v>970</v>
      </c>
      <c r="S469">
        <v>329</v>
      </c>
      <c r="T469">
        <v>537</v>
      </c>
      <c r="U469">
        <v>93</v>
      </c>
    </row>
    <row r="470" spans="1:21" x14ac:dyDescent="0.3">
      <c r="A470" t="s">
        <v>176</v>
      </c>
      <c r="B470" t="s">
        <v>21</v>
      </c>
      <c r="C470" s="4" t="s">
        <v>24</v>
      </c>
      <c r="D470" s="1">
        <f>D473+D476+D479+D482+D485+D488+D491+D494+D497+D500+D503+D506+D509+D512+D515+D518+D521+D524+D527+D530+D533+D536+D539+D542+D545+D548+D551+D554+D557+D560+D563+D566+D569+D572+D575+D578+D581+D584+D587+D590+D593+D596+D599+D602+D605+D608+D611+D614+D617+D620+D623+D626+D629+D632</f>
        <v>28495</v>
      </c>
      <c r="E470" s="1">
        <f t="shared" ref="E470:U470" si="16">E473+E476+E479+E482+E485+E488+E491+E494+E497+E500+E503+E506+E509+E512+E515+E518+E521+E524+E527+E530+E533+E536+E539+E542+E545+E548+E551+E554+E557+E560+E563+E566+E569+E572+E575+E578+E581+E584+E587+E590+E593+E596+E599+E602+E605+E608+E611+E614+E617+E620+E623+E626+E629+E632</f>
        <v>1790</v>
      </c>
      <c r="F470" s="1">
        <f t="shared" si="16"/>
        <v>928</v>
      </c>
      <c r="G470" s="1">
        <f t="shared" si="16"/>
        <v>1629</v>
      </c>
      <c r="H470" s="1">
        <f t="shared" si="16"/>
        <v>1874</v>
      </c>
      <c r="I470" s="1">
        <f t="shared" si="16"/>
        <v>1994</v>
      </c>
      <c r="J470" s="1">
        <f t="shared" si="16"/>
        <v>5525</v>
      </c>
      <c r="K470" s="1">
        <f t="shared" si="16"/>
        <v>3239</v>
      </c>
      <c r="L470" s="1">
        <f t="shared" si="16"/>
        <v>1716</v>
      </c>
      <c r="M470" s="1">
        <f t="shared" si="16"/>
        <v>1899</v>
      </c>
      <c r="N470" s="1">
        <f t="shared" si="16"/>
        <v>1791</v>
      </c>
      <c r="O470" s="1">
        <f t="shared" si="16"/>
        <v>1413</v>
      </c>
      <c r="P470" s="1">
        <f t="shared" si="16"/>
        <v>1988</v>
      </c>
      <c r="Q470" s="1">
        <f t="shared" si="16"/>
        <v>1386</v>
      </c>
      <c r="R470" s="1">
        <f t="shared" si="16"/>
        <v>616</v>
      </c>
      <c r="S470" s="1">
        <f t="shared" si="16"/>
        <v>210</v>
      </c>
      <c r="T470" s="1">
        <f t="shared" si="16"/>
        <v>417</v>
      </c>
      <c r="U470" s="1">
        <f t="shared" si="16"/>
        <v>80</v>
      </c>
    </row>
    <row r="471" spans="1:21" x14ac:dyDescent="0.3">
      <c r="A471" t="s">
        <v>176</v>
      </c>
      <c r="B471" t="s">
        <v>21</v>
      </c>
      <c r="C471" s="4" t="s">
        <v>25</v>
      </c>
      <c r="D471" s="1">
        <f>D474+D477+D480+D483+D486+D489+D492+D495+D498+D501+D504+D507+D510+D513+D516+D519+D522+D525+D528+D531+D534+D537+D540+D543+D546+D549+D552+D555+D558+D561+D564+D567+D570+D573+D576+D579+D582+D585+D588+D591+D594+D597+D600+D603+D606+D609+D612+D615+D618+D621+D624+D627+D630+D633</f>
        <v>20978</v>
      </c>
      <c r="E471" s="1">
        <f t="shared" ref="E471:U471" si="17">E474+E477+E480+E483+E486+E489+E492+E495+E498+E501+E504+E507+E510+E513+E516+E519+E522+E525+E528+E531+E534+E537+E540+E543+E546+E549+E552+E555+E558+E561+E564+E567+E570+E573+E576+E579+E582+E585+E588+E591+E594+E597+E600+E603+E606+E609+E612+E615+E618+E621+E624+E627+E630+E633</f>
        <v>931</v>
      </c>
      <c r="F471" s="1">
        <f t="shared" si="17"/>
        <v>504</v>
      </c>
      <c r="G471" s="1">
        <f t="shared" si="17"/>
        <v>1016</v>
      </c>
      <c r="H471" s="1">
        <f t="shared" si="17"/>
        <v>1192</v>
      </c>
      <c r="I471" s="1">
        <f t="shared" si="17"/>
        <v>1351</v>
      </c>
      <c r="J471" s="1">
        <f t="shared" si="17"/>
        <v>4524</v>
      </c>
      <c r="K471" s="1">
        <f t="shared" si="17"/>
        <v>2948</v>
      </c>
      <c r="L471" s="1">
        <f t="shared" si="17"/>
        <v>1005</v>
      </c>
      <c r="M471" s="1">
        <f t="shared" si="17"/>
        <v>786</v>
      </c>
      <c r="N471" s="1">
        <f t="shared" si="17"/>
        <v>970</v>
      </c>
      <c r="O471" s="1">
        <f t="shared" si="17"/>
        <v>1865</v>
      </c>
      <c r="P471" s="1">
        <f t="shared" si="17"/>
        <v>2104</v>
      </c>
      <c r="Q471" s="1">
        <f t="shared" si="17"/>
        <v>1176</v>
      </c>
      <c r="R471" s="1">
        <f t="shared" si="17"/>
        <v>354</v>
      </c>
      <c r="S471" s="1">
        <f t="shared" si="17"/>
        <v>119</v>
      </c>
      <c r="T471" s="1">
        <f t="shared" si="17"/>
        <v>120</v>
      </c>
      <c r="U471" s="1">
        <f t="shared" si="17"/>
        <v>13</v>
      </c>
    </row>
    <row r="472" spans="1:21" x14ac:dyDescent="0.3">
      <c r="A472" t="s">
        <v>176</v>
      </c>
      <c r="B472" t="s">
        <v>177</v>
      </c>
      <c r="C472" s="4" t="s">
        <v>21</v>
      </c>
      <c r="D472" s="1">
        <v>13457</v>
      </c>
      <c r="E472" s="1">
        <v>1017</v>
      </c>
      <c r="F472">
        <v>557</v>
      </c>
      <c r="G472">
        <v>800</v>
      </c>
      <c r="H472">
        <v>807</v>
      </c>
      <c r="I472">
        <v>738</v>
      </c>
      <c r="J472" s="1">
        <v>2276</v>
      </c>
      <c r="K472" s="1">
        <v>1449</v>
      </c>
      <c r="L472">
        <v>714</v>
      </c>
      <c r="M472">
        <v>405</v>
      </c>
      <c r="N472">
        <v>468</v>
      </c>
      <c r="O472" s="1">
        <v>1356</v>
      </c>
      <c r="P472" s="1">
        <v>1700</v>
      </c>
      <c r="Q472">
        <v>874</v>
      </c>
      <c r="R472">
        <v>210</v>
      </c>
      <c r="S472">
        <v>48</v>
      </c>
      <c r="T472">
        <v>37</v>
      </c>
      <c r="U472">
        <v>1</v>
      </c>
    </row>
    <row r="473" spans="1:21" x14ac:dyDescent="0.3">
      <c r="A473" t="s">
        <v>176</v>
      </c>
      <c r="B473" t="s">
        <v>177</v>
      </c>
      <c r="C473" s="4" t="s">
        <v>24</v>
      </c>
      <c r="D473" s="1">
        <v>5426</v>
      </c>
      <c r="E473">
        <v>517</v>
      </c>
      <c r="F473">
        <v>293</v>
      </c>
      <c r="G473">
        <v>438</v>
      </c>
      <c r="H473">
        <v>423</v>
      </c>
      <c r="I473">
        <v>364</v>
      </c>
      <c r="J473" s="1">
        <v>1028</v>
      </c>
      <c r="K473">
        <v>610</v>
      </c>
      <c r="L473">
        <v>303</v>
      </c>
      <c r="M473">
        <v>171</v>
      </c>
      <c r="N473">
        <v>162</v>
      </c>
      <c r="O473">
        <v>323</v>
      </c>
      <c r="P473">
        <v>445</v>
      </c>
      <c r="Q473">
        <v>231</v>
      </c>
      <c r="R473">
        <v>77</v>
      </c>
      <c r="S473">
        <v>14</v>
      </c>
      <c r="T473">
        <v>26</v>
      </c>
      <c r="U473">
        <v>1</v>
      </c>
    </row>
    <row r="474" spans="1:21" x14ac:dyDescent="0.3">
      <c r="A474" t="s">
        <v>176</v>
      </c>
      <c r="B474" t="s">
        <v>177</v>
      </c>
      <c r="C474" s="4" t="s">
        <v>25</v>
      </c>
      <c r="D474" s="1">
        <v>8031</v>
      </c>
      <c r="E474">
        <v>500</v>
      </c>
      <c r="F474">
        <v>264</v>
      </c>
      <c r="G474">
        <v>362</v>
      </c>
      <c r="H474">
        <v>384</v>
      </c>
      <c r="I474">
        <v>374</v>
      </c>
      <c r="J474" s="1">
        <v>1248</v>
      </c>
      <c r="K474">
        <v>839</v>
      </c>
      <c r="L474">
        <v>411</v>
      </c>
      <c r="M474">
        <v>234</v>
      </c>
      <c r="N474">
        <v>306</v>
      </c>
      <c r="O474" s="1">
        <v>1033</v>
      </c>
      <c r="P474" s="1">
        <v>1255</v>
      </c>
      <c r="Q474">
        <v>643</v>
      </c>
      <c r="R474">
        <v>133</v>
      </c>
      <c r="S474">
        <v>34</v>
      </c>
      <c r="T474">
        <v>11</v>
      </c>
    </row>
    <row r="475" spans="1:21" x14ac:dyDescent="0.3">
      <c r="A475" t="s">
        <v>176</v>
      </c>
      <c r="B475" t="s">
        <v>178</v>
      </c>
      <c r="C475" s="4" t="s">
        <v>21</v>
      </c>
      <c r="D475" s="1">
        <v>6144</v>
      </c>
      <c r="E475">
        <v>264</v>
      </c>
      <c r="F475">
        <v>132</v>
      </c>
      <c r="G475">
        <v>302</v>
      </c>
      <c r="H475">
        <v>407</v>
      </c>
      <c r="I475">
        <v>426</v>
      </c>
      <c r="J475" s="1">
        <v>1220</v>
      </c>
      <c r="K475">
        <v>651</v>
      </c>
      <c r="L475">
        <v>440</v>
      </c>
      <c r="M475">
        <v>429</v>
      </c>
      <c r="N475">
        <v>483</v>
      </c>
      <c r="O475">
        <v>376</v>
      </c>
      <c r="P475">
        <v>446</v>
      </c>
      <c r="Q475">
        <v>315</v>
      </c>
      <c r="R475">
        <v>92</v>
      </c>
      <c r="S475">
        <v>44</v>
      </c>
      <c r="T475">
        <v>88</v>
      </c>
      <c r="U475">
        <v>29</v>
      </c>
    </row>
    <row r="476" spans="1:21" x14ac:dyDescent="0.3">
      <c r="A476" t="s">
        <v>176</v>
      </c>
      <c r="B476" t="s">
        <v>178</v>
      </c>
      <c r="C476" s="4" t="s">
        <v>24</v>
      </c>
      <c r="D476" s="1">
        <v>4567</v>
      </c>
      <c r="E476">
        <v>258</v>
      </c>
      <c r="F476">
        <v>113</v>
      </c>
      <c r="G476">
        <v>229</v>
      </c>
      <c r="H476">
        <v>298</v>
      </c>
      <c r="I476">
        <v>332</v>
      </c>
      <c r="J476">
        <v>831</v>
      </c>
      <c r="K476">
        <v>460</v>
      </c>
      <c r="L476">
        <v>341</v>
      </c>
      <c r="M476">
        <v>339</v>
      </c>
      <c r="N476">
        <v>368</v>
      </c>
      <c r="O476">
        <v>243</v>
      </c>
      <c r="P476">
        <v>317</v>
      </c>
      <c r="Q476">
        <v>227</v>
      </c>
      <c r="R476">
        <v>64</v>
      </c>
      <c r="S476">
        <v>41</v>
      </c>
      <c r="T476">
        <v>80</v>
      </c>
      <c r="U476">
        <v>26</v>
      </c>
    </row>
    <row r="477" spans="1:21" x14ac:dyDescent="0.3">
      <c r="A477" t="s">
        <v>176</v>
      </c>
      <c r="B477" t="s">
        <v>178</v>
      </c>
      <c r="C477" s="4" t="s">
        <v>25</v>
      </c>
      <c r="D477" s="1">
        <v>1577</v>
      </c>
      <c r="E477">
        <v>6</v>
      </c>
      <c r="F477">
        <v>19</v>
      </c>
      <c r="G477">
        <v>73</v>
      </c>
      <c r="H477">
        <v>109</v>
      </c>
      <c r="I477">
        <v>94</v>
      </c>
      <c r="J477">
        <v>389</v>
      </c>
      <c r="K477">
        <v>191</v>
      </c>
      <c r="L477">
        <v>99</v>
      </c>
      <c r="M477">
        <v>90</v>
      </c>
      <c r="N477">
        <v>115</v>
      </c>
      <c r="O477">
        <v>133</v>
      </c>
      <c r="P477">
        <v>129</v>
      </c>
      <c r="Q477">
        <v>88</v>
      </c>
      <c r="R477">
        <v>28</v>
      </c>
      <c r="S477">
        <v>3</v>
      </c>
      <c r="T477">
        <v>8</v>
      </c>
      <c r="U477">
        <v>3</v>
      </c>
    </row>
    <row r="478" spans="1:21" x14ac:dyDescent="0.3">
      <c r="A478" t="s">
        <v>176</v>
      </c>
      <c r="B478" t="s">
        <v>179</v>
      </c>
      <c r="C478" s="4" t="s">
        <v>21</v>
      </c>
      <c r="D478" s="1">
        <v>5312</v>
      </c>
      <c r="E478">
        <v>176</v>
      </c>
      <c r="F478">
        <v>148</v>
      </c>
      <c r="G478">
        <v>273</v>
      </c>
      <c r="H478">
        <v>388</v>
      </c>
      <c r="I478">
        <v>495</v>
      </c>
      <c r="J478" s="1">
        <v>1232</v>
      </c>
      <c r="K478">
        <v>826</v>
      </c>
      <c r="L478">
        <v>185</v>
      </c>
      <c r="M478">
        <v>240</v>
      </c>
      <c r="N478">
        <v>299</v>
      </c>
      <c r="O478">
        <v>309</v>
      </c>
      <c r="P478">
        <v>363</v>
      </c>
      <c r="Q478">
        <v>171</v>
      </c>
      <c r="R478">
        <v>104</v>
      </c>
      <c r="S478">
        <v>35</v>
      </c>
      <c r="T478">
        <v>65</v>
      </c>
      <c r="U478">
        <v>3</v>
      </c>
    </row>
    <row r="479" spans="1:21" x14ac:dyDescent="0.3">
      <c r="A479" t="s">
        <v>176</v>
      </c>
      <c r="B479" t="s">
        <v>179</v>
      </c>
      <c r="C479" s="4" t="s">
        <v>24</v>
      </c>
      <c r="D479" s="1">
        <v>2040</v>
      </c>
      <c r="E479">
        <v>89</v>
      </c>
      <c r="F479">
        <v>78</v>
      </c>
      <c r="G479">
        <v>136</v>
      </c>
      <c r="H479">
        <v>180</v>
      </c>
      <c r="I479">
        <v>219</v>
      </c>
      <c r="J479">
        <v>482</v>
      </c>
      <c r="K479">
        <v>252</v>
      </c>
      <c r="L479">
        <v>65</v>
      </c>
      <c r="M479">
        <v>82</v>
      </c>
      <c r="N479">
        <v>71</v>
      </c>
      <c r="O479">
        <v>84</v>
      </c>
      <c r="P479">
        <v>123</v>
      </c>
      <c r="Q479">
        <v>73</v>
      </c>
      <c r="R479">
        <v>53</v>
      </c>
      <c r="S479">
        <v>8</v>
      </c>
      <c r="T479">
        <v>44</v>
      </c>
      <c r="U479">
        <v>1</v>
      </c>
    </row>
    <row r="480" spans="1:21" x14ac:dyDescent="0.3">
      <c r="A480" t="s">
        <v>176</v>
      </c>
      <c r="B480" t="s">
        <v>179</v>
      </c>
      <c r="C480" s="4" t="s">
        <v>25</v>
      </c>
      <c r="D480" s="1">
        <v>3272</v>
      </c>
      <c r="E480">
        <v>87</v>
      </c>
      <c r="F480">
        <v>70</v>
      </c>
      <c r="G480">
        <v>137</v>
      </c>
      <c r="H480">
        <v>208</v>
      </c>
      <c r="I480">
        <v>276</v>
      </c>
      <c r="J480">
        <v>750</v>
      </c>
      <c r="K480">
        <v>574</v>
      </c>
      <c r="L480">
        <v>120</v>
      </c>
      <c r="M480">
        <v>158</v>
      </c>
      <c r="N480">
        <v>228</v>
      </c>
      <c r="O480">
        <v>225</v>
      </c>
      <c r="P480">
        <v>240</v>
      </c>
      <c r="Q480">
        <v>98</v>
      </c>
      <c r="R480">
        <v>51</v>
      </c>
      <c r="S480">
        <v>27</v>
      </c>
      <c r="T480">
        <v>21</v>
      </c>
      <c r="U480">
        <v>2</v>
      </c>
    </row>
    <row r="481" spans="1:21" x14ac:dyDescent="0.3">
      <c r="A481" t="s">
        <v>176</v>
      </c>
      <c r="B481" t="s">
        <v>180</v>
      </c>
      <c r="C481" s="4" t="s">
        <v>21</v>
      </c>
      <c r="D481" s="1">
        <v>2332</v>
      </c>
      <c r="E481">
        <v>9</v>
      </c>
      <c r="F481">
        <v>6</v>
      </c>
      <c r="G481">
        <v>10</v>
      </c>
      <c r="H481">
        <v>23</v>
      </c>
      <c r="I481">
        <v>17</v>
      </c>
      <c r="J481">
        <v>92</v>
      </c>
      <c r="K481">
        <v>205</v>
      </c>
      <c r="L481">
        <v>486</v>
      </c>
      <c r="M481">
        <v>612</v>
      </c>
      <c r="N481">
        <v>497</v>
      </c>
      <c r="O481">
        <v>135</v>
      </c>
      <c r="P481">
        <v>120</v>
      </c>
      <c r="Q481">
        <v>66</v>
      </c>
      <c r="R481">
        <v>35</v>
      </c>
      <c r="S481">
        <v>10</v>
      </c>
      <c r="T481">
        <v>9</v>
      </c>
    </row>
    <row r="482" spans="1:21" x14ac:dyDescent="0.3">
      <c r="A482" t="s">
        <v>176</v>
      </c>
      <c r="B482" t="s">
        <v>180</v>
      </c>
      <c r="C482" s="4" t="s">
        <v>24</v>
      </c>
      <c r="D482" s="1">
        <v>2214</v>
      </c>
      <c r="E482">
        <v>8</v>
      </c>
      <c r="F482">
        <v>6</v>
      </c>
      <c r="G482">
        <v>9</v>
      </c>
      <c r="H482">
        <v>21</v>
      </c>
      <c r="I482">
        <v>12</v>
      </c>
      <c r="J482">
        <v>75</v>
      </c>
      <c r="K482">
        <v>201</v>
      </c>
      <c r="L482">
        <v>476</v>
      </c>
      <c r="M482">
        <v>606</v>
      </c>
      <c r="N482">
        <v>481</v>
      </c>
      <c r="O482">
        <v>107</v>
      </c>
      <c r="P482">
        <v>112</v>
      </c>
      <c r="Q482">
        <v>48</v>
      </c>
      <c r="R482">
        <v>34</v>
      </c>
      <c r="S482">
        <v>9</v>
      </c>
      <c r="T482">
        <v>9</v>
      </c>
    </row>
    <row r="483" spans="1:21" x14ac:dyDescent="0.3">
      <c r="A483" t="s">
        <v>176</v>
      </c>
      <c r="B483" t="s">
        <v>180</v>
      </c>
      <c r="C483" s="4" t="s">
        <v>25</v>
      </c>
      <c r="D483">
        <v>118</v>
      </c>
      <c r="E483">
        <v>1</v>
      </c>
      <c r="G483">
        <v>1</v>
      </c>
      <c r="H483">
        <v>2</v>
      </c>
      <c r="I483">
        <v>5</v>
      </c>
      <c r="J483">
        <v>17</v>
      </c>
      <c r="K483">
        <v>4</v>
      </c>
      <c r="L483">
        <v>10</v>
      </c>
      <c r="M483">
        <v>6</v>
      </c>
      <c r="N483">
        <v>16</v>
      </c>
      <c r="O483">
        <v>28</v>
      </c>
      <c r="P483">
        <v>8</v>
      </c>
      <c r="Q483">
        <v>18</v>
      </c>
      <c r="R483">
        <v>1</v>
      </c>
      <c r="S483">
        <v>1</v>
      </c>
    </row>
    <row r="484" spans="1:21" x14ac:dyDescent="0.3">
      <c r="A484" t="s">
        <v>176</v>
      </c>
      <c r="B484" t="s">
        <v>181</v>
      </c>
      <c r="C484" s="4" t="s">
        <v>21</v>
      </c>
      <c r="D484" s="1">
        <v>2211</v>
      </c>
      <c r="E484">
        <v>118</v>
      </c>
      <c r="F484">
        <v>56</v>
      </c>
      <c r="G484">
        <v>136</v>
      </c>
      <c r="H484">
        <v>210</v>
      </c>
      <c r="I484">
        <v>166</v>
      </c>
      <c r="J484">
        <v>691</v>
      </c>
      <c r="K484">
        <v>259</v>
      </c>
      <c r="L484">
        <v>62</v>
      </c>
      <c r="M484">
        <v>59</v>
      </c>
      <c r="N484">
        <v>100</v>
      </c>
      <c r="O484">
        <v>115</v>
      </c>
      <c r="P484">
        <v>106</v>
      </c>
      <c r="Q484">
        <v>69</v>
      </c>
      <c r="R484">
        <v>37</v>
      </c>
      <c r="S484">
        <v>15</v>
      </c>
      <c r="T484">
        <v>10</v>
      </c>
      <c r="U484">
        <v>2</v>
      </c>
    </row>
    <row r="485" spans="1:21" x14ac:dyDescent="0.3">
      <c r="A485" t="s">
        <v>176</v>
      </c>
      <c r="B485" t="s">
        <v>181</v>
      </c>
      <c r="C485" s="4" t="s">
        <v>24</v>
      </c>
      <c r="D485" s="1">
        <v>1241</v>
      </c>
      <c r="E485">
        <v>72</v>
      </c>
      <c r="F485">
        <v>44</v>
      </c>
      <c r="G485">
        <v>82</v>
      </c>
      <c r="H485">
        <v>129</v>
      </c>
      <c r="I485">
        <v>95</v>
      </c>
      <c r="J485">
        <v>343</v>
      </c>
      <c r="K485">
        <v>143</v>
      </c>
      <c r="L485">
        <v>24</v>
      </c>
      <c r="M485">
        <v>36</v>
      </c>
      <c r="N485">
        <v>71</v>
      </c>
      <c r="O485">
        <v>62</v>
      </c>
      <c r="P485">
        <v>60</v>
      </c>
      <c r="Q485">
        <v>42</v>
      </c>
      <c r="R485">
        <v>19</v>
      </c>
      <c r="S485">
        <v>9</v>
      </c>
      <c r="T485">
        <v>8</v>
      </c>
      <c r="U485">
        <v>2</v>
      </c>
    </row>
    <row r="486" spans="1:21" x14ac:dyDescent="0.3">
      <c r="A486" t="s">
        <v>176</v>
      </c>
      <c r="B486" t="s">
        <v>181</v>
      </c>
      <c r="C486" s="4" t="s">
        <v>25</v>
      </c>
      <c r="D486">
        <v>970</v>
      </c>
      <c r="E486">
        <v>46</v>
      </c>
      <c r="F486">
        <v>12</v>
      </c>
      <c r="G486">
        <v>54</v>
      </c>
      <c r="H486">
        <v>81</v>
      </c>
      <c r="I486">
        <v>71</v>
      </c>
      <c r="J486">
        <v>348</v>
      </c>
      <c r="K486">
        <v>116</v>
      </c>
      <c r="L486">
        <v>38</v>
      </c>
      <c r="M486">
        <v>23</v>
      </c>
      <c r="N486">
        <v>29</v>
      </c>
      <c r="O486">
        <v>53</v>
      </c>
      <c r="P486">
        <v>46</v>
      </c>
      <c r="Q486">
        <v>27</v>
      </c>
      <c r="R486">
        <v>18</v>
      </c>
      <c r="S486">
        <v>6</v>
      </c>
      <c r="T486">
        <v>2</v>
      </c>
    </row>
    <row r="487" spans="1:21" x14ac:dyDescent="0.3">
      <c r="A487" t="s">
        <v>176</v>
      </c>
      <c r="B487" t="s">
        <v>182</v>
      </c>
      <c r="C487" s="4" t="s">
        <v>21</v>
      </c>
      <c r="D487" s="1">
        <v>2065</v>
      </c>
      <c r="E487">
        <v>101</v>
      </c>
      <c r="F487">
        <v>79</v>
      </c>
      <c r="G487">
        <v>186</v>
      </c>
      <c r="H487">
        <v>142</v>
      </c>
      <c r="I487">
        <v>156</v>
      </c>
      <c r="J487">
        <v>529</v>
      </c>
      <c r="K487">
        <v>244</v>
      </c>
      <c r="L487">
        <v>121</v>
      </c>
      <c r="M487">
        <v>41</v>
      </c>
      <c r="N487">
        <v>51</v>
      </c>
      <c r="O487">
        <v>128</v>
      </c>
      <c r="P487">
        <v>114</v>
      </c>
      <c r="Q487">
        <v>88</v>
      </c>
      <c r="R487">
        <v>60</v>
      </c>
      <c r="S487">
        <v>7</v>
      </c>
      <c r="T487">
        <v>17</v>
      </c>
      <c r="U487">
        <v>1</v>
      </c>
    </row>
    <row r="488" spans="1:21" x14ac:dyDescent="0.3">
      <c r="A488" t="s">
        <v>176</v>
      </c>
      <c r="B488" t="s">
        <v>182</v>
      </c>
      <c r="C488" s="4" t="s">
        <v>24</v>
      </c>
      <c r="D488">
        <v>961</v>
      </c>
      <c r="E488">
        <v>41</v>
      </c>
      <c r="F488">
        <v>44</v>
      </c>
      <c r="G488">
        <v>87</v>
      </c>
      <c r="H488">
        <v>69</v>
      </c>
      <c r="I488">
        <v>73</v>
      </c>
      <c r="J488">
        <v>226</v>
      </c>
      <c r="K488">
        <v>94</v>
      </c>
      <c r="L488">
        <v>43</v>
      </c>
      <c r="M488">
        <v>21</v>
      </c>
      <c r="N488">
        <v>18</v>
      </c>
      <c r="O488">
        <v>55</v>
      </c>
      <c r="P488">
        <v>64</v>
      </c>
      <c r="Q488">
        <v>62</v>
      </c>
      <c r="R488">
        <v>48</v>
      </c>
      <c r="S488">
        <v>4</v>
      </c>
      <c r="T488">
        <v>11</v>
      </c>
      <c r="U488">
        <v>1</v>
      </c>
    </row>
    <row r="489" spans="1:21" x14ac:dyDescent="0.3">
      <c r="A489" t="s">
        <v>176</v>
      </c>
      <c r="B489" t="s">
        <v>182</v>
      </c>
      <c r="C489" s="4" t="s">
        <v>25</v>
      </c>
      <c r="D489" s="1">
        <v>1104</v>
      </c>
      <c r="E489">
        <v>60</v>
      </c>
      <c r="F489">
        <v>35</v>
      </c>
      <c r="G489">
        <v>99</v>
      </c>
      <c r="H489">
        <v>73</v>
      </c>
      <c r="I489">
        <v>83</v>
      </c>
      <c r="J489">
        <v>303</v>
      </c>
      <c r="K489">
        <v>150</v>
      </c>
      <c r="L489">
        <v>78</v>
      </c>
      <c r="M489">
        <v>20</v>
      </c>
      <c r="N489">
        <v>33</v>
      </c>
      <c r="O489">
        <v>73</v>
      </c>
      <c r="P489">
        <v>50</v>
      </c>
      <c r="Q489">
        <v>26</v>
      </c>
      <c r="R489">
        <v>12</v>
      </c>
      <c r="S489">
        <v>3</v>
      </c>
      <c r="T489">
        <v>6</v>
      </c>
    </row>
    <row r="490" spans="1:21" x14ac:dyDescent="0.3">
      <c r="A490" t="s">
        <v>176</v>
      </c>
      <c r="B490" t="s">
        <v>183</v>
      </c>
      <c r="C490" s="4" t="s">
        <v>21</v>
      </c>
      <c r="D490" s="1">
        <v>2022</v>
      </c>
      <c r="E490">
        <v>49</v>
      </c>
      <c r="F490">
        <v>65</v>
      </c>
      <c r="G490">
        <v>112</v>
      </c>
      <c r="H490">
        <v>128</v>
      </c>
      <c r="I490">
        <v>158</v>
      </c>
      <c r="J490">
        <v>346</v>
      </c>
      <c r="K490">
        <v>234</v>
      </c>
      <c r="L490">
        <v>92</v>
      </c>
      <c r="M490">
        <v>96</v>
      </c>
      <c r="N490">
        <v>75</v>
      </c>
      <c r="O490">
        <v>125</v>
      </c>
      <c r="P490">
        <v>247</v>
      </c>
      <c r="Q490">
        <v>119</v>
      </c>
      <c r="R490">
        <v>52</v>
      </c>
      <c r="S490">
        <v>31</v>
      </c>
      <c r="T490">
        <v>71</v>
      </c>
      <c r="U490">
        <v>22</v>
      </c>
    </row>
    <row r="491" spans="1:21" x14ac:dyDescent="0.3">
      <c r="A491" t="s">
        <v>176</v>
      </c>
      <c r="B491" t="s">
        <v>183</v>
      </c>
      <c r="C491" s="4" t="s">
        <v>24</v>
      </c>
      <c r="D491" s="1">
        <v>1423</v>
      </c>
      <c r="E491">
        <v>37</v>
      </c>
      <c r="F491">
        <v>50</v>
      </c>
      <c r="G491">
        <v>78</v>
      </c>
      <c r="H491">
        <v>96</v>
      </c>
      <c r="I491">
        <v>93</v>
      </c>
      <c r="J491">
        <v>210</v>
      </c>
      <c r="K491">
        <v>138</v>
      </c>
      <c r="L491">
        <v>63</v>
      </c>
      <c r="M491">
        <v>72</v>
      </c>
      <c r="N491">
        <v>51</v>
      </c>
      <c r="O491">
        <v>92</v>
      </c>
      <c r="P491">
        <v>201</v>
      </c>
      <c r="Q491">
        <v>99</v>
      </c>
      <c r="R491">
        <v>37</v>
      </c>
      <c r="S491">
        <v>21</v>
      </c>
      <c r="T491">
        <v>64</v>
      </c>
      <c r="U491">
        <v>21</v>
      </c>
    </row>
    <row r="492" spans="1:21" x14ac:dyDescent="0.3">
      <c r="A492" t="s">
        <v>176</v>
      </c>
      <c r="B492" t="s">
        <v>183</v>
      </c>
      <c r="C492" s="4" t="s">
        <v>25</v>
      </c>
      <c r="D492">
        <v>599</v>
      </c>
      <c r="E492">
        <v>12</v>
      </c>
      <c r="F492">
        <v>15</v>
      </c>
      <c r="G492">
        <v>34</v>
      </c>
      <c r="H492">
        <v>32</v>
      </c>
      <c r="I492">
        <v>65</v>
      </c>
      <c r="J492">
        <v>136</v>
      </c>
      <c r="K492">
        <v>96</v>
      </c>
      <c r="L492">
        <v>29</v>
      </c>
      <c r="M492">
        <v>24</v>
      </c>
      <c r="N492">
        <v>24</v>
      </c>
      <c r="O492">
        <v>33</v>
      </c>
      <c r="P492">
        <v>46</v>
      </c>
      <c r="Q492">
        <v>20</v>
      </c>
      <c r="R492">
        <v>15</v>
      </c>
      <c r="S492">
        <v>10</v>
      </c>
      <c r="T492">
        <v>7</v>
      </c>
      <c r="U492">
        <v>1</v>
      </c>
    </row>
    <row r="493" spans="1:21" x14ac:dyDescent="0.3">
      <c r="A493" t="s">
        <v>176</v>
      </c>
      <c r="B493" t="s">
        <v>184</v>
      </c>
      <c r="C493" s="4" t="s">
        <v>21</v>
      </c>
      <c r="D493" s="1">
        <v>1842</v>
      </c>
      <c r="E493">
        <v>87</v>
      </c>
      <c r="F493">
        <v>40</v>
      </c>
      <c r="G493">
        <v>84</v>
      </c>
      <c r="H493">
        <v>105</v>
      </c>
      <c r="I493">
        <v>133</v>
      </c>
      <c r="J493">
        <v>275</v>
      </c>
      <c r="K493">
        <v>195</v>
      </c>
      <c r="L493">
        <v>126</v>
      </c>
      <c r="M493">
        <v>140</v>
      </c>
      <c r="N493">
        <v>214</v>
      </c>
      <c r="O493">
        <v>97</v>
      </c>
      <c r="P493">
        <v>112</v>
      </c>
      <c r="Q493">
        <v>102</v>
      </c>
      <c r="R493">
        <v>43</v>
      </c>
      <c r="S493">
        <v>26</v>
      </c>
      <c r="T493">
        <v>54</v>
      </c>
      <c r="U493">
        <v>9</v>
      </c>
    </row>
    <row r="494" spans="1:21" x14ac:dyDescent="0.3">
      <c r="A494" t="s">
        <v>176</v>
      </c>
      <c r="B494" t="s">
        <v>184</v>
      </c>
      <c r="C494" s="4" t="s">
        <v>24</v>
      </c>
      <c r="D494" s="1">
        <v>1434</v>
      </c>
      <c r="E494">
        <v>79</v>
      </c>
      <c r="F494">
        <v>35</v>
      </c>
      <c r="G494">
        <v>59</v>
      </c>
      <c r="H494">
        <v>80</v>
      </c>
      <c r="I494">
        <v>87</v>
      </c>
      <c r="J494">
        <v>198</v>
      </c>
      <c r="K494">
        <v>123</v>
      </c>
      <c r="L494">
        <v>92</v>
      </c>
      <c r="M494">
        <v>118</v>
      </c>
      <c r="N494">
        <v>193</v>
      </c>
      <c r="O494">
        <v>72</v>
      </c>
      <c r="P494">
        <v>97</v>
      </c>
      <c r="Q494">
        <v>79</v>
      </c>
      <c r="R494">
        <v>42</v>
      </c>
      <c r="S494">
        <v>24</v>
      </c>
      <c r="T494">
        <v>47</v>
      </c>
      <c r="U494">
        <v>9</v>
      </c>
    </row>
    <row r="495" spans="1:21" x14ac:dyDescent="0.3">
      <c r="A495" t="s">
        <v>176</v>
      </c>
      <c r="B495" t="s">
        <v>184</v>
      </c>
      <c r="C495" s="4" t="s">
        <v>25</v>
      </c>
      <c r="D495">
        <v>408</v>
      </c>
      <c r="E495">
        <v>8</v>
      </c>
      <c r="F495">
        <v>5</v>
      </c>
      <c r="G495">
        <v>25</v>
      </c>
      <c r="H495">
        <v>25</v>
      </c>
      <c r="I495">
        <v>46</v>
      </c>
      <c r="J495">
        <v>77</v>
      </c>
      <c r="K495">
        <v>72</v>
      </c>
      <c r="L495">
        <v>34</v>
      </c>
      <c r="M495">
        <v>22</v>
      </c>
      <c r="N495">
        <v>21</v>
      </c>
      <c r="O495">
        <v>25</v>
      </c>
      <c r="P495">
        <v>15</v>
      </c>
      <c r="Q495">
        <v>23</v>
      </c>
      <c r="R495">
        <v>1</v>
      </c>
      <c r="S495">
        <v>2</v>
      </c>
      <c r="T495">
        <v>7</v>
      </c>
    </row>
    <row r="496" spans="1:21" x14ac:dyDescent="0.3">
      <c r="A496" t="s">
        <v>176</v>
      </c>
      <c r="B496" t="s">
        <v>185</v>
      </c>
      <c r="C496" s="4" t="s">
        <v>21</v>
      </c>
      <c r="D496" s="1">
        <v>1599</v>
      </c>
      <c r="E496">
        <v>194</v>
      </c>
      <c r="F496">
        <v>58</v>
      </c>
      <c r="G496">
        <v>126</v>
      </c>
      <c r="H496">
        <v>95</v>
      </c>
      <c r="I496">
        <v>138</v>
      </c>
      <c r="J496">
        <v>265</v>
      </c>
      <c r="K496">
        <v>108</v>
      </c>
      <c r="L496">
        <v>48</v>
      </c>
      <c r="M496">
        <v>75</v>
      </c>
      <c r="N496">
        <v>81</v>
      </c>
      <c r="O496">
        <v>80</v>
      </c>
      <c r="P496">
        <v>168</v>
      </c>
      <c r="Q496">
        <v>75</v>
      </c>
      <c r="R496">
        <v>41</v>
      </c>
      <c r="S496">
        <v>17</v>
      </c>
      <c r="T496">
        <v>23</v>
      </c>
      <c r="U496">
        <v>7</v>
      </c>
    </row>
    <row r="497" spans="1:21" x14ac:dyDescent="0.3">
      <c r="A497" t="s">
        <v>176</v>
      </c>
      <c r="B497" t="s">
        <v>185</v>
      </c>
      <c r="C497" s="4" t="s">
        <v>24</v>
      </c>
      <c r="D497" s="1">
        <v>1154</v>
      </c>
      <c r="E497">
        <v>188</v>
      </c>
      <c r="F497">
        <v>48</v>
      </c>
      <c r="G497">
        <v>87</v>
      </c>
      <c r="H497">
        <v>70</v>
      </c>
      <c r="I497">
        <v>109</v>
      </c>
      <c r="J497">
        <v>183</v>
      </c>
      <c r="K497">
        <v>77</v>
      </c>
      <c r="L497">
        <v>28</v>
      </c>
      <c r="M497">
        <v>44</v>
      </c>
      <c r="N497">
        <v>47</v>
      </c>
      <c r="O497">
        <v>52</v>
      </c>
      <c r="P497">
        <v>120</v>
      </c>
      <c r="Q497">
        <v>46</v>
      </c>
      <c r="R497">
        <v>25</v>
      </c>
      <c r="S497">
        <v>12</v>
      </c>
      <c r="T497">
        <v>14</v>
      </c>
      <c r="U497">
        <v>4</v>
      </c>
    </row>
    <row r="498" spans="1:21" x14ac:dyDescent="0.3">
      <c r="A498" t="s">
        <v>176</v>
      </c>
      <c r="B498" t="s">
        <v>185</v>
      </c>
      <c r="C498" s="4" t="s">
        <v>25</v>
      </c>
      <c r="D498">
        <v>445</v>
      </c>
      <c r="E498">
        <v>6</v>
      </c>
      <c r="F498">
        <v>10</v>
      </c>
      <c r="G498">
        <v>39</v>
      </c>
      <c r="H498">
        <v>25</v>
      </c>
      <c r="I498">
        <v>29</v>
      </c>
      <c r="J498">
        <v>82</v>
      </c>
      <c r="K498">
        <v>31</v>
      </c>
      <c r="L498">
        <v>20</v>
      </c>
      <c r="M498">
        <v>31</v>
      </c>
      <c r="N498">
        <v>34</v>
      </c>
      <c r="O498">
        <v>28</v>
      </c>
      <c r="P498">
        <v>48</v>
      </c>
      <c r="Q498">
        <v>29</v>
      </c>
      <c r="R498">
        <v>16</v>
      </c>
      <c r="S498">
        <v>5</v>
      </c>
      <c r="T498">
        <v>9</v>
      </c>
      <c r="U498">
        <v>3</v>
      </c>
    </row>
    <row r="499" spans="1:21" x14ac:dyDescent="0.3">
      <c r="A499" t="s">
        <v>176</v>
      </c>
      <c r="B499" t="s">
        <v>186</v>
      </c>
      <c r="C499" s="4" t="s">
        <v>21</v>
      </c>
      <c r="D499" s="1">
        <v>1529</v>
      </c>
      <c r="E499">
        <v>199</v>
      </c>
      <c r="F499">
        <v>46</v>
      </c>
      <c r="G499">
        <v>62</v>
      </c>
      <c r="H499">
        <v>99</v>
      </c>
      <c r="I499">
        <v>139</v>
      </c>
      <c r="J499">
        <v>383</v>
      </c>
      <c r="K499">
        <v>168</v>
      </c>
      <c r="L499">
        <v>37</v>
      </c>
      <c r="M499">
        <v>44</v>
      </c>
      <c r="N499">
        <v>81</v>
      </c>
      <c r="O499">
        <v>61</v>
      </c>
      <c r="P499">
        <v>67</v>
      </c>
      <c r="Q499">
        <v>87</v>
      </c>
      <c r="R499">
        <v>40</v>
      </c>
      <c r="S499">
        <v>10</v>
      </c>
      <c r="T499">
        <v>6</v>
      </c>
    </row>
    <row r="500" spans="1:21" x14ac:dyDescent="0.3">
      <c r="A500" t="s">
        <v>176</v>
      </c>
      <c r="B500" t="s">
        <v>186</v>
      </c>
      <c r="C500" s="4" t="s">
        <v>24</v>
      </c>
      <c r="D500" s="1">
        <v>1126</v>
      </c>
      <c r="E500">
        <v>198</v>
      </c>
      <c r="F500">
        <v>45</v>
      </c>
      <c r="G500">
        <v>48</v>
      </c>
      <c r="H500">
        <v>74</v>
      </c>
      <c r="I500">
        <v>96</v>
      </c>
      <c r="J500">
        <v>264</v>
      </c>
      <c r="K500">
        <v>98</v>
      </c>
      <c r="L500">
        <v>24</v>
      </c>
      <c r="M500">
        <v>26</v>
      </c>
      <c r="N500">
        <v>62</v>
      </c>
      <c r="O500">
        <v>36</v>
      </c>
      <c r="P500">
        <v>48</v>
      </c>
      <c r="Q500">
        <v>57</v>
      </c>
      <c r="R500">
        <v>38</v>
      </c>
      <c r="S500">
        <v>8</v>
      </c>
      <c r="T500">
        <v>4</v>
      </c>
    </row>
    <row r="501" spans="1:21" x14ac:dyDescent="0.3">
      <c r="A501" t="s">
        <v>176</v>
      </c>
      <c r="B501" t="s">
        <v>186</v>
      </c>
      <c r="C501" s="4" t="s">
        <v>25</v>
      </c>
      <c r="D501">
        <v>403</v>
      </c>
      <c r="E501">
        <v>1</v>
      </c>
      <c r="F501">
        <v>1</v>
      </c>
      <c r="G501">
        <v>14</v>
      </c>
      <c r="H501">
        <v>25</v>
      </c>
      <c r="I501">
        <v>43</v>
      </c>
      <c r="J501">
        <v>119</v>
      </c>
      <c r="K501">
        <v>70</v>
      </c>
      <c r="L501">
        <v>13</v>
      </c>
      <c r="M501">
        <v>18</v>
      </c>
      <c r="N501">
        <v>19</v>
      </c>
      <c r="O501">
        <v>25</v>
      </c>
      <c r="P501">
        <v>19</v>
      </c>
      <c r="Q501">
        <v>30</v>
      </c>
      <c r="R501">
        <v>2</v>
      </c>
      <c r="S501">
        <v>2</v>
      </c>
      <c r="T501">
        <v>2</v>
      </c>
    </row>
    <row r="502" spans="1:21" x14ac:dyDescent="0.3">
      <c r="A502" t="s">
        <v>176</v>
      </c>
      <c r="B502" t="s">
        <v>187</v>
      </c>
      <c r="C502" s="4" t="s">
        <v>21</v>
      </c>
      <c r="D502" s="1">
        <v>1184</v>
      </c>
      <c r="E502">
        <v>33</v>
      </c>
      <c r="F502">
        <v>13</v>
      </c>
      <c r="G502">
        <v>39</v>
      </c>
      <c r="H502">
        <v>67</v>
      </c>
      <c r="I502">
        <v>69</v>
      </c>
      <c r="J502">
        <v>306</v>
      </c>
      <c r="K502">
        <v>218</v>
      </c>
      <c r="L502">
        <v>57</v>
      </c>
      <c r="M502">
        <v>83</v>
      </c>
      <c r="N502">
        <v>49</v>
      </c>
      <c r="O502">
        <v>74</v>
      </c>
      <c r="P502">
        <v>88</v>
      </c>
      <c r="Q502">
        <v>56</v>
      </c>
      <c r="R502">
        <v>13</v>
      </c>
      <c r="S502">
        <v>6</v>
      </c>
      <c r="T502">
        <v>13</v>
      </c>
    </row>
    <row r="503" spans="1:21" x14ac:dyDescent="0.3">
      <c r="A503" t="s">
        <v>176</v>
      </c>
      <c r="B503" t="s">
        <v>187</v>
      </c>
      <c r="C503" s="4" t="s">
        <v>24</v>
      </c>
      <c r="D503">
        <v>671</v>
      </c>
      <c r="E503">
        <v>22</v>
      </c>
      <c r="F503">
        <v>10</v>
      </c>
      <c r="G503">
        <v>25</v>
      </c>
      <c r="H503">
        <v>52</v>
      </c>
      <c r="I503">
        <v>50</v>
      </c>
      <c r="J503">
        <v>180</v>
      </c>
      <c r="K503">
        <v>96</v>
      </c>
      <c r="L503">
        <v>28</v>
      </c>
      <c r="M503">
        <v>56</v>
      </c>
      <c r="N503">
        <v>21</v>
      </c>
      <c r="O503">
        <v>29</v>
      </c>
      <c r="P503">
        <v>53</v>
      </c>
      <c r="Q503">
        <v>28</v>
      </c>
      <c r="R503">
        <v>10</v>
      </c>
      <c r="S503">
        <v>3</v>
      </c>
      <c r="T503">
        <v>8</v>
      </c>
    </row>
    <row r="504" spans="1:21" x14ac:dyDescent="0.3">
      <c r="A504" t="s">
        <v>176</v>
      </c>
      <c r="B504" t="s">
        <v>187</v>
      </c>
      <c r="C504" s="4" t="s">
        <v>25</v>
      </c>
      <c r="D504">
        <v>513</v>
      </c>
      <c r="E504">
        <v>11</v>
      </c>
      <c r="F504">
        <v>3</v>
      </c>
      <c r="G504">
        <v>14</v>
      </c>
      <c r="H504">
        <v>15</v>
      </c>
      <c r="I504">
        <v>19</v>
      </c>
      <c r="J504">
        <v>126</v>
      </c>
      <c r="K504">
        <v>122</v>
      </c>
      <c r="L504">
        <v>29</v>
      </c>
      <c r="M504">
        <v>27</v>
      </c>
      <c r="N504">
        <v>28</v>
      </c>
      <c r="O504">
        <v>45</v>
      </c>
      <c r="P504">
        <v>35</v>
      </c>
      <c r="Q504">
        <v>28</v>
      </c>
      <c r="R504">
        <v>3</v>
      </c>
      <c r="S504">
        <v>3</v>
      </c>
      <c r="T504">
        <v>5</v>
      </c>
    </row>
    <row r="505" spans="1:21" x14ac:dyDescent="0.3">
      <c r="A505" t="s">
        <v>176</v>
      </c>
      <c r="B505" t="s">
        <v>188</v>
      </c>
      <c r="C505" s="4" t="s">
        <v>21</v>
      </c>
      <c r="D505" s="1">
        <v>1027</v>
      </c>
      <c r="E505">
        <v>195</v>
      </c>
      <c r="F505">
        <v>60</v>
      </c>
      <c r="G505">
        <v>93</v>
      </c>
      <c r="H505">
        <v>93</v>
      </c>
      <c r="I505">
        <v>105</v>
      </c>
      <c r="J505">
        <v>286</v>
      </c>
      <c r="K505">
        <v>145</v>
      </c>
      <c r="L505">
        <v>15</v>
      </c>
      <c r="M505">
        <v>6</v>
      </c>
      <c r="N505">
        <v>3</v>
      </c>
      <c r="O505">
        <v>7</v>
      </c>
      <c r="P505">
        <v>17</v>
      </c>
      <c r="Q505">
        <v>1</v>
      </c>
      <c r="T505">
        <v>1</v>
      </c>
    </row>
    <row r="506" spans="1:21" x14ac:dyDescent="0.3">
      <c r="A506" t="s">
        <v>176</v>
      </c>
      <c r="B506" t="s">
        <v>188</v>
      </c>
      <c r="C506" s="4" t="s">
        <v>24</v>
      </c>
      <c r="D506">
        <v>483</v>
      </c>
      <c r="E506">
        <v>105</v>
      </c>
      <c r="F506">
        <v>33</v>
      </c>
      <c r="G506">
        <v>48</v>
      </c>
      <c r="H506">
        <v>48</v>
      </c>
      <c r="I506">
        <v>53</v>
      </c>
      <c r="J506">
        <v>113</v>
      </c>
      <c r="K506">
        <v>62</v>
      </c>
      <c r="L506">
        <v>9</v>
      </c>
      <c r="M506">
        <v>2</v>
      </c>
      <c r="N506">
        <v>1</v>
      </c>
      <c r="O506">
        <v>1</v>
      </c>
      <c r="P506">
        <v>6</v>
      </c>
      <c r="Q506">
        <v>1</v>
      </c>
      <c r="T506">
        <v>1</v>
      </c>
    </row>
    <row r="507" spans="1:21" x14ac:dyDescent="0.3">
      <c r="A507" t="s">
        <v>176</v>
      </c>
      <c r="B507" t="s">
        <v>188</v>
      </c>
      <c r="C507" s="4" t="s">
        <v>25</v>
      </c>
      <c r="D507">
        <v>544</v>
      </c>
      <c r="E507">
        <v>90</v>
      </c>
      <c r="F507">
        <v>27</v>
      </c>
      <c r="G507">
        <v>45</v>
      </c>
      <c r="H507">
        <v>45</v>
      </c>
      <c r="I507">
        <v>52</v>
      </c>
      <c r="J507">
        <v>173</v>
      </c>
      <c r="K507">
        <v>83</v>
      </c>
      <c r="L507">
        <v>6</v>
      </c>
      <c r="M507">
        <v>4</v>
      </c>
      <c r="N507">
        <v>2</v>
      </c>
      <c r="O507">
        <v>6</v>
      </c>
      <c r="P507">
        <v>11</v>
      </c>
    </row>
    <row r="508" spans="1:21" x14ac:dyDescent="0.3">
      <c r="A508" t="s">
        <v>176</v>
      </c>
      <c r="B508" t="s">
        <v>189</v>
      </c>
      <c r="C508" s="4" t="s">
        <v>21</v>
      </c>
      <c r="D508">
        <v>899</v>
      </c>
      <c r="E508">
        <v>23</v>
      </c>
      <c r="F508">
        <v>16</v>
      </c>
      <c r="G508">
        <v>38</v>
      </c>
      <c r="H508">
        <v>51</v>
      </c>
      <c r="I508">
        <v>61</v>
      </c>
      <c r="J508">
        <v>218</v>
      </c>
      <c r="K508">
        <v>173</v>
      </c>
      <c r="L508">
        <v>18</v>
      </c>
      <c r="M508">
        <v>50</v>
      </c>
      <c r="N508">
        <v>35</v>
      </c>
      <c r="O508">
        <v>50</v>
      </c>
      <c r="P508">
        <v>51</v>
      </c>
      <c r="Q508">
        <v>56</v>
      </c>
      <c r="R508">
        <v>27</v>
      </c>
      <c r="S508">
        <v>6</v>
      </c>
      <c r="T508">
        <v>22</v>
      </c>
      <c r="U508">
        <v>4</v>
      </c>
    </row>
    <row r="509" spans="1:21" x14ac:dyDescent="0.3">
      <c r="A509" t="s">
        <v>176</v>
      </c>
      <c r="B509" t="s">
        <v>189</v>
      </c>
      <c r="C509" s="4" t="s">
        <v>24</v>
      </c>
      <c r="D509">
        <v>542</v>
      </c>
      <c r="E509">
        <v>7</v>
      </c>
      <c r="F509">
        <v>13</v>
      </c>
      <c r="G509">
        <v>23</v>
      </c>
      <c r="H509">
        <v>35</v>
      </c>
      <c r="I509">
        <v>37</v>
      </c>
      <c r="J509">
        <v>123</v>
      </c>
      <c r="K509">
        <v>102</v>
      </c>
      <c r="L509">
        <v>14</v>
      </c>
      <c r="M509">
        <v>28</v>
      </c>
      <c r="N509">
        <v>23</v>
      </c>
      <c r="O509">
        <v>36</v>
      </c>
      <c r="P509">
        <v>29</v>
      </c>
      <c r="Q509">
        <v>35</v>
      </c>
      <c r="R509">
        <v>16</v>
      </c>
      <c r="S509">
        <v>4</v>
      </c>
      <c r="T509">
        <v>14</v>
      </c>
      <c r="U509">
        <v>3</v>
      </c>
    </row>
    <row r="510" spans="1:21" x14ac:dyDescent="0.3">
      <c r="A510" t="s">
        <v>176</v>
      </c>
      <c r="B510" t="s">
        <v>189</v>
      </c>
      <c r="C510" s="4" t="s">
        <v>25</v>
      </c>
      <c r="D510">
        <v>357</v>
      </c>
      <c r="E510">
        <v>16</v>
      </c>
      <c r="F510">
        <v>3</v>
      </c>
      <c r="G510">
        <v>15</v>
      </c>
      <c r="H510">
        <v>16</v>
      </c>
      <c r="I510">
        <v>24</v>
      </c>
      <c r="J510">
        <v>95</v>
      </c>
      <c r="K510">
        <v>71</v>
      </c>
      <c r="L510">
        <v>4</v>
      </c>
      <c r="M510">
        <v>22</v>
      </c>
      <c r="N510">
        <v>12</v>
      </c>
      <c r="O510">
        <v>14</v>
      </c>
      <c r="P510">
        <v>22</v>
      </c>
      <c r="Q510">
        <v>21</v>
      </c>
      <c r="R510">
        <v>11</v>
      </c>
      <c r="S510">
        <v>2</v>
      </c>
      <c r="T510">
        <v>8</v>
      </c>
      <c r="U510">
        <v>1</v>
      </c>
    </row>
    <row r="511" spans="1:21" x14ac:dyDescent="0.3">
      <c r="A511" t="s">
        <v>176</v>
      </c>
      <c r="B511" t="s">
        <v>190</v>
      </c>
      <c r="C511" s="4" t="s">
        <v>21</v>
      </c>
      <c r="D511">
        <v>645</v>
      </c>
      <c r="E511">
        <v>18</v>
      </c>
      <c r="F511">
        <v>3</v>
      </c>
      <c r="G511">
        <v>23</v>
      </c>
      <c r="H511">
        <v>18</v>
      </c>
      <c r="I511">
        <v>26</v>
      </c>
      <c r="J511">
        <v>95</v>
      </c>
      <c r="K511">
        <v>119</v>
      </c>
      <c r="L511">
        <v>12</v>
      </c>
      <c r="M511">
        <v>31</v>
      </c>
      <c r="N511">
        <v>33</v>
      </c>
      <c r="O511">
        <v>52</v>
      </c>
      <c r="P511">
        <v>55</v>
      </c>
      <c r="Q511">
        <v>103</v>
      </c>
      <c r="R511">
        <v>42</v>
      </c>
      <c r="S511">
        <v>12</v>
      </c>
      <c r="T511">
        <v>3</v>
      </c>
    </row>
    <row r="512" spans="1:21" x14ac:dyDescent="0.3">
      <c r="A512" t="s">
        <v>176</v>
      </c>
      <c r="B512" t="s">
        <v>190</v>
      </c>
      <c r="C512" s="4" t="s">
        <v>24</v>
      </c>
      <c r="D512">
        <v>464</v>
      </c>
      <c r="E512">
        <v>14</v>
      </c>
      <c r="F512">
        <v>2</v>
      </c>
      <c r="G512">
        <v>17</v>
      </c>
      <c r="H512">
        <v>16</v>
      </c>
      <c r="I512">
        <v>21</v>
      </c>
      <c r="J512">
        <v>65</v>
      </c>
      <c r="K512">
        <v>91</v>
      </c>
      <c r="L512">
        <v>10</v>
      </c>
      <c r="M512">
        <v>24</v>
      </c>
      <c r="N512">
        <v>19</v>
      </c>
      <c r="O512">
        <v>27</v>
      </c>
      <c r="P512">
        <v>39</v>
      </c>
      <c r="Q512">
        <v>82</v>
      </c>
      <c r="R512">
        <v>28</v>
      </c>
      <c r="S512">
        <v>9</v>
      </c>
    </row>
    <row r="513" spans="1:21" x14ac:dyDescent="0.3">
      <c r="A513" t="s">
        <v>176</v>
      </c>
      <c r="B513" t="s">
        <v>190</v>
      </c>
      <c r="C513" s="4" t="s">
        <v>25</v>
      </c>
      <c r="D513">
        <v>181</v>
      </c>
      <c r="E513">
        <v>4</v>
      </c>
      <c r="F513">
        <v>1</v>
      </c>
      <c r="G513">
        <v>6</v>
      </c>
      <c r="H513">
        <v>2</v>
      </c>
      <c r="I513">
        <v>5</v>
      </c>
      <c r="J513">
        <v>30</v>
      </c>
      <c r="K513">
        <v>28</v>
      </c>
      <c r="L513">
        <v>2</v>
      </c>
      <c r="M513">
        <v>7</v>
      </c>
      <c r="N513">
        <v>14</v>
      </c>
      <c r="O513">
        <v>25</v>
      </c>
      <c r="P513">
        <v>16</v>
      </c>
      <c r="Q513">
        <v>21</v>
      </c>
      <c r="R513">
        <v>14</v>
      </c>
      <c r="S513">
        <v>3</v>
      </c>
      <c r="T513">
        <v>3</v>
      </c>
    </row>
    <row r="514" spans="1:21" x14ac:dyDescent="0.3">
      <c r="A514" t="s">
        <v>176</v>
      </c>
      <c r="B514" t="s">
        <v>191</v>
      </c>
      <c r="C514" s="4" t="s">
        <v>21</v>
      </c>
      <c r="D514">
        <v>598</v>
      </c>
      <c r="E514">
        <v>2</v>
      </c>
      <c r="F514">
        <v>10</v>
      </c>
      <c r="G514">
        <v>19</v>
      </c>
      <c r="H514">
        <v>29</v>
      </c>
      <c r="I514">
        <v>50</v>
      </c>
      <c r="J514">
        <v>189</v>
      </c>
      <c r="K514">
        <v>165</v>
      </c>
      <c r="L514">
        <v>28</v>
      </c>
      <c r="M514">
        <v>26</v>
      </c>
      <c r="N514">
        <v>18</v>
      </c>
      <c r="O514">
        <v>22</v>
      </c>
      <c r="P514">
        <v>21</v>
      </c>
      <c r="Q514">
        <v>8</v>
      </c>
      <c r="R514">
        <v>4</v>
      </c>
      <c r="S514">
        <v>4</v>
      </c>
      <c r="T514">
        <v>3</v>
      </c>
    </row>
    <row r="515" spans="1:21" x14ac:dyDescent="0.3">
      <c r="A515" t="s">
        <v>176</v>
      </c>
      <c r="B515" t="s">
        <v>191</v>
      </c>
      <c r="C515" s="4" t="s">
        <v>24</v>
      </c>
      <c r="D515">
        <v>388</v>
      </c>
      <c r="E515">
        <v>2</v>
      </c>
      <c r="F515">
        <v>9</v>
      </c>
      <c r="G515">
        <v>15</v>
      </c>
      <c r="H515">
        <v>16</v>
      </c>
      <c r="I515">
        <v>38</v>
      </c>
      <c r="J515">
        <v>124</v>
      </c>
      <c r="K515">
        <v>90</v>
      </c>
      <c r="L515">
        <v>23</v>
      </c>
      <c r="M515">
        <v>19</v>
      </c>
      <c r="N515">
        <v>13</v>
      </c>
      <c r="O515">
        <v>12</v>
      </c>
      <c r="P515">
        <v>13</v>
      </c>
      <c r="Q515">
        <v>7</v>
      </c>
      <c r="R515">
        <v>3</v>
      </c>
      <c r="S515">
        <v>3</v>
      </c>
      <c r="T515">
        <v>1</v>
      </c>
    </row>
    <row r="516" spans="1:21" x14ac:dyDescent="0.3">
      <c r="A516" t="s">
        <v>176</v>
      </c>
      <c r="B516" t="s">
        <v>191</v>
      </c>
      <c r="C516" s="4" t="s">
        <v>25</v>
      </c>
      <c r="D516">
        <v>210</v>
      </c>
      <c r="F516">
        <v>1</v>
      </c>
      <c r="G516">
        <v>4</v>
      </c>
      <c r="H516">
        <v>13</v>
      </c>
      <c r="I516">
        <v>12</v>
      </c>
      <c r="J516">
        <v>65</v>
      </c>
      <c r="K516">
        <v>75</v>
      </c>
      <c r="L516">
        <v>5</v>
      </c>
      <c r="M516">
        <v>7</v>
      </c>
      <c r="N516">
        <v>5</v>
      </c>
      <c r="O516">
        <v>10</v>
      </c>
      <c r="P516">
        <v>8</v>
      </c>
      <c r="Q516">
        <v>1</v>
      </c>
      <c r="R516">
        <v>1</v>
      </c>
      <c r="S516">
        <v>1</v>
      </c>
      <c r="T516">
        <v>2</v>
      </c>
    </row>
    <row r="517" spans="1:21" x14ac:dyDescent="0.3">
      <c r="A517" t="s">
        <v>176</v>
      </c>
      <c r="B517" t="s">
        <v>192</v>
      </c>
      <c r="C517" s="4" t="s">
        <v>21</v>
      </c>
      <c r="D517">
        <v>556</v>
      </c>
      <c r="E517">
        <v>93</v>
      </c>
      <c r="F517">
        <v>11</v>
      </c>
      <c r="G517">
        <v>23</v>
      </c>
      <c r="H517">
        <v>24</v>
      </c>
      <c r="I517">
        <v>27</v>
      </c>
      <c r="J517">
        <v>148</v>
      </c>
      <c r="K517">
        <v>132</v>
      </c>
      <c r="L517">
        <v>14</v>
      </c>
      <c r="M517">
        <v>9</v>
      </c>
      <c r="N517">
        <v>18</v>
      </c>
      <c r="O517">
        <v>14</v>
      </c>
      <c r="P517">
        <v>18</v>
      </c>
      <c r="Q517">
        <v>19</v>
      </c>
      <c r="R517">
        <v>3</v>
      </c>
      <c r="S517">
        <v>1</v>
      </c>
      <c r="T517">
        <v>1</v>
      </c>
      <c r="U517">
        <v>1</v>
      </c>
    </row>
    <row r="518" spans="1:21" x14ac:dyDescent="0.3">
      <c r="A518" t="s">
        <v>176</v>
      </c>
      <c r="B518" t="s">
        <v>192</v>
      </c>
      <c r="C518" s="4" t="s">
        <v>24</v>
      </c>
      <c r="D518">
        <v>303</v>
      </c>
      <c r="E518">
        <v>58</v>
      </c>
      <c r="F518">
        <v>9</v>
      </c>
      <c r="G518">
        <v>13</v>
      </c>
      <c r="H518">
        <v>10</v>
      </c>
      <c r="I518">
        <v>13</v>
      </c>
      <c r="J518">
        <v>87</v>
      </c>
      <c r="K518">
        <v>61</v>
      </c>
      <c r="L518">
        <v>8</v>
      </c>
      <c r="M518">
        <v>6</v>
      </c>
      <c r="N518">
        <v>12</v>
      </c>
      <c r="O518">
        <v>9</v>
      </c>
      <c r="P518">
        <v>5</v>
      </c>
      <c r="Q518">
        <v>9</v>
      </c>
      <c r="R518">
        <v>2</v>
      </c>
      <c r="S518">
        <v>1</v>
      </c>
    </row>
    <row r="519" spans="1:21" x14ac:dyDescent="0.3">
      <c r="A519" t="s">
        <v>176</v>
      </c>
      <c r="B519" t="s">
        <v>192</v>
      </c>
      <c r="C519" s="4" t="s">
        <v>25</v>
      </c>
      <c r="D519">
        <v>253</v>
      </c>
      <c r="E519">
        <v>35</v>
      </c>
      <c r="F519">
        <v>2</v>
      </c>
      <c r="G519">
        <v>10</v>
      </c>
      <c r="H519">
        <v>14</v>
      </c>
      <c r="I519">
        <v>14</v>
      </c>
      <c r="J519">
        <v>61</v>
      </c>
      <c r="K519">
        <v>71</v>
      </c>
      <c r="L519">
        <v>6</v>
      </c>
      <c r="M519">
        <v>3</v>
      </c>
      <c r="N519">
        <v>6</v>
      </c>
      <c r="O519">
        <v>5</v>
      </c>
      <c r="P519">
        <v>13</v>
      </c>
      <c r="Q519">
        <v>10</v>
      </c>
      <c r="R519">
        <v>1</v>
      </c>
      <c r="T519">
        <v>1</v>
      </c>
      <c r="U519">
        <v>1</v>
      </c>
    </row>
    <row r="520" spans="1:21" x14ac:dyDescent="0.3">
      <c r="A520" t="s">
        <v>176</v>
      </c>
      <c r="B520" t="s">
        <v>193</v>
      </c>
      <c r="C520" s="4" t="s">
        <v>21</v>
      </c>
      <c r="D520">
        <v>538</v>
      </c>
      <c r="E520">
        <v>2</v>
      </c>
      <c r="F520">
        <v>10</v>
      </c>
      <c r="G520">
        <v>24</v>
      </c>
      <c r="H520">
        <v>34</v>
      </c>
      <c r="I520">
        <v>36</v>
      </c>
      <c r="J520">
        <v>150</v>
      </c>
      <c r="K520">
        <v>105</v>
      </c>
      <c r="L520">
        <v>32</v>
      </c>
      <c r="M520">
        <v>26</v>
      </c>
      <c r="N520">
        <v>17</v>
      </c>
      <c r="O520">
        <v>29</v>
      </c>
      <c r="P520">
        <v>27</v>
      </c>
      <c r="Q520">
        <v>22</v>
      </c>
      <c r="R520">
        <v>10</v>
      </c>
      <c r="S520">
        <v>6</v>
      </c>
      <c r="T520">
        <v>4</v>
      </c>
      <c r="U520">
        <v>4</v>
      </c>
    </row>
    <row r="521" spans="1:21" x14ac:dyDescent="0.3">
      <c r="A521" t="s">
        <v>176</v>
      </c>
      <c r="B521" t="s">
        <v>193</v>
      </c>
      <c r="C521" s="4" t="s">
        <v>24</v>
      </c>
      <c r="D521">
        <v>372</v>
      </c>
      <c r="E521">
        <v>2</v>
      </c>
      <c r="F521">
        <v>10</v>
      </c>
      <c r="G521">
        <v>19</v>
      </c>
      <c r="H521">
        <v>31</v>
      </c>
      <c r="I521">
        <v>30</v>
      </c>
      <c r="J521">
        <v>106</v>
      </c>
      <c r="K521">
        <v>66</v>
      </c>
      <c r="L521">
        <v>14</v>
      </c>
      <c r="M521">
        <v>17</v>
      </c>
      <c r="N521">
        <v>10</v>
      </c>
      <c r="O521">
        <v>16</v>
      </c>
      <c r="P521">
        <v>19</v>
      </c>
      <c r="Q521">
        <v>17</v>
      </c>
      <c r="R521">
        <v>6</v>
      </c>
      <c r="S521">
        <v>3</v>
      </c>
      <c r="T521">
        <v>2</v>
      </c>
      <c r="U521">
        <v>4</v>
      </c>
    </row>
    <row r="522" spans="1:21" x14ac:dyDescent="0.3">
      <c r="A522" t="s">
        <v>176</v>
      </c>
      <c r="B522" t="s">
        <v>193</v>
      </c>
      <c r="C522" s="4" t="s">
        <v>25</v>
      </c>
      <c r="D522">
        <v>166</v>
      </c>
      <c r="G522">
        <v>5</v>
      </c>
      <c r="H522">
        <v>3</v>
      </c>
      <c r="I522">
        <v>6</v>
      </c>
      <c r="J522">
        <v>44</v>
      </c>
      <c r="K522">
        <v>39</v>
      </c>
      <c r="L522">
        <v>18</v>
      </c>
      <c r="M522">
        <v>9</v>
      </c>
      <c r="N522">
        <v>7</v>
      </c>
      <c r="O522">
        <v>13</v>
      </c>
      <c r="P522">
        <v>8</v>
      </c>
      <c r="Q522">
        <v>5</v>
      </c>
      <c r="R522">
        <v>4</v>
      </c>
      <c r="S522">
        <v>3</v>
      </c>
      <c r="T522">
        <v>2</v>
      </c>
    </row>
    <row r="523" spans="1:21" x14ac:dyDescent="0.3">
      <c r="A523" t="s">
        <v>176</v>
      </c>
      <c r="B523" t="s">
        <v>194</v>
      </c>
      <c r="C523" s="4" t="s">
        <v>21</v>
      </c>
      <c r="D523">
        <v>535</v>
      </c>
      <c r="E523">
        <v>8</v>
      </c>
      <c r="F523">
        <v>21</v>
      </c>
      <c r="G523">
        <v>31</v>
      </c>
      <c r="H523">
        <v>15</v>
      </c>
      <c r="I523">
        <v>29</v>
      </c>
      <c r="J523">
        <v>96</v>
      </c>
      <c r="K523">
        <v>113</v>
      </c>
      <c r="L523">
        <v>24</v>
      </c>
      <c r="M523">
        <v>25</v>
      </c>
      <c r="N523">
        <v>22</v>
      </c>
      <c r="O523">
        <v>18</v>
      </c>
      <c r="P523">
        <v>45</v>
      </c>
      <c r="Q523">
        <v>34</v>
      </c>
      <c r="R523">
        <v>23</v>
      </c>
      <c r="S523">
        <v>8</v>
      </c>
      <c r="T523">
        <v>21</v>
      </c>
      <c r="U523">
        <v>2</v>
      </c>
    </row>
    <row r="524" spans="1:21" x14ac:dyDescent="0.3">
      <c r="A524" t="s">
        <v>176</v>
      </c>
      <c r="B524" t="s">
        <v>194</v>
      </c>
      <c r="C524" s="4" t="s">
        <v>24</v>
      </c>
      <c r="D524">
        <v>342</v>
      </c>
      <c r="E524">
        <v>8</v>
      </c>
      <c r="F524">
        <v>13</v>
      </c>
      <c r="G524">
        <v>22</v>
      </c>
      <c r="H524">
        <v>7</v>
      </c>
      <c r="I524">
        <v>16</v>
      </c>
      <c r="J524">
        <v>62</v>
      </c>
      <c r="K524">
        <v>66</v>
      </c>
      <c r="L524">
        <v>15</v>
      </c>
      <c r="M524">
        <v>20</v>
      </c>
      <c r="N524">
        <v>17</v>
      </c>
      <c r="O524">
        <v>12</v>
      </c>
      <c r="P524">
        <v>31</v>
      </c>
      <c r="Q524">
        <v>24</v>
      </c>
      <c r="R524">
        <v>14</v>
      </c>
      <c r="S524">
        <v>3</v>
      </c>
      <c r="T524">
        <v>10</v>
      </c>
      <c r="U524">
        <v>2</v>
      </c>
    </row>
    <row r="525" spans="1:21" x14ac:dyDescent="0.3">
      <c r="A525" t="s">
        <v>176</v>
      </c>
      <c r="B525" t="s">
        <v>194</v>
      </c>
      <c r="C525" s="4" t="s">
        <v>25</v>
      </c>
      <c r="D525">
        <v>193</v>
      </c>
      <c r="F525">
        <v>8</v>
      </c>
      <c r="G525">
        <v>9</v>
      </c>
      <c r="H525">
        <v>8</v>
      </c>
      <c r="I525">
        <v>13</v>
      </c>
      <c r="J525">
        <v>34</v>
      </c>
      <c r="K525">
        <v>47</v>
      </c>
      <c r="L525">
        <v>9</v>
      </c>
      <c r="M525">
        <v>5</v>
      </c>
      <c r="N525">
        <v>5</v>
      </c>
      <c r="O525">
        <v>6</v>
      </c>
      <c r="P525">
        <v>14</v>
      </c>
      <c r="Q525">
        <v>10</v>
      </c>
      <c r="R525">
        <v>9</v>
      </c>
      <c r="S525">
        <v>5</v>
      </c>
      <c r="T525">
        <v>11</v>
      </c>
    </row>
    <row r="526" spans="1:21" x14ac:dyDescent="0.3">
      <c r="A526" t="s">
        <v>176</v>
      </c>
      <c r="B526" t="s">
        <v>195</v>
      </c>
      <c r="C526" s="4" t="s">
        <v>21</v>
      </c>
      <c r="D526">
        <v>490</v>
      </c>
      <c r="E526">
        <v>2</v>
      </c>
      <c r="F526">
        <v>6</v>
      </c>
      <c r="G526">
        <v>14</v>
      </c>
      <c r="H526">
        <v>28</v>
      </c>
      <c r="I526">
        <v>56</v>
      </c>
      <c r="J526">
        <v>101</v>
      </c>
      <c r="K526">
        <v>110</v>
      </c>
      <c r="L526">
        <v>34</v>
      </c>
      <c r="M526">
        <v>28</v>
      </c>
      <c r="N526">
        <v>15</v>
      </c>
      <c r="O526">
        <v>18</v>
      </c>
      <c r="P526">
        <v>38</v>
      </c>
      <c r="Q526">
        <v>15</v>
      </c>
      <c r="R526">
        <v>7</v>
      </c>
      <c r="S526">
        <v>1</v>
      </c>
      <c r="T526">
        <v>16</v>
      </c>
      <c r="U526">
        <v>1</v>
      </c>
    </row>
    <row r="527" spans="1:21" x14ac:dyDescent="0.3">
      <c r="A527" t="s">
        <v>176</v>
      </c>
      <c r="B527" t="s">
        <v>195</v>
      </c>
      <c r="C527" s="4" t="s">
        <v>24</v>
      </c>
      <c r="D527">
        <v>365</v>
      </c>
      <c r="E527">
        <v>2</v>
      </c>
      <c r="F527">
        <v>6</v>
      </c>
      <c r="G527">
        <v>11</v>
      </c>
      <c r="H527">
        <v>20</v>
      </c>
      <c r="I527">
        <v>42</v>
      </c>
      <c r="J527">
        <v>78</v>
      </c>
      <c r="K527">
        <v>80</v>
      </c>
      <c r="L527">
        <v>30</v>
      </c>
      <c r="M527">
        <v>20</v>
      </c>
      <c r="N527">
        <v>12</v>
      </c>
      <c r="O527">
        <v>10</v>
      </c>
      <c r="P527">
        <v>23</v>
      </c>
      <c r="Q527">
        <v>11</v>
      </c>
      <c r="R527">
        <v>3</v>
      </c>
      <c r="S527">
        <v>1</v>
      </c>
      <c r="T527">
        <v>15</v>
      </c>
      <c r="U527">
        <v>1</v>
      </c>
    </row>
    <row r="528" spans="1:21" x14ac:dyDescent="0.3">
      <c r="A528" t="s">
        <v>176</v>
      </c>
      <c r="B528" t="s">
        <v>195</v>
      </c>
      <c r="C528" s="4" t="s">
        <v>25</v>
      </c>
      <c r="D528">
        <v>125</v>
      </c>
      <c r="G528">
        <v>3</v>
      </c>
      <c r="H528">
        <v>8</v>
      </c>
      <c r="I528">
        <v>14</v>
      </c>
      <c r="J528">
        <v>23</v>
      </c>
      <c r="K528">
        <v>30</v>
      </c>
      <c r="L528">
        <v>4</v>
      </c>
      <c r="M528">
        <v>8</v>
      </c>
      <c r="N528">
        <v>3</v>
      </c>
      <c r="O528">
        <v>8</v>
      </c>
      <c r="P528">
        <v>15</v>
      </c>
      <c r="Q528">
        <v>4</v>
      </c>
      <c r="R528">
        <v>4</v>
      </c>
      <c r="T528">
        <v>1</v>
      </c>
    </row>
    <row r="529" spans="1:21" x14ac:dyDescent="0.3">
      <c r="A529" t="s">
        <v>176</v>
      </c>
      <c r="B529" t="s">
        <v>196</v>
      </c>
      <c r="C529" s="4" t="s">
        <v>21</v>
      </c>
      <c r="D529">
        <v>412</v>
      </c>
      <c r="E529">
        <v>10</v>
      </c>
      <c r="F529">
        <v>4</v>
      </c>
      <c r="G529">
        <v>17</v>
      </c>
      <c r="H529">
        <v>21</v>
      </c>
      <c r="I529">
        <v>19</v>
      </c>
      <c r="J529">
        <v>75</v>
      </c>
      <c r="K529">
        <v>51</v>
      </c>
      <c r="L529">
        <v>22</v>
      </c>
      <c r="M529">
        <v>35</v>
      </c>
      <c r="N529">
        <v>41</v>
      </c>
      <c r="O529">
        <v>34</v>
      </c>
      <c r="P529">
        <v>47</v>
      </c>
      <c r="Q529">
        <v>13</v>
      </c>
      <c r="R529">
        <v>14</v>
      </c>
      <c r="S529">
        <v>6</v>
      </c>
      <c r="T529">
        <v>3</v>
      </c>
    </row>
    <row r="530" spans="1:21" x14ac:dyDescent="0.3">
      <c r="A530" t="s">
        <v>176</v>
      </c>
      <c r="B530" t="s">
        <v>196</v>
      </c>
      <c r="C530" s="4" t="s">
        <v>24</v>
      </c>
      <c r="D530">
        <v>332</v>
      </c>
      <c r="E530">
        <v>8</v>
      </c>
      <c r="F530">
        <v>4</v>
      </c>
      <c r="G530">
        <v>14</v>
      </c>
      <c r="H530">
        <v>16</v>
      </c>
      <c r="I530">
        <v>14</v>
      </c>
      <c r="J530">
        <v>58</v>
      </c>
      <c r="K530">
        <v>38</v>
      </c>
      <c r="L530">
        <v>19</v>
      </c>
      <c r="M530">
        <v>34</v>
      </c>
      <c r="N530">
        <v>40</v>
      </c>
      <c r="O530">
        <v>25</v>
      </c>
      <c r="P530">
        <v>33</v>
      </c>
      <c r="Q530">
        <v>9</v>
      </c>
      <c r="R530">
        <v>12</v>
      </c>
      <c r="S530">
        <v>6</v>
      </c>
      <c r="T530">
        <v>2</v>
      </c>
    </row>
    <row r="531" spans="1:21" x14ac:dyDescent="0.3">
      <c r="A531" t="s">
        <v>176</v>
      </c>
      <c r="B531" t="s">
        <v>196</v>
      </c>
      <c r="C531" s="4" t="s">
        <v>25</v>
      </c>
      <c r="D531">
        <v>80</v>
      </c>
      <c r="E531">
        <v>2</v>
      </c>
      <c r="G531">
        <v>3</v>
      </c>
      <c r="H531">
        <v>5</v>
      </c>
      <c r="I531">
        <v>5</v>
      </c>
      <c r="J531">
        <v>17</v>
      </c>
      <c r="K531">
        <v>13</v>
      </c>
      <c r="L531">
        <v>3</v>
      </c>
      <c r="M531">
        <v>1</v>
      </c>
      <c r="N531">
        <v>1</v>
      </c>
      <c r="O531">
        <v>9</v>
      </c>
      <c r="P531">
        <v>14</v>
      </c>
      <c r="Q531">
        <v>4</v>
      </c>
      <c r="R531">
        <v>2</v>
      </c>
      <c r="T531">
        <v>1</v>
      </c>
    </row>
    <row r="532" spans="1:21" x14ac:dyDescent="0.3">
      <c r="A532" t="s">
        <v>176</v>
      </c>
      <c r="B532" t="s">
        <v>197</v>
      </c>
      <c r="C532" s="4" t="s">
        <v>21</v>
      </c>
      <c r="D532">
        <v>327</v>
      </c>
      <c r="F532">
        <v>2</v>
      </c>
      <c r="G532">
        <v>4</v>
      </c>
      <c r="H532">
        <v>2</v>
      </c>
      <c r="I532">
        <v>8</v>
      </c>
      <c r="J532">
        <v>33</v>
      </c>
      <c r="K532">
        <v>12</v>
      </c>
      <c r="L532">
        <v>3</v>
      </c>
      <c r="M532">
        <v>6</v>
      </c>
      <c r="N532">
        <v>5</v>
      </c>
      <c r="O532">
        <v>24</v>
      </c>
      <c r="P532">
        <v>56</v>
      </c>
      <c r="Q532">
        <v>125</v>
      </c>
      <c r="R532">
        <v>41</v>
      </c>
      <c r="S532">
        <v>3</v>
      </c>
      <c r="T532">
        <v>3</v>
      </c>
    </row>
    <row r="533" spans="1:21" x14ac:dyDescent="0.3">
      <c r="A533" t="s">
        <v>176</v>
      </c>
      <c r="B533" t="s">
        <v>197</v>
      </c>
      <c r="C533" s="4" t="s">
        <v>24</v>
      </c>
      <c r="D533">
        <v>272</v>
      </c>
      <c r="F533">
        <v>2</v>
      </c>
      <c r="G533">
        <v>4</v>
      </c>
      <c r="H533">
        <v>1</v>
      </c>
      <c r="I533">
        <v>7</v>
      </c>
      <c r="J533">
        <v>24</v>
      </c>
      <c r="K533">
        <v>12</v>
      </c>
      <c r="L533">
        <v>1</v>
      </c>
      <c r="M533">
        <v>6</v>
      </c>
      <c r="N533">
        <v>4</v>
      </c>
      <c r="O533">
        <v>20</v>
      </c>
      <c r="P533">
        <v>46</v>
      </c>
      <c r="Q533">
        <v>105</v>
      </c>
      <c r="R533">
        <v>35</v>
      </c>
      <c r="S533">
        <v>3</v>
      </c>
      <c r="T533">
        <v>2</v>
      </c>
    </row>
    <row r="534" spans="1:21" x14ac:dyDescent="0.3">
      <c r="A534" t="s">
        <v>176</v>
      </c>
      <c r="B534" t="s">
        <v>197</v>
      </c>
      <c r="C534" s="4" t="s">
        <v>25</v>
      </c>
      <c r="D534">
        <v>55</v>
      </c>
      <c r="H534">
        <v>1</v>
      </c>
      <c r="I534">
        <v>1</v>
      </c>
      <c r="J534">
        <v>9</v>
      </c>
      <c r="L534">
        <v>2</v>
      </c>
      <c r="N534">
        <v>1</v>
      </c>
      <c r="O534">
        <v>4</v>
      </c>
      <c r="P534">
        <v>10</v>
      </c>
      <c r="Q534">
        <v>20</v>
      </c>
      <c r="R534">
        <v>6</v>
      </c>
      <c r="T534">
        <v>1</v>
      </c>
    </row>
    <row r="535" spans="1:21" x14ac:dyDescent="0.3">
      <c r="A535" t="s">
        <v>176</v>
      </c>
      <c r="B535" t="s">
        <v>198</v>
      </c>
      <c r="C535" s="4" t="s">
        <v>21</v>
      </c>
      <c r="D535">
        <v>322</v>
      </c>
      <c r="E535">
        <v>45</v>
      </c>
      <c r="F535">
        <v>12</v>
      </c>
      <c r="G535">
        <v>13</v>
      </c>
      <c r="H535">
        <v>36</v>
      </c>
      <c r="I535">
        <v>19</v>
      </c>
      <c r="J535">
        <v>57</v>
      </c>
      <c r="K535">
        <v>61</v>
      </c>
      <c r="L535">
        <v>22</v>
      </c>
      <c r="M535">
        <v>11</v>
      </c>
      <c r="N535">
        <v>11</v>
      </c>
      <c r="O535">
        <v>10</v>
      </c>
      <c r="P535">
        <v>10</v>
      </c>
      <c r="Q535">
        <v>14</v>
      </c>
      <c r="R535">
        <v>1</v>
      </c>
    </row>
    <row r="536" spans="1:21" x14ac:dyDescent="0.3">
      <c r="A536" t="s">
        <v>176</v>
      </c>
      <c r="B536" t="s">
        <v>198</v>
      </c>
      <c r="C536" s="4" t="s">
        <v>24</v>
      </c>
      <c r="D536">
        <v>147</v>
      </c>
      <c r="E536">
        <v>36</v>
      </c>
      <c r="F536">
        <v>7</v>
      </c>
      <c r="G536">
        <v>6</v>
      </c>
      <c r="H536">
        <v>18</v>
      </c>
      <c r="I536">
        <v>8</v>
      </c>
      <c r="J536">
        <v>24</v>
      </c>
      <c r="K536">
        <v>19</v>
      </c>
      <c r="L536">
        <v>9</v>
      </c>
      <c r="M536">
        <v>5</v>
      </c>
      <c r="N536">
        <v>5</v>
      </c>
      <c r="O536">
        <v>3</v>
      </c>
      <c r="P536">
        <v>4</v>
      </c>
      <c r="Q536">
        <v>3</v>
      </c>
    </row>
    <row r="537" spans="1:21" x14ac:dyDescent="0.3">
      <c r="A537" t="s">
        <v>176</v>
      </c>
      <c r="B537" t="s">
        <v>198</v>
      </c>
      <c r="C537" s="4" t="s">
        <v>25</v>
      </c>
      <c r="D537">
        <v>175</v>
      </c>
      <c r="E537">
        <v>9</v>
      </c>
      <c r="F537">
        <v>5</v>
      </c>
      <c r="G537">
        <v>7</v>
      </c>
      <c r="H537">
        <v>18</v>
      </c>
      <c r="I537">
        <v>11</v>
      </c>
      <c r="J537">
        <v>33</v>
      </c>
      <c r="K537">
        <v>42</v>
      </c>
      <c r="L537">
        <v>13</v>
      </c>
      <c r="M537">
        <v>6</v>
      </c>
      <c r="N537">
        <v>6</v>
      </c>
      <c r="O537">
        <v>7</v>
      </c>
      <c r="P537">
        <v>6</v>
      </c>
      <c r="Q537">
        <v>11</v>
      </c>
      <c r="R537">
        <v>1</v>
      </c>
    </row>
    <row r="538" spans="1:21" x14ac:dyDescent="0.3">
      <c r="A538" t="s">
        <v>176</v>
      </c>
      <c r="B538" t="s">
        <v>199</v>
      </c>
      <c r="C538" s="4" t="s">
        <v>21</v>
      </c>
      <c r="D538">
        <v>314</v>
      </c>
      <c r="E538">
        <v>4</v>
      </c>
      <c r="F538">
        <v>2</v>
      </c>
      <c r="G538">
        <v>26</v>
      </c>
      <c r="H538">
        <v>30</v>
      </c>
      <c r="I538">
        <v>32</v>
      </c>
      <c r="J538">
        <v>89</v>
      </c>
      <c r="K538">
        <v>65</v>
      </c>
      <c r="L538">
        <v>7</v>
      </c>
      <c r="M538">
        <v>23</v>
      </c>
      <c r="N538">
        <v>5</v>
      </c>
      <c r="O538">
        <v>12</v>
      </c>
      <c r="P538">
        <v>8</v>
      </c>
      <c r="Q538">
        <v>6</v>
      </c>
      <c r="R538">
        <v>4</v>
      </c>
      <c r="S538">
        <v>1</v>
      </c>
    </row>
    <row r="539" spans="1:21" x14ac:dyDescent="0.3">
      <c r="A539" t="s">
        <v>176</v>
      </c>
      <c r="B539" t="s">
        <v>199</v>
      </c>
      <c r="C539" s="4" t="s">
        <v>24</v>
      </c>
      <c r="D539">
        <v>208</v>
      </c>
      <c r="E539">
        <v>3</v>
      </c>
      <c r="F539">
        <v>1</v>
      </c>
      <c r="G539">
        <v>18</v>
      </c>
      <c r="H539">
        <v>21</v>
      </c>
      <c r="I539">
        <v>24</v>
      </c>
      <c r="J539">
        <v>59</v>
      </c>
      <c r="K539">
        <v>42</v>
      </c>
      <c r="L539">
        <v>6</v>
      </c>
      <c r="M539">
        <v>14</v>
      </c>
      <c r="N539">
        <v>4</v>
      </c>
      <c r="O539">
        <v>7</v>
      </c>
      <c r="P539">
        <v>4</v>
      </c>
      <c r="Q539">
        <v>3</v>
      </c>
      <c r="R539">
        <v>2</v>
      </c>
    </row>
    <row r="540" spans="1:21" x14ac:dyDescent="0.3">
      <c r="A540" t="s">
        <v>176</v>
      </c>
      <c r="B540" t="s">
        <v>199</v>
      </c>
      <c r="C540" s="4" t="s">
        <v>25</v>
      </c>
      <c r="D540">
        <v>106</v>
      </c>
      <c r="E540">
        <v>1</v>
      </c>
      <c r="F540">
        <v>1</v>
      </c>
      <c r="G540">
        <v>8</v>
      </c>
      <c r="H540">
        <v>9</v>
      </c>
      <c r="I540">
        <v>8</v>
      </c>
      <c r="J540">
        <v>30</v>
      </c>
      <c r="K540">
        <v>23</v>
      </c>
      <c r="L540">
        <v>1</v>
      </c>
      <c r="M540">
        <v>9</v>
      </c>
      <c r="N540">
        <v>1</v>
      </c>
      <c r="O540">
        <v>5</v>
      </c>
      <c r="P540">
        <v>4</v>
      </c>
      <c r="Q540">
        <v>3</v>
      </c>
      <c r="R540">
        <v>2</v>
      </c>
      <c r="S540">
        <v>1</v>
      </c>
    </row>
    <row r="541" spans="1:21" x14ac:dyDescent="0.3">
      <c r="A541" t="s">
        <v>176</v>
      </c>
      <c r="B541" t="s">
        <v>200</v>
      </c>
      <c r="C541" s="4" t="s">
        <v>21</v>
      </c>
      <c r="D541">
        <v>309</v>
      </c>
      <c r="E541">
        <v>1</v>
      </c>
      <c r="F541">
        <v>4</v>
      </c>
      <c r="G541">
        <v>18</v>
      </c>
      <c r="H541">
        <v>9</v>
      </c>
      <c r="I541">
        <v>25</v>
      </c>
      <c r="J541">
        <v>113</v>
      </c>
      <c r="K541">
        <v>40</v>
      </c>
      <c r="L541">
        <v>13</v>
      </c>
      <c r="M541">
        <v>25</v>
      </c>
      <c r="N541">
        <v>22</v>
      </c>
      <c r="O541">
        <v>10</v>
      </c>
      <c r="P541">
        <v>14</v>
      </c>
      <c r="Q541">
        <v>9</v>
      </c>
      <c r="R541">
        <v>3</v>
      </c>
      <c r="S541">
        <v>1</v>
      </c>
      <c r="T541">
        <v>2</v>
      </c>
    </row>
    <row r="542" spans="1:21" x14ac:dyDescent="0.3">
      <c r="A542" t="s">
        <v>176</v>
      </c>
      <c r="B542" t="s">
        <v>200</v>
      </c>
      <c r="C542" s="4" t="s">
        <v>24</v>
      </c>
      <c r="D542">
        <v>209</v>
      </c>
      <c r="F542">
        <v>2</v>
      </c>
      <c r="G542">
        <v>17</v>
      </c>
      <c r="H542">
        <v>6</v>
      </c>
      <c r="I542">
        <v>18</v>
      </c>
      <c r="J542">
        <v>75</v>
      </c>
      <c r="K542">
        <v>20</v>
      </c>
      <c r="L542">
        <v>9</v>
      </c>
      <c r="M542">
        <v>17</v>
      </c>
      <c r="N542">
        <v>19</v>
      </c>
      <c r="O542">
        <v>8</v>
      </c>
      <c r="P542">
        <v>7</v>
      </c>
      <c r="Q542">
        <v>6</v>
      </c>
      <c r="R542">
        <v>2</v>
      </c>
      <c r="S542">
        <v>1</v>
      </c>
      <c r="T542">
        <v>2</v>
      </c>
    </row>
    <row r="543" spans="1:21" x14ac:dyDescent="0.3">
      <c r="A543" t="s">
        <v>176</v>
      </c>
      <c r="B543" t="s">
        <v>200</v>
      </c>
      <c r="C543" s="4" t="s">
        <v>25</v>
      </c>
      <c r="D543">
        <v>100</v>
      </c>
      <c r="E543">
        <v>1</v>
      </c>
      <c r="F543">
        <v>2</v>
      </c>
      <c r="G543">
        <v>1</v>
      </c>
      <c r="H543">
        <v>3</v>
      </c>
      <c r="I543">
        <v>7</v>
      </c>
      <c r="J543">
        <v>38</v>
      </c>
      <c r="K543">
        <v>20</v>
      </c>
      <c r="L543">
        <v>4</v>
      </c>
      <c r="M543">
        <v>8</v>
      </c>
      <c r="N543">
        <v>3</v>
      </c>
      <c r="O543">
        <v>2</v>
      </c>
      <c r="P543">
        <v>7</v>
      </c>
      <c r="Q543">
        <v>3</v>
      </c>
      <c r="R543">
        <v>1</v>
      </c>
    </row>
    <row r="544" spans="1:21" x14ac:dyDescent="0.3">
      <c r="A544" t="s">
        <v>176</v>
      </c>
      <c r="B544" t="s">
        <v>201</v>
      </c>
      <c r="C544" s="4" t="s">
        <v>21</v>
      </c>
      <c r="D544">
        <v>214</v>
      </c>
      <c r="E544">
        <v>8</v>
      </c>
      <c r="F544">
        <v>1</v>
      </c>
      <c r="G544">
        <v>6</v>
      </c>
      <c r="H544">
        <v>13</v>
      </c>
      <c r="I544">
        <v>15</v>
      </c>
      <c r="J544">
        <v>33</v>
      </c>
      <c r="K544">
        <v>19</v>
      </c>
      <c r="L544">
        <v>13</v>
      </c>
      <c r="M544">
        <v>43</v>
      </c>
      <c r="N544">
        <v>19</v>
      </c>
      <c r="O544">
        <v>11</v>
      </c>
      <c r="P544">
        <v>16</v>
      </c>
      <c r="Q544">
        <v>6</v>
      </c>
      <c r="R544">
        <v>6</v>
      </c>
      <c r="S544">
        <v>1</v>
      </c>
      <c r="T544">
        <v>3</v>
      </c>
      <c r="U544">
        <v>1</v>
      </c>
    </row>
    <row r="545" spans="1:21" x14ac:dyDescent="0.3">
      <c r="A545" t="s">
        <v>176</v>
      </c>
      <c r="B545" t="s">
        <v>201</v>
      </c>
      <c r="C545" s="4" t="s">
        <v>24</v>
      </c>
      <c r="D545">
        <v>129</v>
      </c>
      <c r="E545">
        <v>6</v>
      </c>
      <c r="F545">
        <v>1</v>
      </c>
      <c r="G545">
        <v>3</v>
      </c>
      <c r="H545">
        <v>7</v>
      </c>
      <c r="I545">
        <v>9</v>
      </c>
      <c r="J545">
        <v>22</v>
      </c>
      <c r="K545">
        <v>12</v>
      </c>
      <c r="L545">
        <v>4</v>
      </c>
      <c r="M545">
        <v>33</v>
      </c>
      <c r="N545">
        <v>9</v>
      </c>
      <c r="O545">
        <v>6</v>
      </c>
      <c r="P545">
        <v>6</v>
      </c>
      <c r="Q545">
        <v>3</v>
      </c>
      <c r="R545">
        <v>4</v>
      </c>
      <c r="S545">
        <v>1</v>
      </c>
      <c r="T545">
        <v>2</v>
      </c>
      <c r="U545">
        <v>1</v>
      </c>
    </row>
    <row r="546" spans="1:21" x14ac:dyDescent="0.3">
      <c r="A546" t="s">
        <v>176</v>
      </c>
      <c r="B546" t="s">
        <v>201</v>
      </c>
      <c r="C546" s="4" t="s">
        <v>25</v>
      </c>
      <c r="D546">
        <v>85</v>
      </c>
      <c r="E546">
        <v>2</v>
      </c>
      <c r="G546">
        <v>3</v>
      </c>
      <c r="H546">
        <v>6</v>
      </c>
      <c r="I546">
        <v>6</v>
      </c>
      <c r="J546">
        <v>11</v>
      </c>
      <c r="K546">
        <v>7</v>
      </c>
      <c r="L546">
        <v>9</v>
      </c>
      <c r="M546">
        <v>10</v>
      </c>
      <c r="N546">
        <v>10</v>
      </c>
      <c r="O546">
        <v>5</v>
      </c>
      <c r="P546">
        <v>10</v>
      </c>
      <c r="Q546">
        <v>3</v>
      </c>
      <c r="R546">
        <v>2</v>
      </c>
      <c r="T546">
        <v>1</v>
      </c>
    </row>
    <row r="547" spans="1:21" x14ac:dyDescent="0.3">
      <c r="A547" t="s">
        <v>176</v>
      </c>
      <c r="B547" t="s">
        <v>202</v>
      </c>
      <c r="C547" s="4" t="s">
        <v>21</v>
      </c>
      <c r="D547">
        <v>212</v>
      </c>
      <c r="E547">
        <v>8</v>
      </c>
      <c r="F547">
        <v>10</v>
      </c>
      <c r="G547">
        <v>9</v>
      </c>
      <c r="H547">
        <v>15</v>
      </c>
      <c r="I547">
        <v>17</v>
      </c>
      <c r="J547">
        <v>91</v>
      </c>
      <c r="K547">
        <v>22</v>
      </c>
      <c r="L547">
        <v>1</v>
      </c>
      <c r="M547">
        <v>2</v>
      </c>
      <c r="N547">
        <v>3</v>
      </c>
      <c r="O547">
        <v>5</v>
      </c>
      <c r="P547">
        <v>19</v>
      </c>
      <c r="Q547">
        <v>6</v>
      </c>
      <c r="R547">
        <v>3</v>
      </c>
      <c r="S547">
        <v>1</v>
      </c>
    </row>
    <row r="548" spans="1:21" x14ac:dyDescent="0.3">
      <c r="A548" t="s">
        <v>176</v>
      </c>
      <c r="B548" t="s">
        <v>202</v>
      </c>
      <c r="C548" s="4" t="s">
        <v>24</v>
      </c>
      <c r="D548">
        <v>102</v>
      </c>
      <c r="E548">
        <v>3</v>
      </c>
      <c r="F548">
        <v>5</v>
      </c>
      <c r="G548">
        <v>4</v>
      </c>
      <c r="H548">
        <v>4</v>
      </c>
      <c r="I548">
        <v>10</v>
      </c>
      <c r="J548">
        <v>55</v>
      </c>
      <c r="K548">
        <v>11</v>
      </c>
      <c r="L548">
        <v>1</v>
      </c>
      <c r="N548">
        <v>1</v>
      </c>
      <c r="O548">
        <v>1</v>
      </c>
      <c r="P548">
        <v>7</v>
      </c>
    </row>
    <row r="549" spans="1:21" x14ac:dyDescent="0.3">
      <c r="A549" t="s">
        <v>176</v>
      </c>
      <c r="B549" t="s">
        <v>202</v>
      </c>
      <c r="C549" s="4" t="s">
        <v>25</v>
      </c>
      <c r="D549">
        <v>110</v>
      </c>
      <c r="E549">
        <v>5</v>
      </c>
      <c r="F549">
        <v>5</v>
      </c>
      <c r="G549">
        <v>5</v>
      </c>
      <c r="H549">
        <v>11</v>
      </c>
      <c r="I549">
        <v>7</v>
      </c>
      <c r="J549">
        <v>36</v>
      </c>
      <c r="K549">
        <v>11</v>
      </c>
      <c r="M549">
        <v>2</v>
      </c>
      <c r="N549">
        <v>2</v>
      </c>
      <c r="O549">
        <v>4</v>
      </c>
      <c r="P549">
        <v>12</v>
      </c>
      <c r="Q549">
        <v>6</v>
      </c>
      <c r="R549">
        <v>3</v>
      </c>
      <c r="S549">
        <v>1</v>
      </c>
    </row>
    <row r="550" spans="1:21" x14ac:dyDescent="0.3">
      <c r="A550" t="s">
        <v>176</v>
      </c>
      <c r="B550" t="s">
        <v>203</v>
      </c>
      <c r="C550" s="4" t="s">
        <v>21</v>
      </c>
      <c r="D550">
        <v>177</v>
      </c>
      <c r="E550">
        <v>3</v>
      </c>
      <c r="F550">
        <v>2</v>
      </c>
      <c r="G550">
        <v>3</v>
      </c>
      <c r="H550">
        <v>7</v>
      </c>
      <c r="I550">
        <v>10</v>
      </c>
      <c r="J550">
        <v>43</v>
      </c>
      <c r="K550">
        <v>47</v>
      </c>
      <c r="L550">
        <v>12</v>
      </c>
      <c r="M550">
        <v>4</v>
      </c>
      <c r="N550">
        <v>5</v>
      </c>
      <c r="O550">
        <v>6</v>
      </c>
      <c r="P550">
        <v>19</v>
      </c>
      <c r="Q550">
        <v>7</v>
      </c>
      <c r="R550">
        <v>4</v>
      </c>
      <c r="S550">
        <v>2</v>
      </c>
      <c r="T550">
        <v>3</v>
      </c>
    </row>
    <row r="551" spans="1:21" x14ac:dyDescent="0.3">
      <c r="A551" t="s">
        <v>176</v>
      </c>
      <c r="B551" t="s">
        <v>203</v>
      </c>
      <c r="C551" s="4" t="s">
        <v>24</v>
      </c>
      <c r="D551">
        <v>96</v>
      </c>
      <c r="E551">
        <v>2</v>
      </c>
      <c r="F551">
        <v>2</v>
      </c>
      <c r="H551">
        <v>3</v>
      </c>
      <c r="I551">
        <v>8</v>
      </c>
      <c r="J551">
        <v>24</v>
      </c>
      <c r="K551">
        <v>20</v>
      </c>
      <c r="L551">
        <v>9</v>
      </c>
      <c r="M551">
        <v>3</v>
      </c>
      <c r="N551">
        <v>4</v>
      </c>
      <c r="P551">
        <v>12</v>
      </c>
      <c r="Q551">
        <v>4</v>
      </c>
      <c r="R551">
        <v>2</v>
      </c>
      <c r="S551">
        <v>2</v>
      </c>
      <c r="T551">
        <v>1</v>
      </c>
    </row>
    <row r="552" spans="1:21" x14ac:dyDescent="0.3">
      <c r="A552" t="s">
        <v>176</v>
      </c>
      <c r="B552" t="s">
        <v>203</v>
      </c>
      <c r="C552" s="4" t="s">
        <v>25</v>
      </c>
      <c r="D552">
        <v>81</v>
      </c>
      <c r="E552">
        <v>1</v>
      </c>
      <c r="G552">
        <v>3</v>
      </c>
      <c r="H552">
        <v>4</v>
      </c>
      <c r="I552">
        <v>2</v>
      </c>
      <c r="J552">
        <v>19</v>
      </c>
      <c r="K552">
        <v>27</v>
      </c>
      <c r="L552">
        <v>3</v>
      </c>
      <c r="M552">
        <v>1</v>
      </c>
      <c r="N552">
        <v>1</v>
      </c>
      <c r="O552">
        <v>6</v>
      </c>
      <c r="P552">
        <v>7</v>
      </c>
      <c r="Q552">
        <v>3</v>
      </c>
      <c r="R552">
        <v>2</v>
      </c>
      <c r="T552">
        <v>2</v>
      </c>
    </row>
    <row r="553" spans="1:21" x14ac:dyDescent="0.3">
      <c r="A553" t="s">
        <v>176</v>
      </c>
      <c r="B553" t="s">
        <v>204</v>
      </c>
      <c r="C553" s="4" t="s">
        <v>21</v>
      </c>
      <c r="D553">
        <v>164</v>
      </c>
      <c r="E553">
        <v>2</v>
      </c>
      <c r="F553">
        <v>5</v>
      </c>
      <c r="G553">
        <v>9</v>
      </c>
      <c r="H553">
        <v>15</v>
      </c>
      <c r="I553">
        <v>17</v>
      </c>
      <c r="J553">
        <v>27</v>
      </c>
      <c r="K553">
        <v>12</v>
      </c>
      <c r="L553">
        <v>9</v>
      </c>
      <c r="M553">
        <v>4</v>
      </c>
      <c r="N553">
        <v>6</v>
      </c>
      <c r="O553">
        <v>18</v>
      </c>
      <c r="P553">
        <v>17</v>
      </c>
      <c r="Q553">
        <v>15</v>
      </c>
      <c r="R553">
        <v>8</v>
      </c>
    </row>
    <row r="554" spans="1:21" x14ac:dyDescent="0.3">
      <c r="A554" t="s">
        <v>176</v>
      </c>
      <c r="B554" t="s">
        <v>204</v>
      </c>
      <c r="C554" s="4" t="s">
        <v>24</v>
      </c>
      <c r="D554">
        <v>83</v>
      </c>
      <c r="E554">
        <v>1</v>
      </c>
      <c r="F554">
        <v>3</v>
      </c>
      <c r="G554">
        <v>5</v>
      </c>
      <c r="H554">
        <v>7</v>
      </c>
      <c r="I554">
        <v>8</v>
      </c>
      <c r="J554">
        <v>16</v>
      </c>
      <c r="K554">
        <v>8</v>
      </c>
      <c r="L554">
        <v>4</v>
      </c>
      <c r="M554">
        <v>2</v>
      </c>
      <c r="N554">
        <v>3</v>
      </c>
      <c r="O554">
        <v>7</v>
      </c>
      <c r="P554">
        <v>5</v>
      </c>
      <c r="Q554">
        <v>9</v>
      </c>
      <c r="R554">
        <v>5</v>
      </c>
    </row>
    <row r="555" spans="1:21" x14ac:dyDescent="0.3">
      <c r="A555" t="s">
        <v>176</v>
      </c>
      <c r="B555" t="s">
        <v>204</v>
      </c>
      <c r="C555" s="4" t="s">
        <v>25</v>
      </c>
      <c r="D555">
        <v>81</v>
      </c>
      <c r="E555">
        <v>1</v>
      </c>
      <c r="F555">
        <v>2</v>
      </c>
      <c r="G555">
        <v>4</v>
      </c>
      <c r="H555">
        <v>8</v>
      </c>
      <c r="I555">
        <v>9</v>
      </c>
      <c r="J555">
        <v>11</v>
      </c>
      <c r="K555">
        <v>4</v>
      </c>
      <c r="L555">
        <v>5</v>
      </c>
      <c r="M555">
        <v>2</v>
      </c>
      <c r="N555">
        <v>3</v>
      </c>
      <c r="O555">
        <v>11</v>
      </c>
      <c r="P555">
        <v>12</v>
      </c>
      <c r="Q555">
        <v>6</v>
      </c>
      <c r="R555">
        <v>3</v>
      </c>
    </row>
    <row r="556" spans="1:21" x14ac:dyDescent="0.3">
      <c r="A556" t="s">
        <v>176</v>
      </c>
      <c r="B556" t="s">
        <v>205</v>
      </c>
      <c r="C556" s="4" t="s">
        <v>21</v>
      </c>
      <c r="D556">
        <v>164</v>
      </c>
      <c r="E556">
        <v>4</v>
      </c>
      <c r="F556">
        <v>3</v>
      </c>
      <c r="G556">
        <v>6</v>
      </c>
      <c r="H556">
        <v>9</v>
      </c>
      <c r="I556">
        <v>1</v>
      </c>
      <c r="J556">
        <v>31</v>
      </c>
      <c r="K556">
        <v>17</v>
      </c>
      <c r="L556">
        <v>5</v>
      </c>
      <c r="M556">
        <v>18</v>
      </c>
      <c r="N556">
        <v>4</v>
      </c>
      <c r="O556">
        <v>9</v>
      </c>
      <c r="P556">
        <v>8</v>
      </c>
      <c r="Q556">
        <v>13</v>
      </c>
      <c r="R556">
        <v>7</v>
      </c>
      <c r="S556">
        <v>4</v>
      </c>
      <c r="T556">
        <v>22</v>
      </c>
      <c r="U556">
        <v>3</v>
      </c>
    </row>
    <row r="557" spans="1:21" x14ac:dyDescent="0.3">
      <c r="A557" t="s">
        <v>176</v>
      </c>
      <c r="B557" t="s">
        <v>205</v>
      </c>
      <c r="C557" s="4" t="s">
        <v>24</v>
      </c>
      <c r="D557">
        <v>129</v>
      </c>
      <c r="E557">
        <v>2</v>
      </c>
      <c r="F557">
        <v>3</v>
      </c>
      <c r="G557">
        <v>5</v>
      </c>
      <c r="H557">
        <v>8</v>
      </c>
      <c r="I557">
        <v>1</v>
      </c>
      <c r="J557">
        <v>26</v>
      </c>
      <c r="K557">
        <v>13</v>
      </c>
      <c r="L557">
        <v>5</v>
      </c>
      <c r="M557">
        <v>14</v>
      </c>
      <c r="N557">
        <v>3</v>
      </c>
      <c r="O557">
        <v>5</v>
      </c>
      <c r="P557">
        <v>6</v>
      </c>
      <c r="Q557">
        <v>10</v>
      </c>
      <c r="R557">
        <v>4</v>
      </c>
      <c r="S557">
        <v>4</v>
      </c>
      <c r="T557">
        <v>19</v>
      </c>
      <c r="U557">
        <v>1</v>
      </c>
    </row>
    <row r="558" spans="1:21" x14ac:dyDescent="0.3">
      <c r="A558" t="s">
        <v>176</v>
      </c>
      <c r="B558" t="s">
        <v>205</v>
      </c>
      <c r="C558" s="4" t="s">
        <v>25</v>
      </c>
      <c r="D558">
        <v>35</v>
      </c>
      <c r="E558">
        <v>2</v>
      </c>
      <c r="G558">
        <v>1</v>
      </c>
      <c r="H558">
        <v>1</v>
      </c>
      <c r="J558">
        <v>5</v>
      </c>
      <c r="K558">
        <v>4</v>
      </c>
      <c r="M558">
        <v>4</v>
      </c>
      <c r="N558">
        <v>1</v>
      </c>
      <c r="O558">
        <v>4</v>
      </c>
      <c r="P558">
        <v>2</v>
      </c>
      <c r="Q558">
        <v>3</v>
      </c>
      <c r="R558">
        <v>3</v>
      </c>
      <c r="T558">
        <v>3</v>
      </c>
      <c r="U558">
        <v>2</v>
      </c>
    </row>
    <row r="559" spans="1:21" x14ac:dyDescent="0.3">
      <c r="A559" t="s">
        <v>176</v>
      </c>
      <c r="B559" t="s">
        <v>206</v>
      </c>
      <c r="C559" s="4" t="s">
        <v>21</v>
      </c>
      <c r="D559">
        <v>161</v>
      </c>
      <c r="E559">
        <v>2</v>
      </c>
      <c r="F559">
        <v>3</v>
      </c>
      <c r="G559">
        <v>4</v>
      </c>
      <c r="H559">
        <v>8</v>
      </c>
      <c r="I559">
        <v>16</v>
      </c>
      <c r="J559">
        <v>48</v>
      </c>
      <c r="K559">
        <v>21</v>
      </c>
      <c r="L559">
        <v>21</v>
      </c>
      <c r="M559">
        <v>5</v>
      </c>
      <c r="N559">
        <v>21</v>
      </c>
      <c r="O559">
        <v>7</v>
      </c>
      <c r="P559">
        <v>1</v>
      </c>
      <c r="Q559">
        <v>3</v>
      </c>
      <c r="S559">
        <v>1</v>
      </c>
    </row>
    <row r="560" spans="1:21" x14ac:dyDescent="0.3">
      <c r="A560" t="s">
        <v>176</v>
      </c>
      <c r="B560" t="s">
        <v>206</v>
      </c>
      <c r="C560" s="4" t="s">
        <v>24</v>
      </c>
      <c r="D560">
        <v>101</v>
      </c>
      <c r="E560">
        <v>1</v>
      </c>
      <c r="F560">
        <v>2</v>
      </c>
      <c r="G560">
        <v>3</v>
      </c>
      <c r="H560">
        <v>8</v>
      </c>
      <c r="I560">
        <v>11</v>
      </c>
      <c r="J560">
        <v>27</v>
      </c>
      <c r="K560">
        <v>11</v>
      </c>
      <c r="L560">
        <v>13</v>
      </c>
      <c r="M560">
        <v>5</v>
      </c>
      <c r="N560">
        <v>11</v>
      </c>
      <c r="O560">
        <v>4</v>
      </c>
      <c r="P560">
        <v>1</v>
      </c>
      <c r="Q560">
        <v>3</v>
      </c>
      <c r="S560">
        <v>1</v>
      </c>
    </row>
    <row r="561" spans="1:21" x14ac:dyDescent="0.3">
      <c r="A561" t="s">
        <v>176</v>
      </c>
      <c r="B561" t="s">
        <v>206</v>
      </c>
      <c r="C561" s="4" t="s">
        <v>25</v>
      </c>
      <c r="D561">
        <v>60</v>
      </c>
      <c r="E561">
        <v>1</v>
      </c>
      <c r="F561">
        <v>1</v>
      </c>
      <c r="G561">
        <v>1</v>
      </c>
      <c r="I561">
        <v>5</v>
      </c>
      <c r="J561">
        <v>21</v>
      </c>
      <c r="K561">
        <v>10</v>
      </c>
      <c r="L561">
        <v>8</v>
      </c>
      <c r="N561">
        <v>10</v>
      </c>
      <c r="O561">
        <v>3</v>
      </c>
    </row>
    <row r="562" spans="1:21" x14ac:dyDescent="0.3">
      <c r="A562" t="s">
        <v>176</v>
      </c>
      <c r="B562" t="s">
        <v>207</v>
      </c>
      <c r="C562" s="4" t="s">
        <v>21</v>
      </c>
      <c r="D562">
        <v>161</v>
      </c>
      <c r="E562">
        <v>1</v>
      </c>
      <c r="F562">
        <v>1</v>
      </c>
      <c r="G562">
        <v>8</v>
      </c>
      <c r="H562">
        <v>6</v>
      </c>
      <c r="I562">
        <v>8</v>
      </c>
      <c r="J562">
        <v>30</v>
      </c>
      <c r="K562">
        <v>15</v>
      </c>
      <c r="L562">
        <v>2</v>
      </c>
      <c r="M562">
        <v>11</v>
      </c>
      <c r="N562">
        <v>7</v>
      </c>
      <c r="O562">
        <v>17</v>
      </c>
      <c r="P562">
        <v>11</v>
      </c>
      <c r="Q562">
        <v>13</v>
      </c>
      <c r="R562">
        <v>16</v>
      </c>
      <c r="S562">
        <v>8</v>
      </c>
      <c r="T562">
        <v>7</v>
      </c>
    </row>
    <row r="563" spans="1:21" x14ac:dyDescent="0.3">
      <c r="A563" t="s">
        <v>176</v>
      </c>
      <c r="B563" t="s">
        <v>207</v>
      </c>
      <c r="C563" s="4" t="s">
        <v>24</v>
      </c>
      <c r="D563">
        <v>141</v>
      </c>
      <c r="E563">
        <v>1</v>
      </c>
      <c r="F563">
        <v>1</v>
      </c>
      <c r="G563">
        <v>6</v>
      </c>
      <c r="H563">
        <v>6</v>
      </c>
      <c r="I563">
        <v>6</v>
      </c>
      <c r="J563">
        <v>27</v>
      </c>
      <c r="K563">
        <v>13</v>
      </c>
      <c r="L563">
        <v>2</v>
      </c>
      <c r="M563">
        <v>10</v>
      </c>
      <c r="N563">
        <v>3</v>
      </c>
      <c r="O563">
        <v>17</v>
      </c>
      <c r="P563">
        <v>11</v>
      </c>
      <c r="Q563">
        <v>13</v>
      </c>
      <c r="R563">
        <v>13</v>
      </c>
      <c r="S563">
        <v>6</v>
      </c>
      <c r="T563">
        <v>6</v>
      </c>
    </row>
    <row r="564" spans="1:21" x14ac:dyDescent="0.3">
      <c r="A564" t="s">
        <v>176</v>
      </c>
      <c r="B564" t="s">
        <v>207</v>
      </c>
      <c r="C564" s="4" t="s">
        <v>25</v>
      </c>
      <c r="D564">
        <v>20</v>
      </c>
      <c r="G564">
        <v>2</v>
      </c>
      <c r="I564">
        <v>2</v>
      </c>
      <c r="J564">
        <v>3</v>
      </c>
      <c r="K564">
        <v>2</v>
      </c>
      <c r="M564">
        <v>1</v>
      </c>
      <c r="N564">
        <v>4</v>
      </c>
      <c r="R564">
        <v>3</v>
      </c>
      <c r="S564">
        <v>2</v>
      </c>
      <c r="T564">
        <v>1</v>
      </c>
    </row>
    <row r="565" spans="1:21" x14ac:dyDescent="0.3">
      <c r="A565" t="s">
        <v>176</v>
      </c>
      <c r="B565" t="s">
        <v>208</v>
      </c>
      <c r="C565" s="4" t="s">
        <v>21</v>
      </c>
      <c r="D565">
        <v>158</v>
      </c>
      <c r="E565">
        <v>1</v>
      </c>
      <c r="F565">
        <v>6</v>
      </c>
      <c r="G565">
        <v>7</v>
      </c>
      <c r="H565">
        <v>10</v>
      </c>
      <c r="I565">
        <v>4</v>
      </c>
      <c r="J565">
        <v>48</v>
      </c>
      <c r="K565">
        <v>11</v>
      </c>
      <c r="L565">
        <v>2</v>
      </c>
      <c r="M565">
        <v>14</v>
      </c>
      <c r="N565">
        <v>2</v>
      </c>
      <c r="O565">
        <v>9</v>
      </c>
      <c r="P565">
        <v>9</v>
      </c>
      <c r="Q565">
        <v>12</v>
      </c>
      <c r="R565">
        <v>5</v>
      </c>
      <c r="S565">
        <v>2</v>
      </c>
      <c r="T565">
        <v>13</v>
      </c>
      <c r="U565">
        <v>3</v>
      </c>
    </row>
    <row r="566" spans="1:21" x14ac:dyDescent="0.3">
      <c r="A566" t="s">
        <v>176</v>
      </c>
      <c r="B566" t="s">
        <v>208</v>
      </c>
      <c r="C566" s="4" t="s">
        <v>24</v>
      </c>
      <c r="D566">
        <v>132</v>
      </c>
      <c r="F566">
        <v>5</v>
      </c>
      <c r="G566">
        <v>7</v>
      </c>
      <c r="H566">
        <v>10</v>
      </c>
      <c r="I566">
        <v>3</v>
      </c>
      <c r="J566">
        <v>37</v>
      </c>
      <c r="K566">
        <v>8</v>
      </c>
      <c r="L566">
        <v>2</v>
      </c>
      <c r="M566">
        <v>12</v>
      </c>
      <c r="N566">
        <v>2</v>
      </c>
      <c r="O566">
        <v>7</v>
      </c>
      <c r="P566">
        <v>6</v>
      </c>
      <c r="Q566">
        <v>12</v>
      </c>
      <c r="R566">
        <v>5</v>
      </c>
      <c r="S566">
        <v>2</v>
      </c>
      <c r="T566">
        <v>11</v>
      </c>
      <c r="U566">
        <v>3</v>
      </c>
    </row>
    <row r="567" spans="1:21" x14ac:dyDescent="0.3">
      <c r="A567" t="s">
        <v>176</v>
      </c>
      <c r="B567" t="s">
        <v>208</v>
      </c>
      <c r="C567" s="4" t="s">
        <v>25</v>
      </c>
      <c r="D567">
        <v>26</v>
      </c>
      <c r="E567">
        <v>1</v>
      </c>
      <c r="F567">
        <v>1</v>
      </c>
      <c r="I567">
        <v>1</v>
      </c>
      <c r="J567">
        <v>11</v>
      </c>
      <c r="K567">
        <v>3</v>
      </c>
      <c r="M567">
        <v>2</v>
      </c>
      <c r="O567">
        <v>2</v>
      </c>
      <c r="P567">
        <v>3</v>
      </c>
      <c r="T567">
        <v>2</v>
      </c>
    </row>
    <row r="568" spans="1:21" x14ac:dyDescent="0.3">
      <c r="A568" t="s">
        <v>176</v>
      </c>
      <c r="B568" t="s">
        <v>209</v>
      </c>
      <c r="C568" s="4" t="s">
        <v>21</v>
      </c>
      <c r="D568">
        <v>133</v>
      </c>
      <c r="F568">
        <v>2</v>
      </c>
      <c r="G568">
        <v>8</v>
      </c>
      <c r="H568">
        <v>13</v>
      </c>
      <c r="I568">
        <v>26</v>
      </c>
      <c r="J568">
        <v>25</v>
      </c>
      <c r="K568">
        <v>24</v>
      </c>
      <c r="L568">
        <v>10</v>
      </c>
      <c r="M568">
        <v>6</v>
      </c>
      <c r="N568">
        <v>5</v>
      </c>
      <c r="O568">
        <v>4</v>
      </c>
      <c r="P568">
        <v>8</v>
      </c>
      <c r="Q568">
        <v>1</v>
      </c>
      <c r="S568">
        <v>1</v>
      </c>
    </row>
    <row r="569" spans="1:21" x14ac:dyDescent="0.3">
      <c r="A569" t="s">
        <v>176</v>
      </c>
      <c r="B569" t="s">
        <v>209</v>
      </c>
      <c r="C569" s="4" t="s">
        <v>24</v>
      </c>
      <c r="D569">
        <v>89</v>
      </c>
      <c r="F569">
        <v>2</v>
      </c>
      <c r="G569">
        <v>7</v>
      </c>
      <c r="H569">
        <v>11</v>
      </c>
      <c r="I569">
        <v>16</v>
      </c>
      <c r="J569">
        <v>19</v>
      </c>
      <c r="K569">
        <v>12</v>
      </c>
      <c r="L569">
        <v>4</v>
      </c>
      <c r="M569">
        <v>5</v>
      </c>
      <c r="N569">
        <v>4</v>
      </c>
      <c r="O569">
        <v>4</v>
      </c>
      <c r="P569">
        <v>3</v>
      </c>
      <c r="Q569">
        <v>1</v>
      </c>
      <c r="S569">
        <v>1</v>
      </c>
    </row>
    <row r="570" spans="1:21" x14ac:dyDescent="0.3">
      <c r="A570" t="s">
        <v>176</v>
      </c>
      <c r="B570" t="s">
        <v>209</v>
      </c>
      <c r="C570" s="4" t="s">
        <v>25</v>
      </c>
      <c r="D570">
        <v>44</v>
      </c>
      <c r="G570">
        <v>1</v>
      </c>
      <c r="H570">
        <v>2</v>
      </c>
      <c r="I570">
        <v>10</v>
      </c>
      <c r="J570">
        <v>6</v>
      </c>
      <c r="K570">
        <v>12</v>
      </c>
      <c r="L570">
        <v>6</v>
      </c>
      <c r="M570">
        <v>1</v>
      </c>
      <c r="N570">
        <v>1</v>
      </c>
      <c r="P570">
        <v>5</v>
      </c>
    </row>
    <row r="571" spans="1:21" x14ac:dyDescent="0.3">
      <c r="A571" t="s">
        <v>176</v>
      </c>
      <c r="B571" t="s">
        <v>210</v>
      </c>
      <c r="C571" s="4" t="s">
        <v>21</v>
      </c>
      <c r="D571">
        <v>131</v>
      </c>
      <c r="E571">
        <v>4</v>
      </c>
      <c r="F571">
        <v>4</v>
      </c>
      <c r="G571">
        <v>9</v>
      </c>
      <c r="H571">
        <v>5</v>
      </c>
      <c r="I571">
        <v>14</v>
      </c>
      <c r="J571">
        <v>48</v>
      </c>
      <c r="K571">
        <v>20</v>
      </c>
      <c r="L571">
        <v>6</v>
      </c>
      <c r="M571">
        <v>5</v>
      </c>
      <c r="N571">
        <v>8</v>
      </c>
      <c r="O571">
        <v>2</v>
      </c>
      <c r="P571">
        <v>4</v>
      </c>
      <c r="Q571">
        <v>1</v>
      </c>
      <c r="T571">
        <v>1</v>
      </c>
    </row>
    <row r="572" spans="1:21" x14ac:dyDescent="0.3">
      <c r="A572" t="s">
        <v>176</v>
      </c>
      <c r="B572" t="s">
        <v>210</v>
      </c>
      <c r="C572" s="4" t="s">
        <v>24</v>
      </c>
      <c r="D572">
        <v>66</v>
      </c>
      <c r="E572">
        <v>1</v>
      </c>
      <c r="F572">
        <v>3</v>
      </c>
      <c r="G572">
        <v>1</v>
      </c>
      <c r="H572">
        <v>3</v>
      </c>
      <c r="I572">
        <v>9</v>
      </c>
      <c r="J572">
        <v>20</v>
      </c>
      <c r="K572">
        <v>16</v>
      </c>
      <c r="L572">
        <v>2</v>
      </c>
      <c r="M572">
        <v>2</v>
      </c>
      <c r="N572">
        <v>8</v>
      </c>
      <c r="T572">
        <v>1</v>
      </c>
    </row>
    <row r="573" spans="1:21" x14ac:dyDescent="0.3">
      <c r="A573" t="s">
        <v>176</v>
      </c>
      <c r="B573" t="s">
        <v>210</v>
      </c>
      <c r="C573" s="4" t="s">
        <v>25</v>
      </c>
      <c r="D573">
        <v>65</v>
      </c>
      <c r="E573">
        <v>3</v>
      </c>
      <c r="F573">
        <v>1</v>
      </c>
      <c r="G573">
        <v>8</v>
      </c>
      <c r="H573">
        <v>2</v>
      </c>
      <c r="I573">
        <v>5</v>
      </c>
      <c r="J573">
        <v>28</v>
      </c>
      <c r="K573">
        <v>4</v>
      </c>
      <c r="L573">
        <v>4</v>
      </c>
      <c r="M573">
        <v>3</v>
      </c>
      <c r="O573">
        <v>2</v>
      </c>
      <c r="P573">
        <v>4</v>
      </c>
      <c r="Q573">
        <v>1</v>
      </c>
    </row>
    <row r="574" spans="1:21" x14ac:dyDescent="0.3">
      <c r="A574" t="s">
        <v>176</v>
      </c>
      <c r="B574" t="s">
        <v>211</v>
      </c>
      <c r="C574" s="4" t="s">
        <v>21</v>
      </c>
      <c r="D574">
        <v>130</v>
      </c>
      <c r="E574">
        <v>3</v>
      </c>
      <c r="F574">
        <v>2</v>
      </c>
      <c r="G574">
        <v>1</v>
      </c>
      <c r="H574">
        <v>6</v>
      </c>
      <c r="I574">
        <v>5</v>
      </c>
      <c r="J574">
        <v>43</v>
      </c>
      <c r="K574">
        <v>23</v>
      </c>
      <c r="L574">
        <v>5</v>
      </c>
      <c r="M574">
        <v>2</v>
      </c>
      <c r="N574">
        <v>8</v>
      </c>
      <c r="O574">
        <v>6</v>
      </c>
      <c r="P574">
        <v>8</v>
      </c>
      <c r="Q574">
        <v>9</v>
      </c>
      <c r="R574">
        <v>3</v>
      </c>
      <c r="S574">
        <v>4</v>
      </c>
      <c r="T574">
        <v>2</v>
      </c>
    </row>
    <row r="575" spans="1:21" x14ac:dyDescent="0.3">
      <c r="A575" t="s">
        <v>176</v>
      </c>
      <c r="B575" t="s">
        <v>211</v>
      </c>
      <c r="C575" s="4" t="s">
        <v>24</v>
      </c>
      <c r="D575">
        <v>90</v>
      </c>
      <c r="E575">
        <v>2</v>
      </c>
      <c r="F575">
        <v>1</v>
      </c>
      <c r="H575">
        <v>4</v>
      </c>
      <c r="I575">
        <v>4</v>
      </c>
      <c r="J575">
        <v>32</v>
      </c>
      <c r="K575">
        <v>18</v>
      </c>
      <c r="L575">
        <v>1</v>
      </c>
      <c r="M575">
        <v>2</v>
      </c>
      <c r="N575">
        <v>4</v>
      </c>
      <c r="O575">
        <v>6</v>
      </c>
      <c r="P575">
        <v>5</v>
      </c>
      <c r="Q575">
        <v>6</v>
      </c>
      <c r="R575">
        <v>2</v>
      </c>
      <c r="S575">
        <v>1</v>
      </c>
      <c r="T575">
        <v>2</v>
      </c>
    </row>
    <row r="576" spans="1:21" x14ac:dyDescent="0.3">
      <c r="A576" t="s">
        <v>176</v>
      </c>
      <c r="B576" t="s">
        <v>211</v>
      </c>
      <c r="C576" s="4" t="s">
        <v>25</v>
      </c>
      <c r="D576">
        <v>40</v>
      </c>
      <c r="E576">
        <v>1</v>
      </c>
      <c r="F576">
        <v>1</v>
      </c>
      <c r="G576">
        <v>1</v>
      </c>
      <c r="H576">
        <v>2</v>
      </c>
      <c r="I576">
        <v>1</v>
      </c>
      <c r="J576">
        <v>11</v>
      </c>
      <c r="K576">
        <v>5</v>
      </c>
      <c r="L576">
        <v>4</v>
      </c>
      <c r="N576">
        <v>4</v>
      </c>
      <c r="P576">
        <v>3</v>
      </c>
      <c r="Q576">
        <v>3</v>
      </c>
      <c r="R576">
        <v>1</v>
      </c>
      <c r="S576">
        <v>3</v>
      </c>
    </row>
    <row r="577" spans="1:20" x14ac:dyDescent="0.3">
      <c r="A577" t="s">
        <v>176</v>
      </c>
      <c r="B577" t="s">
        <v>212</v>
      </c>
      <c r="C577" s="4" t="s">
        <v>21</v>
      </c>
      <c r="D577">
        <v>125</v>
      </c>
      <c r="E577">
        <v>1</v>
      </c>
      <c r="F577">
        <v>3</v>
      </c>
      <c r="G577">
        <v>6</v>
      </c>
      <c r="H577">
        <v>6</v>
      </c>
      <c r="I577">
        <v>7</v>
      </c>
      <c r="J577">
        <v>44</v>
      </c>
      <c r="K577">
        <v>19</v>
      </c>
      <c r="L577">
        <v>5</v>
      </c>
      <c r="M577">
        <v>8</v>
      </c>
      <c r="N577">
        <v>4</v>
      </c>
      <c r="O577">
        <v>5</v>
      </c>
      <c r="P577">
        <v>3</v>
      </c>
      <c r="Q577">
        <v>7</v>
      </c>
      <c r="R577">
        <v>3</v>
      </c>
      <c r="T577">
        <v>4</v>
      </c>
    </row>
    <row r="578" spans="1:20" x14ac:dyDescent="0.3">
      <c r="A578" t="s">
        <v>176</v>
      </c>
      <c r="B578" t="s">
        <v>212</v>
      </c>
      <c r="C578" s="4" t="s">
        <v>24</v>
      </c>
      <c r="D578">
        <v>90</v>
      </c>
      <c r="F578">
        <v>2</v>
      </c>
      <c r="G578">
        <v>6</v>
      </c>
      <c r="H578">
        <v>6</v>
      </c>
      <c r="I578">
        <v>6</v>
      </c>
      <c r="J578">
        <v>31</v>
      </c>
      <c r="K578">
        <v>11</v>
      </c>
      <c r="L578">
        <v>5</v>
      </c>
      <c r="M578">
        <v>5</v>
      </c>
      <c r="N578">
        <v>1</v>
      </c>
      <c r="O578">
        <v>3</v>
      </c>
      <c r="P578">
        <v>3</v>
      </c>
      <c r="Q578">
        <v>6</v>
      </c>
      <c r="R578">
        <v>3</v>
      </c>
      <c r="T578">
        <v>2</v>
      </c>
    </row>
    <row r="579" spans="1:20" x14ac:dyDescent="0.3">
      <c r="A579" t="s">
        <v>176</v>
      </c>
      <c r="B579" t="s">
        <v>212</v>
      </c>
      <c r="C579" s="4" t="s">
        <v>25</v>
      </c>
      <c r="D579">
        <v>35</v>
      </c>
      <c r="E579">
        <v>1</v>
      </c>
      <c r="F579">
        <v>1</v>
      </c>
      <c r="I579">
        <v>1</v>
      </c>
      <c r="J579">
        <v>13</v>
      </c>
      <c r="K579">
        <v>8</v>
      </c>
      <c r="M579">
        <v>3</v>
      </c>
      <c r="N579">
        <v>3</v>
      </c>
      <c r="O579">
        <v>2</v>
      </c>
      <c r="Q579">
        <v>1</v>
      </c>
      <c r="T579">
        <v>2</v>
      </c>
    </row>
    <row r="580" spans="1:20" x14ac:dyDescent="0.3">
      <c r="A580" t="s">
        <v>176</v>
      </c>
      <c r="B580" t="s">
        <v>213</v>
      </c>
      <c r="C580" s="4" t="s">
        <v>21</v>
      </c>
      <c r="D580">
        <v>116</v>
      </c>
      <c r="E580">
        <v>9</v>
      </c>
      <c r="F580">
        <v>4</v>
      </c>
      <c r="G580">
        <v>5</v>
      </c>
      <c r="H580">
        <v>15</v>
      </c>
      <c r="I580">
        <v>7</v>
      </c>
      <c r="J580">
        <v>21</v>
      </c>
      <c r="K580">
        <v>7</v>
      </c>
      <c r="L580">
        <v>3</v>
      </c>
      <c r="M580">
        <v>9</v>
      </c>
      <c r="N580">
        <v>4</v>
      </c>
      <c r="O580">
        <v>2</v>
      </c>
      <c r="P580">
        <v>6</v>
      </c>
      <c r="Q580">
        <v>11</v>
      </c>
      <c r="R580">
        <v>4</v>
      </c>
      <c r="S580">
        <v>3</v>
      </c>
      <c r="T580">
        <v>6</v>
      </c>
    </row>
    <row r="581" spans="1:20" x14ac:dyDescent="0.3">
      <c r="A581" t="s">
        <v>176</v>
      </c>
      <c r="B581" t="s">
        <v>213</v>
      </c>
      <c r="C581" s="4" t="s">
        <v>24</v>
      </c>
      <c r="D581">
        <v>83</v>
      </c>
      <c r="E581">
        <v>5</v>
      </c>
      <c r="F581">
        <v>4</v>
      </c>
      <c r="G581">
        <v>4</v>
      </c>
      <c r="H581">
        <v>10</v>
      </c>
      <c r="I581">
        <v>5</v>
      </c>
      <c r="J581">
        <v>16</v>
      </c>
      <c r="K581">
        <v>6</v>
      </c>
      <c r="L581">
        <v>2</v>
      </c>
      <c r="M581">
        <v>3</v>
      </c>
      <c r="N581">
        <v>1</v>
      </c>
      <c r="O581">
        <v>2</v>
      </c>
      <c r="P581">
        <v>5</v>
      </c>
      <c r="Q581">
        <v>8</v>
      </c>
      <c r="R581">
        <v>4</v>
      </c>
      <c r="S581">
        <v>3</v>
      </c>
      <c r="T581">
        <v>5</v>
      </c>
    </row>
    <row r="582" spans="1:20" x14ac:dyDescent="0.3">
      <c r="A582" t="s">
        <v>176</v>
      </c>
      <c r="B582" t="s">
        <v>213</v>
      </c>
      <c r="C582" s="4" t="s">
        <v>25</v>
      </c>
      <c r="D582">
        <v>33</v>
      </c>
      <c r="E582">
        <v>4</v>
      </c>
      <c r="G582">
        <v>1</v>
      </c>
      <c r="H582">
        <v>5</v>
      </c>
      <c r="I582">
        <v>2</v>
      </c>
      <c r="J582">
        <v>5</v>
      </c>
      <c r="K582">
        <v>1</v>
      </c>
      <c r="L582">
        <v>1</v>
      </c>
      <c r="M582">
        <v>6</v>
      </c>
      <c r="N582">
        <v>3</v>
      </c>
      <c r="P582">
        <v>1</v>
      </c>
      <c r="Q582">
        <v>3</v>
      </c>
      <c r="T582">
        <v>1</v>
      </c>
    </row>
    <row r="583" spans="1:20" x14ac:dyDescent="0.3">
      <c r="A583" t="s">
        <v>176</v>
      </c>
      <c r="B583" t="s">
        <v>214</v>
      </c>
      <c r="C583" s="4" t="s">
        <v>21</v>
      </c>
      <c r="D583">
        <v>109</v>
      </c>
      <c r="E583">
        <v>1</v>
      </c>
      <c r="F583">
        <v>6</v>
      </c>
      <c r="G583">
        <v>7</v>
      </c>
      <c r="H583">
        <v>17</v>
      </c>
      <c r="I583">
        <v>17</v>
      </c>
      <c r="J583">
        <v>46</v>
      </c>
      <c r="K583">
        <v>11</v>
      </c>
      <c r="L583">
        <v>1</v>
      </c>
      <c r="N583">
        <v>3</v>
      </c>
    </row>
    <row r="584" spans="1:20" x14ac:dyDescent="0.3">
      <c r="A584" t="s">
        <v>176</v>
      </c>
      <c r="B584" t="s">
        <v>214</v>
      </c>
      <c r="C584" s="4" t="s">
        <v>24</v>
      </c>
      <c r="D584">
        <v>65</v>
      </c>
      <c r="F584">
        <v>2</v>
      </c>
      <c r="G584">
        <v>4</v>
      </c>
      <c r="H584">
        <v>10</v>
      </c>
      <c r="I584">
        <v>11</v>
      </c>
      <c r="J584">
        <v>30</v>
      </c>
      <c r="K584">
        <v>4</v>
      </c>
      <c r="L584">
        <v>1</v>
      </c>
      <c r="N584">
        <v>3</v>
      </c>
    </row>
    <row r="585" spans="1:20" x14ac:dyDescent="0.3">
      <c r="A585" t="s">
        <v>176</v>
      </c>
      <c r="B585" t="s">
        <v>214</v>
      </c>
      <c r="C585" s="4" t="s">
        <v>25</v>
      </c>
      <c r="D585">
        <v>44</v>
      </c>
      <c r="E585">
        <v>1</v>
      </c>
      <c r="F585">
        <v>4</v>
      </c>
      <c r="G585">
        <v>3</v>
      </c>
      <c r="H585">
        <v>7</v>
      </c>
      <c r="I585">
        <v>6</v>
      </c>
      <c r="J585">
        <v>16</v>
      </c>
      <c r="K585">
        <v>7</v>
      </c>
    </row>
    <row r="586" spans="1:20" x14ac:dyDescent="0.3">
      <c r="A586" t="s">
        <v>176</v>
      </c>
      <c r="B586" t="s">
        <v>215</v>
      </c>
      <c r="C586" s="4" t="s">
        <v>21</v>
      </c>
      <c r="D586">
        <v>83</v>
      </c>
      <c r="F586">
        <v>1</v>
      </c>
      <c r="G586">
        <v>39</v>
      </c>
      <c r="H586">
        <v>4</v>
      </c>
      <c r="I586">
        <v>4</v>
      </c>
      <c r="J586">
        <v>19</v>
      </c>
      <c r="K586">
        <v>7</v>
      </c>
      <c r="N586">
        <v>2</v>
      </c>
      <c r="O586">
        <v>3</v>
      </c>
      <c r="P586">
        <v>3</v>
      </c>
      <c r="R586">
        <v>1</v>
      </c>
    </row>
    <row r="587" spans="1:20" x14ac:dyDescent="0.3">
      <c r="A587" t="s">
        <v>176</v>
      </c>
      <c r="B587" t="s">
        <v>215</v>
      </c>
      <c r="C587" s="4" t="s">
        <v>24</v>
      </c>
      <c r="D587">
        <v>67</v>
      </c>
      <c r="F587">
        <v>1</v>
      </c>
      <c r="G587">
        <v>34</v>
      </c>
      <c r="H587">
        <v>1</v>
      </c>
      <c r="I587">
        <v>2</v>
      </c>
      <c r="J587">
        <v>14</v>
      </c>
      <c r="K587">
        <v>6</v>
      </c>
      <c r="N587">
        <v>2</v>
      </c>
      <c r="O587">
        <v>3</v>
      </c>
      <c r="P587">
        <v>3</v>
      </c>
      <c r="R587">
        <v>1</v>
      </c>
    </row>
    <row r="588" spans="1:20" x14ac:dyDescent="0.3">
      <c r="A588" t="s">
        <v>176</v>
      </c>
      <c r="B588" t="s">
        <v>215</v>
      </c>
      <c r="C588" s="4" t="s">
        <v>25</v>
      </c>
      <c r="D588">
        <v>16</v>
      </c>
      <c r="G588">
        <v>5</v>
      </c>
      <c r="H588">
        <v>3</v>
      </c>
      <c r="I588">
        <v>2</v>
      </c>
      <c r="J588">
        <v>5</v>
      </c>
      <c r="K588">
        <v>1</v>
      </c>
    </row>
    <row r="589" spans="1:20" x14ac:dyDescent="0.3">
      <c r="A589" t="s">
        <v>176</v>
      </c>
      <c r="B589" t="s">
        <v>216</v>
      </c>
      <c r="C589" s="4" t="s">
        <v>21</v>
      </c>
      <c r="D589">
        <v>67</v>
      </c>
      <c r="E589">
        <v>4</v>
      </c>
      <c r="F589">
        <v>5</v>
      </c>
      <c r="G589">
        <v>9</v>
      </c>
      <c r="H589">
        <v>13</v>
      </c>
      <c r="I589">
        <v>6</v>
      </c>
      <c r="J589">
        <v>22</v>
      </c>
      <c r="K589">
        <v>7</v>
      </c>
      <c r="N589">
        <v>1</v>
      </c>
    </row>
    <row r="590" spans="1:20" x14ac:dyDescent="0.3">
      <c r="A590" t="s">
        <v>176</v>
      </c>
      <c r="B590" t="s">
        <v>216</v>
      </c>
      <c r="C590" s="4" t="s">
        <v>24</v>
      </c>
      <c r="D590">
        <v>27</v>
      </c>
      <c r="E590">
        <v>3</v>
      </c>
      <c r="F590">
        <v>2</v>
      </c>
      <c r="G590">
        <v>3</v>
      </c>
      <c r="H590">
        <v>7</v>
      </c>
      <c r="I590">
        <v>2</v>
      </c>
      <c r="J590">
        <v>9</v>
      </c>
      <c r="K590">
        <v>1</v>
      </c>
    </row>
    <row r="591" spans="1:20" x14ac:dyDescent="0.3">
      <c r="A591" t="s">
        <v>176</v>
      </c>
      <c r="B591" t="s">
        <v>216</v>
      </c>
      <c r="C591" s="4" t="s">
        <v>25</v>
      </c>
      <c r="D591">
        <v>40</v>
      </c>
      <c r="E591">
        <v>1</v>
      </c>
      <c r="F591">
        <v>3</v>
      </c>
      <c r="G591">
        <v>6</v>
      </c>
      <c r="H591">
        <v>6</v>
      </c>
      <c r="I591">
        <v>4</v>
      </c>
      <c r="J591">
        <v>13</v>
      </c>
      <c r="K591">
        <v>6</v>
      </c>
      <c r="N591">
        <v>1</v>
      </c>
    </row>
    <row r="592" spans="1:20" x14ac:dyDescent="0.3">
      <c r="A592" t="s">
        <v>176</v>
      </c>
      <c r="B592" t="s">
        <v>217</v>
      </c>
      <c r="C592" s="4" t="s">
        <v>21</v>
      </c>
      <c r="D592">
        <v>67</v>
      </c>
      <c r="E592">
        <v>3</v>
      </c>
      <c r="F592">
        <v>1</v>
      </c>
      <c r="G592">
        <v>4</v>
      </c>
      <c r="H592">
        <v>5</v>
      </c>
      <c r="I592">
        <v>9</v>
      </c>
      <c r="J592">
        <v>17</v>
      </c>
      <c r="K592">
        <v>5</v>
      </c>
      <c r="L592">
        <v>3</v>
      </c>
      <c r="M592">
        <v>10</v>
      </c>
      <c r="N592">
        <v>5</v>
      </c>
      <c r="Q592">
        <v>3</v>
      </c>
      <c r="S592">
        <v>2</v>
      </c>
    </row>
    <row r="593" spans="1:20" x14ac:dyDescent="0.3">
      <c r="A593" t="s">
        <v>176</v>
      </c>
      <c r="B593" t="s">
        <v>217</v>
      </c>
      <c r="C593" s="4" t="s">
        <v>24</v>
      </c>
      <c r="D593">
        <v>45</v>
      </c>
      <c r="F593">
        <v>1</v>
      </c>
      <c r="G593">
        <v>3</v>
      </c>
      <c r="H593">
        <v>3</v>
      </c>
      <c r="I593">
        <v>7</v>
      </c>
      <c r="J593">
        <v>9</v>
      </c>
      <c r="K593">
        <v>4</v>
      </c>
      <c r="L593">
        <v>3</v>
      </c>
      <c r="M593">
        <v>8</v>
      </c>
      <c r="N593">
        <v>5</v>
      </c>
      <c r="Q593">
        <v>2</v>
      </c>
    </row>
    <row r="594" spans="1:20" x14ac:dyDescent="0.3">
      <c r="A594" t="s">
        <v>176</v>
      </c>
      <c r="B594" t="s">
        <v>217</v>
      </c>
      <c r="C594" s="4" t="s">
        <v>25</v>
      </c>
      <c r="D594">
        <v>22</v>
      </c>
      <c r="E594">
        <v>3</v>
      </c>
      <c r="G594">
        <v>1</v>
      </c>
      <c r="H594">
        <v>2</v>
      </c>
      <c r="I594">
        <v>2</v>
      </c>
      <c r="J594">
        <v>8</v>
      </c>
      <c r="K594">
        <v>1</v>
      </c>
      <c r="M594">
        <v>2</v>
      </c>
      <c r="Q594">
        <v>1</v>
      </c>
      <c r="S594">
        <v>2</v>
      </c>
    </row>
    <row r="595" spans="1:20" x14ac:dyDescent="0.3">
      <c r="A595" t="s">
        <v>176</v>
      </c>
      <c r="B595" t="s">
        <v>218</v>
      </c>
      <c r="C595" s="4" t="s">
        <v>21</v>
      </c>
      <c r="D595">
        <v>64</v>
      </c>
      <c r="E595">
        <v>1</v>
      </c>
      <c r="F595">
        <v>3</v>
      </c>
      <c r="G595">
        <v>6</v>
      </c>
      <c r="H595">
        <v>1</v>
      </c>
      <c r="I595">
        <v>4</v>
      </c>
      <c r="J595">
        <v>24</v>
      </c>
      <c r="K595">
        <v>11</v>
      </c>
      <c r="L595">
        <v>3</v>
      </c>
      <c r="M595">
        <v>5</v>
      </c>
      <c r="O595">
        <v>2</v>
      </c>
      <c r="P595">
        <v>1</v>
      </c>
      <c r="Q595">
        <v>1</v>
      </c>
      <c r="R595">
        <v>1</v>
      </c>
      <c r="T595">
        <v>1</v>
      </c>
    </row>
    <row r="596" spans="1:20" x14ac:dyDescent="0.3">
      <c r="A596" t="s">
        <v>176</v>
      </c>
      <c r="B596" t="s">
        <v>218</v>
      </c>
      <c r="C596" s="4" t="s">
        <v>24</v>
      </c>
      <c r="D596">
        <v>40</v>
      </c>
      <c r="F596">
        <v>3</v>
      </c>
      <c r="G596">
        <v>6</v>
      </c>
      <c r="H596">
        <v>1</v>
      </c>
      <c r="I596">
        <v>3</v>
      </c>
      <c r="J596">
        <v>15</v>
      </c>
      <c r="K596">
        <v>5</v>
      </c>
      <c r="L596">
        <v>2</v>
      </c>
      <c r="M596">
        <v>1</v>
      </c>
      <c r="P596">
        <v>1</v>
      </c>
      <c r="Q596">
        <v>1</v>
      </c>
      <c r="R596">
        <v>1</v>
      </c>
      <c r="T596">
        <v>1</v>
      </c>
    </row>
    <row r="597" spans="1:20" x14ac:dyDescent="0.3">
      <c r="A597" t="s">
        <v>176</v>
      </c>
      <c r="B597" t="s">
        <v>218</v>
      </c>
      <c r="C597" s="4" t="s">
        <v>25</v>
      </c>
      <c r="D597">
        <v>24</v>
      </c>
      <c r="E597">
        <v>1</v>
      </c>
      <c r="I597">
        <v>1</v>
      </c>
      <c r="J597">
        <v>9</v>
      </c>
      <c r="K597">
        <v>6</v>
      </c>
      <c r="L597">
        <v>1</v>
      </c>
      <c r="M597">
        <v>4</v>
      </c>
      <c r="O597">
        <v>2</v>
      </c>
    </row>
    <row r="598" spans="1:20" x14ac:dyDescent="0.3">
      <c r="A598" t="s">
        <v>176</v>
      </c>
      <c r="B598" t="s">
        <v>219</v>
      </c>
      <c r="C598" s="4" t="s">
        <v>21</v>
      </c>
      <c r="D598">
        <v>50</v>
      </c>
      <c r="E598">
        <v>1</v>
      </c>
      <c r="G598">
        <v>7</v>
      </c>
      <c r="H598">
        <v>3</v>
      </c>
      <c r="I598">
        <v>2</v>
      </c>
      <c r="J598">
        <v>19</v>
      </c>
      <c r="K598">
        <v>6</v>
      </c>
      <c r="M598">
        <v>1</v>
      </c>
      <c r="N598">
        <v>2</v>
      </c>
      <c r="O598">
        <v>3</v>
      </c>
      <c r="P598">
        <v>5</v>
      </c>
      <c r="S598">
        <v>1</v>
      </c>
    </row>
    <row r="599" spans="1:20" x14ac:dyDescent="0.3">
      <c r="A599" t="s">
        <v>176</v>
      </c>
      <c r="B599" t="s">
        <v>219</v>
      </c>
      <c r="C599" s="4" t="s">
        <v>24</v>
      </c>
      <c r="D599">
        <v>38</v>
      </c>
      <c r="G599">
        <v>7</v>
      </c>
      <c r="H599">
        <v>3</v>
      </c>
      <c r="I599">
        <v>1</v>
      </c>
      <c r="J599">
        <v>15</v>
      </c>
      <c r="K599">
        <v>3</v>
      </c>
      <c r="M599">
        <v>1</v>
      </c>
      <c r="O599">
        <v>2</v>
      </c>
      <c r="P599">
        <v>5</v>
      </c>
      <c r="S599">
        <v>1</v>
      </c>
    </row>
    <row r="600" spans="1:20" x14ac:dyDescent="0.3">
      <c r="A600" t="s">
        <v>176</v>
      </c>
      <c r="B600" t="s">
        <v>219</v>
      </c>
      <c r="C600" s="4" t="s">
        <v>25</v>
      </c>
      <c r="D600">
        <v>12</v>
      </c>
      <c r="E600">
        <v>1</v>
      </c>
      <c r="I600">
        <v>1</v>
      </c>
      <c r="J600">
        <v>4</v>
      </c>
      <c r="K600">
        <v>3</v>
      </c>
      <c r="N600">
        <v>2</v>
      </c>
      <c r="O600">
        <v>1</v>
      </c>
    </row>
    <row r="601" spans="1:20" x14ac:dyDescent="0.3">
      <c r="A601" t="s">
        <v>176</v>
      </c>
      <c r="B601" t="s">
        <v>220</v>
      </c>
      <c r="C601" s="4" t="s">
        <v>21</v>
      </c>
      <c r="D601">
        <v>48</v>
      </c>
      <c r="E601">
        <v>3</v>
      </c>
      <c r="G601">
        <v>3</v>
      </c>
      <c r="H601">
        <v>5</v>
      </c>
      <c r="I601">
        <v>5</v>
      </c>
      <c r="J601">
        <v>16</v>
      </c>
      <c r="K601">
        <v>2</v>
      </c>
      <c r="L601">
        <v>1</v>
      </c>
      <c r="M601">
        <v>1</v>
      </c>
      <c r="N601">
        <v>2</v>
      </c>
      <c r="O601">
        <v>3</v>
      </c>
      <c r="P601">
        <v>3</v>
      </c>
      <c r="Q601">
        <v>1</v>
      </c>
      <c r="R601">
        <v>1</v>
      </c>
      <c r="T601">
        <v>2</v>
      </c>
    </row>
    <row r="602" spans="1:20" x14ac:dyDescent="0.3">
      <c r="A602" t="s">
        <v>176</v>
      </c>
      <c r="B602" t="s">
        <v>220</v>
      </c>
      <c r="C602" s="4" t="s">
        <v>24</v>
      </c>
      <c r="D602">
        <v>31</v>
      </c>
      <c r="E602">
        <v>1</v>
      </c>
      <c r="G602">
        <v>3</v>
      </c>
      <c r="H602">
        <v>3</v>
      </c>
      <c r="I602">
        <v>5</v>
      </c>
      <c r="J602">
        <v>9</v>
      </c>
      <c r="M602">
        <v>1</v>
      </c>
      <c r="O602">
        <v>2</v>
      </c>
      <c r="P602">
        <v>3</v>
      </c>
      <c r="Q602">
        <v>1</v>
      </c>
      <c r="R602">
        <v>1</v>
      </c>
      <c r="T602">
        <v>2</v>
      </c>
    </row>
    <row r="603" spans="1:20" x14ac:dyDescent="0.3">
      <c r="A603" t="s">
        <v>176</v>
      </c>
      <c r="B603" t="s">
        <v>220</v>
      </c>
      <c r="C603" s="4" t="s">
        <v>25</v>
      </c>
      <c r="D603">
        <v>17</v>
      </c>
      <c r="E603">
        <v>2</v>
      </c>
      <c r="H603">
        <v>2</v>
      </c>
      <c r="J603">
        <v>7</v>
      </c>
      <c r="K603">
        <v>2</v>
      </c>
      <c r="L603">
        <v>1</v>
      </c>
      <c r="N603">
        <v>2</v>
      </c>
      <c r="O603">
        <v>1</v>
      </c>
    </row>
    <row r="604" spans="1:20" x14ac:dyDescent="0.3">
      <c r="A604" t="s">
        <v>176</v>
      </c>
      <c r="B604" t="s">
        <v>221</v>
      </c>
      <c r="C604" s="4" t="s">
        <v>21</v>
      </c>
      <c r="D604">
        <v>40</v>
      </c>
      <c r="E604">
        <v>1</v>
      </c>
      <c r="G604">
        <v>1</v>
      </c>
      <c r="H604">
        <v>3</v>
      </c>
      <c r="I604">
        <v>7</v>
      </c>
      <c r="J604">
        <v>16</v>
      </c>
      <c r="K604">
        <v>3</v>
      </c>
      <c r="L604">
        <v>2</v>
      </c>
      <c r="M604">
        <v>2</v>
      </c>
      <c r="N604">
        <v>2</v>
      </c>
      <c r="O604">
        <v>1</v>
      </c>
      <c r="P604">
        <v>2</v>
      </c>
    </row>
    <row r="605" spans="1:20" x14ac:dyDescent="0.3">
      <c r="A605" t="s">
        <v>176</v>
      </c>
      <c r="B605" t="s">
        <v>221</v>
      </c>
      <c r="C605" s="4" t="s">
        <v>24</v>
      </c>
      <c r="D605">
        <v>33</v>
      </c>
      <c r="G605">
        <v>1</v>
      </c>
      <c r="H605">
        <v>3</v>
      </c>
      <c r="I605">
        <v>6</v>
      </c>
      <c r="J605">
        <v>13</v>
      </c>
      <c r="K605">
        <v>2</v>
      </c>
      <c r="L605">
        <v>1</v>
      </c>
      <c r="M605">
        <v>2</v>
      </c>
      <c r="N605">
        <v>2</v>
      </c>
      <c r="O605">
        <v>1</v>
      </c>
      <c r="P605">
        <v>2</v>
      </c>
    </row>
    <row r="606" spans="1:20" x14ac:dyDescent="0.3">
      <c r="A606" t="s">
        <v>176</v>
      </c>
      <c r="B606" t="s">
        <v>221</v>
      </c>
      <c r="C606" s="4" t="s">
        <v>25</v>
      </c>
      <c r="D606">
        <v>7</v>
      </c>
      <c r="E606">
        <v>1</v>
      </c>
      <c r="I606">
        <v>1</v>
      </c>
      <c r="J606">
        <v>3</v>
      </c>
      <c r="K606">
        <v>1</v>
      </c>
      <c r="L606">
        <v>1</v>
      </c>
    </row>
    <row r="607" spans="1:20" x14ac:dyDescent="0.3">
      <c r="A607" t="s">
        <v>176</v>
      </c>
      <c r="B607" t="s">
        <v>222</v>
      </c>
      <c r="C607" s="4" t="s">
        <v>21</v>
      </c>
      <c r="D607">
        <v>38</v>
      </c>
      <c r="F607">
        <v>3</v>
      </c>
      <c r="H607">
        <v>3</v>
      </c>
      <c r="I607">
        <v>2</v>
      </c>
      <c r="J607">
        <v>13</v>
      </c>
      <c r="K607">
        <v>10</v>
      </c>
      <c r="N607">
        <v>2</v>
      </c>
      <c r="O607">
        <v>2</v>
      </c>
      <c r="P607">
        <v>1</v>
      </c>
      <c r="Q607">
        <v>2</v>
      </c>
    </row>
    <row r="608" spans="1:20" x14ac:dyDescent="0.3">
      <c r="A608" t="s">
        <v>176</v>
      </c>
      <c r="B608" t="s">
        <v>222</v>
      </c>
      <c r="C608" s="4" t="s">
        <v>24</v>
      </c>
      <c r="D608">
        <v>27</v>
      </c>
      <c r="F608">
        <v>3</v>
      </c>
      <c r="H608">
        <v>3</v>
      </c>
      <c r="I608">
        <v>1</v>
      </c>
      <c r="J608">
        <v>10</v>
      </c>
      <c r="K608">
        <v>8</v>
      </c>
      <c r="P608">
        <v>1</v>
      </c>
      <c r="Q608">
        <v>1</v>
      </c>
    </row>
    <row r="609" spans="1:20" x14ac:dyDescent="0.3">
      <c r="A609" t="s">
        <v>176</v>
      </c>
      <c r="B609" t="s">
        <v>222</v>
      </c>
      <c r="C609" s="4" t="s">
        <v>25</v>
      </c>
      <c r="D609">
        <v>11</v>
      </c>
      <c r="I609">
        <v>1</v>
      </c>
      <c r="J609">
        <v>3</v>
      </c>
      <c r="K609">
        <v>2</v>
      </c>
      <c r="N609">
        <v>2</v>
      </c>
      <c r="O609">
        <v>2</v>
      </c>
      <c r="Q609">
        <v>1</v>
      </c>
    </row>
    <row r="610" spans="1:20" x14ac:dyDescent="0.3">
      <c r="A610" t="s">
        <v>176</v>
      </c>
      <c r="B610" t="s">
        <v>223</v>
      </c>
      <c r="C610" s="4" t="s">
        <v>21</v>
      </c>
      <c r="D610">
        <v>34</v>
      </c>
      <c r="F610">
        <v>1</v>
      </c>
      <c r="G610">
        <v>2</v>
      </c>
      <c r="H610">
        <v>3</v>
      </c>
      <c r="I610">
        <v>2</v>
      </c>
      <c r="J610">
        <v>15</v>
      </c>
      <c r="K610">
        <v>3</v>
      </c>
      <c r="O610">
        <v>1</v>
      </c>
      <c r="P610">
        <v>3</v>
      </c>
      <c r="Q610">
        <v>3</v>
      </c>
      <c r="S610">
        <v>1</v>
      </c>
    </row>
    <row r="611" spans="1:20" x14ac:dyDescent="0.3">
      <c r="A611" t="s">
        <v>176</v>
      </c>
      <c r="B611" t="s">
        <v>223</v>
      </c>
      <c r="C611" s="4" t="s">
        <v>24</v>
      </c>
      <c r="D611">
        <v>18</v>
      </c>
      <c r="F611">
        <v>1</v>
      </c>
      <c r="G611">
        <v>2</v>
      </c>
      <c r="H611">
        <v>2</v>
      </c>
      <c r="I611">
        <v>2</v>
      </c>
      <c r="J611">
        <v>5</v>
      </c>
      <c r="K611">
        <v>1</v>
      </c>
      <c r="O611">
        <v>1</v>
      </c>
      <c r="P611">
        <v>1</v>
      </c>
      <c r="Q611">
        <v>2</v>
      </c>
      <c r="S611">
        <v>1</v>
      </c>
    </row>
    <row r="612" spans="1:20" x14ac:dyDescent="0.3">
      <c r="A612" t="s">
        <v>176</v>
      </c>
      <c r="B612" t="s">
        <v>223</v>
      </c>
      <c r="C612" s="4" t="s">
        <v>25</v>
      </c>
      <c r="D612">
        <v>16</v>
      </c>
      <c r="H612">
        <v>1</v>
      </c>
      <c r="J612">
        <v>10</v>
      </c>
      <c r="K612">
        <v>2</v>
      </c>
      <c r="P612">
        <v>2</v>
      </c>
      <c r="Q612">
        <v>1</v>
      </c>
    </row>
    <row r="613" spans="1:20" x14ac:dyDescent="0.3">
      <c r="A613" t="s">
        <v>176</v>
      </c>
      <c r="B613" t="s">
        <v>224</v>
      </c>
      <c r="C613" s="4" t="s">
        <v>21</v>
      </c>
      <c r="D613">
        <v>32</v>
      </c>
      <c r="E613">
        <v>6</v>
      </c>
      <c r="F613">
        <v>1</v>
      </c>
      <c r="G613">
        <v>3</v>
      </c>
      <c r="I613">
        <v>5</v>
      </c>
      <c r="J613">
        <v>6</v>
      </c>
      <c r="K613">
        <v>3</v>
      </c>
      <c r="L613">
        <v>4</v>
      </c>
      <c r="N613">
        <v>1</v>
      </c>
      <c r="O613">
        <v>2</v>
      </c>
      <c r="Q613">
        <v>1</v>
      </c>
    </row>
    <row r="614" spans="1:20" x14ac:dyDescent="0.3">
      <c r="A614" t="s">
        <v>176</v>
      </c>
      <c r="B614" t="s">
        <v>224</v>
      </c>
      <c r="C614" s="4" t="s">
        <v>24</v>
      </c>
      <c r="D614">
        <v>14</v>
      </c>
      <c r="E614">
        <v>5</v>
      </c>
      <c r="F614">
        <v>1</v>
      </c>
      <c r="G614">
        <v>1</v>
      </c>
      <c r="I614">
        <v>1</v>
      </c>
      <c r="J614">
        <v>4</v>
      </c>
      <c r="K614">
        <v>1</v>
      </c>
      <c r="L614">
        <v>1</v>
      </c>
    </row>
    <row r="615" spans="1:20" x14ac:dyDescent="0.3">
      <c r="A615" t="s">
        <v>176</v>
      </c>
      <c r="B615" t="s">
        <v>224</v>
      </c>
      <c r="C615" s="4" t="s">
        <v>25</v>
      </c>
      <c r="D615">
        <v>18</v>
      </c>
      <c r="E615">
        <v>1</v>
      </c>
      <c r="G615">
        <v>2</v>
      </c>
      <c r="I615">
        <v>4</v>
      </c>
      <c r="J615">
        <v>2</v>
      </c>
      <c r="K615">
        <v>2</v>
      </c>
      <c r="L615">
        <v>3</v>
      </c>
      <c r="N615">
        <v>1</v>
      </c>
      <c r="O615">
        <v>2</v>
      </c>
      <c r="Q615">
        <v>1</v>
      </c>
    </row>
    <row r="616" spans="1:20" x14ac:dyDescent="0.3">
      <c r="A616" t="s">
        <v>176</v>
      </c>
      <c r="B616" t="s">
        <v>225</v>
      </c>
      <c r="C616" s="4" t="s">
        <v>21</v>
      </c>
      <c r="D616">
        <v>32</v>
      </c>
      <c r="F616">
        <v>1</v>
      </c>
      <c r="G616">
        <v>2</v>
      </c>
      <c r="H616">
        <v>2</v>
      </c>
      <c r="I616">
        <v>3</v>
      </c>
      <c r="J616">
        <v>9</v>
      </c>
      <c r="K616">
        <v>3</v>
      </c>
      <c r="M616">
        <v>4</v>
      </c>
      <c r="O616">
        <v>1</v>
      </c>
      <c r="P616">
        <v>5</v>
      </c>
      <c r="R616">
        <v>1</v>
      </c>
      <c r="T616">
        <v>1</v>
      </c>
    </row>
    <row r="617" spans="1:20" x14ac:dyDescent="0.3">
      <c r="A617" t="s">
        <v>176</v>
      </c>
      <c r="B617" t="s">
        <v>225</v>
      </c>
      <c r="C617" s="4" t="s">
        <v>24</v>
      </c>
      <c r="D617">
        <v>22</v>
      </c>
      <c r="G617">
        <v>2</v>
      </c>
      <c r="H617">
        <v>2</v>
      </c>
      <c r="I617">
        <v>3</v>
      </c>
      <c r="J617">
        <v>4</v>
      </c>
      <c r="K617">
        <v>3</v>
      </c>
      <c r="M617">
        <v>4</v>
      </c>
      <c r="O617">
        <v>1</v>
      </c>
      <c r="P617">
        <v>1</v>
      </c>
      <c r="R617">
        <v>1</v>
      </c>
      <c r="T617">
        <v>1</v>
      </c>
    </row>
    <row r="618" spans="1:20" x14ac:dyDescent="0.3">
      <c r="A618" t="s">
        <v>176</v>
      </c>
      <c r="B618" t="s">
        <v>225</v>
      </c>
      <c r="C618" s="4" t="s">
        <v>25</v>
      </c>
      <c r="D618">
        <v>10</v>
      </c>
      <c r="F618">
        <v>1</v>
      </c>
      <c r="J618">
        <v>5</v>
      </c>
      <c r="P618">
        <v>4</v>
      </c>
    </row>
    <row r="619" spans="1:20" x14ac:dyDescent="0.3">
      <c r="A619" t="s">
        <v>176</v>
      </c>
      <c r="B619" t="s">
        <v>226</v>
      </c>
      <c r="C619" s="4" t="s">
        <v>21</v>
      </c>
      <c r="D619">
        <v>29</v>
      </c>
      <c r="E619">
        <v>1</v>
      </c>
      <c r="F619">
        <v>1</v>
      </c>
      <c r="G619">
        <v>2</v>
      </c>
      <c r="H619">
        <v>6</v>
      </c>
      <c r="I619">
        <v>1</v>
      </c>
      <c r="J619">
        <v>11</v>
      </c>
      <c r="K619">
        <v>4</v>
      </c>
      <c r="M619">
        <v>1</v>
      </c>
      <c r="O619">
        <v>1</v>
      </c>
      <c r="P619">
        <v>1</v>
      </c>
    </row>
    <row r="620" spans="1:20" x14ac:dyDescent="0.3">
      <c r="A620" t="s">
        <v>176</v>
      </c>
      <c r="B620" t="s">
        <v>226</v>
      </c>
      <c r="C620" s="4" t="s">
        <v>24</v>
      </c>
      <c r="D620">
        <v>18</v>
      </c>
      <c r="E620">
        <v>1</v>
      </c>
      <c r="F620">
        <v>1</v>
      </c>
      <c r="G620">
        <v>2</v>
      </c>
      <c r="H620">
        <v>5</v>
      </c>
      <c r="I620">
        <v>1</v>
      </c>
      <c r="J620">
        <v>5</v>
      </c>
      <c r="K620">
        <v>1</v>
      </c>
      <c r="M620">
        <v>1</v>
      </c>
      <c r="P620">
        <v>1</v>
      </c>
    </row>
    <row r="621" spans="1:20" x14ac:dyDescent="0.3">
      <c r="A621" t="s">
        <v>176</v>
      </c>
      <c r="B621" t="s">
        <v>226</v>
      </c>
      <c r="C621" s="4" t="s">
        <v>25</v>
      </c>
      <c r="D621">
        <v>11</v>
      </c>
      <c r="H621">
        <v>1</v>
      </c>
      <c r="J621">
        <v>6</v>
      </c>
      <c r="K621">
        <v>3</v>
      </c>
      <c r="O621">
        <v>1</v>
      </c>
    </row>
    <row r="622" spans="1:20" x14ac:dyDescent="0.3">
      <c r="A622" t="s">
        <v>176</v>
      </c>
      <c r="B622" t="s">
        <v>227</v>
      </c>
      <c r="C622" s="4" t="s">
        <v>21</v>
      </c>
      <c r="D622">
        <v>24</v>
      </c>
      <c r="E622">
        <v>1</v>
      </c>
      <c r="G622">
        <v>3</v>
      </c>
      <c r="H622">
        <v>5</v>
      </c>
      <c r="I622">
        <v>2</v>
      </c>
      <c r="J622">
        <v>7</v>
      </c>
      <c r="K622">
        <v>3</v>
      </c>
      <c r="M622">
        <v>1</v>
      </c>
      <c r="O622">
        <v>1</v>
      </c>
      <c r="P622">
        <v>1</v>
      </c>
    </row>
    <row r="623" spans="1:20" x14ac:dyDescent="0.3">
      <c r="A623" t="s">
        <v>176</v>
      </c>
      <c r="B623" t="s">
        <v>227</v>
      </c>
      <c r="C623" s="4" t="s">
        <v>24</v>
      </c>
      <c r="D623">
        <v>14</v>
      </c>
      <c r="E623">
        <v>1</v>
      </c>
      <c r="G623">
        <v>2</v>
      </c>
      <c r="H623">
        <v>4</v>
      </c>
      <c r="I623">
        <v>1</v>
      </c>
      <c r="J623">
        <v>4</v>
      </c>
      <c r="M623">
        <v>1</v>
      </c>
      <c r="P623">
        <v>1</v>
      </c>
    </row>
    <row r="624" spans="1:20" x14ac:dyDescent="0.3">
      <c r="A624" t="s">
        <v>176</v>
      </c>
      <c r="B624" t="s">
        <v>227</v>
      </c>
      <c r="C624" s="4" t="s">
        <v>25</v>
      </c>
      <c r="D624">
        <v>10</v>
      </c>
      <c r="G624">
        <v>1</v>
      </c>
      <c r="H624">
        <v>1</v>
      </c>
      <c r="I624">
        <v>1</v>
      </c>
      <c r="J624">
        <v>3</v>
      </c>
      <c r="K624">
        <v>3</v>
      </c>
      <c r="O624">
        <v>1</v>
      </c>
    </row>
    <row r="625" spans="1:21" x14ac:dyDescent="0.3">
      <c r="A625" t="s">
        <v>176</v>
      </c>
      <c r="B625" t="s">
        <v>228</v>
      </c>
      <c r="C625" s="4" t="s">
        <v>21</v>
      </c>
      <c r="D625">
        <v>15</v>
      </c>
      <c r="E625">
        <v>3</v>
      </c>
      <c r="F625">
        <v>2</v>
      </c>
      <c r="G625">
        <v>2</v>
      </c>
      <c r="I625">
        <v>1</v>
      </c>
      <c r="J625">
        <v>4</v>
      </c>
      <c r="K625">
        <v>3</v>
      </c>
    </row>
    <row r="626" spans="1:21" x14ac:dyDescent="0.3">
      <c r="A626" t="s">
        <v>176</v>
      </c>
      <c r="B626" t="s">
        <v>228</v>
      </c>
      <c r="C626" s="4" t="s">
        <v>24</v>
      </c>
      <c r="D626">
        <v>8</v>
      </c>
      <c r="E626">
        <v>1</v>
      </c>
      <c r="F626">
        <v>2</v>
      </c>
      <c r="G626">
        <v>2</v>
      </c>
      <c r="I626">
        <v>1</v>
      </c>
      <c r="J626">
        <v>2</v>
      </c>
    </row>
    <row r="627" spans="1:21" x14ac:dyDescent="0.3">
      <c r="A627" t="s">
        <v>176</v>
      </c>
      <c r="B627" t="s">
        <v>228</v>
      </c>
      <c r="C627" s="4" t="s">
        <v>25</v>
      </c>
      <c r="D627">
        <v>7</v>
      </c>
      <c r="E627">
        <v>2</v>
      </c>
      <c r="J627">
        <v>2</v>
      </c>
      <c r="K627">
        <v>3</v>
      </c>
    </row>
    <row r="628" spans="1:21" x14ac:dyDescent="0.3">
      <c r="A628" t="s">
        <v>176</v>
      </c>
      <c r="B628" t="s">
        <v>229</v>
      </c>
      <c r="C628" s="4" t="s">
        <v>21</v>
      </c>
      <c r="D628">
        <v>15</v>
      </c>
      <c r="G628">
        <v>1</v>
      </c>
      <c r="H628">
        <v>1</v>
      </c>
      <c r="J628">
        <v>6</v>
      </c>
      <c r="K628">
        <v>1</v>
      </c>
      <c r="L628">
        <v>1</v>
      </c>
      <c r="M628">
        <v>2</v>
      </c>
      <c r="N628">
        <v>1</v>
      </c>
      <c r="O628">
        <v>1</v>
      </c>
      <c r="R628">
        <v>1</v>
      </c>
    </row>
    <row r="629" spans="1:21" x14ac:dyDescent="0.3">
      <c r="A629" t="s">
        <v>176</v>
      </c>
      <c r="B629" t="s">
        <v>229</v>
      </c>
      <c r="C629" s="4" t="s">
        <v>24</v>
      </c>
      <c r="D629">
        <v>7</v>
      </c>
      <c r="G629">
        <v>1</v>
      </c>
      <c r="H629">
        <v>1</v>
      </c>
      <c r="J629">
        <v>5</v>
      </c>
    </row>
    <row r="630" spans="1:21" x14ac:dyDescent="0.3">
      <c r="A630" t="s">
        <v>176</v>
      </c>
      <c r="B630" t="s">
        <v>229</v>
      </c>
      <c r="C630" s="4" t="s">
        <v>25</v>
      </c>
      <c r="D630">
        <v>8</v>
      </c>
      <c r="J630">
        <v>1</v>
      </c>
      <c r="K630">
        <v>1</v>
      </c>
      <c r="L630">
        <v>1</v>
      </c>
      <c r="M630">
        <v>2</v>
      </c>
      <c r="N630">
        <v>1</v>
      </c>
      <c r="O630">
        <v>1</v>
      </c>
      <c r="R630">
        <v>1</v>
      </c>
    </row>
    <row r="631" spans="1:21" x14ac:dyDescent="0.3">
      <c r="A631" t="s">
        <v>176</v>
      </c>
      <c r="B631" t="s">
        <v>230</v>
      </c>
      <c r="C631" s="4" t="s">
        <v>21</v>
      </c>
      <c r="D631">
        <v>11</v>
      </c>
      <c r="H631">
        <v>6</v>
      </c>
      <c r="J631">
        <v>2</v>
      </c>
      <c r="M631">
        <v>2</v>
      </c>
      <c r="N631">
        <v>1</v>
      </c>
    </row>
    <row r="632" spans="1:21" x14ac:dyDescent="0.3">
      <c r="A632" t="s">
        <v>176</v>
      </c>
      <c r="B632" t="s">
        <v>230</v>
      </c>
      <c r="C632" s="4" t="s">
        <v>24</v>
      </c>
      <c r="D632">
        <v>6</v>
      </c>
      <c r="H632">
        <v>2</v>
      </c>
      <c r="J632">
        <v>2</v>
      </c>
      <c r="M632">
        <v>1</v>
      </c>
      <c r="N632">
        <v>1</v>
      </c>
    </row>
    <row r="633" spans="1:21" x14ac:dyDescent="0.3">
      <c r="A633" t="s">
        <v>176</v>
      </c>
      <c r="B633" t="s">
        <v>230</v>
      </c>
      <c r="C633" s="4" t="s">
        <v>25</v>
      </c>
      <c r="D633">
        <v>5</v>
      </c>
      <c r="H633">
        <v>4</v>
      </c>
      <c r="M633">
        <v>1</v>
      </c>
    </row>
    <row r="634" spans="1:21" x14ac:dyDescent="0.3">
      <c r="A634" s="2" t="s">
        <v>235</v>
      </c>
      <c r="B634" s="2"/>
      <c r="C634" s="4" t="s">
        <v>21</v>
      </c>
      <c r="D634" s="1">
        <v>1377</v>
      </c>
      <c r="E634" s="1">
        <v>128</v>
      </c>
      <c r="F634" s="1">
        <v>104</v>
      </c>
      <c r="G634" s="1">
        <v>143</v>
      </c>
      <c r="H634" s="1">
        <v>161</v>
      </c>
      <c r="I634" s="1">
        <v>104</v>
      </c>
      <c r="J634" s="1">
        <v>362</v>
      </c>
      <c r="K634" s="1">
        <v>187</v>
      </c>
      <c r="L634" s="1">
        <v>49</v>
      </c>
      <c r="M634" s="1">
        <v>62</v>
      </c>
      <c r="N634" s="1">
        <v>22</v>
      </c>
      <c r="O634" s="1">
        <v>15</v>
      </c>
      <c r="P634" s="1">
        <v>25</v>
      </c>
      <c r="Q634" s="1">
        <v>6</v>
      </c>
      <c r="R634" s="1">
        <v>4</v>
      </c>
      <c r="S634" s="1">
        <v>2</v>
      </c>
      <c r="T634" s="1">
        <v>3</v>
      </c>
      <c r="U634" s="1">
        <v>0</v>
      </c>
    </row>
    <row r="635" spans="1:21" x14ac:dyDescent="0.3">
      <c r="A635" s="2"/>
      <c r="B635" s="2"/>
      <c r="C635" s="4" t="s">
        <v>24</v>
      </c>
      <c r="D635" s="1">
        <v>801</v>
      </c>
      <c r="E635" s="1">
        <v>98</v>
      </c>
      <c r="F635" s="1">
        <v>59</v>
      </c>
      <c r="G635" s="1">
        <v>80</v>
      </c>
      <c r="H635" s="1">
        <v>94</v>
      </c>
      <c r="I635" s="1">
        <v>64</v>
      </c>
      <c r="J635" s="1">
        <v>195</v>
      </c>
      <c r="K635" s="1">
        <v>101</v>
      </c>
      <c r="L635" s="1">
        <v>31</v>
      </c>
      <c r="M635" s="1">
        <v>37</v>
      </c>
      <c r="N635" s="1">
        <v>14</v>
      </c>
      <c r="O635" s="1">
        <v>5</v>
      </c>
      <c r="P635" s="1">
        <v>14</v>
      </c>
      <c r="Q635" s="1">
        <v>3</v>
      </c>
      <c r="R635" s="1">
        <v>2</v>
      </c>
      <c r="S635" s="1">
        <v>2</v>
      </c>
      <c r="T635" s="1">
        <v>2</v>
      </c>
      <c r="U635" s="1">
        <v>0</v>
      </c>
    </row>
    <row r="636" spans="1:21" x14ac:dyDescent="0.3">
      <c r="A636" s="2"/>
      <c r="B636" s="2"/>
      <c r="C636" s="4" t="s">
        <v>25</v>
      </c>
      <c r="D636" s="1">
        <v>576</v>
      </c>
      <c r="E636" s="1">
        <v>30</v>
      </c>
      <c r="F636" s="1">
        <v>45</v>
      </c>
      <c r="G636" s="1">
        <v>63</v>
      </c>
      <c r="H636" s="1">
        <v>67</v>
      </c>
      <c r="I636" s="1">
        <v>40</v>
      </c>
      <c r="J636" s="1">
        <v>167</v>
      </c>
      <c r="K636" s="1">
        <v>86</v>
      </c>
      <c r="L636" s="1">
        <v>18</v>
      </c>
      <c r="M636" s="1">
        <v>25</v>
      </c>
      <c r="N636" s="1">
        <v>8</v>
      </c>
      <c r="O636" s="1">
        <v>10</v>
      </c>
      <c r="P636" s="1">
        <v>11</v>
      </c>
      <c r="Q636" s="1">
        <v>3</v>
      </c>
      <c r="R636" s="1">
        <v>2</v>
      </c>
      <c r="S636" s="1">
        <v>0</v>
      </c>
      <c r="T636" s="1">
        <v>1</v>
      </c>
      <c r="U636" s="1">
        <v>0</v>
      </c>
    </row>
  </sheetData>
  <mergeCells count="2">
    <mergeCell ref="A2:B5"/>
    <mergeCell ref="A634:B636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2026-03-04T06:09:28Z</dcterms:created>
  <dcterms:modified xsi:type="dcterms:W3CDTF">2026-03-04T06:09:28Z</dcterms:modified>
</cp:coreProperties>
</file>